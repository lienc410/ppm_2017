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30675" windowHeight="17685" activeTab="2"/>
  </bookViews>
  <sheets>
    <sheet name="Problem 5&amp;6" sheetId="1" r:id="rId1"/>
    <sheet name="Problem 7" sheetId="2" r:id="rId2"/>
    <sheet name="8&amp;9" sheetId="3" r:id="rId3"/>
  </sheets>
  <calcPr calcId="145621"/>
</workbook>
</file>

<file path=xl/calcChain.xml><?xml version="1.0" encoding="utf-8"?>
<calcChain xmlns="http://schemas.openxmlformats.org/spreadsheetml/2006/main">
  <c r="H25" i="3" l="1"/>
  <c r="H23" i="3"/>
  <c r="H21" i="3"/>
  <c r="H17" i="3"/>
  <c r="H15" i="3"/>
  <c r="H13" i="3"/>
  <c r="E12" i="2"/>
  <c r="D19" i="2"/>
  <c r="F22" i="3" l="1"/>
  <c r="F23" i="3"/>
  <c r="F24" i="3"/>
  <c r="F25" i="3"/>
  <c r="F21" i="3"/>
  <c r="F17" i="3"/>
  <c r="F16" i="3"/>
  <c r="F15" i="3"/>
  <c r="F14" i="3"/>
  <c r="F13" i="3"/>
  <c r="E22" i="3" l="1"/>
  <c r="E23" i="3"/>
  <c r="E24" i="3"/>
  <c r="G25" i="3" s="1"/>
  <c r="E25" i="3"/>
  <c r="E21" i="3"/>
  <c r="G23" i="3"/>
  <c r="G17" i="3"/>
  <c r="G15" i="3"/>
  <c r="E14" i="3"/>
  <c r="E15" i="3"/>
  <c r="E16" i="3"/>
  <c r="E17" i="3"/>
  <c r="E13" i="3"/>
  <c r="D8" i="3"/>
  <c r="D7" i="3"/>
  <c r="D6" i="3"/>
  <c r="D4" i="3"/>
  <c r="D3" i="3"/>
  <c r="E9" i="2"/>
  <c r="E20" i="2" s="1"/>
  <c r="E22" i="2" s="1"/>
  <c r="E10" i="2"/>
  <c r="E11" i="2"/>
  <c r="E8" i="2"/>
  <c r="D9" i="2"/>
  <c r="D20" i="2" s="1"/>
  <c r="D22" i="2" s="1"/>
  <c r="D10" i="2"/>
  <c r="D11" i="2"/>
  <c r="D12" i="2"/>
  <c r="D13" i="2"/>
  <c r="D14" i="2"/>
  <c r="D15" i="2"/>
  <c r="D16" i="2"/>
  <c r="D17" i="2"/>
  <c r="D18" i="2"/>
  <c r="D8" i="2"/>
  <c r="C9" i="2"/>
  <c r="C10" i="2"/>
  <c r="C11" i="2"/>
  <c r="C12" i="2"/>
  <c r="C13" i="2"/>
  <c r="C14" i="2"/>
  <c r="C15" i="2"/>
  <c r="C16" i="2"/>
  <c r="C17" i="2"/>
  <c r="C18" i="2"/>
  <c r="C19" i="2"/>
  <c r="C8" i="2"/>
</calcChain>
</file>

<file path=xl/sharedStrings.xml><?xml version="1.0" encoding="utf-8"?>
<sst xmlns="http://schemas.openxmlformats.org/spreadsheetml/2006/main" count="37" uniqueCount="26">
  <si>
    <t>Spot</t>
  </si>
  <si>
    <t>Bond 1</t>
  </si>
  <si>
    <t>Coupon</t>
  </si>
  <si>
    <t>Bond 2</t>
  </si>
  <si>
    <t>Price</t>
  </si>
  <si>
    <t>Term</t>
  </si>
  <si>
    <t>Dq-Bond1</t>
  </si>
  <si>
    <t>Dq</t>
  </si>
  <si>
    <t>Dq-Bond2</t>
  </si>
  <si>
    <t>Problem 6</t>
  </si>
  <si>
    <t>6m</t>
  </si>
  <si>
    <t>1y</t>
  </si>
  <si>
    <t>2y</t>
  </si>
  <si>
    <t>Problem 5</t>
  </si>
  <si>
    <t>==============================================</t>
  </si>
  <si>
    <t>Problem 8</t>
  </si>
  <si>
    <t xml:space="preserve">y </t>
  </si>
  <si>
    <t>PV</t>
  </si>
  <si>
    <t>y</t>
  </si>
  <si>
    <t>return</t>
  </si>
  <si>
    <t>Problem 9</t>
  </si>
  <si>
    <t>Price 1y Later</t>
  </si>
  <si>
    <t>Spot increase by 50bps</t>
  </si>
  <si>
    <t>Return</t>
  </si>
  <si>
    <t>Max Return</t>
  </si>
  <si>
    <t>Problem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</si>
</sst>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£\ #,##0_);[Red]\(\£\ #,##0\)"/>
    <numFmt numFmtId="165" formatCode="\¥\ #,##0_);[Red]\(\¥\ #,##0\)"/>
    <numFmt numFmtId="166" formatCode="\•\ \ @"/>
    <numFmt numFmtId="167" formatCode="_(&quot;$&quot;* #,##0_);_(&quot;$&quot;* \(#,##0.0\);_(&quot;$&quot;* &quot;-&quot;??_);_(@_)"/>
    <numFmt numFmtId="168" formatCode="&quot;$&quot;#,##0.000"/>
    <numFmt numFmtId="169" formatCode="&quot;$&quot;#,##0.000000_);\(&quot;$&quot;#,##0.000000\)"/>
    <numFmt numFmtId="170" formatCode="#,##0.0_);[Red]\(&quot;$&quot;#,##0.0\)"/>
    <numFmt numFmtId="171" formatCode="0.000_)"/>
    <numFmt numFmtId="172" formatCode="\ \ _•\–\ \ \ \ @"/>
    <numFmt numFmtId="173" formatCode="0.00&quot;%&quot;"/>
    <numFmt numFmtId="174" formatCode="0&quot;%&quot;"/>
    <numFmt numFmtId="175" formatCode="mmmm\ d\,\ yyyy"/>
    <numFmt numFmtId="176" formatCode="0.000"/>
    <numFmt numFmtId="177" formatCode="0.0000000"/>
    <numFmt numFmtId="178" formatCode="_([$€-2]* #,##0.00_);_([$€-2]* \(#,##0.00\);_([$€-2]* &quot;-&quot;??_)"/>
    <numFmt numFmtId="179" formatCode="dd\-mmm\-yy\ hh:mm:ss"/>
    <numFmt numFmtId="180" formatCode="0.00_)"/>
    <numFmt numFmtId="181" formatCode="0.0#\%;\-0.0#\%"/>
    <numFmt numFmtId="182" formatCode="#,##0.0\ ;\(#,##0.0\)"/>
    <numFmt numFmtId="183" formatCode="#,##0\ \ \ ;\(#,##0\)\ \ "/>
    <numFmt numFmtId="184" formatCode="0.0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  <numFmt numFmtId="194" formatCode="0.0%"/>
  </numFmts>
  <fonts count="1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indexed="52"/>
      <name val="Calibri"/>
      <family val="2"/>
    </font>
    <font>
      <sz val="10"/>
      <color theme="4"/>
      <name val="Calibri"/>
      <family val="2"/>
      <scheme val="minor"/>
    </font>
    <font>
      <sz val="10"/>
      <name val="Calibri"/>
      <family val="2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u/>
      <sz val="11"/>
      <color theme="10"/>
      <name val="Calibri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49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horizontal="left" wrapText="1"/>
    </xf>
    <xf numFmtId="0" fontId="8" fillId="0" borderId="0" applyNumberFormat="0" applyFill="0" applyBorder="0" applyAlignment="0" applyProtection="0">
      <alignment horizontal="left" wrapText="1"/>
    </xf>
    <xf numFmtId="0" fontId="8" fillId="0" borderId="0" applyNumberFormat="0" applyFill="0" applyBorder="0" applyAlignment="0" applyProtection="0">
      <alignment horizontal="left" wrapText="1"/>
    </xf>
    <xf numFmtId="0" fontId="8" fillId="0" borderId="0" applyNumberFormat="0" applyFill="0" applyBorder="0" applyAlignment="0" applyProtection="0">
      <alignment horizontal="left" wrapText="1"/>
    </xf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7" fillId="5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" fillId="7" borderId="0" applyNumberFormat="0" applyBorder="0" applyAlignment="0" applyProtection="0"/>
    <xf numFmtId="0" fontId="11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9" borderId="0" applyNumberFormat="0" applyBorder="0" applyAlignment="0" applyProtection="0"/>
    <xf numFmtId="0" fontId="11" fillId="22" borderId="0" applyNumberFormat="0" applyBorder="0" applyAlignment="0" applyProtection="0"/>
    <xf numFmtId="0" fontId="12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" fillId="11" borderId="0" applyNumberFormat="0" applyBorder="0" applyAlignment="0" applyProtection="0"/>
    <xf numFmtId="0" fontId="11" fillId="24" borderId="0" applyNumberFormat="0" applyBorder="0" applyAlignment="0" applyProtection="0"/>
    <xf numFmtId="0" fontId="12" fillId="25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" fillId="13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1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" fillId="6" borderId="0" applyNumberFormat="0" applyBorder="0" applyAlignment="0" applyProtection="0"/>
    <xf numFmtId="0" fontId="11" fillId="29" borderId="0" applyNumberFormat="0" applyBorder="0" applyAlignment="0" applyProtection="0"/>
    <xf numFmtId="0" fontId="12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8" borderId="0" applyNumberFormat="0" applyBorder="0" applyAlignment="0" applyProtection="0"/>
    <xf numFmtId="0" fontId="11" fillId="20" borderId="0" applyNumberFormat="0" applyBorder="0" applyAlignment="0" applyProtection="0"/>
    <xf numFmtId="0" fontId="12" fillId="23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" fillId="10" borderId="0" applyNumberFormat="0" applyBorder="0" applyAlignment="0" applyProtection="0"/>
    <xf numFmtId="0" fontId="11" fillId="26" borderId="0" applyNumberFormat="0" applyBorder="0" applyAlignment="0" applyProtection="0"/>
    <xf numFmtId="0" fontId="12" fillId="3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" fillId="12" borderId="0" applyNumberFormat="0" applyBorder="0" applyAlignment="0" applyProtection="0"/>
    <xf numFmtId="0" fontId="11" fillId="28" borderId="0" applyNumberFormat="0" applyBorder="0" applyAlignment="0" applyProtection="0"/>
    <xf numFmtId="0" fontId="12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" fillId="14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" fillId="16" borderId="0" applyNumberFormat="0" applyBorder="0" applyAlignment="0" applyProtection="0"/>
    <xf numFmtId="0" fontId="13" fillId="33" borderId="0" applyNumberFormat="0" applyBorder="0" applyAlignment="0" applyProtection="0"/>
    <xf numFmtId="0" fontId="14" fillId="34" borderId="0" applyNumberFormat="0" applyBorder="0" applyAlignment="0" applyProtection="0"/>
    <xf numFmtId="0" fontId="15" fillId="35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5" fillId="29" borderId="0" applyNumberFormat="0" applyBorder="0" applyAlignment="0" applyProtection="0"/>
    <xf numFmtId="0" fontId="13" fillId="20" borderId="0" applyNumberFormat="0" applyBorder="0" applyAlignment="0" applyProtection="0"/>
    <xf numFmtId="0" fontId="14" fillId="23" borderId="0" applyNumberFormat="0" applyBorder="0" applyAlignment="0" applyProtection="0"/>
    <xf numFmtId="0" fontId="15" fillId="30" borderId="0" applyNumberFormat="0" applyBorder="0" applyAlignment="0" applyProtection="0"/>
    <xf numFmtId="0" fontId="13" fillId="26" borderId="0" applyNumberFormat="0" applyBorder="0" applyAlignment="0" applyProtection="0"/>
    <xf numFmtId="0" fontId="14" fillId="36" borderId="0" applyNumberFormat="0" applyBorder="0" applyAlignment="0" applyProtection="0"/>
    <xf numFmtId="0" fontId="15" fillId="37" borderId="0" applyNumberFormat="0" applyBorder="0" applyAlignment="0" applyProtection="0"/>
    <xf numFmtId="0" fontId="13" fillId="33" borderId="0" applyNumberFormat="0" applyBorder="0" applyAlignment="0" applyProtection="0"/>
    <xf numFmtId="0" fontId="14" fillId="34" borderId="0" applyNumberFormat="0" applyBorder="0" applyAlignment="0" applyProtection="0"/>
    <xf numFmtId="0" fontId="15" fillId="33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38" borderId="0" applyNumberFormat="0" applyBorder="0" applyAlignment="0" applyProtection="0"/>
    <xf numFmtId="0" fontId="13" fillId="33" borderId="0" applyNumberFormat="0" applyBorder="0" applyAlignment="0" applyProtection="0"/>
    <xf numFmtId="0" fontId="14" fillId="39" borderId="0" applyNumberFormat="0" applyBorder="0" applyAlignment="0" applyProtection="0"/>
    <xf numFmtId="0" fontId="15" fillId="40" borderId="0" applyNumberFormat="0" applyBorder="0" applyAlignment="0" applyProtection="0"/>
    <xf numFmtId="0" fontId="13" fillId="41" borderId="0" applyNumberFormat="0" applyBorder="0" applyAlignment="0" applyProtection="0"/>
    <xf numFmtId="0" fontId="14" fillId="42" borderId="0" applyNumberFormat="0" applyBorder="0" applyAlignment="0" applyProtection="0"/>
    <xf numFmtId="0" fontId="15" fillId="41" borderId="0" applyNumberFormat="0" applyBorder="0" applyAlignment="0" applyProtection="0"/>
    <xf numFmtId="0" fontId="13" fillId="43" borderId="0" applyNumberFormat="0" applyBorder="0" applyAlignment="0" applyProtection="0"/>
    <xf numFmtId="0" fontId="14" fillId="42" borderId="0" applyNumberFormat="0" applyBorder="0" applyAlignment="0" applyProtection="0"/>
    <xf numFmtId="0" fontId="15" fillId="43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5" fillId="37" borderId="0" applyNumberFormat="0" applyBorder="0" applyAlignment="0" applyProtection="0"/>
    <xf numFmtId="0" fontId="13" fillId="33" borderId="0" applyNumberFormat="0" applyBorder="0" applyAlignment="0" applyProtection="0"/>
    <xf numFmtId="0" fontId="14" fillId="43" borderId="0" applyNumberFormat="0" applyBorder="0" applyAlignment="0" applyProtection="0"/>
    <xf numFmtId="0" fontId="15" fillId="33" borderId="0" applyNumberFormat="0" applyBorder="0" applyAlignment="0" applyProtection="0"/>
    <xf numFmtId="0" fontId="13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44" borderId="0" applyNumberFormat="0" applyBorder="0" applyAlignment="0" applyProtection="0"/>
    <xf numFmtId="0" fontId="8" fillId="0" borderId="0"/>
    <xf numFmtId="17" fontId="8" fillId="0" borderId="0" applyFont="0" applyFill="0" applyBorder="0" applyProtection="0">
      <alignment horizontal="left"/>
    </xf>
    <xf numFmtId="0" fontId="8" fillId="0" borderId="0" applyFont="0" applyFill="0" applyBorder="0" applyProtection="0">
      <alignment horizontal="left"/>
    </xf>
    <xf numFmtId="0" fontId="16" fillId="19" borderId="0" applyNumberFormat="0" applyBorder="0" applyAlignment="0" applyProtection="0"/>
    <xf numFmtId="0" fontId="17" fillId="19" borderId="0" applyNumberFormat="0" applyBorder="0" applyAlignment="0" applyProtection="0"/>
    <xf numFmtId="0" fontId="18" fillId="19" borderId="0" applyNumberFormat="0" applyBorder="0" applyAlignment="0" applyProtection="0"/>
    <xf numFmtId="38" fontId="19" fillId="22" borderId="0"/>
    <xf numFmtId="0" fontId="20" fillId="0" borderId="0" applyNumberFormat="0" applyFill="0" applyBorder="0" applyAlignment="0" applyProtection="0"/>
    <xf numFmtId="0" fontId="21" fillId="45" borderId="0">
      <alignment horizontal="left"/>
    </xf>
    <xf numFmtId="2" fontId="22" fillId="46" borderId="5" applyProtection="0">
      <alignment horizontal="left"/>
      <protection locked="0"/>
    </xf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8" fillId="47" borderId="0"/>
    <xf numFmtId="166" fontId="9" fillId="0" borderId="0" applyFont="0" applyFill="0" applyBorder="0" applyAlignment="0" applyProtection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0" fontId="8" fillId="0" borderId="0" applyFill="0" applyBorder="0" applyAlignment="0"/>
    <xf numFmtId="169" fontId="8" fillId="0" borderId="0" applyFill="0" applyBorder="0" applyAlignment="0"/>
    <xf numFmtId="0" fontId="8" fillId="0" borderId="0" applyFill="0" applyBorder="0" applyAlignment="0"/>
    <xf numFmtId="167" fontId="26" fillId="0" borderId="0" applyFill="0" applyBorder="0" applyAlignment="0"/>
    <xf numFmtId="0" fontId="8" fillId="0" borderId="0" applyFill="0" applyBorder="0" applyAlignment="0"/>
    <xf numFmtId="170" fontId="8" fillId="0" borderId="0" applyFill="0" applyBorder="0" applyAlignment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0" fontId="27" fillId="22" borderId="7" applyNumberFormat="0" applyAlignment="0" applyProtection="0"/>
    <xf numFmtId="0" fontId="28" fillId="24" borderId="7" applyNumberFormat="0" applyAlignment="0" applyProtection="0"/>
    <xf numFmtId="0" fontId="29" fillId="26" borderId="7" applyNumberFormat="0" applyAlignment="0" applyProtection="0"/>
    <xf numFmtId="0" fontId="30" fillId="3" borderId="1" applyNumberFormat="0" applyAlignment="0" applyProtection="0"/>
    <xf numFmtId="0" fontId="4" fillId="3" borderId="1" applyNumberFormat="0" applyAlignment="0" applyProtection="0"/>
    <xf numFmtId="0" fontId="31" fillId="48" borderId="8" applyNumberFormat="0"/>
    <xf numFmtId="0" fontId="32" fillId="49" borderId="9" applyBorder="0">
      <alignment horizontal="center" wrapText="1"/>
    </xf>
    <xf numFmtId="0" fontId="32" fillId="50" borderId="9" applyBorder="0">
      <alignment horizontal="center" wrapText="1"/>
    </xf>
    <xf numFmtId="0" fontId="33" fillId="51" borderId="8" applyNumberFormat="0"/>
    <xf numFmtId="0" fontId="34" fillId="52" borderId="8" applyNumberFormat="0"/>
    <xf numFmtId="0" fontId="5" fillId="52" borderId="8" applyNumberFormat="0"/>
    <xf numFmtId="0" fontId="34" fillId="52" borderId="8" applyNumberFormat="0"/>
    <xf numFmtId="0" fontId="35" fillId="46" borderId="10" applyNumberFormat="0"/>
    <xf numFmtId="0" fontId="33" fillId="51" borderId="8" applyNumberFormat="0"/>
    <xf numFmtId="0" fontId="34" fillId="51" borderId="8" applyNumberFormat="0"/>
    <xf numFmtId="0" fontId="35" fillId="46" borderId="10" applyNumberFormat="0"/>
    <xf numFmtId="0" fontId="36" fillId="53" borderId="11" applyNumberFormat="0"/>
    <xf numFmtId="0" fontId="33" fillId="48" borderId="8" applyNumberFormat="0"/>
    <xf numFmtId="0" fontId="31" fillId="48" borderId="8" applyNumberFormat="0"/>
    <xf numFmtId="0" fontId="36" fillId="53" borderId="11" applyNumberFormat="0" applyBorder="0"/>
    <xf numFmtId="0" fontId="33" fillId="48" borderId="8" applyNumberFormat="0"/>
    <xf numFmtId="0" fontId="36" fillId="53" borderId="11" applyNumberFormat="0" applyBorder="0"/>
    <xf numFmtId="0" fontId="37" fillId="54" borderId="10" applyNumberFormat="0"/>
    <xf numFmtId="0" fontId="36" fillId="53" borderId="11" applyNumberFormat="0"/>
    <xf numFmtId="0" fontId="36" fillId="53" borderId="11" applyNumberFormat="0" applyBorder="0"/>
    <xf numFmtId="14" fontId="38" fillId="51" borderId="12" applyNumberFormat="0" applyAlignment="0"/>
    <xf numFmtId="14" fontId="38" fillId="52" borderId="12" applyNumberFormat="0" applyAlignment="0"/>
    <xf numFmtId="14" fontId="39" fillId="52" borderId="12" applyNumberFormat="0" applyAlignment="0"/>
    <xf numFmtId="14" fontId="38" fillId="51" borderId="12" applyNumberFormat="0" applyAlignment="0"/>
    <xf numFmtId="0" fontId="40" fillId="55" borderId="13" applyNumberFormat="0" applyAlignment="0" applyProtection="0"/>
    <xf numFmtId="0" fontId="41" fillId="55" borderId="13" applyNumberFormat="0" applyAlignment="0" applyProtection="0"/>
    <xf numFmtId="0" fontId="42" fillId="55" borderId="13" applyNumberFormat="0" applyAlignment="0" applyProtection="0"/>
    <xf numFmtId="0" fontId="43" fillId="0" borderId="0" applyNumberFormat="0" applyFill="0" applyBorder="0" applyAlignment="0" applyProtection="0"/>
    <xf numFmtId="171" fontId="44" fillId="0" borderId="0"/>
    <xf numFmtId="171" fontId="45" fillId="0" borderId="0"/>
    <xf numFmtId="171" fontId="44" fillId="0" borderId="0"/>
    <xf numFmtId="171" fontId="45" fillId="0" borderId="0"/>
    <xf numFmtId="171" fontId="44" fillId="0" borderId="0"/>
    <xf numFmtId="171" fontId="45" fillId="0" borderId="0"/>
    <xf numFmtId="171" fontId="44" fillId="0" borderId="0"/>
    <xf numFmtId="171" fontId="45" fillId="0" borderId="0"/>
    <xf numFmtId="171" fontId="44" fillId="0" borderId="0"/>
    <xf numFmtId="171" fontId="45" fillId="0" borderId="0"/>
    <xf numFmtId="171" fontId="44" fillId="0" borderId="0"/>
    <xf numFmtId="171" fontId="45" fillId="0" borderId="0"/>
    <xf numFmtId="171" fontId="44" fillId="0" borderId="0"/>
    <xf numFmtId="171" fontId="45" fillId="0" borderId="0"/>
    <xf numFmtId="171" fontId="44" fillId="0" borderId="0"/>
    <xf numFmtId="171" fontId="45" fillId="0" borderId="0"/>
    <xf numFmtId="0" fontId="25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3" fontId="8" fillId="0" borderId="0" applyFill="0" applyBorder="0" applyAlignment="0" applyProtection="0"/>
    <xf numFmtId="0" fontId="46" fillId="0" borderId="0"/>
    <xf numFmtId="0" fontId="47" fillId="0" borderId="0" applyNumberFormat="0" applyAlignment="0">
      <alignment horizontal="left"/>
    </xf>
    <xf numFmtId="0" fontId="48" fillId="0" borderId="0">
      <alignment horizontal="center"/>
    </xf>
    <xf numFmtId="0" fontId="46" fillId="0" borderId="0"/>
    <xf numFmtId="0" fontId="25" fillId="0" borderId="0" applyFont="0" applyFill="0" applyBorder="0" applyAlignment="0" applyProtection="0"/>
    <xf numFmtId="168" fontId="8" fillId="0" borderId="0" applyFont="0" applyFill="0" applyBorder="0" applyAlignment="0" applyProtection="0"/>
    <xf numFmtId="8" fontId="49" fillId="0" borderId="14">
      <protection locked="0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5" fontId="8" fillId="0" borderId="0" applyFill="0" applyBorder="0" applyAlignment="0" applyProtection="0"/>
    <xf numFmtId="172" fontId="9" fillId="0" borderId="0" applyFont="0" applyFill="0" applyBorder="0" applyAlignment="0" applyProtection="0"/>
    <xf numFmtId="10" fontId="8" fillId="0" borderId="0" applyFont="0" applyFill="0" applyBorder="0" applyProtection="0">
      <alignment horizontal="center"/>
    </xf>
    <xf numFmtId="173" fontId="8" fillId="0" borderId="0" applyFont="0" applyFill="0" applyBorder="0" applyProtection="0"/>
    <xf numFmtId="174" fontId="8" fillId="0" borderId="0" applyFont="0" applyFill="0" applyBorder="0" applyProtection="0"/>
    <xf numFmtId="15" fontId="50" fillId="0" borderId="0" applyFont="0" applyFill="0" applyBorder="0" applyAlignment="0" applyProtection="0"/>
    <xf numFmtId="0" fontId="46" fillId="0" borderId="0"/>
    <xf numFmtId="175" fontId="8" fillId="0" borderId="0" applyFill="0" applyBorder="0" applyAlignment="0" applyProtection="0"/>
    <xf numFmtId="175" fontId="8" fillId="0" borderId="0" applyFill="0" applyBorder="0" applyAlignment="0" applyProtection="0"/>
    <xf numFmtId="175" fontId="8" fillId="0" borderId="0" applyFill="0" applyBorder="0" applyAlignment="0" applyProtection="0"/>
    <xf numFmtId="175" fontId="8" fillId="0" borderId="0" applyFill="0" applyBorder="0" applyAlignment="0" applyProtection="0"/>
    <xf numFmtId="175" fontId="8" fillId="0" borderId="0" applyFill="0" applyBorder="0" applyAlignment="0" applyProtection="0"/>
    <xf numFmtId="15" fontId="12" fillId="22" borderId="0"/>
    <xf numFmtId="14" fontId="12" fillId="0" borderId="0" applyFill="0" applyBorder="0" applyAlignment="0"/>
    <xf numFmtId="0" fontId="48" fillId="46" borderId="0">
      <alignment horizontal="left"/>
    </xf>
    <xf numFmtId="175" fontId="8" fillId="0" borderId="0" applyFill="0" applyBorder="0" applyAlignment="0" applyProtection="0"/>
    <xf numFmtId="14" fontId="8" fillId="0" borderId="0"/>
    <xf numFmtId="0" fontId="51" fillId="29" borderId="0">
      <alignment horizontal="left"/>
    </xf>
    <xf numFmtId="0" fontId="52" fillId="0" borderId="0">
      <alignment horizontal="left"/>
    </xf>
    <xf numFmtId="38" fontId="53" fillId="0" borderId="15">
      <alignment vertical="center"/>
    </xf>
    <xf numFmtId="176" fontId="8" fillId="0" borderId="0">
      <alignment horizontal="right"/>
    </xf>
    <xf numFmtId="1" fontId="8" fillId="0" borderId="0">
      <alignment horizontal="right"/>
    </xf>
    <xf numFmtId="1" fontId="8" fillId="0" borderId="0">
      <alignment horizontal="right"/>
    </xf>
    <xf numFmtId="177" fontId="8" fillId="0" borderId="0">
      <alignment horizontal="right"/>
    </xf>
    <xf numFmtId="49" fontId="8" fillId="0" borderId="0">
      <alignment horizontal="left"/>
    </xf>
    <xf numFmtId="49" fontId="8" fillId="0" borderId="0">
      <alignment horizontal="left"/>
    </xf>
    <xf numFmtId="49" fontId="8" fillId="0" borderId="0">
      <alignment horizontal="right"/>
    </xf>
    <xf numFmtId="14" fontId="8" fillId="0" borderId="0">
      <alignment horizontal="left"/>
    </xf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0" fontId="54" fillId="0" borderId="0" applyNumberFormat="0" applyAlignment="0">
      <alignment horizontal="left"/>
    </xf>
    <xf numFmtId="9" fontId="55" fillId="0" borderId="4" applyNumberFormat="0" applyBorder="0" applyAlignment="0">
      <protection locked="0"/>
    </xf>
    <xf numFmtId="178" fontId="8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8" fillId="0" borderId="0" applyFill="0" applyBorder="0" applyAlignment="0" applyProtection="0"/>
    <xf numFmtId="179" fontId="8" fillId="0" borderId="0" applyFont="0" applyFill="0" applyBorder="0" applyAlignment="0" applyProtection="0"/>
    <xf numFmtId="0" fontId="12" fillId="22" borderId="0"/>
    <xf numFmtId="0" fontId="59" fillId="21" borderId="0" applyNumberFormat="0" applyBorder="0" applyAlignment="0" applyProtection="0"/>
    <xf numFmtId="0" fontId="60" fillId="25" borderId="0" applyNumberFormat="0" applyBorder="0" applyAlignment="0" applyProtection="0"/>
    <xf numFmtId="0" fontId="61" fillId="21" borderId="0" applyNumberFormat="0" applyBorder="0" applyAlignment="0" applyProtection="0"/>
    <xf numFmtId="2" fontId="62" fillId="46" borderId="5" applyProtection="0">
      <alignment horizontal="left"/>
      <protection locked="0"/>
    </xf>
    <xf numFmtId="38" fontId="43" fillId="56" borderId="0" applyNumberFormat="0" applyBorder="0" applyAlignment="0" applyProtection="0"/>
    <xf numFmtId="0" fontId="63" fillId="0" borderId="16" applyNumberFormat="0" applyAlignment="0" applyProtection="0">
      <alignment horizontal="left" vertical="center"/>
    </xf>
    <xf numFmtId="0" fontId="63" fillId="0" borderId="17">
      <alignment horizontal="left" vertical="center"/>
    </xf>
    <xf numFmtId="0" fontId="64" fillId="26" borderId="4">
      <alignment horizontal="centerContinuous"/>
    </xf>
    <xf numFmtId="0" fontId="65" fillId="0" borderId="18" applyNumberFormat="0" applyFill="0" applyAlignment="0" applyProtection="0"/>
    <xf numFmtId="0" fontId="66" fillId="0" borderId="19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20" applyNumberFormat="0" applyFill="0" applyAlignment="0" applyProtection="0"/>
    <xf numFmtId="0" fontId="70" fillId="0" borderId="21" applyNumberFormat="0" applyFill="0" applyAlignment="0" applyProtection="0"/>
    <xf numFmtId="0" fontId="71" fillId="0" borderId="22" applyNumberFormat="0" applyFill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21" applyNumberFormat="0" applyFill="0" applyAlignment="0" applyProtection="0"/>
    <xf numFmtId="0" fontId="73" fillId="0" borderId="23" applyNumberFormat="0" applyFill="0" applyAlignment="0" applyProtection="0"/>
    <xf numFmtId="0" fontId="74" fillId="0" borderId="24" applyNumberFormat="0" applyFill="0" applyAlignment="0" applyProtection="0"/>
    <xf numFmtId="0" fontId="75" fillId="0" borderId="25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22" borderId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10" fontId="43" fillId="57" borderId="4" applyNumberFormat="0" applyBorder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2" fontId="79" fillId="0" borderId="26" applyNumberFormat="0" applyFill="0" applyBorder="0" applyAlignment="0">
      <alignment horizontal="center"/>
      <protection locked="0"/>
    </xf>
    <xf numFmtId="2" fontId="79" fillId="0" borderId="26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80" fillId="18" borderId="7" applyNumberFormat="0" applyAlignment="0" applyProtection="0"/>
    <xf numFmtId="0" fontId="80" fillId="18" borderId="7" applyNumberFormat="0" applyAlignment="0" applyProtection="0"/>
    <xf numFmtId="0" fontId="80" fillId="18" borderId="7" applyNumberFormat="0" applyAlignment="0" applyProtection="0"/>
    <xf numFmtId="0" fontId="80" fillId="18" borderId="7" applyNumberFormat="0" applyAlignment="0" applyProtection="0"/>
    <xf numFmtId="37" fontId="81" fillId="0" borderId="0" applyNumberFormat="0" applyAlignment="0">
      <protection locked="0"/>
    </xf>
    <xf numFmtId="0" fontId="2" fillId="2" borderId="1" applyNumberFormat="0" applyAlignment="0" applyProtection="0"/>
    <xf numFmtId="0" fontId="2" fillId="2" borderId="1" applyNumberFormat="0" applyAlignment="0" applyProtection="0"/>
    <xf numFmtId="0" fontId="82" fillId="0" borderId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0" fontId="35" fillId="0" borderId="27" applyNumberFormat="0" applyFill="0" applyAlignment="0" applyProtection="0"/>
    <xf numFmtId="0" fontId="83" fillId="0" borderId="27" applyNumberFormat="0" applyFill="0" applyAlignment="0" applyProtection="0"/>
    <xf numFmtId="0" fontId="84" fillId="0" borderId="27" applyNumberFormat="0" applyFill="0" applyAlignment="0" applyProtection="0"/>
    <xf numFmtId="0" fontId="8" fillId="56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8" fontId="12" fillId="22" borderId="0"/>
    <xf numFmtId="0" fontId="85" fillId="18" borderId="0" applyNumberFormat="0" applyBorder="0" applyAlignment="0" applyProtection="0"/>
    <xf numFmtId="0" fontId="86" fillId="23" borderId="0" applyNumberFormat="0" applyBorder="0" applyAlignment="0" applyProtection="0"/>
    <xf numFmtId="0" fontId="87" fillId="47" borderId="0" applyNumberFormat="0" applyBorder="0" applyAlignment="0" applyProtection="0"/>
    <xf numFmtId="37" fontId="88" fillId="0" borderId="0"/>
    <xf numFmtId="0" fontId="51" fillId="22" borderId="0" applyNumberFormat="0" applyFont="0" applyFill="0" applyBorder="0" applyAlignment="0"/>
    <xf numFmtId="10" fontId="12" fillId="22" borderId="0"/>
    <xf numFmtId="180" fontId="89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33" fillId="51" borderId="0"/>
    <xf numFmtId="0" fontId="37" fillId="46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52" borderId="0"/>
    <xf numFmtId="0" fontId="8" fillId="52" borderId="0"/>
    <xf numFmtId="0" fontId="8" fillId="0" borderId="0"/>
    <xf numFmtId="0" fontId="8" fillId="0" borderId="0"/>
    <xf numFmtId="0" fontId="33" fillId="51" borderId="0"/>
    <xf numFmtId="0" fontId="33" fillId="51" borderId="0"/>
    <xf numFmtId="0" fontId="33" fillId="51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33" fillId="51" borderId="0"/>
    <xf numFmtId="0" fontId="8" fillId="0" borderId="0"/>
    <xf numFmtId="0" fontId="8" fillId="0" borderId="0"/>
    <xf numFmtId="0" fontId="33" fillId="51" borderId="0"/>
    <xf numFmtId="0" fontId="10" fillId="0" borderId="0"/>
    <xf numFmtId="0" fontId="1" fillId="0" borderId="0"/>
    <xf numFmtId="0" fontId="1" fillId="0" borderId="0"/>
    <xf numFmtId="0" fontId="8" fillId="0" borderId="0">
      <alignment vertical="top"/>
    </xf>
    <xf numFmtId="0" fontId="8" fillId="0" borderId="0">
      <alignment vertical="top"/>
    </xf>
    <xf numFmtId="0" fontId="33" fillId="51" borderId="0"/>
    <xf numFmtId="0" fontId="33" fillId="51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/>
    <xf numFmtId="0" fontId="8" fillId="0" borderId="0"/>
    <xf numFmtId="0" fontId="8" fillId="0" borderId="0"/>
    <xf numFmtId="0" fontId="33" fillId="4" borderId="3" applyNumberFormat="0" applyFont="0" applyAlignment="0" applyProtection="0"/>
    <xf numFmtId="0" fontId="12" fillId="20" borderId="28" applyNumberFormat="0" applyFont="0" applyAlignment="0" applyProtection="0"/>
    <xf numFmtId="0" fontId="91" fillId="20" borderId="28" applyNumberFormat="0" applyFont="0" applyAlignment="0" applyProtection="0"/>
    <xf numFmtId="0" fontId="33" fillId="4" borderId="3" applyNumberFormat="0" applyFont="0" applyAlignment="0" applyProtection="0"/>
    <xf numFmtId="0" fontId="92" fillId="0" borderId="0"/>
    <xf numFmtId="0" fontId="10" fillId="20" borderId="28" applyNumberFormat="0" applyFont="0" applyAlignment="0" applyProtection="0"/>
    <xf numFmtId="0" fontId="10" fillId="20" borderId="28" applyNumberFormat="0" applyFont="0" applyAlignment="0" applyProtection="0"/>
    <xf numFmtId="0" fontId="10" fillId="20" borderId="28" applyNumberFormat="0" applyFont="0" applyAlignment="0" applyProtection="0"/>
    <xf numFmtId="0" fontId="10" fillId="20" borderId="28" applyNumberFormat="0" applyFont="0" applyAlignment="0" applyProtection="0"/>
    <xf numFmtId="0" fontId="10" fillId="20" borderId="28" applyNumberFormat="0" applyFont="0" applyAlignment="0" applyProtection="0"/>
    <xf numFmtId="0" fontId="10" fillId="20" borderId="28" applyNumberFormat="0" applyFont="0" applyAlignment="0" applyProtection="0"/>
    <xf numFmtId="0" fontId="33" fillId="4" borderId="3" applyNumberFormat="0" applyFont="0" applyAlignment="0" applyProtection="0"/>
    <xf numFmtId="0" fontId="37" fillId="4" borderId="3" applyNumberFormat="0" applyFont="0" applyAlignment="0" applyProtection="0"/>
    <xf numFmtId="0" fontId="37" fillId="4" borderId="3" applyNumberFormat="0" applyFont="0" applyAlignment="0" applyProtection="0"/>
    <xf numFmtId="0" fontId="37" fillId="4" borderId="3" applyNumberFormat="0" applyFont="0" applyAlignment="0" applyProtection="0"/>
    <xf numFmtId="0" fontId="37" fillId="4" borderId="3" applyNumberFormat="0" applyFont="0" applyAlignment="0" applyProtection="0"/>
    <xf numFmtId="0" fontId="33" fillId="4" borderId="3" applyNumberFormat="0" applyFont="0" applyAlignment="0" applyProtection="0"/>
    <xf numFmtId="0" fontId="33" fillId="4" borderId="3" applyNumberFormat="0" applyFont="0" applyAlignment="0" applyProtection="0"/>
    <xf numFmtId="0" fontId="10" fillId="4" borderId="3" applyNumberFormat="0" applyFont="0" applyAlignment="0" applyProtection="0"/>
    <xf numFmtId="0" fontId="10" fillId="4" borderId="3" applyNumberFormat="0" applyFont="0" applyAlignment="0" applyProtection="0"/>
    <xf numFmtId="0" fontId="10" fillId="4" borderId="3" applyNumberFormat="0" applyFont="0" applyAlignment="0" applyProtection="0"/>
    <xf numFmtId="0" fontId="10" fillId="4" borderId="3" applyNumberFormat="0" applyFont="0" applyAlignment="0" applyProtection="0"/>
    <xf numFmtId="0" fontId="1" fillId="4" borderId="3" applyNumberFormat="0" applyFont="0" applyAlignment="0" applyProtection="0"/>
    <xf numFmtId="0" fontId="10" fillId="4" borderId="3" applyNumberFormat="0" applyFont="0" applyAlignment="0" applyProtection="0"/>
    <xf numFmtId="0" fontId="1" fillId="4" borderId="3" applyNumberFormat="0" applyFont="0" applyAlignment="0" applyProtection="0"/>
    <xf numFmtId="0" fontId="1" fillId="4" borderId="3" applyNumberFormat="0" applyFont="0" applyAlignment="0" applyProtection="0"/>
    <xf numFmtId="0" fontId="10" fillId="4" borderId="3" applyNumberFormat="0" applyFont="0" applyAlignment="0" applyProtection="0"/>
    <xf numFmtId="0" fontId="10" fillId="4" borderId="3" applyNumberFormat="0" applyFont="0" applyAlignment="0" applyProtection="0"/>
    <xf numFmtId="0" fontId="10" fillId="4" borderId="3" applyNumberFormat="0" applyFont="0" applyAlignment="0" applyProtection="0"/>
    <xf numFmtId="0" fontId="1" fillId="4" borderId="3" applyNumberFormat="0" applyFont="0" applyAlignment="0" applyProtection="0"/>
    <xf numFmtId="0" fontId="10" fillId="4" borderId="3" applyNumberFormat="0" applyFont="0" applyAlignment="0" applyProtection="0"/>
    <xf numFmtId="0" fontId="1" fillId="4" borderId="3" applyNumberFormat="0" applyFont="0" applyAlignment="0" applyProtection="0"/>
    <xf numFmtId="0" fontId="1" fillId="4" borderId="3" applyNumberFormat="0" applyFont="0" applyAlignment="0" applyProtection="0"/>
    <xf numFmtId="181" fontId="25" fillId="0" borderId="0">
      <alignment horizontal="center"/>
    </xf>
    <xf numFmtId="37" fontId="8" fillId="0" borderId="0"/>
    <xf numFmtId="182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3" fontId="93" fillId="0" borderId="0" applyNumberFormat="0" applyFill="0" applyBorder="0" applyAlignment="0" applyProtection="0"/>
    <xf numFmtId="184" fontId="25" fillId="0" borderId="0">
      <alignment horizontal="center"/>
    </xf>
    <xf numFmtId="0" fontId="33" fillId="58" borderId="0" applyNumberFormat="0" applyFont="0" applyBorder="0" applyAlignment="0" applyProtection="0"/>
    <xf numFmtId="0" fontId="37" fillId="58" borderId="0" applyNumberFormat="0" applyFont="0" applyBorder="0" applyAlignment="0" applyProtection="0"/>
    <xf numFmtId="0" fontId="37" fillId="58" borderId="0" applyNumberFormat="0" applyFont="0" applyBorder="0" applyAlignment="0" applyProtection="0"/>
    <xf numFmtId="0" fontId="37" fillId="58" borderId="0" applyNumberFormat="0" applyFont="0" applyBorder="0" applyAlignment="0" applyProtection="0"/>
    <xf numFmtId="0" fontId="37" fillId="58" borderId="0" applyNumberFormat="0" applyFont="0" applyBorder="0" applyAlignment="0" applyProtection="0"/>
    <xf numFmtId="0" fontId="33" fillId="58" borderId="0" applyNumberFormat="0" applyFont="0" applyBorder="0" applyAlignment="0" applyProtection="0"/>
    <xf numFmtId="0" fontId="93" fillId="0" borderId="29"/>
    <xf numFmtId="2" fontId="94" fillId="46" borderId="5">
      <alignment horizontal="left"/>
    </xf>
    <xf numFmtId="0" fontId="95" fillId="22" borderId="30" applyNumberFormat="0" applyAlignment="0" applyProtection="0"/>
    <xf numFmtId="0" fontId="96" fillId="24" borderId="30" applyNumberFormat="0" applyAlignment="0" applyProtection="0"/>
    <xf numFmtId="0" fontId="97" fillId="26" borderId="30" applyNumberFormat="0" applyAlignment="0" applyProtection="0"/>
    <xf numFmtId="0" fontId="3" fillId="3" borderId="2" applyNumberFormat="0" applyAlignment="0" applyProtection="0"/>
    <xf numFmtId="40" fontId="12" fillId="46" borderId="0">
      <alignment horizontal="right"/>
    </xf>
    <xf numFmtId="0" fontId="98" fillId="57" borderId="0">
      <alignment horizontal="center"/>
    </xf>
    <xf numFmtId="0" fontId="41" fillId="59" borderId="5"/>
    <xf numFmtId="0" fontId="99" fillId="0" borderId="0" applyBorder="0">
      <alignment horizontal="centerContinuous"/>
    </xf>
    <xf numFmtId="0" fontId="100" fillId="0" borderId="0" applyBorder="0">
      <alignment horizontal="centerContinuous"/>
    </xf>
    <xf numFmtId="0" fontId="63" fillId="0" borderId="0"/>
    <xf numFmtId="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01" fillId="0" borderId="0" applyFont="0" applyFill="0" applyBorder="0" applyAlignment="0" applyProtection="0"/>
    <xf numFmtId="185" fontId="26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93" fillId="0" borderId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7" fontId="8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186" fontId="25" fillId="0" borderId="0">
      <alignment horizontal="center"/>
    </xf>
    <xf numFmtId="187" fontId="25" fillId="0" borderId="4">
      <alignment horizontal="center"/>
    </xf>
    <xf numFmtId="0" fontId="102" fillId="0" borderId="31" applyAlignment="0">
      <alignment horizontal="center"/>
    </xf>
    <xf numFmtId="0" fontId="103" fillId="56" borderId="0"/>
    <xf numFmtId="0" fontId="53" fillId="0" borderId="0" applyNumberFormat="0" applyFont="0" applyFill="0" applyBorder="0" applyAlignment="0" applyProtection="0">
      <alignment horizontal="left"/>
    </xf>
    <xf numFmtId="0" fontId="104" fillId="0" borderId="32">
      <alignment horizontal="center"/>
    </xf>
    <xf numFmtId="0" fontId="50" fillId="0" borderId="0">
      <alignment vertical="top"/>
    </xf>
    <xf numFmtId="188" fontId="50" fillId="0" borderId="0">
      <alignment vertical="top"/>
    </xf>
    <xf numFmtId="0" fontId="102" fillId="0" borderId="0">
      <alignment horizontal="left"/>
    </xf>
    <xf numFmtId="0" fontId="102" fillId="0" borderId="0">
      <alignment horizontal="right"/>
    </xf>
    <xf numFmtId="0" fontId="12" fillId="0" borderId="5" applyNumberFormat="0" applyBorder="0" applyAlignment="0"/>
    <xf numFmtId="189" fontId="105" fillId="0" borderId="0" applyNumberFormat="0" applyFill="0" applyBorder="0" applyAlignment="0" applyProtection="0">
      <alignment horizontal="left"/>
    </xf>
    <xf numFmtId="0" fontId="51" fillId="43" borderId="0">
      <alignment horizontal="left"/>
    </xf>
    <xf numFmtId="0" fontId="106" fillId="0" borderId="33"/>
    <xf numFmtId="187" fontId="22" fillId="20" borderId="0">
      <alignment horizontal="center"/>
    </xf>
    <xf numFmtId="187" fontId="107" fillId="20" borderId="0">
      <alignment horizontal="center"/>
    </xf>
    <xf numFmtId="187" fontId="22" fillId="21" borderId="0">
      <alignment horizontal="center"/>
    </xf>
    <xf numFmtId="0" fontId="22" fillId="20" borderId="0">
      <alignment horizontal="left"/>
    </xf>
    <xf numFmtId="0" fontId="108" fillId="0" borderId="0" applyFont="0" applyFill="0" applyBorder="0" applyAlignment="0" applyProtection="0"/>
    <xf numFmtId="190" fontId="26" fillId="0" borderId="0" applyFont="0" applyFill="0" applyBorder="0" applyAlignment="0" applyProtection="0"/>
    <xf numFmtId="191" fontId="8" fillId="0" borderId="0"/>
    <xf numFmtId="0" fontId="8" fillId="0" borderId="0"/>
    <xf numFmtId="0" fontId="8" fillId="0" borderId="0">
      <alignment horizontal="left" wrapText="1"/>
    </xf>
    <xf numFmtId="0" fontId="22" fillId="20" borderId="0">
      <alignment horizontal="center"/>
    </xf>
    <xf numFmtId="0" fontId="102" fillId="0" borderId="0"/>
    <xf numFmtId="0" fontId="109" fillId="0" borderId="0"/>
    <xf numFmtId="40" fontId="110" fillId="0" borderId="0" applyBorder="0">
      <alignment horizontal="right"/>
    </xf>
    <xf numFmtId="0" fontId="8" fillId="46" borderId="28"/>
    <xf numFmtId="0" fontId="25" fillId="0" borderId="0">
      <alignment horizontal="center"/>
    </xf>
    <xf numFmtId="15" fontId="25" fillId="0" borderId="0">
      <alignment horizontal="center"/>
    </xf>
    <xf numFmtId="0" fontId="111" fillId="0" borderId="0">
      <alignment horizontal="center"/>
    </xf>
    <xf numFmtId="3" fontId="25" fillId="0" borderId="0">
      <alignment horizontal="center"/>
    </xf>
    <xf numFmtId="192" fontId="25" fillId="0" borderId="0">
      <alignment horizontal="center"/>
    </xf>
    <xf numFmtId="187" fontId="25" fillId="0" borderId="0">
      <alignment horizontal="center"/>
    </xf>
    <xf numFmtId="0" fontId="112" fillId="60" borderId="0"/>
    <xf numFmtId="193" fontId="25" fillId="0" borderId="0">
      <alignment horizontal="center"/>
    </xf>
    <xf numFmtId="193" fontId="25" fillId="0" borderId="34">
      <alignment horizontal="center"/>
    </xf>
    <xf numFmtId="0" fontId="25" fillId="0" borderId="0">
      <alignment horizontal="left"/>
    </xf>
    <xf numFmtId="0" fontId="113" fillId="0" borderId="0">
      <alignment horizontal="center"/>
    </xf>
    <xf numFmtId="0" fontId="114" fillId="0" borderId="0" applyNumberFormat="0" applyFill="0" applyBorder="0"/>
    <xf numFmtId="0" fontId="12" fillId="22" borderId="0"/>
    <xf numFmtId="49" fontId="12" fillId="0" borderId="0" applyFill="0" applyBorder="0" applyAlignment="0"/>
    <xf numFmtId="0" fontId="25" fillId="0" borderId="0" applyFill="0" applyBorder="0" applyAlignment="0"/>
    <xf numFmtId="168" fontId="8" fillId="0" borderId="0" applyFill="0" applyBorder="0" applyAlignment="0"/>
    <xf numFmtId="0" fontId="8" fillId="0" borderId="0" applyFill="0" applyBorder="0" applyAlignment="0"/>
    <xf numFmtId="170" fontId="8" fillId="0" borderId="0" applyFill="0" applyBorder="0" applyAlignment="0"/>
    <xf numFmtId="49" fontId="8" fillId="0" borderId="0"/>
    <xf numFmtId="0" fontId="115" fillId="0" borderId="0">
      <alignment horizontal="right"/>
    </xf>
    <xf numFmtId="0" fontId="116" fillId="0" borderId="0">
      <alignment horizontal="right"/>
      <protection locked="0"/>
    </xf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9" fillId="22" borderId="0"/>
    <xf numFmtId="0" fontId="33" fillId="61" borderId="35" applyBorder="0">
      <alignment horizontal="center" wrapText="1"/>
    </xf>
    <xf numFmtId="0" fontId="32" fillId="49" borderId="9" applyBorder="0">
      <alignment horizontal="center" wrapText="1"/>
    </xf>
    <xf numFmtId="0" fontId="32" fillId="49" borderId="9" applyBorder="0">
      <alignment horizontal="center" wrapText="1"/>
    </xf>
    <xf numFmtId="0" fontId="37" fillId="57" borderId="35" applyBorder="0">
      <alignment horizontal="center" wrapText="1"/>
    </xf>
    <xf numFmtId="0" fontId="33" fillId="62" borderId="9" applyBorder="0">
      <alignment horizontal="center" wrapText="1"/>
    </xf>
    <xf numFmtId="0" fontId="32" fillId="50" borderId="9" applyBorder="0">
      <alignment horizontal="center" wrapText="1"/>
    </xf>
    <xf numFmtId="0" fontId="33" fillId="62" borderId="9" applyBorder="0">
      <alignment horizontal="center" wrapText="1"/>
    </xf>
    <xf numFmtId="0" fontId="37" fillId="46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32" fillId="65" borderId="9" applyBorder="0">
      <alignment horizontal="center" wrapText="1"/>
    </xf>
    <xf numFmtId="0" fontId="32" fillId="65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7" fillId="63" borderId="9" applyBorder="0">
      <alignment horizontal="center" wrapText="1"/>
    </xf>
    <xf numFmtId="0" fontId="11" fillId="64" borderId="9" applyBorder="0">
      <alignment horizontal="center" wrapText="1"/>
    </xf>
    <xf numFmtId="0" fontId="11" fillId="64" borderId="9" applyBorder="0">
      <alignment horizontal="center" wrapText="1"/>
    </xf>
    <xf numFmtId="0" fontId="102" fillId="0" borderId="0" applyNumberFormat="0" applyFill="0" applyBorder="0" applyAlignment="0" applyProtection="0"/>
    <xf numFmtId="0" fontId="120" fillId="0" borderId="36" applyNumberFormat="0" applyFill="0" applyAlignment="0" applyProtection="0"/>
    <xf numFmtId="0" fontId="19" fillId="0" borderId="37" applyNumberFormat="0" applyFill="0" applyAlignment="0" applyProtection="0"/>
    <xf numFmtId="0" fontId="8" fillId="0" borderId="38" applyNumberFormat="0" applyFill="0" applyAlignment="0" applyProtection="0"/>
    <xf numFmtId="0" fontId="121" fillId="0" borderId="39" applyNumberFormat="0" applyFill="0" applyAlignment="0" applyProtection="0"/>
    <xf numFmtId="0" fontId="121" fillId="0" borderId="39" applyNumberFormat="0" applyFill="0" applyAlignment="0" applyProtection="0"/>
    <xf numFmtId="0" fontId="121" fillId="0" borderId="39" applyNumberFormat="0" applyFill="0" applyAlignment="0" applyProtection="0"/>
    <xf numFmtId="0" fontId="122" fillId="22" borderId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" fontId="126" fillId="51" borderId="12"/>
    <xf numFmtId="1" fontId="126" fillId="52" borderId="12"/>
    <xf numFmtId="1" fontId="126" fillId="52" borderId="12"/>
    <xf numFmtId="2" fontId="127" fillId="52" borderId="12"/>
    <xf numFmtId="0" fontId="128" fillId="51" borderId="11" applyNumberFormat="0" applyAlignment="0"/>
    <xf numFmtId="0" fontId="128" fillId="51" borderId="11" applyNumberFormat="0" applyAlignment="0"/>
    <xf numFmtId="0" fontId="129" fillId="52" borderId="11" applyNumberFormat="0" applyAlignment="0"/>
    <xf numFmtId="1" fontId="130" fillId="52" borderId="12" applyNumberFormat="0"/>
    <xf numFmtId="176" fontId="131" fillId="52" borderId="12" applyNumberFormat="0"/>
    <xf numFmtId="0" fontId="8" fillId="0" borderId="0"/>
  </cellStyleXfs>
  <cellXfs count="10">
    <xf numFmtId="0" fontId="0" fillId="0" borderId="0" xfId="0"/>
    <xf numFmtId="194" fontId="0" fillId="0" borderId="0" xfId="1" applyNumberFormat="1" applyFont="1"/>
    <xf numFmtId="0" fontId="0" fillId="0" borderId="0" xfId="0"/>
    <xf numFmtId="10" fontId="0" fillId="0" borderId="0" xfId="1" applyNumberFormat="1" applyFont="1"/>
    <xf numFmtId="9" fontId="0" fillId="0" borderId="0" xfId="0" applyNumberFormat="1"/>
    <xf numFmtId="0" fontId="0" fillId="0" borderId="0" xfId="0" quotePrefix="1"/>
    <xf numFmtId="0" fontId="0" fillId="66" borderId="0" xfId="0" applyFill="1"/>
    <xf numFmtId="0" fontId="0" fillId="0" borderId="0" xfId="0" applyFill="1"/>
    <xf numFmtId="0" fontId="0" fillId="67" borderId="0" xfId="0" applyFill="1"/>
    <xf numFmtId="0" fontId="0" fillId="68" borderId="0" xfId="0" applyFill="1"/>
  </cellXfs>
  <cellStyles count="1049">
    <cellStyle name="_Bonds" xfId="2"/>
    <cellStyle name="_Bonds 2" xfId="3"/>
    <cellStyle name="_Offering" xfId="4"/>
    <cellStyle name="_Offering 2" xfId="5"/>
    <cellStyle name="£ BP" xfId="6"/>
    <cellStyle name="¥ JY" xfId="7"/>
    <cellStyle name="20% - Accent1 2" xfId="8"/>
    <cellStyle name="20% - Accent1 2 2" xfId="9"/>
    <cellStyle name="20% - Accent1 2 3" xfId="10"/>
    <cellStyle name="20% - Accent1 3" xfId="11"/>
    <cellStyle name="20% - Accent1 3 2" xfId="12"/>
    <cellStyle name="20% - Accent1 3 3" xfId="13"/>
    <cellStyle name="20% - Accent1 4" xfId="14"/>
    <cellStyle name="20% - Accent1 4 2" xfId="15"/>
    <cellStyle name="20% - Accent1 4 2 2" xfId="16"/>
    <cellStyle name="20% - Accent1 4 3" xfId="17"/>
    <cellStyle name="20% - Accent1 4 3 2" xfId="18"/>
    <cellStyle name="20% - Accent1 4 4" xfId="19"/>
    <cellStyle name="20% - Accent1 4_Primary vs Secondary Spread Oct 3" xfId="20"/>
    <cellStyle name="20% - Accent1 5" xfId="21"/>
    <cellStyle name="20% - Accent2 2" xfId="22"/>
    <cellStyle name="20% - Accent2 3" xfId="23"/>
    <cellStyle name="20% - Accent2 4" xfId="24"/>
    <cellStyle name="20% - Accent2 4 2" xfId="25"/>
    <cellStyle name="20% - Accent2 4 2 2" xfId="26"/>
    <cellStyle name="20% - Accent2 4 3" xfId="27"/>
    <cellStyle name="20% - Accent2 4 3 2" xfId="28"/>
    <cellStyle name="20% - Accent2 4 4" xfId="29"/>
    <cellStyle name="20% - Accent2 4_Primary vs Secondary Spread Oct 3" xfId="30"/>
    <cellStyle name="20% - Accent2 5" xfId="31"/>
    <cellStyle name="20% - Accent3 2" xfId="32"/>
    <cellStyle name="20% - Accent3 3" xfId="33"/>
    <cellStyle name="20% - Accent3 4" xfId="34"/>
    <cellStyle name="20% - Accent3 4 2" xfId="35"/>
    <cellStyle name="20% - Accent3 4 2 2" xfId="36"/>
    <cellStyle name="20% - Accent3 4 3" xfId="37"/>
    <cellStyle name="20% - Accent3 4 3 2" xfId="38"/>
    <cellStyle name="20% - Accent3 4 4" xfId="39"/>
    <cellStyle name="20% - Accent3 4_Primary vs Secondary Spread Oct 3" xfId="40"/>
    <cellStyle name="20% - Accent3 5" xfId="41"/>
    <cellStyle name="20% - Accent4 2" xfId="42"/>
    <cellStyle name="20% - Accent4 3" xfId="43"/>
    <cellStyle name="20% - Accent4 4" xfId="44"/>
    <cellStyle name="20% - Accent4 4 2" xfId="45"/>
    <cellStyle name="20% - Accent4 4 2 2" xfId="46"/>
    <cellStyle name="20% - Accent4 4 3" xfId="47"/>
    <cellStyle name="20% - Accent4 4 3 2" xfId="48"/>
    <cellStyle name="20% - Accent4 4 4" xfId="49"/>
    <cellStyle name="20% - Accent4 4_Primary vs Secondary Spread Oct 3" xfId="50"/>
    <cellStyle name="20% - Accent4 5" xfId="51"/>
    <cellStyle name="20% - Accent5 2" xfId="52"/>
    <cellStyle name="20% - Accent5 3" xfId="53"/>
    <cellStyle name="20% - Accent5 4" xfId="54"/>
    <cellStyle name="20% - Accent5 4 2" xfId="55"/>
    <cellStyle name="20% - Accent5 4 2 2" xfId="56"/>
    <cellStyle name="20% - Accent5 4 3" xfId="57"/>
    <cellStyle name="20% - Accent5 4 3 2" xfId="58"/>
    <cellStyle name="20% - Accent5 4 4" xfId="59"/>
    <cellStyle name="20% - Accent5 4_Primary vs Secondary Spread Oct 3" xfId="60"/>
    <cellStyle name="20% - Accent5 5" xfId="61"/>
    <cellStyle name="20% - Accent6 2" xfId="62"/>
    <cellStyle name="20% - Accent6 3" xfId="63"/>
    <cellStyle name="20% - Accent6 4" xfId="64"/>
    <cellStyle name="20% - Accent6 4 2" xfId="65"/>
    <cellStyle name="20% - Accent6 4 2 2" xfId="66"/>
    <cellStyle name="20% - Accent6 4 3" xfId="67"/>
    <cellStyle name="20% - Accent6 4 3 2" xfId="68"/>
    <cellStyle name="20% - Accent6 4 4" xfId="69"/>
    <cellStyle name="20% - Accent6 4_Primary vs Secondary Spread Oct 3" xfId="70"/>
    <cellStyle name="20% - Accent6 5" xfId="71"/>
    <cellStyle name="40% - Accent1 2" xfId="72"/>
    <cellStyle name="40% - Accent1 3" xfId="73"/>
    <cellStyle name="40% - Accent1 4" xfId="74"/>
    <cellStyle name="40% - Accent1 4 2" xfId="75"/>
    <cellStyle name="40% - Accent1 4 2 2" xfId="76"/>
    <cellStyle name="40% - Accent1 4 3" xfId="77"/>
    <cellStyle name="40% - Accent1 4 3 2" xfId="78"/>
    <cellStyle name="40% - Accent1 4 4" xfId="79"/>
    <cellStyle name="40% - Accent1 4_Primary vs Secondary Spread Oct 3" xfId="80"/>
    <cellStyle name="40% - Accent1 5" xfId="81"/>
    <cellStyle name="40% - Accent2 2" xfId="82"/>
    <cellStyle name="40% - Accent2 3" xfId="83"/>
    <cellStyle name="40% - Accent2 4" xfId="84"/>
    <cellStyle name="40% - Accent2 4 2" xfId="85"/>
    <cellStyle name="40% - Accent2 4 2 2" xfId="86"/>
    <cellStyle name="40% - Accent2 4 3" xfId="87"/>
    <cellStyle name="40% - Accent2 4 3 2" xfId="88"/>
    <cellStyle name="40% - Accent2 4 4" xfId="89"/>
    <cellStyle name="40% - Accent2 4_Primary vs Secondary Spread Oct 3" xfId="90"/>
    <cellStyle name="40% - Accent2 5" xfId="91"/>
    <cellStyle name="40% - Accent3 2" xfId="92"/>
    <cellStyle name="40% - Accent3 3" xfId="93"/>
    <cellStyle name="40% - Accent3 4" xfId="94"/>
    <cellStyle name="40% - Accent3 4 2" xfId="95"/>
    <cellStyle name="40% - Accent3 4 2 2" xfId="96"/>
    <cellStyle name="40% - Accent3 4 3" xfId="97"/>
    <cellStyle name="40% - Accent3 4 3 2" xfId="98"/>
    <cellStyle name="40% - Accent3 4 4" xfId="99"/>
    <cellStyle name="40% - Accent3 4_Primary vs Secondary Spread Oct 3" xfId="100"/>
    <cellStyle name="40% - Accent3 5" xfId="101"/>
    <cellStyle name="40% - Accent4 2" xfId="102"/>
    <cellStyle name="40% - Accent4 3" xfId="103"/>
    <cellStyle name="40% - Accent4 4" xfId="104"/>
    <cellStyle name="40% - Accent4 4 2" xfId="105"/>
    <cellStyle name="40% - Accent4 4 2 2" xfId="106"/>
    <cellStyle name="40% - Accent4 4 3" xfId="107"/>
    <cellStyle name="40% - Accent4 4 3 2" xfId="108"/>
    <cellStyle name="40% - Accent4 4 4" xfId="109"/>
    <cellStyle name="40% - Accent4 4_Primary vs Secondary Spread Oct 3" xfId="110"/>
    <cellStyle name="40% - Accent4 5" xfId="111"/>
    <cellStyle name="40% - Accent5 2" xfId="112"/>
    <cellStyle name="40% - Accent5 3" xfId="113"/>
    <cellStyle name="40% - Accent5 4" xfId="114"/>
    <cellStyle name="40% - Accent5 4 2" xfId="115"/>
    <cellStyle name="40% - Accent5 4 2 2" xfId="116"/>
    <cellStyle name="40% - Accent5 4 3" xfId="117"/>
    <cellStyle name="40% - Accent5 4 3 2" xfId="118"/>
    <cellStyle name="40% - Accent5 4 4" xfId="119"/>
    <cellStyle name="40% - Accent5 4_Primary vs Secondary Spread Oct 3" xfId="120"/>
    <cellStyle name="40% - Accent5 5" xfId="121"/>
    <cellStyle name="40% - Accent6 2" xfId="122"/>
    <cellStyle name="40% - Accent6 3" xfId="123"/>
    <cellStyle name="40% - Accent6 4" xfId="124"/>
    <cellStyle name="40% - Accent6 4 2" xfId="125"/>
    <cellStyle name="40% - Accent6 4 2 2" xfId="126"/>
    <cellStyle name="40% - Accent6 4 3" xfId="127"/>
    <cellStyle name="40% - Accent6 4 3 2" xfId="128"/>
    <cellStyle name="40% - Accent6 4 4" xfId="129"/>
    <cellStyle name="40% - Accent6 4_Primary vs Secondary Spread Oct 3" xfId="130"/>
    <cellStyle name="40% - Accent6 5" xfId="131"/>
    <cellStyle name="60% - Accent1 2" xfId="132"/>
    <cellStyle name="60% - Accent1 3" xfId="133"/>
    <cellStyle name="60% - Accent1 4" xfId="134"/>
    <cellStyle name="60% - Accent2 2" xfId="135"/>
    <cellStyle name="60% - Accent2 3" xfId="136"/>
    <cellStyle name="60% - Accent2 4" xfId="137"/>
    <cellStyle name="60% - Accent3 2" xfId="138"/>
    <cellStyle name="60% - Accent3 3" xfId="139"/>
    <cellStyle name="60% - Accent3 4" xfId="140"/>
    <cellStyle name="60% - Accent4 2" xfId="141"/>
    <cellStyle name="60% - Accent4 3" xfId="142"/>
    <cellStyle name="60% - Accent4 4" xfId="143"/>
    <cellStyle name="60% - Accent5 2" xfId="144"/>
    <cellStyle name="60% - Accent5 3" xfId="145"/>
    <cellStyle name="60% - Accent5 4" xfId="146"/>
    <cellStyle name="60% - Accent6 2" xfId="147"/>
    <cellStyle name="60% - Accent6 3" xfId="148"/>
    <cellStyle name="60% - Accent6 4" xfId="149"/>
    <cellStyle name="Accent1 2" xfId="150"/>
    <cellStyle name="Accent1 3" xfId="151"/>
    <cellStyle name="Accent1 4" xfId="152"/>
    <cellStyle name="Accent2 2" xfId="153"/>
    <cellStyle name="Accent2 3" xfId="154"/>
    <cellStyle name="Accent2 4" xfId="155"/>
    <cellStyle name="Accent3 2" xfId="156"/>
    <cellStyle name="Accent3 3" xfId="157"/>
    <cellStyle name="Accent3 4" xfId="158"/>
    <cellStyle name="Accent4 2" xfId="159"/>
    <cellStyle name="Accent4 3" xfId="160"/>
    <cellStyle name="Accent4 4" xfId="161"/>
    <cellStyle name="Accent5 2" xfId="162"/>
    <cellStyle name="Accent5 3" xfId="163"/>
    <cellStyle name="Accent5 4" xfId="164"/>
    <cellStyle name="Accent6 2" xfId="165"/>
    <cellStyle name="Accent6 3" xfId="166"/>
    <cellStyle name="Accent6 4" xfId="167"/>
    <cellStyle name="Auto_OpenAuto_CloseExtractD_Sheet1" xfId="168"/>
    <cellStyle name="Axis.EffectiveDate" xfId="169"/>
    <cellStyle name="Axis.Seasoning" xfId="170"/>
    <cellStyle name="Bad 2" xfId="171"/>
    <cellStyle name="Bad 3" xfId="172"/>
    <cellStyle name="Bad 4" xfId="173"/>
    <cellStyle name="Big Money" xfId="174"/>
    <cellStyle name="Blue" xfId="175"/>
    <cellStyle name="blue axis cells" xfId="176"/>
    <cellStyle name="blue text cells" xfId="177"/>
    <cellStyle name="Body" xfId="178"/>
    <cellStyle name="Bold/Border" xfId="179"/>
    <cellStyle name="Border" xfId="180"/>
    <cellStyle name="Bullet" xfId="181"/>
    <cellStyle name="Calc Currency (0)" xfId="182"/>
    <cellStyle name="Calc Currency (0) 2" xfId="183"/>
    <cellStyle name="Calc Currency (2)" xfId="184"/>
    <cellStyle name="Calc Currency (2) 2" xfId="185"/>
    <cellStyle name="Calc Percent (0)" xfId="186"/>
    <cellStyle name="Calc Percent (0) 2" xfId="187"/>
    <cellStyle name="Calc Percent (1)" xfId="188"/>
    <cellStyle name="Calc Percent (1) 2" xfId="189"/>
    <cellStyle name="Calc Percent (2)" xfId="190"/>
    <cellStyle name="Calc Percent (2) 2" xfId="191"/>
    <cellStyle name="Calc Units (0)" xfId="192"/>
    <cellStyle name="Calc Units (0) 2" xfId="193"/>
    <cellStyle name="Calc Units (1)" xfId="194"/>
    <cellStyle name="Calc Units (1) 2" xfId="195"/>
    <cellStyle name="Calc Units (2)" xfId="196"/>
    <cellStyle name="Calc Units (2) 2" xfId="197"/>
    <cellStyle name="Calculation 2" xfId="198"/>
    <cellStyle name="Calculation 3" xfId="199"/>
    <cellStyle name="Calculation 4" xfId="200"/>
    <cellStyle name="Calculation 5" xfId="201"/>
    <cellStyle name="Calculation 6" xfId="202"/>
    <cellStyle name="CCM Input" xfId="203"/>
    <cellStyle name="CCM Title Calculations" xfId="204"/>
    <cellStyle name="CCM Title Indicative" xfId="205"/>
    <cellStyle name="Cello Calculation" xfId="206"/>
    <cellStyle name="Cello Calculation 2" xfId="207"/>
    <cellStyle name="Cello Calculation 2 2" xfId="208"/>
    <cellStyle name="Cello Calculation 2 3" xfId="209"/>
    <cellStyle name="Cello Calculation 2_Primary vs Secondary Spread Oct 3" xfId="210"/>
    <cellStyle name="Cello Calculation 3" xfId="211"/>
    <cellStyle name="Cello Calculation 4" xfId="212"/>
    <cellStyle name="Cello Calculation_Primary vs Secondary Spread Oct 3" xfId="213"/>
    <cellStyle name="Cello Input" xfId="214"/>
    <cellStyle name="Cello Input 2" xfId="215"/>
    <cellStyle name="Cello Input 2 2" xfId="216"/>
    <cellStyle name="Cello Input 2 3" xfId="217"/>
    <cellStyle name="Cello Input 2 4" xfId="218"/>
    <cellStyle name="Cello Input 2 5" xfId="219"/>
    <cellStyle name="Cello Input 2_Primary vs Secondary Spread Oct 3" xfId="220"/>
    <cellStyle name="Cello Input 3" xfId="221"/>
    <cellStyle name="Cello Input 4" xfId="222"/>
    <cellStyle name="Cello Linked Cell" xfId="223"/>
    <cellStyle name="Cello Linked Cell 2" xfId="224"/>
    <cellStyle name="Cello Linked Cell 2 2" xfId="225"/>
    <cellStyle name="Cello Linked Cell 3" xfId="226"/>
    <cellStyle name="Check Cell 2" xfId="227"/>
    <cellStyle name="Check Cell 3" xfId="228"/>
    <cellStyle name="Check Cell 4" xfId="229"/>
    <cellStyle name="Co. Names" xfId="230"/>
    <cellStyle name="Comma  - Style1" xfId="231"/>
    <cellStyle name="Comma  - Style1 2" xfId="232"/>
    <cellStyle name="Comma  - Style2" xfId="233"/>
    <cellStyle name="Comma  - Style2 2" xfId="234"/>
    <cellStyle name="Comma  - Style3" xfId="235"/>
    <cellStyle name="Comma  - Style3 2" xfId="236"/>
    <cellStyle name="Comma  - Style4" xfId="237"/>
    <cellStyle name="Comma  - Style4 2" xfId="238"/>
    <cellStyle name="Comma  - Style5" xfId="239"/>
    <cellStyle name="Comma  - Style5 2" xfId="240"/>
    <cellStyle name="Comma  - Style6" xfId="241"/>
    <cellStyle name="Comma  - Style6 2" xfId="242"/>
    <cellStyle name="Comma  - Style7" xfId="243"/>
    <cellStyle name="Comma  - Style7 2" xfId="244"/>
    <cellStyle name="Comma  - Style8" xfId="245"/>
    <cellStyle name="Comma  - Style8 2" xfId="246"/>
    <cellStyle name="Comma [00]" xfId="247"/>
    <cellStyle name="Comma [00] 2" xfId="248"/>
    <cellStyle name="Comma 10" xfId="249"/>
    <cellStyle name="Comma 11" xfId="250"/>
    <cellStyle name="Comma 12" xfId="251"/>
    <cellStyle name="Comma 13" xfId="252"/>
    <cellStyle name="Comma 14" xfId="253"/>
    <cellStyle name="Comma 15" xfId="254"/>
    <cellStyle name="Comma 16" xfId="255"/>
    <cellStyle name="Comma 16 2" xfId="256"/>
    <cellStyle name="Comma 17" xfId="257"/>
    <cellStyle name="Comma 18" xfId="258"/>
    <cellStyle name="Comma 19" xfId="259"/>
    <cellStyle name="Comma 2" xfId="260"/>
    <cellStyle name="Comma 20" xfId="261"/>
    <cellStyle name="Comma 21" xfId="262"/>
    <cellStyle name="Comma 22" xfId="263"/>
    <cellStyle name="Comma 23" xfId="264"/>
    <cellStyle name="Comma 24" xfId="265"/>
    <cellStyle name="Comma 25" xfId="266"/>
    <cellStyle name="Comma 26" xfId="267"/>
    <cellStyle name="Comma 27" xfId="268"/>
    <cellStyle name="Comma 28" xfId="269"/>
    <cellStyle name="Comma 29" xfId="270"/>
    <cellStyle name="Comma 29 2" xfId="271"/>
    <cellStyle name="Comma 29 2 2" xfId="272"/>
    <cellStyle name="Comma 29 3" xfId="273"/>
    <cellStyle name="Comma 29 3 2" xfId="274"/>
    <cellStyle name="Comma 29 4" xfId="275"/>
    <cellStyle name="Comma 29 5" xfId="276"/>
    <cellStyle name="Comma 3" xfId="277"/>
    <cellStyle name="Comma 30" xfId="278"/>
    <cellStyle name="Comma 31" xfId="279"/>
    <cellStyle name="Comma 32" xfId="280"/>
    <cellStyle name="Comma 33" xfId="281"/>
    <cellStyle name="Comma 34" xfId="282"/>
    <cellStyle name="Comma 35" xfId="283"/>
    <cellStyle name="Comma 4" xfId="284"/>
    <cellStyle name="Comma 4 2" xfId="285"/>
    <cellStyle name="Comma 5" xfId="286"/>
    <cellStyle name="Comma 6" xfId="287"/>
    <cellStyle name="Comma 7" xfId="288"/>
    <cellStyle name="Comma 8" xfId="289"/>
    <cellStyle name="Comma 9" xfId="290"/>
    <cellStyle name="Comma0" xfId="291"/>
    <cellStyle name="Comma1 - Style1" xfId="292"/>
    <cellStyle name="Copied" xfId="293"/>
    <cellStyle name="CTDSwitchAnalysisHeader" xfId="294"/>
    <cellStyle name="Curren - Style2" xfId="295"/>
    <cellStyle name="Currency [00]" xfId="296"/>
    <cellStyle name="Currency [00] 2" xfId="297"/>
    <cellStyle name="Currency [2]" xfId="298"/>
    <cellStyle name="Currency 10" xfId="299"/>
    <cellStyle name="Currency 11" xfId="300"/>
    <cellStyle name="Currency 12" xfId="301"/>
    <cellStyle name="Currency 13" xfId="302"/>
    <cellStyle name="Currency 14" xfId="303"/>
    <cellStyle name="Currency 15" xfId="304"/>
    <cellStyle name="Currency 16" xfId="305"/>
    <cellStyle name="Currency 17" xfId="306"/>
    <cellStyle name="Currency 18" xfId="307"/>
    <cellStyle name="Currency 19" xfId="308"/>
    <cellStyle name="Currency 2" xfId="309"/>
    <cellStyle name="Currency 20" xfId="310"/>
    <cellStyle name="Currency 21" xfId="311"/>
    <cellStyle name="Currency 3" xfId="312"/>
    <cellStyle name="Currency 4" xfId="313"/>
    <cellStyle name="Currency 5" xfId="314"/>
    <cellStyle name="Currency 6" xfId="315"/>
    <cellStyle name="Currency 7" xfId="316"/>
    <cellStyle name="Currency 8" xfId="317"/>
    <cellStyle name="Currency 9" xfId="318"/>
    <cellStyle name="Currency0" xfId="319"/>
    <cellStyle name="Dash" xfId="320"/>
    <cellStyle name="Data.LongPercent" xfId="321"/>
    <cellStyle name="Data.NumPercent" xfId="322"/>
    <cellStyle name="Data.NumShortPercent" xfId="323"/>
    <cellStyle name="date" xfId="324"/>
    <cellStyle name="Date - Style3" xfId="325"/>
    <cellStyle name="Date 2" xfId="326"/>
    <cellStyle name="Date 3" xfId="327"/>
    <cellStyle name="Date 4" xfId="328"/>
    <cellStyle name="Date 5" xfId="329"/>
    <cellStyle name="Date 6" xfId="330"/>
    <cellStyle name="Date 7" xfId="331"/>
    <cellStyle name="Date Short" xfId="332"/>
    <cellStyle name="date title" xfId="333"/>
    <cellStyle name="Date_DV01" xfId="334"/>
    <cellStyle name="DateFormat" xfId="335"/>
    <cellStyle name="DBAHandle" xfId="336"/>
    <cellStyle name="DBAParameter" xfId="337"/>
    <cellStyle name="DELTA" xfId="338"/>
    <cellStyle name="DS 0" xfId="339"/>
    <cellStyle name="DS 1" xfId="340"/>
    <cellStyle name="DS 2" xfId="341"/>
    <cellStyle name="DS 3" xfId="342"/>
    <cellStyle name="DS 4" xfId="343"/>
    <cellStyle name="DS 5" xfId="344"/>
    <cellStyle name="DS 5 2" xfId="345"/>
    <cellStyle name="DS 6" xfId="346"/>
    <cellStyle name="Enter Currency (0)" xfId="347"/>
    <cellStyle name="Enter Currency (0) 2" xfId="348"/>
    <cellStyle name="Enter Currency (2)" xfId="349"/>
    <cellStyle name="Enter Currency (2) 2" xfId="350"/>
    <cellStyle name="Enter Units (0)" xfId="351"/>
    <cellStyle name="Enter Units (0) 2" xfId="352"/>
    <cellStyle name="Enter Units (1)" xfId="353"/>
    <cellStyle name="Enter Units (1) 2" xfId="354"/>
    <cellStyle name="Enter Units (2)" xfId="355"/>
    <cellStyle name="Enter Units (2) 2" xfId="356"/>
    <cellStyle name="Entered" xfId="357"/>
    <cellStyle name="Entries" xfId="358"/>
    <cellStyle name="Euro" xfId="359"/>
    <cellStyle name="Explanatory Text 2" xfId="360"/>
    <cellStyle name="Explanatory Text 3" xfId="361"/>
    <cellStyle name="Explanatory Text 4" xfId="362"/>
    <cellStyle name="Fixed" xfId="363"/>
    <cellStyle name="FullTime" xfId="364"/>
    <cellStyle name="General" xfId="365"/>
    <cellStyle name="Good 2" xfId="366"/>
    <cellStyle name="Good 3" xfId="367"/>
    <cellStyle name="Good 4" xfId="368"/>
    <cellStyle name="gray text cells" xfId="369"/>
    <cellStyle name="Grey" xfId="370"/>
    <cellStyle name="Header1" xfId="371"/>
    <cellStyle name="Header2" xfId="372"/>
    <cellStyle name="Heading" xfId="373"/>
    <cellStyle name="Heading 1 2" xfId="374"/>
    <cellStyle name="Heading 1 2 2" xfId="375"/>
    <cellStyle name="Heading 1 3" xfId="376"/>
    <cellStyle name="Heading 1 4" xfId="377"/>
    <cellStyle name="Heading 1 5" xfId="378"/>
    <cellStyle name="Heading 2 2" xfId="379"/>
    <cellStyle name="Heading 2 2 2" xfId="380"/>
    <cellStyle name="Heading 2 3" xfId="381"/>
    <cellStyle name="Heading 2 4" xfId="382"/>
    <cellStyle name="Heading 2 5" xfId="383"/>
    <cellStyle name="Heading 3 2" xfId="384"/>
    <cellStyle name="Heading 3 3" xfId="385"/>
    <cellStyle name="Heading 3 4" xfId="386"/>
    <cellStyle name="Heading 4 2" xfId="387"/>
    <cellStyle name="Heading 4 3" xfId="388"/>
    <cellStyle name="Heading 4 4" xfId="389"/>
    <cellStyle name="Heading 5" xfId="390"/>
    <cellStyle name="HEADING1" xfId="391"/>
    <cellStyle name="HEADING2" xfId="392"/>
    <cellStyle name="Hyperlink 2" xfId="393"/>
    <cellStyle name="Hyperlink 3" xfId="394"/>
    <cellStyle name="Input [yellow]" xfId="395"/>
    <cellStyle name="Input 10" xfId="396"/>
    <cellStyle name="Input 11" xfId="397"/>
    <cellStyle name="Input 12" xfId="398"/>
    <cellStyle name="Input 13" xfId="399"/>
    <cellStyle name="Input 14" xfId="400"/>
    <cellStyle name="Input 15" xfId="401"/>
    <cellStyle name="Input 2" xfId="402"/>
    <cellStyle name="Input 2 2" xfId="403"/>
    <cellStyle name="Input 2 3" xfId="404"/>
    <cellStyle name="Input 3" xfId="405"/>
    <cellStyle name="Input 4" xfId="406"/>
    <cellStyle name="Input 5" xfId="407"/>
    <cellStyle name="Input 6" xfId="408"/>
    <cellStyle name="Input 7" xfId="409"/>
    <cellStyle name="Input 8" xfId="410"/>
    <cellStyle name="Input 9" xfId="411"/>
    <cellStyle name="Item" xfId="412"/>
    <cellStyle name="Link Currency (0)" xfId="413"/>
    <cellStyle name="Link Currency (0) 2" xfId="414"/>
    <cellStyle name="Link Currency (2)" xfId="415"/>
    <cellStyle name="Link Currency (2) 2" xfId="416"/>
    <cellStyle name="Link Units (0)" xfId="417"/>
    <cellStyle name="Link Units (0) 2" xfId="418"/>
    <cellStyle name="Link Units (1)" xfId="419"/>
    <cellStyle name="Link Units (1) 2" xfId="420"/>
    <cellStyle name="Link Units (2)" xfId="421"/>
    <cellStyle name="Link Units (2) 2" xfId="422"/>
    <cellStyle name="Linked Cell 2" xfId="423"/>
    <cellStyle name="Linked Cell 3" xfId="424"/>
    <cellStyle name="Linked Cell 4" xfId="425"/>
    <cellStyle name="Lookup" xfId="426"/>
    <cellStyle name="Milliers [0]_Basis" xfId="427"/>
    <cellStyle name="Milliers_Basis" xfId="428"/>
    <cellStyle name="Monétaire [0]_Basis" xfId="429"/>
    <cellStyle name="Monétaire_Basis" xfId="430"/>
    <cellStyle name="Money" xfId="431"/>
    <cellStyle name="Neutral 2" xfId="432"/>
    <cellStyle name="Neutral 3" xfId="433"/>
    <cellStyle name="Neutral 4" xfId="434"/>
    <cellStyle name="no dec" xfId="435"/>
    <cellStyle name="NoChange" xfId="436"/>
    <cellStyle name="Non Zero" xfId="437"/>
    <cellStyle name="Normal" xfId="0" builtinId="0"/>
    <cellStyle name="Normal - Style1" xfId="438"/>
    <cellStyle name="Normal 10" xfId="439"/>
    <cellStyle name="Normal 10 2" xfId="440"/>
    <cellStyle name="Normal 107" xfId="441"/>
    <cellStyle name="Normal 11" xfId="442"/>
    <cellStyle name="Normal 11 2" xfId="443"/>
    <cellStyle name="Normal 12" xfId="444"/>
    <cellStyle name="Normal 13" xfId="445"/>
    <cellStyle name="Normal 14" xfId="446"/>
    <cellStyle name="Normal 15" xfId="447"/>
    <cellStyle name="Normal 16" xfId="448"/>
    <cellStyle name="Normal 17" xfId="449"/>
    <cellStyle name="Normal 18" xfId="450"/>
    <cellStyle name="Normal 19" xfId="451"/>
    <cellStyle name="Normal 2" xfId="452"/>
    <cellStyle name="Normal 2 2" xfId="453"/>
    <cellStyle name="Normal 2 2 2" xfId="454"/>
    <cellStyle name="Normal 2 2 3" xfId="455"/>
    <cellStyle name="Normal 2 2_Primary vs Secondary Spread Oct 3" xfId="456"/>
    <cellStyle name="Normal 2 3" xfId="457"/>
    <cellStyle name="Normal 2 3 2" xfId="458"/>
    <cellStyle name="Normal 2 3 2 2" xfId="459"/>
    <cellStyle name="Normal 2 3 3" xfId="460"/>
    <cellStyle name="Normal 2 3_Primary vs Secondary Spread Oct 3" xfId="461"/>
    <cellStyle name="Normal 2 4" xfId="462"/>
    <cellStyle name="Normal 2 4 2" xfId="463"/>
    <cellStyle name="Normal 2 4 2 2" xfId="464"/>
    <cellStyle name="Normal 2 4 3" xfId="465"/>
    <cellStyle name="Normal 2 4_Primary vs Secondary Spread Oct 3" xfId="466"/>
    <cellStyle name="Normal 2 5" xfId="467"/>
    <cellStyle name="Normal 2 5 2" xfId="468"/>
    <cellStyle name="Normal 2 6" xfId="469"/>
    <cellStyle name="Normal 2 7" xfId="470"/>
    <cellStyle name="Normal 2_Primary vs Secondary Spread Oct 3" xfId="471"/>
    <cellStyle name="Normal 20" xfId="472"/>
    <cellStyle name="Normal 21" xfId="473"/>
    <cellStyle name="Normal 22" xfId="474"/>
    <cellStyle name="Normal 23" xfId="475"/>
    <cellStyle name="Normal 24" xfId="476"/>
    <cellStyle name="Normal 25" xfId="477"/>
    <cellStyle name="Normal 26" xfId="478"/>
    <cellStyle name="Normal 27" xfId="479"/>
    <cellStyle name="Normal 28" xfId="480"/>
    <cellStyle name="Normal 28 2" xfId="481"/>
    <cellStyle name="Normal 29" xfId="482"/>
    <cellStyle name="Normal 3" xfId="483"/>
    <cellStyle name="Normal 3 2" xfId="484"/>
    <cellStyle name="Normal 3 3" xfId="485"/>
    <cellStyle name="Normal 3_Primary vs Secondary Spread Oct 3" xfId="486"/>
    <cellStyle name="Normal 30" xfId="487"/>
    <cellStyle name="Normal 31" xfId="488"/>
    <cellStyle name="Normal 32" xfId="489"/>
    <cellStyle name="Normal 33" xfId="490"/>
    <cellStyle name="Normal 34" xfId="491"/>
    <cellStyle name="Normal 35" xfId="492"/>
    <cellStyle name="Normal 36" xfId="493"/>
    <cellStyle name="Normal 37" xfId="494"/>
    <cellStyle name="Normal 38" xfId="495"/>
    <cellStyle name="Normal 38 2" xfId="496"/>
    <cellStyle name="Normal 38 2 2" xfId="497"/>
    <cellStyle name="Normal 38 3" xfId="498"/>
    <cellStyle name="Normal 38_Primary vs Secondary Spread Oct 3" xfId="499"/>
    <cellStyle name="Normal 39" xfId="500"/>
    <cellStyle name="Normal 4" xfId="501"/>
    <cellStyle name="Normal 4 2" xfId="502"/>
    <cellStyle name="Normal 4 3" xfId="503"/>
    <cellStyle name="Normal 4 4" xfId="504"/>
    <cellStyle name="Normal 4_Primary vs Secondary Spread Oct 3" xfId="505"/>
    <cellStyle name="Normal 40" xfId="506"/>
    <cellStyle name="Normal 41" xfId="507"/>
    <cellStyle name="Normal 42" xfId="508"/>
    <cellStyle name="Normal 42 2" xfId="509"/>
    <cellStyle name="Normal 43" xfId="510"/>
    <cellStyle name="Normal 44" xfId="511"/>
    <cellStyle name="Normal 45" xfId="512"/>
    <cellStyle name="Normal 46" xfId="513"/>
    <cellStyle name="Normal 47" xfId="514"/>
    <cellStyle name="Normal 48" xfId="515"/>
    <cellStyle name="Normal 49" xfId="516"/>
    <cellStyle name="Normal 5" xfId="517"/>
    <cellStyle name="Normal 5 2" xfId="518"/>
    <cellStyle name="Normal 5 2 2" xfId="519"/>
    <cellStyle name="Normal 5 3" xfId="520"/>
    <cellStyle name="Normal 5 3 2" xfId="521"/>
    <cellStyle name="Normal 5 4" xfId="522"/>
    <cellStyle name="Normal 5_Primary vs Secondary Spread Oct 3" xfId="523"/>
    <cellStyle name="Normal 50" xfId="524"/>
    <cellStyle name="Normal 51" xfId="525"/>
    <cellStyle name="Normal 52" xfId="526"/>
    <cellStyle name="Normal 53" xfId="527"/>
    <cellStyle name="Normal 6" xfId="528"/>
    <cellStyle name="Normal 6 2" xfId="529"/>
    <cellStyle name="Normal 7" xfId="530"/>
    <cellStyle name="Normal 7 2" xfId="531"/>
    <cellStyle name="Normal 8" xfId="532"/>
    <cellStyle name="Normal 88" xfId="533"/>
    <cellStyle name="Normal 9" xfId="534"/>
    <cellStyle name="Normal 9 2" xfId="535"/>
    <cellStyle name="Note 2" xfId="536"/>
    <cellStyle name="Note 2 2" xfId="537"/>
    <cellStyle name="Note 2 3" xfId="538"/>
    <cellStyle name="Note 2 4" xfId="539"/>
    <cellStyle name="Note 3" xfId="540"/>
    <cellStyle name="Note 4" xfId="541"/>
    <cellStyle name="Note 4 2" xfId="542"/>
    <cellStyle name="Note 4 2 2" xfId="543"/>
    <cellStyle name="Note 4 3" xfId="544"/>
    <cellStyle name="Note 4 3 2" xfId="545"/>
    <cellStyle name="Note 4 4" xfId="546"/>
    <cellStyle name="Note 5" xfId="547"/>
    <cellStyle name="Note 5 2" xfId="548"/>
    <cellStyle name="Note 5 2 2" xfId="549"/>
    <cellStyle name="Note 5 3" xfId="550"/>
    <cellStyle name="Note 5 3 2" xfId="551"/>
    <cellStyle name="Note 5 4" xfId="552"/>
    <cellStyle name="Note 6" xfId="553"/>
    <cellStyle name="Note 6 2" xfId="554"/>
    <cellStyle name="Note 6 2 2" xfId="555"/>
    <cellStyle name="Note 6 3" xfId="556"/>
    <cellStyle name="Note 6 3 2" xfId="557"/>
    <cellStyle name="Note 6 4" xfId="558"/>
    <cellStyle name="Note 6 5" xfId="559"/>
    <cellStyle name="Note 7" xfId="560"/>
    <cellStyle name="Note 7 2" xfId="561"/>
    <cellStyle name="Note 7 2 2" xfId="562"/>
    <cellStyle name="Note 7 3" xfId="563"/>
    <cellStyle name="Note 7 3 2" xfId="564"/>
    <cellStyle name="Note 7 4" xfId="565"/>
    <cellStyle name="Note 7 5" xfId="566"/>
    <cellStyle name="Note 8" xfId="567"/>
    <cellStyle name="Note 9" xfId="568"/>
    <cellStyle name="NumberAsPercent" xfId="569"/>
    <cellStyle name="NumberFormat" xfId="570"/>
    <cellStyle name="Numbers" xfId="571"/>
    <cellStyle name="Numbers - Bold" xfId="572"/>
    <cellStyle name="Numbers_increm pf" xfId="573"/>
    <cellStyle name="NumberTo1DecPlace" xfId="574"/>
    <cellStyle name="OffWhite" xfId="575"/>
    <cellStyle name="OffWhite 2" xfId="576"/>
    <cellStyle name="OffWhite 2 2" xfId="577"/>
    <cellStyle name="OffWhite 3" xfId="578"/>
    <cellStyle name="OffWhite 3 2" xfId="579"/>
    <cellStyle name="OffWhite 4" xfId="580"/>
    <cellStyle name="Option" xfId="581"/>
    <cellStyle name="orange text cell" xfId="582"/>
    <cellStyle name="Output 2" xfId="583"/>
    <cellStyle name="Output 3" xfId="584"/>
    <cellStyle name="Output 4" xfId="585"/>
    <cellStyle name="Output 5" xfId="586"/>
    <cellStyle name="Output Amounts" xfId="587"/>
    <cellStyle name="Output Column Headings" xfId="588"/>
    <cellStyle name="Output Line Items" xfId="589"/>
    <cellStyle name="Output Report Heading" xfId="590"/>
    <cellStyle name="Output Report Title" xfId="591"/>
    <cellStyle name="Pageheading" xfId="592"/>
    <cellStyle name="Percent" xfId="1" builtinId="5"/>
    <cellStyle name="Percent [0]" xfId="593"/>
    <cellStyle name="Percent [0] 2" xfId="594"/>
    <cellStyle name="Percent [00]" xfId="595"/>
    <cellStyle name="Percent [00] 2" xfId="596"/>
    <cellStyle name="Percent [2]" xfId="597"/>
    <cellStyle name="Percent 2" xfId="598"/>
    <cellStyle name="Percent 2 2" xfId="599"/>
    <cellStyle name="Percent 2 2 2" xfId="600"/>
    <cellStyle name="Percent 2 3" xfId="601"/>
    <cellStyle name="Percent 2 3 2" xfId="602"/>
    <cellStyle name="Percent 2 4" xfId="603"/>
    <cellStyle name="Percent 2 5" xfId="604"/>
    <cellStyle name="Percent 3" xfId="605"/>
    <cellStyle name="Percent 3 2" xfId="606"/>
    <cellStyle name="Percent 3 2 2" xfId="607"/>
    <cellStyle name="Percent 3 3" xfId="608"/>
    <cellStyle name="Percent 3 3 2" xfId="609"/>
    <cellStyle name="Percent 3 4" xfId="610"/>
    <cellStyle name="Percent 4" xfId="611"/>
    <cellStyle name="Percent 4 2" xfId="612"/>
    <cellStyle name="Percent 4 2 2" xfId="613"/>
    <cellStyle name="Percent 4 3" xfId="614"/>
    <cellStyle name="Percent 4 3 2" xfId="615"/>
    <cellStyle name="Percent 4 4" xfId="616"/>
    <cellStyle name="Percent 5" xfId="617"/>
    <cellStyle name="Percent 5 2" xfId="618"/>
    <cellStyle name="Percent 5 2 2" xfId="619"/>
    <cellStyle name="Percent 5 3" xfId="620"/>
    <cellStyle name="Percent 5 3 2" xfId="621"/>
    <cellStyle name="Percent 5 4" xfId="622"/>
    <cellStyle name="Percentage" xfId="623"/>
    <cellStyle name="PrePop Currency (0)" xfId="624"/>
    <cellStyle name="PrePop Currency (0) 2" xfId="625"/>
    <cellStyle name="PrePop Currency (2)" xfId="626"/>
    <cellStyle name="PrePop Currency (2) 2" xfId="627"/>
    <cellStyle name="PrePop Units (0)" xfId="628"/>
    <cellStyle name="PrePop Units (0) 2" xfId="629"/>
    <cellStyle name="PrePop Units (1)" xfId="630"/>
    <cellStyle name="PrePop Units (1) 2" xfId="631"/>
    <cellStyle name="PrePop Units (2)" xfId="632"/>
    <cellStyle name="PrePop Units (2) 2" xfId="633"/>
    <cellStyle name="PriceTo3DecPlaces" xfId="634"/>
    <cellStyle name="PriceWithBorderAround" xfId="635"/>
    <cellStyle name="PRICING" xfId="636"/>
    <cellStyle name="Product Header" xfId="637"/>
    <cellStyle name="PSChar" xfId="638"/>
    <cellStyle name="PSHeading" xfId="639"/>
    <cellStyle name="r" xfId="640"/>
    <cellStyle name="r_pldt" xfId="641"/>
    <cellStyle name="ReportLeftHeader" xfId="642"/>
    <cellStyle name="ReportRightHeader" xfId="643"/>
    <cellStyle name="results" xfId="644"/>
    <cellStyle name="RevList" xfId="645"/>
    <cellStyle name="RVRQueryHandle" xfId="646"/>
    <cellStyle name="Section" xfId="647"/>
    <cellStyle name="SecuritiesPricingTable" xfId="648"/>
    <cellStyle name="SecuritiesPricingTableFinalData" xfId="649"/>
    <cellStyle name="SecuritiesPricingTableManualData" xfId="650"/>
    <cellStyle name="SecuritiesPricingTableText" xfId="651"/>
    <cellStyle name="Short $" xfId="652"/>
    <cellStyle name="Short $ 2" xfId="653"/>
    <cellStyle name="SIZE" xfId="654"/>
    <cellStyle name="Standard_Swaps-Bonds-Blending" xfId="655"/>
    <cellStyle name="Style 1" xfId="656"/>
    <cellStyle name="StyleSecuritiesPricingTableInteger" xfId="657"/>
    <cellStyle name="Subheading" xfId="658"/>
    <cellStyle name="subtitle" xfId="659"/>
    <cellStyle name="Subtotal" xfId="660"/>
    <cellStyle name="Table" xfId="661"/>
    <cellStyle name="Tablebody" xfId="662"/>
    <cellStyle name="TablebodyDate" xfId="663"/>
    <cellStyle name="TablebodyHeading" xfId="664"/>
    <cellStyle name="TablebodyOutstandingAmount" xfId="665"/>
    <cellStyle name="TablebodyPercent" xfId="666"/>
    <cellStyle name="TablebodyPrice" xfId="667"/>
    <cellStyle name="TablebodyReverse" xfId="668"/>
    <cellStyle name="TablebodySpread" xfId="669"/>
    <cellStyle name="TablebodySpreadBorder" xfId="670"/>
    <cellStyle name="TablebodyText" xfId="671"/>
    <cellStyle name="Tableheading" xfId="672"/>
    <cellStyle name="Text" xfId="673"/>
    <cellStyle name="Text 2" xfId="674"/>
    <cellStyle name="Text Indent A" xfId="675"/>
    <cellStyle name="Text Indent B" xfId="676"/>
    <cellStyle name="Text Indent B 2" xfId="677"/>
    <cellStyle name="Text Indent C" xfId="678"/>
    <cellStyle name="Text Indent C 2" xfId="679"/>
    <cellStyle name="TextStyle" xfId="680"/>
    <cellStyle name="tic display" xfId="681"/>
    <cellStyle name="tic input" xfId="682"/>
    <cellStyle name="Title - Underline" xfId="683"/>
    <cellStyle name="Title 2" xfId="684"/>
    <cellStyle name="Title 3" xfId="685"/>
    <cellStyle name="Title 4" xfId="686"/>
    <cellStyle name="Title 5" xfId="687"/>
    <cellStyle name="Title 6" xfId="688"/>
    <cellStyle name="Title 7" xfId="689"/>
    <cellStyle name="Title Calculations" xfId="690"/>
    <cellStyle name="Title Calculations 2" xfId="691"/>
    <cellStyle name="Title Calculations 2 2" xfId="692"/>
    <cellStyle name="Title Calculations_Primary vs Secondary Spread Oct 3" xfId="693"/>
    <cellStyle name="Title Indicative" xfId="694"/>
    <cellStyle name="Title Indicative 2" xfId="695"/>
    <cellStyle name="Title Indicative 2 2" xfId="696"/>
    <cellStyle name="Title Indicative_Primary vs Secondary Spread Oct 3" xfId="697"/>
    <cellStyle name="Title Pricing Assumptions" xfId="698"/>
    <cellStyle name="Title Pricing Assumptions 10" xfId="699"/>
    <cellStyle name="Title Pricing Assumptions 10 2" xfId="700"/>
    <cellStyle name="Title Pricing Assumptions 10 2 2" xfId="701"/>
    <cellStyle name="Title Pricing Assumptions 10 2_Primary vs Secondary Spread Oct 3" xfId="702"/>
    <cellStyle name="Title Pricing Assumptions 10 3" xfId="703"/>
    <cellStyle name="Title Pricing Assumptions 10 4" xfId="704"/>
    <cellStyle name="Title Pricing Assumptions 10 5" xfId="705"/>
    <cellStyle name="Title Pricing Assumptions 10_Primary vs Secondary Spread Oct 3" xfId="706"/>
    <cellStyle name="Title Pricing Assumptions 11" xfId="707"/>
    <cellStyle name="Title Pricing Assumptions 11 2" xfId="708"/>
    <cellStyle name="Title Pricing Assumptions 11_Primary vs Secondary Spread Oct 3" xfId="709"/>
    <cellStyle name="Title Pricing Assumptions 12" xfId="710"/>
    <cellStyle name="Title Pricing Assumptions 12 2" xfId="711"/>
    <cellStyle name="Title Pricing Assumptions 12_Primary vs Secondary Spread Oct 3" xfId="712"/>
    <cellStyle name="Title Pricing Assumptions 13" xfId="713"/>
    <cellStyle name="Title Pricing Assumptions 14" xfId="714"/>
    <cellStyle name="Title Pricing Assumptions 15" xfId="715"/>
    <cellStyle name="Title Pricing Assumptions 2" xfId="716"/>
    <cellStyle name="Title Pricing Assumptions 2 2" xfId="717"/>
    <cellStyle name="Title Pricing Assumptions 2 3" xfId="718"/>
    <cellStyle name="Title Pricing Assumptions 3" xfId="719"/>
    <cellStyle name="Title Pricing Assumptions 3 10" xfId="720"/>
    <cellStyle name="Title Pricing Assumptions 3 10 2" xfId="721"/>
    <cellStyle name="Title Pricing Assumptions 3 10_Primary vs Secondary Spread Oct 3" xfId="722"/>
    <cellStyle name="Title Pricing Assumptions 3 11" xfId="723"/>
    <cellStyle name="Title Pricing Assumptions 3 12" xfId="724"/>
    <cellStyle name="Title Pricing Assumptions 3 12 8" xfId="725"/>
    <cellStyle name="Title Pricing Assumptions 3 2" xfId="726"/>
    <cellStyle name="Title Pricing Assumptions 3 2 2" xfId="727"/>
    <cellStyle name="Title Pricing Assumptions 3 2 2 2" xfId="728"/>
    <cellStyle name="Title Pricing Assumptions 3 2 2 2 2" xfId="729"/>
    <cellStyle name="Title Pricing Assumptions 3 2 2 2_Primary vs Secondary Spread Oct 3" xfId="730"/>
    <cellStyle name="Title Pricing Assumptions 3 2 2 3" xfId="731"/>
    <cellStyle name="Title Pricing Assumptions 3 2 2 4" xfId="732"/>
    <cellStyle name="Title Pricing Assumptions 3 2 2 5" xfId="733"/>
    <cellStyle name="Title Pricing Assumptions 3 2 2_Primary vs Secondary Spread Oct 3" xfId="734"/>
    <cellStyle name="Title Pricing Assumptions 3 2 3" xfId="735"/>
    <cellStyle name="Title Pricing Assumptions 3 2 3 2" xfId="736"/>
    <cellStyle name="Title Pricing Assumptions 3 2 3 2 2" xfId="737"/>
    <cellStyle name="Title Pricing Assumptions 3 2 3 2_Primary vs Secondary Spread Oct 3" xfId="738"/>
    <cellStyle name="Title Pricing Assumptions 3 2 3 3" xfId="739"/>
    <cellStyle name="Title Pricing Assumptions 3 2 3 4" xfId="740"/>
    <cellStyle name="Title Pricing Assumptions 3 2 3 5" xfId="741"/>
    <cellStyle name="Title Pricing Assumptions 3 2 3_Primary vs Secondary Spread Oct 3" xfId="742"/>
    <cellStyle name="Title Pricing Assumptions 3 2 4" xfId="743"/>
    <cellStyle name="Title Pricing Assumptions 3 2 4 2" xfId="744"/>
    <cellStyle name="Title Pricing Assumptions 3 2 4 2 2" xfId="745"/>
    <cellStyle name="Title Pricing Assumptions 3 2 4 2_Primary vs Secondary Spread Oct 3" xfId="746"/>
    <cellStyle name="Title Pricing Assumptions 3 2 4 3" xfId="747"/>
    <cellStyle name="Title Pricing Assumptions 3 2 4 4" xfId="748"/>
    <cellStyle name="Title Pricing Assumptions 3 2 4 5" xfId="749"/>
    <cellStyle name="Title Pricing Assumptions 3 2 4_Primary vs Secondary Spread Oct 3" xfId="750"/>
    <cellStyle name="Title Pricing Assumptions 3 2 5" xfId="751"/>
    <cellStyle name="Title Pricing Assumptions 3 2 5 2" xfId="752"/>
    <cellStyle name="Title Pricing Assumptions 3 2 5_Primary vs Secondary Spread Oct 3" xfId="753"/>
    <cellStyle name="Title Pricing Assumptions 3 2 6" xfId="754"/>
    <cellStyle name="Title Pricing Assumptions 3 2 6 2" xfId="755"/>
    <cellStyle name="Title Pricing Assumptions 3 2 6_Primary vs Secondary Spread Oct 3" xfId="756"/>
    <cellStyle name="Title Pricing Assumptions 3 2 7" xfId="757"/>
    <cellStyle name="Title Pricing Assumptions 3 2 8" xfId="758"/>
    <cellStyle name="Title Pricing Assumptions 3 2_Primary vs Secondary Spread Oct 3" xfId="759"/>
    <cellStyle name="Title Pricing Assumptions 3 3" xfId="760"/>
    <cellStyle name="Title Pricing Assumptions 3 3 2" xfId="761"/>
    <cellStyle name="Title Pricing Assumptions 3 3 2 2" xfId="762"/>
    <cellStyle name="Title Pricing Assumptions 3 3 2 2 2" xfId="763"/>
    <cellStyle name="Title Pricing Assumptions 3 3 2 2_Primary vs Secondary Spread Oct 3" xfId="764"/>
    <cellStyle name="Title Pricing Assumptions 3 3 2 3" xfId="765"/>
    <cellStyle name="Title Pricing Assumptions 3 3 2 4" xfId="766"/>
    <cellStyle name="Title Pricing Assumptions 3 3 2 5" xfId="767"/>
    <cellStyle name="Title Pricing Assumptions 3 3 2_Primary vs Secondary Spread Oct 3" xfId="768"/>
    <cellStyle name="Title Pricing Assumptions 3 3 3" xfId="769"/>
    <cellStyle name="Title Pricing Assumptions 3 3 3 2" xfId="770"/>
    <cellStyle name="Title Pricing Assumptions 3 3 3 2 2" xfId="771"/>
    <cellStyle name="Title Pricing Assumptions 3 3 3 2_Primary vs Secondary Spread Oct 3" xfId="772"/>
    <cellStyle name="Title Pricing Assumptions 3 3 3 3" xfId="773"/>
    <cellStyle name="Title Pricing Assumptions 3 3 3 4" xfId="774"/>
    <cellStyle name="Title Pricing Assumptions 3 3 3 5" xfId="775"/>
    <cellStyle name="Title Pricing Assumptions 3 3 3_Primary vs Secondary Spread Oct 3" xfId="776"/>
    <cellStyle name="Title Pricing Assumptions 3 3 4" xfId="777"/>
    <cellStyle name="Title Pricing Assumptions 3 3 4 2" xfId="778"/>
    <cellStyle name="Title Pricing Assumptions 3 3 4 2 2" xfId="779"/>
    <cellStyle name="Title Pricing Assumptions 3 3 4 2_Primary vs Secondary Spread Oct 3" xfId="780"/>
    <cellStyle name="Title Pricing Assumptions 3 3 4 3" xfId="781"/>
    <cellStyle name="Title Pricing Assumptions 3 3 4 4" xfId="782"/>
    <cellStyle name="Title Pricing Assumptions 3 3 4 5" xfId="783"/>
    <cellStyle name="Title Pricing Assumptions 3 3 4_Primary vs Secondary Spread Oct 3" xfId="784"/>
    <cellStyle name="Title Pricing Assumptions 3 3 5" xfId="785"/>
    <cellStyle name="Title Pricing Assumptions 3 3 5 2" xfId="786"/>
    <cellStyle name="Title Pricing Assumptions 3 3 5_Primary vs Secondary Spread Oct 3" xfId="787"/>
    <cellStyle name="Title Pricing Assumptions 3 3 6" xfId="788"/>
    <cellStyle name="Title Pricing Assumptions 3 3 6 2" xfId="789"/>
    <cellStyle name="Title Pricing Assumptions 3 3 6_Primary vs Secondary Spread Oct 3" xfId="790"/>
    <cellStyle name="Title Pricing Assumptions 3 3 7" xfId="791"/>
    <cellStyle name="Title Pricing Assumptions 3 3 8" xfId="792"/>
    <cellStyle name="Title Pricing Assumptions 3 3_Primary vs Secondary Spread Oct 3" xfId="793"/>
    <cellStyle name="Title Pricing Assumptions 3 4" xfId="794"/>
    <cellStyle name="Title Pricing Assumptions 3 4 2" xfId="795"/>
    <cellStyle name="Title Pricing Assumptions 3 4 2 2" xfId="796"/>
    <cellStyle name="Title Pricing Assumptions 3 4 2 2 2" xfId="797"/>
    <cellStyle name="Title Pricing Assumptions 3 4 2 2_Primary vs Secondary Spread Oct 3" xfId="798"/>
    <cellStyle name="Title Pricing Assumptions 3 4 2 3" xfId="799"/>
    <cellStyle name="Title Pricing Assumptions 3 4 2 4" xfId="800"/>
    <cellStyle name="Title Pricing Assumptions 3 4 2 5" xfId="801"/>
    <cellStyle name="Title Pricing Assumptions 3 4 2_Primary vs Secondary Spread Oct 3" xfId="802"/>
    <cellStyle name="Title Pricing Assumptions 3 4 3" xfId="803"/>
    <cellStyle name="Title Pricing Assumptions 3 4 3 2" xfId="804"/>
    <cellStyle name="Title Pricing Assumptions 3 4 3 2 2" xfId="805"/>
    <cellStyle name="Title Pricing Assumptions 3 4 3 2_Primary vs Secondary Spread Oct 3" xfId="806"/>
    <cellStyle name="Title Pricing Assumptions 3 4 3 3" xfId="807"/>
    <cellStyle name="Title Pricing Assumptions 3 4 3 4" xfId="808"/>
    <cellStyle name="Title Pricing Assumptions 3 4 3 5" xfId="809"/>
    <cellStyle name="Title Pricing Assumptions 3 4 3_Primary vs Secondary Spread Oct 3" xfId="810"/>
    <cellStyle name="Title Pricing Assumptions 3 4 4" xfId="811"/>
    <cellStyle name="Title Pricing Assumptions 3 4 4 2" xfId="812"/>
    <cellStyle name="Title Pricing Assumptions 3 4 4 2 2" xfId="813"/>
    <cellStyle name="Title Pricing Assumptions 3 4 4 2_Primary vs Secondary Spread Oct 3" xfId="814"/>
    <cellStyle name="Title Pricing Assumptions 3 4 4 3" xfId="815"/>
    <cellStyle name="Title Pricing Assumptions 3 4 4 4" xfId="816"/>
    <cellStyle name="Title Pricing Assumptions 3 4 4 5" xfId="817"/>
    <cellStyle name="Title Pricing Assumptions 3 4 4_Primary vs Secondary Spread Oct 3" xfId="818"/>
    <cellStyle name="Title Pricing Assumptions 3 4 5" xfId="819"/>
    <cellStyle name="Title Pricing Assumptions 3 4 5 2" xfId="820"/>
    <cellStyle name="Title Pricing Assumptions 3 4 5_Primary vs Secondary Spread Oct 3" xfId="821"/>
    <cellStyle name="Title Pricing Assumptions 3 4 6" xfId="822"/>
    <cellStyle name="Title Pricing Assumptions 3 4 6 2" xfId="823"/>
    <cellStyle name="Title Pricing Assumptions 3 4 6_Primary vs Secondary Spread Oct 3" xfId="824"/>
    <cellStyle name="Title Pricing Assumptions 3 4 7" xfId="825"/>
    <cellStyle name="Title Pricing Assumptions 3 4 8" xfId="826"/>
    <cellStyle name="Title Pricing Assumptions 3 4_Primary vs Secondary Spread Oct 3" xfId="827"/>
    <cellStyle name="Title Pricing Assumptions 3 5" xfId="828"/>
    <cellStyle name="Title Pricing Assumptions 3 5 2" xfId="829"/>
    <cellStyle name="Title Pricing Assumptions 3 5 2 2" xfId="830"/>
    <cellStyle name="Title Pricing Assumptions 3 5 2 2 2" xfId="831"/>
    <cellStyle name="Title Pricing Assumptions 3 5 2 2_Primary vs Secondary Spread Oct 3" xfId="832"/>
    <cellStyle name="Title Pricing Assumptions 3 5 2 3" xfId="833"/>
    <cellStyle name="Title Pricing Assumptions 3 5 2 4" xfId="834"/>
    <cellStyle name="Title Pricing Assumptions 3 5 2 5" xfId="835"/>
    <cellStyle name="Title Pricing Assumptions 3 5 2_Primary vs Secondary Spread Oct 3" xfId="836"/>
    <cellStyle name="Title Pricing Assumptions 3 5 3" xfId="837"/>
    <cellStyle name="Title Pricing Assumptions 3 5 3 2" xfId="838"/>
    <cellStyle name="Title Pricing Assumptions 3 5 3 2 2" xfId="839"/>
    <cellStyle name="Title Pricing Assumptions 3 5 3 2_Primary vs Secondary Spread Oct 3" xfId="840"/>
    <cellStyle name="Title Pricing Assumptions 3 5 3 3" xfId="841"/>
    <cellStyle name="Title Pricing Assumptions 3 5 3 4" xfId="842"/>
    <cellStyle name="Title Pricing Assumptions 3 5 3 5" xfId="843"/>
    <cellStyle name="Title Pricing Assumptions 3 5 3_Primary vs Secondary Spread Oct 3" xfId="844"/>
    <cellStyle name="Title Pricing Assumptions 3 5 4" xfId="845"/>
    <cellStyle name="Title Pricing Assumptions 3 5 4 2" xfId="846"/>
    <cellStyle name="Title Pricing Assumptions 3 5 4_Primary vs Secondary Spread Oct 3" xfId="847"/>
    <cellStyle name="Title Pricing Assumptions 3 5 5" xfId="848"/>
    <cellStyle name="Title Pricing Assumptions 3 5 5 2" xfId="849"/>
    <cellStyle name="Title Pricing Assumptions 3 5 5_Primary vs Secondary Spread Oct 3" xfId="850"/>
    <cellStyle name="Title Pricing Assumptions 3 5 6" xfId="851"/>
    <cellStyle name="Title Pricing Assumptions 3 5 7" xfId="852"/>
    <cellStyle name="Title Pricing Assumptions 3 5_Primary vs Secondary Spread Oct 3" xfId="853"/>
    <cellStyle name="Title Pricing Assumptions 3 6" xfId="854"/>
    <cellStyle name="Title Pricing Assumptions 3 6 2" xfId="855"/>
    <cellStyle name="Title Pricing Assumptions 3 6 2 2" xfId="856"/>
    <cellStyle name="Title Pricing Assumptions 3 6 2_Primary vs Secondary Spread Oct 3" xfId="857"/>
    <cellStyle name="Title Pricing Assumptions 3 6 3" xfId="858"/>
    <cellStyle name="Title Pricing Assumptions 3 6 4" xfId="859"/>
    <cellStyle name="Title Pricing Assumptions 3 6 4 2 8" xfId="860"/>
    <cellStyle name="Title Pricing Assumptions 3 6 5" xfId="861"/>
    <cellStyle name="Title Pricing Assumptions 3 6_Primary vs Secondary Spread Oct 3" xfId="862"/>
    <cellStyle name="Title Pricing Assumptions 3 7" xfId="863"/>
    <cellStyle name="Title Pricing Assumptions 3 7 2" xfId="864"/>
    <cellStyle name="Title Pricing Assumptions 3 7 2 2" xfId="865"/>
    <cellStyle name="Title Pricing Assumptions 3 7 2_Primary vs Secondary Spread Oct 3" xfId="866"/>
    <cellStyle name="Title Pricing Assumptions 3 7 3" xfId="867"/>
    <cellStyle name="Title Pricing Assumptions 3 7 4" xfId="868"/>
    <cellStyle name="Title Pricing Assumptions 3 7 5" xfId="869"/>
    <cellStyle name="Title Pricing Assumptions 3 7_Primary vs Secondary Spread Oct 3" xfId="870"/>
    <cellStyle name="Title Pricing Assumptions 3 8" xfId="871"/>
    <cellStyle name="Title Pricing Assumptions 3 8 2" xfId="872"/>
    <cellStyle name="Title Pricing Assumptions 3 8 2 2" xfId="873"/>
    <cellStyle name="Title Pricing Assumptions 3 8 2_Primary vs Secondary Spread Oct 3" xfId="874"/>
    <cellStyle name="Title Pricing Assumptions 3 8 3" xfId="875"/>
    <cellStyle name="Title Pricing Assumptions 3 8 4" xfId="876"/>
    <cellStyle name="Title Pricing Assumptions 3 8 5" xfId="877"/>
    <cellStyle name="Title Pricing Assumptions 3 8_Primary vs Secondary Spread Oct 3" xfId="878"/>
    <cellStyle name="Title Pricing Assumptions 3 9" xfId="879"/>
    <cellStyle name="Title Pricing Assumptions 3 9 2" xfId="880"/>
    <cellStyle name="Title Pricing Assumptions 3 9_Primary vs Secondary Spread Oct 3" xfId="881"/>
    <cellStyle name="Title Pricing Assumptions 3_Primary vs Secondary Spread Oct 3" xfId="882"/>
    <cellStyle name="Title Pricing Assumptions 4" xfId="883"/>
    <cellStyle name="Title Pricing Assumptions 4 2" xfId="884"/>
    <cellStyle name="Title Pricing Assumptions 4 2 2" xfId="885"/>
    <cellStyle name="Title Pricing Assumptions 4 2 2 2" xfId="886"/>
    <cellStyle name="Title Pricing Assumptions 4 2 2_Primary vs Secondary Spread Oct 3" xfId="887"/>
    <cellStyle name="Title Pricing Assumptions 4 2 3" xfId="888"/>
    <cellStyle name="Title Pricing Assumptions 4 2 4" xfId="889"/>
    <cellStyle name="Title Pricing Assumptions 4 2 5" xfId="890"/>
    <cellStyle name="Title Pricing Assumptions 4 2_Primary vs Secondary Spread Oct 3" xfId="891"/>
    <cellStyle name="Title Pricing Assumptions 4 3" xfId="892"/>
    <cellStyle name="Title Pricing Assumptions 4 3 2" xfId="893"/>
    <cellStyle name="Title Pricing Assumptions 4 3 2 2" xfId="894"/>
    <cellStyle name="Title Pricing Assumptions 4 3 2_Primary vs Secondary Spread Oct 3" xfId="895"/>
    <cellStyle name="Title Pricing Assumptions 4 3 3" xfId="896"/>
    <cellStyle name="Title Pricing Assumptions 4 3 4" xfId="897"/>
    <cellStyle name="Title Pricing Assumptions 4 3 5" xfId="898"/>
    <cellStyle name="Title Pricing Assumptions 4 3_Primary vs Secondary Spread Oct 3" xfId="899"/>
    <cellStyle name="Title Pricing Assumptions 4 4" xfId="900"/>
    <cellStyle name="Title Pricing Assumptions 4 4 2" xfId="901"/>
    <cellStyle name="Title Pricing Assumptions 4 4 2 2" xfId="902"/>
    <cellStyle name="Title Pricing Assumptions 4 4 2_Primary vs Secondary Spread Oct 3" xfId="903"/>
    <cellStyle name="Title Pricing Assumptions 4 4 3" xfId="904"/>
    <cellStyle name="Title Pricing Assumptions 4 4 4" xfId="905"/>
    <cellStyle name="Title Pricing Assumptions 4 4 5" xfId="906"/>
    <cellStyle name="Title Pricing Assumptions 4 4_Primary vs Secondary Spread Oct 3" xfId="907"/>
    <cellStyle name="Title Pricing Assumptions 4 5" xfId="908"/>
    <cellStyle name="Title Pricing Assumptions 4 5 2" xfId="909"/>
    <cellStyle name="Title Pricing Assumptions 4 5_Primary vs Secondary Spread Oct 3" xfId="910"/>
    <cellStyle name="Title Pricing Assumptions 4 6" xfId="911"/>
    <cellStyle name="Title Pricing Assumptions 4 6 2" xfId="912"/>
    <cellStyle name="Title Pricing Assumptions 4 6_Primary vs Secondary Spread Oct 3" xfId="913"/>
    <cellStyle name="Title Pricing Assumptions 4 7" xfId="914"/>
    <cellStyle name="Title Pricing Assumptions 4 8" xfId="915"/>
    <cellStyle name="Title Pricing Assumptions 4_Primary vs Secondary Spread Oct 3" xfId="916"/>
    <cellStyle name="Title Pricing Assumptions 5" xfId="917"/>
    <cellStyle name="Title Pricing Assumptions 5 2" xfId="918"/>
    <cellStyle name="Title Pricing Assumptions 5 2 2" xfId="919"/>
    <cellStyle name="Title Pricing Assumptions 5 2 2 2" xfId="920"/>
    <cellStyle name="Title Pricing Assumptions 5 2 2_Primary vs Secondary Spread Oct 3" xfId="921"/>
    <cellStyle name="Title Pricing Assumptions 5 2 3" xfId="922"/>
    <cellStyle name="Title Pricing Assumptions 5 2 4" xfId="923"/>
    <cellStyle name="Title Pricing Assumptions 5 2 5" xfId="924"/>
    <cellStyle name="Title Pricing Assumptions 5 2_Primary vs Secondary Spread Oct 3" xfId="925"/>
    <cellStyle name="Title Pricing Assumptions 5 3" xfId="926"/>
    <cellStyle name="Title Pricing Assumptions 5 3 2" xfId="927"/>
    <cellStyle name="Title Pricing Assumptions 5 3 2 2" xfId="928"/>
    <cellStyle name="Title Pricing Assumptions 5 3 2_Primary vs Secondary Spread Oct 3" xfId="929"/>
    <cellStyle name="Title Pricing Assumptions 5 3 3" xfId="930"/>
    <cellStyle name="Title Pricing Assumptions 5 3 4" xfId="931"/>
    <cellStyle name="Title Pricing Assumptions 5 3 5" xfId="932"/>
    <cellStyle name="Title Pricing Assumptions 5 3_Primary vs Secondary Spread Oct 3" xfId="933"/>
    <cellStyle name="Title Pricing Assumptions 5 4" xfId="934"/>
    <cellStyle name="Title Pricing Assumptions 5 4 2" xfId="935"/>
    <cellStyle name="Title Pricing Assumptions 5 4 2 2" xfId="936"/>
    <cellStyle name="Title Pricing Assumptions 5 4 2_Primary vs Secondary Spread Oct 3" xfId="937"/>
    <cellStyle name="Title Pricing Assumptions 5 4 3" xfId="938"/>
    <cellStyle name="Title Pricing Assumptions 5 4 4" xfId="939"/>
    <cellStyle name="Title Pricing Assumptions 5 4 5" xfId="940"/>
    <cellStyle name="Title Pricing Assumptions 5 4_Primary vs Secondary Spread Oct 3" xfId="941"/>
    <cellStyle name="Title Pricing Assumptions 5 5" xfId="942"/>
    <cellStyle name="Title Pricing Assumptions 5 5 2" xfId="943"/>
    <cellStyle name="Title Pricing Assumptions 5 5_Primary vs Secondary Spread Oct 3" xfId="944"/>
    <cellStyle name="Title Pricing Assumptions 5 6" xfId="945"/>
    <cellStyle name="Title Pricing Assumptions 5 6 2" xfId="946"/>
    <cellStyle name="Title Pricing Assumptions 5 6_Primary vs Secondary Spread Oct 3" xfId="947"/>
    <cellStyle name="Title Pricing Assumptions 5 7" xfId="948"/>
    <cellStyle name="Title Pricing Assumptions 5 8" xfId="949"/>
    <cellStyle name="Title Pricing Assumptions 5_Primary vs Secondary Spread Oct 3" xfId="950"/>
    <cellStyle name="Title Pricing Assumptions 6" xfId="951"/>
    <cellStyle name="Title Pricing Assumptions 6 2" xfId="952"/>
    <cellStyle name="Title Pricing Assumptions 6 2 2" xfId="953"/>
    <cellStyle name="Title Pricing Assumptions 6 2 2 2" xfId="954"/>
    <cellStyle name="Title Pricing Assumptions 6 2 2_Primary vs Secondary Spread Oct 3" xfId="955"/>
    <cellStyle name="Title Pricing Assumptions 6 2 3" xfId="956"/>
    <cellStyle name="Title Pricing Assumptions 6 2 4" xfId="957"/>
    <cellStyle name="Title Pricing Assumptions 6 2 5" xfId="958"/>
    <cellStyle name="Title Pricing Assumptions 6 2_Primary vs Secondary Spread Oct 3" xfId="959"/>
    <cellStyle name="Title Pricing Assumptions 6 3" xfId="960"/>
    <cellStyle name="Title Pricing Assumptions 6 3 2" xfId="961"/>
    <cellStyle name="Title Pricing Assumptions 6 3 2 2" xfId="962"/>
    <cellStyle name="Title Pricing Assumptions 6 3 2_Primary vs Secondary Spread Oct 3" xfId="963"/>
    <cellStyle name="Title Pricing Assumptions 6 3 3" xfId="964"/>
    <cellStyle name="Title Pricing Assumptions 6 3 4" xfId="965"/>
    <cellStyle name="Title Pricing Assumptions 6 3_Primary vs Secondary Spread Oct 3" xfId="966"/>
    <cellStyle name="Title Pricing Assumptions 6 4" xfId="967"/>
    <cellStyle name="Title Pricing Assumptions 6 4 2" xfId="968"/>
    <cellStyle name="Title Pricing Assumptions 6 4 2 2" xfId="969"/>
    <cellStyle name="Title Pricing Assumptions 6 4 2_Primary vs Secondary Spread Oct 3" xfId="970"/>
    <cellStyle name="Title Pricing Assumptions 6 4 3" xfId="971"/>
    <cellStyle name="Title Pricing Assumptions 6 4 4" xfId="972"/>
    <cellStyle name="Title Pricing Assumptions 6 4 5" xfId="973"/>
    <cellStyle name="Title Pricing Assumptions 6 4_Primary vs Secondary Spread Oct 3" xfId="974"/>
    <cellStyle name="Title Pricing Assumptions 6 5" xfId="975"/>
    <cellStyle name="Title Pricing Assumptions 6 5 2" xfId="976"/>
    <cellStyle name="Title Pricing Assumptions 6 5_Primary vs Secondary Spread Oct 3" xfId="977"/>
    <cellStyle name="Title Pricing Assumptions 6 6" xfId="978"/>
    <cellStyle name="Title Pricing Assumptions 6 6 2" xfId="979"/>
    <cellStyle name="Title Pricing Assumptions 6 6_Primary vs Secondary Spread Oct 3" xfId="980"/>
    <cellStyle name="Title Pricing Assumptions 6 7" xfId="981"/>
    <cellStyle name="Title Pricing Assumptions 6 8" xfId="982"/>
    <cellStyle name="Title Pricing Assumptions 6_Primary vs Secondary Spread Oct 3" xfId="983"/>
    <cellStyle name="Title Pricing Assumptions 7" xfId="984"/>
    <cellStyle name="Title Pricing Assumptions 7 2" xfId="985"/>
    <cellStyle name="Title Pricing Assumptions 7 2 2" xfId="986"/>
    <cellStyle name="Title Pricing Assumptions 7 2 2 2" xfId="987"/>
    <cellStyle name="Title Pricing Assumptions 7 2 2_Primary vs Secondary Spread Oct 3" xfId="988"/>
    <cellStyle name="Title Pricing Assumptions 7 2 3" xfId="989"/>
    <cellStyle name="Title Pricing Assumptions 7 2 4" xfId="990"/>
    <cellStyle name="Title Pricing Assumptions 7 2 5" xfId="991"/>
    <cellStyle name="Title Pricing Assumptions 7 2_Primary vs Secondary Spread Oct 3" xfId="992"/>
    <cellStyle name="Title Pricing Assumptions 7 3" xfId="993"/>
    <cellStyle name="Title Pricing Assumptions 7 3 2" xfId="994"/>
    <cellStyle name="Title Pricing Assumptions 7 3 2 2" xfId="995"/>
    <cellStyle name="Title Pricing Assumptions 7 3 2_Primary vs Secondary Spread Oct 3" xfId="996"/>
    <cellStyle name="Title Pricing Assumptions 7 3 3" xfId="997"/>
    <cellStyle name="Title Pricing Assumptions 7 3 4" xfId="998"/>
    <cellStyle name="Title Pricing Assumptions 7 3 5" xfId="999"/>
    <cellStyle name="Title Pricing Assumptions 7 3_Primary vs Secondary Spread Oct 3" xfId="1000"/>
    <cellStyle name="Title Pricing Assumptions 7 4" xfId="1001"/>
    <cellStyle name="Title Pricing Assumptions 7 4 2" xfId="1002"/>
    <cellStyle name="Title Pricing Assumptions 7 4_Primary vs Secondary Spread Oct 3" xfId="1003"/>
    <cellStyle name="Title Pricing Assumptions 7 5" xfId="1004"/>
    <cellStyle name="Title Pricing Assumptions 7 5 2" xfId="1005"/>
    <cellStyle name="Title Pricing Assumptions 7 5_Primary vs Secondary Spread Oct 3" xfId="1006"/>
    <cellStyle name="Title Pricing Assumptions 7 6" xfId="1007"/>
    <cellStyle name="Title Pricing Assumptions 7 7" xfId="1008"/>
    <cellStyle name="Title Pricing Assumptions 7_Primary vs Secondary Spread Oct 3" xfId="1009"/>
    <cellStyle name="Title Pricing Assumptions 8" xfId="1010"/>
    <cellStyle name="Title Pricing Assumptions 8 2" xfId="1011"/>
    <cellStyle name="Title Pricing Assumptions 8 2 2" xfId="1012"/>
    <cellStyle name="Title Pricing Assumptions 8 2_Primary vs Secondary Spread Oct 3" xfId="1013"/>
    <cellStyle name="Title Pricing Assumptions 8 3" xfId="1014"/>
    <cellStyle name="Title Pricing Assumptions 8 4" xfId="1015"/>
    <cellStyle name="Title Pricing Assumptions 8 5" xfId="1016"/>
    <cellStyle name="Title Pricing Assumptions 8_Primary vs Secondary Spread Oct 3" xfId="1017"/>
    <cellStyle name="Title Pricing Assumptions 9" xfId="1018"/>
    <cellStyle name="Title Pricing Assumptions 9 2" xfId="1019"/>
    <cellStyle name="Title Pricing Assumptions 9 2 2" xfId="1020"/>
    <cellStyle name="Title Pricing Assumptions 9 2_Primary vs Secondary Spread Oct 3" xfId="1021"/>
    <cellStyle name="Title Pricing Assumptions 9 3" xfId="1022"/>
    <cellStyle name="Title Pricing Assumptions 9 4" xfId="1023"/>
    <cellStyle name="Title Pricing Assumptions 9 5" xfId="1024"/>
    <cellStyle name="Title Pricing Assumptions 9_Primary vs Secondary Spread Oct 3" xfId="1025"/>
    <cellStyle name="Title Pricing Assumptions_Primary vs Secondary Spread Oct 3" xfId="1026"/>
    <cellStyle name="Titles - Other" xfId="1027"/>
    <cellStyle name="Total 2" xfId="1028"/>
    <cellStyle name="Total 2 2" xfId="1029"/>
    <cellStyle name="Total 3" xfId="1030"/>
    <cellStyle name="Total 4" xfId="1031"/>
    <cellStyle name="Total 4 2" xfId="1032"/>
    <cellStyle name="Total 4_Primary vs Secondary Spread Oct 3" xfId="1033"/>
    <cellStyle name="Warning" xfId="1034"/>
    <cellStyle name="Warning Text 2" xfId="1035"/>
    <cellStyle name="Warning Text 3" xfId="1036"/>
    <cellStyle name="Warning Text 4" xfId="1037"/>
    <cellStyle name="Warning Text 5" xfId="1038"/>
    <cellStyle name="YB Calculations" xfId="1039"/>
    <cellStyle name="YB Calculations 2" xfId="1040"/>
    <cellStyle name="YB Calculations 2 2" xfId="1041"/>
    <cellStyle name="YB Curve" xfId="1042"/>
    <cellStyle name="YB Indicative" xfId="1043"/>
    <cellStyle name="YB Indicative 2" xfId="1044"/>
    <cellStyle name="YBINDIC" xfId="1045"/>
    <cellStyle name="YBIOPOBE" xfId="1046"/>
    <cellStyle name="YBPRICE" xfId="1047"/>
    <cellStyle name="一般_原始檔案" xfId="10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3"/>
  <sheetViews>
    <sheetView workbookViewId="0">
      <selection activeCell="F56" sqref="F56"/>
    </sheetView>
  </sheetViews>
  <sheetFormatPr defaultRowHeight="15"/>
  <sheetData>
    <row r="3" spans="2:9">
      <c r="B3" t="s">
        <v>13</v>
      </c>
    </row>
    <row r="4" spans="2:9">
      <c r="C4" s="2">
        <v>999.99999999999989</v>
      </c>
      <c r="D4" s="2"/>
      <c r="E4" s="2"/>
      <c r="F4" s="2">
        <v>0.13641536427677264</v>
      </c>
      <c r="G4" s="2">
        <v>967.95593810019648</v>
      </c>
      <c r="I4" s="2">
        <v>3707.2213141185653</v>
      </c>
    </row>
    <row r="5" spans="2:9">
      <c r="C5" s="2">
        <v>998.65092647705751</v>
      </c>
      <c r="D5" s="2"/>
      <c r="E5" s="2"/>
      <c r="F5" s="2"/>
      <c r="G5" s="2">
        <v>1030.6026511559571</v>
      </c>
    </row>
    <row r="6" spans="2:9">
      <c r="C6" s="2"/>
      <c r="E6" s="2"/>
      <c r="F6" s="2"/>
      <c r="G6" s="2">
        <v>1998.5585892561535</v>
      </c>
    </row>
    <row r="7" spans="2:9">
      <c r="C7" s="2"/>
      <c r="D7" s="2"/>
      <c r="E7" s="2"/>
    </row>
    <row r="8" spans="2:9">
      <c r="C8" s="2"/>
      <c r="D8" s="2">
        <v>909.09090909090889</v>
      </c>
      <c r="E8" s="2"/>
      <c r="F8" s="2">
        <v>28487.380732533089</v>
      </c>
    </row>
    <row r="9" spans="2:9">
      <c r="D9" s="2"/>
      <c r="E9" s="2">
        <v>4079.1423934637237</v>
      </c>
      <c r="F9" s="2"/>
    </row>
    <row r="10" spans="2:9">
      <c r="D10" s="2"/>
      <c r="E10" s="2">
        <v>29396.471641623997</v>
      </c>
      <c r="F10" s="2"/>
    </row>
    <row r="11" spans="2:9">
      <c r="C11" s="2"/>
      <c r="D11" s="2"/>
      <c r="E11" s="2">
        <v>0.13876299316438553</v>
      </c>
      <c r="F11" s="2"/>
      <c r="G11" s="2"/>
    </row>
    <row r="12" spans="2:9">
      <c r="C12" s="5" t="s">
        <v>14</v>
      </c>
      <c r="G12" s="2"/>
    </row>
    <row r="13" spans="2:9">
      <c r="C13" s="2">
        <v>1.0638297872340425</v>
      </c>
      <c r="D13" s="2"/>
      <c r="E13" s="2">
        <v>0.12359550561797761</v>
      </c>
      <c r="G13" s="2"/>
    </row>
    <row r="14" spans="2:9">
      <c r="C14" s="2">
        <v>1.1317338162064281</v>
      </c>
      <c r="D14" s="2"/>
      <c r="E14" s="2"/>
      <c r="G14" s="2"/>
    </row>
    <row r="15" spans="2:9">
      <c r="C15" s="2">
        <v>0.1317338162064281</v>
      </c>
      <c r="D15" s="2"/>
      <c r="E15" s="2"/>
    </row>
    <row r="16" spans="2:9">
      <c r="C16" s="2">
        <v>0.2634676324128562</v>
      </c>
      <c r="D16" s="2"/>
      <c r="E16" s="2"/>
    </row>
    <row r="18" spans="2:12">
      <c r="B18" t="s">
        <v>9</v>
      </c>
    </row>
    <row r="19" spans="2:12">
      <c r="C19" t="s">
        <v>10</v>
      </c>
      <c r="E19" t="s">
        <v>11</v>
      </c>
      <c r="I19" t="s">
        <v>12</v>
      </c>
    </row>
    <row r="20" spans="2:12">
      <c r="C20" s="2">
        <v>1.0638297872340425</v>
      </c>
      <c r="E20" s="2">
        <v>94.84</v>
      </c>
      <c r="F20" s="2">
        <v>3.76</v>
      </c>
      <c r="G20" s="2">
        <v>3.7692307692307692</v>
      </c>
      <c r="I20" s="2">
        <v>97.12</v>
      </c>
      <c r="J20" s="2">
        <v>4.7</v>
      </c>
      <c r="K20" s="2">
        <v>4.45</v>
      </c>
      <c r="L20" s="2">
        <v>4.1976312898974975</v>
      </c>
    </row>
    <row r="21" spans="2:12">
      <c r="C21" s="2">
        <v>1.1317338162064281</v>
      </c>
      <c r="E21" s="2">
        <v>87.310769230769225</v>
      </c>
      <c r="F21" s="2"/>
      <c r="G21" s="2"/>
      <c r="I21" s="2">
        <v>83.772368710102498</v>
      </c>
      <c r="J21" s="2"/>
      <c r="K21" s="2"/>
      <c r="L21" s="2"/>
    </row>
    <row r="22" spans="2:12">
      <c r="C22" s="2">
        <v>0.1317338162064281</v>
      </c>
      <c r="E22" s="2">
        <v>1.1911474485480689</v>
      </c>
      <c r="F22" s="2"/>
      <c r="G22" s="2"/>
      <c r="I22" s="2">
        <v>1.2533965747507574</v>
      </c>
      <c r="J22" s="2"/>
      <c r="K22" s="2"/>
      <c r="L22" s="2"/>
    </row>
    <row r="23" spans="2:12">
      <c r="C23" s="2">
        <v>0.2634676324128562</v>
      </c>
      <c r="E23" s="2">
        <v>0.12368267052217785</v>
      </c>
      <c r="F23" s="2"/>
      <c r="G23" s="2"/>
      <c r="I23" s="2">
        <v>0.11955195268051644</v>
      </c>
      <c r="J23" s="2"/>
      <c r="K23" s="2"/>
      <c r="L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B2" sqref="B2"/>
    </sheetView>
  </sheetViews>
  <sheetFormatPr defaultRowHeight="15"/>
  <sheetData>
    <row r="1" spans="1:5" s="2" customFormat="1">
      <c r="B1" s="2" t="s">
        <v>25</v>
      </c>
    </row>
    <row r="2" spans="1:5" s="2" customFormat="1">
      <c r="C2" t="s">
        <v>2</v>
      </c>
      <c r="D2" s="2" t="s">
        <v>4</v>
      </c>
      <c r="E2" s="2" t="s">
        <v>5</v>
      </c>
    </row>
    <row r="3" spans="1:5">
      <c r="B3" t="s">
        <v>1</v>
      </c>
      <c r="C3" s="4">
        <v>0.06</v>
      </c>
      <c r="D3">
        <v>65.95</v>
      </c>
      <c r="E3">
        <v>12</v>
      </c>
    </row>
    <row r="4" spans="1:5">
      <c r="B4" t="s">
        <v>3</v>
      </c>
      <c r="C4" s="4">
        <v>0.1</v>
      </c>
      <c r="D4">
        <v>101.66</v>
      </c>
      <c r="E4">
        <v>5</v>
      </c>
    </row>
    <row r="7" spans="1:5">
      <c r="B7" t="s">
        <v>0</v>
      </c>
      <c r="C7" t="s">
        <v>0</v>
      </c>
      <c r="D7" t="s">
        <v>6</v>
      </c>
      <c r="E7" s="2" t="s">
        <v>8</v>
      </c>
    </row>
    <row r="8" spans="1:5">
      <c r="A8">
        <v>1</v>
      </c>
      <c r="B8">
        <v>7.67</v>
      </c>
      <c r="C8" s="3">
        <f>B8/100</f>
        <v>7.6700000000000004E-2</v>
      </c>
      <c r="D8">
        <f>A8*6*(1+C8)^(-1-A8)</f>
        <v>5.175613348351928</v>
      </c>
      <c r="E8">
        <f>A8*10*(1+C8)^(-1-A8)</f>
        <v>8.6260222472532142</v>
      </c>
    </row>
    <row r="9" spans="1:5">
      <c r="A9">
        <v>2</v>
      </c>
      <c r="B9">
        <v>8.27</v>
      </c>
      <c r="C9" s="3">
        <f t="shared" ref="C9:C19" si="0">B9/100</f>
        <v>8.2699999999999996E-2</v>
      </c>
      <c r="D9" s="2">
        <f t="shared" ref="D9:D18" si="1">A9*6*(1+C9)^(-1-A9)</f>
        <v>9.4548977321853886</v>
      </c>
      <c r="E9" s="2">
        <f t="shared" ref="E9:E11" si="2">A9*10*(1+C9)^(-1-A9)</f>
        <v>15.758162886975649</v>
      </c>
    </row>
    <row r="10" spans="1:5">
      <c r="A10" s="2">
        <v>3</v>
      </c>
      <c r="B10">
        <v>8.81</v>
      </c>
      <c r="C10" s="3">
        <f t="shared" si="0"/>
        <v>8.8100000000000012E-2</v>
      </c>
      <c r="D10" s="2">
        <f t="shared" si="1"/>
        <v>12.84095322221895</v>
      </c>
      <c r="E10" s="2">
        <f t="shared" si="2"/>
        <v>21.401588703698252</v>
      </c>
    </row>
    <row r="11" spans="1:5">
      <c r="A11" s="2">
        <v>4</v>
      </c>
      <c r="B11">
        <v>9.31</v>
      </c>
      <c r="C11" s="3">
        <f t="shared" si="0"/>
        <v>9.3100000000000002E-2</v>
      </c>
      <c r="D11" s="2">
        <f t="shared" si="1"/>
        <v>15.378421857384181</v>
      </c>
      <c r="E11" s="2">
        <f t="shared" si="2"/>
        <v>25.6307030956403</v>
      </c>
    </row>
    <row r="12" spans="1:5">
      <c r="A12" s="2">
        <v>5</v>
      </c>
      <c r="B12">
        <v>9.75</v>
      </c>
      <c r="C12" s="3">
        <f t="shared" si="0"/>
        <v>9.7500000000000003E-2</v>
      </c>
      <c r="D12" s="2">
        <f t="shared" si="1"/>
        <v>17.166987117376927</v>
      </c>
      <c r="E12" s="2">
        <f>A12*110*(1+C12)^(-1-A12)</f>
        <v>314.72809715191033</v>
      </c>
    </row>
    <row r="13" spans="1:5">
      <c r="A13" s="2">
        <v>6</v>
      </c>
      <c r="B13">
        <v>10.16</v>
      </c>
      <c r="C13" s="3">
        <f t="shared" si="0"/>
        <v>0.1016</v>
      </c>
      <c r="D13" s="2">
        <f t="shared" si="1"/>
        <v>18.286686097880644</v>
      </c>
    </row>
    <row r="14" spans="1:5">
      <c r="A14" s="2">
        <v>7</v>
      </c>
      <c r="B14">
        <v>10.52</v>
      </c>
      <c r="C14" s="3">
        <f t="shared" si="0"/>
        <v>0.1052</v>
      </c>
      <c r="D14" s="2">
        <f t="shared" si="1"/>
        <v>18.867844157083599</v>
      </c>
    </row>
    <row r="15" spans="1:5">
      <c r="A15" s="2">
        <v>8</v>
      </c>
      <c r="B15">
        <v>10.85</v>
      </c>
      <c r="C15" s="3">
        <f t="shared" si="0"/>
        <v>0.1085</v>
      </c>
      <c r="D15" s="2">
        <f t="shared" si="1"/>
        <v>18.994154239866027</v>
      </c>
    </row>
    <row r="16" spans="1:5">
      <c r="A16" s="2">
        <v>9</v>
      </c>
      <c r="B16">
        <v>11.15</v>
      </c>
      <c r="C16" s="3">
        <f t="shared" si="0"/>
        <v>0.1115</v>
      </c>
      <c r="D16" s="2">
        <f t="shared" si="1"/>
        <v>18.762862220755295</v>
      </c>
    </row>
    <row r="17" spans="1:5">
      <c r="A17" s="2">
        <v>10</v>
      </c>
      <c r="B17">
        <v>11.42</v>
      </c>
      <c r="C17" s="3">
        <f t="shared" si="0"/>
        <v>0.1142</v>
      </c>
      <c r="D17" s="2">
        <f t="shared" si="1"/>
        <v>18.262345508942005</v>
      </c>
    </row>
    <row r="18" spans="1:5">
      <c r="A18" s="2">
        <v>11</v>
      </c>
      <c r="B18">
        <v>11.67</v>
      </c>
      <c r="C18" s="3">
        <f t="shared" si="0"/>
        <v>0.1167</v>
      </c>
      <c r="D18" s="2">
        <f t="shared" si="1"/>
        <v>17.55115662662249</v>
      </c>
    </row>
    <row r="19" spans="1:5">
      <c r="A19" s="2">
        <v>12</v>
      </c>
      <c r="B19">
        <v>11.89</v>
      </c>
      <c r="C19" s="3">
        <f t="shared" si="0"/>
        <v>0.11890000000000001</v>
      </c>
      <c r="D19" s="2">
        <f>A19*106*(1+C19)^(-1-A19)</f>
        <v>295.2572369651615</v>
      </c>
    </row>
    <row r="20" spans="1:5">
      <c r="D20">
        <f>SUM(D8:D19)</f>
        <v>465.99915909382889</v>
      </c>
      <c r="E20">
        <f>SUM(E8:E12)</f>
        <v>386.14457408547776</v>
      </c>
    </row>
    <row r="22" spans="1:5">
      <c r="C22" t="s">
        <v>7</v>
      </c>
      <c r="D22">
        <f>-D20/D3</f>
        <v>-7.0659463092316734</v>
      </c>
      <c r="E22">
        <f>-E20/D4</f>
        <v>-3.7983924265736548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25"/>
  <sheetViews>
    <sheetView tabSelected="1" workbookViewId="0">
      <selection activeCell="K7" sqref="K7"/>
    </sheetView>
  </sheetViews>
  <sheetFormatPr defaultRowHeight="15"/>
  <sheetData>
    <row r="2" spans="2:10">
      <c r="B2" t="s">
        <v>15</v>
      </c>
    </row>
    <row r="3" spans="2:10">
      <c r="B3">
        <v>1</v>
      </c>
      <c r="C3" t="s">
        <v>16</v>
      </c>
      <c r="D3">
        <f>0.04+0.001*10</f>
        <v>0.05</v>
      </c>
    </row>
    <row r="4" spans="2:10">
      <c r="C4" t="s">
        <v>17</v>
      </c>
      <c r="D4">
        <f>1000/1.05^10</f>
        <v>613.91325354075934</v>
      </c>
    </row>
    <row r="6" spans="2:10">
      <c r="B6">
        <v>2</v>
      </c>
      <c r="C6" t="s">
        <v>18</v>
      </c>
      <c r="D6">
        <f>0.042+0.001*9</f>
        <v>5.1000000000000004E-2</v>
      </c>
    </row>
    <row r="7" spans="2:10">
      <c r="C7" t="s">
        <v>17</v>
      </c>
      <c r="D7">
        <f>1000/1.051^9</f>
        <v>639.10991588762602</v>
      </c>
    </row>
    <row r="8" spans="2:10">
      <c r="C8" t="s">
        <v>19</v>
      </c>
      <c r="D8">
        <f>+D7-D4</f>
        <v>25.196662346866674</v>
      </c>
    </row>
    <row r="11" spans="2:10">
      <c r="B11" t="s">
        <v>20</v>
      </c>
    </row>
    <row r="12" spans="2:10">
      <c r="D12" t="s">
        <v>0</v>
      </c>
      <c r="E12" t="s">
        <v>0</v>
      </c>
      <c r="F12" t="s">
        <v>4</v>
      </c>
      <c r="G12" t="s">
        <v>21</v>
      </c>
      <c r="H12" s="2" t="s">
        <v>23</v>
      </c>
    </row>
    <row r="13" spans="2:10">
      <c r="C13">
        <v>1</v>
      </c>
      <c r="D13">
        <v>3.1</v>
      </c>
      <c r="E13" s="1">
        <f>D13/100</f>
        <v>3.1E-2</v>
      </c>
      <c r="F13" s="6">
        <f>100/((1+E13/2)^(C13*2))</f>
        <v>96.970613782772716</v>
      </c>
      <c r="G13" s="8">
        <v>100</v>
      </c>
      <c r="H13" s="3">
        <f>(G13-F13)/F13</f>
        <v>3.1240250000000191E-2</v>
      </c>
    </row>
    <row r="14" spans="2:10">
      <c r="C14">
        <v>2</v>
      </c>
      <c r="D14">
        <v>3.5</v>
      </c>
      <c r="E14" s="1">
        <f t="shared" ref="E14:E17" si="0">D14/100</f>
        <v>3.5000000000000003E-2</v>
      </c>
      <c r="F14" s="2">
        <f t="shared" ref="F14:F17" si="1">100/((1+E14/2)^(C14*2))</f>
        <v>93.295850555772986</v>
      </c>
    </row>
    <row r="15" spans="2:10">
      <c r="C15" s="6">
        <v>3</v>
      </c>
      <c r="D15">
        <v>4</v>
      </c>
      <c r="E15" s="1">
        <f t="shared" si="0"/>
        <v>0.04</v>
      </c>
      <c r="F15" s="6">
        <f t="shared" si="1"/>
        <v>88.797138218619196</v>
      </c>
      <c r="G15" s="8">
        <f>F14</f>
        <v>93.295850555772986</v>
      </c>
      <c r="H15" s="3">
        <f>(G15-F15)/F15</f>
        <v>5.0662807691819169E-2</v>
      </c>
      <c r="J15" s="2" t="s">
        <v>24</v>
      </c>
    </row>
    <row r="16" spans="2:10">
      <c r="C16" s="2">
        <v>4</v>
      </c>
      <c r="D16">
        <v>4.2</v>
      </c>
      <c r="E16" s="1">
        <f t="shared" si="0"/>
        <v>4.2000000000000003E-2</v>
      </c>
      <c r="F16" s="2">
        <f t="shared" si="1"/>
        <v>84.682576534995377</v>
      </c>
    </row>
    <row r="17" spans="3:10">
      <c r="C17" s="2">
        <v>5</v>
      </c>
      <c r="D17">
        <v>4.3</v>
      </c>
      <c r="E17" s="1">
        <f t="shared" si="0"/>
        <v>4.2999999999999997E-2</v>
      </c>
      <c r="F17" s="6">
        <f t="shared" si="1"/>
        <v>80.83813590746</v>
      </c>
      <c r="G17" s="8">
        <f>F16</f>
        <v>84.682576534995377</v>
      </c>
      <c r="H17" s="3">
        <f>(G17-F17)/F17</f>
        <v>4.755726470407886E-2</v>
      </c>
    </row>
    <row r="19" spans="3:10">
      <c r="C19" t="s">
        <v>22</v>
      </c>
    </row>
    <row r="20" spans="3:10">
      <c r="C20" s="2"/>
      <c r="D20" s="2" t="s">
        <v>0</v>
      </c>
      <c r="E20" s="2" t="s">
        <v>0</v>
      </c>
      <c r="F20" s="2" t="s">
        <v>4</v>
      </c>
      <c r="G20" s="2" t="s">
        <v>21</v>
      </c>
      <c r="H20" t="s">
        <v>23</v>
      </c>
    </row>
    <row r="21" spans="3:10">
      <c r="C21" s="2">
        <v>1</v>
      </c>
      <c r="D21" s="2">
        <v>3.1</v>
      </c>
      <c r="E21" s="1">
        <f>(D21+0.5)/100</f>
        <v>3.6000000000000004E-2</v>
      </c>
      <c r="F21" s="7">
        <f>100/((1+E21/2)^(C21*2))</f>
        <v>96.494918577587697</v>
      </c>
      <c r="G21" s="9">
        <v>100</v>
      </c>
      <c r="H21" s="3">
        <f>(G21-F21)/F21</f>
        <v>3.6324000000000078E-2</v>
      </c>
    </row>
    <row r="22" spans="3:10">
      <c r="C22" s="2">
        <v>2</v>
      </c>
      <c r="D22" s="2">
        <v>3.5</v>
      </c>
      <c r="E22" s="1">
        <f t="shared" ref="E22:E25" si="2">(D22+0.5)/100</f>
        <v>0.04</v>
      </c>
      <c r="F22" s="7">
        <f t="shared" ref="F22:F25" si="3">100/((1+E22/2)^(C22*2))</f>
        <v>92.384542602651422</v>
      </c>
      <c r="G22" s="2"/>
    </row>
    <row r="23" spans="3:10">
      <c r="C23" s="6">
        <v>3</v>
      </c>
      <c r="D23" s="2">
        <v>4</v>
      </c>
      <c r="E23" s="1">
        <f t="shared" si="2"/>
        <v>4.4999999999999998E-2</v>
      </c>
      <c r="F23" s="7">
        <f t="shared" si="3"/>
        <v>87.502427197529258</v>
      </c>
      <c r="G23" s="9">
        <f>F22</f>
        <v>92.384542602651422</v>
      </c>
      <c r="H23" s="3">
        <f>(G23-F23)/F23</f>
        <v>5.5794056936285953E-2</v>
      </c>
      <c r="J23" t="s">
        <v>24</v>
      </c>
    </row>
    <row r="24" spans="3:10">
      <c r="C24" s="2">
        <v>4</v>
      </c>
      <c r="D24" s="2">
        <v>4.2</v>
      </c>
      <c r="E24" s="1">
        <f t="shared" si="2"/>
        <v>4.7E-2</v>
      </c>
      <c r="F24" s="7">
        <f t="shared" si="3"/>
        <v>83.041889814007391</v>
      </c>
      <c r="G24" s="2"/>
    </row>
    <row r="25" spans="3:10">
      <c r="C25" s="2">
        <v>5</v>
      </c>
      <c r="D25" s="2">
        <v>4.3</v>
      </c>
      <c r="E25" s="1">
        <f t="shared" si="2"/>
        <v>4.8000000000000001E-2</v>
      </c>
      <c r="F25" s="7">
        <f t="shared" si="3"/>
        <v>78.886090522101185</v>
      </c>
      <c r="G25" s="9">
        <f>F24</f>
        <v>83.041889814007391</v>
      </c>
      <c r="H25" s="3">
        <f>(G25-F25)/F25</f>
        <v>5.2681014668129522E-2</v>
      </c>
    </row>
  </sheetData>
  <pageMargins left="0.7" right="0.7" top="0.75" bottom="0.75" header="0.3" footer="0.3"/>
  <pageSetup scale="90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5&amp;6</vt:lpstr>
      <vt:lpstr>Problem 7</vt:lpstr>
      <vt:lpstr>8&amp;9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2015-06-02T13:47:14Z</cp:lastPrinted>
  <dcterms:created xsi:type="dcterms:W3CDTF">2015-05-25T23:18:11Z</dcterms:created>
  <dcterms:modified xsi:type="dcterms:W3CDTF">2015-06-02T13:49:25Z</dcterms:modified>
</cp:coreProperties>
</file>