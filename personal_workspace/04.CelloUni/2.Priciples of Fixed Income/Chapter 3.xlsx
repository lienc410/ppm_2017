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30435" windowHeight="17400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Sheet1!$F$69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Sheet1!$F$70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900</definedName>
    <definedName name="solver_ver" localSheetId="0" hidden="1">3</definedName>
  </definedNames>
  <calcPr calcId="145621"/>
</workbook>
</file>

<file path=xl/calcChain.xml><?xml version="1.0" encoding="utf-8"?>
<calcChain xmlns="http://schemas.openxmlformats.org/spreadsheetml/2006/main">
  <c r="D81" i="1" l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80" i="1"/>
  <c r="Q110" i="1" l="1"/>
  <c r="D106" i="1"/>
  <c r="E106" i="1"/>
  <c r="J12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02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E100" i="1"/>
  <c r="D100" i="1"/>
  <c r="N69" i="1"/>
  <c r="N68" i="1"/>
  <c r="J69" i="1"/>
  <c r="J70" i="1"/>
  <c r="J71" i="1"/>
  <c r="J72" i="1"/>
  <c r="J78" i="1" s="1"/>
  <c r="J73" i="1"/>
  <c r="J74" i="1"/>
  <c r="J75" i="1"/>
  <c r="J76" i="1"/>
  <c r="J77" i="1"/>
  <c r="J68" i="1"/>
  <c r="K69" i="1"/>
  <c r="K70" i="1"/>
  <c r="K71" i="1"/>
  <c r="K72" i="1"/>
  <c r="K73" i="1"/>
  <c r="K74" i="1"/>
  <c r="K75" i="1"/>
  <c r="K76" i="1"/>
  <c r="K77" i="1"/>
  <c r="K68" i="1"/>
  <c r="I68" i="1"/>
  <c r="I69" i="1"/>
  <c r="I70" i="1"/>
  <c r="I71" i="1"/>
  <c r="I72" i="1"/>
  <c r="I73" i="1"/>
  <c r="I74" i="1"/>
  <c r="I75" i="1"/>
  <c r="I76" i="1"/>
  <c r="I77" i="1"/>
  <c r="D56" i="1"/>
  <c r="F56" i="1" s="1"/>
  <c r="G56" i="1" s="1"/>
  <c r="E56" i="1"/>
  <c r="D57" i="1"/>
  <c r="D58" i="1"/>
  <c r="D59" i="1"/>
  <c r="D60" i="1"/>
  <c r="D61" i="1"/>
  <c r="D62" i="1"/>
  <c r="D63" i="1"/>
  <c r="D64" i="1"/>
  <c r="D65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28" i="1"/>
  <c r="D27" i="1"/>
  <c r="D26" i="1"/>
  <c r="D25" i="1"/>
  <c r="D24" i="1"/>
  <c r="E23" i="1"/>
  <c r="D23" i="1"/>
  <c r="D16" i="1"/>
  <c r="D12" i="1"/>
  <c r="D13" i="1"/>
  <c r="D14" i="1"/>
  <c r="D15" i="1"/>
  <c r="D11" i="1"/>
  <c r="E11" i="1"/>
  <c r="I122" i="1" l="1"/>
  <c r="K78" i="1"/>
  <c r="F70" i="1" s="1"/>
  <c r="I78" i="1"/>
  <c r="D70" i="1" s="1"/>
  <c r="E57" i="1"/>
  <c r="F57" i="1" s="1"/>
  <c r="G57" i="1" s="1"/>
  <c r="F23" i="1"/>
  <c r="G23" i="1" s="1"/>
  <c r="E24" i="1" s="1"/>
  <c r="F24" i="1" s="1"/>
  <c r="G24" i="1" s="1"/>
  <c r="F11" i="1"/>
  <c r="G11" i="1" s="1"/>
  <c r="E12" i="1" s="1"/>
  <c r="F12" i="1" s="1"/>
  <c r="G12" i="1" s="1"/>
  <c r="E13" i="1" s="1"/>
  <c r="F13" i="1" s="1"/>
  <c r="E58" i="1" l="1"/>
  <c r="F58" i="1" s="1"/>
  <c r="G58" i="1" s="1"/>
  <c r="E25" i="1"/>
  <c r="F25" i="1" s="1"/>
  <c r="G25" i="1" s="1"/>
  <c r="G13" i="1"/>
  <c r="E14" i="1" s="1"/>
  <c r="F14" i="1" s="1"/>
  <c r="G14" i="1" s="1"/>
  <c r="E59" i="1" l="1"/>
  <c r="F59" i="1" s="1"/>
  <c r="G59" i="1"/>
  <c r="E26" i="1"/>
  <c r="F26" i="1" s="1"/>
  <c r="G26" i="1" s="1"/>
  <c r="E15" i="1"/>
  <c r="F15" i="1" s="1"/>
  <c r="G15" i="1" s="1"/>
  <c r="E60" i="1" l="1"/>
  <c r="F60" i="1" s="1"/>
  <c r="G60" i="1"/>
  <c r="E16" i="1"/>
  <c r="F16" i="1" s="1"/>
  <c r="G16" i="1" s="1"/>
  <c r="E18" i="1"/>
  <c r="D18" i="1" s="1"/>
  <c r="E27" i="1"/>
  <c r="F27" i="1" s="1"/>
  <c r="G27" i="1" s="1"/>
  <c r="E61" i="1" l="1"/>
  <c r="F61" i="1" s="1"/>
  <c r="G61" i="1"/>
  <c r="E28" i="1"/>
  <c r="F28" i="1" s="1"/>
  <c r="G28" i="1"/>
  <c r="E29" i="1" s="1"/>
  <c r="F29" i="1" s="1"/>
  <c r="G29" i="1" s="1"/>
  <c r="E30" i="1" s="1"/>
  <c r="F30" i="1" s="1"/>
  <c r="G30" i="1" s="1"/>
  <c r="E62" i="1" l="1"/>
  <c r="F62" i="1" s="1"/>
  <c r="G62" i="1"/>
  <c r="E31" i="1"/>
  <c r="F31" i="1" s="1"/>
  <c r="G31" i="1" s="1"/>
  <c r="E32" i="1" s="1"/>
  <c r="F32" i="1" s="1"/>
  <c r="G32" i="1" s="1"/>
  <c r="E33" i="1" s="1"/>
  <c r="F33" i="1" s="1"/>
  <c r="G33" i="1" s="1"/>
  <c r="E34" i="1" s="1"/>
  <c r="F34" i="1" s="1"/>
  <c r="G34" i="1" s="1"/>
  <c r="E63" i="1" l="1"/>
  <c r="F63" i="1" s="1"/>
  <c r="G63" i="1"/>
  <c r="E35" i="1"/>
  <c r="F35" i="1" s="1"/>
  <c r="G35" i="1" s="1"/>
  <c r="E36" i="1" s="1"/>
  <c r="F36" i="1" s="1"/>
  <c r="G36" i="1" s="1"/>
  <c r="E64" i="1" l="1"/>
  <c r="F64" i="1" s="1"/>
  <c r="G64" i="1" s="1"/>
  <c r="E37" i="1"/>
  <c r="F37" i="1" s="1"/>
  <c r="G37" i="1"/>
  <c r="E65" i="1" l="1"/>
  <c r="F65" i="1" s="1"/>
  <c r="G65" i="1"/>
  <c r="E38" i="1"/>
  <c r="F38" i="1" s="1"/>
  <c r="G38" i="1" s="1"/>
  <c r="E39" i="1" l="1"/>
  <c r="F39" i="1" s="1"/>
  <c r="G39" i="1"/>
  <c r="E40" i="1" l="1"/>
  <c r="F40" i="1" s="1"/>
  <c r="G40" i="1" s="1"/>
  <c r="E41" i="1" l="1"/>
  <c r="F41" i="1" s="1"/>
  <c r="G41" i="1"/>
  <c r="E42" i="1" l="1"/>
  <c r="F42" i="1" s="1"/>
  <c r="G42" i="1" s="1"/>
  <c r="E43" i="1" l="1"/>
  <c r="F43" i="1" s="1"/>
  <c r="G43" i="1" s="1"/>
  <c r="E44" i="1" l="1"/>
  <c r="F44" i="1" s="1"/>
  <c r="G44" i="1" s="1"/>
  <c r="E45" i="1" l="1"/>
  <c r="F45" i="1" s="1"/>
  <c r="G45" i="1"/>
  <c r="E46" i="1" l="1"/>
  <c r="F46" i="1" s="1"/>
  <c r="G46" i="1" s="1"/>
  <c r="E47" i="1" l="1"/>
  <c r="F47" i="1" s="1"/>
  <c r="G47" i="1"/>
  <c r="E48" i="1" l="1"/>
  <c r="F48" i="1" s="1"/>
  <c r="G48" i="1" s="1"/>
  <c r="E49" i="1" l="1"/>
  <c r="F49" i="1" s="1"/>
  <c r="G49" i="1"/>
  <c r="E50" i="1" l="1"/>
  <c r="F50" i="1" s="1"/>
  <c r="G50" i="1" s="1"/>
  <c r="E51" i="1" l="1"/>
  <c r="F51" i="1" s="1"/>
  <c r="G51" i="1"/>
  <c r="E52" i="1" l="1"/>
  <c r="F52" i="1" s="1"/>
  <c r="G52" i="1" s="1"/>
  <c r="E53" i="1" l="1"/>
  <c r="F53" i="1" s="1"/>
  <c r="G53" i="1"/>
  <c r="E54" i="1" l="1"/>
  <c r="F54" i="1" s="1"/>
  <c r="G54" i="1" s="1"/>
  <c r="E55" i="1" l="1"/>
  <c r="F55" i="1" s="1"/>
  <c r="G55" i="1"/>
  <c r="E70" i="1"/>
</calcChain>
</file>

<file path=xl/sharedStrings.xml><?xml version="1.0" encoding="utf-8"?>
<sst xmlns="http://schemas.openxmlformats.org/spreadsheetml/2006/main" count="37" uniqueCount="23">
  <si>
    <t>Yearly Payment</t>
  </si>
  <si>
    <t>Year</t>
  </si>
  <si>
    <t>Balance</t>
  </si>
  <si>
    <t>Interest</t>
  </si>
  <si>
    <t>Principle</t>
  </si>
  <si>
    <t>Problem 8</t>
  </si>
  <si>
    <t>2)</t>
  </si>
  <si>
    <t>3)</t>
  </si>
  <si>
    <t>9% rate</t>
  </si>
  <si>
    <t>4)</t>
  </si>
  <si>
    <t>Problem 9</t>
  </si>
  <si>
    <t>a)</t>
  </si>
  <si>
    <t>r</t>
  </si>
  <si>
    <t>Value</t>
  </si>
  <si>
    <t>Price</t>
  </si>
  <si>
    <t>Face</t>
  </si>
  <si>
    <t>CF1</t>
  </si>
  <si>
    <t>CF2</t>
  </si>
  <si>
    <t>CF3</t>
  </si>
  <si>
    <t>Problem 11</t>
  </si>
  <si>
    <t>Problem 12</t>
  </si>
  <si>
    <t xml:space="preserve">Inflation </t>
  </si>
  <si>
    <t>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</si>
</sst>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8" fontId="0" fillId="0" borderId="0" xfId="0" applyNumberFormat="1"/>
    <xf numFmtId="9" fontId="0" fillId="0" borderId="0" xfId="0" applyNumberFormat="1"/>
    <xf numFmtId="10" fontId="0" fillId="0" borderId="0" xfId="1" applyNumberFormat="1" applyFont="1"/>
    <xf numFmtId="164" fontId="0" fillId="0" borderId="0" xfId="1" applyNumberFormat="1" applyFont="1"/>
    <xf numFmtId="164" fontId="0" fillId="0" borderId="0" xfId="0" applyNumberFormat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8:Q122"/>
  <sheetViews>
    <sheetView tabSelected="1" topLeftCell="A49" workbookViewId="0">
      <selection activeCell="E100" sqref="E100"/>
    </sheetView>
  </sheetViews>
  <sheetFormatPr defaultRowHeight="15" x14ac:dyDescent="0.25"/>
  <cols>
    <col min="2" max="2" width="14.85546875" bestFit="1" customWidth="1"/>
    <col min="4" max="4" width="11.5703125" bestFit="1" customWidth="1"/>
    <col min="5" max="5" width="12.7109375" customWidth="1"/>
    <col min="6" max="6" width="9.85546875" bestFit="1" customWidth="1"/>
    <col min="7" max="7" width="11.85546875" bestFit="1" customWidth="1"/>
    <col min="10" max="10" width="9.85546875" bestFit="1" customWidth="1"/>
  </cols>
  <sheetData>
    <row r="8" spans="2:7" x14ac:dyDescent="0.25">
      <c r="B8" t="s">
        <v>5</v>
      </c>
    </row>
    <row r="9" spans="2:7" x14ac:dyDescent="0.25">
      <c r="B9" t="s">
        <v>6</v>
      </c>
      <c r="C9" t="s">
        <v>1</v>
      </c>
      <c r="D9" t="s">
        <v>0</v>
      </c>
      <c r="E9" t="s">
        <v>3</v>
      </c>
      <c r="F9" t="s">
        <v>4</v>
      </c>
      <c r="G9" t="s">
        <v>2</v>
      </c>
    </row>
    <row r="10" spans="2:7" x14ac:dyDescent="0.25">
      <c r="C10">
        <v>0</v>
      </c>
      <c r="D10" s="1"/>
      <c r="E10" s="1"/>
      <c r="F10" s="1"/>
      <c r="G10" s="1">
        <v>100000</v>
      </c>
    </row>
    <row r="11" spans="2:7" x14ac:dyDescent="0.25">
      <c r="C11">
        <v>1</v>
      </c>
      <c r="D11" s="1">
        <f>-PMT(8%,30,100000)</f>
        <v>8882.7433387272304</v>
      </c>
      <c r="E11" s="1">
        <f>G10*0.08</f>
        <v>8000</v>
      </c>
      <c r="F11" s="1">
        <f>D11-E11</f>
        <v>882.74333872723037</v>
      </c>
      <c r="G11" s="1">
        <f>G10-F11</f>
        <v>99117.256661272768</v>
      </c>
    </row>
    <row r="12" spans="2:7" x14ac:dyDescent="0.25">
      <c r="C12">
        <v>2</v>
      </c>
      <c r="D12" s="1">
        <f t="shared" ref="D12:D16" si="0">-PMT(8%,30,100000)</f>
        <v>8882.7433387272304</v>
      </c>
      <c r="E12" s="1">
        <f t="shared" ref="E12:E15" si="1">G11*0.08</f>
        <v>7929.3805329018214</v>
      </c>
      <c r="F12" s="1">
        <f t="shared" ref="F12:F15" si="2">D12-E12</f>
        <v>953.36280582540894</v>
      </c>
      <c r="G12" s="1">
        <f t="shared" ref="G12:G15" si="3">G11-F12</f>
        <v>98163.893855447357</v>
      </c>
    </row>
    <row r="13" spans="2:7" x14ac:dyDescent="0.25">
      <c r="C13">
        <v>3</v>
      </c>
      <c r="D13" s="1">
        <f t="shared" si="0"/>
        <v>8882.7433387272304</v>
      </c>
      <c r="E13" s="1">
        <f t="shared" si="1"/>
        <v>7853.1115084357889</v>
      </c>
      <c r="F13" s="1">
        <f t="shared" si="2"/>
        <v>1029.6318302914415</v>
      </c>
      <c r="G13" s="1">
        <f t="shared" si="3"/>
        <v>97134.262025155913</v>
      </c>
    </row>
    <row r="14" spans="2:7" x14ac:dyDescent="0.25">
      <c r="C14">
        <v>4</v>
      </c>
      <c r="D14" s="1">
        <f t="shared" si="0"/>
        <v>8882.7433387272304</v>
      </c>
      <c r="E14" s="1">
        <f t="shared" si="1"/>
        <v>7770.7409620124736</v>
      </c>
      <c r="F14" s="1">
        <f t="shared" si="2"/>
        <v>1112.0023767147568</v>
      </c>
      <c r="G14" s="1">
        <f t="shared" si="3"/>
        <v>96022.259648441162</v>
      </c>
    </row>
    <row r="15" spans="2:7" x14ac:dyDescent="0.25">
      <c r="C15">
        <v>5</v>
      </c>
      <c r="D15" s="1">
        <f t="shared" si="0"/>
        <v>8882.7433387272304</v>
      </c>
      <c r="E15" s="1">
        <f t="shared" si="1"/>
        <v>7681.7807718752929</v>
      </c>
      <c r="F15" s="1">
        <f t="shared" si="2"/>
        <v>1200.9625668519375</v>
      </c>
      <c r="G15" s="1">
        <f t="shared" si="3"/>
        <v>94821.297081589219</v>
      </c>
    </row>
    <row r="16" spans="2:7" x14ac:dyDescent="0.25">
      <c r="C16">
        <v>6</v>
      </c>
      <c r="D16" s="1">
        <f t="shared" si="0"/>
        <v>8882.7433387272304</v>
      </c>
      <c r="E16" s="1">
        <f>G15*0.08</f>
        <v>7585.7037665271373</v>
      </c>
      <c r="F16" s="1">
        <f t="shared" ref="F16" si="4">D16-E16</f>
        <v>1297.0395722000931</v>
      </c>
      <c r="G16" s="1">
        <f t="shared" ref="G16" si="5">G15-F16</f>
        <v>93524.257509389121</v>
      </c>
    </row>
    <row r="17" spans="2:7" x14ac:dyDescent="0.25">
      <c r="B17" t="s">
        <v>7</v>
      </c>
    </row>
    <row r="18" spans="2:7" x14ac:dyDescent="0.25">
      <c r="B18" s="2" t="s">
        <v>8</v>
      </c>
      <c r="C18">
        <v>6</v>
      </c>
      <c r="D18" s="1">
        <f>E18+F18</f>
        <v>9830.9563095431222</v>
      </c>
      <c r="E18" s="1">
        <f>G15*0.09</f>
        <v>8533.91673734303</v>
      </c>
      <c r="F18" s="1">
        <v>1297.0395722000931</v>
      </c>
      <c r="G18" s="1">
        <v>93524.257509389121</v>
      </c>
    </row>
    <row r="20" spans="2:7" x14ac:dyDescent="0.25">
      <c r="B20" t="s">
        <v>9</v>
      </c>
    </row>
    <row r="21" spans="2:7" x14ac:dyDescent="0.25">
      <c r="C21" t="s">
        <v>1</v>
      </c>
      <c r="D21" t="s">
        <v>0</v>
      </c>
      <c r="E21" t="s">
        <v>3</v>
      </c>
      <c r="F21" t="s">
        <v>4</v>
      </c>
      <c r="G21" t="s">
        <v>2</v>
      </c>
    </row>
    <row r="22" spans="2:7" x14ac:dyDescent="0.25">
      <c r="C22">
        <v>0</v>
      </c>
      <c r="D22" s="1"/>
      <c r="E22" s="1"/>
      <c r="F22" s="1"/>
      <c r="G22" s="1">
        <v>100000</v>
      </c>
    </row>
    <row r="23" spans="2:7" x14ac:dyDescent="0.25">
      <c r="C23">
        <v>1</v>
      </c>
      <c r="D23" s="1">
        <f>-PMT(8%,30,100000)</f>
        <v>8882.7433387272304</v>
      </c>
      <c r="E23" s="1">
        <f>G22*0.08</f>
        <v>8000</v>
      </c>
      <c r="F23" s="1">
        <f>D23-E23</f>
        <v>882.74333872723037</v>
      </c>
      <c r="G23" s="1">
        <f>G22-F23</f>
        <v>99117.256661272768</v>
      </c>
    </row>
    <row r="24" spans="2:7" x14ac:dyDescent="0.25">
      <c r="C24">
        <v>2</v>
      </c>
      <c r="D24" s="1">
        <f t="shared" ref="D24:D65" si="6">-PMT(8%,30,100000)</f>
        <v>8882.7433387272304</v>
      </c>
      <c r="E24" s="1">
        <f t="shared" ref="E24:E27" si="7">G23*0.08</f>
        <v>7929.3805329018214</v>
      </c>
      <c r="F24" s="1">
        <f t="shared" ref="F24:F27" si="8">D24-E24</f>
        <v>953.36280582540894</v>
      </c>
      <c r="G24" s="1">
        <f t="shared" ref="G24:G27" si="9">G23-F24</f>
        <v>98163.893855447357</v>
      </c>
    </row>
    <row r="25" spans="2:7" x14ac:dyDescent="0.25">
      <c r="C25">
        <v>3</v>
      </c>
      <c r="D25" s="1">
        <f t="shared" si="6"/>
        <v>8882.7433387272304</v>
      </c>
      <c r="E25" s="1">
        <f t="shared" si="7"/>
        <v>7853.1115084357889</v>
      </c>
      <c r="F25" s="1">
        <f t="shared" si="8"/>
        <v>1029.6318302914415</v>
      </c>
      <c r="G25" s="1">
        <f t="shared" si="9"/>
        <v>97134.262025155913</v>
      </c>
    </row>
    <row r="26" spans="2:7" x14ac:dyDescent="0.25">
      <c r="C26">
        <v>4</v>
      </c>
      <c r="D26" s="1">
        <f t="shared" si="6"/>
        <v>8882.7433387272304</v>
      </c>
      <c r="E26" s="1">
        <f t="shared" si="7"/>
        <v>7770.7409620124736</v>
      </c>
      <c r="F26" s="1">
        <f t="shared" si="8"/>
        <v>1112.0023767147568</v>
      </c>
      <c r="G26" s="1">
        <f t="shared" si="9"/>
        <v>96022.259648441162</v>
      </c>
    </row>
    <row r="27" spans="2:7" x14ac:dyDescent="0.25">
      <c r="C27">
        <v>5</v>
      </c>
      <c r="D27" s="1">
        <f t="shared" si="6"/>
        <v>8882.7433387272304</v>
      </c>
      <c r="E27" s="1">
        <f t="shared" si="7"/>
        <v>7681.7807718752929</v>
      </c>
      <c r="F27" s="1">
        <f t="shared" si="8"/>
        <v>1200.9625668519375</v>
      </c>
      <c r="G27" s="1">
        <f t="shared" si="9"/>
        <v>94821.297081589219</v>
      </c>
    </row>
    <row r="28" spans="2:7" x14ac:dyDescent="0.25">
      <c r="C28">
        <v>6</v>
      </c>
      <c r="D28" s="1">
        <f t="shared" si="6"/>
        <v>8882.7433387272304</v>
      </c>
      <c r="E28" s="1">
        <f>G27*0.09</f>
        <v>8533.91673734303</v>
      </c>
      <c r="F28" s="1">
        <f t="shared" ref="F28" si="10">D28-E28</f>
        <v>348.82660138420033</v>
      </c>
      <c r="G28" s="1">
        <f t="shared" ref="G28" si="11">G27-F28</f>
        <v>94472.470480205026</v>
      </c>
    </row>
    <row r="29" spans="2:7" x14ac:dyDescent="0.25">
      <c r="C29">
        <v>7</v>
      </c>
      <c r="D29" s="1">
        <f t="shared" si="6"/>
        <v>8882.7433387272304</v>
      </c>
      <c r="E29" s="1">
        <f t="shared" ref="E29:E55" si="12">G28*0.09</f>
        <v>8502.5223432184521</v>
      </c>
      <c r="F29" s="1">
        <f t="shared" ref="F29:F55" si="13">D29-E29</f>
        <v>380.22099550877829</v>
      </c>
      <c r="G29" s="1">
        <f t="shared" ref="G29:G55" si="14">G28-F29</f>
        <v>94092.249484696251</v>
      </c>
    </row>
    <row r="30" spans="2:7" x14ac:dyDescent="0.25">
      <c r="C30">
        <v>8</v>
      </c>
      <c r="D30" s="1">
        <f t="shared" si="6"/>
        <v>8882.7433387272304</v>
      </c>
      <c r="E30" s="1">
        <f t="shared" si="12"/>
        <v>8468.3024536226621</v>
      </c>
      <c r="F30" s="1">
        <f t="shared" si="13"/>
        <v>414.44088510456822</v>
      </c>
      <c r="G30" s="1">
        <f t="shared" si="14"/>
        <v>93677.808599591677</v>
      </c>
    </row>
    <row r="31" spans="2:7" x14ac:dyDescent="0.25">
      <c r="C31">
        <v>9</v>
      </c>
      <c r="D31" s="1">
        <f t="shared" si="6"/>
        <v>8882.7433387272304</v>
      </c>
      <c r="E31" s="1">
        <f t="shared" si="12"/>
        <v>8431.0027739632515</v>
      </c>
      <c r="F31" s="1">
        <f t="shared" si="13"/>
        <v>451.74056476397891</v>
      </c>
      <c r="G31" s="1">
        <f t="shared" si="14"/>
        <v>93226.068034827695</v>
      </c>
    </row>
    <row r="32" spans="2:7" x14ac:dyDescent="0.25">
      <c r="C32">
        <v>10</v>
      </c>
      <c r="D32" s="1">
        <f t="shared" si="6"/>
        <v>8882.7433387272304</v>
      </c>
      <c r="E32" s="1">
        <f t="shared" si="12"/>
        <v>8390.3461231344918</v>
      </c>
      <c r="F32" s="1">
        <f t="shared" si="13"/>
        <v>492.39721559273858</v>
      </c>
      <c r="G32" s="1">
        <f t="shared" si="14"/>
        <v>92733.670819234962</v>
      </c>
    </row>
    <row r="33" spans="3:7" x14ac:dyDescent="0.25">
      <c r="C33">
        <v>11</v>
      </c>
      <c r="D33" s="1">
        <f t="shared" si="6"/>
        <v>8882.7433387272304</v>
      </c>
      <c r="E33" s="1">
        <f t="shared" si="12"/>
        <v>8346.030373731146</v>
      </c>
      <c r="F33" s="1">
        <f t="shared" si="13"/>
        <v>536.71296499608434</v>
      </c>
      <c r="G33" s="1">
        <f t="shared" si="14"/>
        <v>92196.957854238877</v>
      </c>
    </row>
    <row r="34" spans="3:7" x14ac:dyDescent="0.25">
      <c r="C34">
        <v>12</v>
      </c>
      <c r="D34" s="1">
        <f t="shared" si="6"/>
        <v>8882.7433387272304</v>
      </c>
      <c r="E34" s="1">
        <f t="shared" si="12"/>
        <v>8297.726206881498</v>
      </c>
      <c r="F34" s="1">
        <f t="shared" si="13"/>
        <v>585.01713184573237</v>
      </c>
      <c r="G34" s="1">
        <f t="shared" si="14"/>
        <v>91611.940722393148</v>
      </c>
    </row>
    <row r="35" spans="3:7" x14ac:dyDescent="0.25">
      <c r="C35">
        <v>13</v>
      </c>
      <c r="D35" s="1">
        <f t="shared" si="6"/>
        <v>8882.7433387272304</v>
      </c>
      <c r="E35" s="1">
        <f t="shared" si="12"/>
        <v>8245.0746650153833</v>
      </c>
      <c r="F35" s="1">
        <f t="shared" si="13"/>
        <v>637.66867371184708</v>
      </c>
      <c r="G35" s="1">
        <f t="shared" si="14"/>
        <v>90974.272048681305</v>
      </c>
    </row>
    <row r="36" spans="3:7" x14ac:dyDescent="0.25">
      <c r="C36">
        <v>14</v>
      </c>
      <c r="D36" s="1">
        <f t="shared" si="6"/>
        <v>8882.7433387272304</v>
      </c>
      <c r="E36" s="1">
        <f t="shared" si="12"/>
        <v>8187.6844843813169</v>
      </c>
      <c r="F36" s="1">
        <f t="shared" si="13"/>
        <v>695.05885434591346</v>
      </c>
      <c r="G36" s="1">
        <f t="shared" si="14"/>
        <v>90279.213194335389</v>
      </c>
    </row>
    <row r="37" spans="3:7" x14ac:dyDescent="0.25">
      <c r="C37">
        <v>15</v>
      </c>
      <c r="D37" s="1">
        <f t="shared" si="6"/>
        <v>8882.7433387272304</v>
      </c>
      <c r="E37" s="1">
        <f t="shared" si="12"/>
        <v>8125.1291874901844</v>
      </c>
      <c r="F37" s="1">
        <f t="shared" si="13"/>
        <v>757.61415123704592</v>
      </c>
      <c r="G37" s="1">
        <f t="shared" si="14"/>
        <v>89521.599043098337</v>
      </c>
    </row>
    <row r="38" spans="3:7" x14ac:dyDescent="0.25">
      <c r="C38">
        <v>16</v>
      </c>
      <c r="D38" s="1">
        <f t="shared" si="6"/>
        <v>8882.7433387272304</v>
      </c>
      <c r="E38" s="1">
        <f t="shared" si="12"/>
        <v>8056.9439138788503</v>
      </c>
      <c r="F38" s="1">
        <f t="shared" si="13"/>
        <v>825.79942484838011</v>
      </c>
      <c r="G38" s="1">
        <f t="shared" si="14"/>
        <v>88695.799618249963</v>
      </c>
    </row>
    <row r="39" spans="3:7" x14ac:dyDescent="0.25">
      <c r="C39">
        <v>17</v>
      </c>
      <c r="D39" s="1">
        <f t="shared" si="6"/>
        <v>8882.7433387272304</v>
      </c>
      <c r="E39" s="1">
        <f t="shared" si="12"/>
        <v>7982.6219656424964</v>
      </c>
      <c r="F39" s="1">
        <f t="shared" si="13"/>
        <v>900.12137308473393</v>
      </c>
      <c r="G39" s="1">
        <f t="shared" si="14"/>
        <v>87795.678245165225</v>
      </c>
    </row>
    <row r="40" spans="3:7" x14ac:dyDescent="0.25">
      <c r="C40">
        <v>18</v>
      </c>
      <c r="D40" s="1">
        <f t="shared" si="6"/>
        <v>8882.7433387272304</v>
      </c>
      <c r="E40" s="1">
        <f t="shared" si="12"/>
        <v>7901.6110420648702</v>
      </c>
      <c r="F40" s="1">
        <f t="shared" si="13"/>
        <v>981.1322966623602</v>
      </c>
      <c r="G40" s="1">
        <f t="shared" si="14"/>
        <v>86814.54594850287</v>
      </c>
    </row>
    <row r="41" spans="3:7" x14ac:dyDescent="0.25">
      <c r="C41">
        <v>19</v>
      </c>
      <c r="D41" s="1">
        <f t="shared" si="6"/>
        <v>8882.7433387272304</v>
      </c>
      <c r="E41" s="1">
        <f t="shared" si="12"/>
        <v>7813.309135365258</v>
      </c>
      <c r="F41" s="1">
        <f t="shared" si="13"/>
        <v>1069.4342033619723</v>
      </c>
      <c r="G41" s="1">
        <f t="shared" si="14"/>
        <v>85745.111745140894</v>
      </c>
    </row>
    <row r="42" spans="3:7" x14ac:dyDescent="0.25">
      <c r="C42">
        <v>20</v>
      </c>
      <c r="D42" s="1">
        <f t="shared" si="6"/>
        <v>8882.7433387272304</v>
      </c>
      <c r="E42" s="1">
        <f t="shared" si="12"/>
        <v>7717.0600570626802</v>
      </c>
      <c r="F42" s="1">
        <f t="shared" si="13"/>
        <v>1165.6832816645501</v>
      </c>
      <c r="G42" s="1">
        <f t="shared" si="14"/>
        <v>84579.428463476346</v>
      </c>
    </row>
    <row r="43" spans="3:7" x14ac:dyDescent="0.25">
      <c r="C43">
        <v>21</v>
      </c>
      <c r="D43" s="1">
        <f t="shared" si="6"/>
        <v>8882.7433387272304</v>
      </c>
      <c r="E43" s="1">
        <f t="shared" si="12"/>
        <v>7612.148561712871</v>
      </c>
      <c r="F43" s="1">
        <f t="shared" si="13"/>
        <v>1270.5947770143594</v>
      </c>
      <c r="G43" s="1">
        <f t="shared" si="14"/>
        <v>83308.833686461992</v>
      </c>
    </row>
    <row r="44" spans="3:7" x14ac:dyDescent="0.25">
      <c r="C44">
        <v>22</v>
      </c>
      <c r="D44" s="1">
        <f t="shared" si="6"/>
        <v>8882.7433387272304</v>
      </c>
      <c r="E44" s="1">
        <f t="shared" si="12"/>
        <v>7497.7950317815794</v>
      </c>
      <c r="F44" s="1">
        <f t="shared" si="13"/>
        <v>1384.948306945651</v>
      </c>
      <c r="G44" s="1">
        <f t="shared" si="14"/>
        <v>81923.885379516345</v>
      </c>
    </row>
    <row r="45" spans="3:7" x14ac:dyDescent="0.25">
      <c r="C45">
        <v>23</v>
      </c>
      <c r="D45" s="1">
        <f t="shared" si="6"/>
        <v>8882.7433387272304</v>
      </c>
      <c r="E45" s="1">
        <f t="shared" si="12"/>
        <v>7373.1496841564704</v>
      </c>
      <c r="F45" s="1">
        <f t="shared" si="13"/>
        <v>1509.59365457076</v>
      </c>
      <c r="G45" s="1">
        <f t="shared" si="14"/>
        <v>80414.291724945579</v>
      </c>
    </row>
    <row r="46" spans="3:7" x14ac:dyDescent="0.25">
      <c r="C46">
        <v>24</v>
      </c>
      <c r="D46" s="1">
        <f t="shared" si="6"/>
        <v>8882.7433387272304</v>
      </c>
      <c r="E46" s="1">
        <f t="shared" si="12"/>
        <v>7237.2862552451015</v>
      </c>
      <c r="F46" s="1">
        <f t="shared" si="13"/>
        <v>1645.4570834821288</v>
      </c>
      <c r="G46" s="1">
        <f t="shared" si="14"/>
        <v>78768.834641463443</v>
      </c>
    </row>
    <row r="47" spans="3:7" x14ac:dyDescent="0.25">
      <c r="C47">
        <v>25</v>
      </c>
      <c r="D47" s="1">
        <f t="shared" si="6"/>
        <v>8882.7433387272304</v>
      </c>
      <c r="E47" s="1">
        <f t="shared" si="12"/>
        <v>7089.1951177317096</v>
      </c>
      <c r="F47" s="1">
        <f t="shared" si="13"/>
        <v>1793.5482209955208</v>
      </c>
      <c r="G47" s="1">
        <f t="shared" si="14"/>
        <v>76975.286420467921</v>
      </c>
    </row>
    <row r="48" spans="3:7" x14ac:dyDescent="0.25">
      <c r="C48">
        <v>26</v>
      </c>
      <c r="D48" s="1">
        <f t="shared" si="6"/>
        <v>8882.7433387272304</v>
      </c>
      <c r="E48" s="1">
        <f t="shared" si="12"/>
        <v>6927.7757778421128</v>
      </c>
      <c r="F48" s="1">
        <f t="shared" si="13"/>
        <v>1954.9675608851176</v>
      </c>
      <c r="G48" s="1">
        <f t="shared" si="14"/>
        <v>75020.318859582796</v>
      </c>
    </row>
    <row r="49" spans="3:7" x14ac:dyDescent="0.25">
      <c r="C49">
        <v>27</v>
      </c>
      <c r="D49" s="1">
        <f t="shared" si="6"/>
        <v>8882.7433387272304</v>
      </c>
      <c r="E49" s="1">
        <f t="shared" si="12"/>
        <v>6751.8286973624517</v>
      </c>
      <c r="F49" s="1">
        <f t="shared" si="13"/>
        <v>2130.9146413647786</v>
      </c>
      <c r="G49" s="1">
        <f t="shared" si="14"/>
        <v>72889.404218218013</v>
      </c>
    </row>
    <row r="50" spans="3:7" x14ac:dyDescent="0.25">
      <c r="C50">
        <v>28</v>
      </c>
      <c r="D50" s="1">
        <f t="shared" si="6"/>
        <v>8882.7433387272304</v>
      </c>
      <c r="E50" s="1">
        <f t="shared" si="12"/>
        <v>6560.0463796396207</v>
      </c>
      <c r="F50" s="1">
        <f t="shared" si="13"/>
        <v>2322.6969590876097</v>
      </c>
      <c r="G50" s="1">
        <f t="shared" si="14"/>
        <v>70566.707259130402</v>
      </c>
    </row>
    <row r="51" spans="3:7" x14ac:dyDescent="0.25">
      <c r="C51">
        <v>29</v>
      </c>
      <c r="D51" s="1">
        <f t="shared" si="6"/>
        <v>8882.7433387272304</v>
      </c>
      <c r="E51" s="1">
        <f t="shared" si="12"/>
        <v>6351.0036533217362</v>
      </c>
      <c r="F51" s="1">
        <f t="shared" si="13"/>
        <v>2531.7396854054941</v>
      </c>
      <c r="G51" s="1">
        <f t="shared" si="14"/>
        <v>68034.967573724905</v>
      </c>
    </row>
    <row r="52" spans="3:7" x14ac:dyDescent="0.25">
      <c r="C52">
        <v>30</v>
      </c>
      <c r="D52" s="1">
        <f t="shared" si="6"/>
        <v>8882.7433387272304</v>
      </c>
      <c r="E52" s="1">
        <f t="shared" si="12"/>
        <v>6123.1470816352412</v>
      </c>
      <c r="F52" s="1">
        <f t="shared" si="13"/>
        <v>2759.5962570919892</v>
      </c>
      <c r="G52" s="1">
        <f t="shared" si="14"/>
        <v>65275.371316632918</v>
      </c>
    </row>
    <row r="53" spans="3:7" x14ac:dyDescent="0.25">
      <c r="C53">
        <v>31</v>
      </c>
      <c r="D53" s="1">
        <f t="shared" si="6"/>
        <v>8882.7433387272304</v>
      </c>
      <c r="E53" s="1">
        <f t="shared" si="12"/>
        <v>5874.7834184969624</v>
      </c>
      <c r="F53" s="1">
        <f t="shared" si="13"/>
        <v>3007.9599202302679</v>
      </c>
      <c r="G53" s="1">
        <f t="shared" si="14"/>
        <v>62267.411396402647</v>
      </c>
    </row>
    <row r="54" spans="3:7" x14ac:dyDescent="0.25">
      <c r="C54">
        <v>32</v>
      </c>
      <c r="D54" s="1">
        <f t="shared" si="6"/>
        <v>8882.7433387272304</v>
      </c>
      <c r="E54" s="1">
        <f t="shared" si="12"/>
        <v>5604.0670256762378</v>
      </c>
      <c r="F54" s="1">
        <f t="shared" si="13"/>
        <v>3278.6763130509926</v>
      </c>
      <c r="G54" s="1">
        <f t="shared" si="14"/>
        <v>58988.735083351654</v>
      </c>
    </row>
    <row r="55" spans="3:7" x14ac:dyDescent="0.25">
      <c r="C55">
        <v>33</v>
      </c>
      <c r="D55" s="1">
        <f t="shared" si="6"/>
        <v>8882.7433387272304</v>
      </c>
      <c r="E55" s="1">
        <f t="shared" si="12"/>
        <v>5308.9861575016484</v>
      </c>
      <c r="F55" s="1">
        <f t="shared" si="13"/>
        <v>3573.7571812255819</v>
      </c>
      <c r="G55" s="1">
        <f t="shared" si="14"/>
        <v>55414.977902126069</v>
      </c>
    </row>
    <row r="56" spans="3:7" x14ac:dyDescent="0.25">
      <c r="C56">
        <v>34</v>
      </c>
      <c r="D56" s="1">
        <f t="shared" si="6"/>
        <v>8882.7433387272304</v>
      </c>
      <c r="E56" s="1">
        <f t="shared" ref="E56:E65" si="15">G55*0.09</f>
        <v>4987.3480111913459</v>
      </c>
      <c r="F56" s="1">
        <f t="shared" ref="F56:F65" si="16">D56-E56</f>
        <v>3895.3953275358845</v>
      </c>
      <c r="G56" s="1">
        <f t="shared" ref="G56:G65" si="17">G55-F56</f>
        <v>51519.582574590182</v>
      </c>
    </row>
    <row r="57" spans="3:7" x14ac:dyDescent="0.25">
      <c r="C57">
        <v>35</v>
      </c>
      <c r="D57" s="1">
        <f t="shared" si="6"/>
        <v>8882.7433387272304</v>
      </c>
      <c r="E57" s="1">
        <f t="shared" si="15"/>
        <v>4636.7624317131158</v>
      </c>
      <c r="F57" s="1">
        <f t="shared" si="16"/>
        <v>4245.9809070141146</v>
      </c>
      <c r="G57" s="1">
        <f t="shared" si="17"/>
        <v>47273.601667576069</v>
      </c>
    </row>
    <row r="58" spans="3:7" x14ac:dyDescent="0.25">
      <c r="C58">
        <v>36</v>
      </c>
      <c r="D58" s="1">
        <f t="shared" si="6"/>
        <v>8882.7433387272304</v>
      </c>
      <c r="E58" s="1">
        <f t="shared" si="15"/>
        <v>4254.624150081846</v>
      </c>
      <c r="F58" s="1">
        <f t="shared" si="16"/>
        <v>4628.1191886453844</v>
      </c>
      <c r="G58" s="1">
        <f t="shared" si="17"/>
        <v>42645.482478930688</v>
      </c>
    </row>
    <row r="59" spans="3:7" x14ac:dyDescent="0.25">
      <c r="C59">
        <v>37</v>
      </c>
      <c r="D59" s="1">
        <f t="shared" si="6"/>
        <v>8882.7433387272304</v>
      </c>
      <c r="E59" s="1">
        <f t="shared" si="15"/>
        <v>3838.0934231037618</v>
      </c>
      <c r="F59" s="1">
        <f t="shared" si="16"/>
        <v>5044.6499156234686</v>
      </c>
      <c r="G59" s="1">
        <f t="shared" si="17"/>
        <v>37600.832563307216</v>
      </c>
    </row>
    <row r="60" spans="3:7" x14ac:dyDescent="0.25">
      <c r="C60">
        <v>38</v>
      </c>
      <c r="D60" s="1">
        <f t="shared" si="6"/>
        <v>8882.7433387272304</v>
      </c>
      <c r="E60" s="1">
        <f t="shared" si="15"/>
        <v>3384.0749306976495</v>
      </c>
      <c r="F60" s="1">
        <f t="shared" si="16"/>
        <v>5498.6684080295809</v>
      </c>
      <c r="G60" s="1">
        <f t="shared" si="17"/>
        <v>32102.164155277635</v>
      </c>
    </row>
    <row r="61" spans="3:7" x14ac:dyDescent="0.25">
      <c r="C61">
        <v>39</v>
      </c>
      <c r="D61" s="1">
        <f t="shared" si="6"/>
        <v>8882.7433387272304</v>
      </c>
      <c r="E61" s="1">
        <f t="shared" si="15"/>
        <v>2889.1947739749871</v>
      </c>
      <c r="F61" s="1">
        <f t="shared" si="16"/>
        <v>5993.5485647522437</v>
      </c>
      <c r="G61" s="1">
        <f t="shared" si="17"/>
        <v>26108.615590525391</v>
      </c>
    </row>
    <row r="62" spans="3:7" x14ac:dyDescent="0.25">
      <c r="C62">
        <v>40</v>
      </c>
      <c r="D62" s="1">
        <f t="shared" si="6"/>
        <v>8882.7433387272304</v>
      </c>
      <c r="E62" s="1">
        <f t="shared" si="15"/>
        <v>2349.775403147285</v>
      </c>
      <c r="F62" s="1">
        <f t="shared" si="16"/>
        <v>6532.9679355799453</v>
      </c>
      <c r="G62" s="1">
        <f t="shared" si="17"/>
        <v>19575.647654945446</v>
      </c>
    </row>
    <row r="63" spans="3:7" x14ac:dyDescent="0.25">
      <c r="C63">
        <v>41</v>
      </c>
      <c r="D63" s="1">
        <f t="shared" si="6"/>
        <v>8882.7433387272304</v>
      </c>
      <c r="E63" s="1">
        <f t="shared" si="15"/>
        <v>1761.80828894509</v>
      </c>
      <c r="F63" s="1">
        <f t="shared" si="16"/>
        <v>7120.9350497821406</v>
      </c>
      <c r="G63" s="1">
        <f t="shared" si="17"/>
        <v>12454.712605163306</v>
      </c>
    </row>
    <row r="64" spans="3:7" x14ac:dyDescent="0.25">
      <c r="C64">
        <v>42</v>
      </c>
      <c r="D64" s="1">
        <f t="shared" si="6"/>
        <v>8882.7433387272304</v>
      </c>
      <c r="E64" s="1">
        <f t="shared" si="15"/>
        <v>1120.9241344646975</v>
      </c>
      <c r="F64" s="1">
        <f t="shared" si="16"/>
        <v>7761.8192042625324</v>
      </c>
      <c r="G64" s="1">
        <f t="shared" si="17"/>
        <v>4692.8934009007735</v>
      </c>
    </row>
    <row r="65" spans="2:14" x14ac:dyDescent="0.25">
      <c r="C65">
        <v>43</v>
      </c>
      <c r="D65" s="1">
        <f t="shared" si="6"/>
        <v>8882.7433387272304</v>
      </c>
      <c r="E65" s="1">
        <f t="shared" si="15"/>
        <v>422.36040608106958</v>
      </c>
      <c r="F65" s="1">
        <f t="shared" si="16"/>
        <v>8460.38293264616</v>
      </c>
      <c r="G65" s="1">
        <f t="shared" si="17"/>
        <v>-3767.4895317453866</v>
      </c>
    </row>
    <row r="66" spans="2:14" x14ac:dyDescent="0.25">
      <c r="D66" s="1"/>
      <c r="E66" s="1"/>
      <c r="F66" s="1"/>
      <c r="G66" s="1"/>
    </row>
    <row r="67" spans="2:14" x14ac:dyDescent="0.25">
      <c r="D67" s="1"/>
      <c r="E67" s="1"/>
      <c r="F67" s="1"/>
      <c r="G67" s="1"/>
      <c r="I67" s="1" t="s">
        <v>16</v>
      </c>
      <c r="J67" s="1" t="s">
        <v>17</v>
      </c>
      <c r="K67" s="1" t="s">
        <v>18</v>
      </c>
    </row>
    <row r="68" spans="2:14" x14ac:dyDescent="0.25">
      <c r="B68" t="s">
        <v>10</v>
      </c>
      <c r="D68" s="1" t="s">
        <v>16</v>
      </c>
      <c r="E68" s="1" t="s">
        <v>17</v>
      </c>
      <c r="F68" s="1" t="s">
        <v>18</v>
      </c>
      <c r="G68" s="1"/>
      <c r="H68">
        <v>1</v>
      </c>
      <c r="I68" s="1">
        <f>40/(1+$D$69)^H68</f>
        <v>38.227711578346472</v>
      </c>
      <c r="J68" s="1">
        <f>1000*($E$69+0.04)/(1+$E$69)^H68</f>
        <v>306.63548730540998</v>
      </c>
      <c r="K68" s="1">
        <f>1000*(0.08-$F$69)/(1+$F$69)^I68</f>
        <v>13.908993879116071</v>
      </c>
      <c r="N68">
        <f>950+1100-900</f>
        <v>1150</v>
      </c>
    </row>
    <row r="69" spans="2:14" x14ac:dyDescent="0.25">
      <c r="B69" t="s">
        <v>11</v>
      </c>
      <c r="C69" s="6" t="s">
        <v>12</v>
      </c>
      <c r="D69" s="4">
        <v>4.6361352759012986E-2</v>
      </c>
      <c r="E69" s="4">
        <v>0.38455312093951416</v>
      </c>
      <c r="F69" s="4">
        <v>3.259562333373052E-2</v>
      </c>
      <c r="G69" s="5"/>
      <c r="H69">
        <v>2</v>
      </c>
      <c r="I69" s="1">
        <f t="shared" ref="I69:I77" si="18">40/(1+$D$69)^H69</f>
        <v>36.533948312931123</v>
      </c>
      <c r="J69" s="1">
        <f t="shared" ref="J69:J77" si="19">1000*($E$69+0.04)/(1+$E$69)^H69</f>
        <v>221.46892211498306</v>
      </c>
      <c r="K69" s="1">
        <f t="shared" ref="K69:K77" si="20">1000*(0.08-$F$69)/(1+$F$69)^I69</f>
        <v>14.685553253086905</v>
      </c>
      <c r="N69">
        <f>N68/2</f>
        <v>575</v>
      </c>
    </row>
    <row r="70" spans="2:14" x14ac:dyDescent="0.25">
      <c r="C70" t="s">
        <v>13</v>
      </c>
      <c r="D70" s="1">
        <f>I78</f>
        <v>949.99963957238583</v>
      </c>
      <c r="E70" s="1">
        <f>J78</f>
        <v>1099.9988620507875</v>
      </c>
      <c r="F70" s="1">
        <f>K78</f>
        <v>899.99998267740341</v>
      </c>
      <c r="G70" s="1"/>
      <c r="H70">
        <v>3</v>
      </c>
      <c r="I70" s="1">
        <f t="shared" si="18"/>
        <v>34.91523097312372</v>
      </c>
      <c r="J70" s="1">
        <f t="shared" si="19"/>
        <v>159.95697006172017</v>
      </c>
      <c r="K70" s="1">
        <f t="shared" si="20"/>
        <v>15.468190006646807</v>
      </c>
    </row>
    <row r="71" spans="2:14" x14ac:dyDescent="0.25">
      <c r="C71" t="s">
        <v>14</v>
      </c>
      <c r="D71" s="1">
        <v>950</v>
      </c>
      <c r="E71" s="1">
        <v>1100</v>
      </c>
      <c r="F71" s="1">
        <v>900</v>
      </c>
      <c r="G71" s="1"/>
      <c r="H71">
        <v>4</v>
      </c>
      <c r="I71" s="1">
        <f t="shared" si="18"/>
        <v>33.368234483298068</v>
      </c>
      <c r="J71" s="1">
        <f t="shared" si="19"/>
        <v>115.52967354057054</v>
      </c>
      <c r="K71" s="1">
        <f t="shared" si="20"/>
        <v>16.25509800825558</v>
      </c>
    </row>
    <row r="72" spans="2:14" x14ac:dyDescent="0.25">
      <c r="C72" t="s">
        <v>15</v>
      </c>
      <c r="D72" s="1">
        <v>1000</v>
      </c>
      <c r="E72" s="1">
        <v>1000</v>
      </c>
      <c r="F72" s="1">
        <v>1000</v>
      </c>
      <c r="G72" s="1"/>
      <c r="H72">
        <v>5</v>
      </c>
      <c r="I72" s="1">
        <f t="shared" si="18"/>
        <v>31.889781092653841</v>
      </c>
      <c r="J72" s="1">
        <f t="shared" si="19"/>
        <v>83.441849787732039</v>
      </c>
      <c r="K72" s="1">
        <f t="shared" si="20"/>
        <v>17.044523401311231</v>
      </c>
    </row>
    <row r="73" spans="2:14" x14ac:dyDescent="0.25">
      <c r="D73" s="1"/>
      <c r="E73" s="1"/>
      <c r="F73" s="1"/>
      <c r="G73" s="1"/>
      <c r="H73">
        <v>6</v>
      </c>
      <c r="I73" s="1">
        <f t="shared" si="18"/>
        <v>30.476833847664441</v>
      </c>
      <c r="J73" s="1">
        <f t="shared" si="19"/>
        <v>60.266268246256267</v>
      </c>
      <c r="K73" s="1">
        <f t="shared" si="20"/>
        <v>17.834774094353726</v>
      </c>
    </row>
    <row r="74" spans="2:14" x14ac:dyDescent="0.25">
      <c r="D74" s="1"/>
      <c r="E74" s="1"/>
      <c r="F74" s="1"/>
      <c r="G74" s="1"/>
      <c r="H74">
        <v>7</v>
      </c>
      <c r="I74" s="1">
        <f t="shared" si="18"/>
        <v>29.126490353742593</v>
      </c>
      <c r="J74" s="1">
        <f t="shared" si="19"/>
        <v>43.527595535923879</v>
      </c>
      <c r="K74" s="1">
        <f t="shared" si="20"/>
        <v>18.624227824159174</v>
      </c>
    </row>
    <row r="75" spans="2:14" x14ac:dyDescent="0.25">
      <c r="D75" s="1"/>
      <c r="E75" s="1"/>
      <c r="F75" s="1"/>
      <c r="G75" s="1"/>
      <c r="H75">
        <v>8</v>
      </c>
      <c r="I75" s="1">
        <f t="shared" si="18"/>
        <v>27.835976813309063</v>
      </c>
      <c r="J75" s="1">
        <f t="shared" si="19"/>
        <v>31.438010487013614</v>
      </c>
      <c r="K75" s="1">
        <f t="shared" si="20"/>
        <v>19.411338834767136</v>
      </c>
    </row>
    <row r="76" spans="2:14" x14ac:dyDescent="0.25">
      <c r="D76" s="1"/>
      <c r="E76" s="1"/>
      <c r="F76" s="1"/>
      <c r="G76" s="1"/>
      <c r="H76">
        <v>9</v>
      </c>
      <c r="I76" s="1">
        <f t="shared" si="18"/>
        <v>26.602642328017971</v>
      </c>
      <c r="J76" s="1">
        <f t="shared" si="19"/>
        <v>22.706250855641258</v>
      </c>
      <c r="K76" s="1">
        <f t="shared" si="20"/>
        <v>20.194643232977985</v>
      </c>
    </row>
    <row r="77" spans="2:14" x14ac:dyDescent="0.25">
      <c r="D77" s="1"/>
      <c r="E77" s="1"/>
      <c r="F77" s="1"/>
      <c r="G77" s="1"/>
      <c r="H77">
        <v>10</v>
      </c>
      <c r="I77" s="1">
        <f t="shared" si="18"/>
        <v>25.42395345343456</v>
      </c>
      <c r="J77" s="1">
        <f t="shared" si="19"/>
        <v>16.399696416294603</v>
      </c>
      <c r="K77" s="1">
        <f t="shared" si="20"/>
        <v>20.972763094622163</v>
      </c>
    </row>
    <row r="78" spans="2:14" x14ac:dyDescent="0.25">
      <c r="D78" s="1"/>
      <c r="E78" s="1"/>
      <c r="F78" s="1"/>
      <c r="G78" s="1"/>
      <c r="I78" s="1">
        <f>SUM(I68:I77)+D72/(1+D69)^10</f>
        <v>949.99963957238583</v>
      </c>
      <c r="J78" s="1">
        <f>SUM(J68:J77)+E72/(1+E69)^10</f>
        <v>1099.9988620507875</v>
      </c>
      <c r="K78" s="1">
        <f>SUM(K68:K77)+F72/(1+F69)^10</f>
        <v>899.99998267740341</v>
      </c>
    </row>
    <row r="79" spans="2:14" x14ac:dyDescent="0.25">
      <c r="D79" s="1"/>
      <c r="E79" s="1"/>
      <c r="F79" s="1"/>
      <c r="G79" s="1"/>
    </row>
    <row r="80" spans="2:14" x14ac:dyDescent="0.25">
      <c r="B80" t="s">
        <v>19</v>
      </c>
      <c r="C80">
        <v>1</v>
      </c>
      <c r="D80" s="1">
        <f>0.04/(1+0.1/2)^C80</f>
        <v>3.8095238095238092E-2</v>
      </c>
      <c r="E80" s="1"/>
      <c r="F80" s="1"/>
      <c r="G80" s="1"/>
    </row>
    <row r="81" spans="3:7" x14ac:dyDescent="0.25">
      <c r="C81">
        <v>2</v>
      </c>
      <c r="D81" s="1">
        <f t="shared" ref="D81:D99" si="21">0.04/(1+0.1/2)^C81</f>
        <v>3.6281179138321996E-2</v>
      </c>
      <c r="E81" s="1"/>
      <c r="F81" s="1"/>
      <c r="G81" s="1"/>
    </row>
    <row r="82" spans="3:7" x14ac:dyDescent="0.25">
      <c r="C82">
        <v>3</v>
      </c>
      <c r="D82" s="1">
        <f t="shared" si="21"/>
        <v>3.4553503941259042E-2</v>
      </c>
      <c r="E82" s="1"/>
      <c r="F82" s="1"/>
      <c r="G82" s="1"/>
    </row>
    <row r="83" spans="3:7" x14ac:dyDescent="0.25">
      <c r="C83">
        <v>4</v>
      </c>
      <c r="D83" s="1">
        <f t="shared" si="21"/>
        <v>3.290809899167528E-2</v>
      </c>
      <c r="E83" s="1"/>
      <c r="F83" s="1"/>
      <c r="G83" s="1"/>
    </row>
    <row r="84" spans="3:7" x14ac:dyDescent="0.25">
      <c r="C84">
        <v>5</v>
      </c>
      <c r="D84" s="1">
        <f t="shared" si="21"/>
        <v>3.134104665873836E-2</v>
      </c>
      <c r="E84" s="1"/>
      <c r="F84" s="1"/>
      <c r="G84" s="1"/>
    </row>
    <row r="85" spans="3:7" x14ac:dyDescent="0.25">
      <c r="C85">
        <v>6</v>
      </c>
      <c r="D85" s="1">
        <f t="shared" si="21"/>
        <v>2.9848615865465108E-2</v>
      </c>
      <c r="E85" s="1"/>
      <c r="F85" s="1"/>
      <c r="G85" s="1"/>
    </row>
    <row r="86" spans="3:7" x14ac:dyDescent="0.25">
      <c r="C86">
        <v>7</v>
      </c>
      <c r="D86" s="1">
        <f t="shared" si="21"/>
        <v>2.842725320520486E-2</v>
      </c>
      <c r="E86" s="1"/>
      <c r="F86" s="1"/>
      <c r="G86" s="1"/>
    </row>
    <row r="87" spans="3:7" x14ac:dyDescent="0.25">
      <c r="C87">
        <v>8</v>
      </c>
      <c r="D87" s="1">
        <f t="shared" si="21"/>
        <v>2.7073574481147486E-2</v>
      </c>
      <c r="E87" s="1"/>
      <c r="F87" s="1"/>
      <c r="G87" s="1"/>
    </row>
    <row r="88" spans="3:7" x14ac:dyDescent="0.25">
      <c r="C88">
        <v>9</v>
      </c>
      <c r="D88" s="1">
        <f t="shared" si="21"/>
        <v>2.5784356648711891E-2</v>
      </c>
      <c r="E88" s="1"/>
      <c r="F88" s="1"/>
      <c r="G88" s="1"/>
    </row>
    <row r="89" spans="3:7" x14ac:dyDescent="0.25">
      <c r="C89">
        <v>10</v>
      </c>
      <c r="D89" s="1">
        <f t="shared" si="21"/>
        <v>2.4556530141630374E-2</v>
      </c>
      <c r="E89" s="1"/>
      <c r="F89" s="1"/>
      <c r="G89" s="1"/>
    </row>
    <row r="90" spans="3:7" x14ac:dyDescent="0.25">
      <c r="C90">
        <v>11</v>
      </c>
      <c r="D90" s="1">
        <f t="shared" si="21"/>
        <v>2.3387171563457498E-2</v>
      </c>
      <c r="E90" s="1"/>
      <c r="F90" s="1"/>
      <c r="G90" s="1"/>
    </row>
    <row r="91" spans="3:7" x14ac:dyDescent="0.25">
      <c r="C91">
        <v>12</v>
      </c>
      <c r="D91" s="1">
        <f t="shared" si="21"/>
        <v>2.2273496727102382E-2</v>
      </c>
      <c r="E91" s="1"/>
      <c r="F91" s="1"/>
      <c r="G91" s="1"/>
    </row>
    <row r="92" spans="3:7" x14ac:dyDescent="0.25">
      <c r="C92">
        <v>13</v>
      </c>
      <c r="D92" s="1">
        <f t="shared" si="21"/>
        <v>2.1212854025811786E-2</v>
      </c>
    </row>
    <row r="93" spans="3:7" x14ac:dyDescent="0.25">
      <c r="C93">
        <v>14</v>
      </c>
      <c r="D93" s="1">
        <f t="shared" si="21"/>
        <v>2.0202718119820755E-2</v>
      </c>
    </row>
    <row r="94" spans="3:7" x14ac:dyDescent="0.25">
      <c r="C94">
        <v>15</v>
      </c>
      <c r="D94" s="1">
        <f t="shared" si="21"/>
        <v>1.9240683923638809E-2</v>
      </c>
    </row>
    <row r="95" spans="3:7" x14ac:dyDescent="0.25">
      <c r="C95">
        <v>16</v>
      </c>
      <c r="D95" s="1">
        <f t="shared" si="21"/>
        <v>1.8324460879656009E-2</v>
      </c>
    </row>
    <row r="96" spans="3:7" x14ac:dyDescent="0.25">
      <c r="C96">
        <v>17</v>
      </c>
      <c r="D96" s="1">
        <f t="shared" si="21"/>
        <v>1.7451867504434292E-2</v>
      </c>
    </row>
    <row r="97" spans="2:17" x14ac:dyDescent="0.25">
      <c r="C97">
        <v>18</v>
      </c>
      <c r="D97" s="1">
        <f t="shared" si="21"/>
        <v>1.6620826194699328E-2</v>
      </c>
    </row>
    <row r="98" spans="2:17" x14ac:dyDescent="0.25">
      <c r="C98">
        <v>19</v>
      </c>
      <c r="D98" s="1">
        <f t="shared" si="21"/>
        <v>1.5829358280666023E-2</v>
      </c>
    </row>
    <row r="99" spans="2:17" x14ac:dyDescent="0.25">
      <c r="C99">
        <v>20</v>
      </c>
      <c r="D99" s="1">
        <f t="shared" si="21"/>
        <v>1.5075579314920024E-2</v>
      </c>
    </row>
    <row r="100" spans="2:17" x14ac:dyDescent="0.25">
      <c r="D100" s="1">
        <f>SUM(D80:D99)</f>
        <v>0.49848841370159941</v>
      </c>
      <c r="E100">
        <f>1/((1+0.05)^20)</f>
        <v>0.37688948287300061</v>
      </c>
    </row>
    <row r="102" spans="2:17" x14ac:dyDescent="0.25">
      <c r="H102">
        <v>1</v>
      </c>
      <c r="I102" s="1">
        <f>D$108*(1-D$109/2)*D$110/2/(1+D$105/2)^H102</f>
        <v>1.436696405566952</v>
      </c>
      <c r="J102" s="1">
        <f>E$108*(1-E$109/2)*E$110/2/(1+E$105/2)^H102</f>
        <v>2.4658708369152533</v>
      </c>
    </row>
    <row r="103" spans="2:17" x14ac:dyDescent="0.25">
      <c r="B103" t="s">
        <v>20</v>
      </c>
      <c r="H103">
        <v>2</v>
      </c>
      <c r="I103" s="1">
        <f t="shared" ref="I103:I121" si="22">$D$108*(1-$D$109/2)*$D$110/2/(1+$D$105/2)^H103</f>
        <v>1.4041473209312925</v>
      </c>
      <c r="J103" s="1">
        <f t="shared" ref="J103:J121" si="23">E$108*(1-E$109/2)*E$110/2/(1+E$105/2)^H103</f>
        <v>2.0682037361731744</v>
      </c>
    </row>
    <row r="104" spans="2:17" x14ac:dyDescent="0.25">
      <c r="D104" s="1" t="s">
        <v>16</v>
      </c>
      <c r="E104" s="1" t="s">
        <v>17</v>
      </c>
      <c r="H104">
        <v>3</v>
      </c>
      <c r="I104" s="1">
        <f t="shared" si="22"/>
        <v>1.3723356522914649</v>
      </c>
      <c r="J104" s="1">
        <f t="shared" si="23"/>
        <v>1.7346677815743539</v>
      </c>
    </row>
    <row r="105" spans="2:17" x14ac:dyDescent="0.25">
      <c r="C105" s="6" t="s">
        <v>12</v>
      </c>
      <c r="D105" s="4">
        <v>4.6361352759012986E-2</v>
      </c>
      <c r="E105" s="4">
        <v>0.38455312093951416</v>
      </c>
      <c r="H105">
        <v>4</v>
      </c>
      <c r="I105" s="1">
        <f t="shared" si="22"/>
        <v>1.341244693114644</v>
      </c>
      <c r="J105" s="1">
        <f t="shared" si="23"/>
        <v>1.454920644326761</v>
      </c>
    </row>
    <row r="106" spans="2:17" x14ac:dyDescent="0.25">
      <c r="C106" t="s">
        <v>13</v>
      </c>
      <c r="D106" s="1">
        <f>I122</f>
        <v>89.417142434063095</v>
      </c>
      <c r="E106" s="1">
        <f>J122</f>
        <v>18.853984518684609</v>
      </c>
      <c r="H106">
        <v>5</v>
      </c>
      <c r="I106" s="1">
        <f t="shared" si="22"/>
        <v>1.310858115362965</v>
      </c>
      <c r="J106" s="1">
        <f t="shared" si="23"/>
        <v>1.2202878866909219</v>
      </c>
    </row>
    <row r="107" spans="2:17" x14ac:dyDescent="0.25">
      <c r="C107" t="s">
        <v>14</v>
      </c>
      <c r="D107" s="1">
        <v>77.92</v>
      </c>
      <c r="E107" s="1">
        <v>100</v>
      </c>
      <c r="H107">
        <v>6</v>
      </c>
      <c r="I107" s="1">
        <f t="shared" si="22"/>
        <v>1.2811599609185313</v>
      </c>
      <c r="J107" s="1">
        <f t="shared" si="23"/>
        <v>1.0234939838204387</v>
      </c>
    </row>
    <row r="108" spans="2:17" x14ac:dyDescent="0.25">
      <c r="C108" t="s">
        <v>15</v>
      </c>
      <c r="D108" s="1">
        <v>100</v>
      </c>
      <c r="E108" s="1">
        <v>100</v>
      </c>
      <c r="H108">
        <v>7</v>
      </c>
      <c r="I108" s="1">
        <f t="shared" si="22"/>
        <v>1.2521346332026873</v>
      </c>
      <c r="J108" s="1">
        <f t="shared" si="23"/>
        <v>0.85843672328606535</v>
      </c>
    </row>
    <row r="109" spans="2:17" x14ac:dyDescent="0.25">
      <c r="C109" s="6" t="s">
        <v>21</v>
      </c>
      <c r="D109" s="3">
        <v>0.04</v>
      </c>
      <c r="E109" s="3">
        <v>0.04</v>
      </c>
      <c r="H109">
        <v>8</v>
      </c>
      <c r="I109" s="1">
        <f t="shared" si="22"/>
        <v>1.2237668889851669</v>
      </c>
      <c r="J109" s="1">
        <f t="shared" si="23"/>
        <v>0.71999798683272032</v>
      </c>
    </row>
    <row r="110" spans="2:17" x14ac:dyDescent="0.25">
      <c r="C110" t="s">
        <v>22</v>
      </c>
      <c r="D110" s="3">
        <v>0.03</v>
      </c>
      <c r="E110" s="3">
        <v>0.06</v>
      </c>
      <c r="H110">
        <v>9</v>
      </c>
      <c r="I110" s="1">
        <f t="shared" si="22"/>
        <v>1.1960418303788032</v>
      </c>
      <c r="J110" s="1">
        <f t="shared" si="23"/>
        <v>0.60388504706411494</v>
      </c>
      <c r="Q110">
        <f>2*77.92-100</f>
        <v>55.84</v>
      </c>
    </row>
    <row r="111" spans="2:17" x14ac:dyDescent="0.25">
      <c r="H111">
        <v>10</v>
      </c>
      <c r="I111" s="1">
        <f t="shared" si="22"/>
        <v>1.1689448970156087</v>
      </c>
      <c r="J111" s="1">
        <f t="shared" si="23"/>
        <v>0.50649745796074708</v>
      </c>
    </row>
    <row r="112" spans="2:17" x14ac:dyDescent="0.25">
      <c r="H112">
        <v>11</v>
      </c>
      <c r="I112" s="1">
        <f t="shared" si="22"/>
        <v>1.1424618584001058</v>
      </c>
      <c r="J112" s="1">
        <f t="shared" si="23"/>
        <v>0.42481541175412096</v>
      </c>
    </row>
    <row r="113" spans="8:10" x14ac:dyDescent="0.25">
      <c r="H113">
        <v>12</v>
      </c>
      <c r="I113" s="1">
        <f t="shared" si="22"/>
        <v>1.1165788064358997</v>
      </c>
      <c r="J113" s="1">
        <f t="shared" si="23"/>
        <v>0.35630610031177973</v>
      </c>
    </row>
    <row r="114" spans="8:10" x14ac:dyDescent="0.25">
      <c r="H114">
        <v>13</v>
      </c>
      <c r="I114" s="1">
        <f t="shared" si="22"/>
        <v>1.0912821481215613</v>
      </c>
      <c r="J114" s="1">
        <f t="shared" si="23"/>
        <v>0.2988451774740879</v>
      </c>
    </row>
    <row r="115" spans="8:10" x14ac:dyDescent="0.25">
      <c r="H115">
        <v>14</v>
      </c>
      <c r="I115" s="1">
        <f t="shared" si="22"/>
        <v>1.0665585984119925</v>
      </c>
      <c r="J115" s="1">
        <f t="shared" si="23"/>
        <v>0.25065088703609412</v>
      </c>
    </row>
    <row r="116" spans="8:10" x14ac:dyDescent="0.25">
      <c r="H116">
        <v>15</v>
      </c>
      <c r="I116" s="1">
        <f t="shared" si="22"/>
        <v>1.0423951732415209</v>
      </c>
      <c r="J116" s="1">
        <f t="shared" si="23"/>
        <v>0.21022881380586533</v>
      </c>
    </row>
    <row r="117" spans="8:10" x14ac:dyDescent="0.25">
      <c r="H117">
        <v>16</v>
      </c>
      <c r="I117" s="1">
        <f t="shared" si="22"/>
        <v>1.0187791827050572</v>
      </c>
      <c r="J117" s="1">
        <f t="shared" si="23"/>
        <v>0.17632554457250682</v>
      </c>
    </row>
    <row r="118" spans="8:10" x14ac:dyDescent="0.25">
      <c r="H118">
        <v>17</v>
      </c>
      <c r="I118" s="1">
        <f t="shared" si="22"/>
        <v>0.99569822439373645</v>
      </c>
      <c r="J118" s="1">
        <f t="shared" si="23"/>
        <v>0.1478898020967841</v>
      </c>
    </row>
    <row r="119" spans="8:10" x14ac:dyDescent="0.25">
      <c r="H119">
        <v>18</v>
      </c>
      <c r="I119" s="1">
        <f t="shared" si="22"/>
        <v>0.97314017688154952</v>
      </c>
      <c r="J119" s="1">
        <f t="shared" si="23"/>
        <v>0.12403984696177832</v>
      </c>
    </row>
    <row r="120" spans="8:10" x14ac:dyDescent="0.25">
      <c r="H120">
        <v>19</v>
      </c>
      <c r="I120" s="1">
        <f t="shared" si="22"/>
        <v>0.95109319335953058</v>
      </c>
      <c r="J120" s="1">
        <f t="shared" si="23"/>
        <v>0.10403613647567356</v>
      </c>
    </row>
    <row r="121" spans="8:10" x14ac:dyDescent="0.25">
      <c r="H121">
        <v>20</v>
      </c>
      <c r="I121" s="1">
        <f t="shared" si="22"/>
        <v>0.92954569541417142</v>
      </c>
      <c r="J121" s="1">
        <f t="shared" si="23"/>
        <v>8.7258392830169604E-2</v>
      </c>
    </row>
    <row r="122" spans="8:10" x14ac:dyDescent="0.25">
      <c r="I122" s="1">
        <f>SUM(I102:I121)+D108*(1+D109)/(1+D105)^10</f>
        <v>89.417142434063095</v>
      </c>
      <c r="J122" s="1">
        <f>SUM(J102:J121)+E108*(1+E109)/(1+E105)^10</f>
        <v>18.853984518684609</v>
      </c>
    </row>
  </sheetData>
  <pageMargins left="0.7" right="0.7" top="0.75" bottom="0.75" header="0.3" footer="0.3"/>
  <pageSetup scale="3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2015-05-05T13:32:22Z</cp:lastPrinted>
  <dcterms:created xsi:type="dcterms:W3CDTF">2015-05-04T21:52:03Z</dcterms:created>
  <dcterms:modified xsi:type="dcterms:W3CDTF">2015-05-05T15:21:21Z</dcterms:modified>
</cp:coreProperties>
</file>