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4365" windowWidth="18930" windowHeight="8010" tabRatio="500"/>
  </bookViews>
  <sheets>
    <sheet name="Pass-through" sheetId="1" r:id="rId1"/>
    <sheet name="Sequential" sheetId="3" r:id="rId2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364" i="3" l="1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O10" i="3" s="1"/>
  <c r="P11" i="3" s="1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K11" i="3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10" i="3"/>
  <c r="L11" i="3" s="1"/>
  <c r="I11" i="3"/>
  <c r="I10" i="3"/>
  <c r="G10" i="3"/>
  <c r="H11" i="3" s="1"/>
  <c r="H10" i="3"/>
  <c r="G11" i="3"/>
  <c r="I12" i="3" s="1"/>
  <c r="P10" i="3"/>
  <c r="L10" i="3"/>
  <c r="D3" i="3"/>
  <c r="D2" i="3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C357" i="1"/>
  <c r="F357" i="1"/>
  <c r="G357" i="1"/>
  <c r="H357" i="1"/>
  <c r="I357" i="1"/>
  <c r="M357" i="1"/>
  <c r="N357" i="1"/>
  <c r="O357" i="1"/>
  <c r="J357" i="1" s="1"/>
  <c r="K357" i="1" s="1"/>
  <c r="E357" i="1" s="1"/>
  <c r="C358" i="1"/>
  <c r="M358" i="1"/>
  <c r="N358" i="1"/>
  <c r="O358" i="1"/>
  <c r="C359" i="1"/>
  <c r="M359" i="1"/>
  <c r="N359" i="1"/>
  <c r="O359" i="1"/>
  <c r="C360" i="1"/>
  <c r="M360" i="1"/>
  <c r="N360" i="1"/>
  <c r="O360" i="1"/>
  <c r="C361" i="1"/>
  <c r="M361" i="1"/>
  <c r="N361" i="1"/>
  <c r="O361" i="1"/>
  <c r="C362" i="1"/>
  <c r="M362" i="1"/>
  <c r="N362" i="1"/>
  <c r="O362" i="1"/>
  <c r="C363" i="1"/>
  <c r="M363" i="1"/>
  <c r="N363" i="1"/>
  <c r="O363" i="1"/>
  <c r="C364" i="1"/>
  <c r="M364" i="1"/>
  <c r="N364" i="1"/>
  <c r="O364" i="1"/>
  <c r="C365" i="1"/>
  <c r="M365" i="1"/>
  <c r="N365" i="1"/>
  <c r="O365" i="1"/>
  <c r="C366" i="1"/>
  <c r="M366" i="1"/>
  <c r="N366" i="1"/>
  <c r="O366" i="1"/>
  <c r="C367" i="1"/>
  <c r="M367" i="1"/>
  <c r="N367" i="1"/>
  <c r="O367" i="1"/>
  <c r="C368" i="1"/>
  <c r="M368" i="1"/>
  <c r="N368" i="1"/>
  <c r="O368" i="1"/>
  <c r="C369" i="1"/>
  <c r="M369" i="1"/>
  <c r="N369" i="1"/>
  <c r="O369" i="1"/>
  <c r="C370" i="1"/>
  <c r="M370" i="1"/>
  <c r="N370" i="1"/>
  <c r="O370" i="1"/>
  <c r="C371" i="1"/>
  <c r="M371" i="1"/>
  <c r="N371" i="1"/>
  <c r="O371" i="1"/>
  <c r="C372" i="1"/>
  <c r="M372" i="1"/>
  <c r="N372" i="1"/>
  <c r="O372" i="1"/>
  <c r="C49" i="1"/>
  <c r="G49" i="1"/>
  <c r="H49" i="1"/>
  <c r="I49" i="1"/>
  <c r="F49" i="1" s="1"/>
  <c r="M49" i="1"/>
  <c r="N49" i="1"/>
  <c r="O49" i="1" s="1"/>
  <c r="C50" i="1"/>
  <c r="M50" i="1"/>
  <c r="N50" i="1"/>
  <c r="O50" i="1" s="1"/>
  <c r="C51" i="1"/>
  <c r="M51" i="1"/>
  <c r="N51" i="1"/>
  <c r="O51" i="1" s="1"/>
  <c r="C52" i="1"/>
  <c r="M52" i="1"/>
  <c r="N52" i="1"/>
  <c r="O52" i="1" s="1"/>
  <c r="C53" i="1"/>
  <c r="M53" i="1"/>
  <c r="N53" i="1"/>
  <c r="O53" i="1" s="1"/>
  <c r="C54" i="1"/>
  <c r="M54" i="1"/>
  <c r="N54" i="1"/>
  <c r="O54" i="1" s="1"/>
  <c r="C55" i="1"/>
  <c r="M55" i="1"/>
  <c r="N55" i="1"/>
  <c r="O55" i="1" s="1"/>
  <c r="C56" i="1"/>
  <c r="M56" i="1"/>
  <c r="N56" i="1"/>
  <c r="O56" i="1" s="1"/>
  <c r="C57" i="1"/>
  <c r="M57" i="1"/>
  <c r="N57" i="1"/>
  <c r="O57" i="1" s="1"/>
  <c r="C58" i="1"/>
  <c r="M58" i="1"/>
  <c r="N58" i="1"/>
  <c r="O58" i="1" s="1"/>
  <c r="C59" i="1"/>
  <c r="M59" i="1"/>
  <c r="N59" i="1"/>
  <c r="O59" i="1" s="1"/>
  <c r="C60" i="1"/>
  <c r="M60" i="1"/>
  <c r="N60" i="1"/>
  <c r="O60" i="1" s="1"/>
  <c r="C61" i="1"/>
  <c r="M61" i="1"/>
  <c r="N61" i="1"/>
  <c r="O61" i="1" s="1"/>
  <c r="C62" i="1"/>
  <c r="M62" i="1"/>
  <c r="N62" i="1"/>
  <c r="O62" i="1" s="1"/>
  <c r="C63" i="1"/>
  <c r="M63" i="1"/>
  <c r="N63" i="1"/>
  <c r="O63" i="1" s="1"/>
  <c r="C64" i="1"/>
  <c r="M64" i="1"/>
  <c r="N64" i="1"/>
  <c r="O64" i="1" s="1"/>
  <c r="C65" i="1"/>
  <c r="M65" i="1"/>
  <c r="N65" i="1"/>
  <c r="O65" i="1" s="1"/>
  <c r="C66" i="1"/>
  <c r="M66" i="1"/>
  <c r="N66" i="1"/>
  <c r="O66" i="1" s="1"/>
  <c r="C67" i="1"/>
  <c r="M67" i="1"/>
  <c r="N67" i="1"/>
  <c r="O67" i="1" s="1"/>
  <c r="C68" i="1"/>
  <c r="M68" i="1"/>
  <c r="N68" i="1"/>
  <c r="O68" i="1" s="1"/>
  <c r="C69" i="1"/>
  <c r="M69" i="1"/>
  <c r="N69" i="1"/>
  <c r="O69" i="1" s="1"/>
  <c r="C70" i="1"/>
  <c r="M70" i="1"/>
  <c r="N70" i="1"/>
  <c r="O70" i="1" s="1"/>
  <c r="C71" i="1"/>
  <c r="M71" i="1"/>
  <c r="N71" i="1"/>
  <c r="O71" i="1" s="1"/>
  <c r="C72" i="1"/>
  <c r="M72" i="1"/>
  <c r="N72" i="1"/>
  <c r="O72" i="1" s="1"/>
  <c r="C73" i="1"/>
  <c r="M73" i="1"/>
  <c r="N73" i="1"/>
  <c r="O73" i="1" s="1"/>
  <c r="C74" i="1"/>
  <c r="M74" i="1"/>
  <c r="N74" i="1"/>
  <c r="O74" i="1" s="1"/>
  <c r="C75" i="1"/>
  <c r="M75" i="1"/>
  <c r="N75" i="1"/>
  <c r="O75" i="1" s="1"/>
  <c r="C76" i="1"/>
  <c r="M76" i="1"/>
  <c r="N76" i="1"/>
  <c r="O76" i="1" s="1"/>
  <c r="C77" i="1"/>
  <c r="M77" i="1"/>
  <c r="N77" i="1"/>
  <c r="O77" i="1" s="1"/>
  <c r="C78" i="1"/>
  <c r="M78" i="1"/>
  <c r="N78" i="1"/>
  <c r="O78" i="1" s="1"/>
  <c r="C79" i="1"/>
  <c r="M79" i="1"/>
  <c r="N79" i="1"/>
  <c r="O79" i="1" s="1"/>
  <c r="C80" i="1"/>
  <c r="M80" i="1"/>
  <c r="N80" i="1"/>
  <c r="O80" i="1" s="1"/>
  <c r="C81" i="1"/>
  <c r="M81" i="1"/>
  <c r="N81" i="1"/>
  <c r="O81" i="1" s="1"/>
  <c r="C82" i="1"/>
  <c r="M82" i="1"/>
  <c r="N82" i="1"/>
  <c r="O82" i="1" s="1"/>
  <c r="C83" i="1"/>
  <c r="M83" i="1"/>
  <c r="N83" i="1"/>
  <c r="O83" i="1" s="1"/>
  <c r="C84" i="1"/>
  <c r="M84" i="1"/>
  <c r="N84" i="1"/>
  <c r="O84" i="1"/>
  <c r="C85" i="1"/>
  <c r="M85" i="1"/>
  <c r="N85" i="1"/>
  <c r="O85" i="1" s="1"/>
  <c r="C86" i="1"/>
  <c r="M86" i="1"/>
  <c r="N86" i="1"/>
  <c r="O86" i="1"/>
  <c r="C87" i="1"/>
  <c r="M87" i="1"/>
  <c r="N87" i="1"/>
  <c r="O87" i="1" s="1"/>
  <c r="C88" i="1"/>
  <c r="M88" i="1"/>
  <c r="N88" i="1"/>
  <c r="O88" i="1"/>
  <c r="C89" i="1"/>
  <c r="M89" i="1"/>
  <c r="N89" i="1"/>
  <c r="O89" i="1" s="1"/>
  <c r="C90" i="1"/>
  <c r="M90" i="1"/>
  <c r="N90" i="1"/>
  <c r="O90" i="1"/>
  <c r="C91" i="1"/>
  <c r="M91" i="1"/>
  <c r="N91" i="1"/>
  <c r="O91" i="1" s="1"/>
  <c r="C92" i="1"/>
  <c r="M92" i="1"/>
  <c r="N92" i="1"/>
  <c r="O92" i="1"/>
  <c r="C93" i="1"/>
  <c r="M93" i="1"/>
  <c r="N93" i="1"/>
  <c r="O93" i="1" s="1"/>
  <c r="C94" i="1"/>
  <c r="M94" i="1"/>
  <c r="N94" i="1"/>
  <c r="O94" i="1"/>
  <c r="C95" i="1"/>
  <c r="M95" i="1"/>
  <c r="N95" i="1"/>
  <c r="O95" i="1" s="1"/>
  <c r="C96" i="1"/>
  <c r="M96" i="1"/>
  <c r="N96" i="1"/>
  <c r="O96" i="1" s="1"/>
  <c r="C97" i="1"/>
  <c r="M97" i="1"/>
  <c r="N97" i="1"/>
  <c r="O97" i="1" s="1"/>
  <c r="C98" i="1"/>
  <c r="M98" i="1"/>
  <c r="N98" i="1"/>
  <c r="O98" i="1" s="1"/>
  <c r="C99" i="1"/>
  <c r="M99" i="1"/>
  <c r="N99" i="1"/>
  <c r="O99" i="1" s="1"/>
  <c r="C100" i="1"/>
  <c r="M100" i="1"/>
  <c r="N100" i="1"/>
  <c r="O100" i="1" s="1"/>
  <c r="C101" i="1"/>
  <c r="M101" i="1"/>
  <c r="N101" i="1"/>
  <c r="O101" i="1" s="1"/>
  <c r="C102" i="1"/>
  <c r="M102" i="1"/>
  <c r="N102" i="1"/>
  <c r="O102" i="1" s="1"/>
  <c r="C103" i="1"/>
  <c r="M103" i="1"/>
  <c r="N103" i="1"/>
  <c r="O103" i="1" s="1"/>
  <c r="C104" i="1"/>
  <c r="M104" i="1"/>
  <c r="N104" i="1"/>
  <c r="O104" i="1" s="1"/>
  <c r="C105" i="1"/>
  <c r="M105" i="1"/>
  <c r="N105" i="1"/>
  <c r="O105" i="1" s="1"/>
  <c r="C106" i="1"/>
  <c r="M106" i="1"/>
  <c r="N106" i="1"/>
  <c r="O106" i="1" s="1"/>
  <c r="C107" i="1"/>
  <c r="M107" i="1"/>
  <c r="N107" i="1"/>
  <c r="O107" i="1" s="1"/>
  <c r="C108" i="1"/>
  <c r="M108" i="1"/>
  <c r="N108" i="1"/>
  <c r="O108" i="1" s="1"/>
  <c r="C109" i="1"/>
  <c r="M109" i="1"/>
  <c r="N109" i="1"/>
  <c r="O109" i="1" s="1"/>
  <c r="C110" i="1"/>
  <c r="M110" i="1"/>
  <c r="N110" i="1"/>
  <c r="O110" i="1" s="1"/>
  <c r="C111" i="1"/>
  <c r="M111" i="1"/>
  <c r="N111" i="1"/>
  <c r="O111" i="1" s="1"/>
  <c r="C112" i="1"/>
  <c r="M112" i="1"/>
  <c r="N112" i="1"/>
  <c r="O112" i="1" s="1"/>
  <c r="C113" i="1"/>
  <c r="M113" i="1"/>
  <c r="N113" i="1"/>
  <c r="O113" i="1" s="1"/>
  <c r="C114" i="1"/>
  <c r="M114" i="1"/>
  <c r="N114" i="1"/>
  <c r="O114" i="1" s="1"/>
  <c r="C115" i="1"/>
  <c r="M115" i="1"/>
  <c r="N115" i="1"/>
  <c r="O115" i="1" s="1"/>
  <c r="C116" i="1"/>
  <c r="M116" i="1"/>
  <c r="N116" i="1"/>
  <c r="O116" i="1" s="1"/>
  <c r="C117" i="1"/>
  <c r="M117" i="1"/>
  <c r="N117" i="1"/>
  <c r="O117" i="1" s="1"/>
  <c r="C118" i="1"/>
  <c r="M118" i="1"/>
  <c r="N118" i="1"/>
  <c r="O118" i="1" s="1"/>
  <c r="C119" i="1"/>
  <c r="M119" i="1"/>
  <c r="N119" i="1"/>
  <c r="O119" i="1" s="1"/>
  <c r="C120" i="1"/>
  <c r="M120" i="1"/>
  <c r="N120" i="1"/>
  <c r="O120" i="1" s="1"/>
  <c r="C121" i="1"/>
  <c r="M121" i="1"/>
  <c r="N121" i="1"/>
  <c r="O121" i="1" s="1"/>
  <c r="C122" i="1"/>
  <c r="M122" i="1"/>
  <c r="N122" i="1"/>
  <c r="O122" i="1" s="1"/>
  <c r="C123" i="1"/>
  <c r="M123" i="1"/>
  <c r="N123" i="1"/>
  <c r="O123" i="1" s="1"/>
  <c r="C124" i="1"/>
  <c r="M124" i="1"/>
  <c r="N124" i="1"/>
  <c r="O124" i="1" s="1"/>
  <c r="C125" i="1"/>
  <c r="M125" i="1"/>
  <c r="N125" i="1"/>
  <c r="O125" i="1" s="1"/>
  <c r="C126" i="1"/>
  <c r="M126" i="1"/>
  <c r="N126" i="1"/>
  <c r="O126" i="1" s="1"/>
  <c r="C127" i="1"/>
  <c r="M127" i="1"/>
  <c r="N127" i="1"/>
  <c r="O127" i="1" s="1"/>
  <c r="C128" i="1"/>
  <c r="M128" i="1"/>
  <c r="N128" i="1"/>
  <c r="O128" i="1" s="1"/>
  <c r="C129" i="1"/>
  <c r="M129" i="1"/>
  <c r="N129" i="1"/>
  <c r="O129" i="1" s="1"/>
  <c r="C130" i="1"/>
  <c r="M130" i="1"/>
  <c r="N130" i="1"/>
  <c r="O130" i="1" s="1"/>
  <c r="C131" i="1"/>
  <c r="M131" i="1"/>
  <c r="N131" i="1"/>
  <c r="O131" i="1" s="1"/>
  <c r="C132" i="1"/>
  <c r="M132" i="1"/>
  <c r="N132" i="1"/>
  <c r="O132" i="1" s="1"/>
  <c r="C133" i="1"/>
  <c r="M133" i="1"/>
  <c r="N133" i="1"/>
  <c r="O133" i="1" s="1"/>
  <c r="C134" i="1"/>
  <c r="M134" i="1"/>
  <c r="N134" i="1"/>
  <c r="O134" i="1" s="1"/>
  <c r="C135" i="1"/>
  <c r="M135" i="1"/>
  <c r="N135" i="1"/>
  <c r="O135" i="1" s="1"/>
  <c r="C136" i="1"/>
  <c r="M136" i="1"/>
  <c r="N136" i="1"/>
  <c r="O136" i="1" s="1"/>
  <c r="C137" i="1"/>
  <c r="M137" i="1"/>
  <c r="N137" i="1"/>
  <c r="O137" i="1" s="1"/>
  <c r="C138" i="1"/>
  <c r="M138" i="1"/>
  <c r="N138" i="1"/>
  <c r="O138" i="1" s="1"/>
  <c r="C139" i="1"/>
  <c r="M139" i="1"/>
  <c r="N139" i="1"/>
  <c r="O139" i="1" s="1"/>
  <c r="C140" i="1"/>
  <c r="M140" i="1"/>
  <c r="N140" i="1"/>
  <c r="O140" i="1" s="1"/>
  <c r="C141" i="1"/>
  <c r="M141" i="1"/>
  <c r="N141" i="1"/>
  <c r="O141" i="1" s="1"/>
  <c r="C142" i="1"/>
  <c r="M142" i="1"/>
  <c r="N142" i="1"/>
  <c r="O142" i="1" s="1"/>
  <c r="C143" i="1"/>
  <c r="M143" i="1"/>
  <c r="N143" i="1"/>
  <c r="O143" i="1" s="1"/>
  <c r="C144" i="1"/>
  <c r="M144" i="1"/>
  <c r="N144" i="1"/>
  <c r="O144" i="1" s="1"/>
  <c r="C145" i="1"/>
  <c r="M145" i="1"/>
  <c r="N145" i="1"/>
  <c r="O145" i="1" s="1"/>
  <c r="C146" i="1"/>
  <c r="M146" i="1"/>
  <c r="N146" i="1"/>
  <c r="O146" i="1" s="1"/>
  <c r="C147" i="1"/>
  <c r="M147" i="1"/>
  <c r="N147" i="1"/>
  <c r="O147" i="1" s="1"/>
  <c r="C148" i="1"/>
  <c r="M148" i="1"/>
  <c r="N148" i="1"/>
  <c r="O148" i="1" s="1"/>
  <c r="C149" i="1"/>
  <c r="M149" i="1"/>
  <c r="N149" i="1"/>
  <c r="O149" i="1" s="1"/>
  <c r="C150" i="1"/>
  <c r="M150" i="1"/>
  <c r="N150" i="1"/>
  <c r="O150" i="1" s="1"/>
  <c r="C151" i="1"/>
  <c r="M151" i="1"/>
  <c r="N151" i="1"/>
  <c r="O151" i="1" s="1"/>
  <c r="C152" i="1"/>
  <c r="M152" i="1"/>
  <c r="N152" i="1"/>
  <c r="O152" i="1" s="1"/>
  <c r="C153" i="1"/>
  <c r="M153" i="1"/>
  <c r="N153" i="1"/>
  <c r="O153" i="1" s="1"/>
  <c r="C154" i="1"/>
  <c r="M154" i="1"/>
  <c r="N154" i="1"/>
  <c r="O154" i="1" s="1"/>
  <c r="C155" i="1"/>
  <c r="M155" i="1"/>
  <c r="N155" i="1"/>
  <c r="O155" i="1" s="1"/>
  <c r="C156" i="1"/>
  <c r="M156" i="1"/>
  <c r="N156" i="1"/>
  <c r="O156" i="1" s="1"/>
  <c r="C157" i="1"/>
  <c r="M157" i="1"/>
  <c r="N157" i="1"/>
  <c r="O157" i="1" s="1"/>
  <c r="C158" i="1"/>
  <c r="M158" i="1"/>
  <c r="N158" i="1"/>
  <c r="O158" i="1" s="1"/>
  <c r="C159" i="1"/>
  <c r="M159" i="1"/>
  <c r="N159" i="1"/>
  <c r="O159" i="1" s="1"/>
  <c r="C160" i="1"/>
  <c r="M160" i="1"/>
  <c r="N160" i="1"/>
  <c r="O160" i="1" s="1"/>
  <c r="C161" i="1"/>
  <c r="M161" i="1"/>
  <c r="N161" i="1"/>
  <c r="O161" i="1" s="1"/>
  <c r="C162" i="1"/>
  <c r="M162" i="1"/>
  <c r="N162" i="1"/>
  <c r="O162" i="1" s="1"/>
  <c r="C163" i="1"/>
  <c r="M163" i="1"/>
  <c r="N163" i="1"/>
  <c r="O163" i="1" s="1"/>
  <c r="C164" i="1"/>
  <c r="M164" i="1"/>
  <c r="N164" i="1"/>
  <c r="O164" i="1" s="1"/>
  <c r="C165" i="1"/>
  <c r="M165" i="1"/>
  <c r="N165" i="1"/>
  <c r="O165" i="1" s="1"/>
  <c r="C166" i="1"/>
  <c r="M166" i="1"/>
  <c r="N166" i="1"/>
  <c r="O166" i="1" s="1"/>
  <c r="C167" i="1"/>
  <c r="M167" i="1"/>
  <c r="N167" i="1"/>
  <c r="O167" i="1" s="1"/>
  <c r="C168" i="1"/>
  <c r="M168" i="1"/>
  <c r="N168" i="1"/>
  <c r="O168" i="1"/>
  <c r="C169" i="1"/>
  <c r="M169" i="1"/>
  <c r="N169" i="1"/>
  <c r="O169" i="1"/>
  <c r="C170" i="1"/>
  <c r="M170" i="1"/>
  <c r="N170" i="1"/>
  <c r="O170" i="1"/>
  <c r="C171" i="1"/>
  <c r="M171" i="1"/>
  <c r="N171" i="1"/>
  <c r="O171" i="1"/>
  <c r="C172" i="1"/>
  <c r="M172" i="1"/>
  <c r="N172" i="1"/>
  <c r="O172" i="1"/>
  <c r="C173" i="1"/>
  <c r="M173" i="1"/>
  <c r="N173" i="1"/>
  <c r="O173" i="1"/>
  <c r="C174" i="1"/>
  <c r="M174" i="1"/>
  <c r="N174" i="1"/>
  <c r="O174" i="1" s="1"/>
  <c r="C175" i="1"/>
  <c r="M175" i="1"/>
  <c r="N175" i="1"/>
  <c r="O175" i="1" s="1"/>
  <c r="C176" i="1"/>
  <c r="M176" i="1"/>
  <c r="N176" i="1"/>
  <c r="O176" i="1" s="1"/>
  <c r="C177" i="1"/>
  <c r="M177" i="1"/>
  <c r="N177" i="1"/>
  <c r="O177" i="1" s="1"/>
  <c r="C178" i="1"/>
  <c r="M178" i="1"/>
  <c r="N178" i="1"/>
  <c r="O178" i="1" s="1"/>
  <c r="C179" i="1"/>
  <c r="M179" i="1"/>
  <c r="N179" i="1"/>
  <c r="O179" i="1" s="1"/>
  <c r="C180" i="1"/>
  <c r="M180" i="1"/>
  <c r="N180" i="1"/>
  <c r="O180" i="1" s="1"/>
  <c r="C181" i="1"/>
  <c r="M181" i="1"/>
  <c r="N181" i="1"/>
  <c r="O181" i="1" s="1"/>
  <c r="C182" i="1"/>
  <c r="M182" i="1"/>
  <c r="N182" i="1"/>
  <c r="O182" i="1" s="1"/>
  <c r="C183" i="1"/>
  <c r="M183" i="1"/>
  <c r="N183" i="1"/>
  <c r="O183" i="1" s="1"/>
  <c r="C184" i="1"/>
  <c r="M184" i="1"/>
  <c r="N184" i="1"/>
  <c r="O184" i="1" s="1"/>
  <c r="C185" i="1"/>
  <c r="M185" i="1"/>
  <c r="N185" i="1"/>
  <c r="O185" i="1" s="1"/>
  <c r="C186" i="1"/>
  <c r="M186" i="1"/>
  <c r="N186" i="1"/>
  <c r="O186" i="1" s="1"/>
  <c r="C187" i="1"/>
  <c r="M187" i="1"/>
  <c r="N187" i="1"/>
  <c r="O187" i="1" s="1"/>
  <c r="C188" i="1"/>
  <c r="M188" i="1"/>
  <c r="N188" i="1"/>
  <c r="O188" i="1" s="1"/>
  <c r="C189" i="1"/>
  <c r="M189" i="1"/>
  <c r="N189" i="1"/>
  <c r="O189" i="1" s="1"/>
  <c r="C190" i="1"/>
  <c r="M190" i="1"/>
  <c r="N190" i="1"/>
  <c r="O190" i="1" s="1"/>
  <c r="C191" i="1"/>
  <c r="M191" i="1"/>
  <c r="N191" i="1"/>
  <c r="O191" i="1" s="1"/>
  <c r="C192" i="1"/>
  <c r="M192" i="1"/>
  <c r="N192" i="1"/>
  <c r="O192" i="1" s="1"/>
  <c r="C193" i="1"/>
  <c r="M193" i="1"/>
  <c r="N193" i="1"/>
  <c r="O193" i="1" s="1"/>
  <c r="C194" i="1"/>
  <c r="M194" i="1"/>
  <c r="N194" i="1"/>
  <c r="O194" i="1" s="1"/>
  <c r="C195" i="1"/>
  <c r="M195" i="1"/>
  <c r="N195" i="1"/>
  <c r="O195" i="1" s="1"/>
  <c r="C196" i="1"/>
  <c r="M196" i="1"/>
  <c r="N196" i="1"/>
  <c r="O196" i="1" s="1"/>
  <c r="C197" i="1"/>
  <c r="M197" i="1"/>
  <c r="N197" i="1"/>
  <c r="O197" i="1" s="1"/>
  <c r="C198" i="1"/>
  <c r="M198" i="1"/>
  <c r="N198" i="1"/>
  <c r="O198" i="1" s="1"/>
  <c r="C199" i="1"/>
  <c r="M199" i="1"/>
  <c r="N199" i="1"/>
  <c r="O199" i="1" s="1"/>
  <c r="C200" i="1"/>
  <c r="M200" i="1"/>
  <c r="N200" i="1"/>
  <c r="O200" i="1" s="1"/>
  <c r="C201" i="1"/>
  <c r="M201" i="1"/>
  <c r="N201" i="1"/>
  <c r="O201" i="1" s="1"/>
  <c r="C202" i="1"/>
  <c r="M202" i="1"/>
  <c r="N202" i="1"/>
  <c r="O202" i="1" s="1"/>
  <c r="C203" i="1"/>
  <c r="M203" i="1"/>
  <c r="N203" i="1"/>
  <c r="O203" i="1" s="1"/>
  <c r="C204" i="1"/>
  <c r="M204" i="1"/>
  <c r="N204" i="1"/>
  <c r="O204" i="1" s="1"/>
  <c r="C205" i="1"/>
  <c r="M205" i="1"/>
  <c r="N205" i="1"/>
  <c r="O205" i="1" s="1"/>
  <c r="C206" i="1"/>
  <c r="M206" i="1"/>
  <c r="N206" i="1"/>
  <c r="O206" i="1" s="1"/>
  <c r="C207" i="1"/>
  <c r="M207" i="1"/>
  <c r="N207" i="1"/>
  <c r="O207" i="1" s="1"/>
  <c r="C208" i="1"/>
  <c r="M208" i="1"/>
  <c r="N208" i="1"/>
  <c r="O208" i="1" s="1"/>
  <c r="C209" i="1"/>
  <c r="M209" i="1"/>
  <c r="N209" i="1"/>
  <c r="O209" i="1" s="1"/>
  <c r="C210" i="1"/>
  <c r="M210" i="1"/>
  <c r="N210" i="1"/>
  <c r="O210" i="1" s="1"/>
  <c r="C211" i="1"/>
  <c r="M211" i="1"/>
  <c r="N211" i="1"/>
  <c r="O211" i="1" s="1"/>
  <c r="C212" i="1"/>
  <c r="M212" i="1"/>
  <c r="N212" i="1"/>
  <c r="O212" i="1" s="1"/>
  <c r="C213" i="1"/>
  <c r="M213" i="1"/>
  <c r="N213" i="1"/>
  <c r="O213" i="1"/>
  <c r="C214" i="1"/>
  <c r="M214" i="1"/>
  <c r="N214" i="1"/>
  <c r="O214" i="1"/>
  <c r="C215" i="1"/>
  <c r="M215" i="1"/>
  <c r="N215" i="1"/>
  <c r="O215" i="1"/>
  <c r="C216" i="1"/>
  <c r="M216" i="1"/>
  <c r="N216" i="1"/>
  <c r="O216" i="1"/>
  <c r="C217" i="1"/>
  <c r="M217" i="1"/>
  <c r="N217" i="1"/>
  <c r="O217" i="1"/>
  <c r="C218" i="1"/>
  <c r="M218" i="1"/>
  <c r="N218" i="1"/>
  <c r="O218" i="1"/>
  <c r="C219" i="1"/>
  <c r="M219" i="1"/>
  <c r="N219" i="1"/>
  <c r="O219" i="1"/>
  <c r="C220" i="1"/>
  <c r="M220" i="1"/>
  <c r="N220" i="1"/>
  <c r="O220" i="1"/>
  <c r="C221" i="1"/>
  <c r="M221" i="1"/>
  <c r="N221" i="1"/>
  <c r="O221" i="1"/>
  <c r="C222" i="1"/>
  <c r="M222" i="1"/>
  <c r="N222" i="1"/>
  <c r="O222" i="1"/>
  <c r="C223" i="1"/>
  <c r="M223" i="1"/>
  <c r="N223" i="1"/>
  <c r="O223" i="1"/>
  <c r="C224" i="1"/>
  <c r="M224" i="1"/>
  <c r="N224" i="1"/>
  <c r="O224" i="1"/>
  <c r="C225" i="1"/>
  <c r="M225" i="1"/>
  <c r="N225" i="1"/>
  <c r="O225" i="1"/>
  <c r="C226" i="1"/>
  <c r="M226" i="1"/>
  <c r="N226" i="1"/>
  <c r="O226" i="1"/>
  <c r="C227" i="1"/>
  <c r="M227" i="1"/>
  <c r="N227" i="1"/>
  <c r="O227" i="1"/>
  <c r="C228" i="1"/>
  <c r="M228" i="1"/>
  <c r="N228" i="1"/>
  <c r="O228" i="1"/>
  <c r="C229" i="1"/>
  <c r="M229" i="1"/>
  <c r="N229" i="1"/>
  <c r="O229" i="1"/>
  <c r="C230" i="1"/>
  <c r="M230" i="1"/>
  <c r="N230" i="1"/>
  <c r="O230" i="1"/>
  <c r="C231" i="1"/>
  <c r="M231" i="1"/>
  <c r="N231" i="1"/>
  <c r="O231" i="1"/>
  <c r="C232" i="1"/>
  <c r="M232" i="1"/>
  <c r="N232" i="1"/>
  <c r="O232" i="1"/>
  <c r="C233" i="1"/>
  <c r="M233" i="1"/>
  <c r="N233" i="1"/>
  <c r="O233" i="1" s="1"/>
  <c r="C234" i="1"/>
  <c r="M234" i="1"/>
  <c r="N234" i="1"/>
  <c r="O234" i="1" s="1"/>
  <c r="C235" i="1"/>
  <c r="M235" i="1"/>
  <c r="N235" i="1"/>
  <c r="O235" i="1" s="1"/>
  <c r="C236" i="1"/>
  <c r="M236" i="1"/>
  <c r="N236" i="1"/>
  <c r="O236" i="1" s="1"/>
  <c r="C237" i="1"/>
  <c r="M237" i="1"/>
  <c r="N237" i="1"/>
  <c r="O237" i="1" s="1"/>
  <c r="C238" i="1"/>
  <c r="M238" i="1"/>
  <c r="N238" i="1"/>
  <c r="O238" i="1" s="1"/>
  <c r="C239" i="1"/>
  <c r="M239" i="1"/>
  <c r="N239" i="1"/>
  <c r="O239" i="1" s="1"/>
  <c r="C240" i="1"/>
  <c r="M240" i="1"/>
  <c r="N240" i="1"/>
  <c r="O240" i="1" s="1"/>
  <c r="C241" i="1"/>
  <c r="M241" i="1"/>
  <c r="N241" i="1"/>
  <c r="O241" i="1" s="1"/>
  <c r="C242" i="1"/>
  <c r="M242" i="1"/>
  <c r="N242" i="1"/>
  <c r="O242" i="1" s="1"/>
  <c r="C243" i="1"/>
  <c r="M243" i="1"/>
  <c r="N243" i="1"/>
  <c r="O243" i="1" s="1"/>
  <c r="C244" i="1"/>
  <c r="M244" i="1"/>
  <c r="N244" i="1"/>
  <c r="O244" i="1" s="1"/>
  <c r="C245" i="1"/>
  <c r="M245" i="1"/>
  <c r="N245" i="1"/>
  <c r="O245" i="1" s="1"/>
  <c r="C246" i="1"/>
  <c r="M246" i="1"/>
  <c r="N246" i="1"/>
  <c r="O246" i="1" s="1"/>
  <c r="C247" i="1"/>
  <c r="M247" i="1"/>
  <c r="N247" i="1"/>
  <c r="O247" i="1" s="1"/>
  <c r="C248" i="1"/>
  <c r="M248" i="1"/>
  <c r="N248" i="1"/>
  <c r="O248" i="1" s="1"/>
  <c r="C249" i="1"/>
  <c r="M249" i="1"/>
  <c r="N249" i="1"/>
  <c r="O249" i="1" s="1"/>
  <c r="C250" i="1"/>
  <c r="M250" i="1"/>
  <c r="N250" i="1"/>
  <c r="O250" i="1" s="1"/>
  <c r="C251" i="1"/>
  <c r="M251" i="1"/>
  <c r="N251" i="1"/>
  <c r="O251" i="1" s="1"/>
  <c r="C252" i="1"/>
  <c r="M252" i="1"/>
  <c r="N252" i="1"/>
  <c r="O252" i="1" s="1"/>
  <c r="C253" i="1"/>
  <c r="M253" i="1"/>
  <c r="N253" i="1"/>
  <c r="O253" i="1" s="1"/>
  <c r="C254" i="1"/>
  <c r="M254" i="1"/>
  <c r="N254" i="1"/>
  <c r="O254" i="1" s="1"/>
  <c r="C255" i="1"/>
  <c r="M255" i="1"/>
  <c r="N255" i="1"/>
  <c r="O255" i="1" s="1"/>
  <c r="C256" i="1"/>
  <c r="M256" i="1"/>
  <c r="N256" i="1"/>
  <c r="O256" i="1" s="1"/>
  <c r="C257" i="1"/>
  <c r="M257" i="1"/>
  <c r="N257" i="1"/>
  <c r="O257" i="1" s="1"/>
  <c r="C258" i="1"/>
  <c r="M258" i="1"/>
  <c r="N258" i="1"/>
  <c r="O258" i="1" s="1"/>
  <c r="C259" i="1"/>
  <c r="M259" i="1"/>
  <c r="N259" i="1"/>
  <c r="O259" i="1" s="1"/>
  <c r="C260" i="1"/>
  <c r="M260" i="1"/>
  <c r="N260" i="1"/>
  <c r="O260" i="1" s="1"/>
  <c r="C261" i="1"/>
  <c r="M261" i="1"/>
  <c r="N261" i="1"/>
  <c r="O261" i="1" s="1"/>
  <c r="C262" i="1"/>
  <c r="M262" i="1"/>
  <c r="N262" i="1"/>
  <c r="O262" i="1" s="1"/>
  <c r="C263" i="1"/>
  <c r="M263" i="1"/>
  <c r="N263" i="1"/>
  <c r="O263" i="1" s="1"/>
  <c r="C264" i="1"/>
  <c r="M264" i="1"/>
  <c r="N264" i="1"/>
  <c r="O264" i="1" s="1"/>
  <c r="C265" i="1"/>
  <c r="M265" i="1"/>
  <c r="N265" i="1"/>
  <c r="O265" i="1" s="1"/>
  <c r="C266" i="1"/>
  <c r="M266" i="1"/>
  <c r="N266" i="1"/>
  <c r="O266" i="1" s="1"/>
  <c r="C267" i="1"/>
  <c r="M267" i="1"/>
  <c r="N267" i="1"/>
  <c r="O267" i="1" s="1"/>
  <c r="C268" i="1"/>
  <c r="M268" i="1"/>
  <c r="N268" i="1"/>
  <c r="O268" i="1" s="1"/>
  <c r="C269" i="1"/>
  <c r="M269" i="1"/>
  <c r="N269" i="1"/>
  <c r="O269" i="1" s="1"/>
  <c r="C270" i="1"/>
  <c r="M270" i="1"/>
  <c r="N270" i="1"/>
  <c r="O270" i="1" s="1"/>
  <c r="C271" i="1"/>
  <c r="M271" i="1"/>
  <c r="N271" i="1"/>
  <c r="O271" i="1" s="1"/>
  <c r="C272" i="1"/>
  <c r="M272" i="1"/>
  <c r="N272" i="1"/>
  <c r="O272" i="1" s="1"/>
  <c r="C273" i="1"/>
  <c r="M273" i="1"/>
  <c r="N273" i="1"/>
  <c r="O273" i="1" s="1"/>
  <c r="C274" i="1"/>
  <c r="M274" i="1"/>
  <c r="N274" i="1"/>
  <c r="O274" i="1" s="1"/>
  <c r="C275" i="1"/>
  <c r="M275" i="1"/>
  <c r="N275" i="1"/>
  <c r="O275" i="1" s="1"/>
  <c r="C276" i="1"/>
  <c r="M276" i="1"/>
  <c r="N276" i="1"/>
  <c r="O276" i="1" s="1"/>
  <c r="C277" i="1"/>
  <c r="M277" i="1"/>
  <c r="N277" i="1"/>
  <c r="O277" i="1" s="1"/>
  <c r="C278" i="1"/>
  <c r="M278" i="1"/>
  <c r="N278" i="1"/>
  <c r="O278" i="1" s="1"/>
  <c r="C279" i="1"/>
  <c r="M279" i="1"/>
  <c r="N279" i="1"/>
  <c r="O279" i="1" s="1"/>
  <c r="C280" i="1"/>
  <c r="M280" i="1"/>
  <c r="N280" i="1"/>
  <c r="O280" i="1" s="1"/>
  <c r="C281" i="1"/>
  <c r="M281" i="1"/>
  <c r="N281" i="1"/>
  <c r="O281" i="1" s="1"/>
  <c r="C282" i="1"/>
  <c r="M282" i="1"/>
  <c r="N282" i="1"/>
  <c r="O282" i="1" s="1"/>
  <c r="C283" i="1"/>
  <c r="M283" i="1"/>
  <c r="N283" i="1"/>
  <c r="O283" i="1" s="1"/>
  <c r="C284" i="1"/>
  <c r="M284" i="1"/>
  <c r="N284" i="1"/>
  <c r="O284" i="1" s="1"/>
  <c r="C285" i="1"/>
  <c r="M285" i="1"/>
  <c r="N285" i="1"/>
  <c r="O285" i="1" s="1"/>
  <c r="C286" i="1"/>
  <c r="M286" i="1"/>
  <c r="N286" i="1"/>
  <c r="O286" i="1" s="1"/>
  <c r="C287" i="1"/>
  <c r="M287" i="1"/>
  <c r="N287" i="1"/>
  <c r="O287" i="1" s="1"/>
  <c r="C288" i="1"/>
  <c r="M288" i="1"/>
  <c r="N288" i="1"/>
  <c r="O288" i="1" s="1"/>
  <c r="C289" i="1"/>
  <c r="M289" i="1"/>
  <c r="N289" i="1"/>
  <c r="O289" i="1" s="1"/>
  <c r="C290" i="1"/>
  <c r="M290" i="1"/>
  <c r="N290" i="1"/>
  <c r="O290" i="1" s="1"/>
  <c r="C291" i="1"/>
  <c r="M291" i="1"/>
  <c r="N291" i="1"/>
  <c r="O291" i="1" s="1"/>
  <c r="C292" i="1"/>
  <c r="M292" i="1"/>
  <c r="N292" i="1"/>
  <c r="O292" i="1" s="1"/>
  <c r="C293" i="1"/>
  <c r="M293" i="1"/>
  <c r="N293" i="1"/>
  <c r="O293" i="1" s="1"/>
  <c r="C294" i="1"/>
  <c r="M294" i="1"/>
  <c r="N294" i="1"/>
  <c r="O294" i="1" s="1"/>
  <c r="C295" i="1"/>
  <c r="M295" i="1"/>
  <c r="N295" i="1"/>
  <c r="O295" i="1" s="1"/>
  <c r="C296" i="1"/>
  <c r="M296" i="1"/>
  <c r="N296" i="1"/>
  <c r="O296" i="1" s="1"/>
  <c r="C297" i="1"/>
  <c r="M297" i="1"/>
  <c r="N297" i="1"/>
  <c r="O297" i="1" s="1"/>
  <c r="C298" i="1"/>
  <c r="M298" i="1"/>
  <c r="N298" i="1"/>
  <c r="O298" i="1" s="1"/>
  <c r="C299" i="1"/>
  <c r="M299" i="1"/>
  <c r="N299" i="1"/>
  <c r="O299" i="1" s="1"/>
  <c r="C300" i="1"/>
  <c r="M300" i="1"/>
  <c r="N300" i="1"/>
  <c r="O300" i="1" s="1"/>
  <c r="C301" i="1"/>
  <c r="M301" i="1"/>
  <c r="N301" i="1"/>
  <c r="O301" i="1" s="1"/>
  <c r="C302" i="1"/>
  <c r="M302" i="1"/>
  <c r="N302" i="1"/>
  <c r="O302" i="1" s="1"/>
  <c r="C303" i="1"/>
  <c r="M303" i="1"/>
  <c r="N303" i="1"/>
  <c r="O303" i="1" s="1"/>
  <c r="C304" i="1"/>
  <c r="M304" i="1"/>
  <c r="N304" i="1"/>
  <c r="O304" i="1" s="1"/>
  <c r="C305" i="1"/>
  <c r="M305" i="1"/>
  <c r="N305" i="1"/>
  <c r="O305" i="1" s="1"/>
  <c r="C306" i="1"/>
  <c r="M306" i="1"/>
  <c r="N306" i="1"/>
  <c r="O306" i="1" s="1"/>
  <c r="C307" i="1"/>
  <c r="M307" i="1"/>
  <c r="N307" i="1"/>
  <c r="O307" i="1" s="1"/>
  <c r="C308" i="1"/>
  <c r="M308" i="1"/>
  <c r="N308" i="1"/>
  <c r="O308" i="1" s="1"/>
  <c r="C309" i="1"/>
  <c r="M309" i="1"/>
  <c r="N309" i="1"/>
  <c r="O309" i="1" s="1"/>
  <c r="C310" i="1"/>
  <c r="M310" i="1"/>
  <c r="N310" i="1"/>
  <c r="O310" i="1" s="1"/>
  <c r="C311" i="1"/>
  <c r="M311" i="1"/>
  <c r="N311" i="1"/>
  <c r="O311" i="1" s="1"/>
  <c r="C312" i="1"/>
  <c r="M312" i="1"/>
  <c r="N312" i="1"/>
  <c r="O312" i="1" s="1"/>
  <c r="C313" i="1"/>
  <c r="M313" i="1"/>
  <c r="N313" i="1"/>
  <c r="O313" i="1" s="1"/>
  <c r="C314" i="1"/>
  <c r="M314" i="1"/>
  <c r="N314" i="1"/>
  <c r="O314" i="1" s="1"/>
  <c r="C315" i="1"/>
  <c r="M315" i="1"/>
  <c r="N315" i="1"/>
  <c r="O315" i="1" s="1"/>
  <c r="C316" i="1"/>
  <c r="M316" i="1"/>
  <c r="N316" i="1"/>
  <c r="O316" i="1" s="1"/>
  <c r="C317" i="1"/>
  <c r="M317" i="1"/>
  <c r="N317" i="1"/>
  <c r="O317" i="1" s="1"/>
  <c r="C318" i="1"/>
  <c r="M318" i="1"/>
  <c r="N318" i="1"/>
  <c r="O318" i="1" s="1"/>
  <c r="C319" i="1"/>
  <c r="M319" i="1"/>
  <c r="N319" i="1"/>
  <c r="O319" i="1" s="1"/>
  <c r="C320" i="1"/>
  <c r="M320" i="1"/>
  <c r="N320" i="1"/>
  <c r="O320" i="1" s="1"/>
  <c r="C321" i="1"/>
  <c r="M321" i="1"/>
  <c r="N321" i="1"/>
  <c r="O321" i="1" s="1"/>
  <c r="C322" i="1"/>
  <c r="M322" i="1"/>
  <c r="N322" i="1"/>
  <c r="O322" i="1" s="1"/>
  <c r="C323" i="1"/>
  <c r="M323" i="1"/>
  <c r="N323" i="1"/>
  <c r="O323" i="1" s="1"/>
  <c r="C324" i="1"/>
  <c r="M324" i="1"/>
  <c r="N324" i="1"/>
  <c r="O324" i="1" s="1"/>
  <c r="C325" i="1"/>
  <c r="M325" i="1"/>
  <c r="N325" i="1"/>
  <c r="O325" i="1" s="1"/>
  <c r="C326" i="1"/>
  <c r="M326" i="1"/>
  <c r="N326" i="1"/>
  <c r="O326" i="1" s="1"/>
  <c r="C327" i="1"/>
  <c r="M327" i="1"/>
  <c r="N327" i="1"/>
  <c r="O327" i="1" s="1"/>
  <c r="C328" i="1"/>
  <c r="M328" i="1"/>
  <c r="N328" i="1"/>
  <c r="O328" i="1" s="1"/>
  <c r="C329" i="1"/>
  <c r="M329" i="1"/>
  <c r="N329" i="1"/>
  <c r="O329" i="1" s="1"/>
  <c r="C330" i="1"/>
  <c r="M330" i="1"/>
  <c r="N330" i="1"/>
  <c r="O330" i="1" s="1"/>
  <c r="C331" i="1"/>
  <c r="M331" i="1"/>
  <c r="N331" i="1"/>
  <c r="O331" i="1" s="1"/>
  <c r="C332" i="1"/>
  <c r="M332" i="1"/>
  <c r="N332" i="1"/>
  <c r="O332" i="1" s="1"/>
  <c r="C333" i="1"/>
  <c r="M333" i="1"/>
  <c r="N333" i="1"/>
  <c r="O333" i="1" s="1"/>
  <c r="C334" i="1"/>
  <c r="M334" i="1"/>
  <c r="N334" i="1"/>
  <c r="O334" i="1" s="1"/>
  <c r="C335" i="1"/>
  <c r="M335" i="1"/>
  <c r="N335" i="1"/>
  <c r="O335" i="1" s="1"/>
  <c r="C336" i="1"/>
  <c r="M336" i="1"/>
  <c r="N336" i="1"/>
  <c r="O336" i="1" s="1"/>
  <c r="C337" i="1"/>
  <c r="M337" i="1"/>
  <c r="N337" i="1"/>
  <c r="O337" i="1" s="1"/>
  <c r="C338" i="1"/>
  <c r="M338" i="1"/>
  <c r="N338" i="1"/>
  <c r="O338" i="1" s="1"/>
  <c r="C339" i="1"/>
  <c r="M339" i="1"/>
  <c r="N339" i="1"/>
  <c r="O339" i="1" s="1"/>
  <c r="C340" i="1"/>
  <c r="M340" i="1"/>
  <c r="N340" i="1"/>
  <c r="O340" i="1" s="1"/>
  <c r="C341" i="1"/>
  <c r="M341" i="1"/>
  <c r="N341" i="1"/>
  <c r="O341" i="1" s="1"/>
  <c r="C342" i="1"/>
  <c r="M342" i="1"/>
  <c r="N342" i="1"/>
  <c r="O342" i="1"/>
  <c r="C343" i="1"/>
  <c r="M343" i="1"/>
  <c r="N343" i="1"/>
  <c r="O343" i="1"/>
  <c r="C344" i="1"/>
  <c r="M344" i="1"/>
  <c r="N344" i="1"/>
  <c r="O344" i="1"/>
  <c r="C345" i="1"/>
  <c r="M345" i="1"/>
  <c r="N345" i="1"/>
  <c r="O345" i="1"/>
  <c r="C346" i="1"/>
  <c r="M346" i="1"/>
  <c r="N346" i="1"/>
  <c r="O346" i="1"/>
  <c r="C347" i="1"/>
  <c r="M347" i="1"/>
  <c r="N347" i="1"/>
  <c r="O347" i="1"/>
  <c r="C348" i="1"/>
  <c r="M348" i="1"/>
  <c r="N348" i="1"/>
  <c r="O348" i="1"/>
  <c r="C349" i="1"/>
  <c r="M349" i="1"/>
  <c r="N349" i="1"/>
  <c r="O349" i="1"/>
  <c r="C350" i="1"/>
  <c r="M350" i="1"/>
  <c r="N350" i="1"/>
  <c r="O350" i="1"/>
  <c r="C351" i="1"/>
  <c r="M351" i="1"/>
  <c r="N351" i="1"/>
  <c r="O351" i="1"/>
  <c r="C352" i="1"/>
  <c r="M352" i="1"/>
  <c r="N352" i="1"/>
  <c r="O352" i="1"/>
  <c r="C353" i="1"/>
  <c r="M353" i="1"/>
  <c r="N353" i="1"/>
  <c r="O353" i="1"/>
  <c r="C354" i="1"/>
  <c r="M354" i="1"/>
  <c r="N354" i="1"/>
  <c r="O354" i="1"/>
  <c r="C355" i="1"/>
  <c r="M355" i="1"/>
  <c r="N355" i="1"/>
  <c r="O355" i="1"/>
  <c r="C356" i="1"/>
  <c r="M356" i="1"/>
  <c r="N356" i="1"/>
  <c r="O356" i="1"/>
  <c r="O11" i="3" l="1"/>
  <c r="P12" i="3" s="1"/>
  <c r="O12" i="3"/>
  <c r="O13" i="3" s="1"/>
  <c r="L15" i="3"/>
  <c r="L19" i="3"/>
  <c r="L23" i="3"/>
  <c r="K27" i="3"/>
  <c r="L27" i="3"/>
  <c r="L12" i="3"/>
  <c r="L16" i="3"/>
  <c r="L20" i="3"/>
  <c r="L24" i="3"/>
  <c r="L13" i="3"/>
  <c r="L17" i="3"/>
  <c r="L21" i="3"/>
  <c r="L25" i="3"/>
  <c r="L14" i="3"/>
  <c r="L18" i="3"/>
  <c r="L22" i="3"/>
  <c r="L26" i="3"/>
  <c r="H12" i="3"/>
  <c r="G358" i="1"/>
  <c r="D357" i="1"/>
  <c r="I358" i="1" s="1"/>
  <c r="F358" i="1" s="1"/>
  <c r="J358" i="1" s="1"/>
  <c r="H358" i="1"/>
  <c r="J49" i="1"/>
  <c r="K49" i="1" s="1"/>
  <c r="E49" i="1" s="1"/>
  <c r="E8" i="1"/>
  <c r="E11" i="1"/>
  <c r="E9" i="1"/>
  <c r="E10" i="1" s="1"/>
  <c r="N23" i="1" s="1"/>
  <c r="O23" i="1" s="1"/>
  <c r="E3" i="1"/>
  <c r="E4" i="1" s="1"/>
  <c r="E2" i="1"/>
  <c r="E17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E5" i="1"/>
  <c r="E7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E6" i="1"/>
  <c r="H18" i="1"/>
  <c r="G18" i="1"/>
  <c r="P13" i="3" l="1"/>
  <c r="O14" i="3"/>
  <c r="P14" i="3"/>
  <c r="K28" i="3"/>
  <c r="L28" i="3"/>
  <c r="G12" i="3"/>
  <c r="I13" i="3" s="1"/>
  <c r="K358" i="1"/>
  <c r="E358" i="1" s="1"/>
  <c r="D49" i="1"/>
  <c r="I50" i="1" s="1"/>
  <c r="H50" i="1"/>
  <c r="G50" i="1"/>
  <c r="N39" i="1"/>
  <c r="O39" i="1" s="1"/>
  <c r="N48" i="1"/>
  <c r="O48" i="1" s="1"/>
  <c r="N44" i="1"/>
  <c r="O44" i="1" s="1"/>
  <c r="N40" i="1"/>
  <c r="O40" i="1" s="1"/>
  <c r="N36" i="1"/>
  <c r="O36" i="1" s="1"/>
  <c r="N32" i="1"/>
  <c r="O32" i="1" s="1"/>
  <c r="N28" i="1"/>
  <c r="O28" i="1" s="1"/>
  <c r="N24" i="1"/>
  <c r="O24" i="1" s="1"/>
  <c r="N20" i="1"/>
  <c r="O20" i="1" s="1"/>
  <c r="N45" i="1"/>
  <c r="O45" i="1" s="1"/>
  <c r="N41" i="1"/>
  <c r="O41" i="1" s="1"/>
  <c r="N37" i="1"/>
  <c r="O37" i="1" s="1"/>
  <c r="N33" i="1"/>
  <c r="O33" i="1" s="1"/>
  <c r="N29" i="1"/>
  <c r="O29" i="1" s="1"/>
  <c r="N25" i="1"/>
  <c r="O25" i="1" s="1"/>
  <c r="N21" i="1"/>
  <c r="O21" i="1" s="1"/>
  <c r="N47" i="1"/>
  <c r="O47" i="1" s="1"/>
  <c r="N46" i="1"/>
  <c r="O46" i="1" s="1"/>
  <c r="N38" i="1"/>
  <c r="O38" i="1" s="1"/>
  <c r="N30" i="1"/>
  <c r="O30" i="1" s="1"/>
  <c r="N22" i="1"/>
  <c r="O22" i="1" s="1"/>
  <c r="N43" i="1"/>
  <c r="O43" i="1" s="1"/>
  <c r="N35" i="1"/>
  <c r="O35" i="1" s="1"/>
  <c r="N27" i="1"/>
  <c r="O27" i="1" s="1"/>
  <c r="N19" i="1"/>
  <c r="O19" i="1" s="1"/>
  <c r="N42" i="1"/>
  <c r="O42" i="1" s="1"/>
  <c r="N34" i="1"/>
  <c r="O34" i="1" s="1"/>
  <c r="N26" i="1"/>
  <c r="O26" i="1" s="1"/>
  <c r="N18" i="1"/>
  <c r="O18" i="1" s="1"/>
  <c r="N31" i="1"/>
  <c r="O31" i="1" s="1"/>
  <c r="C48" i="1"/>
  <c r="C46" i="1"/>
  <c r="C44" i="1"/>
  <c r="C42" i="1"/>
  <c r="C40" i="1"/>
  <c r="C38" i="1"/>
  <c r="C36" i="1"/>
  <c r="C34" i="1"/>
  <c r="C32" i="1"/>
  <c r="C30" i="1"/>
  <c r="C28" i="1"/>
  <c r="C26" i="1"/>
  <c r="C24" i="1"/>
  <c r="C22" i="1"/>
  <c r="C20" i="1"/>
  <c r="C18" i="1"/>
  <c r="D17" i="1"/>
  <c r="I18" i="1" s="1"/>
  <c r="O15" i="3" l="1"/>
  <c r="P15" i="3"/>
  <c r="K29" i="3"/>
  <c r="L29" i="3"/>
  <c r="H13" i="3"/>
  <c r="G359" i="1"/>
  <c r="D358" i="1"/>
  <c r="I359" i="1" s="1"/>
  <c r="H359" i="1"/>
  <c r="F50" i="1"/>
  <c r="J50" i="1" s="1"/>
  <c r="K50" i="1" s="1"/>
  <c r="E50" i="1" s="1"/>
  <c r="F18" i="1"/>
  <c r="J18" i="1" s="1"/>
  <c r="K18" i="1" s="1"/>
  <c r="E18" i="1" s="1"/>
  <c r="P16" i="3" l="1"/>
  <c r="O16" i="3"/>
  <c r="K30" i="3"/>
  <c r="L30" i="3"/>
  <c r="G13" i="3"/>
  <c r="I14" i="3" s="1"/>
  <c r="F359" i="1"/>
  <c r="J359" i="1" s="1"/>
  <c r="K359" i="1" s="1"/>
  <c r="E359" i="1" s="1"/>
  <c r="D50" i="1"/>
  <c r="I51" i="1" s="1"/>
  <c r="F51" i="1"/>
  <c r="J51" i="1" s="1"/>
  <c r="G51" i="1"/>
  <c r="H51" i="1"/>
  <c r="F19" i="1"/>
  <c r="J19" i="1" s="1"/>
  <c r="H19" i="1"/>
  <c r="D18" i="1"/>
  <c r="I19" i="1" s="1"/>
  <c r="G19" i="1"/>
  <c r="P17" i="3" l="1"/>
  <c r="O17" i="3"/>
  <c r="K31" i="3"/>
  <c r="L31" i="3"/>
  <c r="G14" i="3"/>
  <c r="I15" i="3" s="1"/>
  <c r="H14" i="3"/>
  <c r="G360" i="1"/>
  <c r="D359" i="1"/>
  <c r="I360" i="1" s="1"/>
  <c r="H360" i="1"/>
  <c r="K51" i="1"/>
  <c r="E51" i="1" s="1"/>
  <c r="K19" i="1"/>
  <c r="E19" i="1" s="1"/>
  <c r="P18" i="3" l="1"/>
  <c r="O18" i="3"/>
  <c r="K32" i="3"/>
  <c r="L32" i="3"/>
  <c r="H15" i="3"/>
  <c r="G15" i="3"/>
  <c r="I16" i="3" s="1"/>
  <c r="F360" i="1"/>
  <c r="J360" i="1" s="1"/>
  <c r="K360" i="1" s="1"/>
  <c r="E360" i="1" s="1"/>
  <c r="D51" i="1"/>
  <c r="I52" i="1" s="1"/>
  <c r="G52" i="1"/>
  <c r="H52" i="1"/>
  <c r="F20" i="1"/>
  <c r="J20" i="1" s="1"/>
  <c r="G20" i="1"/>
  <c r="D19" i="1"/>
  <c r="I20" i="1" s="1"/>
  <c r="H20" i="1"/>
  <c r="P19" i="3" l="1"/>
  <c r="O19" i="3"/>
  <c r="K33" i="3"/>
  <c r="L33" i="3"/>
  <c r="H16" i="3"/>
  <c r="G361" i="1"/>
  <c r="D360" i="1"/>
  <c r="I361" i="1" s="1"/>
  <c r="H361" i="1"/>
  <c r="F52" i="1"/>
  <c r="J52" i="1" s="1"/>
  <c r="K52" i="1" s="1"/>
  <c r="E52" i="1" s="1"/>
  <c r="K20" i="1"/>
  <c r="E20" i="1" s="1"/>
  <c r="P20" i="3" l="1"/>
  <c r="O20" i="3"/>
  <c r="K34" i="3"/>
  <c r="L34" i="3"/>
  <c r="G16" i="3"/>
  <c r="I17" i="3" s="1"/>
  <c r="F361" i="1"/>
  <c r="J361" i="1" s="1"/>
  <c r="K361" i="1" s="1"/>
  <c r="E361" i="1" s="1"/>
  <c r="G53" i="1"/>
  <c r="D52" i="1"/>
  <c r="I53" i="1" s="1"/>
  <c r="H53" i="1"/>
  <c r="H21" i="1"/>
  <c r="G21" i="1"/>
  <c r="D20" i="1"/>
  <c r="I21" i="1" s="1"/>
  <c r="P21" i="3" l="1"/>
  <c r="O21" i="3"/>
  <c r="K35" i="3"/>
  <c r="L35" i="3"/>
  <c r="G17" i="3"/>
  <c r="I18" i="3" s="1"/>
  <c r="H17" i="3"/>
  <c r="G362" i="1"/>
  <c r="D361" i="1"/>
  <c r="I362" i="1" s="1"/>
  <c r="H362" i="1"/>
  <c r="F53" i="1"/>
  <c r="J53" i="1" s="1"/>
  <c r="K53" i="1" s="1"/>
  <c r="E53" i="1" s="1"/>
  <c r="F21" i="1"/>
  <c r="J21" i="1" s="1"/>
  <c r="K21" i="1" s="1"/>
  <c r="E21" i="1" s="1"/>
  <c r="P22" i="3" l="1"/>
  <c r="O22" i="3"/>
  <c r="K36" i="3"/>
  <c r="L36" i="3"/>
  <c r="H18" i="3"/>
  <c r="G18" i="3"/>
  <c r="I19" i="3" s="1"/>
  <c r="F362" i="1"/>
  <c r="J362" i="1" s="1"/>
  <c r="K362" i="1" s="1"/>
  <c r="E362" i="1" s="1"/>
  <c r="D53" i="1"/>
  <c r="I54" i="1" s="1"/>
  <c r="H54" i="1"/>
  <c r="G54" i="1"/>
  <c r="G22" i="1"/>
  <c r="D21" i="1"/>
  <c r="I22" i="1" s="1"/>
  <c r="H22" i="1"/>
  <c r="O23" i="3" l="1"/>
  <c r="P23" i="3"/>
  <c r="K37" i="3"/>
  <c r="L37" i="3"/>
  <c r="H19" i="3"/>
  <c r="G363" i="1"/>
  <c r="D362" i="1"/>
  <c r="I363" i="1" s="1"/>
  <c r="H363" i="1"/>
  <c r="F54" i="1"/>
  <c r="J54" i="1" s="1"/>
  <c r="K54" i="1" s="1"/>
  <c r="E54" i="1" s="1"/>
  <c r="F22" i="1"/>
  <c r="J22" i="1" s="1"/>
  <c r="K22" i="1" s="1"/>
  <c r="E22" i="1" s="1"/>
  <c r="P24" i="3" l="1"/>
  <c r="O24" i="3"/>
  <c r="K38" i="3"/>
  <c r="L38" i="3"/>
  <c r="G19" i="3"/>
  <c r="I20" i="3" s="1"/>
  <c r="F363" i="1"/>
  <c r="J363" i="1" s="1"/>
  <c r="K363" i="1" s="1"/>
  <c r="E363" i="1" s="1"/>
  <c r="G55" i="1"/>
  <c r="D54" i="1"/>
  <c r="I55" i="1" s="1"/>
  <c r="H55" i="1"/>
  <c r="H23" i="1"/>
  <c r="G23" i="1"/>
  <c r="D22" i="1"/>
  <c r="I23" i="1" s="1"/>
  <c r="F23" i="1" s="1"/>
  <c r="J23" i="1" s="1"/>
  <c r="O25" i="3" l="1"/>
  <c r="P25" i="3"/>
  <c r="K39" i="3"/>
  <c r="L39" i="3"/>
  <c r="H20" i="3"/>
  <c r="G364" i="1"/>
  <c r="D363" i="1"/>
  <c r="I364" i="1" s="1"/>
  <c r="H364" i="1"/>
  <c r="F55" i="1"/>
  <c r="J55" i="1" s="1"/>
  <c r="K55" i="1" s="1"/>
  <c r="E55" i="1" s="1"/>
  <c r="K23" i="1"/>
  <c r="E23" i="1" s="1"/>
  <c r="O26" i="3" l="1"/>
  <c r="P26" i="3"/>
  <c r="K40" i="3"/>
  <c r="L40" i="3"/>
  <c r="G20" i="3"/>
  <c r="I21" i="3" s="1"/>
  <c r="F364" i="1"/>
  <c r="J364" i="1" s="1"/>
  <c r="K364" i="1" s="1"/>
  <c r="E364" i="1" s="1"/>
  <c r="G56" i="1"/>
  <c r="D55" i="1"/>
  <c r="I56" i="1" s="1"/>
  <c r="H56" i="1"/>
  <c r="F24" i="1"/>
  <c r="J24" i="1" s="1"/>
  <c r="G24" i="1"/>
  <c r="H24" i="1"/>
  <c r="D23" i="1"/>
  <c r="I24" i="1" s="1"/>
  <c r="P27" i="3" l="1"/>
  <c r="O27" i="3"/>
  <c r="K41" i="3"/>
  <c r="L41" i="3"/>
  <c r="H21" i="3"/>
  <c r="G365" i="1"/>
  <c r="D364" i="1"/>
  <c r="I365" i="1" s="1"/>
  <c r="H365" i="1"/>
  <c r="F56" i="1"/>
  <c r="J56" i="1" s="1"/>
  <c r="K56" i="1" s="1"/>
  <c r="E56" i="1" s="1"/>
  <c r="K24" i="1"/>
  <c r="E24" i="1" s="1"/>
  <c r="O28" i="3" l="1"/>
  <c r="P28" i="3"/>
  <c r="K42" i="3"/>
  <c r="L42" i="3"/>
  <c r="G21" i="3"/>
  <c r="I22" i="3" s="1"/>
  <c r="F365" i="1"/>
  <c r="J365" i="1" s="1"/>
  <c r="K365" i="1" s="1"/>
  <c r="E365" i="1" s="1"/>
  <c r="G57" i="1"/>
  <c r="D56" i="1"/>
  <c r="I57" i="1" s="1"/>
  <c r="H57" i="1"/>
  <c r="F25" i="1"/>
  <c r="J25" i="1" s="1"/>
  <c r="G25" i="1"/>
  <c r="H25" i="1"/>
  <c r="D24" i="1"/>
  <c r="I25" i="1" s="1"/>
  <c r="O29" i="3" l="1"/>
  <c r="P29" i="3"/>
  <c r="K43" i="3"/>
  <c r="L43" i="3"/>
  <c r="H22" i="3"/>
  <c r="G366" i="1"/>
  <c r="D365" i="1"/>
  <c r="I366" i="1" s="1"/>
  <c r="H366" i="1"/>
  <c r="F57" i="1"/>
  <c r="J57" i="1" s="1"/>
  <c r="K57" i="1" s="1"/>
  <c r="E57" i="1" s="1"/>
  <c r="K25" i="1"/>
  <c r="E25" i="1" s="1"/>
  <c r="O30" i="3" l="1"/>
  <c r="P30" i="3"/>
  <c r="K44" i="3"/>
  <c r="L44" i="3"/>
  <c r="G22" i="3"/>
  <c r="I23" i="3" s="1"/>
  <c r="F366" i="1"/>
  <c r="J366" i="1" s="1"/>
  <c r="K366" i="1" s="1"/>
  <c r="E366" i="1" s="1"/>
  <c r="D57" i="1"/>
  <c r="I58" i="1" s="1"/>
  <c r="H58" i="1"/>
  <c r="G58" i="1"/>
  <c r="G26" i="1"/>
  <c r="D25" i="1"/>
  <c r="I26" i="1" s="1"/>
  <c r="H26" i="1"/>
  <c r="O31" i="3" l="1"/>
  <c r="P31" i="3"/>
  <c r="K45" i="3"/>
  <c r="L45" i="3"/>
  <c r="H23" i="3"/>
  <c r="G367" i="1"/>
  <c r="D366" i="1"/>
  <c r="I367" i="1" s="1"/>
  <c r="H367" i="1"/>
  <c r="F58" i="1"/>
  <c r="J58" i="1" s="1"/>
  <c r="K58" i="1" s="1"/>
  <c r="E58" i="1" s="1"/>
  <c r="F26" i="1"/>
  <c r="J26" i="1" s="1"/>
  <c r="K26" i="1" s="1"/>
  <c r="E26" i="1" s="1"/>
  <c r="O32" i="3" l="1"/>
  <c r="P32" i="3"/>
  <c r="K46" i="3"/>
  <c r="L46" i="3"/>
  <c r="G23" i="3"/>
  <c r="I24" i="3" s="1"/>
  <c r="F367" i="1"/>
  <c r="J367" i="1" s="1"/>
  <c r="K367" i="1" s="1"/>
  <c r="E367" i="1" s="1"/>
  <c r="G59" i="1"/>
  <c r="D58" i="1"/>
  <c r="I59" i="1" s="1"/>
  <c r="H59" i="1"/>
  <c r="G27" i="1"/>
  <c r="H27" i="1"/>
  <c r="D26" i="1"/>
  <c r="I27" i="1" s="1"/>
  <c r="F27" i="1" s="1"/>
  <c r="J27" i="1" s="1"/>
  <c r="O33" i="3" l="1"/>
  <c r="P33" i="3"/>
  <c r="K47" i="3"/>
  <c r="L47" i="3"/>
  <c r="H24" i="3"/>
  <c r="G368" i="1"/>
  <c r="D367" i="1"/>
  <c r="I368" i="1" s="1"/>
  <c r="H368" i="1"/>
  <c r="F59" i="1"/>
  <c r="J59" i="1" s="1"/>
  <c r="K59" i="1" s="1"/>
  <c r="E59" i="1" s="1"/>
  <c r="K27" i="1"/>
  <c r="E27" i="1" s="1"/>
  <c r="O34" i="3" l="1"/>
  <c r="P34" i="3"/>
  <c r="K48" i="3"/>
  <c r="L48" i="3"/>
  <c r="G24" i="3"/>
  <c r="I25" i="3" s="1"/>
  <c r="F368" i="1"/>
  <c r="J368" i="1" s="1"/>
  <c r="K368" i="1" s="1"/>
  <c r="E368" i="1" s="1"/>
  <c r="G60" i="1"/>
  <c r="D59" i="1"/>
  <c r="I60" i="1" s="1"/>
  <c r="H60" i="1"/>
  <c r="H28" i="1"/>
  <c r="G28" i="1"/>
  <c r="D27" i="1"/>
  <c r="I28" i="1" s="1"/>
  <c r="F28" i="1" s="1"/>
  <c r="J28" i="1" s="1"/>
  <c r="P35" i="3" l="1"/>
  <c r="O35" i="3"/>
  <c r="K49" i="3"/>
  <c r="L49" i="3"/>
  <c r="H25" i="3"/>
  <c r="G369" i="1"/>
  <c r="D368" i="1"/>
  <c r="I369" i="1" s="1"/>
  <c r="H369" i="1"/>
  <c r="F60" i="1"/>
  <c r="J60" i="1" s="1"/>
  <c r="K60" i="1" s="1"/>
  <c r="E60" i="1" s="1"/>
  <c r="K28" i="1"/>
  <c r="E28" i="1" s="1"/>
  <c r="O36" i="3" l="1"/>
  <c r="P36" i="3"/>
  <c r="K50" i="3"/>
  <c r="L50" i="3"/>
  <c r="G25" i="3"/>
  <c r="I26" i="3" s="1"/>
  <c r="F369" i="1"/>
  <c r="J369" i="1" s="1"/>
  <c r="K369" i="1" s="1"/>
  <c r="E369" i="1" s="1"/>
  <c r="G61" i="1"/>
  <c r="D60" i="1"/>
  <c r="I61" i="1" s="1"/>
  <c r="H61" i="1"/>
  <c r="G29" i="1"/>
  <c r="D28" i="1"/>
  <c r="I29" i="1" s="1"/>
  <c r="H29" i="1"/>
  <c r="O37" i="3" l="1"/>
  <c r="P37" i="3"/>
  <c r="K51" i="3"/>
  <c r="L51" i="3"/>
  <c r="H26" i="3"/>
  <c r="G370" i="1"/>
  <c r="D369" i="1"/>
  <c r="I370" i="1" s="1"/>
  <c r="H370" i="1"/>
  <c r="F61" i="1"/>
  <c r="J61" i="1" s="1"/>
  <c r="K61" i="1" s="1"/>
  <c r="E61" i="1" s="1"/>
  <c r="F29" i="1"/>
  <c r="J29" i="1" s="1"/>
  <c r="K29" i="1" s="1"/>
  <c r="E29" i="1" s="1"/>
  <c r="O38" i="3" l="1"/>
  <c r="P38" i="3"/>
  <c r="K52" i="3"/>
  <c r="L52" i="3"/>
  <c r="G26" i="3"/>
  <c r="I27" i="3" s="1"/>
  <c r="F370" i="1"/>
  <c r="J370" i="1" s="1"/>
  <c r="K370" i="1" s="1"/>
  <c r="E370" i="1" s="1"/>
  <c r="D61" i="1"/>
  <c r="I62" i="1" s="1"/>
  <c r="H62" i="1"/>
  <c r="G62" i="1"/>
  <c r="G30" i="1"/>
  <c r="H30" i="1"/>
  <c r="D29" i="1"/>
  <c r="I30" i="1" s="1"/>
  <c r="F30" i="1" s="1"/>
  <c r="J30" i="1" s="1"/>
  <c r="O39" i="3" l="1"/>
  <c r="P39" i="3"/>
  <c r="K53" i="3"/>
  <c r="L53" i="3"/>
  <c r="H27" i="3"/>
  <c r="G371" i="1"/>
  <c r="D370" i="1"/>
  <c r="I371" i="1" s="1"/>
  <c r="H371" i="1"/>
  <c r="F62" i="1"/>
  <c r="J62" i="1" s="1"/>
  <c r="K62" i="1" s="1"/>
  <c r="E62" i="1" s="1"/>
  <c r="K30" i="1"/>
  <c r="E30" i="1" s="1"/>
  <c r="P40" i="3" l="1"/>
  <c r="O40" i="3"/>
  <c r="K54" i="3"/>
  <c r="L54" i="3"/>
  <c r="G27" i="3"/>
  <c r="I28" i="3" s="1"/>
  <c r="F371" i="1"/>
  <c r="J371" i="1" s="1"/>
  <c r="K371" i="1" s="1"/>
  <c r="E371" i="1" s="1"/>
  <c r="G63" i="1"/>
  <c r="D62" i="1"/>
  <c r="I63" i="1" s="1"/>
  <c r="H63" i="1"/>
  <c r="G31" i="1"/>
  <c r="D30" i="1"/>
  <c r="I31" i="1" s="1"/>
  <c r="F31" i="1" s="1"/>
  <c r="J31" i="1" s="1"/>
  <c r="H31" i="1"/>
  <c r="O41" i="3" l="1"/>
  <c r="P41" i="3"/>
  <c r="K55" i="3"/>
  <c r="L55" i="3"/>
  <c r="H28" i="3"/>
  <c r="G372" i="1"/>
  <c r="D371" i="1"/>
  <c r="I372" i="1" s="1"/>
  <c r="H372" i="1"/>
  <c r="F63" i="1"/>
  <c r="J63" i="1" s="1"/>
  <c r="K63" i="1" s="1"/>
  <c r="E63" i="1" s="1"/>
  <c r="K31" i="1"/>
  <c r="E31" i="1" s="1"/>
  <c r="O42" i="3" l="1"/>
  <c r="P42" i="3"/>
  <c r="K56" i="3"/>
  <c r="L56" i="3"/>
  <c r="G28" i="3"/>
  <c r="I29" i="3" s="1"/>
  <c r="F372" i="1"/>
  <c r="J372" i="1" s="1"/>
  <c r="K372" i="1" s="1"/>
  <c r="E372" i="1" s="1"/>
  <c r="G64" i="1"/>
  <c r="D63" i="1"/>
  <c r="I64" i="1" s="1"/>
  <c r="H64" i="1"/>
  <c r="G32" i="1"/>
  <c r="H32" i="1"/>
  <c r="D31" i="1"/>
  <c r="I32" i="1" s="1"/>
  <c r="F32" i="1" s="1"/>
  <c r="J32" i="1" s="1"/>
  <c r="O43" i="3" l="1"/>
  <c r="P43" i="3"/>
  <c r="K57" i="3"/>
  <c r="L57" i="3"/>
  <c r="H29" i="3"/>
  <c r="F64" i="1"/>
  <c r="J64" i="1" s="1"/>
  <c r="K64" i="1" s="1"/>
  <c r="E64" i="1" s="1"/>
  <c r="K32" i="1"/>
  <c r="E32" i="1" s="1"/>
  <c r="O44" i="3" l="1"/>
  <c r="P44" i="3"/>
  <c r="K58" i="3"/>
  <c r="L58" i="3"/>
  <c r="G65" i="1"/>
  <c r="D64" i="1"/>
  <c r="I65" i="1" s="1"/>
  <c r="H65" i="1"/>
  <c r="H33" i="1"/>
  <c r="G33" i="1"/>
  <c r="D32" i="1"/>
  <c r="I33" i="1" s="1"/>
  <c r="F33" i="1" s="1"/>
  <c r="J33" i="1" s="1"/>
  <c r="O45" i="3" l="1"/>
  <c r="P45" i="3"/>
  <c r="K59" i="3"/>
  <c r="L59" i="3"/>
  <c r="G29" i="3"/>
  <c r="I30" i="3" s="1"/>
  <c r="F65" i="1"/>
  <c r="J65" i="1" s="1"/>
  <c r="K65" i="1" s="1"/>
  <c r="E65" i="1" s="1"/>
  <c r="K33" i="1"/>
  <c r="E33" i="1" s="1"/>
  <c r="O46" i="3" l="1"/>
  <c r="P46" i="3"/>
  <c r="K60" i="3"/>
  <c r="L60" i="3"/>
  <c r="G30" i="3"/>
  <c r="I31" i="3" s="1"/>
  <c r="H30" i="3"/>
  <c r="H31" i="3"/>
  <c r="D65" i="1"/>
  <c r="I66" i="1" s="1"/>
  <c r="H66" i="1"/>
  <c r="G66" i="1"/>
  <c r="H34" i="1"/>
  <c r="G34" i="1"/>
  <c r="D33" i="1"/>
  <c r="I34" i="1" s="1"/>
  <c r="F34" i="1" s="1"/>
  <c r="J34" i="1" s="1"/>
  <c r="O47" i="3" l="1"/>
  <c r="P47" i="3"/>
  <c r="K61" i="3"/>
  <c r="L61" i="3"/>
  <c r="F66" i="1"/>
  <c r="J66" i="1" s="1"/>
  <c r="K66" i="1" s="1"/>
  <c r="E66" i="1" s="1"/>
  <c r="K34" i="1"/>
  <c r="E34" i="1" s="1"/>
  <c r="O48" i="3" l="1"/>
  <c r="P48" i="3"/>
  <c r="K62" i="3"/>
  <c r="L62" i="3"/>
  <c r="G31" i="3"/>
  <c r="I32" i="3" s="1"/>
  <c r="G67" i="1"/>
  <c r="D66" i="1"/>
  <c r="I67" i="1" s="1"/>
  <c r="H67" i="1"/>
  <c r="G35" i="1"/>
  <c r="F35" i="1"/>
  <c r="J35" i="1" s="1"/>
  <c r="H35" i="1"/>
  <c r="D34" i="1"/>
  <c r="I35" i="1" s="1"/>
  <c r="O49" i="3" l="1"/>
  <c r="P49" i="3"/>
  <c r="K63" i="3"/>
  <c r="L63" i="3"/>
  <c r="G32" i="3"/>
  <c r="I33" i="3" s="1"/>
  <c r="H32" i="3"/>
  <c r="H33" i="3"/>
  <c r="F67" i="1"/>
  <c r="J67" i="1" s="1"/>
  <c r="K67" i="1" s="1"/>
  <c r="E67" i="1" s="1"/>
  <c r="K35" i="1"/>
  <c r="E35" i="1" s="1"/>
  <c r="O50" i="3" l="1"/>
  <c r="P50" i="3"/>
  <c r="K64" i="3"/>
  <c r="L64" i="3"/>
  <c r="G33" i="3"/>
  <c r="I34" i="3" s="1"/>
  <c r="G68" i="1"/>
  <c r="D67" i="1"/>
  <c r="I68" i="1" s="1"/>
  <c r="H68" i="1"/>
  <c r="G36" i="1"/>
  <c r="H36" i="1"/>
  <c r="D35" i="1"/>
  <c r="I36" i="1" s="1"/>
  <c r="F36" i="1" s="1"/>
  <c r="J36" i="1" s="1"/>
  <c r="O51" i="3" l="1"/>
  <c r="P51" i="3"/>
  <c r="K65" i="3"/>
  <c r="L65" i="3"/>
  <c r="H34" i="3"/>
  <c r="F68" i="1"/>
  <c r="J68" i="1" s="1"/>
  <c r="K68" i="1" s="1"/>
  <c r="E68" i="1" s="1"/>
  <c r="K36" i="1"/>
  <c r="E36" i="1" s="1"/>
  <c r="P52" i="3" l="1"/>
  <c r="O52" i="3"/>
  <c r="K66" i="3"/>
  <c r="L66" i="3"/>
  <c r="G34" i="3"/>
  <c r="I35" i="3" s="1"/>
  <c r="G69" i="1"/>
  <c r="D68" i="1"/>
  <c r="I69" i="1" s="1"/>
  <c r="H69" i="1"/>
  <c r="H37" i="1"/>
  <c r="G37" i="1"/>
  <c r="D36" i="1"/>
  <c r="I37" i="1" s="1"/>
  <c r="F37" i="1" s="1"/>
  <c r="J37" i="1" s="1"/>
  <c r="O53" i="3" l="1"/>
  <c r="P53" i="3"/>
  <c r="K67" i="3"/>
  <c r="L67" i="3"/>
  <c r="H35" i="3"/>
  <c r="F69" i="1"/>
  <c r="J69" i="1" s="1"/>
  <c r="K69" i="1" s="1"/>
  <c r="E69" i="1" s="1"/>
  <c r="K37" i="1"/>
  <c r="E37" i="1" s="1"/>
  <c r="O54" i="3" l="1"/>
  <c r="P54" i="3"/>
  <c r="K68" i="3"/>
  <c r="L68" i="3"/>
  <c r="G35" i="3"/>
  <c r="I36" i="3" s="1"/>
  <c r="D69" i="1"/>
  <c r="I70" i="1" s="1"/>
  <c r="H70" i="1"/>
  <c r="G70" i="1"/>
  <c r="G38" i="1"/>
  <c r="H38" i="1"/>
  <c r="D37" i="1"/>
  <c r="I38" i="1" s="1"/>
  <c r="P55" i="3" l="1"/>
  <c r="O55" i="3"/>
  <c r="K69" i="3"/>
  <c r="L69" i="3"/>
  <c r="H36" i="3"/>
  <c r="F70" i="1"/>
  <c r="J70" i="1" s="1"/>
  <c r="K70" i="1" s="1"/>
  <c r="E70" i="1" s="1"/>
  <c r="F38" i="1"/>
  <c r="J38" i="1" s="1"/>
  <c r="K38" i="1" s="1"/>
  <c r="E38" i="1" s="1"/>
  <c r="O56" i="3" l="1"/>
  <c r="P56" i="3"/>
  <c r="K70" i="3"/>
  <c r="L70" i="3"/>
  <c r="G36" i="3"/>
  <c r="I37" i="3" s="1"/>
  <c r="G71" i="1"/>
  <c r="D70" i="1"/>
  <c r="I71" i="1" s="1"/>
  <c r="H71" i="1"/>
  <c r="H39" i="1"/>
  <c r="D38" i="1"/>
  <c r="I39" i="1" s="1"/>
  <c r="F39" i="1" s="1"/>
  <c r="J39" i="1" s="1"/>
  <c r="G39" i="1"/>
  <c r="P57" i="3" l="1"/>
  <c r="O57" i="3"/>
  <c r="K71" i="3"/>
  <c r="L71" i="3"/>
  <c r="H37" i="3"/>
  <c r="F71" i="1"/>
  <c r="J71" i="1" s="1"/>
  <c r="K71" i="1" s="1"/>
  <c r="E71" i="1" s="1"/>
  <c r="K39" i="1"/>
  <c r="E39" i="1" s="1"/>
  <c r="O58" i="3" l="1"/>
  <c r="P58" i="3"/>
  <c r="K72" i="3"/>
  <c r="L72" i="3"/>
  <c r="G72" i="1"/>
  <c r="D71" i="1"/>
  <c r="I72" i="1" s="1"/>
  <c r="H72" i="1"/>
  <c r="G40" i="1"/>
  <c r="H40" i="1"/>
  <c r="D39" i="1"/>
  <c r="I40" i="1" s="1"/>
  <c r="F40" i="1" s="1"/>
  <c r="J40" i="1" s="1"/>
  <c r="O59" i="3" l="1"/>
  <c r="P59" i="3"/>
  <c r="K73" i="3"/>
  <c r="L73" i="3"/>
  <c r="G37" i="3"/>
  <c r="I38" i="3" s="1"/>
  <c r="F72" i="1"/>
  <c r="J72" i="1" s="1"/>
  <c r="K72" i="1" s="1"/>
  <c r="E72" i="1" s="1"/>
  <c r="K40" i="1"/>
  <c r="E40" i="1" s="1"/>
  <c r="O60" i="3" l="1"/>
  <c r="P60" i="3"/>
  <c r="K74" i="3"/>
  <c r="L74" i="3"/>
  <c r="G38" i="3"/>
  <c r="I39" i="3" s="1"/>
  <c r="H38" i="3"/>
  <c r="H39" i="3"/>
  <c r="G73" i="1"/>
  <c r="D72" i="1"/>
  <c r="I73" i="1" s="1"/>
  <c r="H73" i="1"/>
  <c r="D40" i="1"/>
  <c r="I41" i="1" s="1"/>
  <c r="F41" i="1" s="1"/>
  <c r="J41" i="1" s="1"/>
  <c r="G41" i="1"/>
  <c r="H41" i="1"/>
  <c r="O61" i="3" l="1"/>
  <c r="P61" i="3"/>
  <c r="K75" i="3"/>
  <c r="L75" i="3"/>
  <c r="G39" i="3"/>
  <c r="I40" i="3" s="1"/>
  <c r="F73" i="1"/>
  <c r="J73" i="1" s="1"/>
  <c r="K73" i="1" s="1"/>
  <c r="E73" i="1" s="1"/>
  <c r="K41" i="1"/>
  <c r="E41" i="1" s="1"/>
  <c r="O62" i="3" l="1"/>
  <c r="P62" i="3"/>
  <c r="K76" i="3"/>
  <c r="L76" i="3"/>
  <c r="H40" i="3"/>
  <c r="D73" i="1"/>
  <c r="I74" i="1" s="1"/>
  <c r="H74" i="1"/>
  <c r="G74" i="1"/>
  <c r="G42" i="1"/>
  <c r="D41" i="1"/>
  <c r="I42" i="1" s="1"/>
  <c r="H42" i="1"/>
  <c r="O63" i="3" l="1"/>
  <c r="P63" i="3"/>
  <c r="K77" i="3"/>
  <c r="L77" i="3"/>
  <c r="G40" i="3"/>
  <c r="I41" i="3" s="1"/>
  <c r="F74" i="1"/>
  <c r="J74" i="1" s="1"/>
  <c r="K74" i="1" s="1"/>
  <c r="E74" i="1" s="1"/>
  <c r="F42" i="1"/>
  <c r="J42" i="1" s="1"/>
  <c r="K42" i="1" s="1"/>
  <c r="E42" i="1" s="1"/>
  <c r="O64" i="3" l="1"/>
  <c r="P64" i="3"/>
  <c r="K78" i="3"/>
  <c r="L78" i="3"/>
  <c r="H41" i="3"/>
  <c r="G75" i="1"/>
  <c r="D74" i="1"/>
  <c r="I75" i="1" s="1"/>
  <c r="H75" i="1"/>
  <c r="H43" i="1"/>
  <c r="G43" i="1"/>
  <c r="D42" i="1"/>
  <c r="I43" i="1" s="1"/>
  <c r="F43" i="1" s="1"/>
  <c r="J43" i="1" s="1"/>
  <c r="O65" i="3" l="1"/>
  <c r="P65" i="3"/>
  <c r="K79" i="3"/>
  <c r="L79" i="3"/>
  <c r="F75" i="1"/>
  <c r="J75" i="1" s="1"/>
  <c r="K75" i="1" s="1"/>
  <c r="E75" i="1" s="1"/>
  <c r="K43" i="1"/>
  <c r="E43" i="1" s="1"/>
  <c r="O66" i="3" l="1"/>
  <c r="P66" i="3"/>
  <c r="K80" i="3"/>
  <c r="L80" i="3"/>
  <c r="G41" i="3"/>
  <c r="I42" i="3" s="1"/>
  <c r="G76" i="1"/>
  <c r="D75" i="1"/>
  <c r="I76" i="1" s="1"/>
  <c r="H76" i="1"/>
  <c r="H44" i="1"/>
  <c r="G44" i="1"/>
  <c r="D43" i="1"/>
  <c r="I44" i="1" s="1"/>
  <c r="O67" i="3" l="1"/>
  <c r="P67" i="3"/>
  <c r="K81" i="3"/>
  <c r="L81" i="3"/>
  <c r="G42" i="3"/>
  <c r="I43" i="3" s="1"/>
  <c r="H42" i="3"/>
  <c r="H43" i="3"/>
  <c r="F76" i="1"/>
  <c r="J76" i="1" s="1"/>
  <c r="K76" i="1" s="1"/>
  <c r="E76" i="1" s="1"/>
  <c r="F44" i="1"/>
  <c r="J44" i="1" s="1"/>
  <c r="K44" i="1" s="1"/>
  <c r="E44" i="1" s="1"/>
  <c r="O68" i="3" l="1"/>
  <c r="P68" i="3"/>
  <c r="K82" i="3"/>
  <c r="L82" i="3"/>
  <c r="G43" i="3"/>
  <c r="I44" i="3" s="1"/>
  <c r="G77" i="1"/>
  <c r="D76" i="1"/>
  <c r="I77" i="1" s="1"/>
  <c r="H77" i="1"/>
  <c r="H45" i="1"/>
  <c r="G45" i="1"/>
  <c r="D44" i="1"/>
  <c r="I45" i="1" s="1"/>
  <c r="F45" i="1" s="1"/>
  <c r="J45" i="1" s="1"/>
  <c r="O69" i="3" l="1"/>
  <c r="P69" i="3"/>
  <c r="K83" i="3"/>
  <c r="L83" i="3"/>
  <c r="H44" i="3"/>
  <c r="F77" i="1"/>
  <c r="J77" i="1" s="1"/>
  <c r="K77" i="1" s="1"/>
  <c r="E77" i="1" s="1"/>
  <c r="K45" i="1"/>
  <c r="E45" i="1" s="1"/>
  <c r="O70" i="3" l="1"/>
  <c r="P70" i="3"/>
  <c r="K84" i="3"/>
  <c r="L84" i="3"/>
  <c r="G44" i="3"/>
  <c r="I45" i="3" s="1"/>
  <c r="G78" i="1"/>
  <c r="H78" i="1"/>
  <c r="D77" i="1"/>
  <c r="I78" i="1" s="1"/>
  <c r="G46" i="1"/>
  <c r="H46" i="1"/>
  <c r="D45" i="1"/>
  <c r="I46" i="1" s="1"/>
  <c r="O71" i="3" l="1"/>
  <c r="P71" i="3"/>
  <c r="K85" i="3"/>
  <c r="L85" i="3"/>
  <c r="H45" i="3"/>
  <c r="F78" i="1"/>
  <c r="J78" i="1" s="1"/>
  <c r="K78" i="1" s="1"/>
  <c r="E78" i="1" s="1"/>
  <c r="F46" i="1"/>
  <c r="J46" i="1" s="1"/>
  <c r="K46" i="1" s="1"/>
  <c r="E46" i="1" s="1"/>
  <c r="P72" i="3" l="1"/>
  <c r="O72" i="3"/>
  <c r="K86" i="3"/>
  <c r="L86" i="3"/>
  <c r="G79" i="1"/>
  <c r="D78" i="1"/>
  <c r="I79" i="1" s="1"/>
  <c r="H79" i="1"/>
  <c r="G47" i="1"/>
  <c r="H47" i="1"/>
  <c r="D46" i="1"/>
  <c r="I47" i="1" s="1"/>
  <c r="O73" i="3" l="1"/>
  <c r="P73" i="3"/>
  <c r="K87" i="3"/>
  <c r="L87" i="3"/>
  <c r="G45" i="3"/>
  <c r="I46" i="3" s="1"/>
  <c r="F79" i="1"/>
  <c r="J79" i="1" s="1"/>
  <c r="K79" i="1" s="1"/>
  <c r="E79" i="1" s="1"/>
  <c r="F47" i="1"/>
  <c r="J47" i="1" s="1"/>
  <c r="K47" i="1" s="1"/>
  <c r="E47" i="1" s="1"/>
  <c r="O74" i="3" l="1"/>
  <c r="P74" i="3"/>
  <c r="K88" i="3"/>
  <c r="L88" i="3"/>
  <c r="G46" i="3"/>
  <c r="I47" i="3" s="1"/>
  <c r="H46" i="3"/>
  <c r="H47" i="3"/>
  <c r="G80" i="1"/>
  <c r="D79" i="1"/>
  <c r="I80" i="1" s="1"/>
  <c r="H80" i="1"/>
  <c r="G48" i="1"/>
  <c r="H48" i="1"/>
  <c r="D47" i="1"/>
  <c r="I48" i="1" s="1"/>
  <c r="O75" i="3" l="1"/>
  <c r="P75" i="3"/>
  <c r="K89" i="3"/>
  <c r="L89" i="3"/>
  <c r="G47" i="3"/>
  <c r="I48" i="3" s="1"/>
  <c r="F80" i="1"/>
  <c r="J80" i="1" s="1"/>
  <c r="K80" i="1" s="1"/>
  <c r="E80" i="1" s="1"/>
  <c r="F48" i="1"/>
  <c r="J48" i="1" s="1"/>
  <c r="K48" i="1" s="1"/>
  <c r="E48" i="1" s="1"/>
  <c r="D48" i="1" s="1"/>
  <c r="O76" i="3" l="1"/>
  <c r="P76" i="3"/>
  <c r="K90" i="3"/>
  <c r="L90" i="3"/>
  <c r="H48" i="3"/>
  <c r="G81" i="1"/>
  <c r="D80" i="1"/>
  <c r="I81" i="1" s="1"/>
  <c r="H81" i="1"/>
  <c r="O77" i="3" l="1"/>
  <c r="P77" i="3"/>
  <c r="K91" i="3"/>
  <c r="L91" i="3"/>
  <c r="G48" i="3"/>
  <c r="I49" i="3" s="1"/>
  <c r="F81" i="1"/>
  <c r="J81" i="1" s="1"/>
  <c r="K81" i="1" s="1"/>
  <c r="E81" i="1" s="1"/>
  <c r="O78" i="3" l="1"/>
  <c r="P78" i="3"/>
  <c r="K92" i="3"/>
  <c r="L92" i="3"/>
  <c r="H49" i="3"/>
  <c r="G82" i="1"/>
  <c r="D81" i="1"/>
  <c r="I82" i="1" s="1"/>
  <c r="H82" i="1"/>
  <c r="O79" i="3" l="1"/>
  <c r="P79" i="3"/>
  <c r="K93" i="3"/>
  <c r="L93" i="3"/>
  <c r="G49" i="3"/>
  <c r="I50" i="3" s="1"/>
  <c r="F82" i="1"/>
  <c r="J82" i="1" s="1"/>
  <c r="K82" i="1" s="1"/>
  <c r="E82" i="1" s="1"/>
  <c r="O80" i="3" l="1"/>
  <c r="P80" i="3"/>
  <c r="K94" i="3"/>
  <c r="L94" i="3"/>
  <c r="H50" i="3"/>
  <c r="G83" i="1"/>
  <c r="D82" i="1"/>
  <c r="I83" i="1" s="1"/>
  <c r="H83" i="1"/>
  <c r="O81" i="3" l="1"/>
  <c r="P81" i="3"/>
  <c r="K95" i="3"/>
  <c r="L95" i="3"/>
  <c r="G50" i="3"/>
  <c r="I51" i="3" s="1"/>
  <c r="F83" i="1"/>
  <c r="J83" i="1" s="1"/>
  <c r="K83" i="1" s="1"/>
  <c r="E83" i="1" s="1"/>
  <c r="O82" i="3" l="1"/>
  <c r="P82" i="3"/>
  <c r="K96" i="3"/>
  <c r="M97" i="3" s="1"/>
  <c r="L96" i="3"/>
  <c r="H51" i="3"/>
  <c r="G84" i="1"/>
  <c r="D83" i="1"/>
  <c r="I84" i="1" s="1"/>
  <c r="H84" i="1"/>
  <c r="O83" i="3" l="1"/>
  <c r="P83" i="3"/>
  <c r="K97" i="3"/>
  <c r="M98" i="3" s="1"/>
  <c r="L97" i="3"/>
  <c r="G51" i="3"/>
  <c r="I52" i="3" s="1"/>
  <c r="F84" i="1"/>
  <c r="J84" i="1" s="1"/>
  <c r="K84" i="1" s="1"/>
  <c r="E84" i="1" s="1"/>
  <c r="O84" i="3" l="1"/>
  <c r="P84" i="3"/>
  <c r="L98" i="3"/>
  <c r="K98" i="3"/>
  <c r="M99" i="3" s="1"/>
  <c r="H52" i="3"/>
  <c r="G85" i="1"/>
  <c r="D84" i="1"/>
  <c r="I85" i="1" s="1"/>
  <c r="F85" i="1" s="1"/>
  <c r="J85" i="1" s="1"/>
  <c r="H85" i="1"/>
  <c r="O85" i="3" l="1"/>
  <c r="P85" i="3"/>
  <c r="L99" i="3"/>
  <c r="K99" i="3"/>
  <c r="M100" i="3" s="1"/>
  <c r="G52" i="3"/>
  <c r="I53" i="3" s="1"/>
  <c r="K85" i="1"/>
  <c r="E85" i="1" s="1"/>
  <c r="O86" i="3" l="1"/>
  <c r="P86" i="3"/>
  <c r="L100" i="3"/>
  <c r="K100" i="3"/>
  <c r="M101" i="3" s="1"/>
  <c r="H53" i="3"/>
  <c r="G86" i="1"/>
  <c r="D85" i="1"/>
  <c r="I86" i="1" s="1"/>
  <c r="H86" i="1"/>
  <c r="O87" i="3" l="1"/>
  <c r="P87" i="3"/>
  <c r="L101" i="3"/>
  <c r="K101" i="3"/>
  <c r="M102" i="3" s="1"/>
  <c r="F86" i="1"/>
  <c r="J86" i="1" s="1"/>
  <c r="K86" i="1" s="1"/>
  <c r="E86" i="1" s="1"/>
  <c r="P88" i="3" l="1"/>
  <c r="O88" i="3"/>
  <c r="L102" i="3"/>
  <c r="K102" i="3"/>
  <c r="M103" i="3" s="1"/>
  <c r="G53" i="3"/>
  <c r="I54" i="3" s="1"/>
  <c r="G87" i="1"/>
  <c r="D86" i="1"/>
  <c r="I87" i="1" s="1"/>
  <c r="F87" i="1" s="1"/>
  <c r="J87" i="1" s="1"/>
  <c r="H87" i="1"/>
  <c r="O89" i="3" l="1"/>
  <c r="P89" i="3"/>
  <c r="L103" i="3"/>
  <c r="K103" i="3"/>
  <c r="M104" i="3" s="1"/>
  <c r="G54" i="3"/>
  <c r="I55" i="3" s="1"/>
  <c r="H54" i="3"/>
  <c r="H55" i="3"/>
  <c r="K87" i="1"/>
  <c r="E87" i="1" s="1"/>
  <c r="O90" i="3" l="1"/>
  <c r="P90" i="3"/>
  <c r="L104" i="3"/>
  <c r="K104" i="3"/>
  <c r="M105" i="3" s="1"/>
  <c r="G55" i="3"/>
  <c r="I56" i="3" s="1"/>
  <c r="G88" i="1"/>
  <c r="D87" i="1"/>
  <c r="I88" i="1" s="1"/>
  <c r="H88" i="1"/>
  <c r="O91" i="3" l="1"/>
  <c r="P91" i="3"/>
  <c r="L105" i="3"/>
  <c r="K105" i="3"/>
  <c r="M106" i="3" s="1"/>
  <c r="H56" i="3"/>
  <c r="F88" i="1"/>
  <c r="J88" i="1" s="1"/>
  <c r="K88" i="1" s="1"/>
  <c r="E88" i="1" s="1"/>
  <c r="O92" i="3" l="1"/>
  <c r="P92" i="3"/>
  <c r="L106" i="3"/>
  <c r="K106" i="3"/>
  <c r="M107" i="3" s="1"/>
  <c r="G56" i="3"/>
  <c r="I57" i="3" s="1"/>
  <c r="G89" i="1"/>
  <c r="D88" i="1"/>
  <c r="I89" i="1" s="1"/>
  <c r="F89" i="1" s="1"/>
  <c r="J89" i="1" s="1"/>
  <c r="H89" i="1"/>
  <c r="O93" i="3" l="1"/>
  <c r="P93" i="3"/>
  <c r="L107" i="3"/>
  <c r="K107" i="3"/>
  <c r="M108" i="3" s="1"/>
  <c r="H57" i="3"/>
  <c r="K89" i="1"/>
  <c r="E89" i="1" s="1"/>
  <c r="O94" i="3" l="1"/>
  <c r="P94" i="3"/>
  <c r="L108" i="3"/>
  <c r="K108" i="3"/>
  <c r="M109" i="3" s="1"/>
  <c r="G57" i="3"/>
  <c r="I58" i="3" s="1"/>
  <c r="G90" i="1"/>
  <c r="D89" i="1"/>
  <c r="I90" i="1" s="1"/>
  <c r="H90" i="1"/>
  <c r="O95" i="3" l="1"/>
  <c r="P95" i="3"/>
  <c r="L109" i="3"/>
  <c r="K109" i="3"/>
  <c r="M110" i="3" s="1"/>
  <c r="H58" i="3"/>
  <c r="F90" i="1"/>
  <c r="J90" i="1" s="1"/>
  <c r="K90" i="1" s="1"/>
  <c r="E90" i="1" s="1"/>
  <c r="O96" i="3" l="1"/>
  <c r="P96" i="3"/>
  <c r="L110" i="3"/>
  <c r="K110" i="3"/>
  <c r="M111" i="3" s="1"/>
  <c r="G58" i="3"/>
  <c r="I59" i="3" s="1"/>
  <c r="G91" i="1"/>
  <c r="D90" i="1"/>
  <c r="I91" i="1" s="1"/>
  <c r="H91" i="1"/>
  <c r="O97" i="3" l="1"/>
  <c r="P97" i="3"/>
  <c r="L111" i="3"/>
  <c r="K111" i="3"/>
  <c r="M112" i="3" s="1"/>
  <c r="H59" i="3"/>
  <c r="F91" i="1"/>
  <c r="J91" i="1" s="1"/>
  <c r="K91" i="1" s="1"/>
  <c r="E91" i="1" s="1"/>
  <c r="O98" i="3" l="1"/>
  <c r="P98" i="3"/>
  <c r="L112" i="3"/>
  <c r="K112" i="3"/>
  <c r="M113" i="3" s="1"/>
  <c r="G59" i="3"/>
  <c r="I60" i="3" s="1"/>
  <c r="G92" i="1"/>
  <c r="D91" i="1"/>
  <c r="I92" i="1" s="1"/>
  <c r="H92" i="1"/>
  <c r="O99" i="3" l="1"/>
  <c r="P99" i="3"/>
  <c r="L113" i="3"/>
  <c r="K113" i="3"/>
  <c r="M114" i="3" s="1"/>
  <c r="H60" i="3"/>
  <c r="F92" i="1"/>
  <c r="J92" i="1" s="1"/>
  <c r="K92" i="1" s="1"/>
  <c r="E92" i="1" s="1"/>
  <c r="O100" i="3" l="1"/>
  <c r="P100" i="3"/>
  <c r="L114" i="3"/>
  <c r="K114" i="3"/>
  <c r="M115" i="3" s="1"/>
  <c r="G60" i="3"/>
  <c r="I61" i="3" s="1"/>
  <c r="G93" i="1"/>
  <c r="H93" i="1"/>
  <c r="F93" i="1"/>
  <c r="J93" i="1" s="1"/>
  <c r="D92" i="1"/>
  <c r="I93" i="1" s="1"/>
  <c r="O101" i="3" l="1"/>
  <c r="P101" i="3"/>
  <c r="L115" i="3"/>
  <c r="K115" i="3"/>
  <c r="M116" i="3" s="1"/>
  <c r="H61" i="3"/>
  <c r="K93" i="1"/>
  <c r="E93" i="1" s="1"/>
  <c r="O102" i="3" l="1"/>
  <c r="P102" i="3"/>
  <c r="L116" i="3"/>
  <c r="K116" i="3"/>
  <c r="M117" i="3" s="1"/>
  <c r="G61" i="3"/>
  <c r="I62" i="3" s="1"/>
  <c r="G94" i="1"/>
  <c r="D93" i="1"/>
  <c r="I94" i="1" s="1"/>
  <c r="H94" i="1"/>
  <c r="O103" i="3" l="1"/>
  <c r="P103" i="3"/>
  <c r="L117" i="3"/>
  <c r="K117" i="3"/>
  <c r="M118" i="3" s="1"/>
  <c r="H62" i="3"/>
  <c r="F94" i="1"/>
  <c r="J94" i="1" s="1"/>
  <c r="K94" i="1" s="1"/>
  <c r="E94" i="1" s="1"/>
  <c r="O104" i="3" l="1"/>
  <c r="P104" i="3"/>
  <c r="L118" i="3"/>
  <c r="K118" i="3"/>
  <c r="M119" i="3" s="1"/>
  <c r="G62" i="3"/>
  <c r="I63" i="3" s="1"/>
  <c r="G95" i="1"/>
  <c r="H95" i="1"/>
  <c r="D94" i="1"/>
  <c r="I95" i="1" s="1"/>
  <c r="O105" i="3" l="1"/>
  <c r="P105" i="3"/>
  <c r="L119" i="3"/>
  <c r="K119" i="3"/>
  <c r="M120" i="3" s="1"/>
  <c r="H63" i="3"/>
  <c r="F95" i="1"/>
  <c r="J95" i="1" s="1"/>
  <c r="K95" i="1" s="1"/>
  <c r="E95" i="1" s="1"/>
  <c r="O106" i="3" l="1"/>
  <c r="P106" i="3"/>
  <c r="L120" i="3"/>
  <c r="K120" i="3"/>
  <c r="M121" i="3" s="1"/>
  <c r="G63" i="3"/>
  <c r="I64" i="3" s="1"/>
  <c r="D95" i="1"/>
  <c r="I96" i="1" s="1"/>
  <c r="F96" i="1" s="1"/>
  <c r="J96" i="1" s="1"/>
  <c r="G96" i="1"/>
  <c r="H96" i="1"/>
  <c r="O107" i="3" l="1"/>
  <c r="P107" i="3"/>
  <c r="L121" i="3"/>
  <c r="K121" i="3"/>
  <c r="M122" i="3" s="1"/>
  <c r="H64" i="3"/>
  <c r="K96" i="1"/>
  <c r="E96" i="1" s="1"/>
  <c r="O108" i="3" l="1"/>
  <c r="P108" i="3"/>
  <c r="L122" i="3"/>
  <c r="K122" i="3"/>
  <c r="M123" i="3" s="1"/>
  <c r="G64" i="3"/>
  <c r="I65" i="3" s="1"/>
  <c r="G97" i="1"/>
  <c r="H97" i="1"/>
  <c r="D96" i="1"/>
  <c r="I97" i="1" s="1"/>
  <c r="F97" i="1" s="1"/>
  <c r="J97" i="1" s="1"/>
  <c r="O109" i="3" l="1"/>
  <c r="P109" i="3"/>
  <c r="L123" i="3"/>
  <c r="K123" i="3"/>
  <c r="M124" i="3" s="1"/>
  <c r="H65" i="3"/>
  <c r="K97" i="1"/>
  <c r="E97" i="1" s="1"/>
  <c r="O110" i="3" l="1"/>
  <c r="P110" i="3"/>
  <c r="L124" i="3"/>
  <c r="K124" i="3"/>
  <c r="M125" i="3" s="1"/>
  <c r="G98" i="1"/>
  <c r="H98" i="1"/>
  <c r="D97" i="1"/>
  <c r="I98" i="1" s="1"/>
  <c r="F98" i="1" s="1"/>
  <c r="J98" i="1" s="1"/>
  <c r="O111" i="3" l="1"/>
  <c r="P111" i="3"/>
  <c r="L125" i="3"/>
  <c r="K125" i="3"/>
  <c r="M126" i="3" s="1"/>
  <c r="G65" i="3"/>
  <c r="I66" i="3" s="1"/>
  <c r="K98" i="1"/>
  <c r="E98" i="1" s="1"/>
  <c r="O112" i="3" l="1"/>
  <c r="P112" i="3"/>
  <c r="L126" i="3"/>
  <c r="K126" i="3"/>
  <c r="M127" i="3" s="1"/>
  <c r="G66" i="3"/>
  <c r="I67" i="3" s="1"/>
  <c r="H66" i="3"/>
  <c r="H67" i="3"/>
  <c r="G99" i="1"/>
  <c r="D98" i="1"/>
  <c r="I99" i="1" s="1"/>
  <c r="H99" i="1"/>
  <c r="O113" i="3" l="1"/>
  <c r="P113" i="3"/>
  <c r="L127" i="3"/>
  <c r="K127" i="3"/>
  <c r="M128" i="3" s="1"/>
  <c r="G67" i="3"/>
  <c r="I68" i="3" s="1"/>
  <c r="F99" i="1"/>
  <c r="J99" i="1" s="1"/>
  <c r="K99" i="1" s="1"/>
  <c r="E99" i="1" s="1"/>
  <c r="O114" i="3" l="1"/>
  <c r="P114" i="3"/>
  <c r="L128" i="3"/>
  <c r="K128" i="3"/>
  <c r="M129" i="3" s="1"/>
  <c r="H68" i="3"/>
  <c r="G100" i="1"/>
  <c r="D99" i="1"/>
  <c r="I100" i="1" s="1"/>
  <c r="H100" i="1"/>
  <c r="O115" i="3" l="1"/>
  <c r="P115" i="3"/>
  <c r="L129" i="3"/>
  <c r="K129" i="3"/>
  <c r="M130" i="3" s="1"/>
  <c r="G68" i="3"/>
  <c r="I69" i="3" s="1"/>
  <c r="F100" i="1"/>
  <c r="J100" i="1" s="1"/>
  <c r="K100" i="1" s="1"/>
  <c r="E100" i="1" s="1"/>
  <c r="O116" i="3" l="1"/>
  <c r="P116" i="3"/>
  <c r="L130" i="3"/>
  <c r="K130" i="3"/>
  <c r="M131" i="3" s="1"/>
  <c r="H69" i="3"/>
  <c r="G101" i="1"/>
  <c r="H101" i="1"/>
  <c r="D100" i="1"/>
  <c r="I101" i="1" s="1"/>
  <c r="F101" i="1" s="1"/>
  <c r="J101" i="1" s="1"/>
  <c r="O117" i="3" l="1"/>
  <c r="P117" i="3"/>
  <c r="L131" i="3"/>
  <c r="K131" i="3"/>
  <c r="M132" i="3" s="1"/>
  <c r="K101" i="1"/>
  <c r="E101" i="1" s="1"/>
  <c r="O118" i="3" l="1"/>
  <c r="P118" i="3"/>
  <c r="L132" i="3"/>
  <c r="K132" i="3"/>
  <c r="M133" i="3" s="1"/>
  <c r="G69" i="3"/>
  <c r="I70" i="3" s="1"/>
  <c r="G102" i="1"/>
  <c r="H102" i="1"/>
  <c r="D101" i="1"/>
  <c r="I102" i="1" s="1"/>
  <c r="O119" i="3" l="1"/>
  <c r="P119" i="3"/>
  <c r="L133" i="3"/>
  <c r="K133" i="3"/>
  <c r="M134" i="3" s="1"/>
  <c r="G70" i="3"/>
  <c r="I71" i="3" s="1"/>
  <c r="H70" i="3"/>
  <c r="H71" i="3"/>
  <c r="F102" i="1"/>
  <c r="J102" i="1" s="1"/>
  <c r="K102" i="1" s="1"/>
  <c r="E102" i="1" s="1"/>
  <c r="O120" i="3" l="1"/>
  <c r="P120" i="3"/>
  <c r="L134" i="3"/>
  <c r="K134" i="3"/>
  <c r="M135" i="3" s="1"/>
  <c r="G71" i="3"/>
  <c r="I72" i="3" s="1"/>
  <c r="G103" i="1"/>
  <c r="D102" i="1"/>
  <c r="I103" i="1" s="1"/>
  <c r="H103" i="1"/>
  <c r="O121" i="3" l="1"/>
  <c r="P121" i="3"/>
  <c r="L135" i="3"/>
  <c r="K135" i="3"/>
  <c r="M136" i="3" s="1"/>
  <c r="H72" i="3"/>
  <c r="F103" i="1"/>
  <c r="J103" i="1" s="1"/>
  <c r="K103" i="1" s="1"/>
  <c r="E103" i="1" s="1"/>
  <c r="O122" i="3" l="1"/>
  <c r="P122" i="3"/>
  <c r="L136" i="3"/>
  <c r="K136" i="3"/>
  <c r="M137" i="3" s="1"/>
  <c r="G72" i="3"/>
  <c r="I73" i="3" s="1"/>
  <c r="G104" i="1"/>
  <c r="H104" i="1"/>
  <c r="D103" i="1"/>
  <c r="I104" i="1" s="1"/>
  <c r="O123" i="3" l="1"/>
  <c r="P123" i="3"/>
  <c r="L137" i="3"/>
  <c r="K137" i="3"/>
  <c r="M138" i="3" s="1"/>
  <c r="H73" i="3"/>
  <c r="F104" i="1"/>
  <c r="J104" i="1" s="1"/>
  <c r="K104" i="1" s="1"/>
  <c r="E104" i="1" s="1"/>
  <c r="O124" i="3" l="1"/>
  <c r="P124" i="3"/>
  <c r="L138" i="3"/>
  <c r="K138" i="3"/>
  <c r="M139" i="3" s="1"/>
  <c r="G73" i="3"/>
  <c r="I74" i="3" s="1"/>
  <c r="H105" i="1"/>
  <c r="D104" i="1"/>
  <c r="I105" i="1" s="1"/>
  <c r="G105" i="1"/>
  <c r="O125" i="3" l="1"/>
  <c r="P125" i="3"/>
  <c r="L139" i="3"/>
  <c r="K139" i="3"/>
  <c r="M140" i="3" s="1"/>
  <c r="H74" i="3"/>
  <c r="F105" i="1"/>
  <c r="J105" i="1" s="1"/>
  <c r="K105" i="1" s="1"/>
  <c r="E105" i="1" s="1"/>
  <c r="O126" i="3" l="1"/>
  <c r="P126" i="3"/>
  <c r="L140" i="3"/>
  <c r="K140" i="3"/>
  <c r="M141" i="3" s="1"/>
  <c r="G74" i="3"/>
  <c r="I75" i="3" s="1"/>
  <c r="G106" i="1"/>
  <c r="D105" i="1"/>
  <c r="I106" i="1" s="1"/>
  <c r="H106" i="1"/>
  <c r="O127" i="3" l="1"/>
  <c r="P127" i="3"/>
  <c r="L141" i="3"/>
  <c r="K141" i="3"/>
  <c r="M142" i="3" s="1"/>
  <c r="H75" i="3"/>
  <c r="F106" i="1"/>
  <c r="J106" i="1" s="1"/>
  <c r="K106" i="1" s="1"/>
  <c r="E106" i="1" s="1"/>
  <c r="P128" i="3" l="1"/>
  <c r="O128" i="3"/>
  <c r="L142" i="3"/>
  <c r="K142" i="3"/>
  <c r="M143" i="3" s="1"/>
  <c r="G75" i="3"/>
  <c r="I76" i="3" s="1"/>
  <c r="G107" i="1"/>
  <c r="D106" i="1"/>
  <c r="I107" i="1" s="1"/>
  <c r="H107" i="1"/>
  <c r="O129" i="3" l="1"/>
  <c r="P129" i="3"/>
  <c r="L143" i="3"/>
  <c r="K143" i="3"/>
  <c r="M144" i="3" s="1"/>
  <c r="H76" i="3"/>
  <c r="F107" i="1"/>
  <c r="J107" i="1" s="1"/>
  <c r="K107" i="1" s="1"/>
  <c r="E107" i="1" s="1"/>
  <c r="O130" i="3" l="1"/>
  <c r="P130" i="3"/>
  <c r="L144" i="3"/>
  <c r="K144" i="3"/>
  <c r="M145" i="3" s="1"/>
  <c r="G76" i="3"/>
  <c r="I77" i="3" s="1"/>
  <c r="G108" i="1"/>
  <c r="D107" i="1"/>
  <c r="I108" i="1" s="1"/>
  <c r="H108" i="1"/>
  <c r="O131" i="3" l="1"/>
  <c r="P131" i="3"/>
  <c r="L145" i="3"/>
  <c r="K145" i="3"/>
  <c r="M146" i="3" s="1"/>
  <c r="H77" i="3"/>
  <c r="F108" i="1"/>
  <c r="J108" i="1" s="1"/>
  <c r="K108" i="1" s="1"/>
  <c r="E108" i="1" s="1"/>
  <c r="O132" i="3" l="1"/>
  <c r="P132" i="3"/>
  <c r="L146" i="3"/>
  <c r="K146" i="3"/>
  <c r="M147" i="3" s="1"/>
  <c r="G77" i="3"/>
  <c r="I78" i="3" s="1"/>
  <c r="D108" i="1"/>
  <c r="I109" i="1" s="1"/>
  <c r="H109" i="1"/>
  <c r="G109" i="1"/>
  <c r="O133" i="3" l="1"/>
  <c r="P133" i="3"/>
  <c r="L147" i="3"/>
  <c r="K147" i="3"/>
  <c r="M148" i="3" s="1"/>
  <c r="H78" i="3"/>
  <c r="F109" i="1"/>
  <c r="J109" i="1" s="1"/>
  <c r="K109" i="1" s="1"/>
  <c r="E109" i="1" s="1"/>
  <c r="O134" i="3" l="1"/>
  <c r="P134" i="3"/>
  <c r="L148" i="3"/>
  <c r="K148" i="3"/>
  <c r="M149" i="3" s="1"/>
  <c r="G110" i="1"/>
  <c r="D109" i="1"/>
  <c r="I110" i="1" s="1"/>
  <c r="H110" i="1"/>
  <c r="O135" i="3" l="1"/>
  <c r="P135" i="3"/>
  <c r="L149" i="3"/>
  <c r="K149" i="3"/>
  <c r="M150" i="3" s="1"/>
  <c r="G78" i="3"/>
  <c r="I79" i="3" s="1"/>
  <c r="F110" i="1"/>
  <c r="J110" i="1" s="1"/>
  <c r="K110" i="1" s="1"/>
  <c r="E110" i="1" s="1"/>
  <c r="P136" i="3" l="1"/>
  <c r="O136" i="3"/>
  <c r="L150" i="3"/>
  <c r="K150" i="3"/>
  <c r="M151" i="3" s="1"/>
  <c r="G79" i="3"/>
  <c r="I80" i="3" s="1"/>
  <c r="H79" i="3"/>
  <c r="G111" i="1"/>
  <c r="D110" i="1"/>
  <c r="I111" i="1" s="1"/>
  <c r="H111" i="1"/>
  <c r="O137" i="3" l="1"/>
  <c r="P137" i="3"/>
  <c r="L151" i="3"/>
  <c r="K151" i="3"/>
  <c r="M152" i="3" s="1"/>
  <c r="G80" i="3"/>
  <c r="I81" i="3" s="1"/>
  <c r="H80" i="3"/>
  <c r="H81" i="3"/>
  <c r="F111" i="1"/>
  <c r="J111" i="1" s="1"/>
  <c r="K111" i="1" s="1"/>
  <c r="E111" i="1" s="1"/>
  <c r="O138" i="3" l="1"/>
  <c r="P138" i="3"/>
  <c r="L152" i="3"/>
  <c r="K152" i="3"/>
  <c r="M153" i="3" s="1"/>
  <c r="G81" i="3"/>
  <c r="I82" i="3" s="1"/>
  <c r="G112" i="1"/>
  <c r="D111" i="1"/>
  <c r="I112" i="1" s="1"/>
  <c r="H112" i="1"/>
  <c r="O139" i="3" l="1"/>
  <c r="P139" i="3"/>
  <c r="L153" i="3"/>
  <c r="K153" i="3"/>
  <c r="M154" i="3" s="1"/>
  <c r="H82" i="3"/>
  <c r="F112" i="1"/>
  <c r="J112" i="1" s="1"/>
  <c r="K112" i="1" s="1"/>
  <c r="E112" i="1" s="1"/>
  <c r="O140" i="3" l="1"/>
  <c r="P140" i="3"/>
  <c r="L154" i="3"/>
  <c r="K154" i="3"/>
  <c r="M155" i="3" s="1"/>
  <c r="G82" i="3"/>
  <c r="I83" i="3" s="1"/>
  <c r="D112" i="1"/>
  <c r="I113" i="1" s="1"/>
  <c r="H113" i="1"/>
  <c r="G113" i="1"/>
  <c r="O141" i="3" l="1"/>
  <c r="P141" i="3"/>
  <c r="L155" i="3"/>
  <c r="K155" i="3"/>
  <c r="M156" i="3" s="1"/>
  <c r="H83" i="3"/>
  <c r="F113" i="1"/>
  <c r="J113" i="1" s="1"/>
  <c r="K113" i="1" s="1"/>
  <c r="E113" i="1" s="1"/>
  <c r="O142" i="3" l="1"/>
  <c r="P142" i="3"/>
  <c r="L156" i="3"/>
  <c r="K156" i="3"/>
  <c r="M157" i="3" s="1"/>
  <c r="G83" i="3"/>
  <c r="I84" i="3" s="1"/>
  <c r="G114" i="1"/>
  <c r="D113" i="1"/>
  <c r="I114" i="1" s="1"/>
  <c r="H114" i="1"/>
  <c r="O143" i="3" l="1"/>
  <c r="P143" i="3"/>
  <c r="L157" i="3"/>
  <c r="K157" i="3"/>
  <c r="M158" i="3" s="1"/>
  <c r="H84" i="3"/>
  <c r="F114" i="1"/>
  <c r="J114" i="1" s="1"/>
  <c r="K114" i="1" s="1"/>
  <c r="E114" i="1" s="1"/>
  <c r="O144" i="3" l="1"/>
  <c r="P144" i="3"/>
  <c r="L158" i="3"/>
  <c r="K158" i="3"/>
  <c r="M159" i="3" s="1"/>
  <c r="G84" i="3"/>
  <c r="I85" i="3" s="1"/>
  <c r="G115" i="1"/>
  <c r="D114" i="1"/>
  <c r="I115" i="1" s="1"/>
  <c r="H115" i="1"/>
  <c r="O145" i="3" l="1"/>
  <c r="P145" i="3"/>
  <c r="L159" i="3"/>
  <c r="K159" i="3"/>
  <c r="M160" i="3" s="1"/>
  <c r="H85" i="3"/>
  <c r="F115" i="1"/>
  <c r="J115" i="1" s="1"/>
  <c r="K115" i="1" s="1"/>
  <c r="E115" i="1" s="1"/>
  <c r="O146" i="3" l="1"/>
  <c r="P146" i="3"/>
  <c r="L160" i="3"/>
  <c r="K160" i="3"/>
  <c r="M161" i="3" s="1"/>
  <c r="G116" i="1"/>
  <c r="D115" i="1"/>
  <c r="I116" i="1" s="1"/>
  <c r="H116" i="1"/>
  <c r="O147" i="3" l="1"/>
  <c r="P147" i="3"/>
  <c r="L161" i="3"/>
  <c r="K161" i="3"/>
  <c r="M162" i="3" s="1"/>
  <c r="G85" i="3"/>
  <c r="I86" i="3" s="1"/>
  <c r="F116" i="1"/>
  <c r="J116" i="1" s="1"/>
  <c r="K116" i="1" s="1"/>
  <c r="E116" i="1" s="1"/>
  <c r="O148" i="3" l="1"/>
  <c r="P148" i="3"/>
  <c r="L162" i="3"/>
  <c r="K162" i="3"/>
  <c r="M163" i="3" s="1"/>
  <c r="G86" i="3"/>
  <c r="I87" i="3" s="1"/>
  <c r="H86" i="3"/>
  <c r="H87" i="3"/>
  <c r="D116" i="1"/>
  <c r="I117" i="1" s="1"/>
  <c r="H117" i="1"/>
  <c r="G117" i="1"/>
  <c r="O149" i="3" l="1"/>
  <c r="P149" i="3"/>
  <c r="L163" i="3"/>
  <c r="K163" i="3"/>
  <c r="M164" i="3" s="1"/>
  <c r="G87" i="3"/>
  <c r="I88" i="3" s="1"/>
  <c r="F117" i="1"/>
  <c r="J117" i="1" s="1"/>
  <c r="K117" i="1" s="1"/>
  <c r="E117" i="1" s="1"/>
  <c r="O150" i="3" l="1"/>
  <c r="P150" i="3"/>
  <c r="L164" i="3"/>
  <c r="K164" i="3"/>
  <c r="M165" i="3" s="1"/>
  <c r="H88" i="3"/>
  <c r="G118" i="1"/>
  <c r="D117" i="1"/>
  <c r="I118" i="1" s="1"/>
  <c r="H118" i="1"/>
  <c r="O151" i="3" l="1"/>
  <c r="P151" i="3"/>
  <c r="L165" i="3"/>
  <c r="K165" i="3"/>
  <c r="M166" i="3" s="1"/>
  <c r="G88" i="3"/>
  <c r="I89" i="3" s="1"/>
  <c r="F118" i="1"/>
  <c r="J118" i="1" s="1"/>
  <c r="K118" i="1" s="1"/>
  <c r="E118" i="1" s="1"/>
  <c r="O152" i="3" l="1"/>
  <c r="P152" i="3"/>
  <c r="L166" i="3"/>
  <c r="K166" i="3"/>
  <c r="M167" i="3" s="1"/>
  <c r="H89" i="3"/>
  <c r="G119" i="1"/>
  <c r="D118" i="1"/>
  <c r="I119" i="1" s="1"/>
  <c r="H119" i="1"/>
  <c r="O153" i="3" l="1"/>
  <c r="P153" i="3"/>
  <c r="L167" i="3"/>
  <c r="K167" i="3"/>
  <c r="M168" i="3" s="1"/>
  <c r="G89" i="3"/>
  <c r="I90" i="3" s="1"/>
  <c r="F119" i="1"/>
  <c r="J119" i="1" s="1"/>
  <c r="K119" i="1" s="1"/>
  <c r="E119" i="1" s="1"/>
  <c r="O154" i="3" l="1"/>
  <c r="P154" i="3"/>
  <c r="L168" i="3"/>
  <c r="K168" i="3"/>
  <c r="M169" i="3" s="1"/>
  <c r="H90" i="3"/>
  <c r="G120" i="1"/>
  <c r="D119" i="1"/>
  <c r="I120" i="1" s="1"/>
  <c r="H120" i="1"/>
  <c r="O155" i="3" l="1"/>
  <c r="P155" i="3"/>
  <c r="L169" i="3"/>
  <c r="K169" i="3"/>
  <c r="M170" i="3" s="1"/>
  <c r="G90" i="3"/>
  <c r="I91" i="3" s="1"/>
  <c r="F120" i="1"/>
  <c r="J120" i="1" s="1"/>
  <c r="K120" i="1" s="1"/>
  <c r="E120" i="1" s="1"/>
  <c r="O156" i="3" l="1"/>
  <c r="P156" i="3"/>
  <c r="L170" i="3"/>
  <c r="K170" i="3"/>
  <c r="M171" i="3" s="1"/>
  <c r="H91" i="3"/>
  <c r="D120" i="1"/>
  <c r="I121" i="1" s="1"/>
  <c r="H121" i="1"/>
  <c r="G121" i="1"/>
  <c r="O157" i="3" l="1"/>
  <c r="P157" i="3"/>
  <c r="L171" i="3"/>
  <c r="K171" i="3"/>
  <c r="M172" i="3" s="1"/>
  <c r="G91" i="3"/>
  <c r="I92" i="3" s="1"/>
  <c r="F121" i="1"/>
  <c r="J121" i="1" s="1"/>
  <c r="K121" i="1" s="1"/>
  <c r="E121" i="1" s="1"/>
  <c r="O158" i="3" l="1"/>
  <c r="P158" i="3"/>
  <c r="L172" i="3"/>
  <c r="K172" i="3"/>
  <c r="M173" i="3" s="1"/>
  <c r="H92" i="3"/>
  <c r="G122" i="1"/>
  <c r="D121" i="1"/>
  <c r="I122" i="1" s="1"/>
  <c r="H122" i="1"/>
  <c r="O159" i="3" l="1"/>
  <c r="P159" i="3"/>
  <c r="L173" i="3"/>
  <c r="K173" i="3"/>
  <c r="M174" i="3" s="1"/>
  <c r="G92" i="3"/>
  <c r="I93" i="3" s="1"/>
  <c r="F122" i="1"/>
  <c r="J122" i="1" s="1"/>
  <c r="K122" i="1" s="1"/>
  <c r="E122" i="1" s="1"/>
  <c r="O160" i="3" l="1"/>
  <c r="P160" i="3"/>
  <c r="L174" i="3"/>
  <c r="K174" i="3"/>
  <c r="M175" i="3" s="1"/>
  <c r="H93" i="3"/>
  <c r="G123" i="1"/>
  <c r="D122" i="1"/>
  <c r="I123" i="1" s="1"/>
  <c r="H123" i="1"/>
  <c r="O161" i="3" l="1"/>
  <c r="P161" i="3"/>
  <c r="L175" i="3"/>
  <c r="K175" i="3"/>
  <c r="M176" i="3" s="1"/>
  <c r="G93" i="3"/>
  <c r="I94" i="3" s="1"/>
  <c r="F123" i="1"/>
  <c r="J123" i="1" s="1"/>
  <c r="K123" i="1" s="1"/>
  <c r="E123" i="1" s="1"/>
  <c r="O162" i="3" l="1"/>
  <c r="P162" i="3"/>
  <c r="L176" i="3"/>
  <c r="K176" i="3"/>
  <c r="M177" i="3" s="1"/>
  <c r="H94" i="3"/>
  <c r="G124" i="1"/>
  <c r="D123" i="1"/>
  <c r="I124" i="1" s="1"/>
  <c r="H124" i="1"/>
  <c r="O163" i="3" l="1"/>
  <c r="P163" i="3"/>
  <c r="L177" i="3"/>
  <c r="K177" i="3"/>
  <c r="M178" i="3" s="1"/>
  <c r="G94" i="3"/>
  <c r="I95" i="3" s="1"/>
  <c r="F124" i="1"/>
  <c r="J124" i="1" s="1"/>
  <c r="K124" i="1" s="1"/>
  <c r="E124" i="1" s="1"/>
  <c r="O164" i="3" l="1"/>
  <c r="P164" i="3"/>
  <c r="L178" i="3"/>
  <c r="K178" i="3"/>
  <c r="M179" i="3" s="1"/>
  <c r="H95" i="3"/>
  <c r="D124" i="1"/>
  <c r="I125" i="1" s="1"/>
  <c r="H125" i="1"/>
  <c r="G125" i="1"/>
  <c r="O165" i="3" l="1"/>
  <c r="P165" i="3"/>
  <c r="L179" i="3"/>
  <c r="K179" i="3"/>
  <c r="M180" i="3" s="1"/>
  <c r="G95" i="3"/>
  <c r="I96" i="3" s="1"/>
  <c r="F125" i="1"/>
  <c r="J125" i="1" s="1"/>
  <c r="K125" i="1" s="1"/>
  <c r="E125" i="1" s="1"/>
  <c r="O166" i="3" l="1"/>
  <c r="P166" i="3"/>
  <c r="L180" i="3"/>
  <c r="K180" i="3"/>
  <c r="M181" i="3" s="1"/>
  <c r="H96" i="3"/>
  <c r="G126" i="1"/>
  <c r="D125" i="1"/>
  <c r="I126" i="1" s="1"/>
  <c r="H126" i="1"/>
  <c r="O167" i="3" l="1"/>
  <c r="P167" i="3"/>
  <c r="L181" i="3"/>
  <c r="K181" i="3"/>
  <c r="M182" i="3" s="1"/>
  <c r="G96" i="3"/>
  <c r="I97" i="3" s="1"/>
  <c r="F126" i="1"/>
  <c r="J126" i="1" s="1"/>
  <c r="K126" i="1" s="1"/>
  <c r="E126" i="1" s="1"/>
  <c r="O168" i="3" l="1"/>
  <c r="P168" i="3"/>
  <c r="L182" i="3"/>
  <c r="K182" i="3"/>
  <c r="M183" i="3" s="1"/>
  <c r="H97" i="3"/>
  <c r="G127" i="1"/>
  <c r="D126" i="1"/>
  <c r="I127" i="1" s="1"/>
  <c r="H127" i="1"/>
  <c r="P169" i="3" l="1"/>
  <c r="O169" i="3"/>
  <c r="L183" i="3"/>
  <c r="K183" i="3"/>
  <c r="M184" i="3" s="1"/>
  <c r="G97" i="3"/>
  <c r="I98" i="3" s="1"/>
  <c r="F127" i="1"/>
  <c r="J127" i="1" s="1"/>
  <c r="K127" i="1" s="1"/>
  <c r="E127" i="1" s="1"/>
  <c r="O170" i="3" l="1"/>
  <c r="P170" i="3"/>
  <c r="L184" i="3"/>
  <c r="K184" i="3"/>
  <c r="M185" i="3" s="1"/>
  <c r="H98" i="3"/>
  <c r="G128" i="1"/>
  <c r="D127" i="1"/>
  <c r="I128" i="1" s="1"/>
  <c r="H128" i="1"/>
  <c r="O171" i="3" l="1"/>
  <c r="P171" i="3"/>
  <c r="L185" i="3"/>
  <c r="K185" i="3"/>
  <c r="M186" i="3" s="1"/>
  <c r="G98" i="3"/>
  <c r="I99" i="3" s="1"/>
  <c r="F128" i="1"/>
  <c r="J128" i="1" s="1"/>
  <c r="K128" i="1" s="1"/>
  <c r="E128" i="1" s="1"/>
  <c r="O172" i="3" l="1"/>
  <c r="P172" i="3"/>
  <c r="L186" i="3"/>
  <c r="K186" i="3"/>
  <c r="M187" i="3" s="1"/>
  <c r="H99" i="3"/>
  <c r="G99" i="3"/>
  <c r="I100" i="3" s="1"/>
  <c r="D128" i="1"/>
  <c r="I129" i="1" s="1"/>
  <c r="H129" i="1"/>
  <c r="G129" i="1"/>
  <c r="O173" i="3" l="1"/>
  <c r="P173" i="3"/>
  <c r="L187" i="3"/>
  <c r="K187" i="3"/>
  <c r="M188" i="3" s="1"/>
  <c r="H100" i="3"/>
  <c r="G100" i="3"/>
  <c r="I101" i="3" s="1"/>
  <c r="F129" i="1"/>
  <c r="J129" i="1" s="1"/>
  <c r="K129" i="1" s="1"/>
  <c r="E129" i="1" s="1"/>
  <c r="O174" i="3" l="1"/>
  <c r="P174" i="3"/>
  <c r="L188" i="3"/>
  <c r="K188" i="3"/>
  <c r="M189" i="3" s="1"/>
  <c r="H101" i="3"/>
  <c r="G101" i="3"/>
  <c r="I102" i="3" s="1"/>
  <c r="G130" i="1"/>
  <c r="D129" i="1"/>
  <c r="I130" i="1" s="1"/>
  <c r="H130" i="1"/>
  <c r="P175" i="3" l="1"/>
  <c r="O175" i="3"/>
  <c r="L189" i="3"/>
  <c r="K189" i="3"/>
  <c r="M190" i="3" s="1"/>
  <c r="H102" i="3"/>
  <c r="G102" i="3"/>
  <c r="I103" i="3" s="1"/>
  <c r="F130" i="1"/>
  <c r="J130" i="1" s="1"/>
  <c r="K130" i="1" s="1"/>
  <c r="E130" i="1" s="1"/>
  <c r="O176" i="3" l="1"/>
  <c r="P176" i="3"/>
  <c r="L190" i="3"/>
  <c r="K190" i="3"/>
  <c r="M191" i="3" s="1"/>
  <c r="H103" i="3"/>
  <c r="G103" i="3"/>
  <c r="I104" i="3" s="1"/>
  <c r="G131" i="1"/>
  <c r="D130" i="1"/>
  <c r="I131" i="1" s="1"/>
  <c r="H131" i="1"/>
  <c r="O177" i="3" l="1"/>
  <c r="P177" i="3"/>
  <c r="L191" i="3"/>
  <c r="K191" i="3"/>
  <c r="M192" i="3" s="1"/>
  <c r="H104" i="3"/>
  <c r="G104" i="3"/>
  <c r="I105" i="3" s="1"/>
  <c r="F131" i="1"/>
  <c r="J131" i="1" s="1"/>
  <c r="K131" i="1" s="1"/>
  <c r="E131" i="1" s="1"/>
  <c r="O178" i="3" l="1"/>
  <c r="P178" i="3"/>
  <c r="L192" i="3"/>
  <c r="K192" i="3"/>
  <c r="M193" i="3" s="1"/>
  <c r="H105" i="3"/>
  <c r="G105" i="3"/>
  <c r="I106" i="3" s="1"/>
  <c r="G132" i="1"/>
  <c r="D131" i="1"/>
  <c r="I132" i="1" s="1"/>
  <c r="H132" i="1"/>
  <c r="O179" i="3" l="1"/>
  <c r="P179" i="3"/>
  <c r="L193" i="3"/>
  <c r="K193" i="3"/>
  <c r="M194" i="3" s="1"/>
  <c r="H106" i="3"/>
  <c r="G106" i="3"/>
  <c r="I107" i="3" s="1"/>
  <c r="F132" i="1"/>
  <c r="J132" i="1" s="1"/>
  <c r="K132" i="1" s="1"/>
  <c r="E132" i="1" s="1"/>
  <c r="O180" i="3" l="1"/>
  <c r="P180" i="3"/>
  <c r="L194" i="3"/>
  <c r="K194" i="3"/>
  <c r="M195" i="3" s="1"/>
  <c r="H107" i="3"/>
  <c r="G107" i="3"/>
  <c r="I108" i="3" s="1"/>
  <c r="D132" i="1"/>
  <c r="I133" i="1" s="1"/>
  <c r="H133" i="1"/>
  <c r="G133" i="1"/>
  <c r="O181" i="3" l="1"/>
  <c r="P181" i="3"/>
  <c r="L195" i="3"/>
  <c r="K195" i="3"/>
  <c r="M196" i="3" s="1"/>
  <c r="H108" i="3"/>
  <c r="G108" i="3"/>
  <c r="I109" i="3" s="1"/>
  <c r="F133" i="1"/>
  <c r="J133" i="1" s="1"/>
  <c r="K133" i="1" s="1"/>
  <c r="E133" i="1" s="1"/>
  <c r="O182" i="3" l="1"/>
  <c r="P182" i="3"/>
  <c r="L196" i="3"/>
  <c r="K196" i="3"/>
  <c r="M197" i="3" s="1"/>
  <c r="H109" i="3"/>
  <c r="G109" i="3"/>
  <c r="I110" i="3" s="1"/>
  <c r="G134" i="1"/>
  <c r="D133" i="1"/>
  <c r="I134" i="1" s="1"/>
  <c r="H134" i="1"/>
  <c r="O183" i="3" l="1"/>
  <c r="P183" i="3"/>
  <c r="L197" i="3"/>
  <c r="K197" i="3"/>
  <c r="M198" i="3" s="1"/>
  <c r="H110" i="3"/>
  <c r="G110" i="3"/>
  <c r="I111" i="3" s="1"/>
  <c r="F134" i="1"/>
  <c r="J134" i="1" s="1"/>
  <c r="K134" i="1" s="1"/>
  <c r="E134" i="1" s="1"/>
  <c r="P184" i="3" l="1"/>
  <c r="O184" i="3"/>
  <c r="L198" i="3"/>
  <c r="K198" i="3"/>
  <c r="M199" i="3" s="1"/>
  <c r="H111" i="3"/>
  <c r="G111" i="3"/>
  <c r="I112" i="3" s="1"/>
  <c r="G135" i="1"/>
  <c r="D134" i="1"/>
  <c r="I135" i="1" s="1"/>
  <c r="H135" i="1"/>
  <c r="O185" i="3" l="1"/>
  <c r="P185" i="3"/>
  <c r="L199" i="3"/>
  <c r="K199" i="3"/>
  <c r="M200" i="3" s="1"/>
  <c r="H112" i="3"/>
  <c r="G112" i="3"/>
  <c r="I113" i="3" s="1"/>
  <c r="F135" i="1"/>
  <c r="J135" i="1" s="1"/>
  <c r="K135" i="1" s="1"/>
  <c r="E135" i="1" s="1"/>
  <c r="O186" i="3" l="1"/>
  <c r="P186" i="3"/>
  <c r="L200" i="3"/>
  <c r="K200" i="3"/>
  <c r="M201" i="3" s="1"/>
  <c r="H113" i="3"/>
  <c r="G113" i="3"/>
  <c r="I114" i="3" s="1"/>
  <c r="G136" i="1"/>
  <c r="D135" i="1"/>
  <c r="I136" i="1" s="1"/>
  <c r="H136" i="1"/>
  <c r="O187" i="3" l="1"/>
  <c r="P187" i="3"/>
  <c r="L201" i="3"/>
  <c r="K201" i="3"/>
  <c r="M202" i="3" s="1"/>
  <c r="H114" i="3"/>
  <c r="G114" i="3"/>
  <c r="I115" i="3" s="1"/>
  <c r="F136" i="1"/>
  <c r="J136" i="1" s="1"/>
  <c r="K136" i="1" s="1"/>
  <c r="E136" i="1" s="1"/>
  <c r="O188" i="3" l="1"/>
  <c r="P188" i="3"/>
  <c r="L202" i="3"/>
  <c r="K202" i="3"/>
  <c r="M203" i="3" s="1"/>
  <c r="H115" i="3"/>
  <c r="G115" i="3"/>
  <c r="I116" i="3" s="1"/>
  <c r="G137" i="1"/>
  <c r="H137" i="1"/>
  <c r="D136" i="1"/>
  <c r="I137" i="1" s="1"/>
  <c r="O189" i="3" l="1"/>
  <c r="P189" i="3"/>
  <c r="L203" i="3"/>
  <c r="K203" i="3"/>
  <c r="M204" i="3" s="1"/>
  <c r="H116" i="3"/>
  <c r="G116" i="3"/>
  <c r="I117" i="3" s="1"/>
  <c r="F137" i="1"/>
  <c r="J137" i="1" s="1"/>
  <c r="K137" i="1" s="1"/>
  <c r="E137" i="1" s="1"/>
  <c r="O190" i="3" l="1"/>
  <c r="P190" i="3"/>
  <c r="L204" i="3"/>
  <c r="K204" i="3"/>
  <c r="M205" i="3" s="1"/>
  <c r="H117" i="3"/>
  <c r="G117" i="3"/>
  <c r="I118" i="3" s="1"/>
  <c r="D137" i="1"/>
  <c r="I138" i="1" s="1"/>
  <c r="H138" i="1"/>
  <c r="G138" i="1"/>
  <c r="O191" i="3" l="1"/>
  <c r="P191" i="3"/>
  <c r="L205" i="3"/>
  <c r="K205" i="3"/>
  <c r="M206" i="3" s="1"/>
  <c r="H118" i="3"/>
  <c r="G118" i="3"/>
  <c r="I119" i="3" s="1"/>
  <c r="F138" i="1"/>
  <c r="J138" i="1" s="1"/>
  <c r="K138" i="1" s="1"/>
  <c r="E138" i="1" s="1"/>
  <c r="O192" i="3" l="1"/>
  <c r="P192" i="3"/>
  <c r="L206" i="3"/>
  <c r="K206" i="3"/>
  <c r="M207" i="3" s="1"/>
  <c r="H119" i="3"/>
  <c r="G119" i="3"/>
  <c r="I120" i="3" s="1"/>
  <c r="G139" i="1"/>
  <c r="D138" i="1"/>
  <c r="I139" i="1" s="1"/>
  <c r="H139" i="1"/>
  <c r="O193" i="3" l="1"/>
  <c r="P193" i="3"/>
  <c r="L207" i="3"/>
  <c r="K207" i="3"/>
  <c r="M208" i="3" s="1"/>
  <c r="H120" i="3"/>
  <c r="G120" i="3"/>
  <c r="I121" i="3" s="1"/>
  <c r="F139" i="1"/>
  <c r="J139" i="1" s="1"/>
  <c r="K139" i="1" s="1"/>
  <c r="E139" i="1" s="1"/>
  <c r="O194" i="3" l="1"/>
  <c r="P194" i="3"/>
  <c r="L208" i="3"/>
  <c r="K208" i="3"/>
  <c r="M209" i="3" s="1"/>
  <c r="H121" i="3"/>
  <c r="G121" i="3"/>
  <c r="I122" i="3" s="1"/>
  <c r="G140" i="1"/>
  <c r="D139" i="1"/>
  <c r="I140" i="1" s="1"/>
  <c r="H140" i="1"/>
  <c r="O195" i="3" l="1"/>
  <c r="P195" i="3"/>
  <c r="L209" i="3"/>
  <c r="K209" i="3"/>
  <c r="M210" i="3" s="1"/>
  <c r="H122" i="3"/>
  <c r="G122" i="3"/>
  <c r="I123" i="3" s="1"/>
  <c r="F140" i="1"/>
  <c r="J140" i="1" s="1"/>
  <c r="K140" i="1" s="1"/>
  <c r="E140" i="1" s="1"/>
  <c r="O196" i="3" l="1"/>
  <c r="P196" i="3"/>
  <c r="L210" i="3"/>
  <c r="K210" i="3"/>
  <c r="M211" i="3" s="1"/>
  <c r="H123" i="3"/>
  <c r="G123" i="3"/>
  <c r="I124" i="3" s="1"/>
  <c r="G141" i="1"/>
  <c r="D140" i="1"/>
  <c r="I141" i="1" s="1"/>
  <c r="H141" i="1"/>
  <c r="O197" i="3" l="1"/>
  <c r="P197" i="3"/>
  <c r="L211" i="3"/>
  <c r="K211" i="3"/>
  <c r="M212" i="3" s="1"/>
  <c r="H124" i="3"/>
  <c r="G124" i="3"/>
  <c r="I125" i="3" s="1"/>
  <c r="F141" i="1"/>
  <c r="J141" i="1" s="1"/>
  <c r="K141" i="1" s="1"/>
  <c r="E141" i="1" s="1"/>
  <c r="O198" i="3" l="1"/>
  <c r="P198" i="3"/>
  <c r="L212" i="3"/>
  <c r="K212" i="3"/>
  <c r="M213" i="3" s="1"/>
  <c r="H125" i="3"/>
  <c r="G125" i="3"/>
  <c r="I126" i="3" s="1"/>
  <c r="D141" i="1"/>
  <c r="I142" i="1" s="1"/>
  <c r="H142" i="1"/>
  <c r="G142" i="1"/>
  <c r="O199" i="3" l="1"/>
  <c r="P199" i="3"/>
  <c r="L213" i="3"/>
  <c r="K213" i="3"/>
  <c r="M214" i="3" s="1"/>
  <c r="H126" i="3"/>
  <c r="G126" i="3"/>
  <c r="I127" i="3" s="1"/>
  <c r="F142" i="1"/>
  <c r="J142" i="1" s="1"/>
  <c r="K142" i="1" s="1"/>
  <c r="E142" i="1" s="1"/>
  <c r="O200" i="3" l="1"/>
  <c r="P200" i="3"/>
  <c r="L214" i="3"/>
  <c r="K214" i="3"/>
  <c r="M215" i="3" s="1"/>
  <c r="H127" i="3"/>
  <c r="G127" i="3"/>
  <c r="I128" i="3" s="1"/>
  <c r="D142" i="1"/>
  <c r="I143" i="1" s="1"/>
  <c r="F143" i="1" s="1"/>
  <c r="J143" i="1" s="1"/>
  <c r="G143" i="1"/>
  <c r="H143" i="1"/>
  <c r="O201" i="3" l="1"/>
  <c r="P201" i="3"/>
  <c r="L215" i="3"/>
  <c r="K215" i="3"/>
  <c r="M216" i="3" s="1"/>
  <c r="H128" i="3"/>
  <c r="G128" i="3"/>
  <c r="I129" i="3" s="1"/>
  <c r="K143" i="1"/>
  <c r="E143" i="1" s="1"/>
  <c r="O202" i="3" l="1"/>
  <c r="P202" i="3"/>
  <c r="L216" i="3"/>
  <c r="K216" i="3"/>
  <c r="M217" i="3" s="1"/>
  <c r="H129" i="3"/>
  <c r="G129" i="3"/>
  <c r="I130" i="3" s="1"/>
  <c r="G144" i="1"/>
  <c r="H144" i="1"/>
  <c r="D143" i="1"/>
  <c r="I144" i="1" s="1"/>
  <c r="F144" i="1" s="1"/>
  <c r="J144" i="1" s="1"/>
  <c r="O203" i="3" l="1"/>
  <c r="P203" i="3"/>
  <c r="L217" i="3"/>
  <c r="K217" i="3"/>
  <c r="M218" i="3" s="1"/>
  <c r="H130" i="3"/>
  <c r="G130" i="3"/>
  <c r="I131" i="3" s="1"/>
  <c r="K144" i="1"/>
  <c r="E144" i="1" s="1"/>
  <c r="O204" i="3" l="1"/>
  <c r="P204" i="3"/>
  <c r="L218" i="3"/>
  <c r="K218" i="3"/>
  <c r="M219" i="3" s="1"/>
  <c r="H131" i="3"/>
  <c r="G131" i="3"/>
  <c r="I132" i="3" s="1"/>
  <c r="G145" i="1"/>
  <c r="H145" i="1"/>
  <c r="D144" i="1"/>
  <c r="I145" i="1" s="1"/>
  <c r="F145" i="1" s="1"/>
  <c r="J145" i="1" s="1"/>
  <c r="O205" i="3" l="1"/>
  <c r="P205" i="3"/>
  <c r="L219" i="3"/>
  <c r="K219" i="3"/>
  <c r="M220" i="3" s="1"/>
  <c r="H132" i="3"/>
  <c r="G132" i="3"/>
  <c r="I133" i="3" s="1"/>
  <c r="K145" i="1"/>
  <c r="E145" i="1" s="1"/>
  <c r="P206" i="3" l="1"/>
  <c r="O206" i="3"/>
  <c r="L220" i="3"/>
  <c r="K220" i="3"/>
  <c r="M221" i="3" s="1"/>
  <c r="H133" i="3"/>
  <c r="G133" i="3"/>
  <c r="I134" i="3" s="1"/>
  <c r="G146" i="1"/>
  <c r="D145" i="1"/>
  <c r="I146" i="1" s="1"/>
  <c r="F146" i="1" s="1"/>
  <c r="J146" i="1" s="1"/>
  <c r="H146" i="1"/>
  <c r="O207" i="3" l="1"/>
  <c r="P207" i="3"/>
  <c r="L221" i="3"/>
  <c r="K221" i="3"/>
  <c r="M222" i="3" s="1"/>
  <c r="H134" i="3"/>
  <c r="G134" i="3"/>
  <c r="I135" i="3" s="1"/>
  <c r="K146" i="1"/>
  <c r="E146" i="1" s="1"/>
  <c r="O208" i="3" l="1"/>
  <c r="P208" i="3"/>
  <c r="L222" i="3"/>
  <c r="K222" i="3"/>
  <c r="M223" i="3" s="1"/>
  <c r="H135" i="3"/>
  <c r="G135" i="3"/>
  <c r="I136" i="3" s="1"/>
  <c r="G147" i="1"/>
  <c r="H147" i="1"/>
  <c r="D146" i="1"/>
  <c r="I147" i="1" s="1"/>
  <c r="O209" i="3" l="1"/>
  <c r="P209" i="3"/>
  <c r="L223" i="3"/>
  <c r="K223" i="3"/>
  <c r="M224" i="3" s="1"/>
  <c r="H136" i="3"/>
  <c r="G136" i="3"/>
  <c r="I137" i="3" s="1"/>
  <c r="F147" i="1"/>
  <c r="J147" i="1" s="1"/>
  <c r="K147" i="1" s="1"/>
  <c r="E147" i="1" s="1"/>
  <c r="O210" i="3" l="1"/>
  <c r="P210" i="3"/>
  <c r="L224" i="3"/>
  <c r="K224" i="3"/>
  <c r="M225" i="3" s="1"/>
  <c r="H137" i="3"/>
  <c r="G137" i="3"/>
  <c r="I138" i="3" s="1"/>
  <c r="H148" i="1"/>
  <c r="D147" i="1"/>
  <c r="I148" i="1" s="1"/>
  <c r="G148" i="1"/>
  <c r="O211" i="3" l="1"/>
  <c r="P211" i="3"/>
  <c r="L225" i="3"/>
  <c r="K225" i="3"/>
  <c r="M226" i="3" s="1"/>
  <c r="H138" i="3"/>
  <c r="G138" i="3"/>
  <c r="I139" i="3" s="1"/>
  <c r="F148" i="1"/>
  <c r="J148" i="1" s="1"/>
  <c r="K148" i="1" s="1"/>
  <c r="E148" i="1" s="1"/>
  <c r="O212" i="3" l="1"/>
  <c r="P212" i="3"/>
  <c r="L226" i="3"/>
  <c r="K226" i="3"/>
  <c r="M227" i="3" s="1"/>
  <c r="H139" i="3"/>
  <c r="G139" i="3"/>
  <c r="I140" i="3" s="1"/>
  <c r="G149" i="1"/>
  <c r="D148" i="1"/>
  <c r="I149" i="1" s="1"/>
  <c r="H149" i="1"/>
  <c r="O213" i="3" l="1"/>
  <c r="P213" i="3"/>
  <c r="L227" i="3"/>
  <c r="K227" i="3"/>
  <c r="M228" i="3" s="1"/>
  <c r="H140" i="3"/>
  <c r="G140" i="3"/>
  <c r="I141" i="3" s="1"/>
  <c r="F149" i="1"/>
  <c r="J149" i="1" s="1"/>
  <c r="K149" i="1" s="1"/>
  <c r="E149" i="1" s="1"/>
  <c r="O214" i="3" l="1"/>
  <c r="P214" i="3"/>
  <c r="L228" i="3"/>
  <c r="K228" i="3"/>
  <c r="M229" i="3" s="1"/>
  <c r="H141" i="3"/>
  <c r="G141" i="3"/>
  <c r="I142" i="3" s="1"/>
  <c r="G150" i="1"/>
  <c r="D149" i="1"/>
  <c r="I150" i="1" s="1"/>
  <c r="H150" i="1"/>
  <c r="O215" i="3" l="1"/>
  <c r="P215" i="3"/>
  <c r="L229" i="3"/>
  <c r="K229" i="3"/>
  <c r="M230" i="3" s="1"/>
  <c r="H142" i="3"/>
  <c r="G142" i="3"/>
  <c r="I143" i="3" s="1"/>
  <c r="F150" i="1"/>
  <c r="J150" i="1" s="1"/>
  <c r="K150" i="1" s="1"/>
  <c r="E150" i="1" s="1"/>
  <c r="O216" i="3" l="1"/>
  <c r="P216" i="3"/>
  <c r="L230" i="3"/>
  <c r="K230" i="3"/>
  <c r="M231" i="3" s="1"/>
  <c r="H143" i="3"/>
  <c r="G143" i="3"/>
  <c r="I144" i="3" s="1"/>
  <c r="G151" i="1"/>
  <c r="D150" i="1"/>
  <c r="I151" i="1" s="1"/>
  <c r="H151" i="1"/>
  <c r="O217" i="3" l="1"/>
  <c r="P217" i="3"/>
  <c r="L231" i="3"/>
  <c r="K231" i="3"/>
  <c r="M232" i="3" s="1"/>
  <c r="H144" i="3"/>
  <c r="G144" i="3"/>
  <c r="I145" i="3" s="1"/>
  <c r="F151" i="1"/>
  <c r="J151" i="1" s="1"/>
  <c r="K151" i="1" s="1"/>
  <c r="E151" i="1" s="1"/>
  <c r="O218" i="3" l="1"/>
  <c r="P218" i="3"/>
  <c r="L232" i="3"/>
  <c r="K232" i="3"/>
  <c r="M233" i="3" s="1"/>
  <c r="H145" i="3"/>
  <c r="G145" i="3"/>
  <c r="I146" i="3" s="1"/>
  <c r="D151" i="1"/>
  <c r="I152" i="1" s="1"/>
  <c r="H152" i="1"/>
  <c r="G152" i="1"/>
  <c r="O219" i="3" l="1"/>
  <c r="P219" i="3"/>
  <c r="L233" i="3"/>
  <c r="K233" i="3"/>
  <c r="M234" i="3" s="1"/>
  <c r="H146" i="3"/>
  <c r="G146" i="3"/>
  <c r="I147" i="3" s="1"/>
  <c r="F152" i="1"/>
  <c r="J152" i="1" s="1"/>
  <c r="K152" i="1" s="1"/>
  <c r="E152" i="1" s="1"/>
  <c r="O220" i="3" l="1"/>
  <c r="P220" i="3"/>
  <c r="L234" i="3"/>
  <c r="K234" i="3"/>
  <c r="M235" i="3" s="1"/>
  <c r="H147" i="3"/>
  <c r="G147" i="3"/>
  <c r="I148" i="3" s="1"/>
  <c r="G153" i="1"/>
  <c r="D152" i="1"/>
  <c r="I153" i="1" s="1"/>
  <c r="H153" i="1"/>
  <c r="O221" i="3" l="1"/>
  <c r="P221" i="3"/>
  <c r="L235" i="3"/>
  <c r="K235" i="3"/>
  <c r="M236" i="3" s="1"/>
  <c r="H148" i="3"/>
  <c r="G148" i="3"/>
  <c r="I149" i="3" s="1"/>
  <c r="F153" i="1"/>
  <c r="J153" i="1" s="1"/>
  <c r="K153" i="1" s="1"/>
  <c r="E153" i="1" s="1"/>
  <c r="O222" i="3" l="1"/>
  <c r="P222" i="3"/>
  <c r="L236" i="3"/>
  <c r="K236" i="3"/>
  <c r="M237" i="3" s="1"/>
  <c r="H149" i="3"/>
  <c r="G149" i="3"/>
  <c r="I150" i="3" s="1"/>
  <c r="G154" i="1"/>
  <c r="D153" i="1"/>
  <c r="I154" i="1" s="1"/>
  <c r="H154" i="1"/>
  <c r="O223" i="3" l="1"/>
  <c r="P223" i="3"/>
  <c r="L237" i="3"/>
  <c r="K237" i="3"/>
  <c r="M238" i="3" s="1"/>
  <c r="H150" i="3"/>
  <c r="G150" i="3"/>
  <c r="I151" i="3" s="1"/>
  <c r="F154" i="1"/>
  <c r="J154" i="1" s="1"/>
  <c r="K154" i="1" s="1"/>
  <c r="E154" i="1" s="1"/>
  <c r="O224" i="3" l="1"/>
  <c r="P224" i="3"/>
  <c r="L238" i="3"/>
  <c r="K238" i="3"/>
  <c r="M239" i="3" s="1"/>
  <c r="H151" i="3"/>
  <c r="G151" i="3"/>
  <c r="I152" i="3" s="1"/>
  <c r="G155" i="1"/>
  <c r="D154" i="1"/>
  <c r="I155" i="1" s="1"/>
  <c r="H155" i="1"/>
  <c r="O225" i="3" l="1"/>
  <c r="P225" i="3"/>
  <c r="L239" i="3"/>
  <c r="K239" i="3"/>
  <c r="M240" i="3" s="1"/>
  <c r="H152" i="3"/>
  <c r="G152" i="3"/>
  <c r="I153" i="3" s="1"/>
  <c r="F155" i="1"/>
  <c r="J155" i="1" s="1"/>
  <c r="K155" i="1" s="1"/>
  <c r="E155" i="1" s="1"/>
  <c r="O226" i="3" l="1"/>
  <c r="P226" i="3"/>
  <c r="L240" i="3"/>
  <c r="K240" i="3"/>
  <c r="M241" i="3" s="1"/>
  <c r="H153" i="3"/>
  <c r="G153" i="3"/>
  <c r="I154" i="3" s="1"/>
  <c r="D155" i="1"/>
  <c r="I156" i="1" s="1"/>
  <c r="H156" i="1"/>
  <c r="G156" i="1"/>
  <c r="O227" i="3" l="1"/>
  <c r="P227" i="3"/>
  <c r="L241" i="3"/>
  <c r="K241" i="3"/>
  <c r="M242" i="3" s="1"/>
  <c r="H154" i="3"/>
  <c r="G154" i="3"/>
  <c r="I155" i="3" s="1"/>
  <c r="F156" i="1"/>
  <c r="J156" i="1" s="1"/>
  <c r="K156" i="1" s="1"/>
  <c r="E156" i="1" s="1"/>
  <c r="O228" i="3" l="1"/>
  <c r="P228" i="3"/>
  <c r="L242" i="3"/>
  <c r="K242" i="3"/>
  <c r="M243" i="3" s="1"/>
  <c r="H155" i="3"/>
  <c r="G155" i="3"/>
  <c r="I156" i="3" s="1"/>
  <c r="G157" i="1"/>
  <c r="D156" i="1"/>
  <c r="I157" i="1" s="1"/>
  <c r="H157" i="1"/>
  <c r="O229" i="3" l="1"/>
  <c r="P229" i="3"/>
  <c r="L243" i="3"/>
  <c r="K243" i="3"/>
  <c r="M244" i="3" s="1"/>
  <c r="H156" i="3"/>
  <c r="G156" i="3"/>
  <c r="I157" i="3" s="1"/>
  <c r="F157" i="1"/>
  <c r="J157" i="1" s="1"/>
  <c r="K157" i="1" s="1"/>
  <c r="E157" i="1" s="1"/>
  <c r="O230" i="3" l="1"/>
  <c r="P230" i="3"/>
  <c r="L244" i="3"/>
  <c r="K244" i="3"/>
  <c r="M245" i="3" s="1"/>
  <c r="H157" i="3"/>
  <c r="G157" i="3"/>
  <c r="I158" i="3" s="1"/>
  <c r="G158" i="1"/>
  <c r="D157" i="1"/>
  <c r="I158" i="1" s="1"/>
  <c r="H158" i="1"/>
  <c r="O231" i="3" l="1"/>
  <c r="P231" i="3"/>
  <c r="L245" i="3"/>
  <c r="K245" i="3"/>
  <c r="M246" i="3" s="1"/>
  <c r="H158" i="3"/>
  <c r="G158" i="3"/>
  <c r="I159" i="3" s="1"/>
  <c r="F158" i="1"/>
  <c r="J158" i="1" s="1"/>
  <c r="K158" i="1" s="1"/>
  <c r="E158" i="1" s="1"/>
  <c r="P232" i="3" l="1"/>
  <c r="O232" i="3"/>
  <c r="L246" i="3"/>
  <c r="K246" i="3"/>
  <c r="M247" i="3" s="1"/>
  <c r="H159" i="3"/>
  <c r="G159" i="3"/>
  <c r="I160" i="3" s="1"/>
  <c r="F159" i="1"/>
  <c r="J159" i="1" s="1"/>
  <c r="G159" i="1"/>
  <c r="D158" i="1"/>
  <c r="I159" i="1" s="1"/>
  <c r="H159" i="1"/>
  <c r="P233" i="3" l="1"/>
  <c r="O233" i="3"/>
  <c r="L247" i="3"/>
  <c r="K247" i="3"/>
  <c r="M248" i="3" s="1"/>
  <c r="H160" i="3"/>
  <c r="G160" i="3"/>
  <c r="I161" i="3" s="1"/>
  <c r="K159" i="1"/>
  <c r="E159" i="1" s="1"/>
  <c r="O234" i="3" l="1"/>
  <c r="P234" i="3"/>
  <c r="L248" i="3"/>
  <c r="K248" i="3"/>
  <c r="M249" i="3" s="1"/>
  <c r="H161" i="3"/>
  <c r="G161" i="3"/>
  <c r="I162" i="3" s="1"/>
  <c r="D159" i="1"/>
  <c r="I160" i="1" s="1"/>
  <c r="H160" i="1"/>
  <c r="G160" i="1"/>
  <c r="O235" i="3" l="1"/>
  <c r="P235" i="3"/>
  <c r="L249" i="3"/>
  <c r="K249" i="3"/>
  <c r="M250" i="3" s="1"/>
  <c r="H162" i="3"/>
  <c r="G162" i="3"/>
  <c r="I163" i="3" s="1"/>
  <c r="F160" i="1"/>
  <c r="J160" i="1" s="1"/>
  <c r="K160" i="1" s="1"/>
  <c r="E160" i="1" s="1"/>
  <c r="O236" i="3" l="1"/>
  <c r="P236" i="3"/>
  <c r="L250" i="3"/>
  <c r="K250" i="3"/>
  <c r="M251" i="3" s="1"/>
  <c r="H163" i="3"/>
  <c r="G163" i="3"/>
  <c r="I164" i="3" s="1"/>
  <c r="G161" i="1"/>
  <c r="D160" i="1"/>
  <c r="I161" i="1" s="1"/>
  <c r="H161" i="1"/>
  <c r="O237" i="3" l="1"/>
  <c r="P237" i="3"/>
  <c r="L251" i="3"/>
  <c r="K251" i="3"/>
  <c r="M252" i="3" s="1"/>
  <c r="H164" i="3"/>
  <c r="G164" i="3"/>
  <c r="I165" i="3" s="1"/>
  <c r="F161" i="1"/>
  <c r="J161" i="1" s="1"/>
  <c r="K161" i="1" s="1"/>
  <c r="E161" i="1" s="1"/>
  <c r="O238" i="3" l="1"/>
  <c r="P238" i="3"/>
  <c r="L252" i="3"/>
  <c r="K252" i="3"/>
  <c r="M253" i="3" s="1"/>
  <c r="H165" i="3"/>
  <c r="G165" i="3"/>
  <c r="I166" i="3" s="1"/>
  <c r="G162" i="1"/>
  <c r="D161" i="1"/>
  <c r="I162" i="1" s="1"/>
  <c r="H162" i="1"/>
  <c r="O239" i="3" l="1"/>
  <c r="P239" i="3"/>
  <c r="L253" i="3"/>
  <c r="K253" i="3"/>
  <c r="M254" i="3" s="1"/>
  <c r="H166" i="3"/>
  <c r="G166" i="3"/>
  <c r="I167" i="3" s="1"/>
  <c r="F162" i="1"/>
  <c r="J162" i="1" s="1"/>
  <c r="K162" i="1" s="1"/>
  <c r="E162" i="1" s="1"/>
  <c r="O240" i="3" l="1"/>
  <c r="P240" i="3"/>
  <c r="L254" i="3"/>
  <c r="K254" i="3"/>
  <c r="M255" i="3" s="1"/>
  <c r="H167" i="3"/>
  <c r="G167" i="3"/>
  <c r="I168" i="3" s="1"/>
  <c r="G163" i="1"/>
  <c r="D162" i="1"/>
  <c r="I163" i="1" s="1"/>
  <c r="H163" i="1"/>
  <c r="O241" i="3" l="1"/>
  <c r="P241" i="3"/>
  <c r="L255" i="3"/>
  <c r="K255" i="3"/>
  <c r="M256" i="3" s="1"/>
  <c r="H168" i="3"/>
  <c r="G168" i="3"/>
  <c r="I169" i="3" s="1"/>
  <c r="F163" i="1"/>
  <c r="J163" i="1" s="1"/>
  <c r="K163" i="1" s="1"/>
  <c r="E163" i="1" s="1"/>
  <c r="O242" i="3" l="1"/>
  <c r="P242" i="3"/>
  <c r="L256" i="3"/>
  <c r="K256" i="3"/>
  <c r="M257" i="3" s="1"/>
  <c r="H169" i="3"/>
  <c r="G169" i="3"/>
  <c r="I170" i="3" s="1"/>
  <c r="D163" i="1"/>
  <c r="I164" i="1" s="1"/>
  <c r="H164" i="1"/>
  <c r="G164" i="1"/>
  <c r="O243" i="3" l="1"/>
  <c r="P243" i="3"/>
  <c r="L257" i="3"/>
  <c r="K257" i="3"/>
  <c r="M258" i="3" s="1"/>
  <c r="H170" i="3"/>
  <c r="G170" i="3"/>
  <c r="I171" i="3" s="1"/>
  <c r="F164" i="1"/>
  <c r="J164" i="1" s="1"/>
  <c r="K164" i="1" s="1"/>
  <c r="E164" i="1" s="1"/>
  <c r="O244" i="3" l="1"/>
  <c r="P244" i="3"/>
  <c r="L258" i="3"/>
  <c r="K258" i="3"/>
  <c r="M259" i="3" s="1"/>
  <c r="H171" i="3"/>
  <c r="G171" i="3"/>
  <c r="I172" i="3" s="1"/>
  <c r="G165" i="1"/>
  <c r="D164" i="1"/>
  <c r="I165" i="1" s="1"/>
  <c r="H165" i="1"/>
  <c r="O245" i="3" l="1"/>
  <c r="P245" i="3"/>
  <c r="L259" i="3"/>
  <c r="K259" i="3"/>
  <c r="M260" i="3" s="1"/>
  <c r="H172" i="3"/>
  <c r="G172" i="3"/>
  <c r="I173" i="3" s="1"/>
  <c r="F165" i="1"/>
  <c r="J165" i="1" s="1"/>
  <c r="K165" i="1" s="1"/>
  <c r="E165" i="1" s="1"/>
  <c r="O246" i="3" l="1"/>
  <c r="P246" i="3"/>
  <c r="L260" i="3"/>
  <c r="K260" i="3"/>
  <c r="M261" i="3" s="1"/>
  <c r="H173" i="3"/>
  <c r="G173" i="3"/>
  <c r="I174" i="3" s="1"/>
  <c r="G166" i="1"/>
  <c r="D165" i="1"/>
  <c r="I166" i="1" s="1"/>
  <c r="H166" i="1"/>
  <c r="P247" i="3" l="1"/>
  <c r="O247" i="3"/>
  <c r="L261" i="3"/>
  <c r="K261" i="3"/>
  <c r="M262" i="3" s="1"/>
  <c r="H174" i="3"/>
  <c r="G174" i="3"/>
  <c r="I175" i="3" s="1"/>
  <c r="F166" i="1"/>
  <c r="J166" i="1" s="1"/>
  <c r="K166" i="1" s="1"/>
  <c r="E166" i="1" s="1"/>
  <c r="O248" i="3" l="1"/>
  <c r="P248" i="3"/>
  <c r="L262" i="3"/>
  <c r="K262" i="3"/>
  <c r="M263" i="3" s="1"/>
  <c r="H175" i="3"/>
  <c r="G175" i="3"/>
  <c r="I176" i="3" s="1"/>
  <c r="G167" i="1"/>
  <c r="D166" i="1"/>
  <c r="I167" i="1" s="1"/>
  <c r="H167" i="1"/>
  <c r="O249" i="3" l="1"/>
  <c r="P249" i="3"/>
  <c r="L263" i="3"/>
  <c r="K263" i="3"/>
  <c r="M264" i="3" s="1"/>
  <c r="H176" i="3"/>
  <c r="G176" i="3"/>
  <c r="I177" i="3" s="1"/>
  <c r="F167" i="1"/>
  <c r="J167" i="1" s="1"/>
  <c r="K167" i="1" s="1"/>
  <c r="E167" i="1" s="1"/>
  <c r="O250" i="3" l="1"/>
  <c r="P250" i="3"/>
  <c r="L264" i="3"/>
  <c r="K264" i="3"/>
  <c r="M265" i="3" s="1"/>
  <c r="H177" i="3"/>
  <c r="G177" i="3"/>
  <c r="I178" i="3" s="1"/>
  <c r="D167" i="1"/>
  <c r="I168" i="1" s="1"/>
  <c r="G168" i="1"/>
  <c r="H168" i="1"/>
  <c r="F168" i="1"/>
  <c r="J168" i="1" s="1"/>
  <c r="P251" i="3" l="1"/>
  <c r="O251" i="3"/>
  <c r="L265" i="3"/>
  <c r="K265" i="3"/>
  <c r="M266" i="3" s="1"/>
  <c r="H178" i="3"/>
  <c r="G178" i="3"/>
  <c r="I179" i="3" s="1"/>
  <c r="K168" i="1"/>
  <c r="E168" i="1" s="1"/>
  <c r="O252" i="3" l="1"/>
  <c r="P252" i="3"/>
  <c r="L266" i="3"/>
  <c r="K266" i="3"/>
  <c r="M267" i="3" s="1"/>
  <c r="H179" i="3"/>
  <c r="G179" i="3"/>
  <c r="I180" i="3" s="1"/>
  <c r="G169" i="1"/>
  <c r="D168" i="1"/>
  <c r="I169" i="1" s="1"/>
  <c r="H169" i="1"/>
  <c r="O253" i="3" l="1"/>
  <c r="P253" i="3"/>
  <c r="L267" i="3"/>
  <c r="K267" i="3"/>
  <c r="M268" i="3" s="1"/>
  <c r="H180" i="3"/>
  <c r="G180" i="3"/>
  <c r="I181" i="3" s="1"/>
  <c r="F169" i="1"/>
  <c r="J169" i="1" s="1"/>
  <c r="K169" i="1" s="1"/>
  <c r="E169" i="1" s="1"/>
  <c r="O254" i="3" l="1"/>
  <c r="P254" i="3"/>
  <c r="L268" i="3"/>
  <c r="K268" i="3"/>
  <c r="M269" i="3" s="1"/>
  <c r="H181" i="3"/>
  <c r="G181" i="3"/>
  <c r="I182" i="3" s="1"/>
  <c r="G170" i="1"/>
  <c r="D169" i="1"/>
  <c r="I170" i="1" s="1"/>
  <c r="H170" i="1"/>
  <c r="O255" i="3" l="1"/>
  <c r="P255" i="3"/>
  <c r="L269" i="3"/>
  <c r="K269" i="3"/>
  <c r="M270" i="3" s="1"/>
  <c r="H182" i="3"/>
  <c r="G182" i="3"/>
  <c r="I183" i="3" s="1"/>
  <c r="F170" i="1"/>
  <c r="J170" i="1" s="1"/>
  <c r="K170" i="1" s="1"/>
  <c r="E170" i="1" s="1"/>
  <c r="O256" i="3" l="1"/>
  <c r="P256" i="3"/>
  <c r="L270" i="3"/>
  <c r="K270" i="3"/>
  <c r="M271" i="3" s="1"/>
  <c r="H183" i="3"/>
  <c r="G183" i="3"/>
  <c r="I184" i="3" s="1"/>
  <c r="G171" i="1"/>
  <c r="D170" i="1"/>
  <c r="I171" i="1" s="1"/>
  <c r="H171" i="1"/>
  <c r="O257" i="3" l="1"/>
  <c r="P257" i="3"/>
  <c r="L271" i="3"/>
  <c r="K271" i="3"/>
  <c r="M272" i="3" s="1"/>
  <c r="H184" i="3"/>
  <c r="G184" i="3"/>
  <c r="I185" i="3" s="1"/>
  <c r="F171" i="1"/>
  <c r="J171" i="1" s="1"/>
  <c r="K171" i="1" s="1"/>
  <c r="E171" i="1" s="1"/>
  <c r="O258" i="3" l="1"/>
  <c r="P258" i="3"/>
  <c r="L272" i="3"/>
  <c r="K272" i="3"/>
  <c r="M273" i="3" s="1"/>
  <c r="H185" i="3"/>
  <c r="G185" i="3"/>
  <c r="I186" i="3" s="1"/>
  <c r="G172" i="1"/>
  <c r="D171" i="1"/>
  <c r="I172" i="1" s="1"/>
  <c r="H172" i="1"/>
  <c r="P259" i="3" l="1"/>
  <c r="O259" i="3"/>
  <c r="L273" i="3"/>
  <c r="K273" i="3"/>
  <c r="M274" i="3" s="1"/>
  <c r="H186" i="3"/>
  <c r="G186" i="3"/>
  <c r="I187" i="3" s="1"/>
  <c r="F172" i="1"/>
  <c r="J172" i="1" s="1"/>
  <c r="K172" i="1" s="1"/>
  <c r="E172" i="1" s="1"/>
  <c r="O260" i="3" l="1"/>
  <c r="P260" i="3"/>
  <c r="L274" i="3"/>
  <c r="K274" i="3"/>
  <c r="M275" i="3" s="1"/>
  <c r="H187" i="3"/>
  <c r="G187" i="3"/>
  <c r="I188" i="3" s="1"/>
  <c r="G173" i="1"/>
  <c r="D172" i="1"/>
  <c r="I173" i="1" s="1"/>
  <c r="H173" i="1"/>
  <c r="O261" i="3" l="1"/>
  <c r="P261" i="3"/>
  <c r="L275" i="3"/>
  <c r="K275" i="3"/>
  <c r="M276" i="3" s="1"/>
  <c r="H188" i="3"/>
  <c r="G188" i="3"/>
  <c r="I189" i="3" s="1"/>
  <c r="F173" i="1"/>
  <c r="J173" i="1" s="1"/>
  <c r="K173" i="1" s="1"/>
  <c r="E173" i="1" s="1"/>
  <c r="P262" i="3" l="1"/>
  <c r="O262" i="3"/>
  <c r="L276" i="3"/>
  <c r="K276" i="3"/>
  <c r="M277" i="3" s="1"/>
  <c r="H189" i="3"/>
  <c r="G189" i="3"/>
  <c r="I190" i="3" s="1"/>
  <c r="G174" i="1"/>
  <c r="D173" i="1"/>
  <c r="I174" i="1" s="1"/>
  <c r="H174" i="1"/>
  <c r="P263" i="3" l="1"/>
  <c r="O263" i="3"/>
  <c r="L277" i="3"/>
  <c r="K277" i="3"/>
  <c r="M278" i="3" s="1"/>
  <c r="H190" i="3"/>
  <c r="G190" i="3"/>
  <c r="I191" i="3" s="1"/>
  <c r="F174" i="1"/>
  <c r="J174" i="1" s="1"/>
  <c r="K174" i="1" s="1"/>
  <c r="E174" i="1" s="1"/>
  <c r="O264" i="3" l="1"/>
  <c r="P264" i="3"/>
  <c r="L278" i="3"/>
  <c r="K278" i="3"/>
  <c r="M279" i="3" s="1"/>
  <c r="H191" i="3"/>
  <c r="G191" i="3"/>
  <c r="I192" i="3" s="1"/>
  <c r="G175" i="1"/>
  <c r="D174" i="1"/>
  <c r="I175" i="1" s="1"/>
  <c r="H175" i="1"/>
  <c r="O265" i="3" l="1"/>
  <c r="P265" i="3"/>
  <c r="L279" i="3"/>
  <c r="K279" i="3"/>
  <c r="M280" i="3" s="1"/>
  <c r="H192" i="3"/>
  <c r="G192" i="3"/>
  <c r="I193" i="3" s="1"/>
  <c r="F175" i="1"/>
  <c r="J175" i="1" s="1"/>
  <c r="K175" i="1" s="1"/>
  <c r="E175" i="1" s="1"/>
  <c r="O266" i="3" l="1"/>
  <c r="P266" i="3"/>
  <c r="L280" i="3"/>
  <c r="K280" i="3"/>
  <c r="M281" i="3" s="1"/>
  <c r="H193" i="3"/>
  <c r="G193" i="3"/>
  <c r="I194" i="3" s="1"/>
  <c r="G176" i="1"/>
  <c r="D175" i="1"/>
  <c r="I176" i="1" s="1"/>
  <c r="H176" i="1"/>
  <c r="O267" i="3" l="1"/>
  <c r="P267" i="3"/>
  <c r="L281" i="3"/>
  <c r="K281" i="3"/>
  <c r="M282" i="3" s="1"/>
  <c r="H194" i="3"/>
  <c r="G194" i="3"/>
  <c r="I195" i="3" s="1"/>
  <c r="F176" i="1"/>
  <c r="J176" i="1" s="1"/>
  <c r="K176" i="1" s="1"/>
  <c r="E176" i="1" s="1"/>
  <c r="O268" i="3" l="1"/>
  <c r="P268" i="3"/>
  <c r="L282" i="3"/>
  <c r="K282" i="3"/>
  <c r="M283" i="3" s="1"/>
  <c r="H195" i="3"/>
  <c r="G195" i="3"/>
  <c r="I196" i="3" s="1"/>
  <c r="D176" i="1"/>
  <c r="I177" i="1" s="1"/>
  <c r="H177" i="1"/>
  <c r="F177" i="1"/>
  <c r="J177" i="1" s="1"/>
  <c r="G177" i="1"/>
  <c r="O269" i="3" l="1"/>
  <c r="P269" i="3"/>
  <c r="L283" i="3"/>
  <c r="K283" i="3"/>
  <c r="M284" i="3" s="1"/>
  <c r="H196" i="3"/>
  <c r="G196" i="3"/>
  <c r="I197" i="3" s="1"/>
  <c r="K177" i="1"/>
  <c r="E177" i="1" s="1"/>
  <c r="P270" i="3" l="1"/>
  <c r="O270" i="3"/>
  <c r="L284" i="3"/>
  <c r="K284" i="3"/>
  <c r="M285" i="3" s="1"/>
  <c r="H197" i="3"/>
  <c r="G197" i="3"/>
  <c r="I198" i="3" s="1"/>
  <c r="D177" i="1"/>
  <c r="I178" i="1" s="1"/>
  <c r="H178" i="1"/>
  <c r="F178" i="1"/>
  <c r="J178" i="1" s="1"/>
  <c r="G178" i="1"/>
  <c r="P271" i="3" l="1"/>
  <c r="O271" i="3"/>
  <c r="L285" i="3"/>
  <c r="K285" i="3"/>
  <c r="M286" i="3" s="1"/>
  <c r="H198" i="3"/>
  <c r="G198" i="3"/>
  <c r="I199" i="3" s="1"/>
  <c r="K178" i="1"/>
  <c r="E178" i="1" s="1"/>
  <c r="O272" i="3" l="1"/>
  <c r="P272" i="3"/>
  <c r="L286" i="3"/>
  <c r="K286" i="3"/>
  <c r="M287" i="3" s="1"/>
  <c r="H199" i="3"/>
  <c r="G199" i="3"/>
  <c r="I200" i="3" s="1"/>
  <c r="D178" i="1"/>
  <c r="I179" i="1" s="1"/>
  <c r="H179" i="1"/>
  <c r="F179" i="1"/>
  <c r="J179" i="1" s="1"/>
  <c r="G179" i="1"/>
  <c r="O273" i="3" l="1"/>
  <c r="P273" i="3"/>
  <c r="L287" i="3"/>
  <c r="K287" i="3"/>
  <c r="M288" i="3" s="1"/>
  <c r="H200" i="3"/>
  <c r="G200" i="3"/>
  <c r="I201" i="3" s="1"/>
  <c r="K179" i="1"/>
  <c r="E179" i="1" s="1"/>
  <c r="O274" i="3" l="1"/>
  <c r="P274" i="3"/>
  <c r="L288" i="3"/>
  <c r="K288" i="3"/>
  <c r="M289" i="3" s="1"/>
  <c r="H201" i="3"/>
  <c r="G201" i="3"/>
  <c r="I202" i="3" s="1"/>
  <c r="D179" i="1"/>
  <c r="I180" i="1" s="1"/>
  <c r="H180" i="1"/>
  <c r="F180" i="1"/>
  <c r="J180" i="1" s="1"/>
  <c r="G180" i="1"/>
  <c r="P275" i="3" l="1"/>
  <c r="O275" i="3"/>
  <c r="L289" i="3"/>
  <c r="K289" i="3"/>
  <c r="M290" i="3" s="1"/>
  <c r="H202" i="3"/>
  <c r="G202" i="3"/>
  <c r="I203" i="3" s="1"/>
  <c r="K180" i="1"/>
  <c r="E180" i="1" s="1"/>
  <c r="O276" i="3" l="1"/>
  <c r="P276" i="3"/>
  <c r="L290" i="3"/>
  <c r="K290" i="3"/>
  <c r="M291" i="3" s="1"/>
  <c r="H203" i="3"/>
  <c r="G203" i="3"/>
  <c r="I204" i="3" s="1"/>
  <c r="D180" i="1"/>
  <c r="I181" i="1" s="1"/>
  <c r="H181" i="1"/>
  <c r="F181" i="1"/>
  <c r="J181" i="1" s="1"/>
  <c r="G181" i="1"/>
  <c r="O277" i="3" l="1"/>
  <c r="P277" i="3"/>
  <c r="L291" i="3"/>
  <c r="K291" i="3"/>
  <c r="M292" i="3" s="1"/>
  <c r="H204" i="3"/>
  <c r="G204" i="3"/>
  <c r="I205" i="3" s="1"/>
  <c r="K181" i="1"/>
  <c r="E181" i="1" s="1"/>
  <c r="O278" i="3" l="1"/>
  <c r="P278" i="3"/>
  <c r="L292" i="3"/>
  <c r="K292" i="3"/>
  <c r="M293" i="3" s="1"/>
  <c r="H205" i="3"/>
  <c r="G205" i="3"/>
  <c r="I206" i="3" s="1"/>
  <c r="D181" i="1"/>
  <c r="I182" i="1" s="1"/>
  <c r="H182" i="1"/>
  <c r="F182" i="1"/>
  <c r="J182" i="1" s="1"/>
  <c r="G182" i="1"/>
  <c r="P279" i="3" l="1"/>
  <c r="O279" i="3"/>
  <c r="L293" i="3"/>
  <c r="K293" i="3"/>
  <c r="M294" i="3" s="1"/>
  <c r="H206" i="3"/>
  <c r="G206" i="3"/>
  <c r="I207" i="3" s="1"/>
  <c r="K182" i="1"/>
  <c r="E182" i="1" s="1"/>
  <c r="P280" i="3" l="1"/>
  <c r="O280" i="3"/>
  <c r="L294" i="3"/>
  <c r="K294" i="3"/>
  <c r="M295" i="3" s="1"/>
  <c r="H207" i="3"/>
  <c r="G207" i="3"/>
  <c r="I208" i="3" s="1"/>
  <c r="D182" i="1"/>
  <c r="I183" i="1" s="1"/>
  <c r="H183" i="1"/>
  <c r="F183" i="1"/>
  <c r="J183" i="1" s="1"/>
  <c r="G183" i="1"/>
  <c r="O281" i="3" l="1"/>
  <c r="P281" i="3"/>
  <c r="L295" i="3"/>
  <c r="K295" i="3"/>
  <c r="M296" i="3" s="1"/>
  <c r="H208" i="3"/>
  <c r="G208" i="3"/>
  <c r="I209" i="3" s="1"/>
  <c r="K183" i="1"/>
  <c r="E183" i="1" s="1"/>
  <c r="O282" i="3" l="1"/>
  <c r="P282" i="3"/>
  <c r="L296" i="3"/>
  <c r="K296" i="3"/>
  <c r="M297" i="3" s="1"/>
  <c r="H209" i="3"/>
  <c r="G209" i="3"/>
  <c r="I210" i="3" s="1"/>
  <c r="D183" i="1"/>
  <c r="I184" i="1" s="1"/>
  <c r="H184" i="1"/>
  <c r="F184" i="1"/>
  <c r="J184" i="1" s="1"/>
  <c r="G184" i="1"/>
  <c r="O283" i="3" l="1"/>
  <c r="P283" i="3"/>
  <c r="L297" i="3"/>
  <c r="K297" i="3"/>
  <c r="M298" i="3" s="1"/>
  <c r="H210" i="3"/>
  <c r="G210" i="3"/>
  <c r="I211" i="3" s="1"/>
  <c r="K184" i="1"/>
  <c r="E184" i="1" s="1"/>
  <c r="O284" i="3" l="1"/>
  <c r="P284" i="3"/>
  <c r="L298" i="3"/>
  <c r="K298" i="3"/>
  <c r="M299" i="3" s="1"/>
  <c r="H211" i="3"/>
  <c r="G211" i="3"/>
  <c r="I212" i="3" s="1"/>
  <c r="D184" i="1"/>
  <c r="I185" i="1" s="1"/>
  <c r="H185" i="1"/>
  <c r="F185" i="1"/>
  <c r="J185" i="1" s="1"/>
  <c r="G185" i="1"/>
  <c r="O285" i="3" l="1"/>
  <c r="P285" i="3"/>
  <c r="L299" i="3"/>
  <c r="K299" i="3"/>
  <c r="M300" i="3" s="1"/>
  <c r="H212" i="3"/>
  <c r="G212" i="3"/>
  <c r="I213" i="3" s="1"/>
  <c r="K185" i="1"/>
  <c r="E185" i="1" s="1"/>
  <c r="O286" i="3" l="1"/>
  <c r="P286" i="3"/>
  <c r="L300" i="3"/>
  <c r="K300" i="3"/>
  <c r="M301" i="3" s="1"/>
  <c r="H213" i="3"/>
  <c r="G213" i="3"/>
  <c r="I214" i="3" s="1"/>
  <c r="D185" i="1"/>
  <c r="I186" i="1" s="1"/>
  <c r="H186" i="1"/>
  <c r="F186" i="1"/>
  <c r="J186" i="1" s="1"/>
  <c r="G186" i="1"/>
  <c r="P287" i="3" l="1"/>
  <c r="O287" i="3"/>
  <c r="L301" i="3"/>
  <c r="K301" i="3"/>
  <c r="M302" i="3" s="1"/>
  <c r="H214" i="3"/>
  <c r="G214" i="3"/>
  <c r="I215" i="3" s="1"/>
  <c r="K186" i="1"/>
  <c r="E186" i="1" s="1"/>
  <c r="O288" i="3" l="1"/>
  <c r="P288" i="3"/>
  <c r="L302" i="3"/>
  <c r="K302" i="3"/>
  <c r="M303" i="3" s="1"/>
  <c r="H215" i="3"/>
  <c r="G215" i="3"/>
  <c r="I216" i="3" s="1"/>
  <c r="D186" i="1"/>
  <c r="I187" i="1" s="1"/>
  <c r="H187" i="1"/>
  <c r="F187" i="1"/>
  <c r="J187" i="1" s="1"/>
  <c r="G187" i="1"/>
  <c r="O289" i="3" l="1"/>
  <c r="P289" i="3"/>
  <c r="L303" i="3"/>
  <c r="K303" i="3"/>
  <c r="M304" i="3" s="1"/>
  <c r="H216" i="3"/>
  <c r="G216" i="3"/>
  <c r="I217" i="3" s="1"/>
  <c r="K187" i="1"/>
  <c r="E187" i="1" s="1"/>
  <c r="O290" i="3" l="1"/>
  <c r="P290" i="3"/>
  <c r="L304" i="3"/>
  <c r="K304" i="3"/>
  <c r="M305" i="3" s="1"/>
  <c r="H217" i="3"/>
  <c r="G217" i="3"/>
  <c r="I218" i="3" s="1"/>
  <c r="D187" i="1"/>
  <c r="I188" i="1" s="1"/>
  <c r="H188" i="1"/>
  <c r="F188" i="1"/>
  <c r="J188" i="1" s="1"/>
  <c r="G188" i="1"/>
  <c r="P291" i="3" l="1"/>
  <c r="O291" i="3"/>
  <c r="L305" i="3"/>
  <c r="K305" i="3"/>
  <c r="M306" i="3" s="1"/>
  <c r="H218" i="3"/>
  <c r="G218" i="3"/>
  <c r="I219" i="3" s="1"/>
  <c r="K188" i="1"/>
  <c r="E188" i="1" s="1"/>
  <c r="O292" i="3" l="1"/>
  <c r="P292" i="3"/>
  <c r="L306" i="3"/>
  <c r="K306" i="3"/>
  <c r="M307" i="3" s="1"/>
  <c r="H219" i="3"/>
  <c r="G219" i="3"/>
  <c r="I220" i="3" s="1"/>
  <c r="D188" i="1"/>
  <c r="I189" i="1" s="1"/>
  <c r="H189" i="1"/>
  <c r="F189" i="1"/>
  <c r="J189" i="1" s="1"/>
  <c r="G189" i="1"/>
  <c r="O293" i="3" l="1"/>
  <c r="P293" i="3"/>
  <c r="L307" i="3"/>
  <c r="K307" i="3"/>
  <c r="M308" i="3" s="1"/>
  <c r="H220" i="3"/>
  <c r="G220" i="3"/>
  <c r="I221" i="3" s="1"/>
  <c r="K189" i="1"/>
  <c r="E189" i="1" s="1"/>
  <c r="O294" i="3" l="1"/>
  <c r="P294" i="3"/>
  <c r="L308" i="3"/>
  <c r="K308" i="3"/>
  <c r="M309" i="3" s="1"/>
  <c r="H221" i="3"/>
  <c r="G221" i="3"/>
  <c r="I222" i="3" s="1"/>
  <c r="D189" i="1"/>
  <c r="I190" i="1" s="1"/>
  <c r="H190" i="1"/>
  <c r="F190" i="1"/>
  <c r="J190" i="1" s="1"/>
  <c r="G190" i="1"/>
  <c r="P295" i="3" l="1"/>
  <c r="O295" i="3"/>
  <c r="L309" i="3"/>
  <c r="K309" i="3"/>
  <c r="M310" i="3" s="1"/>
  <c r="H222" i="3"/>
  <c r="G222" i="3"/>
  <c r="I223" i="3" s="1"/>
  <c r="K190" i="1"/>
  <c r="E190" i="1" s="1"/>
  <c r="O296" i="3" l="1"/>
  <c r="P296" i="3"/>
  <c r="L310" i="3"/>
  <c r="K310" i="3"/>
  <c r="M311" i="3" s="1"/>
  <c r="H223" i="3"/>
  <c r="G223" i="3"/>
  <c r="I224" i="3" s="1"/>
  <c r="D190" i="1"/>
  <c r="I191" i="1" s="1"/>
  <c r="H191" i="1"/>
  <c r="F191" i="1"/>
  <c r="J191" i="1" s="1"/>
  <c r="G191" i="1"/>
  <c r="O297" i="3" l="1"/>
  <c r="P297" i="3"/>
  <c r="L311" i="3"/>
  <c r="K311" i="3"/>
  <c r="M312" i="3" s="1"/>
  <c r="H224" i="3"/>
  <c r="G224" i="3"/>
  <c r="I225" i="3" s="1"/>
  <c r="K191" i="1"/>
  <c r="E191" i="1" s="1"/>
  <c r="P298" i="3" l="1"/>
  <c r="O298" i="3"/>
  <c r="L312" i="3"/>
  <c r="K312" i="3"/>
  <c r="M313" i="3" s="1"/>
  <c r="H225" i="3"/>
  <c r="G225" i="3"/>
  <c r="I226" i="3" s="1"/>
  <c r="D191" i="1"/>
  <c r="I192" i="1" s="1"/>
  <c r="H192" i="1"/>
  <c r="F192" i="1"/>
  <c r="J192" i="1" s="1"/>
  <c r="G192" i="1"/>
  <c r="O299" i="3" l="1"/>
  <c r="P299" i="3"/>
  <c r="L313" i="3"/>
  <c r="K313" i="3"/>
  <c r="M314" i="3" s="1"/>
  <c r="H226" i="3"/>
  <c r="G226" i="3"/>
  <c r="I227" i="3" s="1"/>
  <c r="K192" i="1"/>
  <c r="E192" i="1" s="1"/>
  <c r="O300" i="3" l="1"/>
  <c r="P300" i="3"/>
  <c r="L314" i="3"/>
  <c r="K314" i="3"/>
  <c r="M315" i="3" s="1"/>
  <c r="H227" i="3"/>
  <c r="G227" i="3"/>
  <c r="I228" i="3" s="1"/>
  <c r="D192" i="1"/>
  <c r="I193" i="1" s="1"/>
  <c r="H193" i="1"/>
  <c r="F193" i="1"/>
  <c r="J193" i="1" s="1"/>
  <c r="G193" i="1"/>
  <c r="O301" i="3" l="1"/>
  <c r="P301" i="3"/>
  <c r="L315" i="3"/>
  <c r="K315" i="3"/>
  <c r="M316" i="3" s="1"/>
  <c r="H228" i="3"/>
  <c r="G228" i="3"/>
  <c r="I229" i="3" s="1"/>
  <c r="K193" i="1"/>
  <c r="E193" i="1" s="1"/>
  <c r="O302" i="3" l="1"/>
  <c r="P302" i="3"/>
  <c r="L316" i="3"/>
  <c r="K316" i="3"/>
  <c r="M317" i="3" s="1"/>
  <c r="H229" i="3"/>
  <c r="G229" i="3"/>
  <c r="I230" i="3" s="1"/>
  <c r="D193" i="1"/>
  <c r="I194" i="1" s="1"/>
  <c r="H194" i="1"/>
  <c r="F194" i="1"/>
  <c r="J194" i="1" s="1"/>
  <c r="G194" i="1"/>
  <c r="P303" i="3" l="1"/>
  <c r="O303" i="3"/>
  <c r="L317" i="3"/>
  <c r="K317" i="3"/>
  <c r="M318" i="3" s="1"/>
  <c r="H230" i="3"/>
  <c r="G230" i="3"/>
  <c r="I231" i="3" s="1"/>
  <c r="K194" i="1"/>
  <c r="E194" i="1" s="1"/>
  <c r="O304" i="3" l="1"/>
  <c r="P304" i="3"/>
  <c r="L318" i="3"/>
  <c r="K318" i="3"/>
  <c r="M319" i="3" s="1"/>
  <c r="H231" i="3"/>
  <c r="G231" i="3"/>
  <c r="I232" i="3" s="1"/>
  <c r="D194" i="1"/>
  <c r="I195" i="1" s="1"/>
  <c r="H195" i="1"/>
  <c r="F195" i="1"/>
  <c r="J195" i="1" s="1"/>
  <c r="G195" i="1"/>
  <c r="O305" i="3" l="1"/>
  <c r="P305" i="3"/>
  <c r="L319" i="3"/>
  <c r="K319" i="3"/>
  <c r="M320" i="3" s="1"/>
  <c r="H232" i="3"/>
  <c r="G232" i="3"/>
  <c r="I233" i="3" s="1"/>
  <c r="K195" i="1"/>
  <c r="E195" i="1" s="1"/>
  <c r="O306" i="3" l="1"/>
  <c r="P306" i="3"/>
  <c r="L320" i="3"/>
  <c r="K320" i="3"/>
  <c r="M321" i="3" s="1"/>
  <c r="H233" i="3"/>
  <c r="G233" i="3"/>
  <c r="I234" i="3" s="1"/>
  <c r="D195" i="1"/>
  <c r="I196" i="1" s="1"/>
  <c r="H196" i="1"/>
  <c r="F196" i="1"/>
  <c r="J196" i="1" s="1"/>
  <c r="G196" i="1"/>
  <c r="P307" i="3" l="1"/>
  <c r="O307" i="3"/>
  <c r="L321" i="3"/>
  <c r="K321" i="3"/>
  <c r="M322" i="3" s="1"/>
  <c r="H234" i="3"/>
  <c r="G234" i="3"/>
  <c r="I235" i="3" s="1"/>
  <c r="K196" i="1"/>
  <c r="E196" i="1" s="1"/>
  <c r="O308" i="3" l="1"/>
  <c r="P308" i="3"/>
  <c r="L322" i="3"/>
  <c r="K322" i="3"/>
  <c r="M323" i="3" s="1"/>
  <c r="H235" i="3"/>
  <c r="G235" i="3"/>
  <c r="I236" i="3" s="1"/>
  <c r="D196" i="1"/>
  <c r="I197" i="1" s="1"/>
  <c r="H197" i="1"/>
  <c r="F197" i="1"/>
  <c r="J197" i="1" s="1"/>
  <c r="G197" i="1"/>
  <c r="O309" i="3" l="1"/>
  <c r="P309" i="3"/>
  <c r="L323" i="3"/>
  <c r="K323" i="3"/>
  <c r="M324" i="3" s="1"/>
  <c r="H236" i="3"/>
  <c r="G236" i="3"/>
  <c r="I237" i="3" s="1"/>
  <c r="K197" i="1"/>
  <c r="E197" i="1" s="1"/>
  <c r="O310" i="3" l="1"/>
  <c r="P310" i="3"/>
  <c r="L324" i="3"/>
  <c r="K324" i="3"/>
  <c r="M325" i="3" s="1"/>
  <c r="H237" i="3"/>
  <c r="G237" i="3"/>
  <c r="I238" i="3" s="1"/>
  <c r="D197" i="1"/>
  <c r="I198" i="1" s="1"/>
  <c r="F198" i="1" s="1"/>
  <c r="J198" i="1" s="1"/>
  <c r="H198" i="1"/>
  <c r="G198" i="1"/>
  <c r="P311" i="3" l="1"/>
  <c r="O311" i="3"/>
  <c r="L325" i="3"/>
  <c r="K325" i="3"/>
  <c r="M326" i="3" s="1"/>
  <c r="H238" i="3"/>
  <c r="G238" i="3"/>
  <c r="I239" i="3" s="1"/>
  <c r="K198" i="1"/>
  <c r="E198" i="1" s="1"/>
  <c r="O312" i="3" l="1"/>
  <c r="P312" i="3"/>
  <c r="L326" i="3"/>
  <c r="K326" i="3"/>
  <c r="M327" i="3" s="1"/>
  <c r="H239" i="3"/>
  <c r="G239" i="3"/>
  <c r="I240" i="3" s="1"/>
  <c r="D198" i="1"/>
  <c r="I199" i="1" s="1"/>
  <c r="H199" i="1"/>
  <c r="F199" i="1"/>
  <c r="J199" i="1" s="1"/>
  <c r="G199" i="1"/>
  <c r="O313" i="3" l="1"/>
  <c r="P313" i="3"/>
  <c r="L327" i="3"/>
  <c r="K327" i="3"/>
  <c r="M328" i="3" s="1"/>
  <c r="H240" i="3"/>
  <c r="G240" i="3"/>
  <c r="I241" i="3" s="1"/>
  <c r="K199" i="1"/>
  <c r="E199" i="1" s="1"/>
  <c r="O314" i="3" l="1"/>
  <c r="P314" i="3"/>
  <c r="L328" i="3"/>
  <c r="K328" i="3"/>
  <c r="M329" i="3" s="1"/>
  <c r="H241" i="3"/>
  <c r="G241" i="3"/>
  <c r="I242" i="3" s="1"/>
  <c r="D199" i="1"/>
  <c r="I200" i="1" s="1"/>
  <c r="H200" i="1"/>
  <c r="F200" i="1"/>
  <c r="J200" i="1" s="1"/>
  <c r="G200" i="1"/>
  <c r="O315" i="3" l="1"/>
  <c r="P315" i="3"/>
  <c r="L329" i="3"/>
  <c r="K329" i="3"/>
  <c r="M330" i="3" s="1"/>
  <c r="H242" i="3"/>
  <c r="G242" i="3"/>
  <c r="I243" i="3" s="1"/>
  <c r="K200" i="1"/>
  <c r="E200" i="1" s="1"/>
  <c r="O316" i="3" l="1"/>
  <c r="P316" i="3"/>
  <c r="L330" i="3"/>
  <c r="K330" i="3"/>
  <c r="M331" i="3" s="1"/>
  <c r="H243" i="3"/>
  <c r="G243" i="3"/>
  <c r="I244" i="3" s="1"/>
  <c r="D200" i="1"/>
  <c r="I201" i="1" s="1"/>
  <c r="F201" i="1" s="1"/>
  <c r="J201" i="1" s="1"/>
  <c r="G201" i="1"/>
  <c r="H201" i="1"/>
  <c r="O317" i="3" l="1"/>
  <c r="P317" i="3"/>
  <c r="L331" i="3"/>
  <c r="K331" i="3"/>
  <c r="M332" i="3" s="1"/>
  <c r="H244" i="3"/>
  <c r="G244" i="3"/>
  <c r="I245" i="3" s="1"/>
  <c r="K201" i="1"/>
  <c r="E201" i="1" s="1"/>
  <c r="O318" i="3" l="1"/>
  <c r="P318" i="3"/>
  <c r="L332" i="3"/>
  <c r="K332" i="3"/>
  <c r="M333" i="3" s="1"/>
  <c r="H245" i="3"/>
  <c r="G245" i="3"/>
  <c r="I246" i="3" s="1"/>
  <c r="D201" i="1"/>
  <c r="I202" i="1" s="1"/>
  <c r="H202" i="1"/>
  <c r="G202" i="1"/>
  <c r="P319" i="3" l="1"/>
  <c r="O319" i="3"/>
  <c r="L333" i="3"/>
  <c r="K333" i="3"/>
  <c r="M334" i="3" s="1"/>
  <c r="H246" i="3"/>
  <c r="G246" i="3"/>
  <c r="I247" i="3" s="1"/>
  <c r="F202" i="1"/>
  <c r="J202" i="1" s="1"/>
  <c r="K202" i="1" s="1"/>
  <c r="E202" i="1" s="1"/>
  <c r="O320" i="3" l="1"/>
  <c r="P320" i="3"/>
  <c r="L334" i="3"/>
  <c r="K334" i="3"/>
  <c r="M335" i="3" s="1"/>
  <c r="H247" i="3"/>
  <c r="G247" i="3"/>
  <c r="I248" i="3" s="1"/>
  <c r="G203" i="1"/>
  <c r="D202" i="1"/>
  <c r="I203" i="1" s="1"/>
  <c r="H203" i="1"/>
  <c r="O321" i="3" l="1"/>
  <c r="P321" i="3"/>
  <c r="L335" i="3"/>
  <c r="K335" i="3"/>
  <c r="M336" i="3" s="1"/>
  <c r="H248" i="3"/>
  <c r="G248" i="3"/>
  <c r="I249" i="3" s="1"/>
  <c r="F203" i="1"/>
  <c r="J203" i="1" s="1"/>
  <c r="K203" i="1" s="1"/>
  <c r="E203" i="1" s="1"/>
  <c r="O322" i="3" l="1"/>
  <c r="P322" i="3"/>
  <c r="L336" i="3"/>
  <c r="K336" i="3"/>
  <c r="M337" i="3" s="1"/>
  <c r="H249" i="3"/>
  <c r="G249" i="3"/>
  <c r="I250" i="3" s="1"/>
  <c r="G204" i="1"/>
  <c r="D203" i="1"/>
  <c r="I204" i="1" s="1"/>
  <c r="H204" i="1"/>
  <c r="P323" i="3" l="1"/>
  <c r="O323" i="3"/>
  <c r="L337" i="3"/>
  <c r="K337" i="3"/>
  <c r="M338" i="3" s="1"/>
  <c r="H250" i="3"/>
  <c r="G250" i="3"/>
  <c r="I251" i="3" s="1"/>
  <c r="K204" i="1"/>
  <c r="E204" i="1" s="1"/>
  <c r="F204" i="1"/>
  <c r="J204" i="1" s="1"/>
  <c r="O324" i="3" l="1"/>
  <c r="P324" i="3"/>
  <c r="L338" i="3"/>
  <c r="K338" i="3"/>
  <c r="M339" i="3" s="1"/>
  <c r="H251" i="3"/>
  <c r="G251" i="3"/>
  <c r="I252" i="3" s="1"/>
  <c r="G205" i="1"/>
  <c r="D204" i="1"/>
  <c r="I205" i="1" s="1"/>
  <c r="H205" i="1"/>
  <c r="O325" i="3" l="1"/>
  <c r="P325" i="3"/>
  <c r="L339" i="3"/>
  <c r="K339" i="3"/>
  <c r="M340" i="3" s="1"/>
  <c r="H252" i="3"/>
  <c r="G252" i="3"/>
  <c r="I253" i="3" s="1"/>
  <c r="F205" i="1"/>
  <c r="J205" i="1" s="1"/>
  <c r="K205" i="1" s="1"/>
  <c r="E205" i="1" s="1"/>
  <c r="O326" i="3" l="1"/>
  <c r="P326" i="3"/>
  <c r="L340" i="3"/>
  <c r="K340" i="3"/>
  <c r="M341" i="3" s="1"/>
  <c r="H253" i="3"/>
  <c r="G253" i="3"/>
  <c r="I254" i="3" s="1"/>
  <c r="D205" i="1"/>
  <c r="I206" i="1" s="1"/>
  <c r="H206" i="1"/>
  <c r="G206" i="1"/>
  <c r="P327" i="3" l="1"/>
  <c r="O327" i="3"/>
  <c r="L341" i="3"/>
  <c r="K341" i="3"/>
  <c r="M342" i="3" s="1"/>
  <c r="H254" i="3"/>
  <c r="G254" i="3"/>
  <c r="I255" i="3" s="1"/>
  <c r="F206" i="1"/>
  <c r="J206" i="1" s="1"/>
  <c r="K206" i="1" s="1"/>
  <c r="E206" i="1" s="1"/>
  <c r="O328" i="3" l="1"/>
  <c r="P328" i="3"/>
  <c r="L342" i="3"/>
  <c r="K342" i="3"/>
  <c r="M343" i="3" s="1"/>
  <c r="H255" i="3"/>
  <c r="G255" i="3"/>
  <c r="I256" i="3" s="1"/>
  <c r="G207" i="1"/>
  <c r="D206" i="1"/>
  <c r="I207" i="1" s="1"/>
  <c r="H207" i="1"/>
  <c r="O329" i="3" l="1"/>
  <c r="P329" i="3"/>
  <c r="L343" i="3"/>
  <c r="K343" i="3"/>
  <c r="M344" i="3" s="1"/>
  <c r="H256" i="3"/>
  <c r="G256" i="3"/>
  <c r="I257" i="3" s="1"/>
  <c r="F207" i="1"/>
  <c r="J207" i="1" s="1"/>
  <c r="K207" i="1" s="1"/>
  <c r="E207" i="1" s="1"/>
  <c r="P330" i="3" l="1"/>
  <c r="O330" i="3"/>
  <c r="L344" i="3"/>
  <c r="K344" i="3"/>
  <c r="M345" i="3" s="1"/>
  <c r="H257" i="3"/>
  <c r="G257" i="3"/>
  <c r="I258" i="3" s="1"/>
  <c r="G208" i="1"/>
  <c r="D207" i="1"/>
  <c r="I208" i="1" s="1"/>
  <c r="H208" i="1"/>
  <c r="O331" i="3" l="1"/>
  <c r="P331" i="3"/>
  <c r="L345" i="3"/>
  <c r="K345" i="3"/>
  <c r="M346" i="3" s="1"/>
  <c r="H258" i="3"/>
  <c r="G258" i="3"/>
  <c r="I259" i="3" s="1"/>
  <c r="F208" i="1"/>
  <c r="J208" i="1" s="1"/>
  <c r="K208" i="1" s="1"/>
  <c r="E208" i="1" s="1"/>
  <c r="O332" i="3" l="1"/>
  <c r="P332" i="3"/>
  <c r="L346" i="3"/>
  <c r="K346" i="3"/>
  <c r="M347" i="3" s="1"/>
  <c r="H259" i="3"/>
  <c r="G259" i="3"/>
  <c r="I260" i="3" s="1"/>
  <c r="G209" i="1"/>
  <c r="D208" i="1"/>
  <c r="I209" i="1" s="1"/>
  <c r="H209" i="1"/>
  <c r="O333" i="3" l="1"/>
  <c r="P333" i="3"/>
  <c r="L347" i="3"/>
  <c r="K347" i="3"/>
  <c r="M348" i="3" s="1"/>
  <c r="H260" i="3"/>
  <c r="G260" i="3"/>
  <c r="I261" i="3" s="1"/>
  <c r="F209" i="1"/>
  <c r="J209" i="1" s="1"/>
  <c r="K209" i="1" s="1"/>
  <c r="E209" i="1" s="1"/>
  <c r="O334" i="3" l="1"/>
  <c r="P334" i="3"/>
  <c r="L348" i="3"/>
  <c r="K348" i="3"/>
  <c r="M349" i="3" s="1"/>
  <c r="H261" i="3"/>
  <c r="G261" i="3"/>
  <c r="I262" i="3" s="1"/>
  <c r="D209" i="1"/>
  <c r="I210" i="1" s="1"/>
  <c r="H210" i="1"/>
  <c r="G210" i="1"/>
  <c r="P335" i="3" l="1"/>
  <c r="O335" i="3"/>
  <c r="L349" i="3"/>
  <c r="K349" i="3"/>
  <c r="M350" i="3" s="1"/>
  <c r="H262" i="3"/>
  <c r="G262" i="3"/>
  <c r="I263" i="3" s="1"/>
  <c r="F210" i="1"/>
  <c r="J210" i="1" s="1"/>
  <c r="K210" i="1" s="1"/>
  <c r="E210" i="1" s="1"/>
  <c r="O336" i="3" l="1"/>
  <c r="P336" i="3"/>
  <c r="L350" i="3"/>
  <c r="K350" i="3"/>
  <c r="M351" i="3" s="1"/>
  <c r="H263" i="3"/>
  <c r="G263" i="3"/>
  <c r="I264" i="3" s="1"/>
  <c r="G211" i="1"/>
  <c r="D210" i="1"/>
  <c r="I211" i="1" s="1"/>
  <c r="H211" i="1"/>
  <c r="O337" i="3" l="1"/>
  <c r="P337" i="3"/>
  <c r="L351" i="3"/>
  <c r="K351" i="3"/>
  <c r="M352" i="3" s="1"/>
  <c r="H264" i="3"/>
  <c r="G264" i="3"/>
  <c r="I265" i="3" s="1"/>
  <c r="F211" i="1"/>
  <c r="J211" i="1" s="1"/>
  <c r="K211" i="1" s="1"/>
  <c r="E211" i="1" s="1"/>
  <c r="O338" i="3" l="1"/>
  <c r="P338" i="3"/>
  <c r="L352" i="3"/>
  <c r="K352" i="3"/>
  <c r="M353" i="3" s="1"/>
  <c r="H265" i="3"/>
  <c r="G265" i="3"/>
  <c r="I266" i="3" s="1"/>
  <c r="G212" i="1"/>
  <c r="D211" i="1"/>
  <c r="I212" i="1" s="1"/>
  <c r="H212" i="1"/>
  <c r="P339" i="3" l="1"/>
  <c r="O339" i="3"/>
  <c r="L353" i="3"/>
  <c r="K353" i="3"/>
  <c r="M354" i="3" s="1"/>
  <c r="H266" i="3"/>
  <c r="G266" i="3"/>
  <c r="I267" i="3" s="1"/>
  <c r="F212" i="1"/>
  <c r="J212" i="1" s="1"/>
  <c r="K212" i="1" s="1"/>
  <c r="E212" i="1" s="1"/>
  <c r="O340" i="3" l="1"/>
  <c r="P340" i="3"/>
  <c r="L354" i="3"/>
  <c r="K354" i="3"/>
  <c r="M355" i="3" s="1"/>
  <c r="H267" i="3"/>
  <c r="G267" i="3"/>
  <c r="I268" i="3" s="1"/>
  <c r="H213" i="1"/>
  <c r="D212" i="1"/>
  <c r="I213" i="1" s="1"/>
  <c r="G213" i="1"/>
  <c r="O341" i="3" l="1"/>
  <c r="P341" i="3"/>
  <c r="L355" i="3"/>
  <c r="K355" i="3"/>
  <c r="M356" i="3" s="1"/>
  <c r="H268" i="3"/>
  <c r="G268" i="3"/>
  <c r="I269" i="3" s="1"/>
  <c r="F213" i="1"/>
  <c r="J213" i="1" s="1"/>
  <c r="K213" i="1" s="1"/>
  <c r="E213" i="1" s="1"/>
  <c r="O342" i="3" l="1"/>
  <c r="P342" i="3"/>
  <c r="L356" i="3"/>
  <c r="K356" i="3"/>
  <c r="M357" i="3" s="1"/>
  <c r="H269" i="3"/>
  <c r="G269" i="3"/>
  <c r="I270" i="3" s="1"/>
  <c r="D213" i="1"/>
  <c r="I214" i="1" s="1"/>
  <c r="H214" i="1"/>
  <c r="F214" i="1"/>
  <c r="J214" i="1" s="1"/>
  <c r="G214" i="1"/>
  <c r="P343" i="3" l="1"/>
  <c r="O343" i="3"/>
  <c r="L357" i="3"/>
  <c r="K357" i="3"/>
  <c r="M358" i="3" s="1"/>
  <c r="H270" i="3"/>
  <c r="G270" i="3"/>
  <c r="I271" i="3" s="1"/>
  <c r="K214" i="1"/>
  <c r="E214" i="1" s="1"/>
  <c r="O344" i="3" l="1"/>
  <c r="P344" i="3"/>
  <c r="L358" i="3"/>
  <c r="K358" i="3"/>
  <c r="M359" i="3" s="1"/>
  <c r="H271" i="3"/>
  <c r="G271" i="3"/>
  <c r="I272" i="3" s="1"/>
  <c r="D214" i="1"/>
  <c r="I215" i="1" s="1"/>
  <c r="H215" i="1"/>
  <c r="F215" i="1"/>
  <c r="J215" i="1" s="1"/>
  <c r="G215" i="1"/>
  <c r="O345" i="3" l="1"/>
  <c r="P345" i="3"/>
  <c r="L359" i="3"/>
  <c r="K359" i="3"/>
  <c r="M360" i="3" s="1"/>
  <c r="H272" i="3"/>
  <c r="G272" i="3"/>
  <c r="I273" i="3" s="1"/>
  <c r="K215" i="1"/>
  <c r="E215" i="1" s="1"/>
  <c r="O346" i="3" l="1"/>
  <c r="P346" i="3"/>
  <c r="L360" i="3"/>
  <c r="K360" i="3"/>
  <c r="M361" i="3" s="1"/>
  <c r="H273" i="3"/>
  <c r="G273" i="3"/>
  <c r="I274" i="3" s="1"/>
  <c r="D215" i="1"/>
  <c r="I216" i="1" s="1"/>
  <c r="H216" i="1"/>
  <c r="F216" i="1"/>
  <c r="J216" i="1" s="1"/>
  <c r="G216" i="1"/>
  <c r="O347" i="3" l="1"/>
  <c r="P347" i="3"/>
  <c r="L361" i="3"/>
  <c r="K361" i="3"/>
  <c r="M362" i="3" s="1"/>
  <c r="H274" i="3"/>
  <c r="G274" i="3"/>
  <c r="I275" i="3" s="1"/>
  <c r="K216" i="1"/>
  <c r="E216" i="1" s="1"/>
  <c r="O348" i="3" l="1"/>
  <c r="P348" i="3"/>
  <c r="L362" i="3"/>
  <c r="K362" i="3"/>
  <c r="M363" i="3" s="1"/>
  <c r="H275" i="3"/>
  <c r="G275" i="3"/>
  <c r="I276" i="3" s="1"/>
  <c r="D216" i="1"/>
  <c r="I217" i="1" s="1"/>
  <c r="H217" i="1"/>
  <c r="F217" i="1"/>
  <c r="J217" i="1" s="1"/>
  <c r="G217" i="1"/>
  <c r="O349" i="3" l="1"/>
  <c r="P349" i="3"/>
  <c r="L363" i="3"/>
  <c r="K363" i="3"/>
  <c r="M364" i="3" s="1"/>
  <c r="H276" i="3"/>
  <c r="G276" i="3"/>
  <c r="I277" i="3" s="1"/>
  <c r="K217" i="1"/>
  <c r="E217" i="1" s="1"/>
  <c r="O350" i="3" l="1"/>
  <c r="P350" i="3"/>
  <c r="L364" i="3"/>
  <c r="K364" i="3"/>
  <c r="H277" i="3"/>
  <c r="G277" i="3"/>
  <c r="I278" i="3" s="1"/>
  <c r="D217" i="1"/>
  <c r="I218" i="1" s="1"/>
  <c r="H218" i="1"/>
  <c r="F218" i="1"/>
  <c r="J218" i="1" s="1"/>
  <c r="G218" i="1"/>
  <c r="P351" i="3" l="1"/>
  <c r="O351" i="3"/>
  <c r="H278" i="3"/>
  <c r="G278" i="3"/>
  <c r="I279" i="3" s="1"/>
  <c r="K218" i="1"/>
  <c r="E218" i="1" s="1"/>
  <c r="O352" i="3" l="1"/>
  <c r="P352" i="3"/>
  <c r="H279" i="3"/>
  <c r="G279" i="3"/>
  <c r="I280" i="3" s="1"/>
  <c r="D218" i="1"/>
  <c r="I219" i="1" s="1"/>
  <c r="F219" i="1" s="1"/>
  <c r="J219" i="1" s="1"/>
  <c r="H219" i="1"/>
  <c r="G219" i="1"/>
  <c r="O353" i="3" l="1"/>
  <c r="P353" i="3"/>
  <c r="H280" i="3"/>
  <c r="G280" i="3"/>
  <c r="I281" i="3" s="1"/>
  <c r="K219" i="1"/>
  <c r="E219" i="1" s="1"/>
  <c r="O354" i="3" l="1"/>
  <c r="P354" i="3"/>
  <c r="H281" i="3"/>
  <c r="G281" i="3"/>
  <c r="I282" i="3" s="1"/>
  <c r="D219" i="1"/>
  <c r="I220" i="1" s="1"/>
  <c r="H220" i="1"/>
  <c r="F220" i="1"/>
  <c r="J220" i="1" s="1"/>
  <c r="G220" i="1"/>
  <c r="P355" i="3" l="1"/>
  <c r="O355" i="3"/>
  <c r="H282" i="3"/>
  <c r="G282" i="3"/>
  <c r="I283" i="3" s="1"/>
  <c r="K220" i="1"/>
  <c r="E220" i="1" s="1"/>
  <c r="O356" i="3" l="1"/>
  <c r="P356" i="3"/>
  <c r="H283" i="3"/>
  <c r="G283" i="3"/>
  <c r="I284" i="3" s="1"/>
  <c r="D220" i="1"/>
  <c r="I221" i="1" s="1"/>
  <c r="F221" i="1" s="1"/>
  <c r="J221" i="1" s="1"/>
  <c r="H221" i="1"/>
  <c r="G221" i="1"/>
  <c r="O357" i="3" l="1"/>
  <c r="P357" i="3"/>
  <c r="H284" i="3"/>
  <c r="G284" i="3"/>
  <c r="I285" i="3" s="1"/>
  <c r="K221" i="1"/>
  <c r="E221" i="1" s="1"/>
  <c r="O358" i="3" l="1"/>
  <c r="P358" i="3"/>
  <c r="H285" i="3"/>
  <c r="G285" i="3"/>
  <c r="I286" i="3" s="1"/>
  <c r="D221" i="1"/>
  <c r="I222" i="1" s="1"/>
  <c r="H222" i="1"/>
  <c r="F222" i="1"/>
  <c r="J222" i="1" s="1"/>
  <c r="G222" i="1"/>
  <c r="P359" i="3" l="1"/>
  <c r="O359" i="3"/>
  <c r="H286" i="3"/>
  <c r="G286" i="3"/>
  <c r="I287" i="3" s="1"/>
  <c r="K222" i="1"/>
  <c r="E222" i="1" s="1"/>
  <c r="O360" i="3" l="1"/>
  <c r="P360" i="3"/>
  <c r="H287" i="3"/>
  <c r="G287" i="3"/>
  <c r="I288" i="3" s="1"/>
  <c r="D222" i="1"/>
  <c r="I223" i="1" s="1"/>
  <c r="H223" i="1"/>
  <c r="F223" i="1"/>
  <c r="J223" i="1" s="1"/>
  <c r="G223" i="1"/>
  <c r="O361" i="3" l="1"/>
  <c r="P361" i="3"/>
  <c r="H288" i="3"/>
  <c r="G288" i="3"/>
  <c r="I289" i="3" s="1"/>
  <c r="K223" i="1"/>
  <c r="E223" i="1" s="1"/>
  <c r="O362" i="3" l="1"/>
  <c r="P362" i="3"/>
  <c r="H289" i="3"/>
  <c r="G289" i="3"/>
  <c r="I290" i="3" s="1"/>
  <c r="D223" i="1"/>
  <c r="I224" i="1" s="1"/>
  <c r="H224" i="1"/>
  <c r="F224" i="1"/>
  <c r="J224" i="1" s="1"/>
  <c r="G224" i="1"/>
  <c r="O363" i="3" l="1"/>
  <c r="P363" i="3"/>
  <c r="H290" i="3"/>
  <c r="G290" i="3"/>
  <c r="I291" i="3" s="1"/>
  <c r="K224" i="1"/>
  <c r="E224" i="1" s="1"/>
  <c r="O364" i="3" l="1"/>
  <c r="P364" i="3"/>
  <c r="H291" i="3"/>
  <c r="G291" i="3"/>
  <c r="I292" i="3" s="1"/>
  <c r="D224" i="1"/>
  <c r="I225" i="1" s="1"/>
  <c r="H225" i="1"/>
  <c r="F225" i="1"/>
  <c r="J225" i="1" s="1"/>
  <c r="G225" i="1"/>
  <c r="H292" i="3" l="1"/>
  <c r="G292" i="3"/>
  <c r="I293" i="3" s="1"/>
  <c r="K225" i="1"/>
  <c r="E225" i="1" s="1"/>
  <c r="H293" i="3" l="1"/>
  <c r="G293" i="3"/>
  <c r="I294" i="3" s="1"/>
  <c r="D225" i="1"/>
  <c r="I226" i="1" s="1"/>
  <c r="H226" i="1"/>
  <c r="F226" i="1"/>
  <c r="J226" i="1" s="1"/>
  <c r="G226" i="1"/>
  <c r="H294" i="3" l="1"/>
  <c r="G294" i="3"/>
  <c r="I295" i="3" s="1"/>
  <c r="K226" i="1"/>
  <c r="E226" i="1" s="1"/>
  <c r="H295" i="3" l="1"/>
  <c r="G295" i="3"/>
  <c r="I296" i="3" s="1"/>
  <c r="D226" i="1"/>
  <c r="I227" i="1" s="1"/>
  <c r="H227" i="1"/>
  <c r="F227" i="1"/>
  <c r="J227" i="1" s="1"/>
  <c r="G227" i="1"/>
  <c r="H296" i="3" l="1"/>
  <c r="G296" i="3"/>
  <c r="I297" i="3" s="1"/>
  <c r="K227" i="1"/>
  <c r="E227" i="1" s="1"/>
  <c r="H297" i="3" l="1"/>
  <c r="G297" i="3"/>
  <c r="I298" i="3" s="1"/>
  <c r="D227" i="1"/>
  <c r="I228" i="1" s="1"/>
  <c r="H228" i="1"/>
  <c r="G228" i="1"/>
  <c r="F228" i="1"/>
  <c r="J228" i="1" s="1"/>
  <c r="H298" i="3" l="1"/>
  <c r="G298" i="3"/>
  <c r="I299" i="3" s="1"/>
  <c r="K228" i="1"/>
  <c r="E228" i="1" s="1"/>
  <c r="H299" i="3" l="1"/>
  <c r="G299" i="3"/>
  <c r="I300" i="3" s="1"/>
  <c r="D228" i="1"/>
  <c r="I229" i="1" s="1"/>
  <c r="H229" i="1"/>
  <c r="G229" i="1"/>
  <c r="F229" i="1"/>
  <c r="J229" i="1" s="1"/>
  <c r="H300" i="3" l="1"/>
  <c r="G300" i="3"/>
  <c r="I301" i="3" s="1"/>
  <c r="K229" i="1"/>
  <c r="E229" i="1" s="1"/>
  <c r="H301" i="3" l="1"/>
  <c r="G301" i="3"/>
  <c r="I302" i="3" s="1"/>
  <c r="D229" i="1"/>
  <c r="I230" i="1" s="1"/>
  <c r="H230" i="1"/>
  <c r="G230" i="1"/>
  <c r="F230" i="1"/>
  <c r="J230" i="1" s="1"/>
  <c r="H302" i="3" l="1"/>
  <c r="G302" i="3"/>
  <c r="I303" i="3" s="1"/>
  <c r="K230" i="1"/>
  <c r="E230" i="1" s="1"/>
  <c r="H303" i="3" l="1"/>
  <c r="G303" i="3"/>
  <c r="I304" i="3" s="1"/>
  <c r="D230" i="1"/>
  <c r="I231" i="1" s="1"/>
  <c r="H231" i="1"/>
  <c r="G231" i="1"/>
  <c r="F231" i="1"/>
  <c r="J231" i="1" s="1"/>
  <c r="H304" i="3" l="1"/>
  <c r="G304" i="3"/>
  <c r="I305" i="3" s="1"/>
  <c r="K231" i="1"/>
  <c r="E231" i="1" s="1"/>
  <c r="H305" i="3" l="1"/>
  <c r="G305" i="3"/>
  <c r="I306" i="3" s="1"/>
  <c r="D231" i="1"/>
  <c r="I232" i="1" s="1"/>
  <c r="H232" i="1"/>
  <c r="G232" i="1"/>
  <c r="F232" i="1"/>
  <c r="J232" i="1" s="1"/>
  <c r="H306" i="3" l="1"/>
  <c r="G306" i="3"/>
  <c r="I307" i="3" s="1"/>
  <c r="K232" i="1"/>
  <c r="E232" i="1" s="1"/>
  <c r="H307" i="3" l="1"/>
  <c r="G307" i="3"/>
  <c r="I308" i="3" s="1"/>
  <c r="D232" i="1"/>
  <c r="I233" i="1" s="1"/>
  <c r="G233" i="1"/>
  <c r="F233" i="1"/>
  <c r="J233" i="1" s="1"/>
  <c r="H233" i="1"/>
  <c r="H308" i="3" l="1"/>
  <c r="G308" i="3"/>
  <c r="I309" i="3" s="1"/>
  <c r="K233" i="1"/>
  <c r="E233" i="1" s="1"/>
  <c r="H309" i="3" l="1"/>
  <c r="G309" i="3"/>
  <c r="I310" i="3" s="1"/>
  <c r="D233" i="1"/>
  <c r="I234" i="1" s="1"/>
  <c r="G234" i="1"/>
  <c r="H234" i="1"/>
  <c r="F234" i="1"/>
  <c r="J234" i="1" s="1"/>
  <c r="H310" i="3" l="1"/>
  <c r="G310" i="3"/>
  <c r="I311" i="3" s="1"/>
  <c r="K234" i="1"/>
  <c r="E234" i="1" s="1"/>
  <c r="H311" i="3" l="1"/>
  <c r="G311" i="3"/>
  <c r="I312" i="3" s="1"/>
  <c r="G235" i="1"/>
  <c r="D234" i="1"/>
  <c r="I235" i="1" s="1"/>
  <c r="F235" i="1" s="1"/>
  <c r="J235" i="1" s="1"/>
  <c r="H235" i="1"/>
  <c r="H312" i="3" l="1"/>
  <c r="G312" i="3"/>
  <c r="I313" i="3" s="1"/>
  <c r="K235" i="1"/>
  <c r="E235" i="1" s="1"/>
  <c r="H313" i="3" l="1"/>
  <c r="G313" i="3"/>
  <c r="I314" i="3" s="1"/>
  <c r="G236" i="1"/>
  <c r="H236" i="1"/>
  <c r="D235" i="1"/>
  <c r="I236" i="1" s="1"/>
  <c r="H314" i="3" l="1"/>
  <c r="G314" i="3"/>
  <c r="I315" i="3" s="1"/>
  <c r="F236" i="1"/>
  <c r="J236" i="1" s="1"/>
  <c r="K236" i="1" s="1"/>
  <c r="E236" i="1" s="1"/>
  <c r="H315" i="3" l="1"/>
  <c r="G315" i="3"/>
  <c r="I316" i="3" s="1"/>
  <c r="G237" i="1"/>
  <c r="D236" i="1"/>
  <c r="I237" i="1" s="1"/>
  <c r="F237" i="1" s="1"/>
  <c r="J237" i="1" s="1"/>
  <c r="H237" i="1"/>
  <c r="H316" i="3" l="1"/>
  <c r="G316" i="3"/>
  <c r="I317" i="3" s="1"/>
  <c r="K237" i="1"/>
  <c r="E237" i="1" s="1"/>
  <c r="H317" i="3" l="1"/>
  <c r="G317" i="3"/>
  <c r="I318" i="3" s="1"/>
  <c r="G238" i="1"/>
  <c r="H238" i="1"/>
  <c r="D237" i="1"/>
  <c r="I238" i="1" s="1"/>
  <c r="H318" i="3" l="1"/>
  <c r="G318" i="3"/>
  <c r="I319" i="3" s="1"/>
  <c r="F238" i="1"/>
  <c r="J238" i="1" s="1"/>
  <c r="K238" i="1" s="1"/>
  <c r="E238" i="1" s="1"/>
  <c r="H319" i="3" l="1"/>
  <c r="G319" i="3"/>
  <c r="I320" i="3" s="1"/>
  <c r="G239" i="1"/>
  <c r="D238" i="1"/>
  <c r="I239" i="1" s="1"/>
  <c r="H239" i="1"/>
  <c r="H320" i="3" l="1"/>
  <c r="G320" i="3"/>
  <c r="I321" i="3" s="1"/>
  <c r="F239" i="1"/>
  <c r="J239" i="1" s="1"/>
  <c r="K239" i="1" s="1"/>
  <c r="E239" i="1" s="1"/>
  <c r="H321" i="3" l="1"/>
  <c r="G321" i="3"/>
  <c r="I322" i="3" s="1"/>
  <c r="G240" i="1"/>
  <c r="H240" i="1"/>
  <c r="D239" i="1"/>
  <c r="I240" i="1" s="1"/>
  <c r="H322" i="3" l="1"/>
  <c r="G322" i="3"/>
  <c r="I323" i="3" s="1"/>
  <c r="F240" i="1"/>
  <c r="J240" i="1" s="1"/>
  <c r="K240" i="1" s="1"/>
  <c r="E240" i="1" s="1"/>
  <c r="H323" i="3" l="1"/>
  <c r="G323" i="3"/>
  <c r="I324" i="3" s="1"/>
  <c r="G241" i="1"/>
  <c r="D240" i="1"/>
  <c r="I241" i="1" s="1"/>
  <c r="F241" i="1" s="1"/>
  <c r="J241" i="1" s="1"/>
  <c r="H241" i="1"/>
  <c r="H324" i="3" l="1"/>
  <c r="G324" i="3"/>
  <c r="I325" i="3" s="1"/>
  <c r="K241" i="1"/>
  <c r="E241" i="1" s="1"/>
  <c r="H325" i="3" l="1"/>
  <c r="G325" i="3"/>
  <c r="I326" i="3" s="1"/>
  <c r="G242" i="1"/>
  <c r="H242" i="1"/>
  <c r="D241" i="1"/>
  <c r="I242" i="1" s="1"/>
  <c r="H326" i="3" l="1"/>
  <c r="G326" i="3"/>
  <c r="I327" i="3" s="1"/>
  <c r="F242" i="1"/>
  <c r="J242" i="1" s="1"/>
  <c r="K242" i="1" s="1"/>
  <c r="E242" i="1" s="1"/>
  <c r="H327" i="3" l="1"/>
  <c r="G327" i="3"/>
  <c r="I328" i="3" s="1"/>
  <c r="G243" i="1"/>
  <c r="D242" i="1"/>
  <c r="I243" i="1" s="1"/>
  <c r="H243" i="1"/>
  <c r="H328" i="3" l="1"/>
  <c r="G328" i="3"/>
  <c r="I329" i="3" s="1"/>
  <c r="F243" i="1"/>
  <c r="J243" i="1" s="1"/>
  <c r="K243" i="1" s="1"/>
  <c r="E243" i="1" s="1"/>
  <c r="H329" i="3" l="1"/>
  <c r="G329" i="3"/>
  <c r="I330" i="3" s="1"/>
  <c r="G244" i="1"/>
  <c r="H244" i="1"/>
  <c r="D243" i="1"/>
  <c r="I244" i="1" s="1"/>
  <c r="H330" i="3" l="1"/>
  <c r="G330" i="3"/>
  <c r="I331" i="3" s="1"/>
  <c r="F244" i="1"/>
  <c r="J244" i="1" s="1"/>
  <c r="K244" i="1" s="1"/>
  <c r="E244" i="1" s="1"/>
  <c r="H331" i="3" l="1"/>
  <c r="G331" i="3"/>
  <c r="I332" i="3" s="1"/>
  <c r="G245" i="1"/>
  <c r="D244" i="1"/>
  <c r="I245" i="1" s="1"/>
  <c r="H245" i="1"/>
  <c r="H332" i="3" l="1"/>
  <c r="G332" i="3"/>
  <c r="I333" i="3" s="1"/>
  <c r="F245" i="1"/>
  <c r="J245" i="1" s="1"/>
  <c r="K245" i="1" s="1"/>
  <c r="E245" i="1" s="1"/>
  <c r="H333" i="3" l="1"/>
  <c r="G333" i="3"/>
  <c r="I334" i="3" s="1"/>
  <c r="G246" i="1"/>
  <c r="H246" i="1"/>
  <c r="D245" i="1"/>
  <c r="I246" i="1" s="1"/>
  <c r="H334" i="3" l="1"/>
  <c r="G334" i="3"/>
  <c r="I335" i="3" s="1"/>
  <c r="F246" i="1"/>
  <c r="J246" i="1" s="1"/>
  <c r="K246" i="1" s="1"/>
  <c r="E246" i="1" s="1"/>
  <c r="H335" i="3" l="1"/>
  <c r="G335" i="3"/>
  <c r="I336" i="3" s="1"/>
  <c r="G247" i="1"/>
  <c r="D246" i="1"/>
  <c r="I247" i="1" s="1"/>
  <c r="F247" i="1" s="1"/>
  <c r="J247" i="1" s="1"/>
  <c r="H247" i="1"/>
  <c r="H336" i="3" l="1"/>
  <c r="G336" i="3"/>
  <c r="I337" i="3" s="1"/>
  <c r="K247" i="1"/>
  <c r="E247" i="1" s="1"/>
  <c r="H337" i="3" l="1"/>
  <c r="G337" i="3"/>
  <c r="I338" i="3" s="1"/>
  <c r="G248" i="1"/>
  <c r="H248" i="1"/>
  <c r="D247" i="1"/>
  <c r="I248" i="1" s="1"/>
  <c r="H338" i="3" l="1"/>
  <c r="G338" i="3"/>
  <c r="I339" i="3" s="1"/>
  <c r="F248" i="1"/>
  <c r="J248" i="1" s="1"/>
  <c r="K248" i="1" s="1"/>
  <c r="E248" i="1" s="1"/>
  <c r="H339" i="3" l="1"/>
  <c r="G339" i="3"/>
  <c r="I340" i="3" s="1"/>
  <c r="G249" i="1"/>
  <c r="D248" i="1"/>
  <c r="I249" i="1" s="1"/>
  <c r="F249" i="1" s="1"/>
  <c r="J249" i="1" s="1"/>
  <c r="H249" i="1"/>
  <c r="H340" i="3" l="1"/>
  <c r="G340" i="3"/>
  <c r="I341" i="3" s="1"/>
  <c r="K249" i="1"/>
  <c r="E249" i="1" s="1"/>
  <c r="H341" i="3" l="1"/>
  <c r="G341" i="3"/>
  <c r="I342" i="3" s="1"/>
  <c r="G250" i="1"/>
  <c r="H250" i="1"/>
  <c r="D249" i="1"/>
  <c r="I250" i="1" s="1"/>
  <c r="H342" i="3" l="1"/>
  <c r="G342" i="3"/>
  <c r="I343" i="3" s="1"/>
  <c r="F250" i="1"/>
  <c r="J250" i="1" s="1"/>
  <c r="K250" i="1" s="1"/>
  <c r="E250" i="1" s="1"/>
  <c r="H343" i="3" l="1"/>
  <c r="G343" i="3"/>
  <c r="I344" i="3" s="1"/>
  <c r="G251" i="1"/>
  <c r="D250" i="1"/>
  <c r="I251" i="1" s="1"/>
  <c r="H251" i="1"/>
  <c r="H344" i="3" l="1"/>
  <c r="G344" i="3"/>
  <c r="I345" i="3" s="1"/>
  <c r="F251" i="1"/>
  <c r="J251" i="1" s="1"/>
  <c r="K251" i="1" s="1"/>
  <c r="E251" i="1" s="1"/>
  <c r="H345" i="3" l="1"/>
  <c r="G345" i="3"/>
  <c r="I346" i="3" s="1"/>
  <c r="G252" i="1"/>
  <c r="H252" i="1"/>
  <c r="D251" i="1"/>
  <c r="I252" i="1" s="1"/>
  <c r="H346" i="3" l="1"/>
  <c r="G346" i="3"/>
  <c r="I347" i="3" s="1"/>
  <c r="F252" i="1"/>
  <c r="J252" i="1" s="1"/>
  <c r="K252" i="1" s="1"/>
  <c r="E252" i="1" s="1"/>
  <c r="H347" i="3" l="1"/>
  <c r="G347" i="3"/>
  <c r="I348" i="3" s="1"/>
  <c r="G253" i="1"/>
  <c r="D252" i="1"/>
  <c r="I253" i="1" s="1"/>
  <c r="H253" i="1"/>
  <c r="H348" i="3" l="1"/>
  <c r="G348" i="3"/>
  <c r="I349" i="3" s="1"/>
  <c r="F253" i="1"/>
  <c r="J253" i="1" s="1"/>
  <c r="K253" i="1" s="1"/>
  <c r="E253" i="1" s="1"/>
  <c r="H349" i="3" l="1"/>
  <c r="G349" i="3"/>
  <c r="I350" i="3" s="1"/>
  <c r="G254" i="1"/>
  <c r="H254" i="1"/>
  <c r="D253" i="1"/>
  <c r="I254" i="1" s="1"/>
  <c r="H350" i="3" l="1"/>
  <c r="G350" i="3"/>
  <c r="I351" i="3" s="1"/>
  <c r="F254" i="1"/>
  <c r="J254" i="1" s="1"/>
  <c r="K254" i="1" s="1"/>
  <c r="E254" i="1" s="1"/>
  <c r="H351" i="3" l="1"/>
  <c r="G351" i="3"/>
  <c r="I352" i="3" s="1"/>
  <c r="G255" i="1"/>
  <c r="D254" i="1"/>
  <c r="I255" i="1" s="1"/>
  <c r="F255" i="1" s="1"/>
  <c r="J255" i="1" s="1"/>
  <c r="H255" i="1"/>
  <c r="H352" i="3" l="1"/>
  <c r="G352" i="3"/>
  <c r="I353" i="3" s="1"/>
  <c r="K255" i="1"/>
  <c r="E255" i="1" s="1"/>
  <c r="H353" i="3" l="1"/>
  <c r="G353" i="3"/>
  <c r="I354" i="3" s="1"/>
  <c r="G256" i="1"/>
  <c r="H256" i="1"/>
  <c r="D255" i="1"/>
  <c r="I256" i="1" s="1"/>
  <c r="H354" i="3" l="1"/>
  <c r="G354" i="3"/>
  <c r="I355" i="3" s="1"/>
  <c r="F256" i="1"/>
  <c r="J256" i="1" s="1"/>
  <c r="K256" i="1" s="1"/>
  <c r="E256" i="1" s="1"/>
  <c r="H355" i="3" l="1"/>
  <c r="G355" i="3"/>
  <c r="I356" i="3" s="1"/>
  <c r="G257" i="1"/>
  <c r="D256" i="1"/>
  <c r="I257" i="1" s="1"/>
  <c r="H257" i="1"/>
  <c r="H356" i="3" l="1"/>
  <c r="G356" i="3"/>
  <c r="I357" i="3" s="1"/>
  <c r="F257" i="1"/>
  <c r="J257" i="1" s="1"/>
  <c r="K257" i="1" s="1"/>
  <c r="E257" i="1" s="1"/>
  <c r="H357" i="3" l="1"/>
  <c r="G357" i="3"/>
  <c r="I358" i="3" s="1"/>
  <c r="G258" i="1"/>
  <c r="H258" i="1"/>
  <c r="D257" i="1"/>
  <c r="I258" i="1" s="1"/>
  <c r="H358" i="3" l="1"/>
  <c r="G358" i="3"/>
  <c r="I359" i="3" s="1"/>
  <c r="F258" i="1"/>
  <c r="J258" i="1" s="1"/>
  <c r="K258" i="1" s="1"/>
  <c r="E258" i="1" s="1"/>
  <c r="H359" i="3" l="1"/>
  <c r="G359" i="3"/>
  <c r="I360" i="3" s="1"/>
  <c r="G259" i="1"/>
  <c r="D258" i="1"/>
  <c r="I259" i="1" s="1"/>
  <c r="H259" i="1"/>
  <c r="H360" i="3" l="1"/>
  <c r="G360" i="3"/>
  <c r="I361" i="3" s="1"/>
  <c r="F259" i="1"/>
  <c r="J259" i="1" s="1"/>
  <c r="K259" i="1" s="1"/>
  <c r="E259" i="1" s="1"/>
  <c r="H361" i="3" l="1"/>
  <c r="G361" i="3"/>
  <c r="I362" i="3" s="1"/>
  <c r="G260" i="1"/>
  <c r="H260" i="1"/>
  <c r="D259" i="1"/>
  <c r="I260" i="1" s="1"/>
  <c r="H362" i="3" l="1"/>
  <c r="G362" i="3"/>
  <c r="I363" i="3" s="1"/>
  <c r="F260" i="1"/>
  <c r="J260" i="1" s="1"/>
  <c r="K260" i="1" s="1"/>
  <c r="E260" i="1" s="1"/>
  <c r="H363" i="3" l="1"/>
  <c r="G363" i="3"/>
  <c r="I364" i="3" s="1"/>
  <c r="G261" i="1"/>
  <c r="D260" i="1"/>
  <c r="I261" i="1" s="1"/>
  <c r="F261" i="1" s="1"/>
  <c r="J261" i="1" s="1"/>
  <c r="H261" i="1"/>
  <c r="H364" i="3" l="1"/>
  <c r="G364" i="3"/>
  <c r="K261" i="1"/>
  <c r="E261" i="1" s="1"/>
  <c r="G262" i="1" l="1"/>
  <c r="H262" i="1"/>
  <c r="D261" i="1"/>
  <c r="I262" i="1" s="1"/>
  <c r="F262" i="1" l="1"/>
  <c r="J262" i="1" s="1"/>
  <c r="K262" i="1" s="1"/>
  <c r="E262" i="1" s="1"/>
  <c r="G263" i="1" l="1"/>
  <c r="D262" i="1"/>
  <c r="I263" i="1" s="1"/>
  <c r="F263" i="1" s="1"/>
  <c r="J263" i="1" s="1"/>
  <c r="H263" i="1"/>
  <c r="K263" i="1" l="1"/>
  <c r="E263" i="1" s="1"/>
  <c r="G264" i="1" l="1"/>
  <c r="H264" i="1"/>
  <c r="D263" i="1"/>
  <c r="I264" i="1" s="1"/>
  <c r="F264" i="1" l="1"/>
  <c r="J264" i="1" s="1"/>
  <c r="K264" i="1" s="1"/>
  <c r="E264" i="1" s="1"/>
  <c r="G265" i="1" l="1"/>
  <c r="D264" i="1"/>
  <c r="I265" i="1" s="1"/>
  <c r="F265" i="1" s="1"/>
  <c r="J265" i="1" s="1"/>
  <c r="H265" i="1"/>
  <c r="K265" i="1" l="1"/>
  <c r="E265" i="1" s="1"/>
  <c r="G266" i="1" l="1"/>
  <c r="H266" i="1"/>
  <c r="D265" i="1"/>
  <c r="I266" i="1" s="1"/>
  <c r="F266" i="1" l="1"/>
  <c r="J266" i="1" s="1"/>
  <c r="K266" i="1" s="1"/>
  <c r="E266" i="1" s="1"/>
  <c r="G267" i="1" l="1"/>
  <c r="D266" i="1"/>
  <c r="I267" i="1" s="1"/>
  <c r="F267" i="1" s="1"/>
  <c r="J267" i="1" s="1"/>
  <c r="H267" i="1"/>
  <c r="K267" i="1" l="1"/>
  <c r="E267" i="1" s="1"/>
  <c r="G268" i="1" l="1"/>
  <c r="H268" i="1"/>
  <c r="D267" i="1"/>
  <c r="I268" i="1" s="1"/>
  <c r="F268" i="1" l="1"/>
  <c r="J268" i="1" s="1"/>
  <c r="K268" i="1" s="1"/>
  <c r="E268" i="1" s="1"/>
  <c r="D268" i="1" l="1"/>
  <c r="I269" i="1" s="1"/>
  <c r="F269" i="1" s="1"/>
  <c r="J269" i="1" s="1"/>
  <c r="G269" i="1"/>
  <c r="H269" i="1"/>
  <c r="K269" i="1" l="1"/>
  <c r="E269" i="1" s="1"/>
  <c r="G270" i="1" l="1"/>
  <c r="D269" i="1"/>
  <c r="I270" i="1" s="1"/>
  <c r="H270" i="1"/>
  <c r="F270" i="1" l="1"/>
  <c r="J270" i="1" s="1"/>
  <c r="K270" i="1" s="1"/>
  <c r="E270" i="1" s="1"/>
  <c r="G271" i="1" l="1"/>
  <c r="D270" i="1"/>
  <c r="I271" i="1" s="1"/>
  <c r="H271" i="1"/>
  <c r="F271" i="1" l="1"/>
  <c r="J271" i="1" s="1"/>
  <c r="K271" i="1" s="1"/>
  <c r="E271" i="1" s="1"/>
  <c r="G272" i="1" l="1"/>
  <c r="D271" i="1"/>
  <c r="I272" i="1" s="1"/>
  <c r="F272" i="1" s="1"/>
  <c r="J272" i="1" s="1"/>
  <c r="H272" i="1"/>
  <c r="K272" i="1" l="1"/>
  <c r="E272" i="1" s="1"/>
  <c r="D272" i="1" l="1"/>
  <c r="I273" i="1" s="1"/>
  <c r="F273" i="1" s="1"/>
  <c r="J273" i="1" s="1"/>
  <c r="H273" i="1"/>
  <c r="G273" i="1"/>
  <c r="K273" i="1" l="1"/>
  <c r="E273" i="1" s="1"/>
  <c r="D273" i="1" l="1"/>
  <c r="I274" i="1" s="1"/>
  <c r="H274" i="1"/>
  <c r="G274" i="1"/>
  <c r="F274" i="1" l="1"/>
  <c r="J274" i="1" s="1"/>
  <c r="K274" i="1" s="1"/>
  <c r="E274" i="1" s="1"/>
  <c r="D274" i="1" l="1"/>
  <c r="I275" i="1" s="1"/>
  <c r="H275" i="1"/>
  <c r="G275" i="1"/>
  <c r="F275" i="1" l="1"/>
  <c r="J275" i="1" s="1"/>
  <c r="K275" i="1" s="1"/>
  <c r="E275" i="1" s="1"/>
  <c r="D275" i="1" l="1"/>
  <c r="I276" i="1" s="1"/>
  <c r="H276" i="1"/>
  <c r="G276" i="1"/>
  <c r="F276" i="1" l="1"/>
  <c r="J276" i="1" s="1"/>
  <c r="K276" i="1" s="1"/>
  <c r="E276" i="1" s="1"/>
  <c r="D276" i="1" l="1"/>
  <c r="I277" i="1" s="1"/>
  <c r="H277" i="1"/>
  <c r="G277" i="1"/>
  <c r="F277" i="1" l="1"/>
  <c r="J277" i="1" s="1"/>
  <c r="K277" i="1" s="1"/>
  <c r="E277" i="1" s="1"/>
  <c r="D277" i="1" l="1"/>
  <c r="I278" i="1" s="1"/>
  <c r="H278" i="1"/>
  <c r="G278" i="1"/>
  <c r="F278" i="1" l="1"/>
  <c r="J278" i="1" s="1"/>
  <c r="K278" i="1" s="1"/>
  <c r="E278" i="1" s="1"/>
  <c r="D278" i="1" l="1"/>
  <c r="I279" i="1" s="1"/>
  <c r="H279" i="1"/>
  <c r="G279" i="1"/>
  <c r="F279" i="1" l="1"/>
  <c r="J279" i="1" s="1"/>
  <c r="K279" i="1" s="1"/>
  <c r="E279" i="1" s="1"/>
  <c r="D279" i="1" l="1"/>
  <c r="I280" i="1" s="1"/>
  <c r="H280" i="1"/>
  <c r="G280" i="1"/>
  <c r="F280" i="1" l="1"/>
  <c r="J280" i="1" s="1"/>
  <c r="K280" i="1" s="1"/>
  <c r="E280" i="1" s="1"/>
  <c r="D280" i="1" l="1"/>
  <c r="I281" i="1" s="1"/>
  <c r="H281" i="1"/>
  <c r="G281" i="1"/>
  <c r="F281" i="1" l="1"/>
  <c r="J281" i="1" s="1"/>
  <c r="K281" i="1" s="1"/>
  <c r="E281" i="1" s="1"/>
  <c r="D281" i="1" l="1"/>
  <c r="I282" i="1" s="1"/>
  <c r="H282" i="1"/>
  <c r="G282" i="1"/>
  <c r="F282" i="1" l="1"/>
  <c r="J282" i="1" s="1"/>
  <c r="K282" i="1" s="1"/>
  <c r="E282" i="1" s="1"/>
  <c r="D282" i="1" l="1"/>
  <c r="I283" i="1" s="1"/>
  <c r="H283" i="1"/>
  <c r="G283" i="1"/>
  <c r="F283" i="1" l="1"/>
  <c r="J283" i="1" s="1"/>
  <c r="K283" i="1" s="1"/>
  <c r="E283" i="1" s="1"/>
  <c r="D283" i="1" l="1"/>
  <c r="I284" i="1" s="1"/>
  <c r="H284" i="1"/>
  <c r="G284" i="1"/>
  <c r="F284" i="1" l="1"/>
  <c r="J284" i="1" s="1"/>
  <c r="K284" i="1" s="1"/>
  <c r="E284" i="1" s="1"/>
  <c r="D284" i="1" l="1"/>
  <c r="I285" i="1" s="1"/>
  <c r="H285" i="1"/>
  <c r="G285" i="1"/>
  <c r="F285" i="1" l="1"/>
  <c r="J285" i="1" s="1"/>
  <c r="K285" i="1" s="1"/>
  <c r="E285" i="1" s="1"/>
  <c r="D285" i="1" l="1"/>
  <c r="I286" i="1" s="1"/>
  <c r="H286" i="1"/>
  <c r="G286" i="1"/>
  <c r="F286" i="1" l="1"/>
  <c r="J286" i="1" s="1"/>
  <c r="K286" i="1" s="1"/>
  <c r="E286" i="1" s="1"/>
  <c r="D286" i="1" l="1"/>
  <c r="I287" i="1" s="1"/>
  <c r="H287" i="1"/>
  <c r="G287" i="1"/>
  <c r="F287" i="1" l="1"/>
  <c r="J287" i="1" s="1"/>
  <c r="K287" i="1" s="1"/>
  <c r="E287" i="1" s="1"/>
  <c r="D287" i="1" l="1"/>
  <c r="I288" i="1" s="1"/>
  <c r="H288" i="1"/>
  <c r="G288" i="1"/>
  <c r="F288" i="1" l="1"/>
  <c r="J288" i="1" s="1"/>
  <c r="K288" i="1" s="1"/>
  <c r="E288" i="1" s="1"/>
  <c r="D288" i="1" l="1"/>
  <c r="I289" i="1" s="1"/>
  <c r="H289" i="1"/>
  <c r="G289" i="1"/>
  <c r="F289" i="1" l="1"/>
  <c r="J289" i="1" s="1"/>
  <c r="K289" i="1" s="1"/>
  <c r="E289" i="1" s="1"/>
  <c r="D289" i="1" l="1"/>
  <c r="I290" i="1" s="1"/>
  <c r="H290" i="1"/>
  <c r="G290" i="1"/>
  <c r="F290" i="1" l="1"/>
  <c r="J290" i="1" s="1"/>
  <c r="K290" i="1" s="1"/>
  <c r="E290" i="1" s="1"/>
  <c r="D290" i="1" l="1"/>
  <c r="I291" i="1" s="1"/>
  <c r="H291" i="1"/>
  <c r="G291" i="1"/>
  <c r="F291" i="1" l="1"/>
  <c r="J291" i="1" s="1"/>
  <c r="K291" i="1" s="1"/>
  <c r="E291" i="1" s="1"/>
  <c r="D291" i="1" l="1"/>
  <c r="I292" i="1" s="1"/>
  <c r="H292" i="1"/>
  <c r="G292" i="1"/>
  <c r="F292" i="1" l="1"/>
  <c r="J292" i="1" s="1"/>
  <c r="K292" i="1" s="1"/>
  <c r="E292" i="1" s="1"/>
  <c r="D292" i="1" l="1"/>
  <c r="I293" i="1" s="1"/>
  <c r="H293" i="1"/>
  <c r="G293" i="1"/>
  <c r="F293" i="1" l="1"/>
  <c r="J293" i="1" s="1"/>
  <c r="K293" i="1" s="1"/>
  <c r="E293" i="1" s="1"/>
  <c r="D293" i="1" l="1"/>
  <c r="I294" i="1" s="1"/>
  <c r="H294" i="1"/>
  <c r="G294" i="1"/>
  <c r="F294" i="1" l="1"/>
  <c r="J294" i="1" s="1"/>
  <c r="K294" i="1" s="1"/>
  <c r="E294" i="1" s="1"/>
  <c r="D294" i="1" l="1"/>
  <c r="I295" i="1" s="1"/>
  <c r="H295" i="1"/>
  <c r="G295" i="1"/>
  <c r="F295" i="1" l="1"/>
  <c r="J295" i="1" s="1"/>
  <c r="K295" i="1" s="1"/>
  <c r="E295" i="1" s="1"/>
  <c r="D295" i="1" l="1"/>
  <c r="I296" i="1" s="1"/>
  <c r="H296" i="1"/>
  <c r="G296" i="1"/>
  <c r="F296" i="1" l="1"/>
  <c r="J296" i="1" s="1"/>
  <c r="K296" i="1" s="1"/>
  <c r="E296" i="1" s="1"/>
  <c r="D296" i="1" l="1"/>
  <c r="I297" i="1" s="1"/>
  <c r="H297" i="1"/>
  <c r="G297" i="1"/>
  <c r="F297" i="1" l="1"/>
  <c r="J297" i="1" s="1"/>
  <c r="K297" i="1" s="1"/>
  <c r="E297" i="1" s="1"/>
  <c r="D297" i="1" l="1"/>
  <c r="I298" i="1" s="1"/>
  <c r="H298" i="1"/>
  <c r="G298" i="1"/>
  <c r="F298" i="1" l="1"/>
  <c r="J298" i="1" s="1"/>
  <c r="K298" i="1" s="1"/>
  <c r="E298" i="1" s="1"/>
  <c r="D298" i="1" l="1"/>
  <c r="I299" i="1" s="1"/>
  <c r="H299" i="1"/>
  <c r="G299" i="1"/>
  <c r="F299" i="1" l="1"/>
  <c r="J299" i="1" s="1"/>
  <c r="K299" i="1" s="1"/>
  <c r="E299" i="1" s="1"/>
  <c r="D299" i="1" l="1"/>
  <c r="I300" i="1" s="1"/>
  <c r="H300" i="1"/>
  <c r="G300" i="1"/>
  <c r="F300" i="1" l="1"/>
  <c r="J300" i="1" s="1"/>
  <c r="K300" i="1" s="1"/>
  <c r="E300" i="1" s="1"/>
  <c r="D300" i="1" l="1"/>
  <c r="I301" i="1" s="1"/>
  <c r="H301" i="1"/>
  <c r="F301" i="1"/>
  <c r="J301" i="1" s="1"/>
  <c r="G301" i="1"/>
  <c r="K301" i="1" l="1"/>
  <c r="E301" i="1" s="1"/>
  <c r="D301" i="1" l="1"/>
  <c r="I302" i="1" s="1"/>
  <c r="H302" i="1"/>
  <c r="G302" i="1"/>
  <c r="F302" i="1"/>
  <c r="J302" i="1" s="1"/>
  <c r="K302" i="1" l="1"/>
  <c r="E302" i="1" s="1"/>
  <c r="D302" i="1" l="1"/>
  <c r="I303" i="1" s="1"/>
  <c r="F303" i="1" s="1"/>
  <c r="J303" i="1" s="1"/>
  <c r="H303" i="1"/>
  <c r="G303" i="1"/>
  <c r="K303" i="1" l="1"/>
  <c r="E303" i="1" s="1"/>
  <c r="D303" i="1" l="1"/>
  <c r="I304" i="1" s="1"/>
  <c r="H304" i="1"/>
  <c r="G304" i="1"/>
  <c r="F304" i="1"/>
  <c r="J304" i="1" s="1"/>
  <c r="K304" i="1" l="1"/>
  <c r="E304" i="1" s="1"/>
  <c r="D304" i="1" l="1"/>
  <c r="I305" i="1" s="1"/>
  <c r="H305" i="1"/>
  <c r="F305" i="1"/>
  <c r="J305" i="1" s="1"/>
  <c r="G305" i="1"/>
  <c r="K305" i="1" l="1"/>
  <c r="E305" i="1" s="1"/>
  <c r="D305" i="1" l="1"/>
  <c r="I306" i="1" s="1"/>
  <c r="H306" i="1"/>
  <c r="G306" i="1"/>
  <c r="F306" i="1"/>
  <c r="J306" i="1" s="1"/>
  <c r="K306" i="1" l="1"/>
  <c r="E306" i="1" s="1"/>
  <c r="D306" i="1" l="1"/>
  <c r="I307" i="1" s="1"/>
  <c r="H307" i="1"/>
  <c r="F307" i="1"/>
  <c r="J307" i="1" s="1"/>
  <c r="G307" i="1"/>
  <c r="K307" i="1" l="1"/>
  <c r="E307" i="1" s="1"/>
  <c r="D307" i="1" l="1"/>
  <c r="I308" i="1" s="1"/>
  <c r="H308" i="1"/>
  <c r="G308" i="1"/>
  <c r="F308" i="1"/>
  <c r="J308" i="1" s="1"/>
  <c r="K308" i="1" l="1"/>
  <c r="E308" i="1" s="1"/>
  <c r="D308" i="1" l="1"/>
  <c r="I309" i="1" s="1"/>
  <c r="H309" i="1"/>
  <c r="F309" i="1"/>
  <c r="J309" i="1" s="1"/>
  <c r="G309" i="1"/>
  <c r="K309" i="1" l="1"/>
  <c r="E309" i="1" s="1"/>
  <c r="D309" i="1" l="1"/>
  <c r="I310" i="1" s="1"/>
  <c r="H310" i="1"/>
  <c r="G310" i="1"/>
  <c r="F310" i="1"/>
  <c r="J310" i="1" s="1"/>
  <c r="K310" i="1" l="1"/>
  <c r="E310" i="1" s="1"/>
  <c r="D310" i="1" l="1"/>
  <c r="I311" i="1" s="1"/>
  <c r="H311" i="1"/>
  <c r="F311" i="1"/>
  <c r="J311" i="1" s="1"/>
  <c r="G311" i="1"/>
  <c r="K311" i="1" l="1"/>
  <c r="E311" i="1" s="1"/>
  <c r="D311" i="1" l="1"/>
  <c r="I312" i="1" s="1"/>
  <c r="H312" i="1"/>
  <c r="G312" i="1"/>
  <c r="F312" i="1"/>
  <c r="J312" i="1" s="1"/>
  <c r="K312" i="1" l="1"/>
  <c r="E312" i="1" s="1"/>
  <c r="D312" i="1" l="1"/>
  <c r="I313" i="1" s="1"/>
  <c r="H313" i="1"/>
  <c r="F313" i="1"/>
  <c r="J313" i="1" s="1"/>
  <c r="G313" i="1"/>
  <c r="K313" i="1" l="1"/>
  <c r="E313" i="1" s="1"/>
  <c r="D313" i="1" l="1"/>
  <c r="I314" i="1" s="1"/>
  <c r="H314" i="1"/>
  <c r="G314" i="1"/>
  <c r="F314" i="1"/>
  <c r="J314" i="1" s="1"/>
  <c r="K314" i="1" l="1"/>
  <c r="E314" i="1" s="1"/>
  <c r="D314" i="1" l="1"/>
  <c r="I315" i="1" s="1"/>
  <c r="H315" i="1"/>
  <c r="F315" i="1"/>
  <c r="J315" i="1" s="1"/>
  <c r="G315" i="1"/>
  <c r="K315" i="1" l="1"/>
  <c r="E315" i="1" s="1"/>
  <c r="D315" i="1" l="1"/>
  <c r="I316" i="1" s="1"/>
  <c r="H316" i="1"/>
  <c r="G316" i="1"/>
  <c r="F316" i="1"/>
  <c r="J316" i="1" s="1"/>
  <c r="K316" i="1" l="1"/>
  <c r="E316" i="1" s="1"/>
  <c r="D316" i="1" l="1"/>
  <c r="I317" i="1" s="1"/>
  <c r="H317" i="1"/>
  <c r="F317" i="1"/>
  <c r="J317" i="1" s="1"/>
  <c r="G317" i="1"/>
  <c r="K317" i="1" l="1"/>
  <c r="E317" i="1" s="1"/>
  <c r="D317" i="1" l="1"/>
  <c r="I318" i="1" s="1"/>
  <c r="H318" i="1"/>
  <c r="G318" i="1"/>
  <c r="F318" i="1"/>
  <c r="J318" i="1" s="1"/>
  <c r="K318" i="1" l="1"/>
  <c r="E318" i="1" s="1"/>
  <c r="D318" i="1" l="1"/>
  <c r="I319" i="1" s="1"/>
  <c r="H319" i="1"/>
  <c r="F319" i="1"/>
  <c r="J319" i="1" s="1"/>
  <c r="G319" i="1"/>
  <c r="K319" i="1" l="1"/>
  <c r="E319" i="1" s="1"/>
  <c r="D319" i="1" l="1"/>
  <c r="I320" i="1" s="1"/>
  <c r="H320" i="1"/>
  <c r="G320" i="1"/>
  <c r="F320" i="1"/>
  <c r="J320" i="1" s="1"/>
  <c r="K320" i="1" l="1"/>
  <c r="E320" i="1" s="1"/>
  <c r="D320" i="1" l="1"/>
  <c r="I321" i="1" s="1"/>
  <c r="H321" i="1"/>
  <c r="F321" i="1"/>
  <c r="J321" i="1" s="1"/>
  <c r="G321" i="1"/>
  <c r="K321" i="1" l="1"/>
  <c r="E321" i="1" s="1"/>
  <c r="D321" i="1" l="1"/>
  <c r="I322" i="1" s="1"/>
  <c r="H322" i="1"/>
  <c r="G322" i="1"/>
  <c r="F322" i="1"/>
  <c r="J322" i="1" s="1"/>
  <c r="K322" i="1" l="1"/>
  <c r="E322" i="1" s="1"/>
  <c r="D322" i="1" l="1"/>
  <c r="I323" i="1" s="1"/>
  <c r="H323" i="1"/>
  <c r="F323" i="1"/>
  <c r="J323" i="1" s="1"/>
  <c r="G323" i="1"/>
  <c r="K323" i="1" l="1"/>
  <c r="E323" i="1" s="1"/>
  <c r="D323" i="1" l="1"/>
  <c r="I324" i="1" s="1"/>
  <c r="H324" i="1"/>
  <c r="G324" i="1"/>
  <c r="F324" i="1"/>
  <c r="J324" i="1" s="1"/>
  <c r="K324" i="1" l="1"/>
  <c r="E324" i="1" s="1"/>
  <c r="D324" i="1" l="1"/>
  <c r="I325" i="1" s="1"/>
  <c r="H325" i="1"/>
  <c r="F325" i="1"/>
  <c r="J325" i="1" s="1"/>
  <c r="G325" i="1"/>
  <c r="K325" i="1" l="1"/>
  <c r="E325" i="1" s="1"/>
  <c r="D325" i="1" l="1"/>
  <c r="I326" i="1" s="1"/>
  <c r="H326" i="1"/>
  <c r="G326" i="1"/>
  <c r="F326" i="1"/>
  <c r="J326" i="1" s="1"/>
  <c r="K326" i="1" l="1"/>
  <c r="E326" i="1" s="1"/>
  <c r="D326" i="1" l="1"/>
  <c r="I327" i="1" s="1"/>
  <c r="H327" i="1"/>
  <c r="F327" i="1"/>
  <c r="J327" i="1" s="1"/>
  <c r="G327" i="1"/>
  <c r="K327" i="1" l="1"/>
  <c r="E327" i="1" s="1"/>
  <c r="D327" i="1" l="1"/>
  <c r="I328" i="1" s="1"/>
  <c r="H328" i="1"/>
  <c r="G328" i="1"/>
  <c r="F328" i="1"/>
  <c r="J328" i="1" s="1"/>
  <c r="K328" i="1" l="1"/>
  <c r="E328" i="1" s="1"/>
  <c r="D328" i="1" l="1"/>
  <c r="I329" i="1" s="1"/>
  <c r="H329" i="1"/>
  <c r="F329" i="1"/>
  <c r="J329" i="1" s="1"/>
  <c r="G329" i="1"/>
  <c r="K329" i="1" l="1"/>
  <c r="E329" i="1" s="1"/>
  <c r="D329" i="1" l="1"/>
  <c r="I330" i="1" s="1"/>
  <c r="H330" i="1"/>
  <c r="G330" i="1"/>
  <c r="F330" i="1"/>
  <c r="J330" i="1" s="1"/>
  <c r="K330" i="1" l="1"/>
  <c r="E330" i="1" s="1"/>
  <c r="D330" i="1" l="1"/>
  <c r="I331" i="1" s="1"/>
  <c r="H331" i="1"/>
  <c r="F331" i="1"/>
  <c r="J331" i="1" s="1"/>
  <c r="G331" i="1"/>
  <c r="K331" i="1" l="1"/>
  <c r="E331" i="1" s="1"/>
  <c r="D331" i="1" l="1"/>
  <c r="I332" i="1" s="1"/>
  <c r="H332" i="1"/>
  <c r="G332" i="1"/>
  <c r="F332" i="1"/>
  <c r="J332" i="1" s="1"/>
  <c r="K332" i="1" l="1"/>
  <c r="E332" i="1" s="1"/>
  <c r="D332" i="1" l="1"/>
  <c r="I333" i="1" s="1"/>
  <c r="H333" i="1"/>
  <c r="F333" i="1"/>
  <c r="J333" i="1" s="1"/>
  <c r="G333" i="1"/>
  <c r="K333" i="1" l="1"/>
  <c r="E333" i="1" s="1"/>
  <c r="D333" i="1" l="1"/>
  <c r="I334" i="1" s="1"/>
  <c r="H334" i="1"/>
  <c r="G334" i="1"/>
  <c r="F334" i="1"/>
  <c r="J334" i="1" s="1"/>
  <c r="K334" i="1" l="1"/>
  <c r="E334" i="1" s="1"/>
  <c r="D334" i="1" l="1"/>
  <c r="I335" i="1" s="1"/>
  <c r="H335" i="1"/>
  <c r="F335" i="1"/>
  <c r="J335" i="1" s="1"/>
  <c r="G335" i="1"/>
  <c r="K335" i="1" l="1"/>
  <c r="E335" i="1" s="1"/>
  <c r="D335" i="1" l="1"/>
  <c r="I336" i="1" s="1"/>
  <c r="H336" i="1"/>
  <c r="G336" i="1"/>
  <c r="F336" i="1"/>
  <c r="J336" i="1" s="1"/>
  <c r="K336" i="1" l="1"/>
  <c r="E336" i="1" s="1"/>
  <c r="D336" i="1" l="1"/>
  <c r="I337" i="1" s="1"/>
  <c r="H337" i="1"/>
  <c r="F337" i="1"/>
  <c r="J337" i="1" s="1"/>
  <c r="G337" i="1"/>
  <c r="K337" i="1" l="1"/>
  <c r="E337" i="1" s="1"/>
  <c r="D337" i="1" l="1"/>
  <c r="I338" i="1" s="1"/>
  <c r="H338" i="1"/>
  <c r="G338" i="1"/>
  <c r="F338" i="1"/>
  <c r="J338" i="1" s="1"/>
  <c r="K338" i="1" l="1"/>
  <c r="E338" i="1" s="1"/>
  <c r="D338" i="1" l="1"/>
  <c r="I339" i="1" s="1"/>
  <c r="H339" i="1"/>
  <c r="F339" i="1"/>
  <c r="J339" i="1" s="1"/>
  <c r="G339" i="1"/>
  <c r="K339" i="1" l="1"/>
  <c r="E339" i="1" s="1"/>
  <c r="D339" i="1" l="1"/>
  <c r="I340" i="1" s="1"/>
  <c r="H340" i="1"/>
  <c r="G340" i="1"/>
  <c r="F340" i="1"/>
  <c r="J340" i="1" s="1"/>
  <c r="K340" i="1" l="1"/>
  <c r="E340" i="1" s="1"/>
  <c r="D340" i="1" l="1"/>
  <c r="I341" i="1" s="1"/>
  <c r="H341" i="1"/>
  <c r="F341" i="1"/>
  <c r="J341" i="1" s="1"/>
  <c r="G341" i="1"/>
  <c r="K341" i="1" l="1"/>
  <c r="E341" i="1" s="1"/>
  <c r="D341" i="1" l="1"/>
  <c r="I342" i="1" s="1"/>
  <c r="G342" i="1"/>
  <c r="H342" i="1"/>
  <c r="F342" i="1"/>
  <c r="J342" i="1" s="1"/>
  <c r="K342" i="1" l="1"/>
  <c r="E342" i="1" s="1"/>
  <c r="D342" i="1" l="1"/>
  <c r="I343" i="1" s="1"/>
  <c r="G343" i="1"/>
  <c r="F343" i="1"/>
  <c r="J343" i="1" s="1"/>
  <c r="H343" i="1"/>
  <c r="K343" i="1" l="1"/>
  <c r="E343" i="1" s="1"/>
  <c r="G344" i="1" l="1"/>
  <c r="H344" i="1"/>
  <c r="D343" i="1"/>
  <c r="I344" i="1" s="1"/>
  <c r="F344" i="1" l="1"/>
  <c r="J344" i="1" s="1"/>
  <c r="K344" i="1" s="1"/>
  <c r="E344" i="1" s="1"/>
  <c r="G345" i="1" l="1"/>
  <c r="D344" i="1"/>
  <c r="I345" i="1" s="1"/>
  <c r="F345" i="1" s="1"/>
  <c r="J345" i="1" s="1"/>
  <c r="H345" i="1"/>
  <c r="K345" i="1" l="1"/>
  <c r="E345" i="1" s="1"/>
  <c r="G346" i="1" l="1"/>
  <c r="H346" i="1"/>
  <c r="D345" i="1"/>
  <c r="I346" i="1" s="1"/>
  <c r="F346" i="1" l="1"/>
  <c r="J346" i="1" s="1"/>
  <c r="K346" i="1" s="1"/>
  <c r="E346" i="1" s="1"/>
  <c r="G347" i="1" l="1"/>
  <c r="D346" i="1"/>
  <c r="I347" i="1" s="1"/>
  <c r="F347" i="1" s="1"/>
  <c r="J347" i="1" s="1"/>
  <c r="H347" i="1"/>
  <c r="K347" i="1" l="1"/>
  <c r="E347" i="1" s="1"/>
  <c r="G348" i="1" l="1"/>
  <c r="D347" i="1"/>
  <c r="I348" i="1" s="1"/>
  <c r="H348" i="1"/>
  <c r="K348" i="1" l="1"/>
  <c r="E348" i="1" s="1"/>
  <c r="F348" i="1"/>
  <c r="J348" i="1" s="1"/>
  <c r="G349" i="1" l="1"/>
  <c r="D348" i="1"/>
  <c r="I349" i="1" s="1"/>
  <c r="F349" i="1" s="1"/>
  <c r="J349" i="1" s="1"/>
  <c r="H349" i="1"/>
  <c r="K349" i="1" l="1"/>
  <c r="E349" i="1" s="1"/>
  <c r="G350" i="1" l="1"/>
  <c r="H350" i="1"/>
  <c r="D349" i="1"/>
  <c r="I350" i="1" s="1"/>
  <c r="F350" i="1" l="1"/>
  <c r="J350" i="1" s="1"/>
  <c r="K350" i="1" s="1"/>
  <c r="E350" i="1" s="1"/>
  <c r="G351" i="1" l="1"/>
  <c r="H351" i="1"/>
  <c r="D350" i="1"/>
  <c r="I351" i="1" s="1"/>
  <c r="F351" i="1" l="1"/>
  <c r="J351" i="1" s="1"/>
  <c r="K351" i="1" s="1"/>
  <c r="E351" i="1" s="1"/>
  <c r="G352" i="1" l="1"/>
  <c r="H352" i="1"/>
  <c r="D351" i="1"/>
  <c r="I352" i="1" s="1"/>
  <c r="F352" i="1" l="1"/>
  <c r="J352" i="1" s="1"/>
  <c r="K352" i="1" s="1"/>
  <c r="E352" i="1" s="1"/>
  <c r="G353" i="1" l="1"/>
  <c r="H353" i="1"/>
  <c r="D352" i="1"/>
  <c r="I353" i="1" s="1"/>
  <c r="F353" i="1" l="1"/>
  <c r="J353" i="1" s="1"/>
  <c r="K353" i="1" s="1"/>
  <c r="E353" i="1" s="1"/>
  <c r="G354" i="1" l="1"/>
  <c r="H354" i="1"/>
  <c r="D353" i="1"/>
  <c r="I354" i="1" s="1"/>
  <c r="F354" i="1" l="1"/>
  <c r="J354" i="1" s="1"/>
  <c r="K354" i="1" s="1"/>
  <c r="E354" i="1" s="1"/>
  <c r="G355" i="1" l="1"/>
  <c r="H355" i="1"/>
  <c r="D354" i="1"/>
  <c r="I355" i="1" s="1"/>
  <c r="F355" i="1" l="1"/>
  <c r="J355" i="1" s="1"/>
  <c r="K355" i="1" s="1"/>
  <c r="E355" i="1" s="1"/>
  <c r="G356" i="1" l="1"/>
  <c r="H356" i="1"/>
  <c r="D355" i="1"/>
  <c r="I356" i="1" s="1"/>
  <c r="F356" i="1" l="1"/>
  <c r="J356" i="1" s="1"/>
  <c r="K356" i="1" s="1"/>
  <c r="E356" i="1" s="1"/>
  <c r="D356" i="1" s="1"/>
</calcChain>
</file>

<file path=xl/sharedStrings.xml><?xml version="1.0" encoding="utf-8"?>
<sst xmlns="http://schemas.openxmlformats.org/spreadsheetml/2006/main" count="80" uniqueCount="46">
  <si>
    <t>WAC</t>
  </si>
  <si>
    <t>Net Coupon</t>
  </si>
  <si>
    <t>Servicing spread</t>
  </si>
  <si>
    <t>Periodic coupon (WAC)</t>
  </si>
  <si>
    <t>Periodic coupon (MBS)</t>
  </si>
  <si>
    <t>d</t>
  </si>
  <si>
    <t>Balance</t>
  </si>
  <si>
    <t>Prepay</t>
  </si>
  <si>
    <t>(mths)</t>
  </si>
  <si>
    <t xml:space="preserve">Actual </t>
  </si>
  <si>
    <t>Principal</t>
  </si>
  <si>
    <t>Scheduled</t>
  </si>
  <si>
    <t>Servicing</t>
  </si>
  <si>
    <t>Fee</t>
  </si>
  <si>
    <t>MBS</t>
  </si>
  <si>
    <t>Interest</t>
  </si>
  <si>
    <t>Prepaid</t>
  </si>
  <si>
    <t>Total</t>
  </si>
  <si>
    <t>Rate</t>
  </si>
  <si>
    <t>(%PSA)</t>
  </si>
  <si>
    <t>(%CPR)</t>
  </si>
  <si>
    <t>(%SMM)</t>
  </si>
  <si>
    <t>Rem. Term</t>
  </si>
  <si>
    <t>Monthly Payment</t>
  </si>
  <si>
    <t>NA</t>
  </si>
  <si>
    <t>Cash</t>
  </si>
  <si>
    <t>Flow</t>
  </si>
  <si>
    <t>Prepay (PSA)</t>
  </si>
  <si>
    <t>Period</t>
  </si>
  <si>
    <t>Starting Age (mos)</t>
  </si>
  <si>
    <t>Starting Rem. Term (mos)</t>
  </si>
  <si>
    <t xml:space="preserve"> </t>
  </si>
  <si>
    <t>Collateral</t>
  </si>
  <si>
    <t>Tranche A</t>
  </si>
  <si>
    <t>Tranche B</t>
  </si>
  <si>
    <t>Tranche C</t>
  </si>
  <si>
    <t>A</t>
  </si>
  <si>
    <t>B</t>
  </si>
  <si>
    <t>C</t>
  </si>
  <si>
    <t>Par = $100mm</t>
  </si>
  <si>
    <t>Coupon = 7.5%</t>
  </si>
  <si>
    <t>Par = $50mm</t>
  </si>
  <si>
    <t>Par = $30mm</t>
  </si>
  <si>
    <t>Par = $20mm</t>
  </si>
  <si>
    <t>Coupon</t>
  </si>
  <si>
    <t>Periodic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</si>
</sst>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_(&quot;$&quot;* #,##0_);_(&quot;$&quot;* \(#,##0\);_(&quot;$&quot;* &quot;-&quot;??_);_(@_)"/>
    <numFmt numFmtId="166" formatCode="0.000000000000000%"/>
    <numFmt numFmtId="167" formatCode="0.00000%"/>
    <numFmt numFmtId="172" formatCode="0.000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3">
    <xf numFmtId="0" fontId="0" fillId="0" borderId="0" xfId="0"/>
    <xf numFmtId="166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44" fontId="0" fillId="0" borderId="0" xfId="1" applyFont="1" applyFill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44" fontId="0" fillId="0" borderId="0" xfId="1" quotePrefix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164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9" fontId="0" fillId="2" borderId="0" xfId="2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164" fontId="0" fillId="0" borderId="0" xfId="2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47" applyFont="1" applyAlignment="1">
      <alignment horizontal="center"/>
    </xf>
    <xf numFmtId="44" fontId="4" fillId="0" borderId="0" xfId="1" applyFont="1" applyAlignment="1">
      <alignment horizontal="center"/>
    </xf>
    <xf numFmtId="43" fontId="0" fillId="0" borderId="0" xfId="47" applyFont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47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72" fontId="0" fillId="0" borderId="0" xfId="2" applyNumberFormat="1" applyFont="1" applyAlignment="1">
      <alignment horizontal="center"/>
    </xf>
  </cellXfs>
  <cellStyles count="48">
    <cellStyle name="Comma" xfId="47" builtinId="3"/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72"/>
  <sheetViews>
    <sheetView tabSelected="1" showRuler="0" workbookViewId="0">
      <selection activeCell="D32" sqref="D32"/>
    </sheetView>
  </sheetViews>
  <sheetFormatPr defaultColWidth="11" defaultRowHeight="15.75" x14ac:dyDescent="0.25"/>
  <cols>
    <col min="2" max="2" width="23.25" style="3" customWidth="1"/>
    <col min="3" max="4" width="21.875" style="3" customWidth="1"/>
    <col min="5" max="5" width="15.875" style="3" customWidth="1"/>
    <col min="6" max="6" width="15" style="3" customWidth="1"/>
    <col min="7" max="7" width="11.5" style="3" bestFit="1" customWidth="1"/>
    <col min="8" max="8" width="12.375" style="3" customWidth="1"/>
    <col min="9" max="9" width="12.5" style="3" customWidth="1"/>
    <col min="10" max="10" width="12.125" style="3" customWidth="1"/>
    <col min="11" max="11" width="13" style="3" customWidth="1"/>
    <col min="12" max="12" width="13.875" style="3" customWidth="1"/>
    <col min="13" max="14" width="11" style="3"/>
    <col min="15" max="15" width="21.5" style="3" bestFit="1" customWidth="1"/>
    <col min="16" max="16" width="20.375" bestFit="1" customWidth="1"/>
  </cols>
  <sheetData>
    <row r="2" spans="2:15" x14ac:dyDescent="0.25">
      <c r="B2" s="14" t="s">
        <v>0</v>
      </c>
      <c r="E2" s="15">
        <f>8%</f>
        <v>0.08</v>
      </c>
    </row>
    <row r="3" spans="2:15" x14ac:dyDescent="0.25">
      <c r="B3" s="14" t="s">
        <v>1</v>
      </c>
      <c r="E3" s="16">
        <f>7.5%</f>
        <v>7.4999999999999997E-2</v>
      </c>
    </row>
    <row r="4" spans="2:15" x14ac:dyDescent="0.25">
      <c r="B4" s="20" t="s">
        <v>2</v>
      </c>
      <c r="C4" s="21"/>
      <c r="D4" s="21"/>
      <c r="E4" s="23">
        <f>E2-E3</f>
        <v>5.0000000000000044E-3</v>
      </c>
    </row>
    <row r="5" spans="2:15" x14ac:dyDescent="0.25">
      <c r="B5" s="20" t="s">
        <v>3</v>
      </c>
      <c r="C5" s="21"/>
      <c r="D5" s="21"/>
      <c r="E5" s="22">
        <f>E2/12</f>
        <v>6.6666666666666671E-3</v>
      </c>
    </row>
    <row r="6" spans="2:15" x14ac:dyDescent="0.25">
      <c r="B6" s="20" t="s">
        <v>4</v>
      </c>
      <c r="C6" s="21"/>
      <c r="D6" s="21"/>
      <c r="E6" s="22">
        <f>E3/12</f>
        <v>6.2499999999999995E-3</v>
      </c>
    </row>
    <row r="7" spans="2:15" x14ac:dyDescent="0.25">
      <c r="B7" s="20" t="s">
        <v>5</v>
      </c>
      <c r="C7" s="21"/>
      <c r="D7" s="21"/>
      <c r="E7" s="22">
        <f>1/(1+E5)</f>
        <v>0.99337748344370869</v>
      </c>
    </row>
    <row r="8" spans="2:15" x14ac:dyDescent="0.25">
      <c r="B8" s="14" t="s">
        <v>6</v>
      </c>
      <c r="E8" s="17">
        <f>100000000</f>
        <v>100000000</v>
      </c>
    </row>
    <row r="9" spans="2:15" x14ac:dyDescent="0.25">
      <c r="B9" s="14" t="s">
        <v>30</v>
      </c>
      <c r="E9" s="18">
        <f>355</f>
        <v>355</v>
      </c>
    </row>
    <row r="10" spans="2:15" x14ac:dyDescent="0.25">
      <c r="B10" s="20" t="s">
        <v>29</v>
      </c>
      <c r="C10" s="21"/>
      <c r="D10" s="21"/>
      <c r="E10" s="21">
        <f>360-E9</f>
        <v>5</v>
      </c>
    </row>
    <row r="11" spans="2:15" x14ac:dyDescent="0.25">
      <c r="B11" s="14" t="s">
        <v>27</v>
      </c>
      <c r="E11" s="19">
        <f>150%</f>
        <v>1.5</v>
      </c>
    </row>
    <row r="14" spans="2:15" x14ac:dyDescent="0.25">
      <c r="B14" s="2" t="s">
        <v>31</v>
      </c>
      <c r="C14" s="2"/>
      <c r="D14" s="2"/>
      <c r="E14" s="2" t="s">
        <v>9</v>
      </c>
      <c r="F14" s="2" t="s">
        <v>11</v>
      </c>
      <c r="G14" s="2"/>
      <c r="H14" s="2"/>
      <c r="I14" s="2"/>
      <c r="J14" s="2"/>
      <c r="K14" s="2"/>
      <c r="L14" s="2" t="s">
        <v>17</v>
      </c>
      <c r="M14" s="2" t="s">
        <v>7</v>
      </c>
      <c r="N14" s="2" t="s">
        <v>7</v>
      </c>
      <c r="O14" s="2" t="s">
        <v>7</v>
      </c>
    </row>
    <row r="15" spans="2:15" x14ac:dyDescent="0.25">
      <c r="B15" s="2"/>
      <c r="C15" s="2" t="s">
        <v>22</v>
      </c>
      <c r="D15" s="2"/>
      <c r="E15" s="2" t="s">
        <v>10</v>
      </c>
      <c r="F15" s="2" t="s">
        <v>10</v>
      </c>
      <c r="G15" s="2" t="s">
        <v>12</v>
      </c>
      <c r="H15" s="2" t="s">
        <v>14</v>
      </c>
      <c r="I15" s="2" t="s">
        <v>11</v>
      </c>
      <c r="J15" s="2" t="s">
        <v>16</v>
      </c>
      <c r="K15" s="2" t="s">
        <v>17</v>
      </c>
      <c r="L15" s="2" t="s">
        <v>25</v>
      </c>
      <c r="M15" s="2" t="s">
        <v>18</v>
      </c>
      <c r="N15" s="2" t="s">
        <v>18</v>
      </c>
      <c r="O15" s="2" t="s">
        <v>18</v>
      </c>
    </row>
    <row r="16" spans="2:15" x14ac:dyDescent="0.25">
      <c r="B16" s="13" t="s">
        <v>28</v>
      </c>
      <c r="C16" s="13" t="s">
        <v>8</v>
      </c>
      <c r="D16" s="13" t="s">
        <v>23</v>
      </c>
      <c r="E16" s="13" t="s">
        <v>6</v>
      </c>
      <c r="F16" s="13" t="s">
        <v>6</v>
      </c>
      <c r="G16" s="13" t="s">
        <v>13</v>
      </c>
      <c r="H16" s="13" t="s">
        <v>15</v>
      </c>
      <c r="I16" s="13" t="s">
        <v>10</v>
      </c>
      <c r="J16" s="13" t="s">
        <v>10</v>
      </c>
      <c r="K16" s="13" t="s">
        <v>10</v>
      </c>
      <c r="L16" s="13" t="s">
        <v>26</v>
      </c>
      <c r="M16" s="13" t="s">
        <v>19</v>
      </c>
      <c r="N16" s="13" t="s">
        <v>20</v>
      </c>
      <c r="O16" s="13" t="s">
        <v>21</v>
      </c>
    </row>
    <row r="17" spans="2:16" x14ac:dyDescent="0.25">
      <c r="B17" s="3">
        <v>0</v>
      </c>
      <c r="C17" s="3">
        <f>$E$9-B17</f>
        <v>355</v>
      </c>
      <c r="D17" s="5">
        <f>($E$5*E17)/(1-$E$7^C17)</f>
        <v>736267.83039222995</v>
      </c>
      <c r="E17" s="6">
        <f>$E$8</f>
        <v>100000000</v>
      </c>
    </row>
    <row r="18" spans="2:16" x14ac:dyDescent="0.25">
      <c r="B18" s="3">
        <v>1</v>
      </c>
      <c r="C18" s="3">
        <f t="shared" ref="C18:C48" si="0">$E$9-B18</f>
        <v>354</v>
      </c>
      <c r="D18" s="7">
        <f t="shared" ref="D18:D48" si="1">($E$5*E18)/(1-$E$7^C18)</f>
        <v>735154.21115720447</v>
      </c>
      <c r="E18" s="8">
        <f>E17-K18</f>
        <v>99779252.18866314</v>
      </c>
      <c r="F18" s="7">
        <f>E17-I18</f>
        <v>99930398.83627443</v>
      </c>
      <c r="G18" s="8">
        <f>$E$4/12*E17</f>
        <v>41666.666666666701</v>
      </c>
      <c r="H18" s="9">
        <f>$E$6*E17</f>
        <v>625000</v>
      </c>
      <c r="I18" s="5">
        <f>D17*($E$7^(C17-1+1))</f>
        <v>69601.163725563223</v>
      </c>
      <c r="J18" s="8">
        <f>O18*F18</f>
        <v>151146.64761130276</v>
      </c>
      <c r="K18" s="8">
        <f>I18+J18</f>
        <v>220747.811336866</v>
      </c>
      <c r="L18" s="8">
        <f>H18+K18</f>
        <v>845747.811336866</v>
      </c>
      <c r="M18" s="4">
        <f>$E$11</f>
        <v>1.5</v>
      </c>
      <c r="N18" s="10">
        <f>MIN((B18+$E$10)/30*6%*$E$11,6%*$E$11)</f>
        <v>1.8000000000000002E-2</v>
      </c>
      <c r="O18" s="11">
        <f>1 - (1 - N18)^(1/12)</f>
        <v>1.5125192070827298E-3</v>
      </c>
    </row>
    <row r="19" spans="2:16" x14ac:dyDescent="0.25">
      <c r="B19" s="3">
        <v>2</v>
      </c>
      <c r="C19" s="3">
        <f t="shared" si="0"/>
        <v>353</v>
      </c>
      <c r="D19" s="7">
        <f t="shared" si="1"/>
        <v>733855.13981212839</v>
      </c>
      <c r="E19" s="8">
        <f t="shared" ref="E19:E48" si="2">E18-K19</f>
        <v>99533099.367143214</v>
      </c>
      <c r="F19" s="7">
        <f t="shared" ref="F19:F48" si="3">E18-I19</f>
        <v>99709292.99209702</v>
      </c>
      <c r="G19" s="8">
        <f t="shared" ref="G19:G48" si="4">$E$4/12*E18</f>
        <v>41574.688411943011</v>
      </c>
      <c r="H19" s="8">
        <f t="shared" ref="H19:H48" si="5">$E$6*E18</f>
        <v>623620.32617914455</v>
      </c>
      <c r="I19" s="7">
        <f t="shared" ref="I19:I48" si="6">D18*($E$7^(C18-1+1))</f>
        <v>69959.196566116938</v>
      </c>
      <c r="J19" s="8">
        <f t="shared" ref="J19:J48" si="7">O19*F19</f>
        <v>176193.62495380893</v>
      </c>
      <c r="K19" s="8">
        <f t="shared" ref="K19:K48" si="8">I19+J19</f>
        <v>246152.82151992587</v>
      </c>
      <c r="L19" s="8">
        <f t="shared" ref="L19:L82" si="9">H19+K19</f>
        <v>869773.1476990704</v>
      </c>
      <c r="M19" s="4">
        <f t="shared" ref="M19:M82" si="10">$E$11</f>
        <v>1.5</v>
      </c>
      <c r="N19" s="10">
        <f t="shared" ref="N19:N48" si="11">MIN((B19+$E$10)/30*6%*$E$11,6%*$E$11)</f>
        <v>2.1000000000000001E-2</v>
      </c>
      <c r="O19" s="11">
        <f t="shared" ref="O19:O48" si="12">1 - (1 - N19)^(1/12)</f>
        <v>1.7670732553261015E-3</v>
      </c>
    </row>
    <row r="20" spans="2:16" x14ac:dyDescent="0.25">
      <c r="B20" s="3">
        <v>3</v>
      </c>
      <c r="C20" s="3">
        <f t="shared" si="0"/>
        <v>352</v>
      </c>
      <c r="D20" s="7">
        <f t="shared" si="1"/>
        <v>732371.03275035601</v>
      </c>
      <c r="E20" s="8">
        <f t="shared" si="2"/>
        <v>99261650.29456535</v>
      </c>
      <c r="F20" s="7">
        <f t="shared" si="3"/>
        <v>99462798.223112047</v>
      </c>
      <c r="G20" s="8">
        <f t="shared" si="4"/>
        <v>41472.124736309706</v>
      </c>
      <c r="H20" s="8">
        <f t="shared" si="5"/>
        <v>622081.87104464509</v>
      </c>
      <c r="I20" s="7">
        <f t="shared" si="6"/>
        <v>70301.144031173535</v>
      </c>
      <c r="J20" s="8">
        <f t="shared" si="7"/>
        <v>201147.92854668494</v>
      </c>
      <c r="K20" s="8">
        <f t="shared" si="8"/>
        <v>271449.07257785846</v>
      </c>
      <c r="L20" s="8">
        <f t="shared" si="9"/>
        <v>893530.94362250355</v>
      </c>
      <c r="M20" s="4">
        <f t="shared" si="10"/>
        <v>1.5</v>
      </c>
      <c r="N20" s="10">
        <f t="shared" si="11"/>
        <v>2.4E-2</v>
      </c>
      <c r="O20" s="11">
        <f t="shared" si="12"/>
        <v>2.0223433498771648E-3</v>
      </c>
    </row>
    <row r="21" spans="2:16" x14ac:dyDescent="0.25">
      <c r="B21" s="3">
        <v>4</v>
      </c>
      <c r="C21" s="3">
        <f t="shared" si="0"/>
        <v>351</v>
      </c>
      <c r="D21" s="7">
        <f t="shared" si="1"/>
        <v>730702.44713439874</v>
      </c>
      <c r="E21" s="8">
        <f t="shared" si="2"/>
        <v>98965033.343804732</v>
      </c>
      <c r="F21" s="7">
        <f t="shared" si="3"/>
        <v>99191023.597112089</v>
      </c>
      <c r="G21" s="8">
        <f t="shared" si="4"/>
        <v>41359.020956068933</v>
      </c>
      <c r="H21" s="8">
        <f t="shared" si="5"/>
        <v>620385.31434103334</v>
      </c>
      <c r="I21" s="7">
        <f t="shared" si="6"/>
        <v>70626.697453253655</v>
      </c>
      <c r="J21" s="8">
        <f t="shared" si="7"/>
        <v>225990.25330736136</v>
      </c>
      <c r="K21" s="8">
        <f t="shared" si="8"/>
        <v>296616.950760615</v>
      </c>
      <c r="L21" s="8">
        <f t="shared" si="9"/>
        <v>917002.2651016484</v>
      </c>
      <c r="M21" s="4">
        <f t="shared" si="10"/>
        <v>1.5</v>
      </c>
      <c r="N21" s="10">
        <f t="shared" si="11"/>
        <v>2.6999999999999996E-2</v>
      </c>
      <c r="O21" s="11">
        <f t="shared" si="12"/>
        <v>2.2783337152086913E-3</v>
      </c>
    </row>
    <row r="22" spans="2:16" x14ac:dyDescent="0.25">
      <c r="B22" s="3">
        <v>5</v>
      </c>
      <c r="C22" s="3">
        <f t="shared" si="0"/>
        <v>350</v>
      </c>
      <c r="D22" s="7">
        <f t="shared" si="1"/>
        <v>728850.08090866345</v>
      </c>
      <c r="E22" s="8">
        <f t="shared" si="2"/>
        <v>98643396.440120935</v>
      </c>
      <c r="F22" s="7">
        <f t="shared" si="3"/>
        <v>98894097.785629034</v>
      </c>
      <c r="G22" s="8">
        <f t="shared" si="4"/>
        <v>41235.43055991867</v>
      </c>
      <c r="H22" s="8">
        <f t="shared" si="5"/>
        <v>618531.4583987795</v>
      </c>
      <c r="I22" s="7">
        <f t="shared" si="6"/>
        <v>70935.558175700426</v>
      </c>
      <c r="J22" s="8">
        <f t="shared" si="7"/>
        <v>250701.34550808874</v>
      </c>
      <c r="K22" s="8">
        <f t="shared" si="8"/>
        <v>321636.90368378919</v>
      </c>
      <c r="L22" s="8">
        <f t="shared" si="9"/>
        <v>940168.3620825687</v>
      </c>
      <c r="M22" s="4">
        <f t="shared" si="10"/>
        <v>1.5</v>
      </c>
      <c r="N22" s="10">
        <f t="shared" si="11"/>
        <v>2.9999999999999995E-2</v>
      </c>
      <c r="O22" s="11">
        <f t="shared" si="12"/>
        <v>2.5350486138366879E-3</v>
      </c>
    </row>
    <row r="23" spans="2:16" x14ac:dyDescent="0.25">
      <c r="B23" s="3">
        <v>6</v>
      </c>
      <c r="C23" s="3">
        <f t="shared" si="0"/>
        <v>349</v>
      </c>
      <c r="D23" s="7">
        <f t="shared" si="1"/>
        <v>726814.77263577399</v>
      </c>
      <c r="E23" s="8">
        <f t="shared" si="2"/>
        <v>98296906.974602133</v>
      </c>
      <c r="F23" s="7">
        <f t="shared" si="3"/>
        <v>98572169.002146408</v>
      </c>
      <c r="G23" s="8">
        <f t="shared" si="4"/>
        <v>41101.41518338376</v>
      </c>
      <c r="H23" s="8">
        <f t="shared" si="5"/>
        <v>616521.22775075585</v>
      </c>
      <c r="I23" s="7">
        <f t="shared" si="6"/>
        <v>71227.437974523855</v>
      </c>
      <c r="J23" s="8">
        <f t="shared" si="7"/>
        <v>275262.02754427504</v>
      </c>
      <c r="K23" s="8">
        <f t="shared" si="8"/>
        <v>346489.46551879891</v>
      </c>
      <c r="L23" s="8">
        <f t="shared" si="9"/>
        <v>963010.69326955476</v>
      </c>
      <c r="M23" s="4">
        <f t="shared" si="10"/>
        <v>1.5</v>
      </c>
      <c r="N23" s="10">
        <f t="shared" si="11"/>
        <v>3.3000000000000002E-2</v>
      </c>
      <c r="O23" s="11">
        <f t="shared" si="12"/>
        <v>2.7924923467828044E-3</v>
      </c>
      <c r="P23" s="1"/>
    </row>
    <row r="24" spans="2:16" x14ac:dyDescent="0.25">
      <c r="B24" s="3">
        <v>7</v>
      </c>
      <c r="C24" s="3">
        <f t="shared" si="0"/>
        <v>348</v>
      </c>
      <c r="D24" s="7">
        <f t="shared" si="1"/>
        <v>724597.50115551031</v>
      </c>
      <c r="E24" s="8">
        <f t="shared" si="2"/>
        <v>97925751.692389935</v>
      </c>
      <c r="F24" s="7">
        <f t="shared" si="3"/>
        <v>98225404.915130377</v>
      </c>
      <c r="G24" s="8">
        <f t="shared" si="4"/>
        <v>40957.044572750921</v>
      </c>
      <c r="H24" s="8">
        <f t="shared" si="5"/>
        <v>614355.66859126324</v>
      </c>
      <c r="I24" s="7">
        <f t="shared" si="6"/>
        <v>71502.059471759712</v>
      </c>
      <c r="J24" s="8">
        <f t="shared" si="7"/>
        <v>299653.22274044296</v>
      </c>
      <c r="K24" s="8">
        <f t="shared" si="8"/>
        <v>371155.28221220267</v>
      </c>
      <c r="L24" s="8">
        <f t="shared" si="9"/>
        <v>985510.95080346591</v>
      </c>
      <c r="M24" s="4">
        <f t="shared" si="10"/>
        <v>1.5</v>
      </c>
      <c r="N24" s="10">
        <f t="shared" si="11"/>
        <v>3.6000000000000004E-2</v>
      </c>
      <c r="O24" s="11">
        <f t="shared" si="12"/>
        <v>3.0506692540422931E-3</v>
      </c>
    </row>
    <row r="25" spans="2:16" x14ac:dyDescent="0.25">
      <c r="B25" s="3">
        <v>8</v>
      </c>
      <c r="C25" s="3">
        <f t="shared" si="0"/>
        <v>347</v>
      </c>
      <c r="D25" s="7">
        <f t="shared" si="1"/>
        <v>722199.38506571273</v>
      </c>
      <c r="E25" s="8">
        <f t="shared" si="2"/>
        <v>97530136.555700108</v>
      </c>
      <c r="F25" s="7">
        <f t="shared" si="3"/>
        <v>97853992.535850361</v>
      </c>
      <c r="G25" s="8">
        <f t="shared" si="4"/>
        <v>40802.396538495843</v>
      </c>
      <c r="H25" s="8">
        <f t="shared" si="5"/>
        <v>612035.948077437</v>
      </c>
      <c r="I25" s="7">
        <f t="shared" si="6"/>
        <v>71759.15653957735</v>
      </c>
      <c r="J25" s="8">
        <f t="shared" si="7"/>
        <v>323855.98015024926</v>
      </c>
      <c r="K25" s="8">
        <f t="shared" si="8"/>
        <v>395615.13668982661</v>
      </c>
      <c r="L25" s="8">
        <f t="shared" si="9"/>
        <v>1007651.0847672636</v>
      </c>
      <c r="M25" s="4">
        <f t="shared" si="10"/>
        <v>1.5</v>
      </c>
      <c r="N25" s="10">
        <f t="shared" si="11"/>
        <v>3.9E-2</v>
      </c>
      <c r="O25" s="11">
        <f t="shared" si="12"/>
        <v>3.3095837150599605E-3</v>
      </c>
    </row>
    <row r="26" spans="2:16" x14ac:dyDescent="0.25">
      <c r="B26" s="3">
        <v>9</v>
      </c>
      <c r="C26" s="3">
        <f t="shared" si="0"/>
        <v>346</v>
      </c>
      <c r="D26" s="7">
        <f t="shared" si="1"/>
        <v>719621.68202479917</v>
      </c>
      <c r="E26" s="8">
        <f t="shared" si="2"/>
        <v>97110286.581699446</v>
      </c>
      <c r="F26" s="7">
        <f t="shared" si="3"/>
        <v>97458138.081005722</v>
      </c>
      <c r="G26" s="8">
        <f t="shared" si="4"/>
        <v>40637.556898208415</v>
      </c>
      <c r="H26" s="8">
        <f t="shared" si="5"/>
        <v>609563.35347312561</v>
      </c>
      <c r="I26" s="7">
        <f t="shared" si="6"/>
        <v>71998.474694378747</v>
      </c>
      <c r="J26" s="8">
        <f t="shared" si="7"/>
        <v>347851.49930628127</v>
      </c>
      <c r="K26" s="8">
        <f t="shared" si="8"/>
        <v>419849.97400066</v>
      </c>
      <c r="L26" s="8">
        <f t="shared" si="9"/>
        <v>1029413.3274737856</v>
      </c>
      <c r="M26" s="4">
        <f t="shared" si="10"/>
        <v>1.5</v>
      </c>
      <c r="N26" s="10">
        <f t="shared" si="11"/>
        <v>4.2000000000000003E-2</v>
      </c>
      <c r="O26" s="11">
        <f t="shared" si="12"/>
        <v>3.5692401492131154E-3</v>
      </c>
    </row>
    <row r="27" spans="2:16" x14ac:dyDescent="0.25">
      <c r="B27" s="3">
        <v>10</v>
      </c>
      <c r="C27" s="3">
        <f t="shared" si="0"/>
        <v>345</v>
      </c>
      <c r="D27" s="7">
        <f t="shared" si="1"/>
        <v>716865.78787585348</v>
      </c>
      <c r="E27" s="8">
        <f t="shared" si="2"/>
        <v>96666445.655344099</v>
      </c>
      <c r="F27" s="7">
        <f t="shared" si="3"/>
        <v>97038066.810219303</v>
      </c>
      <c r="G27" s="8">
        <f t="shared" si="4"/>
        <v>40462.619409041472</v>
      </c>
      <c r="H27" s="8">
        <f t="shared" si="5"/>
        <v>606939.29113562149</v>
      </c>
      <c r="I27" s="7">
        <f t="shared" si="6"/>
        <v>72219.771480136274</v>
      </c>
      <c r="J27" s="8">
        <f t="shared" si="7"/>
        <v>371621.1548752095</v>
      </c>
      <c r="K27" s="8">
        <f t="shared" si="8"/>
        <v>443840.92635534576</v>
      </c>
      <c r="L27" s="8">
        <f t="shared" si="9"/>
        <v>1050780.2174909674</v>
      </c>
      <c r="M27" s="4">
        <f t="shared" si="10"/>
        <v>1.5</v>
      </c>
      <c r="N27" s="10">
        <f t="shared" si="11"/>
        <v>4.4999999999999998E-2</v>
      </c>
      <c r="O27" s="11">
        <f t="shared" si="12"/>
        <v>3.8296430163020645E-3</v>
      </c>
    </row>
    <row r="28" spans="2:16" x14ac:dyDescent="0.25">
      <c r="B28" s="3">
        <v>11</v>
      </c>
      <c r="C28" s="3">
        <f t="shared" si="0"/>
        <v>344</v>
      </c>
      <c r="D28" s="7">
        <f t="shared" si="1"/>
        <v>713933.23559255991</v>
      </c>
      <c r="E28" s="8">
        <f t="shared" si="2"/>
        <v>96198876.317330211</v>
      </c>
      <c r="F28" s="7">
        <f t="shared" si="3"/>
        <v>96594022.838503867</v>
      </c>
      <c r="G28" s="8">
        <f t="shared" si="4"/>
        <v>40277.685689726743</v>
      </c>
      <c r="H28" s="8">
        <f t="shared" si="5"/>
        <v>604165.28534590057</v>
      </c>
      <c r="I28" s="7">
        <f t="shared" si="6"/>
        <v>72422.816840226093</v>
      </c>
      <c r="J28" s="8">
        <f t="shared" si="7"/>
        <v>395146.52117366099</v>
      </c>
      <c r="K28" s="8">
        <f t="shared" si="8"/>
        <v>467569.33801388706</v>
      </c>
      <c r="L28" s="8">
        <f t="shared" si="9"/>
        <v>1071734.6233597877</v>
      </c>
      <c r="M28" s="4">
        <f t="shared" si="10"/>
        <v>1.5</v>
      </c>
      <c r="N28" s="10">
        <f t="shared" si="11"/>
        <v>4.8000000000000001E-2</v>
      </c>
      <c r="O28" s="11">
        <f t="shared" si="12"/>
        <v>4.0907968170484921E-3</v>
      </c>
    </row>
    <row r="29" spans="2:16" x14ac:dyDescent="0.25">
      <c r="B29" s="3">
        <v>12</v>
      </c>
      <c r="C29" s="3">
        <f t="shared" si="0"/>
        <v>343</v>
      </c>
      <c r="D29" s="7">
        <f t="shared" si="1"/>
        <v>710825.69404757209</v>
      </c>
      <c r="E29" s="8">
        <f t="shared" si="2"/>
        <v>95707859.527353227</v>
      </c>
      <c r="F29" s="7">
        <f t="shared" si="3"/>
        <v>96126268.923853189</v>
      </c>
      <c r="G29" s="8">
        <f t="shared" si="4"/>
        <v>40082.865132220955</v>
      </c>
      <c r="H29" s="8">
        <f t="shared" si="5"/>
        <v>601242.9769833138</v>
      </c>
      <c r="I29" s="7">
        <f t="shared" si="6"/>
        <v>72607.393477025151</v>
      </c>
      <c r="J29" s="8">
        <f t="shared" si="7"/>
        <v>418409.39649995754</v>
      </c>
      <c r="K29" s="8">
        <f t="shared" si="8"/>
        <v>491016.78997698269</v>
      </c>
      <c r="L29" s="8">
        <f t="shared" si="9"/>
        <v>1092259.7669602965</v>
      </c>
      <c r="M29" s="4">
        <f t="shared" si="10"/>
        <v>1.5</v>
      </c>
      <c r="N29" s="10">
        <f t="shared" si="11"/>
        <v>5.099999999999999E-2</v>
      </c>
      <c r="O29" s="11">
        <f t="shared" si="12"/>
        <v>4.3527060936007222E-3</v>
      </c>
    </row>
    <row r="30" spans="2:16" x14ac:dyDescent="0.25">
      <c r="B30" s="3">
        <v>13</v>
      </c>
      <c r="C30" s="3">
        <f t="shared" si="0"/>
        <v>342</v>
      </c>
      <c r="D30" s="7">
        <f t="shared" si="1"/>
        <v>707544.96660421824</v>
      </c>
      <c r="E30" s="8">
        <f t="shared" si="2"/>
        <v>95193694.402917534</v>
      </c>
      <c r="F30" s="7">
        <f t="shared" si="3"/>
        <v>95635086.230154678</v>
      </c>
      <c r="G30" s="8">
        <f t="shared" si="4"/>
        <v>39878.274803063876</v>
      </c>
      <c r="H30" s="8">
        <f t="shared" si="5"/>
        <v>598174.1220459576</v>
      </c>
      <c r="I30" s="7">
        <f t="shared" si="6"/>
        <v>72773.297198550543</v>
      </c>
      <c r="J30" s="8">
        <f t="shared" si="7"/>
        <v>441391.82723714341</v>
      </c>
      <c r="K30" s="8">
        <f t="shared" si="8"/>
        <v>514165.12443569396</v>
      </c>
      <c r="L30" s="8">
        <f t="shared" si="9"/>
        <v>1112339.2464816514</v>
      </c>
      <c r="M30" s="4">
        <f t="shared" si="10"/>
        <v>1.5</v>
      </c>
      <c r="N30" s="10">
        <f t="shared" si="11"/>
        <v>5.3999999999999992E-2</v>
      </c>
      <c r="O30" s="11">
        <f t="shared" si="12"/>
        <v>4.6153754300476413E-3</v>
      </c>
    </row>
    <row r="31" spans="2:16" x14ac:dyDescent="0.25">
      <c r="B31" s="3">
        <v>14</v>
      </c>
      <c r="C31" s="3">
        <f t="shared" si="0"/>
        <v>341</v>
      </c>
      <c r="D31" s="7">
        <f t="shared" si="1"/>
        <v>704092.98953276919</v>
      </c>
      <c r="E31" s="8">
        <f t="shared" si="2"/>
        <v>94656697.933983505</v>
      </c>
      <c r="F31" s="7">
        <f t="shared" si="3"/>
        <v>95120774.065666094</v>
      </c>
      <c r="G31" s="8">
        <f t="shared" si="4"/>
        <v>39664.039334549008</v>
      </c>
      <c r="H31" s="8">
        <f t="shared" si="5"/>
        <v>594960.59001823456</v>
      </c>
      <c r="I31" s="7">
        <f t="shared" si="6"/>
        <v>72920.337251434757</v>
      </c>
      <c r="J31" s="8">
        <f t="shared" si="7"/>
        <v>464076.13168260007</v>
      </c>
      <c r="K31" s="8">
        <f t="shared" si="8"/>
        <v>536996.46893403481</v>
      </c>
      <c r="L31" s="8">
        <f t="shared" si="9"/>
        <v>1131957.0589522694</v>
      </c>
      <c r="M31" s="4">
        <f t="shared" si="10"/>
        <v>1.5</v>
      </c>
      <c r="N31" s="10">
        <f t="shared" si="11"/>
        <v>5.6999999999999995E-2</v>
      </c>
      <c r="O31" s="11">
        <f t="shared" si="12"/>
        <v>4.8788094529406134E-3</v>
      </c>
    </row>
    <row r="32" spans="2:16" x14ac:dyDescent="0.25">
      <c r="B32" s="3">
        <v>15</v>
      </c>
      <c r="C32" s="3">
        <f t="shared" si="0"/>
        <v>340</v>
      </c>
      <c r="D32" s="7">
        <f t="shared" si="1"/>
        <v>700471.83025280561</v>
      </c>
      <c r="E32" s="8">
        <f t="shared" si="2"/>
        <v>94097204.673784167</v>
      </c>
      <c r="F32" s="7">
        <f t="shared" si="3"/>
        <v>94583649.597343966</v>
      </c>
      <c r="G32" s="8">
        <f t="shared" si="4"/>
        <v>39440.290805826495</v>
      </c>
      <c r="H32" s="8">
        <f t="shared" si="5"/>
        <v>591604.3620873969</v>
      </c>
      <c r="I32" s="7">
        <f t="shared" si="6"/>
        <v>73048.336639545785</v>
      </c>
      <c r="J32" s="8">
        <f t="shared" si="7"/>
        <v>486444.92355978524</v>
      </c>
      <c r="K32" s="8">
        <f t="shared" si="8"/>
        <v>559493.26019933098</v>
      </c>
      <c r="L32" s="8">
        <f t="shared" si="9"/>
        <v>1151097.6222867279</v>
      </c>
      <c r="M32" s="4">
        <f t="shared" si="10"/>
        <v>1.5</v>
      </c>
      <c r="N32" s="10">
        <f t="shared" si="11"/>
        <v>5.9999999999999991E-2</v>
      </c>
      <c r="O32" s="11">
        <f t="shared" si="12"/>
        <v>5.1430128318229462E-3</v>
      </c>
    </row>
    <row r="33" spans="2:15" x14ac:dyDescent="0.25">
      <c r="B33" s="3">
        <v>16</v>
      </c>
      <c r="C33" s="3">
        <f t="shared" si="0"/>
        <v>339</v>
      </c>
      <c r="D33" s="7">
        <f t="shared" si="1"/>
        <v>696683.68540354678</v>
      </c>
      <c r="E33" s="8">
        <f t="shared" si="2"/>
        <v>93515566.406188458</v>
      </c>
      <c r="F33" s="7">
        <f t="shared" si="3"/>
        <v>94024047.541356593</v>
      </c>
      <c r="G33" s="8">
        <f t="shared" si="4"/>
        <v>39207.168614076771</v>
      </c>
      <c r="H33" s="8">
        <f t="shared" si="5"/>
        <v>588107.52921115095</v>
      </c>
      <c r="I33" s="7">
        <f t="shared" si="6"/>
        <v>73157.132427577701</v>
      </c>
      <c r="J33" s="8">
        <f t="shared" si="7"/>
        <v>508481.13516813359</v>
      </c>
      <c r="K33" s="8">
        <f t="shared" si="8"/>
        <v>581638.26759571128</v>
      </c>
      <c r="L33" s="8">
        <f t="shared" si="9"/>
        <v>1169745.7968068621</v>
      </c>
      <c r="M33" s="4">
        <f t="shared" si="10"/>
        <v>1.5</v>
      </c>
      <c r="N33" s="10">
        <f t="shared" si="11"/>
        <v>6.3E-2</v>
      </c>
      <c r="O33" s="11">
        <f t="shared" si="12"/>
        <v>5.4079902797683488E-3</v>
      </c>
    </row>
    <row r="34" spans="2:15" x14ac:dyDescent="0.25">
      <c r="B34" s="3">
        <v>17</v>
      </c>
      <c r="C34" s="3">
        <f t="shared" si="0"/>
        <v>338</v>
      </c>
      <c r="D34" s="7">
        <f t="shared" si="1"/>
        <v>692730.87874431105</v>
      </c>
      <c r="E34" s="8">
        <f t="shared" si="2"/>
        <v>92912151.790032148</v>
      </c>
      <c r="F34" s="7">
        <f t="shared" si="3"/>
        <v>93442319.8301595</v>
      </c>
      <c r="G34" s="8">
        <f t="shared" si="4"/>
        <v>38964.819335911889</v>
      </c>
      <c r="H34" s="8">
        <f t="shared" si="5"/>
        <v>584472.29003867786</v>
      </c>
      <c r="I34" s="7">
        <f t="shared" si="6"/>
        <v>73246.576028957046</v>
      </c>
      <c r="J34" s="8">
        <f t="shared" si="7"/>
        <v>530168.04012735828</v>
      </c>
      <c r="K34" s="8">
        <f t="shared" si="8"/>
        <v>603414.61615631531</v>
      </c>
      <c r="L34" s="8">
        <f t="shared" si="9"/>
        <v>1187886.9061949933</v>
      </c>
      <c r="M34" s="4">
        <f t="shared" si="10"/>
        <v>1.5</v>
      </c>
      <c r="N34" s="10">
        <f t="shared" si="11"/>
        <v>6.6000000000000003E-2</v>
      </c>
      <c r="O34" s="11">
        <f t="shared" si="12"/>
        <v>5.6737465539274945E-3</v>
      </c>
    </row>
    <row r="35" spans="2:15" x14ac:dyDescent="0.25">
      <c r="B35" s="3">
        <v>18</v>
      </c>
      <c r="C35" s="3">
        <f t="shared" si="0"/>
        <v>337</v>
      </c>
      <c r="D35" s="7">
        <f t="shared" si="1"/>
        <v>688615.85888759547</v>
      </c>
      <c r="E35" s="8">
        <f t="shared" si="2"/>
        <v>92287345.980881646</v>
      </c>
      <c r="F35" s="7">
        <f t="shared" si="3"/>
        <v>92838835.256554723</v>
      </c>
      <c r="G35" s="8">
        <f t="shared" si="4"/>
        <v>38713.396579180095</v>
      </c>
      <c r="H35" s="8">
        <f t="shared" si="5"/>
        <v>580700.9486877009</v>
      </c>
      <c r="I35" s="7">
        <f t="shared" si="6"/>
        <v>73316.533477429955</v>
      </c>
      <c r="J35" s="8">
        <f t="shared" si="7"/>
        <v>551489.27567307616</v>
      </c>
      <c r="K35" s="8">
        <f t="shared" si="8"/>
        <v>624805.80915050616</v>
      </c>
      <c r="L35" s="8">
        <f t="shared" si="9"/>
        <v>1205506.7578382071</v>
      </c>
      <c r="M35" s="4">
        <f t="shared" si="10"/>
        <v>1.5</v>
      </c>
      <c r="N35" s="10">
        <f t="shared" si="11"/>
        <v>6.9000000000000006E-2</v>
      </c>
      <c r="O35" s="11">
        <f t="shared" si="12"/>
        <v>5.9402864560834656E-3</v>
      </c>
    </row>
    <row r="36" spans="2:15" x14ac:dyDescent="0.25">
      <c r="B36" s="3">
        <v>19</v>
      </c>
      <c r="C36" s="3">
        <f t="shared" si="0"/>
        <v>336</v>
      </c>
      <c r="D36" s="7">
        <f t="shared" si="1"/>
        <v>684341.19686757703</v>
      </c>
      <c r="E36" s="8">
        <f t="shared" si="2"/>
        <v>91641550.230738714</v>
      </c>
      <c r="F36" s="7">
        <f t="shared" si="3"/>
        <v>92213979.095199928</v>
      </c>
      <c r="G36" s="8">
        <f t="shared" si="4"/>
        <v>38453.060825367385</v>
      </c>
      <c r="H36" s="8">
        <f t="shared" si="5"/>
        <v>576795.91238051024</v>
      </c>
      <c r="I36" s="7">
        <f t="shared" si="6"/>
        <v>73366.885681717686</v>
      </c>
      <c r="J36" s="8">
        <f t="shared" si="7"/>
        <v>572428.86446120986</v>
      </c>
      <c r="K36" s="8">
        <f t="shared" si="8"/>
        <v>645795.75014292751</v>
      </c>
      <c r="L36" s="8">
        <f t="shared" si="9"/>
        <v>1222591.6625234378</v>
      </c>
      <c r="M36" s="4">
        <f t="shared" si="10"/>
        <v>1.5</v>
      </c>
      <c r="N36" s="10">
        <f t="shared" si="11"/>
        <v>7.2000000000000008E-2</v>
      </c>
      <c r="O36" s="11">
        <f t="shared" si="12"/>
        <v>6.2076148332157466E-3</v>
      </c>
    </row>
    <row r="37" spans="2:15" x14ac:dyDescent="0.25">
      <c r="B37" s="3">
        <v>20</v>
      </c>
      <c r="C37" s="3">
        <f t="shared" si="0"/>
        <v>335</v>
      </c>
      <c r="D37" s="7">
        <f t="shared" si="1"/>
        <v>679909.58354713919</v>
      </c>
      <c r="E37" s="8">
        <f t="shared" si="2"/>
        <v>90975181.466236621</v>
      </c>
      <c r="F37" s="7">
        <f t="shared" si="3"/>
        <v>91568152.702076063</v>
      </c>
      <c r="G37" s="8">
        <f t="shared" si="4"/>
        <v>38183.979262807828</v>
      </c>
      <c r="H37" s="8">
        <f t="shared" si="5"/>
        <v>572759.68894211692</v>
      </c>
      <c r="I37" s="7">
        <f t="shared" si="6"/>
        <v>73397.528662652272</v>
      </c>
      <c r="J37" s="8">
        <f t="shared" si="7"/>
        <v>592971.23583943734</v>
      </c>
      <c r="K37" s="8">
        <f t="shared" si="8"/>
        <v>666368.76450208959</v>
      </c>
      <c r="L37" s="8">
        <f t="shared" si="9"/>
        <v>1239128.4534442066</v>
      </c>
      <c r="M37" s="4">
        <f t="shared" si="10"/>
        <v>1.5</v>
      </c>
      <c r="N37" s="10">
        <f t="shared" si="11"/>
        <v>7.5000000000000011E-2</v>
      </c>
      <c r="O37" s="11">
        <f t="shared" si="12"/>
        <v>6.4757365780733211E-3</v>
      </c>
    </row>
    <row r="38" spans="2:15" x14ac:dyDescent="0.25">
      <c r="B38" s="3">
        <v>21</v>
      </c>
      <c r="C38" s="3">
        <f t="shared" si="0"/>
        <v>334</v>
      </c>
      <c r="D38" s="7">
        <f t="shared" si="1"/>
        <v>675323.82686683256</v>
      </c>
      <c r="E38" s="8">
        <f t="shared" si="2"/>
        <v>90288671.845919624</v>
      </c>
      <c r="F38" s="7">
        <f t="shared" si="3"/>
        <v>90901773.092464387</v>
      </c>
      <c r="G38" s="8">
        <f t="shared" si="4"/>
        <v>37906.325610931955</v>
      </c>
      <c r="H38" s="8">
        <f t="shared" si="5"/>
        <v>568594.88416397886</v>
      </c>
      <c r="I38" s="7">
        <f t="shared" si="6"/>
        <v>73408.373772228355</v>
      </c>
      <c r="J38" s="8">
        <f t="shared" si="7"/>
        <v>613101.24654476508</v>
      </c>
      <c r="K38" s="8">
        <f t="shared" si="8"/>
        <v>686509.62031699345</v>
      </c>
      <c r="L38" s="8">
        <f t="shared" si="9"/>
        <v>1255104.5044809724</v>
      </c>
      <c r="M38" s="4">
        <f t="shared" si="10"/>
        <v>1.5</v>
      </c>
      <c r="N38" s="10">
        <f t="shared" si="11"/>
        <v>7.8E-2</v>
      </c>
      <c r="O38" s="11">
        <f t="shared" si="12"/>
        <v>6.7446566297570953E-3</v>
      </c>
    </row>
    <row r="39" spans="2:15" x14ac:dyDescent="0.25">
      <c r="B39" s="3">
        <v>22</v>
      </c>
      <c r="C39" s="3">
        <f t="shared" si="0"/>
        <v>333</v>
      </c>
      <c r="D39" s="7">
        <f t="shared" si="1"/>
        <v>670586.84893948247</v>
      </c>
      <c r="E39" s="8">
        <f t="shared" si="2"/>
        <v>89582468.297238395</v>
      </c>
      <c r="F39" s="7">
        <f t="shared" si="3"/>
        <v>90215272.498025596</v>
      </c>
      <c r="G39" s="8">
        <f t="shared" si="4"/>
        <v>37620.279935799874</v>
      </c>
      <c r="H39" s="8">
        <f t="shared" si="5"/>
        <v>564304.19903699763</v>
      </c>
      <c r="I39" s="7">
        <f t="shared" si="6"/>
        <v>73399.347894035032</v>
      </c>
      <c r="J39" s="8">
        <f t="shared" si="7"/>
        <v>632804.20078718895</v>
      </c>
      <c r="K39" s="8">
        <f t="shared" si="8"/>
        <v>706203.548681224</v>
      </c>
      <c r="L39" s="8">
        <f t="shared" si="9"/>
        <v>1270507.7477182215</v>
      </c>
      <c r="M39" s="4">
        <f t="shared" si="10"/>
        <v>1.5</v>
      </c>
      <c r="N39" s="10">
        <f t="shared" si="11"/>
        <v>8.1000000000000003E-2</v>
      </c>
      <c r="O39" s="11">
        <f t="shared" si="12"/>
        <v>7.0143799743113133E-3</v>
      </c>
    </row>
    <row r="40" spans="2:15" x14ac:dyDescent="0.25">
      <c r="B40" s="3">
        <v>23</v>
      </c>
      <c r="C40" s="3">
        <f t="shared" si="0"/>
        <v>332</v>
      </c>
      <c r="D40" s="7">
        <f t="shared" si="1"/>
        <v>665701.68299444148</v>
      </c>
      <c r="E40" s="8">
        <f t="shared" si="2"/>
        <v>88857032.033933267</v>
      </c>
      <c r="F40" s="7">
        <f t="shared" si="3"/>
        <v>89509097.903613836</v>
      </c>
      <c r="G40" s="8">
        <f t="shared" si="4"/>
        <v>37326.028457182692</v>
      </c>
      <c r="H40" s="8">
        <f t="shared" si="5"/>
        <v>559890.42685773992</v>
      </c>
      <c r="I40" s="7">
        <f t="shared" si="6"/>
        <v>73370.39362455986</v>
      </c>
      <c r="J40" s="8">
        <f t="shared" si="7"/>
        <v>652065.86968056881</v>
      </c>
      <c r="K40" s="8">
        <f t="shared" si="8"/>
        <v>725436.26330512867</v>
      </c>
      <c r="L40" s="8">
        <f t="shared" si="9"/>
        <v>1285326.6901628687</v>
      </c>
      <c r="M40" s="4">
        <f t="shared" si="10"/>
        <v>1.5</v>
      </c>
      <c r="N40" s="10">
        <f t="shared" si="11"/>
        <v>8.4000000000000005E-2</v>
      </c>
      <c r="O40" s="11">
        <f t="shared" si="12"/>
        <v>7.2849116453249652E-3</v>
      </c>
    </row>
    <row r="41" spans="2:15" x14ac:dyDescent="0.25">
      <c r="B41" s="3">
        <v>24</v>
      </c>
      <c r="C41" s="3">
        <f t="shared" si="0"/>
        <v>331</v>
      </c>
      <c r="D41" s="7">
        <f t="shared" si="1"/>
        <v>660671.4701757757</v>
      </c>
      <c r="E41" s="8">
        <f t="shared" si="2"/>
        <v>88112838.054515585</v>
      </c>
      <c r="F41" s="7">
        <f t="shared" si="3"/>
        <v>88783710.56449838</v>
      </c>
      <c r="G41" s="8">
        <f t="shared" si="4"/>
        <v>37023.763347472224</v>
      </c>
      <c r="H41" s="8">
        <f t="shared" si="5"/>
        <v>555356.45021208283</v>
      </c>
      <c r="I41" s="7">
        <f t="shared" si="6"/>
        <v>73321.469434886356</v>
      </c>
      <c r="J41" s="8">
        <f t="shared" si="7"/>
        <v>670872.50998279813</v>
      </c>
      <c r="K41" s="8">
        <f t="shared" si="8"/>
        <v>744193.97941768449</v>
      </c>
      <c r="L41" s="8">
        <f t="shared" si="9"/>
        <v>1299550.4296297673</v>
      </c>
      <c r="M41" s="4">
        <f t="shared" si="10"/>
        <v>1.5</v>
      </c>
      <c r="N41" s="10">
        <f t="shared" si="11"/>
        <v>8.6999999999999994E-2</v>
      </c>
      <c r="O41" s="11">
        <f t="shared" si="12"/>
        <v>7.5562567245421874E-3</v>
      </c>
    </row>
    <row r="42" spans="2:15" x14ac:dyDescent="0.25">
      <c r="B42" s="3">
        <v>25</v>
      </c>
      <c r="C42" s="3">
        <f t="shared" si="0"/>
        <v>330</v>
      </c>
      <c r="D42" s="7">
        <f t="shared" si="1"/>
        <v>655499.45619895344</v>
      </c>
      <c r="E42" s="8">
        <f t="shared" si="2"/>
        <v>87350374.622594431</v>
      </c>
      <c r="F42" s="7">
        <f t="shared" si="3"/>
        <v>88039585.504703254</v>
      </c>
      <c r="G42" s="8">
        <f t="shared" si="4"/>
        <v>36713.682522714858</v>
      </c>
      <c r="H42" s="8">
        <f t="shared" si="5"/>
        <v>550705.23784072232</v>
      </c>
      <c r="I42" s="7">
        <f t="shared" si="6"/>
        <v>73252.549812338446</v>
      </c>
      <c r="J42" s="8">
        <f t="shared" si="7"/>
        <v>689210.88210880896</v>
      </c>
      <c r="K42" s="8">
        <f t="shared" si="8"/>
        <v>762463.43192114739</v>
      </c>
      <c r="L42" s="8">
        <f t="shared" si="9"/>
        <v>1313168.6697618696</v>
      </c>
      <c r="M42" s="4">
        <f t="shared" si="10"/>
        <v>1.5</v>
      </c>
      <c r="N42" s="10">
        <f t="shared" si="11"/>
        <v>0.09</v>
      </c>
      <c r="O42" s="11">
        <f t="shared" si="12"/>
        <v>7.8284203424832111E-3</v>
      </c>
    </row>
    <row r="43" spans="2:15" x14ac:dyDescent="0.25">
      <c r="B43" s="3">
        <v>26</v>
      </c>
      <c r="C43" s="3">
        <f t="shared" si="0"/>
        <v>329</v>
      </c>
      <c r="D43" s="7">
        <f t="shared" si="1"/>
        <v>650367.93092155876</v>
      </c>
      <c r="E43" s="8">
        <f t="shared" si="2"/>
        <v>86593968.303206995</v>
      </c>
      <c r="F43" s="7">
        <f t="shared" si="3"/>
        <v>87277210.997212768</v>
      </c>
      <c r="G43" s="8">
        <f t="shared" si="4"/>
        <v>36395.989426081047</v>
      </c>
      <c r="H43" s="8">
        <f t="shared" si="5"/>
        <v>545939.8413912151</v>
      </c>
      <c r="I43" s="7">
        <f t="shared" si="6"/>
        <v>73163.625381657112</v>
      </c>
      <c r="J43" s="8">
        <f t="shared" si="7"/>
        <v>683242.69400577981</v>
      </c>
      <c r="K43" s="8">
        <f t="shared" si="8"/>
        <v>756406.31938743696</v>
      </c>
      <c r="L43" s="8">
        <f t="shared" si="9"/>
        <v>1302346.1607786519</v>
      </c>
      <c r="M43" s="4">
        <f t="shared" si="10"/>
        <v>1.5</v>
      </c>
      <c r="N43" s="10">
        <f t="shared" si="11"/>
        <v>0.09</v>
      </c>
      <c r="O43" s="11">
        <f t="shared" si="12"/>
        <v>7.8284203424832111E-3</v>
      </c>
    </row>
    <row r="44" spans="2:15" x14ac:dyDescent="0.25">
      <c r="B44" s="3">
        <v>27</v>
      </c>
      <c r="C44" s="3">
        <f t="shared" si="0"/>
        <v>328</v>
      </c>
      <c r="D44" s="7">
        <f t="shared" si="1"/>
        <v>645276.57738103368</v>
      </c>
      <c r="E44" s="8">
        <f t="shared" si="2"/>
        <v>85843571.571626157</v>
      </c>
      <c r="F44" s="7">
        <f t="shared" si="3"/>
        <v>86520893.494306818</v>
      </c>
      <c r="G44" s="8">
        <f t="shared" si="4"/>
        <v>36080.820126336279</v>
      </c>
      <c r="H44" s="8">
        <f t="shared" si="5"/>
        <v>541212.3018950437</v>
      </c>
      <c r="I44" s="7">
        <f t="shared" si="6"/>
        <v>73074.808900178759</v>
      </c>
      <c r="J44" s="8">
        <f t="shared" si="7"/>
        <v>677321.9226806548</v>
      </c>
      <c r="K44" s="8">
        <f t="shared" si="8"/>
        <v>750396.73158083356</v>
      </c>
      <c r="L44" s="8">
        <f t="shared" si="9"/>
        <v>1291609.0334758773</v>
      </c>
      <c r="M44" s="4">
        <f t="shared" si="10"/>
        <v>1.5</v>
      </c>
      <c r="N44" s="10">
        <f t="shared" si="11"/>
        <v>0.09</v>
      </c>
      <c r="O44" s="11">
        <f t="shared" si="12"/>
        <v>7.8284203424832111E-3</v>
      </c>
    </row>
    <row r="45" spans="2:15" x14ac:dyDescent="0.25">
      <c r="B45" s="3">
        <v>28</v>
      </c>
      <c r="C45" s="3">
        <f t="shared" si="0"/>
        <v>327</v>
      </c>
      <c r="D45" s="7">
        <f t="shared" si="1"/>
        <v>640225.08109613601</v>
      </c>
      <c r="E45" s="8">
        <f t="shared" si="2"/>
        <v>85099137.275298372</v>
      </c>
      <c r="F45" s="7">
        <f t="shared" si="3"/>
        <v>85770585.471389294</v>
      </c>
      <c r="G45" s="8">
        <f t="shared" si="4"/>
        <v>35768.154821510929</v>
      </c>
      <c r="H45" s="8">
        <f t="shared" si="5"/>
        <v>536522.32232266339</v>
      </c>
      <c r="I45" s="7">
        <f t="shared" si="6"/>
        <v>72986.100236859274</v>
      </c>
      <c r="J45" s="8">
        <f t="shared" si="7"/>
        <v>671448.19609091885</v>
      </c>
      <c r="K45" s="8">
        <f t="shared" si="8"/>
        <v>744434.29632777814</v>
      </c>
      <c r="L45" s="8">
        <f t="shared" si="9"/>
        <v>1280956.6186504415</v>
      </c>
      <c r="M45" s="4">
        <f t="shared" si="10"/>
        <v>1.5</v>
      </c>
      <c r="N45" s="10">
        <f t="shared" si="11"/>
        <v>0.09</v>
      </c>
      <c r="O45" s="11">
        <f t="shared" si="12"/>
        <v>7.8284203424832111E-3</v>
      </c>
    </row>
    <row r="46" spans="2:15" x14ac:dyDescent="0.25">
      <c r="B46" s="3">
        <v>29</v>
      </c>
      <c r="C46" s="3">
        <f t="shared" si="0"/>
        <v>326</v>
      </c>
      <c r="D46" s="7">
        <f t="shared" si="1"/>
        <v>635213.13004751503</v>
      </c>
      <c r="E46" s="8">
        <f t="shared" si="2"/>
        <v>84360618.630929977</v>
      </c>
      <c r="F46" s="7">
        <f t="shared" si="3"/>
        <v>85026239.776037559</v>
      </c>
      <c r="G46" s="8">
        <f t="shared" si="4"/>
        <v>35457.973864707688</v>
      </c>
      <c r="H46" s="8">
        <f t="shared" si="5"/>
        <v>531869.6079706148</v>
      </c>
      <c r="I46" s="7">
        <f t="shared" si="6"/>
        <v>72897.499260813478</v>
      </c>
      <c r="J46" s="8">
        <f t="shared" si="7"/>
        <v>665621.14510758757</v>
      </c>
      <c r="K46" s="8">
        <f t="shared" si="8"/>
        <v>738518.64436840103</v>
      </c>
      <c r="L46" s="8">
        <f t="shared" si="9"/>
        <v>1270388.2523390157</v>
      </c>
      <c r="M46" s="4">
        <f t="shared" si="10"/>
        <v>1.5</v>
      </c>
      <c r="N46" s="10">
        <f t="shared" si="11"/>
        <v>0.09</v>
      </c>
      <c r="O46" s="11">
        <f t="shared" si="12"/>
        <v>7.8284203424832111E-3</v>
      </c>
    </row>
    <row r="47" spans="2:15" x14ac:dyDescent="0.25">
      <c r="B47" s="3">
        <v>30</v>
      </c>
      <c r="C47" s="3">
        <f t="shared" si="0"/>
        <v>325</v>
      </c>
      <c r="D47" s="7">
        <f t="shared" si="1"/>
        <v>630240.41465843865</v>
      </c>
      <c r="E47" s="8">
        <f t="shared" si="2"/>
        <v>83627969.221596271</v>
      </c>
      <c r="F47" s="7">
        <f t="shared" si="3"/>
        <v>84287809.625088662</v>
      </c>
      <c r="G47" s="8">
        <f t="shared" si="4"/>
        <v>35150.257762887522</v>
      </c>
      <c r="H47" s="8">
        <f t="shared" si="5"/>
        <v>527253.86644331226</v>
      </c>
      <c r="I47" s="7">
        <f t="shared" si="6"/>
        <v>72809.005841315186</v>
      </c>
      <c r="J47" s="8">
        <f t="shared" si="7"/>
        <v>659840.40349239623</v>
      </c>
      <c r="K47" s="8">
        <f t="shared" si="8"/>
        <v>732649.40933371137</v>
      </c>
      <c r="L47" s="8">
        <f t="shared" si="9"/>
        <v>1259903.2757770238</v>
      </c>
      <c r="M47" s="4">
        <f t="shared" si="10"/>
        <v>1.5</v>
      </c>
      <c r="N47" s="10">
        <f t="shared" si="11"/>
        <v>0.09</v>
      </c>
      <c r="O47" s="11">
        <f t="shared" si="12"/>
        <v>7.8284203424832111E-3</v>
      </c>
    </row>
    <row r="48" spans="2:15" x14ac:dyDescent="0.25">
      <c r="B48" s="3">
        <v>31</v>
      </c>
      <c r="C48" s="3">
        <f t="shared" si="0"/>
        <v>324</v>
      </c>
      <c r="D48" s="7">
        <f t="shared" si="1"/>
        <v>625306.62777567154</v>
      </c>
      <c r="E48" s="8">
        <f t="shared" si="2"/>
        <v>82901142.993873298</v>
      </c>
      <c r="F48" s="7">
        <f t="shared" si="3"/>
        <v>83555248.601748466</v>
      </c>
      <c r="G48" s="8">
        <f t="shared" si="4"/>
        <v>34844.987175665141</v>
      </c>
      <c r="H48" s="8">
        <f t="shared" si="5"/>
        <v>522674.80763497663</v>
      </c>
      <c r="I48" s="7">
        <f t="shared" si="6"/>
        <v>72720.619847796857</v>
      </c>
      <c r="J48" s="8">
        <f t="shared" si="7"/>
        <v>654105.6078751696</v>
      </c>
      <c r="K48" s="8">
        <f t="shared" si="8"/>
        <v>726826.22772296646</v>
      </c>
      <c r="L48" s="8">
        <f t="shared" si="9"/>
        <v>1249501.035357943</v>
      </c>
      <c r="M48" s="4">
        <f t="shared" si="10"/>
        <v>1.5</v>
      </c>
      <c r="N48" s="10">
        <f t="shared" si="11"/>
        <v>0.09</v>
      </c>
      <c r="O48" s="11">
        <f t="shared" si="12"/>
        <v>7.8284203424832111E-3</v>
      </c>
    </row>
    <row r="49" spans="2:15" x14ac:dyDescent="0.25">
      <c r="B49" s="3">
        <v>32</v>
      </c>
      <c r="C49" s="3">
        <f t="shared" ref="C49:C112" si="13">$E$9-B49</f>
        <v>323</v>
      </c>
      <c r="D49" s="7">
        <f t="shared" ref="D49:D112" si="14">($E$5*E49)/(1-$E$7^C49)</f>
        <v>620411.46465050289</v>
      </c>
      <c r="E49" s="8">
        <f t="shared" ref="E49:E112" si="15">E48-K49</f>
        <v>82180094.254992083</v>
      </c>
      <c r="F49" s="7">
        <f t="shared" ref="F49:F112" si="16">E48-I49</f>
        <v>82828510.652723446</v>
      </c>
      <c r="G49" s="8">
        <f t="shared" ref="G49:G112" si="17">$E$4/12*E48</f>
        <v>34542.142914113901</v>
      </c>
      <c r="H49" s="8">
        <f t="shared" ref="H49:H112" si="18">$E$6*E48</f>
        <v>518132.14371170808</v>
      </c>
      <c r="I49" s="7">
        <f t="shared" ref="I49:I112" si="19">D48*($E$7^(C48-1+1))</f>
        <v>72632.341149849453</v>
      </c>
      <c r="J49" s="8">
        <f t="shared" ref="J49:J112" si="20">O49*F49</f>
        <v>648416.39773136762</v>
      </c>
      <c r="K49" s="8">
        <f t="shared" ref="K49:K112" si="21">I49+J49</f>
        <v>721048.73888121708</v>
      </c>
      <c r="L49" s="8">
        <f t="shared" si="9"/>
        <v>1239180.8825929251</v>
      </c>
      <c r="M49" s="4">
        <f t="shared" si="10"/>
        <v>1.5</v>
      </c>
      <c r="N49" s="10">
        <f t="shared" ref="N49:N112" si="22">MIN((B49+$E$10)/30*6%*$E$11,6%*$E$11)</f>
        <v>0.09</v>
      </c>
      <c r="O49" s="11">
        <f t="shared" ref="O49:O112" si="23">1 - (1 - N49)^(1/12)</f>
        <v>7.8284203424832111E-3</v>
      </c>
    </row>
    <row r="50" spans="2:15" x14ac:dyDescent="0.25">
      <c r="B50" s="3">
        <v>33</v>
      </c>
      <c r="C50" s="3">
        <f t="shared" si="13"/>
        <v>322</v>
      </c>
      <c r="D50" s="7">
        <f t="shared" si="14"/>
        <v>615554.62291992304</v>
      </c>
      <c r="E50" s="8">
        <f t="shared" si="15"/>
        <v>81464777.670015052</v>
      </c>
      <c r="F50" s="7">
        <f t="shared" si="16"/>
        <v>82107550.085374862</v>
      </c>
      <c r="G50" s="8">
        <f t="shared" si="17"/>
        <v>34241.705939580061</v>
      </c>
      <c r="H50" s="8">
        <f t="shared" si="18"/>
        <v>513625.58909370046</v>
      </c>
      <c r="I50" s="7">
        <f t="shared" si="19"/>
        <v>72544.169617222258</v>
      </c>
      <c r="J50" s="8">
        <f t="shared" si="20"/>
        <v>642772.41535980767</v>
      </c>
      <c r="K50" s="8">
        <f t="shared" si="21"/>
        <v>715316.58497702994</v>
      </c>
      <c r="L50" s="8">
        <f t="shared" si="9"/>
        <v>1228942.1740707303</v>
      </c>
      <c r="M50" s="4">
        <f t="shared" si="10"/>
        <v>1.5</v>
      </c>
      <c r="N50" s="10">
        <f t="shared" si="22"/>
        <v>0.09</v>
      </c>
      <c r="O50" s="11">
        <f t="shared" si="23"/>
        <v>7.8284203424832111E-3</v>
      </c>
    </row>
    <row r="51" spans="2:15" x14ac:dyDescent="0.25">
      <c r="B51" s="3">
        <v>34</v>
      </c>
      <c r="C51" s="3">
        <f t="shared" si="13"/>
        <v>321</v>
      </c>
      <c r="D51" s="7">
        <f t="shared" si="14"/>
        <v>610735.80258794711</v>
      </c>
      <c r="E51" s="8">
        <f t="shared" si="15"/>
        <v>80755148.259034663</v>
      </c>
      <c r="F51" s="7">
        <f t="shared" si="16"/>
        <v>81392321.564895228</v>
      </c>
      <c r="G51" s="8">
        <f t="shared" si="17"/>
        <v>33943.657362506303</v>
      </c>
      <c r="H51" s="8">
        <f t="shared" si="18"/>
        <v>509154.860437594</v>
      </c>
      <c r="I51" s="7">
        <f t="shared" si="19"/>
        <v>72456.105119822649</v>
      </c>
      <c r="J51" s="8">
        <f t="shared" si="20"/>
        <v>637173.30586056074</v>
      </c>
      <c r="K51" s="8">
        <f t="shared" si="21"/>
        <v>709629.4109803834</v>
      </c>
      <c r="L51" s="8">
        <f t="shared" si="9"/>
        <v>1218784.2714179773</v>
      </c>
      <c r="M51" s="4">
        <f t="shared" si="10"/>
        <v>1.5</v>
      </c>
      <c r="N51" s="10">
        <f t="shared" si="22"/>
        <v>0.09</v>
      </c>
      <c r="O51" s="11">
        <f t="shared" si="23"/>
        <v>7.8284203424832111E-3</v>
      </c>
    </row>
    <row r="52" spans="2:15" x14ac:dyDescent="0.25">
      <c r="B52" s="3">
        <v>35</v>
      </c>
      <c r="C52" s="3">
        <f t="shared" si="13"/>
        <v>320</v>
      </c>
      <c r="D52" s="7">
        <f t="shared" si="14"/>
        <v>605954.70600708469</v>
      </c>
      <c r="E52" s="8">
        <f t="shared" si="15"/>
        <v>80051161.394393921</v>
      </c>
      <c r="F52" s="7">
        <f t="shared" si="16"/>
        <v>80682780.111506954</v>
      </c>
      <c r="G52" s="8">
        <f t="shared" si="17"/>
        <v>33647.978441264473</v>
      </c>
      <c r="H52" s="8">
        <f t="shared" si="18"/>
        <v>504719.67661896662</v>
      </c>
      <c r="I52" s="7">
        <f t="shared" si="19"/>
        <v>72368.147527715948</v>
      </c>
      <c r="J52" s="8">
        <f t="shared" si="20"/>
        <v>631618.71711302083</v>
      </c>
      <c r="K52" s="8">
        <f t="shared" si="21"/>
        <v>703986.86464073672</v>
      </c>
      <c r="L52" s="8">
        <f t="shared" si="9"/>
        <v>1208706.5412597032</v>
      </c>
      <c r="M52" s="4">
        <f t="shared" si="10"/>
        <v>1.5</v>
      </c>
      <c r="N52" s="10">
        <f t="shared" si="22"/>
        <v>0.09</v>
      </c>
      <c r="O52" s="11">
        <f t="shared" si="23"/>
        <v>7.8284203424832111E-3</v>
      </c>
    </row>
    <row r="53" spans="2:15" x14ac:dyDescent="0.25">
      <c r="B53" s="3">
        <v>36</v>
      </c>
      <c r="C53" s="3">
        <f t="shared" si="13"/>
        <v>319</v>
      </c>
      <c r="D53" s="7">
        <f t="shared" si="14"/>
        <v>601211.03785995534</v>
      </c>
      <c r="E53" s="8">
        <f t="shared" si="15"/>
        <v>79352772.797928646</v>
      </c>
      <c r="F53" s="7">
        <f t="shared" si="16"/>
        <v>79978881.097682789</v>
      </c>
      <c r="G53" s="8">
        <f t="shared" si="17"/>
        <v>33354.650580997499</v>
      </c>
      <c r="H53" s="8">
        <f t="shared" si="18"/>
        <v>500319.75871496194</v>
      </c>
      <c r="I53" s="7">
        <f t="shared" si="19"/>
        <v>72280.296711125207</v>
      </c>
      <c r="J53" s="8">
        <f t="shared" si="20"/>
        <v>626108.2997541459</v>
      </c>
      <c r="K53" s="8">
        <f t="shared" si="21"/>
        <v>698388.59646527108</v>
      </c>
      <c r="L53" s="8">
        <f t="shared" si="9"/>
        <v>1198708.355180233</v>
      </c>
      <c r="M53" s="4">
        <f t="shared" si="10"/>
        <v>1.5</v>
      </c>
      <c r="N53" s="10">
        <f t="shared" si="22"/>
        <v>0.09</v>
      </c>
      <c r="O53" s="11">
        <f t="shared" si="23"/>
        <v>7.8284203424832111E-3</v>
      </c>
    </row>
    <row r="54" spans="2:15" x14ac:dyDescent="0.25">
      <c r="B54" s="3">
        <v>37</v>
      </c>
      <c r="C54" s="3">
        <f t="shared" si="13"/>
        <v>318</v>
      </c>
      <c r="D54" s="7">
        <f t="shared" si="14"/>
        <v>596504.50514104695</v>
      </c>
      <c r="E54" s="8">
        <f t="shared" si="15"/>
        <v>78659938.538231343</v>
      </c>
      <c r="F54" s="7">
        <f t="shared" si="16"/>
        <v>79280580.24538821</v>
      </c>
      <c r="G54" s="8">
        <f t="shared" si="17"/>
        <v>33063.655332470298</v>
      </c>
      <c r="H54" s="8">
        <f t="shared" si="18"/>
        <v>495954.82998705399</v>
      </c>
      <c r="I54" s="7">
        <f t="shared" si="19"/>
        <v>72192.552540431047</v>
      </c>
      <c r="J54" s="8">
        <f t="shared" si="20"/>
        <v>620641.7071568697</v>
      </c>
      <c r="K54" s="8">
        <f t="shared" si="21"/>
        <v>692834.25969730073</v>
      </c>
      <c r="L54" s="8">
        <f t="shared" si="9"/>
        <v>1188789.0896843546</v>
      </c>
      <c r="M54" s="4">
        <f t="shared" si="10"/>
        <v>1.5</v>
      </c>
      <c r="N54" s="10">
        <f t="shared" si="22"/>
        <v>0.09</v>
      </c>
      <c r="O54" s="11">
        <f t="shared" si="23"/>
        <v>7.8284203424832111E-3</v>
      </c>
    </row>
    <row r="55" spans="2:15" x14ac:dyDescent="0.25">
      <c r="B55" s="3">
        <v>38</v>
      </c>
      <c r="C55" s="3">
        <f t="shared" si="13"/>
        <v>317</v>
      </c>
      <c r="D55" s="7">
        <f t="shared" si="14"/>
        <v>591834.81713861797</v>
      </c>
      <c r="E55" s="8">
        <f t="shared" si="15"/>
        <v>77972615.027936488</v>
      </c>
      <c r="F55" s="7">
        <f t="shared" si="16"/>
        <v>78587833.623345166</v>
      </c>
      <c r="G55" s="8">
        <f t="shared" si="17"/>
        <v>32774.974390929754</v>
      </c>
      <c r="H55" s="8">
        <f t="shared" si="18"/>
        <v>491624.61586394586</v>
      </c>
      <c r="I55" s="7">
        <f t="shared" si="19"/>
        <v>72104.914886171377</v>
      </c>
      <c r="J55" s="8">
        <f t="shared" si="20"/>
        <v>615218.59540868143</v>
      </c>
      <c r="K55" s="8">
        <f t="shared" si="21"/>
        <v>687323.51029485278</v>
      </c>
      <c r="L55" s="8">
        <f t="shared" si="9"/>
        <v>1178948.1261587986</v>
      </c>
      <c r="M55" s="4">
        <f t="shared" si="10"/>
        <v>1.5</v>
      </c>
      <c r="N55" s="10">
        <f t="shared" si="22"/>
        <v>0.09</v>
      </c>
      <c r="O55" s="11">
        <f t="shared" si="23"/>
        <v>7.8284203424832111E-3</v>
      </c>
    </row>
    <row r="56" spans="2:15" x14ac:dyDescent="0.25">
      <c r="B56" s="3">
        <v>39</v>
      </c>
      <c r="C56" s="3">
        <f t="shared" si="13"/>
        <v>316</v>
      </c>
      <c r="D56" s="7">
        <f t="shared" si="14"/>
        <v>587201.68541674025</v>
      </c>
      <c r="E56" s="8">
        <f t="shared" si="15"/>
        <v>77290759.021027073</v>
      </c>
      <c r="F56" s="7">
        <f t="shared" si="16"/>
        <v>77900597.644317448</v>
      </c>
      <c r="G56" s="8">
        <f t="shared" si="17"/>
        <v>32488.589594973564</v>
      </c>
      <c r="H56" s="8">
        <f t="shared" si="18"/>
        <v>487328.84392460302</v>
      </c>
      <c r="I56" s="7">
        <f t="shared" si="19"/>
        <v>72017.383619041357</v>
      </c>
      <c r="J56" s="8">
        <f t="shared" si="20"/>
        <v>609838.62329037441</v>
      </c>
      <c r="K56" s="8">
        <f t="shared" si="21"/>
        <v>681856.00690941582</v>
      </c>
      <c r="L56" s="8">
        <f t="shared" si="9"/>
        <v>1169184.8508340188</v>
      </c>
      <c r="M56" s="4">
        <f t="shared" si="10"/>
        <v>1.5</v>
      </c>
      <c r="N56" s="10">
        <f t="shared" si="22"/>
        <v>0.09</v>
      </c>
      <c r="O56" s="11">
        <f t="shared" si="23"/>
        <v>7.8284203424832111E-3</v>
      </c>
    </row>
    <row r="57" spans="2:15" x14ac:dyDescent="0.25">
      <c r="B57" s="3">
        <v>40</v>
      </c>
      <c r="C57" s="3">
        <f t="shared" si="13"/>
        <v>315</v>
      </c>
      <c r="D57" s="7">
        <f t="shared" si="14"/>
        <v>582604.82379748335</v>
      </c>
      <c r="E57" s="8">
        <f t="shared" si="15"/>
        <v>76614327.610162213</v>
      </c>
      <c r="F57" s="7">
        <f t="shared" si="16"/>
        <v>77218829.062417179</v>
      </c>
      <c r="G57" s="8">
        <f t="shared" si="17"/>
        <v>32204.482925427976</v>
      </c>
      <c r="H57" s="8">
        <f t="shared" si="18"/>
        <v>483067.24388141918</v>
      </c>
      <c r="I57" s="7">
        <f t="shared" si="19"/>
        <v>71929.958609893001</v>
      </c>
      <c r="J57" s="8">
        <f t="shared" si="20"/>
        <v>604501.45225496043</v>
      </c>
      <c r="K57" s="8">
        <f t="shared" si="21"/>
        <v>676431.41086485342</v>
      </c>
      <c r="L57" s="8">
        <f t="shared" si="9"/>
        <v>1159498.6547462726</v>
      </c>
      <c r="M57" s="4">
        <f t="shared" si="10"/>
        <v>1.5</v>
      </c>
      <c r="N57" s="10">
        <f t="shared" si="22"/>
        <v>0.09</v>
      </c>
      <c r="O57" s="11">
        <f t="shared" si="23"/>
        <v>7.8284203424832111E-3</v>
      </c>
    </row>
    <row r="58" spans="2:15" x14ac:dyDescent="0.25">
      <c r="B58" s="3">
        <v>41</v>
      </c>
      <c r="C58" s="3">
        <f t="shared" si="13"/>
        <v>314</v>
      </c>
      <c r="D58" s="7">
        <f t="shared" si="14"/>
        <v>578043.94834323821</v>
      </c>
      <c r="E58" s="8">
        <f t="shared" si="15"/>
        <v>75943278.224025726</v>
      </c>
      <c r="F58" s="7">
        <f t="shared" si="16"/>
        <v>76542484.970432475</v>
      </c>
      <c r="G58" s="8">
        <f t="shared" si="17"/>
        <v>31922.636504234284</v>
      </c>
      <c r="H58" s="8">
        <f t="shared" si="18"/>
        <v>478839.5475635138</v>
      </c>
      <c r="I58" s="7">
        <f t="shared" si="19"/>
        <v>71842.639729735165</v>
      </c>
      <c r="J58" s="8">
        <f t="shared" si="20"/>
        <v>599206.74640674901</v>
      </c>
      <c r="K58" s="8">
        <f t="shared" si="21"/>
        <v>671049.38613648422</v>
      </c>
      <c r="L58" s="8">
        <f t="shared" si="9"/>
        <v>1149888.9336999981</v>
      </c>
      <c r="M58" s="4">
        <f t="shared" si="10"/>
        <v>1.5</v>
      </c>
      <c r="N58" s="10">
        <f t="shared" si="22"/>
        <v>0.09</v>
      </c>
      <c r="O58" s="11">
        <f t="shared" si="23"/>
        <v>7.8284203424832111E-3</v>
      </c>
    </row>
    <row r="59" spans="2:15" x14ac:dyDescent="0.25">
      <c r="B59" s="3">
        <v>42</v>
      </c>
      <c r="C59" s="3">
        <f t="shared" si="13"/>
        <v>313</v>
      </c>
      <c r="D59" s="7">
        <f t="shared" si="14"/>
        <v>573518.77733917872</v>
      </c>
      <c r="E59" s="8">
        <f t="shared" si="15"/>
        <v>75277568.624695405</v>
      </c>
      <c r="F59" s="7">
        <f t="shared" si="16"/>
        <v>75871522.797175989</v>
      </c>
      <c r="G59" s="8">
        <f t="shared" si="17"/>
        <v>31643.03259334408</v>
      </c>
      <c r="H59" s="8">
        <f t="shared" si="18"/>
        <v>474645.48890016077</v>
      </c>
      <c r="I59" s="7">
        <f t="shared" si="19"/>
        <v>71755.426849733325</v>
      </c>
      <c r="J59" s="8">
        <f t="shared" si="20"/>
        <v>593954.17248059122</v>
      </c>
      <c r="K59" s="8">
        <f t="shared" si="21"/>
        <v>665709.59933032456</v>
      </c>
      <c r="L59" s="8">
        <f t="shared" si="9"/>
        <v>1140355.0882304853</v>
      </c>
      <c r="M59" s="4">
        <f t="shared" si="10"/>
        <v>1.5</v>
      </c>
      <c r="N59" s="10">
        <f t="shared" si="22"/>
        <v>0.09</v>
      </c>
      <c r="O59" s="11">
        <f t="shared" si="23"/>
        <v>7.8284203424832111E-3</v>
      </c>
    </row>
    <row r="60" spans="2:15" x14ac:dyDescent="0.25">
      <c r="B60" s="3">
        <v>43</v>
      </c>
      <c r="C60" s="3">
        <f t="shared" si="13"/>
        <v>312</v>
      </c>
      <c r="D60" s="7">
        <f t="shared" si="14"/>
        <v>569029.03127586062</v>
      </c>
      <c r="E60" s="8">
        <f t="shared" si="15"/>
        <v>74617156.905032918</v>
      </c>
      <c r="F60" s="7">
        <f t="shared" si="16"/>
        <v>75205900.304854199</v>
      </c>
      <c r="G60" s="8">
        <f t="shared" si="17"/>
        <v>31365.653593623112</v>
      </c>
      <c r="H60" s="8">
        <f t="shared" si="18"/>
        <v>470484.80390434625</v>
      </c>
      <c r="I60" s="7">
        <f t="shared" si="19"/>
        <v>71668.31984120929</v>
      </c>
      <c r="J60" s="8">
        <f t="shared" si="20"/>
        <v>588743.39982128493</v>
      </c>
      <c r="K60" s="8">
        <f t="shared" si="21"/>
        <v>660411.71966249426</v>
      </c>
      <c r="L60" s="8">
        <f t="shared" si="9"/>
        <v>1130896.5235668404</v>
      </c>
      <c r="M60" s="4">
        <f t="shared" si="10"/>
        <v>1.5</v>
      </c>
      <c r="N60" s="10">
        <f t="shared" si="22"/>
        <v>0.09</v>
      </c>
      <c r="O60" s="11">
        <f t="shared" si="23"/>
        <v>7.8284203424832111E-3</v>
      </c>
    </row>
    <row r="61" spans="2:15" x14ac:dyDescent="0.25">
      <c r="B61" s="3">
        <v>44</v>
      </c>
      <c r="C61" s="3">
        <f t="shared" si="13"/>
        <v>311</v>
      </c>
      <c r="D61" s="7">
        <f t="shared" si="14"/>
        <v>564574.43283195712</v>
      </c>
      <c r="E61" s="8">
        <f t="shared" si="15"/>
        <v>73962001.486094132</v>
      </c>
      <c r="F61" s="7">
        <f t="shared" si="16"/>
        <v>74545575.586457282</v>
      </c>
      <c r="G61" s="8">
        <f t="shared" si="17"/>
        <v>31090.482043763743</v>
      </c>
      <c r="H61" s="8">
        <f t="shared" si="18"/>
        <v>466357.23065645568</v>
      </c>
      <c r="I61" s="7">
        <f t="shared" si="19"/>
        <v>71581.318575641126</v>
      </c>
      <c r="J61" s="8">
        <f t="shared" si="20"/>
        <v>583574.10036314197</v>
      </c>
      <c r="K61" s="8">
        <f t="shared" si="21"/>
        <v>655155.41893878311</v>
      </c>
      <c r="L61" s="8">
        <f t="shared" si="9"/>
        <v>1121512.6495952387</v>
      </c>
      <c r="M61" s="4">
        <f t="shared" si="10"/>
        <v>1.5</v>
      </c>
      <c r="N61" s="10">
        <f t="shared" si="22"/>
        <v>0.09</v>
      </c>
      <c r="O61" s="11">
        <f t="shared" si="23"/>
        <v>7.8284203424832111E-3</v>
      </c>
    </row>
    <row r="62" spans="2:15" x14ac:dyDescent="0.25">
      <c r="B62" s="3">
        <v>45</v>
      </c>
      <c r="C62" s="3">
        <f t="shared" si="13"/>
        <v>310</v>
      </c>
      <c r="D62" s="7">
        <f t="shared" si="14"/>
        <v>560154.70685712947</v>
      </c>
      <c r="E62" s="8">
        <f t="shared" si="15"/>
        <v>73312061.114559755</v>
      </c>
      <c r="F62" s="7">
        <f t="shared" si="16"/>
        <v>73890507.063169464</v>
      </c>
      <c r="G62" s="8">
        <f t="shared" si="17"/>
        <v>30817.500619205915</v>
      </c>
      <c r="H62" s="8">
        <f t="shared" si="18"/>
        <v>462262.5092880883</v>
      </c>
      <c r="I62" s="7">
        <f t="shared" si="19"/>
        <v>71494.422924662882</v>
      </c>
      <c r="J62" s="8">
        <f t="shared" si="20"/>
        <v>578445.94860971521</v>
      </c>
      <c r="K62" s="8">
        <f t="shared" si="21"/>
        <v>649940.37153437803</v>
      </c>
      <c r="L62" s="8">
        <f t="shared" si="9"/>
        <v>1112202.8808224662</v>
      </c>
      <c r="M62" s="4">
        <f t="shared" si="10"/>
        <v>1.5</v>
      </c>
      <c r="N62" s="10">
        <f t="shared" si="22"/>
        <v>0.09</v>
      </c>
      <c r="O62" s="11">
        <f t="shared" si="23"/>
        <v>7.8284203424832111E-3</v>
      </c>
    </row>
    <row r="63" spans="2:15" x14ac:dyDescent="0.25">
      <c r="B63" s="3">
        <v>46</v>
      </c>
      <c r="C63" s="3">
        <f t="shared" si="13"/>
        <v>309</v>
      </c>
      <c r="D63" s="7">
        <f t="shared" si="14"/>
        <v>555769.58035503142</v>
      </c>
      <c r="E63" s="8">
        <f t="shared" si="15"/>
        <v>72667294.860186011</v>
      </c>
      <c r="F63" s="7">
        <f t="shared" si="16"/>
        <v>73240653.481799692</v>
      </c>
      <c r="G63" s="8">
        <f t="shared" si="17"/>
        <v>30546.692131066589</v>
      </c>
      <c r="H63" s="8">
        <f t="shared" si="18"/>
        <v>458200.38196599844</v>
      </c>
      <c r="I63" s="7">
        <f t="shared" si="19"/>
        <v>71407.632760064444</v>
      </c>
      <c r="J63" s="8">
        <f t="shared" si="20"/>
        <v>573358.62161368458</v>
      </c>
      <c r="K63" s="8">
        <f t="shared" si="21"/>
        <v>644766.25437374902</v>
      </c>
      <c r="L63" s="8">
        <f t="shared" si="9"/>
        <v>1102966.6363397473</v>
      </c>
      <c r="M63" s="4">
        <f t="shared" si="10"/>
        <v>1.5</v>
      </c>
      <c r="N63" s="10">
        <f t="shared" si="22"/>
        <v>0.09</v>
      </c>
      <c r="O63" s="11">
        <f t="shared" si="23"/>
        <v>7.8284203424832111E-3</v>
      </c>
    </row>
    <row r="64" spans="2:15" x14ac:dyDescent="0.25">
      <c r="B64" s="3">
        <v>47</v>
      </c>
      <c r="C64" s="3">
        <f t="shared" si="13"/>
        <v>308</v>
      </c>
      <c r="D64" s="7">
        <f t="shared" si="14"/>
        <v>551418.78246644686</v>
      </c>
      <c r="E64" s="8">
        <f t="shared" si="15"/>
        <v>72027662.113275319</v>
      </c>
      <c r="F64" s="7">
        <f t="shared" si="16"/>
        <v>72595973.91223222</v>
      </c>
      <c r="G64" s="8">
        <f t="shared" si="17"/>
        <v>30278.039525077529</v>
      </c>
      <c r="H64" s="8">
        <f t="shared" si="18"/>
        <v>454170.59287616255</v>
      </c>
      <c r="I64" s="7">
        <f t="shared" si="19"/>
        <v>71320.947953791343</v>
      </c>
      <c r="J64" s="8">
        <f t="shared" si="20"/>
        <v>568311.79895689921</v>
      </c>
      <c r="K64" s="8">
        <f t="shared" si="21"/>
        <v>639632.74691069056</v>
      </c>
      <c r="L64" s="8">
        <f t="shared" si="9"/>
        <v>1093803.3397868532</v>
      </c>
      <c r="M64" s="4">
        <f t="shared" si="10"/>
        <v>1.5</v>
      </c>
      <c r="N64" s="10">
        <f t="shared" si="22"/>
        <v>0.09</v>
      </c>
      <c r="O64" s="11">
        <f t="shared" si="23"/>
        <v>7.8284203424832111E-3</v>
      </c>
    </row>
    <row r="65" spans="2:15" x14ac:dyDescent="0.25">
      <c r="B65" s="3">
        <v>48</v>
      </c>
      <c r="C65" s="3">
        <f t="shared" si="13"/>
        <v>307</v>
      </c>
      <c r="D65" s="7">
        <f t="shared" si="14"/>
        <v>547102.04445255909</v>
      </c>
      <c r="E65" s="8">
        <f t="shared" si="15"/>
        <v>71393122.582166791</v>
      </c>
      <c r="F65" s="7">
        <f t="shared" si="16"/>
        <v>71956427.74489738</v>
      </c>
      <c r="G65" s="8">
        <f t="shared" si="17"/>
        <v>30011.525880531408</v>
      </c>
      <c r="H65" s="8">
        <f t="shared" si="18"/>
        <v>450172.88820797071</v>
      </c>
      <c r="I65" s="7">
        <f t="shared" si="19"/>
        <v>71234.368377944615</v>
      </c>
      <c r="J65" s="8">
        <f t="shared" si="20"/>
        <v>563305.16273057798</v>
      </c>
      <c r="K65" s="8">
        <f t="shared" si="21"/>
        <v>634539.53110852255</v>
      </c>
      <c r="L65" s="8">
        <f t="shared" si="9"/>
        <v>1084712.4193164932</v>
      </c>
      <c r="M65" s="4">
        <f t="shared" si="10"/>
        <v>1.5</v>
      </c>
      <c r="N65" s="10">
        <f t="shared" si="22"/>
        <v>0.09</v>
      </c>
      <c r="O65" s="11">
        <f t="shared" si="23"/>
        <v>7.8284203424832111E-3</v>
      </c>
    </row>
    <row r="66" spans="2:15" x14ac:dyDescent="0.25">
      <c r="B66" s="3">
        <v>49</v>
      </c>
      <c r="C66" s="3">
        <f t="shared" si="13"/>
        <v>306</v>
      </c>
      <c r="D66" s="7">
        <f t="shared" si="14"/>
        <v>542819.09967835248</v>
      </c>
      <c r="E66" s="8">
        <f t="shared" si="15"/>
        <v>70763636.290746346</v>
      </c>
      <c r="F66" s="7">
        <f t="shared" si="16"/>
        <v>71321974.688262016</v>
      </c>
      <c r="G66" s="8">
        <f t="shared" si="17"/>
        <v>29747.134409236187</v>
      </c>
      <c r="H66" s="8">
        <f t="shared" si="18"/>
        <v>446207.01613854239</v>
      </c>
      <c r="I66" s="7">
        <f t="shared" si="19"/>
        <v>71147.893904780401</v>
      </c>
      <c r="J66" s="8">
        <f t="shared" si="20"/>
        <v>558338.39751566306</v>
      </c>
      <c r="K66" s="8">
        <f t="shared" si="21"/>
        <v>629486.29142044345</v>
      </c>
      <c r="L66" s="8">
        <f t="shared" si="9"/>
        <v>1075693.3075589859</v>
      </c>
      <c r="M66" s="4">
        <f t="shared" si="10"/>
        <v>1.5</v>
      </c>
      <c r="N66" s="10">
        <f t="shared" si="22"/>
        <v>0.09</v>
      </c>
      <c r="O66" s="11">
        <f t="shared" si="23"/>
        <v>7.8284203424832111E-3</v>
      </c>
    </row>
    <row r="67" spans="2:15" x14ac:dyDescent="0.25">
      <c r="B67" s="3">
        <v>50</v>
      </c>
      <c r="C67" s="3">
        <f t="shared" si="13"/>
        <v>305</v>
      </c>
      <c r="D67" s="7">
        <f t="shared" si="14"/>
        <v>538569.68359614199</v>
      </c>
      <c r="E67" s="8">
        <f t="shared" si="15"/>
        <v>70139163.575976312</v>
      </c>
      <c r="F67" s="7">
        <f t="shared" si="16"/>
        <v>70692574.76633963</v>
      </c>
      <c r="G67" s="8">
        <f t="shared" si="17"/>
        <v>29484.848454477669</v>
      </c>
      <c r="H67" s="8">
        <f t="shared" si="18"/>
        <v>442272.72681716463</v>
      </c>
      <c r="I67" s="7">
        <f t="shared" si="19"/>
        <v>71061.524406710116</v>
      </c>
      <c r="J67" s="8">
        <f t="shared" si="20"/>
        <v>553411.19036332844</v>
      </c>
      <c r="K67" s="8">
        <f t="shared" si="21"/>
        <v>624472.71477003861</v>
      </c>
      <c r="L67" s="8">
        <f t="shared" si="9"/>
        <v>1066745.4415872032</v>
      </c>
      <c r="M67" s="4">
        <f t="shared" si="10"/>
        <v>1.5</v>
      </c>
      <c r="N67" s="10">
        <f t="shared" si="22"/>
        <v>0.09</v>
      </c>
      <c r="O67" s="11">
        <f t="shared" si="23"/>
        <v>7.8284203424832111E-3</v>
      </c>
    </row>
    <row r="68" spans="2:15" x14ac:dyDescent="0.25">
      <c r="B68" s="3">
        <v>51</v>
      </c>
      <c r="C68" s="3">
        <f t="shared" si="13"/>
        <v>304</v>
      </c>
      <c r="D68" s="7">
        <f t="shared" si="14"/>
        <v>534353.53372923331</v>
      </c>
      <c r="E68" s="8">
        <f t="shared" si="15"/>
        <v>69519665.085444376</v>
      </c>
      <c r="F68" s="7">
        <f t="shared" si="16"/>
        <v>70068188.316220015</v>
      </c>
      <c r="G68" s="8">
        <f t="shared" si="17"/>
        <v>29224.651489990156</v>
      </c>
      <c r="H68" s="8">
        <f t="shared" si="18"/>
        <v>438369.7723498519</v>
      </c>
      <c r="I68" s="7">
        <f t="shared" si="19"/>
        <v>70975.259756299914</v>
      </c>
      <c r="J68" s="8">
        <f t="shared" si="20"/>
        <v>548523.23077564128</v>
      </c>
      <c r="K68" s="8">
        <f t="shared" si="21"/>
        <v>619498.49053194118</v>
      </c>
      <c r="L68" s="8">
        <f t="shared" si="9"/>
        <v>1057868.2628817931</v>
      </c>
      <c r="M68" s="4">
        <f t="shared" si="10"/>
        <v>1.5</v>
      </c>
      <c r="N68" s="10">
        <f t="shared" si="22"/>
        <v>0.09</v>
      </c>
      <c r="O68" s="11">
        <f t="shared" si="23"/>
        <v>7.8284203424832111E-3</v>
      </c>
    </row>
    <row r="69" spans="2:15" x14ac:dyDescent="0.25">
      <c r="B69" s="3">
        <v>52</v>
      </c>
      <c r="C69" s="3">
        <f t="shared" si="13"/>
        <v>303</v>
      </c>
      <c r="D69" s="7">
        <f t="shared" si="14"/>
        <v>530170.3896557095</v>
      </c>
      <c r="E69" s="8">
        <f t="shared" si="15"/>
        <v>68905101.774931729</v>
      </c>
      <c r="F69" s="7">
        <f t="shared" si="16"/>
        <v>69448775.9856181</v>
      </c>
      <c r="G69" s="8">
        <f t="shared" si="17"/>
        <v>28966.527118935181</v>
      </c>
      <c r="H69" s="8">
        <f t="shared" si="18"/>
        <v>434497.90678402729</v>
      </c>
      <c r="I69" s="7">
        <f t="shared" si="19"/>
        <v>70889.099826270773</v>
      </c>
      <c r="J69" s="8">
        <f t="shared" si="20"/>
        <v>543674.21068637224</v>
      </c>
      <c r="K69" s="8">
        <f t="shared" si="21"/>
        <v>614563.31051264307</v>
      </c>
      <c r="L69" s="8">
        <f t="shared" si="9"/>
        <v>1049061.2172966704</v>
      </c>
      <c r="M69" s="4">
        <f t="shared" si="10"/>
        <v>1.5</v>
      </c>
      <c r="N69" s="10">
        <f t="shared" si="22"/>
        <v>0.09</v>
      </c>
      <c r="O69" s="11">
        <f t="shared" si="23"/>
        <v>7.8284203424832111E-3</v>
      </c>
    </row>
    <row r="70" spans="2:15" x14ac:dyDescent="0.25">
      <c r="B70" s="3">
        <v>53</v>
      </c>
      <c r="C70" s="3">
        <f t="shared" si="13"/>
        <v>302</v>
      </c>
      <c r="D70" s="7">
        <f t="shared" si="14"/>
        <v>526019.99299234652</v>
      </c>
      <c r="E70" s="8">
        <f t="shared" si="15"/>
        <v>68295434.906000271</v>
      </c>
      <c r="F70" s="7">
        <f t="shared" si="16"/>
        <v>68834298.730442226</v>
      </c>
      <c r="G70" s="8">
        <f t="shared" si="17"/>
        <v>28710.459072888243</v>
      </c>
      <c r="H70" s="8">
        <f t="shared" si="18"/>
        <v>430656.88609332329</v>
      </c>
      <c r="I70" s="7">
        <f t="shared" si="19"/>
        <v>70803.044489497974</v>
      </c>
      <c r="J70" s="8">
        <f t="shared" si="20"/>
        <v>538863.8244419602</v>
      </c>
      <c r="K70" s="8">
        <f t="shared" si="21"/>
        <v>609666.86893145822</v>
      </c>
      <c r="L70" s="8">
        <f t="shared" si="9"/>
        <v>1040323.7550247815</v>
      </c>
      <c r="M70" s="4">
        <f t="shared" si="10"/>
        <v>1.5</v>
      </c>
      <c r="N70" s="10">
        <f t="shared" si="22"/>
        <v>0.09</v>
      </c>
      <c r="O70" s="11">
        <f t="shared" si="23"/>
        <v>7.8284203424832111E-3</v>
      </c>
    </row>
    <row r="71" spans="2:15" x14ac:dyDescent="0.25">
      <c r="B71" s="3">
        <v>54</v>
      </c>
      <c r="C71" s="3">
        <f t="shared" si="13"/>
        <v>301</v>
      </c>
      <c r="D71" s="7">
        <f t="shared" si="14"/>
        <v>521902.0873786523</v>
      </c>
      <c r="E71" s="8">
        <f t="shared" si="15"/>
        <v>67690626.043598637</v>
      </c>
      <c r="F71" s="7">
        <f t="shared" si="16"/>
        <v>68224717.812381253</v>
      </c>
      <c r="G71" s="8">
        <f t="shared" si="17"/>
        <v>28456.431210833471</v>
      </c>
      <c r="H71" s="8">
        <f t="shared" si="18"/>
        <v>426846.46816250164</v>
      </c>
      <c r="I71" s="7">
        <f t="shared" si="19"/>
        <v>70717.093619011357</v>
      </c>
      <c r="J71" s="8">
        <f t="shared" si="20"/>
        <v>534091.76878262206</v>
      </c>
      <c r="K71" s="8">
        <f t="shared" si="21"/>
        <v>604808.86240163341</v>
      </c>
      <c r="L71" s="8">
        <f t="shared" si="9"/>
        <v>1031655.330564135</v>
      </c>
      <c r="M71" s="4">
        <f t="shared" si="10"/>
        <v>1.5</v>
      </c>
      <c r="N71" s="10">
        <f t="shared" si="22"/>
        <v>0.09</v>
      </c>
      <c r="O71" s="11">
        <f t="shared" si="23"/>
        <v>7.8284203424832111E-3</v>
      </c>
    </row>
    <row r="72" spans="2:15" x14ac:dyDescent="0.25">
      <c r="B72" s="3">
        <v>55</v>
      </c>
      <c r="C72" s="3">
        <f t="shared" si="13"/>
        <v>300</v>
      </c>
      <c r="D72" s="7">
        <f t="shared" si="14"/>
        <v>517816.41846103279</v>
      </c>
      <c r="E72" s="8">
        <f t="shared" si="15"/>
        <v>67090637.053687029</v>
      </c>
      <c r="F72" s="7">
        <f t="shared" si="16"/>
        <v>67619994.796510637</v>
      </c>
      <c r="G72" s="8">
        <f t="shared" si="17"/>
        <v>28204.427518166121</v>
      </c>
      <c r="H72" s="8">
        <f t="shared" si="18"/>
        <v>423066.41277249146</v>
      </c>
      <c r="I72" s="7">
        <f t="shared" si="19"/>
        <v>70631.247087994736</v>
      </c>
      <c r="J72" s="8">
        <f t="shared" si="20"/>
        <v>529357.74282361276</v>
      </c>
      <c r="K72" s="8">
        <f t="shared" si="21"/>
        <v>599988.98991160747</v>
      </c>
      <c r="L72" s="8">
        <f t="shared" si="9"/>
        <v>1023055.4026840989</v>
      </c>
      <c r="M72" s="4">
        <f t="shared" si="10"/>
        <v>1.5</v>
      </c>
      <c r="N72" s="10">
        <f t="shared" si="22"/>
        <v>0.09</v>
      </c>
      <c r="O72" s="11">
        <f t="shared" si="23"/>
        <v>7.8284203424832111E-3</v>
      </c>
    </row>
    <row r="73" spans="2:15" x14ac:dyDescent="0.25">
      <c r="B73" s="3">
        <v>56</v>
      </c>
      <c r="C73" s="3">
        <f t="shared" si="13"/>
        <v>299</v>
      </c>
      <c r="D73" s="7">
        <f t="shared" si="14"/>
        <v>513762.73387708073</v>
      </c>
      <c r="E73" s="8">
        <f t="shared" si="15"/>
        <v>66495430.100880615</v>
      </c>
      <c r="F73" s="7">
        <f t="shared" si="16"/>
        <v>67020091.548917241</v>
      </c>
      <c r="G73" s="8">
        <f t="shared" si="17"/>
        <v>27954.432105702952</v>
      </c>
      <c r="H73" s="8">
        <f t="shared" si="18"/>
        <v>419316.48158554389</v>
      </c>
      <c r="I73" s="7">
        <f t="shared" si="19"/>
        <v>70545.504769785941</v>
      </c>
      <c r="J73" s="8">
        <f t="shared" si="20"/>
        <v>524661.44803663087</v>
      </c>
      <c r="K73" s="8">
        <f t="shared" si="21"/>
        <v>595206.95280641678</v>
      </c>
      <c r="L73" s="8">
        <f t="shared" si="9"/>
        <v>1014523.4343919607</v>
      </c>
      <c r="M73" s="4">
        <f t="shared" si="10"/>
        <v>1.5</v>
      </c>
      <c r="N73" s="10">
        <f t="shared" si="22"/>
        <v>0.09</v>
      </c>
      <c r="O73" s="11">
        <f t="shared" si="23"/>
        <v>7.8284203424832111E-3</v>
      </c>
    </row>
    <row r="74" spans="2:15" x14ac:dyDescent="0.25">
      <c r="B74" s="3">
        <v>57</v>
      </c>
      <c r="C74" s="3">
        <f t="shared" si="13"/>
        <v>298</v>
      </c>
      <c r="D74" s="7">
        <f t="shared" si="14"/>
        <v>509740.78323998762</v>
      </c>
      <c r="E74" s="8">
        <f t="shared" si="15"/>
        <v>65904967.646111369</v>
      </c>
      <c r="F74" s="7">
        <f t="shared" si="16"/>
        <v>66424970.234342739</v>
      </c>
      <c r="G74" s="8">
        <f t="shared" si="17"/>
        <v>27706.42920870028</v>
      </c>
      <c r="H74" s="8">
        <f t="shared" si="18"/>
        <v>415596.43813050381</v>
      </c>
      <c r="I74" s="7">
        <f t="shared" si="19"/>
        <v>70459.866537876587</v>
      </c>
      <c r="J74" s="8">
        <f t="shared" si="20"/>
        <v>520002.58823137049</v>
      </c>
      <c r="K74" s="8">
        <f t="shared" si="21"/>
        <v>590462.4547692471</v>
      </c>
      <c r="L74" s="8">
        <f t="shared" si="9"/>
        <v>1006058.892899751</v>
      </c>
      <c r="M74" s="4">
        <f t="shared" si="10"/>
        <v>1.5</v>
      </c>
      <c r="N74" s="10">
        <f t="shared" si="22"/>
        <v>0.09</v>
      </c>
      <c r="O74" s="11">
        <f t="shared" si="23"/>
        <v>7.8284203424832111E-3</v>
      </c>
    </row>
    <row r="75" spans="2:15" x14ac:dyDescent="0.25">
      <c r="B75" s="3">
        <v>58</v>
      </c>
      <c r="C75" s="3">
        <f t="shared" si="13"/>
        <v>297</v>
      </c>
      <c r="D75" s="7">
        <f t="shared" si="14"/>
        <v>505750.31812307838</v>
      </c>
      <c r="E75" s="8">
        <f t="shared" si="15"/>
        <v>65319212.444308244</v>
      </c>
      <c r="F75" s="7">
        <f t="shared" si="16"/>
        <v>65834593.313845456</v>
      </c>
      <c r="G75" s="8">
        <f t="shared" si="17"/>
        <v>27460.403185879761</v>
      </c>
      <c r="H75" s="8">
        <f t="shared" si="18"/>
        <v>411906.04778819601</v>
      </c>
      <c r="I75" s="7">
        <f t="shared" si="19"/>
        <v>70374.332265911769</v>
      </c>
      <c r="J75" s="8">
        <f t="shared" si="20"/>
        <v>515380.86953721696</v>
      </c>
      <c r="K75" s="8">
        <f t="shared" si="21"/>
        <v>585755.2018031287</v>
      </c>
      <c r="L75" s="8">
        <f t="shared" si="9"/>
        <v>997661.24959132471</v>
      </c>
      <c r="M75" s="4">
        <f t="shared" si="10"/>
        <v>1.5</v>
      </c>
      <c r="N75" s="10">
        <f t="shared" si="22"/>
        <v>0.09</v>
      </c>
      <c r="O75" s="11">
        <f t="shared" si="23"/>
        <v>7.8284203424832111E-3</v>
      </c>
    </row>
    <row r="76" spans="2:15" x14ac:dyDescent="0.25">
      <c r="B76" s="3">
        <v>59</v>
      </c>
      <c r="C76" s="3">
        <f t="shared" si="13"/>
        <v>296</v>
      </c>
      <c r="D76" s="7">
        <f t="shared" si="14"/>
        <v>501791.09204446629</v>
      </c>
      <c r="E76" s="8">
        <f t="shared" si="15"/>
        <v>64738127.542095467</v>
      </c>
      <c r="F76" s="7">
        <f t="shared" si="16"/>
        <v>65248923.542480551</v>
      </c>
      <c r="G76" s="8">
        <f t="shared" si="17"/>
        <v>27216.338518461791</v>
      </c>
      <c r="H76" s="8">
        <f t="shared" si="18"/>
        <v>408245.07777692651</v>
      </c>
      <c r="I76" s="7">
        <f t="shared" si="19"/>
        <v>70288.901827690046</v>
      </c>
      <c r="J76" s="8">
        <f t="shared" si="20"/>
        <v>510796.00038508646</v>
      </c>
      <c r="K76" s="8">
        <f t="shared" si="21"/>
        <v>581084.90221277648</v>
      </c>
      <c r="L76" s="8">
        <f t="shared" si="9"/>
        <v>989329.97998970305</v>
      </c>
      <c r="M76" s="4">
        <f t="shared" si="10"/>
        <v>1.5</v>
      </c>
      <c r="N76" s="10">
        <f t="shared" si="22"/>
        <v>0.09</v>
      </c>
      <c r="O76" s="11">
        <f t="shared" si="23"/>
        <v>7.8284203424832111E-3</v>
      </c>
    </row>
    <row r="77" spans="2:15" x14ac:dyDescent="0.25">
      <c r="B77" s="3">
        <v>60</v>
      </c>
      <c r="C77" s="3">
        <f t="shared" si="13"/>
        <v>295</v>
      </c>
      <c r="D77" s="7">
        <f t="shared" si="14"/>
        <v>497862.86045182857</v>
      </c>
      <c r="E77" s="8">
        <f t="shared" si="15"/>
        <v>64161676.275508896</v>
      </c>
      <c r="F77" s="7">
        <f t="shared" si="16"/>
        <v>64667923.966998301</v>
      </c>
      <c r="G77" s="8">
        <f t="shared" si="17"/>
        <v>26974.219809206468</v>
      </c>
      <c r="H77" s="8">
        <f t="shared" si="18"/>
        <v>404613.29713809665</v>
      </c>
      <c r="I77" s="7">
        <f t="shared" si="19"/>
        <v>70203.57509716315</v>
      </c>
      <c r="J77" s="8">
        <f t="shared" si="20"/>
        <v>506247.69148940709</v>
      </c>
      <c r="K77" s="8">
        <f t="shared" si="21"/>
        <v>576451.2665865703</v>
      </c>
      <c r="L77" s="8">
        <f t="shared" si="9"/>
        <v>981064.56372466695</v>
      </c>
      <c r="M77" s="4">
        <f t="shared" si="10"/>
        <v>1.5</v>
      </c>
      <c r="N77" s="10">
        <f t="shared" si="22"/>
        <v>0.09</v>
      </c>
      <c r="O77" s="11">
        <f t="shared" si="23"/>
        <v>7.8284203424832111E-3</v>
      </c>
    </row>
    <row r="78" spans="2:15" x14ac:dyDescent="0.25">
      <c r="B78" s="3">
        <v>61</v>
      </c>
      <c r="C78" s="3">
        <f t="shared" si="13"/>
        <v>294</v>
      </c>
      <c r="D78" s="7">
        <f t="shared" si="14"/>
        <v>493965.38070730056</v>
      </c>
      <c r="E78" s="8">
        <f t="shared" si="15"/>
        <v>63589822.267730221</v>
      </c>
      <c r="F78" s="7">
        <f t="shared" si="16"/>
        <v>64091557.923560463</v>
      </c>
      <c r="G78" s="8">
        <f t="shared" si="17"/>
        <v>26734.031781462061</v>
      </c>
      <c r="H78" s="8">
        <f t="shared" si="18"/>
        <v>401010.47672193055</v>
      </c>
      <c r="I78" s="7">
        <f t="shared" si="19"/>
        <v>70118.35194843584</v>
      </c>
      <c r="J78" s="8">
        <f t="shared" si="20"/>
        <v>501735.65583024174</v>
      </c>
      <c r="K78" s="8">
        <f t="shared" si="21"/>
        <v>571854.00777867762</v>
      </c>
      <c r="L78" s="8">
        <f t="shared" si="9"/>
        <v>972864.48450060817</v>
      </c>
      <c r="M78" s="4">
        <f t="shared" si="10"/>
        <v>1.5</v>
      </c>
      <c r="N78" s="10">
        <f t="shared" si="22"/>
        <v>0.09</v>
      </c>
      <c r="O78" s="11">
        <f t="shared" si="23"/>
        <v>7.8284203424832111E-3</v>
      </c>
    </row>
    <row r="79" spans="2:15" x14ac:dyDescent="0.25">
      <c r="B79" s="3">
        <v>62</v>
      </c>
      <c r="C79" s="3">
        <f t="shared" si="13"/>
        <v>293</v>
      </c>
      <c r="D79" s="7">
        <f t="shared" si="14"/>
        <v>490098.41207248904</v>
      </c>
      <c r="E79" s="8">
        <f t="shared" si="15"/>
        <v>63022529.426838905</v>
      </c>
      <c r="F79" s="7">
        <f t="shared" si="16"/>
        <v>63519789.035474457</v>
      </c>
      <c r="G79" s="8">
        <f t="shared" si="17"/>
        <v>26495.759278220947</v>
      </c>
      <c r="H79" s="8">
        <f t="shared" si="18"/>
        <v>397436.38917331386</v>
      </c>
      <c r="I79" s="7">
        <f t="shared" si="19"/>
        <v>70033.232255765717</v>
      </c>
      <c r="J79" s="8">
        <f t="shared" si="20"/>
        <v>497259.60863555025</v>
      </c>
      <c r="K79" s="8">
        <f t="shared" si="21"/>
        <v>567292.84089131595</v>
      </c>
      <c r="L79" s="8">
        <f t="shared" si="9"/>
        <v>964729.23006462981</v>
      </c>
      <c r="M79" s="4">
        <f t="shared" si="10"/>
        <v>1.5</v>
      </c>
      <c r="N79" s="10">
        <f t="shared" si="22"/>
        <v>0.09</v>
      </c>
      <c r="O79" s="11">
        <f t="shared" si="23"/>
        <v>7.8284203424832111E-3</v>
      </c>
    </row>
    <row r="80" spans="2:15" x14ac:dyDescent="0.25">
      <c r="B80" s="3">
        <v>63</v>
      </c>
      <c r="C80" s="3">
        <f t="shared" si="13"/>
        <v>292</v>
      </c>
      <c r="D80" s="7">
        <f t="shared" si="14"/>
        <v>486261.71569360205</v>
      </c>
      <c r="E80" s="8">
        <f t="shared" si="15"/>
        <v>62459761.943581752</v>
      </c>
      <c r="F80" s="7">
        <f t="shared" si="16"/>
        <v>62952581.210945338</v>
      </c>
      <c r="G80" s="8">
        <f t="shared" si="17"/>
        <v>26259.387261182899</v>
      </c>
      <c r="H80" s="8">
        <f t="shared" si="18"/>
        <v>393890.8089177431</v>
      </c>
      <c r="I80" s="7">
        <f t="shared" si="19"/>
        <v>69948.215893562985</v>
      </c>
      <c r="J80" s="8">
        <f t="shared" si="20"/>
        <v>492819.26736359089</v>
      </c>
      <c r="K80" s="8">
        <f t="shared" si="21"/>
        <v>562767.48325715389</v>
      </c>
      <c r="L80" s="8">
        <f t="shared" si="9"/>
        <v>956658.29217489692</v>
      </c>
      <c r="M80" s="4">
        <f t="shared" si="10"/>
        <v>1.5</v>
      </c>
      <c r="N80" s="10">
        <f t="shared" si="22"/>
        <v>0.09</v>
      </c>
      <c r="O80" s="11">
        <f t="shared" si="23"/>
        <v>7.8284203424832111E-3</v>
      </c>
    </row>
    <row r="81" spans="2:15" x14ac:dyDescent="0.25">
      <c r="B81" s="3">
        <v>64</v>
      </c>
      <c r="C81" s="3">
        <f t="shared" si="13"/>
        <v>291</v>
      </c>
      <c r="D81" s="7">
        <f t="shared" si="14"/>
        <v>482455.05458669545</v>
      </c>
      <c r="E81" s="8">
        <f t="shared" si="15"/>
        <v>61901484.289159901</v>
      </c>
      <c r="F81" s="7">
        <f t="shared" si="16"/>
        <v>62389898.640845366</v>
      </c>
      <c r="G81" s="8">
        <f t="shared" si="17"/>
        <v>26024.900809825751</v>
      </c>
      <c r="H81" s="8">
        <f t="shared" si="18"/>
        <v>390373.51214738592</v>
      </c>
      <c r="I81" s="7">
        <f t="shared" si="19"/>
        <v>69863.302736390353</v>
      </c>
      <c r="J81" s="8">
        <f t="shared" si="20"/>
        <v>488414.35168545949</v>
      </c>
      <c r="K81" s="8">
        <f t="shared" si="21"/>
        <v>558277.65442184987</v>
      </c>
      <c r="L81" s="8">
        <f t="shared" si="9"/>
        <v>948651.16656923573</v>
      </c>
      <c r="M81" s="4">
        <f t="shared" si="10"/>
        <v>1.5</v>
      </c>
      <c r="N81" s="10">
        <f t="shared" si="22"/>
        <v>0.09</v>
      </c>
      <c r="O81" s="11">
        <f t="shared" si="23"/>
        <v>7.8284203424832111E-3</v>
      </c>
    </row>
    <row r="82" spans="2:15" x14ac:dyDescent="0.25">
      <c r="B82" s="3">
        <v>65</v>
      </c>
      <c r="C82" s="3">
        <f t="shared" si="13"/>
        <v>290</v>
      </c>
      <c r="D82" s="7">
        <f t="shared" si="14"/>
        <v>478678.1936230351</v>
      </c>
      <c r="E82" s="8">
        <f t="shared" si="15"/>
        <v>61347661.213033177</v>
      </c>
      <c r="F82" s="7">
        <f t="shared" si="16"/>
        <v>61831705.796500936</v>
      </c>
      <c r="G82" s="8">
        <f t="shared" si="17"/>
        <v>25792.285120483313</v>
      </c>
      <c r="H82" s="8">
        <f t="shared" si="18"/>
        <v>386884.27680724935</v>
      </c>
      <c r="I82" s="7">
        <f t="shared" si="19"/>
        <v>69778.492658962743</v>
      </c>
      <c r="J82" s="8">
        <f t="shared" si="20"/>
        <v>484044.58346776501</v>
      </c>
      <c r="K82" s="8">
        <f t="shared" si="21"/>
        <v>553823.07612672774</v>
      </c>
      <c r="L82" s="8">
        <f t="shared" si="9"/>
        <v>940707.35293397703</v>
      </c>
      <c r="M82" s="4">
        <f t="shared" si="10"/>
        <v>1.5</v>
      </c>
      <c r="N82" s="10">
        <f t="shared" si="22"/>
        <v>0.09</v>
      </c>
      <c r="O82" s="11">
        <f t="shared" si="23"/>
        <v>7.8284203424832111E-3</v>
      </c>
    </row>
    <row r="83" spans="2:15" x14ac:dyDescent="0.25">
      <c r="B83" s="3">
        <v>66</v>
      </c>
      <c r="C83" s="3">
        <f t="shared" si="13"/>
        <v>289</v>
      </c>
      <c r="D83" s="7">
        <f t="shared" si="14"/>
        <v>474930.89951457345</v>
      </c>
      <c r="E83" s="8">
        <f t="shared" si="15"/>
        <v>60798257.740741588</v>
      </c>
      <c r="F83" s="7">
        <f t="shared" si="16"/>
        <v>61277967.427497029</v>
      </c>
      <c r="G83" s="8">
        <f t="shared" si="17"/>
        <v>25561.525505430513</v>
      </c>
      <c r="H83" s="8">
        <f t="shared" si="18"/>
        <v>383422.88258145732</v>
      </c>
      <c r="I83" s="7">
        <f t="shared" si="19"/>
        <v>69693.785536147261</v>
      </c>
      <c r="J83" s="8">
        <f t="shared" si="20"/>
        <v>479709.68675544136</v>
      </c>
      <c r="K83" s="8">
        <f t="shared" si="21"/>
        <v>549403.47229158867</v>
      </c>
      <c r="L83" s="8">
        <f t="shared" ref="L83:L146" si="24">H83+K83</f>
        <v>932826.35487304605</v>
      </c>
      <c r="M83" s="4">
        <f t="shared" ref="M83:M146" si="25">$E$11</f>
        <v>1.5</v>
      </c>
      <c r="N83" s="10">
        <f t="shared" si="22"/>
        <v>0.09</v>
      </c>
      <c r="O83" s="11">
        <f t="shared" si="23"/>
        <v>7.8284203424832111E-3</v>
      </c>
    </row>
    <row r="84" spans="2:15" x14ac:dyDescent="0.25">
      <c r="B84" s="3">
        <v>67</v>
      </c>
      <c r="C84" s="3">
        <f t="shared" si="13"/>
        <v>288</v>
      </c>
      <c r="D84" s="7">
        <f t="shared" si="14"/>
        <v>471212.94079953968</v>
      </c>
      <c r="E84" s="8">
        <f t="shared" si="15"/>
        <v>60253239.171743929</v>
      </c>
      <c r="F84" s="7">
        <f t="shared" si="16"/>
        <v>60728648.559498623</v>
      </c>
      <c r="G84" s="8">
        <f t="shared" si="17"/>
        <v>25332.607391975682</v>
      </c>
      <c r="H84" s="8">
        <f t="shared" si="18"/>
        <v>379989.11087963491</v>
      </c>
      <c r="I84" s="7">
        <f t="shared" si="19"/>
        <v>69609.181242962833</v>
      </c>
      <c r="J84" s="8">
        <f t="shared" si="20"/>
        <v>475409.38775469275</v>
      </c>
      <c r="K84" s="8">
        <f t="shared" si="21"/>
        <v>545018.56899765553</v>
      </c>
      <c r="L84" s="8">
        <f t="shared" si="24"/>
        <v>925007.6798772905</v>
      </c>
      <c r="M84" s="4">
        <f t="shared" si="25"/>
        <v>1.5</v>
      </c>
      <c r="N84" s="10">
        <f t="shared" si="22"/>
        <v>0.09</v>
      </c>
      <c r="O84" s="11">
        <f t="shared" si="23"/>
        <v>7.8284203424832111E-3</v>
      </c>
    </row>
    <row r="85" spans="2:15" x14ac:dyDescent="0.25">
      <c r="B85" s="3">
        <v>68</v>
      </c>
      <c r="C85" s="3">
        <f t="shared" si="13"/>
        <v>287</v>
      </c>
      <c r="D85" s="7">
        <f t="shared" si="14"/>
        <v>467524.08782814315</v>
      </c>
      <c r="E85" s="8">
        <f t="shared" si="15"/>
        <v>59712571.077273272</v>
      </c>
      <c r="F85" s="7">
        <f t="shared" si="16"/>
        <v>60183714.492089346</v>
      </c>
      <c r="G85" s="8">
        <f t="shared" si="17"/>
        <v>25105.516321559993</v>
      </c>
      <c r="H85" s="8">
        <f t="shared" si="18"/>
        <v>376582.74482339952</v>
      </c>
      <c r="I85" s="7">
        <f t="shared" si="19"/>
        <v>69524.679654580119</v>
      </c>
      <c r="J85" s="8">
        <f t="shared" si="20"/>
        <v>471143.4148160739</v>
      </c>
      <c r="K85" s="8">
        <f t="shared" si="21"/>
        <v>540668.09447065403</v>
      </c>
      <c r="L85" s="8">
        <f t="shared" si="24"/>
        <v>917250.83929405361</v>
      </c>
      <c r="M85" s="4">
        <f t="shared" si="25"/>
        <v>1.5</v>
      </c>
      <c r="N85" s="10">
        <f t="shared" si="22"/>
        <v>0.09</v>
      </c>
      <c r="O85" s="11">
        <f t="shared" si="23"/>
        <v>7.8284203424832111E-3</v>
      </c>
    </row>
    <row r="86" spans="2:15" x14ac:dyDescent="0.25">
      <c r="B86" s="3">
        <v>69</v>
      </c>
      <c r="C86" s="3">
        <f t="shared" si="13"/>
        <v>286</v>
      </c>
      <c r="D86" s="7">
        <f t="shared" si="14"/>
        <v>463864.11274838843</v>
      </c>
      <c r="E86" s="8">
        <f t="shared" si="15"/>
        <v>59176219.29820925</v>
      </c>
      <c r="F86" s="7">
        <f t="shared" si="16"/>
        <v>59643130.796626948</v>
      </c>
      <c r="G86" s="8">
        <f t="shared" si="17"/>
        <v>24880.237948863884</v>
      </c>
      <c r="H86" s="8">
        <f t="shared" si="18"/>
        <v>373203.5692329579</v>
      </c>
      <c r="I86" s="7">
        <f t="shared" si="19"/>
        <v>69440.280646321335</v>
      </c>
      <c r="J86" s="8">
        <f t="shared" si="20"/>
        <v>466911.49841770128</v>
      </c>
      <c r="K86" s="8">
        <f t="shared" si="21"/>
        <v>536351.77906402259</v>
      </c>
      <c r="L86" s="8">
        <f t="shared" si="24"/>
        <v>909555.34829698049</v>
      </c>
      <c r="M86" s="4">
        <f t="shared" si="25"/>
        <v>1.5</v>
      </c>
      <c r="N86" s="10">
        <f t="shared" si="22"/>
        <v>0.09</v>
      </c>
      <c r="O86" s="11">
        <f t="shared" si="23"/>
        <v>7.8284203424832111E-3</v>
      </c>
    </row>
    <row r="87" spans="2:15" x14ac:dyDescent="0.25">
      <c r="B87" s="3">
        <v>70</v>
      </c>
      <c r="C87" s="3">
        <f t="shared" si="13"/>
        <v>285</v>
      </c>
      <c r="D87" s="7">
        <f t="shared" si="14"/>
        <v>460232.78949200094</v>
      </c>
      <c r="E87" s="8">
        <f t="shared" si="15"/>
        <v>58644149.94296699</v>
      </c>
      <c r="F87" s="7">
        <f t="shared" si="16"/>
        <v>59106863.314115591</v>
      </c>
      <c r="G87" s="8">
        <f t="shared" si="17"/>
        <v>24656.75804092054</v>
      </c>
      <c r="H87" s="8">
        <f t="shared" si="18"/>
        <v>369851.37061380775</v>
      </c>
      <c r="I87" s="7">
        <f t="shared" si="19"/>
        <v>69355.984093660067</v>
      </c>
      <c r="J87" s="8">
        <f t="shared" si="20"/>
        <v>462713.3711485971</v>
      </c>
      <c r="K87" s="8">
        <f t="shared" si="21"/>
        <v>532069.35524225712</v>
      </c>
      <c r="L87" s="8">
        <f t="shared" si="24"/>
        <v>901920.72585606482</v>
      </c>
      <c r="M87" s="4">
        <f t="shared" si="25"/>
        <v>1.5</v>
      </c>
      <c r="N87" s="10">
        <f t="shared" si="22"/>
        <v>0.09</v>
      </c>
      <c r="O87" s="11">
        <f t="shared" si="23"/>
        <v>7.8284203424832111E-3</v>
      </c>
    </row>
    <row r="88" spans="2:15" x14ac:dyDescent="0.25">
      <c r="B88" s="3">
        <v>71</v>
      </c>
      <c r="C88" s="3">
        <f t="shared" si="13"/>
        <v>284</v>
      </c>
      <c r="D88" s="7">
        <f t="shared" si="14"/>
        <v>456629.89376046404</v>
      </c>
      <c r="E88" s="8">
        <f t="shared" si="15"/>
        <v>58116329.385402605</v>
      </c>
      <c r="F88" s="7">
        <f t="shared" si="16"/>
        <v>58574878.153094769</v>
      </c>
      <c r="G88" s="8">
        <f t="shared" si="17"/>
        <v>24435.062476236268</v>
      </c>
      <c r="H88" s="8">
        <f t="shared" si="18"/>
        <v>366525.93714354368</v>
      </c>
      <c r="I88" s="7">
        <f t="shared" si="19"/>
        <v>69271.789872221038</v>
      </c>
      <c r="J88" s="8">
        <f t="shared" si="20"/>
        <v>458548.76769216248</v>
      </c>
      <c r="K88" s="8">
        <f t="shared" si="21"/>
        <v>527820.55756438349</v>
      </c>
      <c r="L88" s="8">
        <f t="shared" si="24"/>
        <v>894346.49470792711</v>
      </c>
      <c r="M88" s="4">
        <f t="shared" si="25"/>
        <v>1.5</v>
      </c>
      <c r="N88" s="10">
        <f t="shared" si="22"/>
        <v>0.09</v>
      </c>
      <c r="O88" s="11">
        <f t="shared" si="23"/>
        <v>7.8284203424832111E-3</v>
      </c>
    </row>
    <row r="89" spans="2:15" x14ac:dyDescent="0.25">
      <c r="B89" s="3">
        <v>72</v>
      </c>
      <c r="C89" s="3">
        <f t="shared" si="13"/>
        <v>283</v>
      </c>
      <c r="D89" s="7">
        <f t="shared" si="14"/>
        <v>453055.20301116363</v>
      </c>
      <c r="E89" s="8">
        <f t="shared" si="15"/>
        <v>57592724.262735046</v>
      </c>
      <c r="F89" s="7">
        <f t="shared" si="16"/>
        <v>58047141.687544823</v>
      </c>
      <c r="G89" s="8">
        <f t="shared" si="17"/>
        <v>24215.137243917772</v>
      </c>
      <c r="H89" s="8">
        <f t="shared" si="18"/>
        <v>363227.05865876627</v>
      </c>
      <c r="I89" s="7">
        <f t="shared" si="19"/>
        <v>69187.69785777996</v>
      </c>
      <c r="J89" s="8">
        <f t="shared" si="20"/>
        <v>454417.42480978114</v>
      </c>
      <c r="K89" s="8">
        <f t="shared" si="21"/>
        <v>523605.12266756111</v>
      </c>
      <c r="L89" s="8">
        <f t="shared" si="24"/>
        <v>886832.18132632738</v>
      </c>
      <c r="M89" s="4">
        <f t="shared" si="25"/>
        <v>1.5</v>
      </c>
      <c r="N89" s="10">
        <f t="shared" si="22"/>
        <v>0.09</v>
      </c>
      <c r="O89" s="11">
        <f t="shared" si="23"/>
        <v>7.8284203424832111E-3</v>
      </c>
    </row>
    <row r="90" spans="2:15" x14ac:dyDescent="0.25">
      <c r="B90" s="3">
        <v>73</v>
      </c>
      <c r="C90" s="3">
        <f t="shared" si="13"/>
        <v>282</v>
      </c>
      <c r="D90" s="7">
        <f t="shared" si="14"/>
        <v>449508.49644364323</v>
      </c>
      <c r="E90" s="8">
        <f t="shared" si="15"/>
        <v>57073301.473484233</v>
      </c>
      <c r="F90" s="7">
        <f t="shared" si="16"/>
        <v>57523620.554808781</v>
      </c>
      <c r="G90" s="8">
        <f t="shared" si="17"/>
        <v>23996.96844280629</v>
      </c>
      <c r="H90" s="8">
        <f t="shared" si="18"/>
        <v>359954.52664209402</v>
      </c>
      <c r="I90" s="7">
        <f t="shared" si="19"/>
        <v>69103.707926263305</v>
      </c>
      <c r="J90" s="8">
        <f t="shared" si="20"/>
        <v>450319.08132455044</v>
      </c>
      <c r="K90" s="8">
        <f t="shared" si="21"/>
        <v>519422.78925081377</v>
      </c>
      <c r="L90" s="8">
        <f t="shared" si="24"/>
        <v>879377.31589290779</v>
      </c>
      <c r="M90" s="4">
        <f t="shared" si="25"/>
        <v>1.5</v>
      </c>
      <c r="N90" s="10">
        <f t="shared" si="22"/>
        <v>0.09</v>
      </c>
      <c r="O90" s="11">
        <f t="shared" si="23"/>
        <v>7.8284203424832111E-3</v>
      </c>
    </row>
    <row r="91" spans="2:15" x14ac:dyDescent="0.25">
      <c r="B91" s="3">
        <v>74</v>
      </c>
      <c r="C91" s="3">
        <f t="shared" si="13"/>
        <v>281</v>
      </c>
      <c r="D91" s="7">
        <f t="shared" si="14"/>
        <v>445989.55498596467</v>
      </c>
      <c r="E91" s="8">
        <f t="shared" si="15"/>
        <v>56558028.175425343</v>
      </c>
      <c r="F91" s="7">
        <f t="shared" si="16"/>
        <v>57004281.653530486</v>
      </c>
      <c r="G91" s="8">
        <f t="shared" si="17"/>
        <v>23780.542280618451</v>
      </c>
      <c r="H91" s="8">
        <f t="shared" si="18"/>
        <v>356708.13420927641</v>
      </c>
      <c r="I91" s="7">
        <f t="shared" si="19"/>
        <v>69019.819953748287</v>
      </c>
      <c r="J91" s="8">
        <f t="shared" si="20"/>
        <v>446253.47810514056</v>
      </c>
      <c r="K91" s="8">
        <f t="shared" si="21"/>
        <v>515273.29805888887</v>
      </c>
      <c r="L91" s="8">
        <f t="shared" si="24"/>
        <v>871981.43226816528</v>
      </c>
      <c r="M91" s="4">
        <f t="shared" si="25"/>
        <v>1.5</v>
      </c>
      <c r="N91" s="10">
        <f t="shared" si="22"/>
        <v>0.09</v>
      </c>
      <c r="O91" s="11">
        <f t="shared" si="23"/>
        <v>7.8284203424832111E-3</v>
      </c>
    </row>
    <row r="92" spans="2:15" x14ac:dyDescent="0.25">
      <c r="B92" s="3">
        <v>75</v>
      </c>
      <c r="C92" s="3">
        <f t="shared" si="13"/>
        <v>280</v>
      </c>
      <c r="D92" s="7">
        <f t="shared" si="14"/>
        <v>442498.16128117754</v>
      </c>
      <c r="E92" s="8">
        <f t="shared" si="15"/>
        <v>56046871.783559099</v>
      </c>
      <c r="F92" s="7">
        <f t="shared" si="16"/>
        <v>56489092.141608879</v>
      </c>
      <c r="G92" s="8">
        <f t="shared" si="17"/>
        <v>23565.845073093911</v>
      </c>
      <c r="H92" s="8">
        <f t="shared" si="18"/>
        <v>353487.67609640834</v>
      </c>
      <c r="I92" s="7">
        <f t="shared" si="19"/>
        <v>68936.033816462397</v>
      </c>
      <c r="J92" s="8">
        <f t="shared" si="20"/>
        <v>442220.35804977943</v>
      </c>
      <c r="K92" s="8">
        <f t="shared" si="21"/>
        <v>511156.39186624181</v>
      </c>
      <c r="L92" s="8">
        <f t="shared" si="24"/>
        <v>864644.06796265021</v>
      </c>
      <c r="M92" s="4">
        <f t="shared" si="25"/>
        <v>1.5</v>
      </c>
      <c r="N92" s="10">
        <f t="shared" si="22"/>
        <v>0.09</v>
      </c>
      <c r="O92" s="11">
        <f t="shared" si="23"/>
        <v>7.8284203424832111E-3</v>
      </c>
    </row>
    <row r="93" spans="2:15" x14ac:dyDescent="0.25">
      <c r="B93" s="3">
        <v>76</v>
      </c>
      <c r="C93" s="3">
        <f t="shared" si="13"/>
        <v>279</v>
      </c>
      <c r="D93" s="7">
        <f t="shared" si="14"/>
        <v>439034.09967389255</v>
      </c>
      <c r="E93" s="8">
        <f t="shared" si="15"/>
        <v>55539799.968097955</v>
      </c>
      <c r="F93" s="7">
        <f t="shared" si="16"/>
        <v>55978019.434168316</v>
      </c>
      <c r="G93" s="8">
        <f t="shared" si="17"/>
        <v>23352.863243149644</v>
      </c>
      <c r="H93" s="8">
        <f t="shared" si="18"/>
        <v>350292.94864724431</v>
      </c>
      <c r="I93" s="7">
        <f t="shared" si="19"/>
        <v>68852.349390783507</v>
      </c>
      <c r="J93" s="8">
        <f t="shared" si="20"/>
        <v>438219.46607036376</v>
      </c>
      <c r="K93" s="8">
        <f t="shared" si="21"/>
        <v>507071.81546114729</v>
      </c>
      <c r="L93" s="8">
        <f t="shared" si="24"/>
        <v>857364.7641083916</v>
      </c>
      <c r="M93" s="4">
        <f t="shared" si="25"/>
        <v>1.5</v>
      </c>
      <c r="N93" s="10">
        <f t="shared" si="22"/>
        <v>0.09</v>
      </c>
      <c r="O93" s="11">
        <f t="shared" si="23"/>
        <v>7.8284203424832111E-3</v>
      </c>
    </row>
    <row r="94" spans="2:15" x14ac:dyDescent="0.25">
      <c r="B94" s="3">
        <v>77</v>
      </c>
      <c r="C94" s="3">
        <f t="shared" si="13"/>
        <v>278</v>
      </c>
      <c r="D94" s="7">
        <f t="shared" si="14"/>
        <v>435597.15619696165</v>
      </c>
      <c r="E94" s="8">
        <f t="shared" si="15"/>
        <v>55036780.652468018</v>
      </c>
      <c r="F94" s="7">
        <f t="shared" si="16"/>
        <v>55471031.201544717</v>
      </c>
      <c r="G94" s="8">
        <f t="shared" si="17"/>
        <v>23141.583320040834</v>
      </c>
      <c r="H94" s="8">
        <f t="shared" si="18"/>
        <v>347123.74980061222</v>
      </c>
      <c r="I94" s="7">
        <f t="shared" si="19"/>
        <v>68768.766553239489</v>
      </c>
      <c r="J94" s="8">
        <f t="shared" si="20"/>
        <v>434250.5490766936</v>
      </c>
      <c r="K94" s="8">
        <f t="shared" si="21"/>
        <v>503019.31562993309</v>
      </c>
      <c r="L94" s="8">
        <f t="shared" si="24"/>
        <v>850143.06543054525</v>
      </c>
      <c r="M94" s="4">
        <f t="shared" si="25"/>
        <v>1.5</v>
      </c>
      <c r="N94" s="10">
        <f t="shared" si="22"/>
        <v>0.09</v>
      </c>
      <c r="O94" s="11">
        <f t="shared" si="23"/>
        <v>7.8284203424832111E-3</v>
      </c>
    </row>
    <row r="95" spans="2:15" x14ac:dyDescent="0.25">
      <c r="B95" s="3">
        <v>78</v>
      </c>
      <c r="C95" s="3">
        <f t="shared" si="13"/>
        <v>277</v>
      </c>
      <c r="D95" s="7">
        <f t="shared" si="14"/>
        <v>432187.11855826149</v>
      </c>
      <c r="E95" s="8">
        <f t="shared" si="15"/>
        <v>54537782.011326678</v>
      </c>
      <c r="F95" s="7">
        <f t="shared" si="16"/>
        <v>54968095.367287509</v>
      </c>
      <c r="G95" s="8">
        <f t="shared" si="17"/>
        <v>22931.991938528361</v>
      </c>
      <c r="H95" s="8">
        <f t="shared" si="18"/>
        <v>343979.87907792511</v>
      </c>
      <c r="I95" s="7">
        <f t="shared" si="19"/>
        <v>68685.285180508145</v>
      </c>
      <c r="J95" s="8">
        <f t="shared" si="20"/>
        <v>430313.3559608307</v>
      </c>
      <c r="K95" s="8">
        <f t="shared" si="21"/>
        <v>498998.64114133886</v>
      </c>
      <c r="L95" s="8">
        <f t="shared" si="24"/>
        <v>842978.52021926397</v>
      </c>
      <c r="M95" s="4">
        <f t="shared" si="25"/>
        <v>1.5</v>
      </c>
      <c r="N95" s="10">
        <f t="shared" si="22"/>
        <v>0.09</v>
      </c>
      <c r="O95" s="11">
        <f t="shared" si="23"/>
        <v>7.8284203424832111E-3</v>
      </c>
    </row>
    <row r="96" spans="2:15" x14ac:dyDescent="0.25">
      <c r="B96" s="3">
        <v>79</v>
      </c>
      <c r="C96" s="3">
        <f t="shared" si="13"/>
        <v>276</v>
      </c>
      <c r="D96" s="7">
        <f t="shared" si="14"/>
        <v>428803.77612758073</v>
      </c>
      <c r="E96" s="8">
        <f t="shared" si="15"/>
        <v>54042772.468595684</v>
      </c>
      <c r="F96" s="7">
        <f t="shared" si="16"/>
        <v>54469180.106177263</v>
      </c>
      <c r="G96" s="8">
        <f t="shared" si="17"/>
        <v>22724.075838052802</v>
      </c>
      <c r="H96" s="8">
        <f t="shared" si="18"/>
        <v>340861.1375707917</v>
      </c>
      <c r="I96" s="7">
        <f t="shared" si="19"/>
        <v>68601.905149416925</v>
      </c>
      <c r="J96" s="8">
        <f t="shared" si="20"/>
        <v>426407.63758157991</v>
      </c>
      <c r="K96" s="8">
        <f t="shared" si="21"/>
        <v>495009.54273099685</v>
      </c>
      <c r="L96" s="8">
        <f t="shared" si="24"/>
        <v>835870.6803017885</v>
      </c>
      <c r="M96" s="4">
        <f t="shared" si="25"/>
        <v>1.5</v>
      </c>
      <c r="N96" s="10">
        <f t="shared" si="22"/>
        <v>0.09</v>
      </c>
      <c r="O96" s="11">
        <f t="shared" si="23"/>
        <v>7.8284203424832111E-3</v>
      </c>
    </row>
    <row r="97" spans="2:15" x14ac:dyDescent="0.25">
      <c r="B97" s="3">
        <v>80</v>
      </c>
      <c r="C97" s="3">
        <f t="shared" si="13"/>
        <v>275</v>
      </c>
      <c r="D97" s="7">
        <f t="shared" si="14"/>
        <v>425446.91992361</v>
      </c>
      <c r="E97" s="8">
        <f t="shared" si="15"/>
        <v>53551720.69550965</v>
      </c>
      <c r="F97" s="7">
        <f t="shared" si="16"/>
        <v>53974253.842258744</v>
      </c>
      <c r="G97" s="8">
        <f t="shared" si="17"/>
        <v>22517.821861914887</v>
      </c>
      <c r="H97" s="8">
        <f t="shared" si="18"/>
        <v>337767.32792872301</v>
      </c>
      <c r="I97" s="7">
        <f t="shared" si="19"/>
        <v>68518.626336942863</v>
      </c>
      <c r="J97" s="8">
        <f t="shared" si="20"/>
        <v>422533.14674909099</v>
      </c>
      <c r="K97" s="8">
        <f t="shared" si="21"/>
        <v>491051.77308603388</v>
      </c>
      <c r="L97" s="8">
        <f t="shared" si="24"/>
        <v>828819.10101475683</v>
      </c>
      <c r="M97" s="4">
        <f t="shared" si="25"/>
        <v>1.5</v>
      </c>
      <c r="N97" s="10">
        <f t="shared" si="22"/>
        <v>0.09</v>
      </c>
      <c r="O97" s="11">
        <f t="shared" si="23"/>
        <v>7.8284203424832111E-3</v>
      </c>
    </row>
    <row r="98" spans="2:15" x14ac:dyDescent="0.25">
      <c r="B98" s="3">
        <v>81</v>
      </c>
      <c r="C98" s="3">
        <f t="shared" si="13"/>
        <v>274</v>
      </c>
      <c r="D98" s="7">
        <f t="shared" si="14"/>
        <v>422116.34260103316</v>
      </c>
      <c r="E98" s="8">
        <f t="shared" si="15"/>
        <v>53064595.608679853</v>
      </c>
      <c r="F98" s="7">
        <f t="shared" si="16"/>
        <v>53483285.246889435</v>
      </c>
      <c r="G98" s="8">
        <f t="shared" si="17"/>
        <v>22313.216956462373</v>
      </c>
      <c r="H98" s="8">
        <f t="shared" si="18"/>
        <v>334698.25434693531</v>
      </c>
      <c r="I98" s="7">
        <f t="shared" si="19"/>
        <v>68435.448620212308</v>
      </c>
      <c r="J98" s="8">
        <f t="shared" si="20"/>
        <v>418689.63820958143</v>
      </c>
      <c r="K98" s="8">
        <f t="shared" si="21"/>
        <v>487125.08682979376</v>
      </c>
      <c r="L98" s="8">
        <f t="shared" si="24"/>
        <v>821823.34117672907</v>
      </c>
      <c r="M98" s="4">
        <f t="shared" si="25"/>
        <v>1.5</v>
      </c>
      <c r="N98" s="10">
        <f t="shared" si="22"/>
        <v>0.09</v>
      </c>
      <c r="O98" s="11">
        <f t="shared" si="23"/>
        <v>7.8284203424832111E-3</v>
      </c>
    </row>
    <row r="99" spans="2:15" x14ac:dyDescent="0.25">
      <c r="B99" s="3">
        <v>82</v>
      </c>
      <c r="C99" s="3">
        <f t="shared" si="13"/>
        <v>273</v>
      </c>
      <c r="D99" s="7">
        <f t="shared" si="14"/>
        <v>418811.83843772061</v>
      </c>
      <c r="E99" s="8">
        <f t="shared" si="15"/>
        <v>52581366.368173175</v>
      </c>
      <c r="F99" s="7">
        <f t="shared" si="16"/>
        <v>52996243.236803353</v>
      </c>
      <c r="G99" s="8">
        <f t="shared" si="17"/>
        <v>22110.248170283292</v>
      </c>
      <c r="H99" s="8">
        <f t="shared" si="18"/>
        <v>331653.72255424905</v>
      </c>
      <c r="I99" s="7">
        <f t="shared" si="19"/>
        <v>68352.37187650078</v>
      </c>
      <c r="J99" s="8">
        <f t="shared" si="20"/>
        <v>414876.86863017967</v>
      </c>
      <c r="K99" s="8">
        <f t="shared" si="21"/>
        <v>483229.24050668045</v>
      </c>
      <c r="L99" s="8">
        <f t="shared" si="24"/>
        <v>814882.96306092944</v>
      </c>
      <c r="M99" s="4">
        <f t="shared" si="25"/>
        <v>1.5</v>
      </c>
      <c r="N99" s="10">
        <f t="shared" si="22"/>
        <v>0.09</v>
      </c>
      <c r="O99" s="11">
        <f t="shared" si="23"/>
        <v>7.8284203424832111E-3</v>
      </c>
    </row>
    <row r="100" spans="2:15" x14ac:dyDescent="0.25">
      <c r="B100" s="3">
        <v>83</v>
      </c>
      <c r="C100" s="3">
        <f t="shared" si="13"/>
        <v>272</v>
      </c>
      <c r="D100" s="7">
        <f t="shared" si="14"/>
        <v>415533.20332202199</v>
      </c>
      <c r="E100" s="8">
        <f t="shared" si="15"/>
        <v>52102002.37560606</v>
      </c>
      <c r="F100" s="7">
        <f t="shared" si="16"/>
        <v>52513096.972189941</v>
      </c>
      <c r="G100" s="8">
        <f t="shared" si="17"/>
        <v>21908.902653405508</v>
      </c>
      <c r="H100" s="8">
        <f t="shared" si="18"/>
        <v>328633.53980108234</v>
      </c>
      <c r="I100" s="7">
        <f t="shared" si="19"/>
        <v>68269.395983232767</v>
      </c>
      <c r="J100" s="8">
        <f t="shared" si="20"/>
        <v>411094.59658388526</v>
      </c>
      <c r="K100" s="8">
        <f t="shared" si="21"/>
        <v>479363.99256711802</v>
      </c>
      <c r="L100" s="8">
        <f t="shared" si="24"/>
        <v>807997.53236820037</v>
      </c>
      <c r="M100" s="4">
        <f t="shared" si="25"/>
        <v>1.5</v>
      </c>
      <c r="N100" s="10">
        <f t="shared" si="22"/>
        <v>0.09</v>
      </c>
      <c r="O100" s="11">
        <f t="shared" si="23"/>
        <v>7.8284203424832111E-3</v>
      </c>
    </row>
    <row r="101" spans="2:15" x14ac:dyDescent="0.25">
      <c r="B101" s="3">
        <v>84</v>
      </c>
      <c r="C101" s="3">
        <f t="shared" si="13"/>
        <v>271</v>
      </c>
      <c r="D101" s="7">
        <f t="shared" si="14"/>
        <v>412280.2347401586</v>
      </c>
      <c r="E101" s="8">
        <f t="shared" si="15"/>
        <v>51626473.272253431</v>
      </c>
      <c r="F101" s="7">
        <f t="shared" si="16"/>
        <v>52033815.85478808</v>
      </c>
      <c r="G101" s="8">
        <f t="shared" si="17"/>
        <v>21709.167656502545</v>
      </c>
      <c r="H101" s="8">
        <f t="shared" si="18"/>
        <v>325637.51484753785</v>
      </c>
      <c r="I101" s="7">
        <f t="shared" si="19"/>
        <v>68186.520817981582</v>
      </c>
      <c r="J101" s="8">
        <f t="shared" si="20"/>
        <v>407342.58253464842</v>
      </c>
      <c r="K101" s="8">
        <f t="shared" si="21"/>
        <v>475529.10335262999</v>
      </c>
      <c r="L101" s="8">
        <f t="shared" si="24"/>
        <v>801166.61820016778</v>
      </c>
      <c r="M101" s="4">
        <f t="shared" si="25"/>
        <v>1.5</v>
      </c>
      <c r="N101" s="10">
        <f t="shared" si="22"/>
        <v>0.09</v>
      </c>
      <c r="O101" s="11">
        <f t="shared" si="23"/>
        <v>7.8284203424832111E-3</v>
      </c>
    </row>
    <row r="102" spans="2:15" x14ac:dyDescent="0.25">
      <c r="B102" s="3">
        <v>85</v>
      </c>
      <c r="C102" s="3">
        <f t="shared" si="13"/>
        <v>270</v>
      </c>
      <c r="D102" s="7">
        <f t="shared" si="14"/>
        <v>409052.73176371504</v>
      </c>
      <c r="E102" s="8">
        <f t="shared" si="15"/>
        <v>51154748.937172398</v>
      </c>
      <c r="F102" s="7">
        <f t="shared" si="16"/>
        <v>51558369.525994964</v>
      </c>
      <c r="G102" s="8">
        <f t="shared" si="17"/>
        <v>21511.030530105614</v>
      </c>
      <c r="H102" s="8">
        <f t="shared" si="18"/>
        <v>322665.4579515839</v>
      </c>
      <c r="I102" s="7">
        <f t="shared" si="19"/>
        <v>68103.74625846908</v>
      </c>
      <c r="J102" s="8">
        <f t="shared" si="20"/>
        <v>403620.58882256545</v>
      </c>
      <c r="K102" s="8">
        <f t="shared" si="21"/>
        <v>471724.33508103451</v>
      </c>
      <c r="L102" s="8">
        <f t="shared" si="24"/>
        <v>794389.79303261847</v>
      </c>
      <c r="M102" s="4">
        <f t="shared" si="25"/>
        <v>1.5</v>
      </c>
      <c r="N102" s="10">
        <f t="shared" si="22"/>
        <v>0.09</v>
      </c>
      <c r="O102" s="11">
        <f t="shared" si="23"/>
        <v>7.8284203424832111E-3</v>
      </c>
    </row>
    <row r="103" spans="2:15" x14ac:dyDescent="0.25">
      <c r="B103" s="3">
        <v>86</v>
      </c>
      <c r="C103" s="3">
        <f t="shared" si="13"/>
        <v>269</v>
      </c>
      <c r="D103" s="7">
        <f t="shared" si="14"/>
        <v>405850.49503722764</v>
      </c>
      <c r="E103" s="8">
        <f t="shared" si="15"/>
        <v>50686799.48534064</v>
      </c>
      <c r="F103" s="7">
        <f t="shared" si="16"/>
        <v>51086727.864989832</v>
      </c>
      <c r="G103" s="8">
        <f t="shared" si="17"/>
        <v>21314.478723821849</v>
      </c>
      <c r="H103" s="8">
        <f t="shared" si="18"/>
        <v>319717.18085732748</v>
      </c>
      <c r="I103" s="7">
        <f t="shared" si="19"/>
        <v>68021.072182565724</v>
      </c>
      <c r="J103" s="8">
        <f t="shared" si="20"/>
        <v>399928.37964919029</v>
      </c>
      <c r="K103" s="8">
        <f t="shared" si="21"/>
        <v>467949.45183175604</v>
      </c>
      <c r="L103" s="8">
        <f t="shared" si="24"/>
        <v>787666.63268908346</v>
      </c>
      <c r="M103" s="4">
        <f t="shared" si="25"/>
        <v>1.5</v>
      </c>
      <c r="N103" s="10">
        <f t="shared" si="22"/>
        <v>0.09</v>
      </c>
      <c r="O103" s="11">
        <f t="shared" si="23"/>
        <v>7.8284203424832111E-3</v>
      </c>
    </row>
    <row r="104" spans="2:15" x14ac:dyDescent="0.25">
      <c r="B104" s="3">
        <v>87</v>
      </c>
      <c r="C104" s="3">
        <f t="shared" si="13"/>
        <v>268</v>
      </c>
      <c r="D104" s="7">
        <f t="shared" si="14"/>
        <v>402673.32676587132</v>
      </c>
      <c r="E104" s="8">
        <f t="shared" si="15"/>
        <v>50222595.265809387</v>
      </c>
      <c r="F104" s="7">
        <f t="shared" si="16"/>
        <v>50618860.986872353</v>
      </c>
      <c r="G104" s="8">
        <f t="shared" si="17"/>
        <v>21119.499785558619</v>
      </c>
      <c r="H104" s="8">
        <f t="shared" si="18"/>
        <v>316792.496783379</v>
      </c>
      <c r="I104" s="7">
        <f t="shared" si="19"/>
        <v>67938.49846829001</v>
      </c>
      <c r="J104" s="8">
        <f t="shared" si="20"/>
        <v>396265.72106296133</v>
      </c>
      <c r="K104" s="8">
        <f t="shared" si="21"/>
        <v>464204.21953125135</v>
      </c>
      <c r="L104" s="8">
        <f t="shared" si="24"/>
        <v>780996.71631463035</v>
      </c>
      <c r="M104" s="4">
        <f t="shared" si="25"/>
        <v>1.5</v>
      </c>
      <c r="N104" s="10">
        <f t="shared" si="22"/>
        <v>0.09</v>
      </c>
      <c r="O104" s="11">
        <f t="shared" si="23"/>
        <v>7.8284203424832111E-3</v>
      </c>
    </row>
    <row r="105" spans="2:15" x14ac:dyDescent="0.25">
      <c r="B105" s="3">
        <v>88</v>
      </c>
      <c r="C105" s="3">
        <f t="shared" si="13"/>
        <v>267</v>
      </c>
      <c r="D105" s="7">
        <f t="shared" si="14"/>
        <v>399521.03070324194</v>
      </c>
      <c r="E105" s="8">
        <f t="shared" si="15"/>
        <v>49762106.859870836</v>
      </c>
      <c r="F105" s="7">
        <f t="shared" si="16"/>
        <v>50154739.24081558</v>
      </c>
      <c r="G105" s="8">
        <f t="shared" si="17"/>
        <v>20926.081360753928</v>
      </c>
      <c r="H105" s="8">
        <f t="shared" si="18"/>
        <v>313891.22041130863</v>
      </c>
      <c r="I105" s="7">
        <f t="shared" si="19"/>
        <v>67856.024993808707</v>
      </c>
      <c r="J105" s="8">
        <f t="shared" si="20"/>
        <v>392632.38094474166</v>
      </c>
      <c r="K105" s="8">
        <f t="shared" si="21"/>
        <v>460488.40593855036</v>
      </c>
      <c r="L105" s="8">
        <f t="shared" si="24"/>
        <v>774379.62634985894</v>
      </c>
      <c r="M105" s="4">
        <f t="shared" si="25"/>
        <v>1.5</v>
      </c>
      <c r="N105" s="10">
        <f t="shared" si="22"/>
        <v>0.09</v>
      </c>
      <c r="O105" s="11">
        <f t="shared" si="23"/>
        <v>7.8284203424832111E-3</v>
      </c>
    </row>
    <row r="106" spans="2:15" x14ac:dyDescent="0.25">
      <c r="B106" s="3">
        <v>89</v>
      </c>
      <c r="C106" s="3">
        <f t="shared" si="13"/>
        <v>266</v>
      </c>
      <c r="D106" s="7">
        <f t="shared" si="14"/>
        <v>396393.41213923477</v>
      </c>
      <c r="E106" s="8">
        <f t="shared" si="15"/>
        <v>49305305.079239927</v>
      </c>
      <c r="F106" s="7">
        <f t="shared" si="16"/>
        <v>49694333.208233401</v>
      </c>
      <c r="G106" s="8">
        <f t="shared" si="17"/>
        <v>20734.211191612867</v>
      </c>
      <c r="H106" s="8">
        <f t="shared" si="18"/>
        <v>311013.1678741927</v>
      </c>
      <c r="I106" s="7">
        <f t="shared" si="19"/>
        <v>67773.651637436356</v>
      </c>
      <c r="J106" s="8">
        <f t="shared" si="20"/>
        <v>389028.12899347331</v>
      </c>
      <c r="K106" s="8">
        <f t="shared" si="21"/>
        <v>456801.78063090966</v>
      </c>
      <c r="L106" s="8">
        <f t="shared" si="24"/>
        <v>767814.94850510242</v>
      </c>
      <c r="M106" s="4">
        <f t="shared" si="25"/>
        <v>1.5</v>
      </c>
      <c r="N106" s="10">
        <f t="shared" si="22"/>
        <v>0.09</v>
      </c>
      <c r="O106" s="11">
        <f t="shared" si="23"/>
        <v>7.8284203424832111E-3</v>
      </c>
    </row>
    <row r="107" spans="2:15" x14ac:dyDescent="0.25">
      <c r="B107" s="3">
        <v>90</v>
      </c>
      <c r="C107" s="3">
        <f t="shared" si="13"/>
        <v>265</v>
      </c>
      <c r="D107" s="7">
        <f t="shared" si="14"/>
        <v>393290.27788801765</v>
      </c>
      <c r="E107" s="8">
        <f t="shared" si="15"/>
        <v>48852160.964250349</v>
      </c>
      <c r="F107" s="7">
        <f t="shared" si="16"/>
        <v>49237613.70096229</v>
      </c>
      <c r="G107" s="8">
        <f t="shared" si="17"/>
        <v>20543.877116349988</v>
      </c>
      <c r="H107" s="8">
        <f t="shared" si="18"/>
        <v>308158.15674524952</v>
      </c>
      <c r="I107" s="7">
        <f t="shared" si="19"/>
        <v>67691.378277635289</v>
      </c>
      <c r="J107" s="8">
        <f t="shared" si="20"/>
        <v>385452.73671194323</v>
      </c>
      <c r="K107" s="8">
        <f t="shared" si="21"/>
        <v>453144.11498957849</v>
      </c>
      <c r="L107" s="8">
        <f t="shared" si="24"/>
        <v>761302.27173482801</v>
      </c>
      <c r="M107" s="4">
        <f t="shared" si="25"/>
        <v>1.5</v>
      </c>
      <c r="N107" s="10">
        <f t="shared" si="22"/>
        <v>0.09</v>
      </c>
      <c r="O107" s="11">
        <f t="shared" si="23"/>
        <v>7.8284203424832111E-3</v>
      </c>
    </row>
    <row r="108" spans="2:15" x14ac:dyDescent="0.25">
      <c r="B108" s="3">
        <v>91</v>
      </c>
      <c r="C108" s="3">
        <f t="shared" si="13"/>
        <v>264</v>
      </c>
      <c r="D108" s="7">
        <f t="shared" si="14"/>
        <v>390211.43627609825</v>
      </c>
      <c r="E108" s="8">
        <f t="shared" si="15"/>
        <v>48402645.782064669</v>
      </c>
      <c r="F108" s="7">
        <f t="shared" si="16"/>
        <v>48784551.759457335</v>
      </c>
      <c r="G108" s="8">
        <f t="shared" si="17"/>
        <v>20355.067068437664</v>
      </c>
      <c r="H108" s="8">
        <f t="shared" si="18"/>
        <v>305326.00602656463</v>
      </c>
      <c r="I108" s="7">
        <f t="shared" si="19"/>
        <v>67609.204793015349</v>
      </c>
      <c r="J108" s="8">
        <f t="shared" si="20"/>
        <v>381905.97739266092</v>
      </c>
      <c r="K108" s="8">
        <f t="shared" si="21"/>
        <v>449515.1821856763</v>
      </c>
      <c r="L108" s="8">
        <f t="shared" si="24"/>
        <v>754841.18821224093</v>
      </c>
      <c r="M108" s="4">
        <f t="shared" si="25"/>
        <v>1.5</v>
      </c>
      <c r="N108" s="10">
        <f t="shared" si="22"/>
        <v>0.09</v>
      </c>
      <c r="O108" s="11">
        <f t="shared" si="23"/>
        <v>7.8284203424832111E-3</v>
      </c>
    </row>
    <row r="109" spans="2:15" x14ac:dyDescent="0.25">
      <c r="B109" s="3">
        <v>92</v>
      </c>
      <c r="C109" s="3">
        <f t="shared" si="13"/>
        <v>263</v>
      </c>
      <c r="D109" s="7">
        <f t="shared" si="14"/>
        <v>387156.6971304848</v>
      </c>
      <c r="E109" s="8">
        <f t="shared" si="15"/>
        <v>47956731.024898492</v>
      </c>
      <c r="F109" s="7">
        <f t="shared" si="16"/>
        <v>48335118.651002333</v>
      </c>
      <c r="G109" s="8">
        <f t="shared" si="17"/>
        <v>20167.769075860295</v>
      </c>
      <c r="H109" s="8">
        <f t="shared" si="18"/>
        <v>302516.53613790416</v>
      </c>
      <c r="I109" s="7">
        <f t="shared" si="19"/>
        <v>67527.131062333763</v>
      </c>
      <c r="J109" s="8">
        <f t="shared" si="20"/>
        <v>378387.6261038463</v>
      </c>
      <c r="K109" s="8">
        <f t="shared" si="21"/>
        <v>445914.75716618006</v>
      </c>
      <c r="L109" s="8">
        <f t="shared" si="24"/>
        <v>748431.29330408422</v>
      </c>
      <c r="M109" s="4">
        <f t="shared" si="25"/>
        <v>1.5</v>
      </c>
      <c r="N109" s="10">
        <f t="shared" si="22"/>
        <v>0.09</v>
      </c>
      <c r="O109" s="11">
        <f t="shared" si="23"/>
        <v>7.8284203424832111E-3</v>
      </c>
    </row>
    <row r="110" spans="2:15" x14ac:dyDescent="0.25">
      <c r="B110" s="3">
        <v>93</v>
      </c>
      <c r="C110" s="3">
        <f t="shared" si="13"/>
        <v>262</v>
      </c>
      <c r="D110" s="7">
        <f t="shared" si="14"/>
        <v>384125.87176693993</v>
      </c>
      <c r="E110" s="8">
        <f t="shared" si="15"/>
        <v>47514388.408258468</v>
      </c>
      <c r="F110" s="7">
        <f t="shared" si="16"/>
        <v>47889285.867933996</v>
      </c>
      <c r="G110" s="8">
        <f t="shared" si="17"/>
        <v>19981.97126037439</v>
      </c>
      <c r="H110" s="8">
        <f t="shared" si="18"/>
        <v>299729.56890561554</v>
      </c>
      <c r="I110" s="7">
        <f t="shared" si="19"/>
        <v>67445.156964494876</v>
      </c>
      <c r="J110" s="8">
        <f t="shared" si="20"/>
        <v>374897.45967552823</v>
      </c>
      <c r="K110" s="8">
        <f t="shared" si="21"/>
        <v>442342.61664002307</v>
      </c>
      <c r="L110" s="8">
        <f t="shared" si="24"/>
        <v>742072.18554563867</v>
      </c>
      <c r="M110" s="4">
        <f t="shared" si="25"/>
        <v>1.5</v>
      </c>
      <c r="N110" s="10">
        <f t="shared" si="22"/>
        <v>0.09</v>
      </c>
      <c r="O110" s="11">
        <f t="shared" si="23"/>
        <v>7.8284203424832111E-3</v>
      </c>
    </row>
    <row r="111" spans="2:15" x14ac:dyDescent="0.25">
      <c r="B111" s="3">
        <v>94</v>
      </c>
      <c r="C111" s="3">
        <f t="shared" si="13"/>
        <v>261</v>
      </c>
      <c r="D111" s="7">
        <f t="shared" si="14"/>
        <v>381118.77297832549</v>
      </c>
      <c r="E111" s="8">
        <f t="shared" si="15"/>
        <v>47075589.869194165</v>
      </c>
      <c r="F111" s="7">
        <f t="shared" si="16"/>
        <v>47447025.125879921</v>
      </c>
      <c r="G111" s="8">
        <f t="shared" si="17"/>
        <v>19797.661836774379</v>
      </c>
      <c r="H111" s="8">
        <f t="shared" si="18"/>
        <v>296964.9275516154</v>
      </c>
      <c r="I111" s="7">
        <f t="shared" si="19"/>
        <v>67363.282378550139</v>
      </c>
      <c r="J111" s="8">
        <f t="shared" si="20"/>
        <v>371435.25668575038</v>
      </c>
      <c r="K111" s="8">
        <f t="shared" si="21"/>
        <v>438798.53906430054</v>
      </c>
      <c r="L111" s="8">
        <f t="shared" si="24"/>
        <v>735763.466615916</v>
      </c>
      <c r="M111" s="4">
        <f t="shared" si="25"/>
        <v>1.5</v>
      </c>
      <c r="N111" s="10">
        <f t="shared" si="22"/>
        <v>0.09</v>
      </c>
      <c r="O111" s="11">
        <f t="shared" si="23"/>
        <v>7.8284203424832111E-3</v>
      </c>
    </row>
    <row r="112" spans="2:15" x14ac:dyDescent="0.25">
      <c r="B112" s="3">
        <v>95</v>
      </c>
      <c r="C112" s="3">
        <f t="shared" si="13"/>
        <v>260</v>
      </c>
      <c r="D112" s="7">
        <f t="shared" si="14"/>
        <v>378135.21502303972</v>
      </c>
      <c r="E112" s="8">
        <f t="shared" si="15"/>
        <v>46640307.56456358</v>
      </c>
      <c r="F112" s="7">
        <f t="shared" si="16"/>
        <v>47008308.362010464</v>
      </c>
      <c r="G112" s="8">
        <f t="shared" si="17"/>
        <v>19614.829112164251</v>
      </c>
      <c r="H112" s="8">
        <f t="shared" si="18"/>
        <v>294222.43668246351</v>
      </c>
      <c r="I112" s="7">
        <f t="shared" si="19"/>
        <v>67281.507183697715</v>
      </c>
      <c r="J112" s="8">
        <f t="shared" si="20"/>
        <v>368000.79744688637</v>
      </c>
      <c r="K112" s="8">
        <f t="shared" si="21"/>
        <v>435282.30463058408</v>
      </c>
      <c r="L112" s="8">
        <f t="shared" si="24"/>
        <v>729504.74131304759</v>
      </c>
      <c r="M112" s="4">
        <f t="shared" si="25"/>
        <v>1.5</v>
      </c>
      <c r="N112" s="10">
        <f t="shared" si="22"/>
        <v>0.09</v>
      </c>
      <c r="O112" s="11">
        <f t="shared" si="23"/>
        <v>7.8284203424832111E-3</v>
      </c>
    </row>
    <row r="113" spans="2:15" x14ac:dyDescent="0.25">
      <c r="B113" s="3">
        <v>96</v>
      </c>
      <c r="C113" s="3">
        <f t="shared" ref="C113:C176" si="26">$E$9-B113</f>
        <v>259</v>
      </c>
      <c r="D113" s="7">
        <f t="shared" ref="D113:D176" si="27">($E$5*E113)/(1-$E$7^C113)</f>
        <v>375175.01361354411</v>
      </c>
      <c r="E113" s="8">
        <f t="shared" ref="E113:E176" si="28">E112-K113</f>
        <v>46208513.869312234</v>
      </c>
      <c r="F113" s="7">
        <f t="shared" ref="F113:F176" si="29">E112-I113</f>
        <v>46573107.733304299</v>
      </c>
      <c r="G113" s="8">
        <f t="shared" ref="G113:G176" si="30">$E$4/12*E112</f>
        <v>19433.461485234842</v>
      </c>
      <c r="H113" s="8">
        <f t="shared" ref="H113:H176" si="31">$E$6*E112</f>
        <v>291501.92227852234</v>
      </c>
      <c r="I113" s="7">
        <f t="shared" ref="I113:I176" si="32">D112*($E$7^(C112-1+1))</f>
        <v>67199.83125928251</v>
      </c>
      <c r="J113" s="8">
        <f t="shared" ref="J113:J176" si="33">O113*F113</f>
        <v>364593.86399206152</v>
      </c>
      <c r="K113" s="8">
        <f t="shared" ref="K113:K176" si="34">I113+J113</f>
        <v>431793.695251344</v>
      </c>
      <c r="L113" s="8">
        <f t="shared" si="24"/>
        <v>723295.61752986629</v>
      </c>
      <c r="M113" s="4">
        <f t="shared" si="25"/>
        <v>1.5</v>
      </c>
      <c r="N113" s="10">
        <f t="shared" ref="N113:N176" si="35">MIN((B113+$E$10)/30*6%*$E$11,6%*$E$11)</f>
        <v>0.09</v>
      </c>
      <c r="O113" s="11">
        <f t="shared" ref="O113:O176" si="36">1 - (1 - N113)^(1/12)</f>
        <v>7.8284203424832111E-3</v>
      </c>
    </row>
    <row r="114" spans="2:15" x14ac:dyDescent="0.25">
      <c r="B114" s="3">
        <v>97</v>
      </c>
      <c r="C114" s="3">
        <f t="shared" si="26"/>
        <v>258</v>
      </c>
      <c r="D114" s="7">
        <f t="shared" si="27"/>
        <v>372237.98590498039</v>
      </c>
      <c r="E114" s="8">
        <f t="shared" si="28"/>
        <v>45780181.374765761</v>
      </c>
      <c r="F114" s="7">
        <f t="shared" si="29"/>
        <v>46141395.614827439</v>
      </c>
      <c r="G114" s="8">
        <f t="shared" si="30"/>
        <v>19253.547445546781</v>
      </c>
      <c r="H114" s="8">
        <f t="shared" si="31"/>
        <v>288803.21168320143</v>
      </c>
      <c r="I114" s="7">
        <f t="shared" si="32"/>
        <v>67118.254484795834</v>
      </c>
      <c r="J114" s="8">
        <f t="shared" si="33"/>
        <v>361214.24006168073</v>
      </c>
      <c r="K114" s="8">
        <f t="shared" si="34"/>
        <v>428332.49454647658</v>
      </c>
      <c r="L114" s="8">
        <f t="shared" si="24"/>
        <v>717135.70622967801</v>
      </c>
      <c r="M114" s="4">
        <f t="shared" si="25"/>
        <v>1.5</v>
      </c>
      <c r="N114" s="10">
        <f t="shared" si="35"/>
        <v>0.09</v>
      </c>
      <c r="O114" s="11">
        <f t="shared" si="36"/>
        <v>7.8284203424832111E-3</v>
      </c>
    </row>
    <row r="115" spans="2:15" x14ac:dyDescent="0.25">
      <c r="B115" s="3">
        <v>98</v>
      </c>
      <c r="C115" s="3">
        <f t="shared" si="26"/>
        <v>257</v>
      </c>
      <c r="D115" s="7">
        <f t="shared" si="27"/>
        <v>369323.95048387686</v>
      </c>
      <c r="E115" s="8">
        <f t="shared" si="28"/>
        <v>45355282.886935823</v>
      </c>
      <c r="F115" s="7">
        <f t="shared" si="29"/>
        <v>45713144.598025888</v>
      </c>
      <c r="G115" s="8">
        <f t="shared" si="30"/>
        <v>19075.075572819082</v>
      </c>
      <c r="H115" s="8">
        <f t="shared" si="31"/>
        <v>286126.13359228597</v>
      </c>
      <c r="I115" s="7">
        <f t="shared" si="32"/>
        <v>67036.77673987532</v>
      </c>
      <c r="J115" s="8">
        <f t="shared" si="33"/>
        <v>357861.7110900624</v>
      </c>
      <c r="K115" s="8">
        <f t="shared" si="34"/>
        <v>424898.48782993772</v>
      </c>
      <c r="L115" s="8">
        <f t="shared" si="24"/>
        <v>711024.62142222375</v>
      </c>
      <c r="M115" s="4">
        <f t="shared" si="25"/>
        <v>1.5</v>
      </c>
      <c r="N115" s="10">
        <f t="shared" si="35"/>
        <v>0.09</v>
      </c>
      <c r="O115" s="11">
        <f t="shared" si="36"/>
        <v>7.8284203424832111E-3</v>
      </c>
    </row>
    <row r="116" spans="2:15" x14ac:dyDescent="0.25">
      <c r="B116" s="3">
        <v>99</v>
      </c>
      <c r="C116" s="3">
        <f t="shared" si="26"/>
        <v>256</v>
      </c>
      <c r="D116" s="7">
        <f t="shared" si="27"/>
        <v>366432.7273569426</v>
      </c>
      <c r="E116" s="8">
        <f t="shared" si="28"/>
        <v>44933791.42483934</v>
      </c>
      <c r="F116" s="7">
        <f t="shared" si="29"/>
        <v>45288327.489031516</v>
      </c>
      <c r="G116" s="8">
        <f t="shared" si="30"/>
        <v>18898.034536223277</v>
      </c>
      <c r="H116" s="8">
        <f t="shared" si="31"/>
        <v>283470.51804334886</v>
      </c>
      <c r="I116" s="7">
        <f t="shared" si="32"/>
        <v>66955.3979043047</v>
      </c>
      <c r="J116" s="8">
        <f t="shared" si="33"/>
        <v>354536.06419217592</v>
      </c>
      <c r="K116" s="8">
        <f t="shared" si="34"/>
        <v>421491.46209648065</v>
      </c>
      <c r="L116" s="8">
        <f t="shared" si="24"/>
        <v>704961.98013982945</v>
      </c>
      <c r="M116" s="4">
        <f t="shared" si="25"/>
        <v>1.5</v>
      </c>
      <c r="N116" s="10">
        <f t="shared" si="35"/>
        <v>0.09</v>
      </c>
      <c r="O116" s="11">
        <f t="shared" si="36"/>
        <v>7.8284203424832111E-3</v>
      </c>
    </row>
    <row r="117" spans="2:15" x14ac:dyDescent="0.25">
      <c r="B117" s="3">
        <v>100</v>
      </c>
      <c r="C117" s="3">
        <f t="shared" si="26"/>
        <v>255</v>
      </c>
      <c r="D117" s="7">
        <f t="shared" si="27"/>
        <v>363564.13793994993</v>
      </c>
      <c r="E117" s="8">
        <f t="shared" si="28"/>
        <v>44515680.218830839</v>
      </c>
      <c r="F117" s="7">
        <f t="shared" si="29"/>
        <v>44866917.306981325</v>
      </c>
      <c r="G117" s="8">
        <f t="shared" si="30"/>
        <v>18722.413093683073</v>
      </c>
      <c r="H117" s="8">
        <f t="shared" si="31"/>
        <v>280836.19640524586</v>
      </c>
      <c r="I117" s="7">
        <f t="shared" si="32"/>
        <v>66874.117858013647</v>
      </c>
      <c r="J117" s="8">
        <f t="shared" si="33"/>
        <v>351237.08815048466</v>
      </c>
      <c r="K117" s="8">
        <f t="shared" si="34"/>
        <v>418111.20600849832</v>
      </c>
      <c r="L117" s="8">
        <f t="shared" si="24"/>
        <v>698947.40241374425</v>
      </c>
      <c r="M117" s="4">
        <f t="shared" si="25"/>
        <v>1.5</v>
      </c>
      <c r="N117" s="10">
        <f t="shared" si="35"/>
        <v>0.09</v>
      </c>
      <c r="O117" s="11">
        <f t="shared" si="36"/>
        <v>7.8284203424832111E-3</v>
      </c>
    </row>
    <row r="118" spans="2:15" x14ac:dyDescent="0.25">
      <c r="B118" s="3">
        <v>101</v>
      </c>
      <c r="C118" s="3">
        <f t="shared" si="26"/>
        <v>254</v>
      </c>
      <c r="D118" s="7">
        <f t="shared" si="27"/>
        <v>360718.00504670345</v>
      </c>
      <c r="E118" s="8">
        <f t="shared" si="28"/>
        <v>44100922.708947875</v>
      </c>
      <c r="F118" s="7">
        <f t="shared" si="29"/>
        <v>44448887.282349758</v>
      </c>
      <c r="G118" s="8">
        <f t="shared" si="30"/>
        <v>18548.200091179533</v>
      </c>
      <c r="H118" s="8">
        <f t="shared" si="31"/>
        <v>278223.00136769272</v>
      </c>
      <c r="I118" s="7">
        <f t="shared" si="32"/>
        <v>66792.936481077602</v>
      </c>
      <c r="J118" s="8">
        <f t="shared" si="33"/>
        <v>347964.57340189011</v>
      </c>
      <c r="K118" s="8">
        <f t="shared" si="34"/>
        <v>414757.50988296769</v>
      </c>
      <c r="L118" s="8">
        <f t="shared" si="24"/>
        <v>692980.51125066041</v>
      </c>
      <c r="M118" s="4">
        <f t="shared" si="25"/>
        <v>1.5</v>
      </c>
      <c r="N118" s="10">
        <f t="shared" si="35"/>
        <v>0.09</v>
      </c>
      <c r="O118" s="11">
        <f t="shared" si="36"/>
        <v>7.8284203424832111E-3</v>
      </c>
    </row>
    <row r="119" spans="2:15" x14ac:dyDescent="0.25">
      <c r="B119" s="3">
        <v>102</v>
      </c>
      <c r="C119" s="3">
        <f t="shared" si="26"/>
        <v>253</v>
      </c>
      <c r="D119" s="7">
        <f t="shared" si="27"/>
        <v>357894.15287809586</v>
      </c>
      <c r="E119" s="8">
        <f t="shared" si="28"/>
        <v>43689492.543269381</v>
      </c>
      <c r="F119" s="7">
        <f t="shared" si="29"/>
        <v>44034210.855294161</v>
      </c>
      <c r="G119" s="8">
        <f t="shared" si="30"/>
        <v>18375.384462061629</v>
      </c>
      <c r="H119" s="8">
        <f t="shared" si="31"/>
        <v>275630.7669309242</v>
      </c>
      <c r="I119" s="7">
        <f t="shared" si="32"/>
        <v>66711.853653717582</v>
      </c>
      <c r="J119" s="8">
        <f t="shared" si="33"/>
        <v>344718.31202477985</v>
      </c>
      <c r="K119" s="8">
        <f t="shared" si="34"/>
        <v>411430.1656784974</v>
      </c>
      <c r="L119" s="8">
        <f t="shared" si="24"/>
        <v>687060.93260942167</v>
      </c>
      <c r="M119" s="4">
        <f t="shared" si="25"/>
        <v>1.5</v>
      </c>
      <c r="N119" s="10">
        <f t="shared" si="35"/>
        <v>0.09</v>
      </c>
      <c r="O119" s="11">
        <f t="shared" si="36"/>
        <v>7.8284203424832111E-3</v>
      </c>
    </row>
    <row r="120" spans="2:15" x14ac:dyDescent="0.25">
      <c r="B120" s="3">
        <v>103</v>
      </c>
      <c r="C120" s="3">
        <f t="shared" si="26"/>
        <v>252</v>
      </c>
      <c r="D120" s="7">
        <f t="shared" si="27"/>
        <v>355092.40701124916</v>
      </c>
      <c r="E120" s="8">
        <f t="shared" si="28"/>
        <v>43281363.576286905</v>
      </c>
      <c r="F120" s="7">
        <f t="shared" si="29"/>
        <v>43622861.674013078</v>
      </c>
      <c r="G120" s="8">
        <f t="shared" si="30"/>
        <v>18203.955226362257</v>
      </c>
      <c r="H120" s="8">
        <f t="shared" si="31"/>
        <v>273059.32839543361</v>
      </c>
      <c r="I120" s="7">
        <f t="shared" si="32"/>
        <v>66630.869256299993</v>
      </c>
      <c r="J120" s="8">
        <f t="shared" si="33"/>
        <v>341498.09772617521</v>
      </c>
      <c r="K120" s="8">
        <f t="shared" si="34"/>
        <v>408128.96698247519</v>
      </c>
      <c r="L120" s="8">
        <f t="shared" si="24"/>
        <v>681188.29537790874</v>
      </c>
      <c r="M120" s="4">
        <f t="shared" si="25"/>
        <v>1.5</v>
      </c>
      <c r="N120" s="10">
        <f t="shared" si="35"/>
        <v>0.09</v>
      </c>
      <c r="O120" s="11">
        <f t="shared" si="36"/>
        <v>7.8284203424832111E-3</v>
      </c>
    </row>
    <row r="121" spans="2:15" x14ac:dyDescent="0.25">
      <c r="B121" s="3">
        <v>104</v>
      </c>
      <c r="C121" s="3">
        <f t="shared" si="26"/>
        <v>251</v>
      </c>
      <c r="D121" s="7">
        <f t="shared" si="27"/>
        <v>352312.59438874095</v>
      </c>
      <c r="E121" s="8">
        <f t="shared" si="28"/>
        <v>42876509.867288589</v>
      </c>
      <c r="F121" s="7">
        <f t="shared" si="29"/>
        <v>43214813.593117565</v>
      </c>
      <c r="G121" s="8">
        <f t="shared" si="30"/>
        <v>18033.901490119559</v>
      </c>
      <c r="H121" s="8">
        <f t="shared" si="31"/>
        <v>270508.52235179313</v>
      </c>
      <c r="I121" s="7">
        <f t="shared" si="32"/>
        <v>66549.983169336454</v>
      </c>
      <c r="J121" s="8">
        <f t="shared" si="33"/>
        <v>338303.72582898155</v>
      </c>
      <c r="K121" s="8">
        <f t="shared" si="34"/>
        <v>404853.708998318</v>
      </c>
      <c r="L121" s="8">
        <f t="shared" si="24"/>
        <v>675362.23135011108</v>
      </c>
      <c r="M121" s="4">
        <f t="shared" si="25"/>
        <v>1.5</v>
      </c>
      <c r="N121" s="10">
        <f t="shared" si="35"/>
        <v>0.09</v>
      </c>
      <c r="O121" s="11">
        <f t="shared" si="36"/>
        <v>7.8284203424832111E-3</v>
      </c>
    </row>
    <row r="122" spans="2:15" x14ac:dyDescent="0.25">
      <c r="B122" s="3">
        <v>105</v>
      </c>
      <c r="C122" s="3">
        <f t="shared" si="26"/>
        <v>250</v>
      </c>
      <c r="D122" s="7">
        <f t="shared" si="27"/>
        <v>349554.5433079151</v>
      </c>
      <c r="E122" s="8">
        <f t="shared" si="28"/>
        <v>42474905.678755768</v>
      </c>
      <c r="F122" s="7">
        <f t="shared" si="29"/>
        <v>42810040.672015108</v>
      </c>
      <c r="G122" s="8">
        <f t="shared" si="30"/>
        <v>17865.212444703593</v>
      </c>
      <c r="H122" s="8">
        <f t="shared" si="31"/>
        <v>267978.18667055364</v>
      </c>
      <c r="I122" s="7">
        <f t="shared" si="32"/>
        <v>66469.195273483696</v>
      </c>
      <c r="J122" s="8">
        <f t="shared" si="33"/>
        <v>335134.99325933668</v>
      </c>
      <c r="K122" s="8">
        <f t="shared" si="34"/>
        <v>401604.18853282038</v>
      </c>
      <c r="L122" s="8">
        <f t="shared" si="24"/>
        <v>669582.37520337407</v>
      </c>
      <c r="M122" s="4">
        <f t="shared" si="25"/>
        <v>1.5</v>
      </c>
      <c r="N122" s="10">
        <f t="shared" si="35"/>
        <v>0.09</v>
      </c>
      <c r="O122" s="11">
        <f t="shared" si="36"/>
        <v>7.8284203424832111E-3</v>
      </c>
    </row>
    <row r="123" spans="2:15" x14ac:dyDescent="0.25">
      <c r="B123" s="3">
        <v>106</v>
      </c>
      <c r="C123" s="3">
        <f t="shared" si="26"/>
        <v>249</v>
      </c>
      <c r="D123" s="7">
        <f t="shared" si="27"/>
        <v>346818.08341027598</v>
      </c>
      <c r="E123" s="8">
        <f t="shared" si="28"/>
        <v>42076525.474772163</v>
      </c>
      <c r="F123" s="7">
        <f t="shared" si="29"/>
        <v>42408517.173306227</v>
      </c>
      <c r="G123" s="8">
        <f t="shared" si="30"/>
        <v>17697.877366148252</v>
      </c>
      <c r="H123" s="8">
        <f t="shared" si="31"/>
        <v>265468.16049222351</v>
      </c>
      <c r="I123" s="7">
        <f t="shared" si="32"/>
        <v>66388.505449543314</v>
      </c>
      <c r="J123" s="8">
        <f t="shared" si="33"/>
        <v>331991.69853405905</v>
      </c>
      <c r="K123" s="8">
        <f t="shared" si="34"/>
        <v>398380.20398360235</v>
      </c>
      <c r="L123" s="8">
        <f t="shared" si="24"/>
        <v>663848.3644758258</v>
      </c>
      <c r="M123" s="4">
        <f t="shared" si="25"/>
        <v>1.5</v>
      </c>
      <c r="N123" s="10">
        <f t="shared" si="35"/>
        <v>0.09</v>
      </c>
      <c r="O123" s="11">
        <f t="shared" si="36"/>
        <v>7.8284203424832111E-3</v>
      </c>
    </row>
    <row r="124" spans="2:15" x14ac:dyDescent="0.25">
      <c r="B124" s="3">
        <v>107</v>
      </c>
      <c r="C124" s="3">
        <f t="shared" si="26"/>
        <v>248</v>
      </c>
      <c r="D124" s="7">
        <f t="shared" si="27"/>
        <v>344103.04567096592</v>
      </c>
      <c r="E124" s="8">
        <f t="shared" si="28"/>
        <v>41681343.919445507</v>
      </c>
      <c r="F124" s="7">
        <f t="shared" si="29"/>
        <v>42010217.561193705</v>
      </c>
      <c r="G124" s="8">
        <f t="shared" si="30"/>
        <v>17531.885614488416</v>
      </c>
      <c r="H124" s="8">
        <f t="shared" si="31"/>
        <v>262978.28421732597</v>
      </c>
      <c r="I124" s="7">
        <f t="shared" si="32"/>
        <v>66307.913578461536</v>
      </c>
      <c r="J124" s="8">
        <f t="shared" si="33"/>
        <v>328873.64174819423</v>
      </c>
      <c r="K124" s="8">
        <f t="shared" si="34"/>
        <v>395181.55532665574</v>
      </c>
      <c r="L124" s="8">
        <f t="shared" si="24"/>
        <v>658159.83954398171</v>
      </c>
      <c r="M124" s="4">
        <f t="shared" si="25"/>
        <v>1.5</v>
      </c>
      <c r="N124" s="10">
        <f t="shared" si="35"/>
        <v>0.09</v>
      </c>
      <c r="O124" s="11">
        <f t="shared" si="36"/>
        <v>7.8284203424832111E-3</v>
      </c>
    </row>
    <row r="125" spans="2:15" x14ac:dyDescent="0.25">
      <c r="B125" s="3">
        <v>108</v>
      </c>
      <c r="C125" s="3">
        <f t="shared" si="26"/>
        <v>247</v>
      </c>
      <c r="D125" s="7">
        <f t="shared" si="27"/>
        <v>341409.26238832489</v>
      </c>
      <c r="E125" s="8">
        <f t="shared" si="28"/>
        <v>41289335.87534152</v>
      </c>
      <c r="F125" s="7">
        <f t="shared" si="29"/>
        <v>41615116.499904178</v>
      </c>
      <c r="G125" s="8">
        <f t="shared" si="30"/>
        <v>17367.226633102309</v>
      </c>
      <c r="H125" s="8">
        <f t="shared" si="31"/>
        <v>260508.3994965344</v>
      </c>
      <c r="I125" s="7">
        <f t="shared" si="32"/>
        <v>66227.419541329189</v>
      </c>
      <c r="J125" s="8">
        <f t="shared" si="33"/>
        <v>325780.6245626586</v>
      </c>
      <c r="K125" s="8">
        <f t="shared" si="34"/>
        <v>392008.04410398781</v>
      </c>
      <c r="L125" s="8">
        <f t="shared" si="24"/>
        <v>652516.44360052224</v>
      </c>
      <c r="M125" s="4">
        <f t="shared" si="25"/>
        <v>1.5</v>
      </c>
      <c r="N125" s="10">
        <f t="shared" si="35"/>
        <v>0.09</v>
      </c>
      <c r="O125" s="11">
        <f t="shared" si="36"/>
        <v>7.8284203424832111E-3</v>
      </c>
    </row>
    <row r="126" spans="2:15" x14ac:dyDescent="0.25">
      <c r="B126" s="3">
        <v>109</v>
      </c>
      <c r="C126" s="3">
        <f t="shared" si="26"/>
        <v>246</v>
      </c>
      <c r="D126" s="7">
        <f t="shared" si="27"/>
        <v>338736.56717353192</v>
      </c>
      <c r="E126" s="8">
        <f t="shared" si="28"/>
        <v>40900476.401930161</v>
      </c>
      <c r="F126" s="7">
        <f t="shared" si="29"/>
        <v>41223188.852122135</v>
      </c>
      <c r="G126" s="8">
        <f t="shared" si="30"/>
        <v>17203.889948058983</v>
      </c>
      <c r="H126" s="8">
        <f t="shared" si="31"/>
        <v>258058.34922088447</v>
      </c>
      <c r="I126" s="7">
        <f t="shared" si="32"/>
        <v>66147.023219381415</v>
      </c>
      <c r="J126" s="8">
        <f t="shared" si="33"/>
        <v>322712.45019198005</v>
      </c>
      <c r="K126" s="8">
        <f t="shared" si="34"/>
        <v>388859.47341136145</v>
      </c>
      <c r="L126" s="8">
        <f t="shared" si="24"/>
        <v>646917.82263224595</v>
      </c>
      <c r="M126" s="4">
        <f t="shared" si="25"/>
        <v>1.5</v>
      </c>
      <c r="N126" s="10">
        <f t="shared" si="35"/>
        <v>0.09</v>
      </c>
      <c r="O126" s="11">
        <f t="shared" si="36"/>
        <v>7.8284203424832111E-3</v>
      </c>
    </row>
    <row r="127" spans="2:15" x14ac:dyDescent="0.25">
      <c r="B127" s="3">
        <v>110</v>
      </c>
      <c r="C127" s="3">
        <f t="shared" si="26"/>
        <v>245</v>
      </c>
      <c r="D127" s="7">
        <f t="shared" si="27"/>
        <v>336084.79494032776</v>
      </c>
      <c r="E127" s="8">
        <f t="shared" si="28"/>
        <v>40514740.754044026</v>
      </c>
      <c r="F127" s="7">
        <f t="shared" si="29"/>
        <v>40834409.677436166</v>
      </c>
      <c r="G127" s="8">
        <f t="shared" si="30"/>
        <v>17041.865167470914</v>
      </c>
      <c r="H127" s="8">
        <f t="shared" si="31"/>
        <v>255627.97751206349</v>
      </c>
      <c r="I127" s="7">
        <f t="shared" si="32"/>
        <v>66066.724493997535</v>
      </c>
      <c r="J127" s="8">
        <f t="shared" si="33"/>
        <v>319668.9233921346</v>
      </c>
      <c r="K127" s="8">
        <f t="shared" si="34"/>
        <v>385735.64788613212</v>
      </c>
      <c r="L127" s="8">
        <f t="shared" si="24"/>
        <v>641363.62539819558</v>
      </c>
      <c r="M127" s="4">
        <f t="shared" si="25"/>
        <v>1.5</v>
      </c>
      <c r="N127" s="10">
        <f t="shared" si="35"/>
        <v>0.09</v>
      </c>
      <c r="O127" s="11">
        <f t="shared" si="36"/>
        <v>7.8284203424832111E-3</v>
      </c>
    </row>
    <row r="128" spans="2:15" x14ac:dyDescent="0.25">
      <c r="B128" s="3">
        <v>111</v>
      </c>
      <c r="C128" s="3">
        <f t="shared" si="26"/>
        <v>244</v>
      </c>
      <c r="D128" s="7">
        <f t="shared" si="27"/>
        <v>333453.78189481754</v>
      </c>
      <c r="E128" s="8">
        <f t="shared" si="28"/>
        <v>40132104.380348846</v>
      </c>
      <c r="F128" s="7">
        <f t="shared" si="29"/>
        <v>40448754.230797328</v>
      </c>
      <c r="G128" s="8">
        <f t="shared" si="30"/>
        <v>16881.141980851691</v>
      </c>
      <c r="H128" s="8">
        <f t="shared" si="31"/>
        <v>253217.12971277515</v>
      </c>
      <c r="I128" s="7">
        <f t="shared" si="32"/>
        <v>65986.523246700875</v>
      </c>
      <c r="J128" s="8">
        <f t="shared" si="33"/>
        <v>316649.85044847766</v>
      </c>
      <c r="K128" s="8">
        <f t="shared" si="34"/>
        <v>382636.37369517854</v>
      </c>
      <c r="L128" s="8">
        <f t="shared" si="24"/>
        <v>635853.50340795366</v>
      </c>
      <c r="M128" s="4">
        <f t="shared" si="25"/>
        <v>1.5</v>
      </c>
      <c r="N128" s="10">
        <f t="shared" si="35"/>
        <v>0.09</v>
      </c>
      <c r="O128" s="11">
        <f t="shared" si="36"/>
        <v>7.8284203424832111E-3</v>
      </c>
    </row>
    <row r="129" spans="2:15" x14ac:dyDescent="0.25">
      <c r="B129" s="3">
        <v>112</v>
      </c>
      <c r="C129" s="3">
        <f t="shared" si="26"/>
        <v>243</v>
      </c>
      <c r="D129" s="7">
        <f t="shared" si="27"/>
        <v>330843.36552535417</v>
      </c>
      <c r="E129" s="8">
        <f t="shared" si="28"/>
        <v>39752542.921825916</v>
      </c>
      <c r="F129" s="7">
        <f t="shared" si="29"/>
        <v>40066197.960989691</v>
      </c>
      <c r="G129" s="8">
        <f t="shared" si="30"/>
        <v>16721.710158478701</v>
      </c>
      <c r="H129" s="8">
        <f t="shared" si="31"/>
        <v>250825.65237718026</v>
      </c>
      <c r="I129" s="7">
        <f t="shared" si="32"/>
        <v>65906.41935915855</v>
      </c>
      <c r="J129" s="8">
        <f t="shared" si="33"/>
        <v>313655.03916377103</v>
      </c>
      <c r="K129" s="8">
        <f t="shared" si="34"/>
        <v>379561.45852292958</v>
      </c>
      <c r="L129" s="8">
        <f t="shared" si="24"/>
        <v>630387.11090010987</v>
      </c>
      <c r="M129" s="4">
        <f t="shared" si="25"/>
        <v>1.5</v>
      </c>
      <c r="N129" s="10">
        <f t="shared" si="35"/>
        <v>0.09</v>
      </c>
      <c r="O129" s="11">
        <f t="shared" si="36"/>
        <v>7.8284203424832111E-3</v>
      </c>
    </row>
    <row r="130" spans="2:15" x14ac:dyDescent="0.25">
      <c r="B130" s="3">
        <v>113</v>
      </c>
      <c r="C130" s="3">
        <f t="shared" si="26"/>
        <v>242</v>
      </c>
      <c r="D130" s="7">
        <f t="shared" si="27"/>
        <v>328253.38459249987</v>
      </c>
      <c r="E130" s="8">
        <f t="shared" si="28"/>
        <v>39376032.210266434</v>
      </c>
      <c r="F130" s="7">
        <f t="shared" si="29"/>
        <v>39686716.509112731</v>
      </c>
      <c r="G130" s="8">
        <f t="shared" si="30"/>
        <v>16563.559550760812</v>
      </c>
      <c r="H130" s="8">
        <f t="shared" si="31"/>
        <v>248453.39326141195</v>
      </c>
      <c r="I130" s="7">
        <f t="shared" si="32"/>
        <v>65826.412713181388</v>
      </c>
      <c r="J130" s="8">
        <f t="shared" si="33"/>
        <v>310684.29884630238</v>
      </c>
      <c r="K130" s="8">
        <f t="shared" si="34"/>
        <v>376510.71155948378</v>
      </c>
      <c r="L130" s="8">
        <f t="shared" si="24"/>
        <v>624964.10482089571</v>
      </c>
      <c r="M130" s="4">
        <f t="shared" si="25"/>
        <v>1.5</v>
      </c>
      <c r="N130" s="10">
        <f t="shared" si="35"/>
        <v>0.09</v>
      </c>
      <c r="O130" s="11">
        <f t="shared" si="36"/>
        <v>7.8284203424832111E-3</v>
      </c>
    </row>
    <row r="131" spans="2:15" x14ac:dyDescent="0.25">
      <c r="B131" s="3">
        <v>114</v>
      </c>
      <c r="C131" s="3">
        <f t="shared" si="26"/>
        <v>241</v>
      </c>
      <c r="D131" s="7">
        <f t="shared" si="27"/>
        <v>325683.67911906698</v>
      </c>
      <c r="E131" s="8">
        <f t="shared" si="28"/>
        <v>39002548.266777612</v>
      </c>
      <c r="F131" s="7">
        <f t="shared" si="29"/>
        <v>39310285.707075708</v>
      </c>
      <c r="G131" s="8">
        <f t="shared" si="30"/>
        <v>16406.680087611028</v>
      </c>
      <c r="H131" s="8">
        <f t="shared" si="31"/>
        <v>246100.2013141652</v>
      </c>
      <c r="I131" s="7">
        <f t="shared" si="32"/>
        <v>65746.503190723641</v>
      </c>
      <c r="J131" s="8">
        <f t="shared" si="33"/>
        <v>307737.44029809849</v>
      </c>
      <c r="K131" s="8">
        <f t="shared" si="34"/>
        <v>373483.94348882214</v>
      </c>
      <c r="L131" s="8">
        <f t="shared" si="24"/>
        <v>619584.14480298734</v>
      </c>
      <c r="M131" s="4">
        <f t="shared" si="25"/>
        <v>1.5</v>
      </c>
      <c r="N131" s="10">
        <f t="shared" si="35"/>
        <v>0.09</v>
      </c>
      <c r="O131" s="11">
        <f t="shared" si="36"/>
        <v>7.8284203424832111E-3</v>
      </c>
    </row>
    <row r="132" spans="2:15" x14ac:dyDescent="0.25">
      <c r="B132" s="3">
        <v>115</v>
      </c>
      <c r="C132" s="3">
        <f t="shared" si="26"/>
        <v>240</v>
      </c>
      <c r="D132" s="7">
        <f t="shared" si="27"/>
        <v>323134.09038023651</v>
      </c>
      <c r="E132" s="8">
        <f t="shared" si="28"/>
        <v>38632067.300300501</v>
      </c>
      <c r="F132" s="7">
        <f t="shared" si="29"/>
        <v>38936881.576103732</v>
      </c>
      <c r="G132" s="8">
        <f t="shared" si="30"/>
        <v>16251.061777824019</v>
      </c>
      <c r="H132" s="8">
        <f t="shared" si="31"/>
        <v>243765.92666736007</v>
      </c>
      <c r="I132" s="7">
        <f t="shared" si="32"/>
        <v>65666.690673882898</v>
      </c>
      <c r="J132" s="8">
        <f t="shared" si="33"/>
        <v>304814.27580323024</v>
      </c>
      <c r="K132" s="8">
        <f t="shared" si="34"/>
        <v>370480.96647711314</v>
      </c>
      <c r="L132" s="8">
        <f t="shared" si="24"/>
        <v>614246.8931444732</v>
      </c>
      <c r="M132" s="4">
        <f t="shared" si="25"/>
        <v>1.5</v>
      </c>
      <c r="N132" s="10">
        <f t="shared" si="35"/>
        <v>0.09</v>
      </c>
      <c r="O132" s="11">
        <f t="shared" si="36"/>
        <v>7.8284203424832111E-3</v>
      </c>
    </row>
    <row r="133" spans="2:15" x14ac:dyDescent="0.25">
      <c r="B133" s="3">
        <v>116</v>
      </c>
      <c r="C133" s="3">
        <f t="shared" si="26"/>
        <v>239</v>
      </c>
      <c r="D133" s="7">
        <f t="shared" si="27"/>
        <v>320604.46089375409</v>
      </c>
      <c r="E133" s="8">
        <f t="shared" si="28"/>
        <v>38264565.706139393</v>
      </c>
      <c r="F133" s="7">
        <f t="shared" si="29"/>
        <v>38566480.325255603</v>
      </c>
      <c r="G133" s="8">
        <f t="shared" si="30"/>
        <v>16096.694708458555</v>
      </c>
      <c r="H133" s="8">
        <f t="shared" si="31"/>
        <v>241450.42062687813</v>
      </c>
      <c r="I133" s="7">
        <f t="shared" si="32"/>
        <v>65586.975044899838</v>
      </c>
      <c r="J133" s="8">
        <f t="shared" si="33"/>
        <v>301914.61911620951</v>
      </c>
      <c r="K133" s="8">
        <f t="shared" si="34"/>
        <v>367501.59416110936</v>
      </c>
      <c r="L133" s="8">
        <f t="shared" si="24"/>
        <v>608952.01478798746</v>
      </c>
      <c r="M133" s="4">
        <f t="shared" si="25"/>
        <v>1.5</v>
      </c>
      <c r="N133" s="10">
        <f t="shared" si="35"/>
        <v>0.09</v>
      </c>
      <c r="O133" s="11">
        <f t="shared" si="36"/>
        <v>7.8284203424832111E-3</v>
      </c>
    </row>
    <row r="134" spans="2:15" x14ac:dyDescent="0.25">
      <c r="B134" s="3">
        <v>117</v>
      </c>
      <c r="C134" s="3">
        <f t="shared" si="26"/>
        <v>238</v>
      </c>
      <c r="D134" s="7">
        <f t="shared" si="27"/>
        <v>318094.63441020256</v>
      </c>
      <c r="E134" s="8">
        <f t="shared" si="28"/>
        <v>37900020.064502761</v>
      </c>
      <c r="F134" s="7">
        <f t="shared" si="29"/>
        <v>38199058.349953234</v>
      </c>
      <c r="G134" s="8">
        <f t="shared" si="30"/>
        <v>15943.569044224761</v>
      </c>
      <c r="H134" s="8">
        <f t="shared" si="31"/>
        <v>239153.53566337118</v>
      </c>
      <c r="I134" s="7">
        <f t="shared" si="32"/>
        <v>65507.356186158104</v>
      </c>
      <c r="J134" s="8">
        <f t="shared" si="33"/>
        <v>299038.28545047704</v>
      </c>
      <c r="K134" s="8">
        <f t="shared" si="34"/>
        <v>364545.64163663512</v>
      </c>
      <c r="L134" s="8">
        <f t="shared" si="24"/>
        <v>603699.17730000627</v>
      </c>
      <c r="M134" s="4">
        <f t="shared" si="25"/>
        <v>1.5</v>
      </c>
      <c r="N134" s="10">
        <f t="shared" si="35"/>
        <v>0.09</v>
      </c>
      <c r="O134" s="11">
        <f t="shared" si="36"/>
        <v>7.8284203424832111E-3</v>
      </c>
    </row>
    <row r="135" spans="2:15" x14ac:dyDescent="0.25">
      <c r="B135" s="3">
        <v>118</v>
      </c>
      <c r="C135" s="3">
        <f t="shared" si="26"/>
        <v>237</v>
      </c>
      <c r="D135" s="7">
        <f t="shared" si="27"/>
        <v>315604.45590335096</v>
      </c>
      <c r="E135" s="8">
        <f t="shared" si="28"/>
        <v>37538407.139055595</v>
      </c>
      <c r="F135" s="7">
        <f t="shared" si="29"/>
        <v>37834592.230522573</v>
      </c>
      <c r="G135" s="8">
        <f t="shared" si="30"/>
        <v>15791.675026876164</v>
      </c>
      <c r="H135" s="8">
        <f t="shared" si="31"/>
        <v>236875.12540314224</v>
      </c>
      <c r="I135" s="7">
        <f t="shared" si="32"/>
        <v>65427.833980184136</v>
      </c>
      <c r="J135" s="8">
        <f t="shared" si="33"/>
        <v>296185.09146698017</v>
      </c>
      <c r="K135" s="8">
        <f t="shared" si="34"/>
        <v>361612.92544716434</v>
      </c>
      <c r="L135" s="8">
        <f t="shared" si="24"/>
        <v>598488.05085030664</v>
      </c>
      <c r="M135" s="4">
        <f t="shared" si="25"/>
        <v>1.5</v>
      </c>
      <c r="N135" s="10">
        <f t="shared" si="35"/>
        <v>0.09</v>
      </c>
      <c r="O135" s="11">
        <f t="shared" si="36"/>
        <v>7.8284203424832111E-3</v>
      </c>
    </row>
    <row r="136" spans="2:15" x14ac:dyDescent="0.25">
      <c r="B136" s="3">
        <v>119</v>
      </c>
      <c r="C136" s="3">
        <f t="shared" si="26"/>
        <v>236</v>
      </c>
      <c r="D136" s="7">
        <f t="shared" si="27"/>
        <v>313133.77156057884</v>
      </c>
      <c r="E136" s="8">
        <f t="shared" si="28"/>
        <v>37179703.875483111</v>
      </c>
      <c r="F136" s="7">
        <f t="shared" si="29"/>
        <v>37473058.730745949</v>
      </c>
      <c r="G136" s="8">
        <f t="shared" si="30"/>
        <v>15641.00297460651</v>
      </c>
      <c r="H136" s="8">
        <f t="shared" si="31"/>
        <v>234615.04461909746</v>
      </c>
      <c r="I136" s="7">
        <f t="shared" si="32"/>
        <v>65348.408309646977</v>
      </c>
      <c r="J136" s="8">
        <f t="shared" si="33"/>
        <v>293354.8552628397</v>
      </c>
      <c r="K136" s="8">
        <f t="shared" si="34"/>
        <v>358703.2635724867</v>
      </c>
      <c r="L136" s="8">
        <f t="shared" si="24"/>
        <v>593318.30819158419</v>
      </c>
      <c r="M136" s="4">
        <f t="shared" si="25"/>
        <v>1.5</v>
      </c>
      <c r="N136" s="10">
        <f t="shared" si="35"/>
        <v>0.09</v>
      </c>
      <c r="O136" s="11">
        <f t="shared" si="36"/>
        <v>7.8284203424832111E-3</v>
      </c>
    </row>
    <row r="137" spans="2:15" x14ac:dyDescent="0.25">
      <c r="B137" s="3">
        <v>120</v>
      </c>
      <c r="C137" s="3">
        <f t="shared" si="26"/>
        <v>235</v>
      </c>
      <c r="D137" s="7">
        <f t="shared" si="27"/>
        <v>310682.42877337546</v>
      </c>
      <c r="E137" s="8">
        <f t="shared" si="28"/>
        <v>36823887.400065646</v>
      </c>
      <c r="F137" s="7">
        <f t="shared" si="29"/>
        <v>37114434.796425752</v>
      </c>
      <c r="G137" s="8">
        <f t="shared" si="30"/>
        <v>15491.54328145131</v>
      </c>
      <c r="H137" s="8">
        <f t="shared" si="31"/>
        <v>232373.14922176942</v>
      </c>
      <c r="I137" s="7">
        <f t="shared" si="32"/>
        <v>65269.079057358082</v>
      </c>
      <c r="J137" s="8">
        <f t="shared" si="33"/>
        <v>290547.39636010607</v>
      </c>
      <c r="K137" s="8">
        <f t="shared" si="34"/>
        <v>355816.47541746416</v>
      </c>
      <c r="L137" s="8">
        <f t="shared" si="24"/>
        <v>588189.62463923357</v>
      </c>
      <c r="M137" s="4">
        <f t="shared" si="25"/>
        <v>1.5</v>
      </c>
      <c r="N137" s="10">
        <f t="shared" si="35"/>
        <v>0.09</v>
      </c>
      <c r="O137" s="11">
        <f t="shared" si="36"/>
        <v>7.8284203424832111E-3</v>
      </c>
    </row>
    <row r="138" spans="2:15" x14ac:dyDescent="0.25">
      <c r="B138" s="3">
        <v>121</v>
      </c>
      <c r="C138" s="3">
        <f t="shared" si="26"/>
        <v>234</v>
      </c>
      <c r="D138" s="7">
        <f t="shared" si="27"/>
        <v>308250.27612791391</v>
      </c>
      <c r="E138" s="8">
        <f t="shared" si="28"/>
        <v>36470935.018264771</v>
      </c>
      <c r="F138" s="7">
        <f t="shared" si="29"/>
        <v>36758697.553959377</v>
      </c>
      <c r="G138" s="8">
        <f t="shared" si="30"/>
        <v>15343.286416694033</v>
      </c>
      <c r="H138" s="8">
        <f t="shared" si="31"/>
        <v>230149.29625041026</v>
      </c>
      <c r="I138" s="7">
        <f t="shared" si="32"/>
        <v>65189.846106271158</v>
      </c>
      <c r="J138" s="8">
        <f t="shared" si="33"/>
        <v>287762.53569460346</v>
      </c>
      <c r="K138" s="8">
        <f t="shared" si="34"/>
        <v>352952.3818008746</v>
      </c>
      <c r="L138" s="8">
        <f t="shared" si="24"/>
        <v>583101.67805128486</v>
      </c>
      <c r="M138" s="4">
        <f t="shared" si="25"/>
        <v>1.5</v>
      </c>
      <c r="N138" s="10">
        <f t="shared" si="35"/>
        <v>0.09</v>
      </c>
      <c r="O138" s="11">
        <f t="shared" si="36"/>
        <v>7.8284203424832111E-3</v>
      </c>
    </row>
    <row r="139" spans="2:15" x14ac:dyDescent="0.25">
      <c r="B139" s="3">
        <v>122</v>
      </c>
      <c r="C139" s="3">
        <f t="shared" si="26"/>
        <v>233</v>
      </c>
      <c r="D139" s="7">
        <f t="shared" si="27"/>
        <v>305837.16339569801</v>
      </c>
      <c r="E139" s="8">
        <f t="shared" si="28"/>
        <v>36120824.213320427</v>
      </c>
      <c r="F139" s="7">
        <f t="shared" si="29"/>
        <v>36405824.308925286</v>
      </c>
      <c r="G139" s="8">
        <f t="shared" si="30"/>
        <v>15196.222924277001</v>
      </c>
      <c r="H139" s="8">
        <f t="shared" si="31"/>
        <v>227943.3438641548</v>
      </c>
      <c r="I139" s="7">
        <f t="shared" si="32"/>
        <v>65110.709339482084</v>
      </c>
      <c r="J139" s="8">
        <f t="shared" si="33"/>
        <v>285000.09560486051</v>
      </c>
      <c r="K139" s="8">
        <f t="shared" si="34"/>
        <v>350110.80494434258</v>
      </c>
      <c r="L139" s="8">
        <f t="shared" si="24"/>
        <v>578054.14880849735</v>
      </c>
      <c r="M139" s="4">
        <f t="shared" si="25"/>
        <v>1.5</v>
      </c>
      <c r="N139" s="10">
        <f t="shared" si="35"/>
        <v>0.09</v>
      </c>
      <c r="O139" s="11">
        <f t="shared" si="36"/>
        <v>7.8284203424832111E-3</v>
      </c>
    </row>
    <row r="140" spans="2:15" x14ac:dyDescent="0.25">
      <c r="B140" s="3">
        <v>123</v>
      </c>
      <c r="C140" s="3">
        <f t="shared" si="26"/>
        <v>232</v>
      </c>
      <c r="D140" s="7">
        <f t="shared" si="27"/>
        <v>303442.94152428379</v>
      </c>
      <c r="E140" s="8">
        <f t="shared" si="28"/>
        <v>35773532.644859068</v>
      </c>
      <c r="F140" s="7">
        <f t="shared" si="29"/>
        <v>36055792.544680201</v>
      </c>
      <c r="G140" s="8">
        <f t="shared" si="30"/>
        <v>15050.343422216858</v>
      </c>
      <c r="H140" s="8">
        <f t="shared" si="31"/>
        <v>225755.15133325264</v>
      </c>
      <c r="I140" s="7">
        <f t="shared" si="32"/>
        <v>65031.668640228512</v>
      </c>
      <c r="J140" s="8">
        <f t="shared" si="33"/>
        <v>282259.89982112899</v>
      </c>
      <c r="K140" s="8">
        <f t="shared" si="34"/>
        <v>347291.5684613575</v>
      </c>
      <c r="L140" s="8">
        <f t="shared" si="24"/>
        <v>573046.71979461017</v>
      </c>
      <c r="M140" s="4">
        <f t="shared" si="25"/>
        <v>1.5</v>
      </c>
      <c r="N140" s="10">
        <f t="shared" si="35"/>
        <v>0.09</v>
      </c>
      <c r="O140" s="11">
        <f t="shared" si="36"/>
        <v>7.8284203424832111E-3</v>
      </c>
    </row>
    <row r="141" spans="2:15" x14ac:dyDescent="0.25">
      <c r="B141" s="3">
        <v>124</v>
      </c>
      <c r="C141" s="3">
        <f t="shared" si="26"/>
        <v>231</v>
      </c>
      <c r="D141" s="7">
        <f t="shared" si="27"/>
        <v>301067.46262807207</v>
      </c>
      <c r="E141" s="8">
        <f t="shared" si="28"/>
        <v>35429038.147512689</v>
      </c>
      <c r="F141" s="7">
        <f t="shared" si="29"/>
        <v>35708579.920967177</v>
      </c>
      <c r="G141" s="8">
        <f t="shared" si="30"/>
        <v>14905.638602024625</v>
      </c>
      <c r="H141" s="8">
        <f t="shared" si="31"/>
        <v>223584.57903036915</v>
      </c>
      <c r="I141" s="7">
        <f t="shared" si="32"/>
        <v>64952.723891889975</v>
      </c>
      <c r="J141" s="8">
        <f t="shared" si="33"/>
        <v>279541.77345448697</v>
      </c>
      <c r="K141" s="8">
        <f t="shared" si="34"/>
        <v>344494.49734637694</v>
      </c>
      <c r="L141" s="8">
        <f t="shared" si="24"/>
        <v>568079.07637674606</v>
      </c>
      <c r="M141" s="4">
        <f t="shared" si="25"/>
        <v>1.5</v>
      </c>
      <c r="N141" s="10">
        <f t="shared" si="35"/>
        <v>0.09</v>
      </c>
      <c r="O141" s="11">
        <f t="shared" si="36"/>
        <v>7.8284203424832111E-3</v>
      </c>
    </row>
    <row r="142" spans="2:15" x14ac:dyDescent="0.25">
      <c r="B142" s="3">
        <v>125</v>
      </c>
      <c r="C142" s="3">
        <f t="shared" si="26"/>
        <v>230</v>
      </c>
      <c r="D142" s="7">
        <f t="shared" si="27"/>
        <v>298710.57997917471</v>
      </c>
      <c r="E142" s="8">
        <f t="shared" si="28"/>
        <v>35087318.72954867</v>
      </c>
      <c r="F142" s="7">
        <f t="shared" si="29"/>
        <v>35364164.272534698</v>
      </c>
      <c r="G142" s="8">
        <f t="shared" si="30"/>
        <v>14762.099228130299</v>
      </c>
      <c r="H142" s="8">
        <f t="shared" si="31"/>
        <v>221431.4884219543</v>
      </c>
      <c r="I142" s="7">
        <f t="shared" si="32"/>
        <v>64873.874977987492</v>
      </c>
      <c r="J142" s="8">
        <f t="shared" si="33"/>
        <v>276845.54298602859</v>
      </c>
      <c r="K142" s="8">
        <f t="shared" si="34"/>
        <v>341719.41796401609</v>
      </c>
      <c r="L142" s="8">
        <f t="shared" si="24"/>
        <v>563150.90638597042</v>
      </c>
      <c r="M142" s="4">
        <f t="shared" si="25"/>
        <v>1.5</v>
      </c>
      <c r="N142" s="10">
        <f t="shared" si="35"/>
        <v>0.09</v>
      </c>
      <c r="O142" s="11">
        <f t="shared" si="36"/>
        <v>7.8284203424832111E-3</v>
      </c>
    </row>
    <row r="143" spans="2:15" x14ac:dyDescent="0.25">
      <c r="B143" s="3">
        <v>126</v>
      </c>
      <c r="C143" s="3">
        <f t="shared" si="26"/>
        <v>229</v>
      </c>
      <c r="D143" s="7">
        <f t="shared" si="27"/>
        <v>296372.14799835073</v>
      </c>
      <c r="E143" s="8">
        <f t="shared" si="28"/>
        <v>34748352.571510352</v>
      </c>
      <c r="F143" s="7">
        <f t="shared" si="29"/>
        <v>35022523.607766487</v>
      </c>
      <c r="G143" s="8">
        <f t="shared" si="30"/>
        <v>14619.716137311958</v>
      </c>
      <c r="H143" s="8">
        <f t="shared" si="31"/>
        <v>219295.74205967918</v>
      </c>
      <c r="I143" s="7">
        <f t="shared" si="32"/>
        <v>64795.121782183538</v>
      </c>
      <c r="J143" s="8">
        <f t="shared" si="33"/>
        <v>274171.03625613765</v>
      </c>
      <c r="K143" s="8">
        <f t="shared" si="34"/>
        <v>338966.15803832118</v>
      </c>
      <c r="L143" s="8">
        <f t="shared" si="24"/>
        <v>558261.90009800042</v>
      </c>
      <c r="M143" s="4">
        <f t="shared" si="25"/>
        <v>1.5</v>
      </c>
      <c r="N143" s="10">
        <f t="shared" si="35"/>
        <v>0.09</v>
      </c>
      <c r="O143" s="11">
        <f t="shared" si="36"/>
        <v>7.8284203424832111E-3</v>
      </c>
    </row>
    <row r="144" spans="2:15" x14ac:dyDescent="0.25">
      <c r="B144" s="3">
        <v>127</v>
      </c>
      <c r="C144" s="3">
        <f t="shared" si="26"/>
        <v>228</v>
      </c>
      <c r="D144" s="7">
        <f t="shared" si="27"/>
        <v>294052.02224601508</v>
      </c>
      <c r="E144" s="8">
        <f t="shared" si="28"/>
        <v>34412118.024868228</v>
      </c>
      <c r="F144" s="7">
        <f t="shared" si="29"/>
        <v>34683636.107322067</v>
      </c>
      <c r="G144" s="8">
        <f t="shared" si="30"/>
        <v>14478.480238129325</v>
      </c>
      <c r="H144" s="8">
        <f t="shared" si="31"/>
        <v>217177.2035719397</v>
      </c>
      <c r="I144" s="7">
        <f t="shared" si="32"/>
        <v>64716.464188281723</v>
      </c>
      <c r="J144" s="8">
        <f t="shared" si="33"/>
        <v>271518.0824538453</v>
      </c>
      <c r="K144" s="8">
        <f t="shared" si="34"/>
        <v>336234.54664212704</v>
      </c>
      <c r="L144" s="8">
        <f t="shared" si="24"/>
        <v>553411.75021406671</v>
      </c>
      <c r="M144" s="4">
        <f t="shared" si="25"/>
        <v>1.5</v>
      </c>
      <c r="N144" s="10">
        <f t="shared" si="35"/>
        <v>0.09</v>
      </c>
      <c r="O144" s="11">
        <f t="shared" si="36"/>
        <v>7.8284203424832111E-3</v>
      </c>
    </row>
    <row r="145" spans="2:15" x14ac:dyDescent="0.25">
      <c r="B145" s="3">
        <v>128</v>
      </c>
      <c r="C145" s="3">
        <f t="shared" si="26"/>
        <v>227</v>
      </c>
      <c r="D145" s="7">
        <f t="shared" si="27"/>
        <v>291750.05941331596</v>
      </c>
      <c r="E145" s="8">
        <f t="shared" si="28"/>
        <v>34078593.610681728</v>
      </c>
      <c r="F145" s="7">
        <f t="shared" si="29"/>
        <v>34347480.122787997</v>
      </c>
      <c r="G145" s="8">
        <f t="shared" si="30"/>
        <v>14338.382510361773</v>
      </c>
      <c r="H145" s="8">
        <f t="shared" si="31"/>
        <v>215075.7376554264</v>
      </c>
      <c r="I145" s="7">
        <f t="shared" si="32"/>
        <v>64637.902080226864</v>
      </c>
      <c r="J145" s="8">
        <f t="shared" si="33"/>
        <v>268886.51210627129</v>
      </c>
      <c r="K145" s="8">
        <f t="shared" si="34"/>
        <v>333524.41418649815</v>
      </c>
      <c r="L145" s="8">
        <f t="shared" si="24"/>
        <v>548600.15184192453</v>
      </c>
      <c r="M145" s="4">
        <f t="shared" si="25"/>
        <v>1.5</v>
      </c>
      <c r="N145" s="10">
        <f t="shared" si="35"/>
        <v>0.09</v>
      </c>
      <c r="O145" s="11">
        <f t="shared" si="36"/>
        <v>7.8284203424832111E-3</v>
      </c>
    </row>
    <row r="146" spans="2:15" x14ac:dyDescent="0.25">
      <c r="B146" s="3">
        <v>129</v>
      </c>
      <c r="C146" s="3">
        <f t="shared" si="26"/>
        <v>226</v>
      </c>
      <c r="D146" s="7">
        <f t="shared" si="27"/>
        <v>289466.11731328408</v>
      </c>
      <c r="E146" s="8">
        <f t="shared" si="28"/>
        <v>33747758.018271476</v>
      </c>
      <c r="F146" s="7">
        <f t="shared" si="29"/>
        <v>34014034.175339624</v>
      </c>
      <c r="G146" s="8">
        <f t="shared" si="30"/>
        <v>14199.414004450731</v>
      </c>
      <c r="H146" s="8">
        <f t="shared" si="31"/>
        <v>212991.21006676077</v>
      </c>
      <c r="I146" s="7">
        <f t="shared" si="32"/>
        <v>64559.435342104458</v>
      </c>
      <c r="J146" s="8">
        <f t="shared" si="33"/>
        <v>266276.15706814785</v>
      </c>
      <c r="K146" s="8">
        <f t="shared" si="34"/>
        <v>330835.59241025231</v>
      </c>
      <c r="L146" s="8">
        <f t="shared" si="24"/>
        <v>543826.80247701309</v>
      </c>
      <c r="M146" s="4">
        <f t="shared" si="25"/>
        <v>1.5</v>
      </c>
      <c r="N146" s="10">
        <f t="shared" si="35"/>
        <v>0.09</v>
      </c>
      <c r="O146" s="11">
        <f t="shared" si="36"/>
        <v>7.8284203424832111E-3</v>
      </c>
    </row>
    <row r="147" spans="2:15" x14ac:dyDescent="0.25">
      <c r="B147" s="3">
        <v>130</v>
      </c>
      <c r="C147" s="3">
        <f t="shared" si="26"/>
        <v>225</v>
      </c>
      <c r="D147" s="7">
        <f t="shared" si="27"/>
        <v>287200.05487204919</v>
      </c>
      <c r="E147" s="8">
        <f t="shared" si="28"/>
        <v>33419590.103901912</v>
      </c>
      <c r="F147" s="7">
        <f t="shared" si="29"/>
        <v>33683276.954413332</v>
      </c>
      <c r="G147" s="8">
        <f t="shared" si="30"/>
        <v>14061.56584094646</v>
      </c>
      <c r="H147" s="8">
        <f t="shared" si="31"/>
        <v>210923.4876141967</v>
      </c>
      <c r="I147" s="7">
        <f t="shared" si="32"/>
        <v>64481.063858140908</v>
      </c>
      <c r="J147" s="8">
        <f t="shared" si="33"/>
        <v>263686.85051142529</v>
      </c>
      <c r="K147" s="8">
        <f t="shared" si="34"/>
        <v>328167.91436956619</v>
      </c>
      <c r="L147" s="8">
        <f t="shared" ref="L147:L210" si="37">H147+K147</f>
        <v>539091.40198376286</v>
      </c>
      <c r="M147" s="4">
        <f t="shared" ref="M147:M210" si="38">$E$11</f>
        <v>1.5</v>
      </c>
      <c r="N147" s="10">
        <f t="shared" si="35"/>
        <v>0.09</v>
      </c>
      <c r="O147" s="11">
        <f t="shared" si="36"/>
        <v>7.8284203424832111E-3</v>
      </c>
    </row>
    <row r="148" spans="2:15" x14ac:dyDescent="0.25">
      <c r="B148" s="3">
        <v>131</v>
      </c>
      <c r="C148" s="3">
        <f t="shared" si="26"/>
        <v>224</v>
      </c>
      <c r="D148" s="7">
        <f t="shared" si="27"/>
        <v>284951.73212012654</v>
      </c>
      <c r="E148" s="8">
        <f t="shared" si="28"/>
        <v>33094068.88947425</v>
      </c>
      <c r="F148" s="7">
        <f t="shared" si="29"/>
        <v>33355187.316389207</v>
      </c>
      <c r="G148" s="8">
        <f t="shared" si="30"/>
        <v>13924.829209959142</v>
      </c>
      <c r="H148" s="8">
        <f t="shared" si="31"/>
        <v>208872.43814938693</v>
      </c>
      <c r="I148" s="7">
        <f t="shared" si="32"/>
        <v>64402.787512703078</v>
      </c>
      <c r="J148" s="8">
        <f t="shared" si="33"/>
        <v>261118.42691495924</v>
      </c>
      <c r="K148" s="8">
        <f t="shared" si="34"/>
        <v>325521.21442766231</v>
      </c>
      <c r="L148" s="8">
        <f t="shared" si="37"/>
        <v>534393.65257704922</v>
      </c>
      <c r="M148" s="4">
        <f t="shared" si="38"/>
        <v>1.5</v>
      </c>
      <c r="N148" s="10">
        <f t="shared" si="35"/>
        <v>0.09</v>
      </c>
      <c r="O148" s="11">
        <f t="shared" si="36"/>
        <v>7.8284203424832111E-3</v>
      </c>
    </row>
    <row r="149" spans="2:15" x14ac:dyDescent="0.25">
      <c r="B149" s="3">
        <v>132</v>
      </c>
      <c r="C149" s="3">
        <f t="shared" si="26"/>
        <v>223</v>
      </c>
      <c r="D149" s="7">
        <f t="shared" si="27"/>
        <v>282721.01018377149</v>
      </c>
      <c r="E149" s="8">
        <f t="shared" si="28"/>
        <v>32771173.561229672</v>
      </c>
      <c r="F149" s="7">
        <f t="shared" si="29"/>
        <v>33029744.283283953</v>
      </c>
      <c r="G149" s="8">
        <f t="shared" si="30"/>
        <v>13789.195370614283</v>
      </c>
      <c r="H149" s="8">
        <f t="shared" si="31"/>
        <v>206837.93055921406</v>
      </c>
      <c r="I149" s="7">
        <f t="shared" si="32"/>
        <v>64324.606190298175</v>
      </c>
      <c r="J149" s="8">
        <f t="shared" si="33"/>
        <v>258570.72205427865</v>
      </c>
      <c r="K149" s="8">
        <f t="shared" si="34"/>
        <v>322895.32824457681</v>
      </c>
      <c r="L149" s="8">
        <f t="shared" si="37"/>
        <v>529733.2588037909</v>
      </c>
      <c r="M149" s="4">
        <f t="shared" si="38"/>
        <v>1.5</v>
      </c>
      <c r="N149" s="10">
        <f t="shared" si="35"/>
        <v>0.09</v>
      </c>
      <c r="O149" s="11">
        <f t="shared" si="36"/>
        <v>7.8284203424832111E-3</v>
      </c>
    </row>
    <row r="150" spans="2:15" x14ac:dyDescent="0.25">
      <c r="B150" s="3">
        <v>133</v>
      </c>
      <c r="C150" s="3">
        <f t="shared" si="26"/>
        <v>222</v>
      </c>
      <c r="D150" s="7">
        <f t="shared" si="27"/>
        <v>280507.7512764014</v>
      </c>
      <c r="E150" s="8">
        <f t="shared" si="28"/>
        <v>32450883.468462665</v>
      </c>
      <c r="F150" s="7">
        <f t="shared" si="29"/>
        <v>32706927.041454099</v>
      </c>
      <c r="G150" s="8">
        <f t="shared" si="30"/>
        <v>13654.655650512375</v>
      </c>
      <c r="H150" s="8">
        <f t="shared" si="31"/>
        <v>204819.83475768543</v>
      </c>
      <c r="I150" s="7">
        <f t="shared" si="32"/>
        <v>64246.519775573644</v>
      </c>
      <c r="J150" s="8">
        <f t="shared" si="33"/>
        <v>256043.5729914335</v>
      </c>
      <c r="K150" s="8">
        <f t="shared" si="34"/>
        <v>320290.09276700713</v>
      </c>
      <c r="L150" s="8">
        <f t="shared" si="37"/>
        <v>525109.92752469261</v>
      </c>
      <c r="M150" s="4">
        <f t="shared" si="38"/>
        <v>1.5</v>
      </c>
      <c r="N150" s="10">
        <f t="shared" si="35"/>
        <v>0.09</v>
      </c>
      <c r="O150" s="11">
        <f t="shared" si="36"/>
        <v>7.8284203424832111E-3</v>
      </c>
    </row>
    <row r="151" spans="2:15" x14ac:dyDescent="0.25">
      <c r="B151" s="3">
        <v>134</v>
      </c>
      <c r="C151" s="3">
        <f t="shared" si="26"/>
        <v>221</v>
      </c>
      <c r="D151" s="7">
        <f t="shared" si="27"/>
        <v>278311.81869008503</v>
      </c>
      <c r="E151" s="8">
        <f t="shared" si="28"/>
        <v>32133178.122244425</v>
      </c>
      <c r="F151" s="7">
        <f t="shared" si="29"/>
        <v>32386714.940309349</v>
      </c>
      <c r="G151" s="8">
        <f t="shared" si="30"/>
        <v>13521.201445192788</v>
      </c>
      <c r="H151" s="8">
        <f t="shared" si="31"/>
        <v>202818.02167789164</v>
      </c>
      <c r="I151" s="7">
        <f t="shared" si="32"/>
        <v>64168.528153316969</v>
      </c>
      <c r="J151" s="8">
        <f t="shared" si="33"/>
        <v>253536.81806492264</v>
      </c>
      <c r="K151" s="8">
        <f t="shared" si="34"/>
        <v>317705.34621823963</v>
      </c>
      <c r="L151" s="8">
        <f t="shared" si="37"/>
        <v>520523.36789613124</v>
      </c>
      <c r="M151" s="4">
        <f t="shared" si="38"/>
        <v>1.5</v>
      </c>
      <c r="N151" s="10">
        <f t="shared" si="35"/>
        <v>0.09</v>
      </c>
      <c r="O151" s="11">
        <f t="shared" si="36"/>
        <v>7.8284203424832111E-3</v>
      </c>
    </row>
    <row r="152" spans="2:15" x14ac:dyDescent="0.25">
      <c r="B152" s="3">
        <v>135</v>
      </c>
      <c r="C152" s="3">
        <f t="shared" si="26"/>
        <v>220</v>
      </c>
      <c r="D152" s="7">
        <f t="shared" si="27"/>
        <v>276133.07678709802</v>
      </c>
      <c r="E152" s="8">
        <f t="shared" si="28"/>
        <v>31818037.19415627</v>
      </c>
      <c r="F152" s="7">
        <f t="shared" si="29"/>
        <v>32069087.491035968</v>
      </c>
      <c r="G152" s="8">
        <f t="shared" si="30"/>
        <v>13388.824217601856</v>
      </c>
      <c r="H152" s="8">
        <f t="shared" si="31"/>
        <v>200832.36326402763</v>
      </c>
      <c r="I152" s="7">
        <f t="shared" si="32"/>
        <v>64090.631208455503</v>
      </c>
      <c r="J152" s="8">
        <f t="shared" si="33"/>
        <v>251050.29687969986</v>
      </c>
      <c r="K152" s="8">
        <f t="shared" si="34"/>
        <v>315140.92808815534</v>
      </c>
      <c r="L152" s="8">
        <f t="shared" si="37"/>
        <v>515973.29135218298</v>
      </c>
      <c r="M152" s="4">
        <f t="shared" si="38"/>
        <v>1.5</v>
      </c>
      <c r="N152" s="10">
        <f t="shared" si="35"/>
        <v>0.09</v>
      </c>
      <c r="O152" s="11">
        <f t="shared" si="36"/>
        <v>7.8284203424832111E-3</v>
      </c>
    </row>
    <row r="153" spans="2:15" x14ac:dyDescent="0.25">
      <c r="B153" s="3">
        <v>136</v>
      </c>
      <c r="C153" s="3">
        <f t="shared" si="26"/>
        <v>219</v>
      </c>
      <c r="D153" s="7">
        <f t="shared" si="27"/>
        <v>273971.3909915454</v>
      </c>
      <c r="E153" s="8">
        <f t="shared" si="28"/>
        <v>31505440.515032955</v>
      </c>
      <c r="F153" s="7">
        <f t="shared" si="29"/>
        <v>31754024.365330216</v>
      </c>
      <c r="G153" s="8">
        <f t="shared" si="30"/>
        <v>13257.515497565124</v>
      </c>
      <c r="H153" s="8">
        <f t="shared" si="31"/>
        <v>198862.73246347668</v>
      </c>
      <c r="I153" s="7">
        <f t="shared" si="32"/>
        <v>64012.828826056226</v>
      </c>
      <c r="J153" s="8">
        <f t="shared" si="33"/>
        <v>248583.85029725858</v>
      </c>
      <c r="K153" s="8">
        <f t="shared" si="34"/>
        <v>312596.6791233148</v>
      </c>
      <c r="L153" s="8">
        <f t="shared" si="37"/>
        <v>511459.41158679151</v>
      </c>
      <c r="M153" s="4">
        <f t="shared" si="38"/>
        <v>1.5</v>
      </c>
      <c r="N153" s="10">
        <f t="shared" si="35"/>
        <v>0.09</v>
      </c>
      <c r="O153" s="11">
        <f t="shared" si="36"/>
        <v>7.8284203424832111E-3</v>
      </c>
    </row>
    <row r="154" spans="2:15" x14ac:dyDescent="0.25">
      <c r="B154" s="3">
        <v>137</v>
      </c>
      <c r="C154" s="3">
        <f t="shared" si="26"/>
        <v>218</v>
      </c>
      <c r="D154" s="7">
        <f t="shared" si="27"/>
        <v>271826.62778104882</v>
      </c>
      <c r="E154" s="8">
        <f t="shared" si="28"/>
        <v>31195368.073715836</v>
      </c>
      <c r="F154" s="7">
        <f t="shared" si="29"/>
        <v>31441505.394141629</v>
      </c>
      <c r="G154" s="8">
        <f t="shared" si="30"/>
        <v>13127.266881263742</v>
      </c>
      <c r="H154" s="8">
        <f t="shared" si="31"/>
        <v>196909.00321895594</v>
      </c>
      <c r="I154" s="7">
        <f t="shared" si="32"/>
        <v>63935.1208913257</v>
      </c>
      <c r="J154" s="8">
        <f t="shared" si="33"/>
        <v>246137.32042579394</v>
      </c>
      <c r="K154" s="8">
        <f t="shared" si="34"/>
        <v>310072.44131711964</v>
      </c>
      <c r="L154" s="8">
        <f t="shared" si="37"/>
        <v>506981.44453607558</v>
      </c>
      <c r="M154" s="4">
        <f t="shared" si="38"/>
        <v>1.5</v>
      </c>
      <c r="N154" s="10">
        <f t="shared" si="35"/>
        <v>0.09</v>
      </c>
      <c r="O154" s="11">
        <f t="shared" si="36"/>
        <v>7.8284203424832111E-3</v>
      </c>
    </row>
    <row r="155" spans="2:15" x14ac:dyDescent="0.25">
      <c r="B155" s="3">
        <v>138</v>
      </c>
      <c r="C155" s="3">
        <f t="shared" si="26"/>
        <v>217</v>
      </c>
      <c r="D155" s="7">
        <f t="shared" si="27"/>
        <v>269698.65467849898</v>
      </c>
      <c r="E155" s="8">
        <f t="shared" si="28"/>
        <v>30887800.015815783</v>
      </c>
      <c r="F155" s="7">
        <f t="shared" si="29"/>
        <v>31131510.566426225</v>
      </c>
      <c r="G155" s="8">
        <f t="shared" si="30"/>
        <v>12998.070030714942</v>
      </c>
      <c r="H155" s="8">
        <f t="shared" si="31"/>
        <v>194971.05046072396</v>
      </c>
      <c r="I155" s="7">
        <f t="shared" si="32"/>
        <v>63857.507289609894</v>
      </c>
      <c r="J155" s="8">
        <f t="shared" si="33"/>
        <v>243710.55061044209</v>
      </c>
      <c r="K155" s="8">
        <f t="shared" si="34"/>
        <v>307568.05790005199</v>
      </c>
      <c r="L155" s="8">
        <f t="shared" si="37"/>
        <v>502539.10836077598</v>
      </c>
      <c r="M155" s="4">
        <f t="shared" si="38"/>
        <v>1.5</v>
      </c>
      <c r="N155" s="10">
        <f t="shared" si="35"/>
        <v>0.09</v>
      </c>
      <c r="O155" s="11">
        <f t="shared" si="36"/>
        <v>7.8284203424832111E-3</v>
      </c>
    </row>
    <row r="156" spans="2:15" x14ac:dyDescent="0.25">
      <c r="B156" s="3">
        <v>139</v>
      </c>
      <c r="C156" s="3">
        <f t="shared" si="26"/>
        <v>216</v>
      </c>
      <c r="D156" s="7">
        <f t="shared" si="27"/>
        <v>267587.34024387354</v>
      </c>
      <c r="E156" s="8">
        <f t="shared" si="28"/>
        <v>30582716.642485794</v>
      </c>
      <c r="F156" s="7">
        <f t="shared" si="29"/>
        <v>30824020.027909391</v>
      </c>
      <c r="G156" s="8">
        <f t="shared" si="30"/>
        <v>12869.916673256586</v>
      </c>
      <c r="H156" s="8">
        <f t="shared" si="31"/>
        <v>193048.75009884863</v>
      </c>
      <c r="I156" s="7">
        <f t="shared" si="32"/>
        <v>63779.98790639377</v>
      </c>
      <c r="J156" s="8">
        <f t="shared" si="33"/>
        <v>241303.38542359578</v>
      </c>
      <c r="K156" s="8">
        <f t="shared" si="34"/>
        <v>305083.37332998955</v>
      </c>
      <c r="L156" s="8">
        <f t="shared" si="37"/>
        <v>498132.12342883821</v>
      </c>
      <c r="M156" s="4">
        <f t="shared" si="38"/>
        <v>1.5</v>
      </c>
      <c r="N156" s="10">
        <f t="shared" si="35"/>
        <v>0.09</v>
      </c>
      <c r="O156" s="11">
        <f t="shared" si="36"/>
        <v>7.8284203424832111E-3</v>
      </c>
    </row>
    <row r="157" spans="2:15" x14ac:dyDescent="0.25">
      <c r="B157" s="3">
        <v>140</v>
      </c>
      <c r="C157" s="3">
        <f t="shared" si="26"/>
        <v>215</v>
      </c>
      <c r="D157" s="7">
        <f t="shared" si="27"/>
        <v>265492.55406611733</v>
      </c>
      <c r="E157" s="8">
        <f t="shared" si="28"/>
        <v>30280098.409203198</v>
      </c>
      <c r="F157" s="7">
        <f t="shared" si="29"/>
        <v>30519014.079858493</v>
      </c>
      <c r="G157" s="8">
        <f t="shared" si="30"/>
        <v>12742.798601035758</v>
      </c>
      <c r="H157" s="8">
        <f t="shared" si="31"/>
        <v>191141.9790155362</v>
      </c>
      <c r="I157" s="7">
        <f t="shared" si="32"/>
        <v>63702.562627301522</v>
      </c>
      <c r="J157" s="8">
        <f t="shared" si="33"/>
        <v>238915.67065529578</v>
      </c>
      <c r="K157" s="8">
        <f t="shared" si="34"/>
        <v>302618.23328259727</v>
      </c>
      <c r="L157" s="8">
        <f t="shared" si="37"/>
        <v>493760.21229813347</v>
      </c>
      <c r="M157" s="4">
        <f t="shared" si="38"/>
        <v>1.5</v>
      </c>
      <c r="N157" s="10">
        <f t="shared" si="35"/>
        <v>0.09</v>
      </c>
      <c r="O157" s="11">
        <f t="shared" si="36"/>
        <v>7.8284203424832111E-3</v>
      </c>
    </row>
    <row r="158" spans="2:15" x14ac:dyDescent="0.25">
      <c r="B158" s="3">
        <v>141</v>
      </c>
      <c r="C158" s="3">
        <f t="shared" si="26"/>
        <v>214</v>
      </c>
      <c r="D158" s="7">
        <f t="shared" si="27"/>
        <v>263414.16675508837</v>
      </c>
      <c r="E158" s="8">
        <f t="shared" si="28"/>
        <v>29979925.924561404</v>
      </c>
      <c r="F158" s="7">
        <f t="shared" si="29"/>
        <v>30216473.177865103</v>
      </c>
      <c r="G158" s="8">
        <f t="shared" si="30"/>
        <v>12616.707670501342</v>
      </c>
      <c r="H158" s="8">
        <f t="shared" si="31"/>
        <v>189250.61505751996</v>
      </c>
      <c r="I158" s="7">
        <f t="shared" si="32"/>
        <v>63625.231338096026</v>
      </c>
      <c r="J158" s="8">
        <f t="shared" si="33"/>
        <v>236547.25330369748</v>
      </c>
      <c r="K158" s="8">
        <f t="shared" si="34"/>
        <v>300172.48464179353</v>
      </c>
      <c r="L158" s="8">
        <f t="shared" si="37"/>
        <v>489423.09969931352</v>
      </c>
      <c r="M158" s="4">
        <f t="shared" si="38"/>
        <v>1.5</v>
      </c>
      <c r="N158" s="10">
        <f t="shared" si="35"/>
        <v>0.09</v>
      </c>
      <c r="O158" s="11">
        <f t="shared" si="36"/>
        <v>7.8284203424832111E-3</v>
      </c>
    </row>
    <row r="159" spans="2:15" x14ac:dyDescent="0.25">
      <c r="B159" s="3">
        <v>142</v>
      </c>
      <c r="C159" s="3">
        <f t="shared" si="26"/>
        <v>213</v>
      </c>
      <c r="D159" s="7">
        <f t="shared" si="27"/>
        <v>261352.0499335645</v>
      </c>
      <c r="E159" s="8">
        <f t="shared" si="28"/>
        <v>29682179.949071113</v>
      </c>
      <c r="F159" s="7">
        <f t="shared" si="29"/>
        <v>29916377.930636726</v>
      </c>
      <c r="G159" s="8">
        <f t="shared" si="30"/>
        <v>12491.635801900595</v>
      </c>
      <c r="H159" s="8">
        <f t="shared" si="31"/>
        <v>187374.53702850876</v>
      </c>
      <c r="I159" s="7">
        <f t="shared" si="32"/>
        <v>63547.99392467898</v>
      </c>
      <c r="J159" s="8">
        <f t="shared" si="33"/>
        <v>234197.98156561234</v>
      </c>
      <c r="K159" s="8">
        <f t="shared" si="34"/>
        <v>297745.97549029131</v>
      </c>
      <c r="L159" s="8">
        <f t="shared" si="37"/>
        <v>485120.5125188001</v>
      </c>
      <c r="M159" s="4">
        <f t="shared" si="38"/>
        <v>1.5</v>
      </c>
      <c r="N159" s="10">
        <f t="shared" si="35"/>
        <v>0.09</v>
      </c>
      <c r="O159" s="11">
        <f t="shared" si="36"/>
        <v>7.8284203424832111E-3</v>
      </c>
    </row>
    <row r="160" spans="2:15" x14ac:dyDescent="0.25">
      <c r="B160" s="3">
        <v>143</v>
      </c>
      <c r="C160" s="3">
        <f t="shared" si="26"/>
        <v>212</v>
      </c>
      <c r="D160" s="7">
        <f t="shared" si="27"/>
        <v>259306.07622931493</v>
      </c>
      <c r="E160" s="8">
        <f t="shared" si="28"/>
        <v>29386841.393970899</v>
      </c>
      <c r="F160" s="7">
        <f t="shared" si="29"/>
        <v>29618709.098798022</v>
      </c>
      <c r="G160" s="8">
        <f t="shared" si="30"/>
        <v>12367.574978779641</v>
      </c>
      <c r="H160" s="8">
        <f t="shared" si="31"/>
        <v>185513.62468169443</v>
      </c>
      <c r="I160" s="7">
        <f t="shared" si="32"/>
        <v>63470.850273090422</v>
      </c>
      <c r="J160" s="8">
        <f t="shared" si="33"/>
        <v>231867.704827123</v>
      </c>
      <c r="K160" s="8">
        <f t="shared" si="34"/>
        <v>295338.55510021345</v>
      </c>
      <c r="L160" s="8">
        <f t="shared" si="37"/>
        <v>480852.17978190788</v>
      </c>
      <c r="M160" s="4">
        <f t="shared" si="38"/>
        <v>1.5</v>
      </c>
      <c r="N160" s="10">
        <f t="shared" si="35"/>
        <v>0.09</v>
      </c>
      <c r="O160" s="11">
        <f t="shared" si="36"/>
        <v>7.8284203424832111E-3</v>
      </c>
    </row>
    <row r="161" spans="2:15" x14ac:dyDescent="0.25">
      <c r="B161" s="3">
        <v>144</v>
      </c>
      <c r="C161" s="3">
        <f t="shared" si="26"/>
        <v>211</v>
      </c>
      <c r="D161" s="7">
        <f t="shared" si="27"/>
        <v>257276.11926723181</v>
      </c>
      <c r="E161" s="8">
        <f t="shared" si="28"/>
        <v>29093891.320047118</v>
      </c>
      <c r="F161" s="7">
        <f t="shared" si="29"/>
        <v>29323447.593701389</v>
      </c>
      <c r="G161" s="8">
        <f t="shared" si="30"/>
        <v>12244.517247487885</v>
      </c>
      <c r="H161" s="8">
        <f t="shared" si="31"/>
        <v>183667.75871231811</v>
      </c>
      <c r="I161" s="7">
        <f t="shared" si="32"/>
        <v>63393.800269508902</v>
      </c>
      <c r="J161" s="8">
        <f t="shared" si="33"/>
        <v>229556.27365427231</v>
      </c>
      <c r="K161" s="8">
        <f t="shared" si="34"/>
        <v>292950.07392378122</v>
      </c>
      <c r="L161" s="8">
        <f t="shared" si="37"/>
        <v>476617.83263609931</v>
      </c>
      <c r="M161" s="4">
        <f t="shared" si="38"/>
        <v>1.5</v>
      </c>
      <c r="N161" s="10">
        <f t="shared" si="35"/>
        <v>0.09</v>
      </c>
      <c r="O161" s="11">
        <f t="shared" si="36"/>
        <v>7.8284203424832111E-3</v>
      </c>
    </row>
    <row r="162" spans="2:15" x14ac:dyDescent="0.25">
      <c r="B162" s="3">
        <v>145</v>
      </c>
      <c r="C162" s="3">
        <f t="shared" si="26"/>
        <v>210</v>
      </c>
      <c r="D162" s="7">
        <f t="shared" si="27"/>
        <v>255262.0536615251</v>
      </c>
      <c r="E162" s="8">
        <f t="shared" si="28"/>
        <v>28803310.936463043</v>
      </c>
      <c r="F162" s="7">
        <f t="shared" si="29"/>
        <v>29030574.476246867</v>
      </c>
      <c r="G162" s="8">
        <f t="shared" si="30"/>
        <v>12122.454716686309</v>
      </c>
      <c r="H162" s="8">
        <f t="shared" si="31"/>
        <v>181836.82075029446</v>
      </c>
      <c r="I162" s="7">
        <f t="shared" si="32"/>
        <v>63316.84380025103</v>
      </c>
      <c r="J162" s="8">
        <f t="shared" si="33"/>
        <v>227263.53978382488</v>
      </c>
      <c r="K162" s="8">
        <f t="shared" si="34"/>
        <v>290580.3835840759</v>
      </c>
      <c r="L162" s="8">
        <f t="shared" si="37"/>
        <v>472417.20433437033</v>
      </c>
      <c r="M162" s="4">
        <f t="shared" si="38"/>
        <v>1.5</v>
      </c>
      <c r="N162" s="10">
        <f t="shared" si="35"/>
        <v>0.09</v>
      </c>
      <c r="O162" s="11">
        <f t="shared" si="36"/>
        <v>7.8284203424832111E-3</v>
      </c>
    </row>
    <row r="163" spans="2:15" x14ac:dyDescent="0.25">
      <c r="B163" s="3">
        <v>146</v>
      </c>
      <c r="C163" s="3">
        <f t="shared" si="26"/>
        <v>209</v>
      </c>
      <c r="D163" s="7">
        <f t="shared" si="27"/>
        <v>253263.75500797719</v>
      </c>
      <c r="E163" s="8">
        <f t="shared" si="28"/>
        <v>28515081.599597171</v>
      </c>
      <c r="F163" s="7">
        <f t="shared" si="29"/>
        <v>28740070.955711272</v>
      </c>
      <c r="G163" s="8">
        <f t="shared" si="30"/>
        <v>12001.379556859611</v>
      </c>
      <c r="H163" s="8">
        <f t="shared" si="31"/>
        <v>180020.69335289401</v>
      </c>
      <c r="I163" s="7">
        <f t="shared" si="32"/>
        <v>63239.98075177148</v>
      </c>
      <c r="J163" s="8">
        <f t="shared" si="33"/>
        <v>224989.35611410101</v>
      </c>
      <c r="K163" s="8">
        <f t="shared" si="34"/>
        <v>288229.33686587249</v>
      </c>
      <c r="L163" s="8">
        <f t="shared" si="37"/>
        <v>468250.03021876654</v>
      </c>
      <c r="M163" s="4">
        <f t="shared" si="38"/>
        <v>1.5</v>
      </c>
      <c r="N163" s="10">
        <f t="shared" si="35"/>
        <v>0.09</v>
      </c>
      <c r="O163" s="11">
        <f t="shared" si="36"/>
        <v>7.8284203424832111E-3</v>
      </c>
    </row>
    <row r="164" spans="2:15" x14ac:dyDescent="0.25">
      <c r="B164" s="3">
        <v>147</v>
      </c>
      <c r="C164" s="3">
        <f t="shared" si="26"/>
        <v>208</v>
      </c>
      <c r="D164" s="7">
        <f t="shared" si="27"/>
        <v>251281.09987625899</v>
      </c>
      <c r="E164" s="8">
        <f t="shared" si="28"/>
        <v>28229184.811890624</v>
      </c>
      <c r="F164" s="7">
        <f t="shared" si="29"/>
        <v>28451918.38858651</v>
      </c>
      <c r="G164" s="8">
        <f t="shared" si="30"/>
        <v>11881.283999832165</v>
      </c>
      <c r="H164" s="8">
        <f t="shared" si="31"/>
        <v>178219.2599974823</v>
      </c>
      <c r="I164" s="7">
        <f t="shared" si="32"/>
        <v>63163.211010662693</v>
      </c>
      <c r="J164" s="8">
        <f t="shared" si="33"/>
        <v>222733.57669588277</v>
      </c>
      <c r="K164" s="8">
        <f t="shared" si="34"/>
        <v>285896.78770654544</v>
      </c>
      <c r="L164" s="8">
        <f t="shared" si="37"/>
        <v>464116.04770402773</v>
      </c>
      <c r="M164" s="4">
        <f t="shared" si="38"/>
        <v>1.5</v>
      </c>
      <c r="N164" s="10">
        <f t="shared" si="35"/>
        <v>0.09</v>
      </c>
      <c r="O164" s="11">
        <f t="shared" si="36"/>
        <v>7.8284203424832111E-3</v>
      </c>
    </row>
    <row r="165" spans="2:15" x14ac:dyDescent="0.25">
      <c r="B165" s="3">
        <v>148</v>
      </c>
      <c r="C165" s="3">
        <f t="shared" si="26"/>
        <v>207</v>
      </c>
      <c r="D165" s="7">
        <f t="shared" si="27"/>
        <v>249313.96580230616</v>
      </c>
      <c r="E165" s="8">
        <f t="shared" si="28"/>
        <v>27945602.220703579</v>
      </c>
      <c r="F165" s="7">
        <f t="shared" si="29"/>
        <v>28166098.277426969</v>
      </c>
      <c r="G165" s="8">
        <f t="shared" si="30"/>
        <v>11762.160338287769</v>
      </c>
      <c r="H165" s="8">
        <f t="shared" si="31"/>
        <v>176432.4050743164</v>
      </c>
      <c r="I165" s="7">
        <f t="shared" si="32"/>
        <v>63086.53446365484</v>
      </c>
      <c r="J165" s="8">
        <f t="shared" si="33"/>
        <v>220496.05672339062</v>
      </c>
      <c r="K165" s="8">
        <f t="shared" si="34"/>
        <v>283582.59118704544</v>
      </c>
      <c r="L165" s="8">
        <f t="shared" si="37"/>
        <v>460014.99626136187</v>
      </c>
      <c r="M165" s="4">
        <f t="shared" si="38"/>
        <v>1.5</v>
      </c>
      <c r="N165" s="10">
        <f t="shared" si="35"/>
        <v>0.09</v>
      </c>
      <c r="O165" s="11">
        <f t="shared" si="36"/>
        <v>7.8284203424832111E-3</v>
      </c>
    </row>
    <row r="166" spans="2:15" x14ac:dyDescent="0.25">
      <c r="B166" s="3">
        <v>149</v>
      </c>
      <c r="C166" s="3">
        <f t="shared" si="26"/>
        <v>206</v>
      </c>
      <c r="D166" s="7">
        <f t="shared" si="27"/>
        <v>247362.23128075423</v>
      </c>
      <c r="E166" s="8">
        <f t="shared" si="28"/>
        <v>27664315.617180634</v>
      </c>
      <c r="F166" s="7">
        <f t="shared" si="29"/>
        <v>27882592.269705962</v>
      </c>
      <c r="G166" s="8">
        <f t="shared" si="30"/>
        <v>11644.000925293169</v>
      </c>
      <c r="H166" s="8">
        <f t="shared" si="31"/>
        <v>174660.01387939736</v>
      </c>
      <c r="I166" s="7">
        <f t="shared" si="32"/>
        <v>63009.950997615626</v>
      </c>
      <c r="J166" s="8">
        <f t="shared" si="33"/>
        <v>218276.65252533127</v>
      </c>
      <c r="K166" s="8">
        <f t="shared" si="34"/>
        <v>281286.60352294688</v>
      </c>
      <c r="L166" s="8">
        <f t="shared" si="37"/>
        <v>455946.61740234424</v>
      </c>
      <c r="M166" s="4">
        <f t="shared" si="38"/>
        <v>1.5</v>
      </c>
      <c r="N166" s="10">
        <f t="shared" si="35"/>
        <v>0.09</v>
      </c>
      <c r="O166" s="11">
        <f t="shared" si="36"/>
        <v>7.8284203424832111E-3</v>
      </c>
    </row>
    <row r="167" spans="2:15" x14ac:dyDescent="0.25">
      <c r="B167" s="3">
        <v>150</v>
      </c>
      <c r="C167" s="3">
        <f t="shared" si="26"/>
        <v>205</v>
      </c>
      <c r="D167" s="7">
        <f t="shared" si="27"/>
        <v>245425.77575743396</v>
      </c>
      <c r="E167" s="8">
        <f t="shared" si="28"/>
        <v>27385306.935125068</v>
      </c>
      <c r="F167" s="7">
        <f t="shared" si="29"/>
        <v>27601382.156681083</v>
      </c>
      <c r="G167" s="8">
        <f t="shared" si="30"/>
        <v>11526.798173825275</v>
      </c>
      <c r="H167" s="8">
        <f t="shared" si="31"/>
        <v>172901.97260737896</v>
      </c>
      <c r="I167" s="7">
        <f t="shared" si="32"/>
        <v>62933.46049954999</v>
      </c>
      <c r="J167" s="8">
        <f t="shared" si="33"/>
        <v>216075.22155601531</v>
      </c>
      <c r="K167" s="8">
        <f t="shared" si="34"/>
        <v>279008.6820555653</v>
      </c>
      <c r="L167" s="8">
        <f t="shared" si="37"/>
        <v>451910.65466294426</v>
      </c>
      <c r="M167" s="4">
        <f t="shared" si="38"/>
        <v>1.5</v>
      </c>
      <c r="N167" s="10">
        <f t="shared" si="35"/>
        <v>0.09</v>
      </c>
      <c r="O167" s="11">
        <f t="shared" si="36"/>
        <v>7.8284203424832111E-3</v>
      </c>
    </row>
    <row r="168" spans="2:15" x14ac:dyDescent="0.25">
      <c r="B168" s="3">
        <v>151</v>
      </c>
      <c r="C168" s="3">
        <f t="shared" si="26"/>
        <v>204</v>
      </c>
      <c r="D168" s="7">
        <f t="shared" si="27"/>
        <v>243504.47962192472</v>
      </c>
      <c r="E168" s="8">
        <f t="shared" si="28"/>
        <v>27108558.249881923</v>
      </c>
      <c r="F168" s="7">
        <f t="shared" si="29"/>
        <v>27322449.872268468</v>
      </c>
      <c r="G168" s="8">
        <f t="shared" si="30"/>
        <v>11410.54455630212</v>
      </c>
      <c r="H168" s="8">
        <f t="shared" si="31"/>
        <v>171158.16834453167</v>
      </c>
      <c r="I168" s="7">
        <f t="shared" si="32"/>
        <v>62857.06285660014</v>
      </c>
      <c r="J168" s="8">
        <f t="shared" si="33"/>
        <v>213891.62238654427</v>
      </c>
      <c r="K168" s="8">
        <f t="shared" si="34"/>
        <v>276748.6852431444</v>
      </c>
      <c r="L168" s="8">
        <f t="shared" si="37"/>
        <v>447906.85358767607</v>
      </c>
      <c r="M168" s="4">
        <f t="shared" si="38"/>
        <v>1.5</v>
      </c>
      <c r="N168" s="10">
        <f t="shared" si="35"/>
        <v>0.09</v>
      </c>
      <c r="O168" s="11">
        <f t="shared" si="36"/>
        <v>7.8284203424832111E-3</v>
      </c>
    </row>
    <row r="169" spans="2:15" x14ac:dyDescent="0.25">
      <c r="B169" s="3">
        <v>152</v>
      </c>
      <c r="C169" s="3">
        <f t="shared" si="26"/>
        <v>203</v>
      </c>
      <c r="D169" s="7">
        <f t="shared" si="27"/>
        <v>241598.22420016665</v>
      </c>
      <c r="E169" s="8">
        <f t="shared" si="28"/>
        <v>26834051.777229812</v>
      </c>
      <c r="F169" s="7">
        <f t="shared" si="29"/>
        <v>27045777.491925877</v>
      </c>
      <c r="G169" s="8">
        <f t="shared" si="30"/>
        <v>11295.232604117478</v>
      </c>
      <c r="H169" s="8">
        <f t="shared" si="31"/>
        <v>169428.489061762</v>
      </c>
      <c r="I169" s="7">
        <f t="shared" si="32"/>
        <v>62780.7579560452</v>
      </c>
      <c r="J169" s="8">
        <f t="shared" si="33"/>
        <v>211725.71469606709</v>
      </c>
      <c r="K169" s="8">
        <f t="shared" si="34"/>
        <v>274506.47265211231</v>
      </c>
      <c r="L169" s="8">
        <f t="shared" si="37"/>
        <v>443934.96171387431</v>
      </c>
      <c r="M169" s="4">
        <f t="shared" si="38"/>
        <v>1.5</v>
      </c>
      <c r="N169" s="10">
        <f t="shared" si="35"/>
        <v>0.09</v>
      </c>
      <c r="O169" s="11">
        <f t="shared" si="36"/>
        <v>7.8284203424832111E-3</v>
      </c>
    </row>
    <row r="170" spans="2:15" x14ac:dyDescent="0.25">
      <c r="B170" s="3">
        <v>153</v>
      </c>
      <c r="C170" s="3">
        <f t="shared" si="26"/>
        <v>202</v>
      </c>
      <c r="D170" s="7">
        <f t="shared" si="27"/>
        <v>239706.89174713023</v>
      </c>
      <c r="E170" s="8">
        <f t="shared" si="28"/>
        <v>26561769.872281406</v>
      </c>
      <c r="F170" s="7">
        <f t="shared" si="29"/>
        <v>26771347.23154451</v>
      </c>
      <c r="G170" s="8">
        <f t="shared" si="30"/>
        <v>11180.854907179099</v>
      </c>
      <c r="H170" s="8">
        <f t="shared" si="31"/>
        <v>167712.82360768632</v>
      </c>
      <c r="I170" s="7">
        <f t="shared" si="32"/>
        <v>62704.5456853012</v>
      </c>
      <c r="J170" s="8">
        <f t="shared" si="33"/>
        <v>209577.35926310462</v>
      </c>
      <c r="K170" s="8">
        <f t="shared" si="34"/>
        <v>272281.90494840581</v>
      </c>
      <c r="L170" s="8">
        <f t="shared" si="37"/>
        <v>439994.72855609213</v>
      </c>
      <c r="M170" s="4">
        <f t="shared" si="38"/>
        <v>1.5</v>
      </c>
      <c r="N170" s="10">
        <f t="shared" si="35"/>
        <v>0.09</v>
      </c>
      <c r="O170" s="11">
        <f t="shared" si="36"/>
        <v>7.8284203424832111E-3</v>
      </c>
    </row>
    <row r="171" spans="2:15" x14ac:dyDescent="0.25">
      <c r="B171" s="3">
        <v>154</v>
      </c>
      <c r="C171" s="3">
        <f t="shared" si="26"/>
        <v>201</v>
      </c>
      <c r="D171" s="7">
        <f t="shared" si="27"/>
        <v>237830.36543954356</v>
      </c>
      <c r="E171" s="8">
        <f t="shared" si="28"/>
        <v>26291695.028392542</v>
      </c>
      <c r="F171" s="7">
        <f t="shared" si="29"/>
        <v>26499141.446349487</v>
      </c>
      <c r="G171" s="8">
        <f t="shared" si="30"/>
        <v>11067.404113450595</v>
      </c>
      <c r="H171" s="8">
        <f t="shared" si="31"/>
        <v>166011.06170175876</v>
      </c>
      <c r="I171" s="7">
        <f t="shared" si="32"/>
        <v>62628.425931920843</v>
      </c>
      <c r="J171" s="8">
        <f t="shared" si="33"/>
        <v>207446.41795694231</v>
      </c>
      <c r="K171" s="8">
        <f t="shared" si="34"/>
        <v>270074.84388886316</v>
      </c>
      <c r="L171" s="8">
        <f t="shared" si="37"/>
        <v>436085.90559062193</v>
      </c>
      <c r="M171" s="4">
        <f t="shared" si="38"/>
        <v>1.5</v>
      </c>
      <c r="N171" s="10">
        <f t="shared" si="35"/>
        <v>0.09</v>
      </c>
      <c r="O171" s="11">
        <f t="shared" si="36"/>
        <v>7.8284203424832111E-3</v>
      </c>
    </row>
    <row r="172" spans="2:15" x14ac:dyDescent="0.25">
      <c r="B172" s="3">
        <v>155</v>
      </c>
      <c r="C172" s="3">
        <f t="shared" si="26"/>
        <v>200</v>
      </c>
      <c r="D172" s="7">
        <f t="shared" si="27"/>
        <v>235968.52936867636</v>
      </c>
      <c r="E172" s="8">
        <f t="shared" si="28"/>
        <v>26023809.876079857</v>
      </c>
      <c r="F172" s="7">
        <f t="shared" si="29"/>
        <v>26229142.629808947</v>
      </c>
      <c r="G172" s="8">
        <f t="shared" si="30"/>
        <v>10954.872928496901</v>
      </c>
      <c r="H172" s="8">
        <f t="shared" si="31"/>
        <v>164323.09392745339</v>
      </c>
      <c r="I172" s="7">
        <f t="shared" si="32"/>
        <v>62552.398583593262</v>
      </c>
      <c r="J172" s="8">
        <f t="shared" si="33"/>
        <v>205332.75372908995</v>
      </c>
      <c r="K172" s="8">
        <f t="shared" si="34"/>
        <v>267885.15231268323</v>
      </c>
      <c r="L172" s="8">
        <f t="shared" si="37"/>
        <v>432208.24624013662</v>
      </c>
      <c r="M172" s="4">
        <f t="shared" si="38"/>
        <v>1.5</v>
      </c>
      <c r="N172" s="10">
        <f t="shared" si="35"/>
        <v>0.09</v>
      </c>
      <c r="O172" s="11">
        <f t="shared" si="36"/>
        <v>7.8284203424832111E-3</v>
      </c>
    </row>
    <row r="173" spans="2:15" x14ac:dyDescent="0.25">
      <c r="B173" s="3">
        <v>156</v>
      </c>
      <c r="C173" s="3">
        <f t="shared" si="26"/>
        <v>199</v>
      </c>
      <c r="D173" s="7">
        <f t="shared" si="27"/>
        <v>234121.26853318076</v>
      </c>
      <c r="E173" s="8">
        <f t="shared" si="28"/>
        <v>25758097.181946903</v>
      </c>
      <c r="F173" s="7">
        <f t="shared" si="29"/>
        <v>25961333.412551712</v>
      </c>
      <c r="G173" s="8">
        <f t="shared" si="30"/>
        <v>10843.254115033284</v>
      </c>
      <c r="H173" s="8">
        <f t="shared" si="31"/>
        <v>162648.81172549911</v>
      </c>
      <c r="I173" s="7">
        <f t="shared" si="32"/>
        <v>62476.463528143984</v>
      </c>
      <c r="J173" s="8">
        <f t="shared" si="33"/>
        <v>203236.23060480889</v>
      </c>
      <c r="K173" s="8">
        <f t="shared" si="34"/>
        <v>265712.69413295289</v>
      </c>
      <c r="L173" s="8">
        <f t="shared" si="37"/>
        <v>428361.505858452</v>
      </c>
      <c r="M173" s="4">
        <f t="shared" si="38"/>
        <v>1.5</v>
      </c>
      <c r="N173" s="10">
        <f t="shared" si="35"/>
        <v>0.09</v>
      </c>
      <c r="O173" s="11">
        <f t="shared" si="36"/>
        <v>7.8284203424832111E-3</v>
      </c>
    </row>
    <row r="174" spans="2:15" x14ac:dyDescent="0.25">
      <c r="B174" s="3">
        <v>157</v>
      </c>
      <c r="C174" s="3">
        <f t="shared" si="26"/>
        <v>198</v>
      </c>
      <c r="D174" s="7">
        <f t="shared" si="27"/>
        <v>232288.46883198767</v>
      </c>
      <c r="E174" s="8">
        <f t="shared" si="28"/>
        <v>25494539.847618666</v>
      </c>
      <c r="F174" s="7">
        <f t="shared" si="29"/>
        <v>25695696.561293367</v>
      </c>
      <c r="G174" s="8">
        <f t="shared" si="30"/>
        <v>10732.540492477885</v>
      </c>
      <c r="H174" s="8">
        <f t="shared" si="31"/>
        <v>160988.10738716813</v>
      </c>
      <c r="I174" s="7">
        <f t="shared" si="32"/>
        <v>62400.62065353473</v>
      </c>
      <c r="J174" s="8">
        <f t="shared" si="33"/>
        <v>201156.71367470489</v>
      </c>
      <c r="K174" s="8">
        <f t="shared" si="34"/>
        <v>263557.33432823961</v>
      </c>
      <c r="L174" s="8">
        <f t="shared" si="37"/>
        <v>424545.44171540777</v>
      </c>
      <c r="M174" s="4">
        <f t="shared" si="38"/>
        <v>1.5</v>
      </c>
      <c r="N174" s="10">
        <f t="shared" si="35"/>
        <v>0.09</v>
      </c>
      <c r="O174" s="11">
        <f t="shared" si="36"/>
        <v>7.8284203424832111E-3</v>
      </c>
    </row>
    <row r="175" spans="2:15" x14ac:dyDescent="0.25">
      <c r="B175" s="3">
        <v>158</v>
      </c>
      <c r="C175" s="3">
        <f t="shared" si="26"/>
        <v>197</v>
      </c>
      <c r="D175" s="7">
        <f t="shared" si="27"/>
        <v>230470.01705725901</v>
      </c>
      <c r="E175" s="8">
        <f t="shared" si="28"/>
        <v>25233120.908684414</v>
      </c>
      <c r="F175" s="7">
        <f t="shared" si="29"/>
        <v>25432214.977770802</v>
      </c>
      <c r="G175" s="8">
        <f t="shared" si="30"/>
        <v>10622.724936507786</v>
      </c>
      <c r="H175" s="8">
        <f t="shared" si="31"/>
        <v>159340.87404761664</v>
      </c>
      <c r="I175" s="7">
        <f t="shared" si="32"/>
        <v>62324.869847863207</v>
      </c>
      <c r="J175" s="8">
        <f t="shared" si="33"/>
        <v>199094.06908638714</v>
      </c>
      <c r="K175" s="8">
        <f t="shared" si="34"/>
        <v>261418.93893425036</v>
      </c>
      <c r="L175" s="8">
        <f t="shared" si="37"/>
        <v>420759.812981867</v>
      </c>
      <c r="M175" s="4">
        <f t="shared" si="38"/>
        <v>1.5</v>
      </c>
      <c r="N175" s="10">
        <f t="shared" si="35"/>
        <v>0.09</v>
      </c>
      <c r="O175" s="11">
        <f t="shared" si="36"/>
        <v>7.8284203424832111E-3</v>
      </c>
    </row>
    <row r="176" spans="2:15" x14ac:dyDescent="0.25">
      <c r="B176" s="3">
        <v>159</v>
      </c>
      <c r="C176" s="3">
        <f t="shared" si="26"/>
        <v>196</v>
      </c>
      <c r="D176" s="7">
        <f t="shared" si="27"/>
        <v>228665.80088739548</v>
      </c>
      <c r="E176" s="8">
        <f t="shared" si="28"/>
        <v>24973823.53364886</v>
      </c>
      <c r="F176" s="7">
        <f t="shared" si="29"/>
        <v>25170871.697685052</v>
      </c>
      <c r="G176" s="8">
        <f t="shared" si="30"/>
        <v>10513.800378618515</v>
      </c>
      <c r="H176" s="8">
        <f t="shared" si="31"/>
        <v>157707.00567927759</v>
      </c>
      <c r="I176" s="7">
        <f t="shared" si="32"/>
        <v>62249.210999362913</v>
      </c>
      <c r="J176" s="8">
        <f t="shared" si="33"/>
        <v>197048.16403619258</v>
      </c>
      <c r="K176" s="8">
        <f t="shared" si="34"/>
        <v>259297.37503555551</v>
      </c>
      <c r="L176" s="8">
        <f t="shared" si="37"/>
        <v>417004.3807148331</v>
      </c>
      <c r="M176" s="4">
        <f t="shared" si="38"/>
        <v>1.5</v>
      </c>
      <c r="N176" s="10">
        <f t="shared" si="35"/>
        <v>0.09</v>
      </c>
      <c r="O176" s="11">
        <f t="shared" si="36"/>
        <v>7.8284203424832111E-3</v>
      </c>
    </row>
    <row r="177" spans="2:15" x14ac:dyDescent="0.25">
      <c r="B177" s="3">
        <v>160</v>
      </c>
      <c r="C177" s="3">
        <f t="shared" ref="C177:C240" si="39">$E$9-B177</f>
        <v>195</v>
      </c>
      <c r="D177" s="7">
        <f t="shared" ref="D177:D240" si="40">($E$5*E177)/(1-$E$7^C177)</f>
        <v>226875.70888009839</v>
      </c>
      <c r="E177" s="8">
        <f t="shared" ref="E177:E240" si="41">E176-K177</f>
        <v>24716631.02289148</v>
      </c>
      <c r="F177" s="7">
        <f t="shared" ref="F177:F240" si="42">E176-I177</f>
        <v>24911649.889652457</v>
      </c>
      <c r="G177" s="8">
        <f t="shared" ref="G177:G240" si="43">$E$4/12*E176</f>
        <v>10405.759805687034</v>
      </c>
      <c r="H177" s="8">
        <f t="shared" ref="H177:H240" si="44">$E$6*E176</f>
        <v>156086.39708530536</v>
      </c>
      <c r="I177" s="7">
        <f t="shared" ref="I177:I240" si="45">D176*($E$7^(C176-1+1))</f>
        <v>62173.643996403101</v>
      </c>
      <c r="J177" s="8">
        <f t="shared" ref="J177:J240" si="46">O177*F177</f>
        <v>195018.86676097492</v>
      </c>
      <c r="K177" s="8">
        <f t="shared" ref="K177:K240" si="47">I177+J177</f>
        <v>257192.51075737801</v>
      </c>
      <c r="L177" s="8">
        <f t="shared" si="37"/>
        <v>413278.90784268337</v>
      </c>
      <c r="M177" s="4">
        <f t="shared" si="38"/>
        <v>1.5</v>
      </c>
      <c r="N177" s="10">
        <f t="shared" ref="N177:N240" si="48">MIN((B177+$E$10)/30*6%*$E$11,6%*$E$11)</f>
        <v>0.09</v>
      </c>
      <c r="O177" s="11">
        <f t="shared" ref="O177:O240" si="49">1 - (1 - N177)^(1/12)</f>
        <v>7.8284203424832111E-3</v>
      </c>
    </row>
    <row r="178" spans="2:15" x14ac:dyDescent="0.25">
      <c r="B178" s="3">
        <v>161</v>
      </c>
      <c r="C178" s="3">
        <f t="shared" si="39"/>
        <v>194</v>
      </c>
      <c r="D178" s="7">
        <f t="shared" si="40"/>
        <v>225099.63046548612</v>
      </c>
      <c r="E178" s="8">
        <f t="shared" si="41"/>
        <v>24461526.807634033</v>
      </c>
      <c r="F178" s="7">
        <f t="shared" si="42"/>
        <v>24654532.854163993</v>
      </c>
      <c r="G178" s="8">
        <f t="shared" si="43"/>
        <v>10298.596259538126</v>
      </c>
      <c r="H178" s="8">
        <f t="shared" si="44"/>
        <v>154478.94389307173</v>
      </c>
      <c r="I178" s="7">
        <f t="shared" si="45"/>
        <v>62098.168727488512</v>
      </c>
      <c r="J178" s="8">
        <f t="shared" si="46"/>
        <v>193006.04652995805</v>
      </c>
      <c r="K178" s="8">
        <f t="shared" si="47"/>
        <v>255104.21525744657</v>
      </c>
      <c r="L178" s="8">
        <f t="shared" si="37"/>
        <v>409583.1591505183</v>
      </c>
      <c r="M178" s="4">
        <f t="shared" si="38"/>
        <v>1.5</v>
      </c>
      <c r="N178" s="10">
        <f t="shared" si="48"/>
        <v>0.09</v>
      </c>
      <c r="O178" s="11">
        <f t="shared" si="49"/>
        <v>7.8284203424832111E-3</v>
      </c>
    </row>
    <row r="179" spans="2:15" x14ac:dyDescent="0.25">
      <c r="B179" s="3">
        <v>162</v>
      </c>
      <c r="C179" s="3">
        <f t="shared" si="39"/>
        <v>193</v>
      </c>
      <c r="D179" s="7">
        <f t="shared" si="40"/>
        <v>223337.45593926465</v>
      </c>
      <c r="E179" s="8">
        <f t="shared" si="41"/>
        <v>24208494.448916122</v>
      </c>
      <c r="F179" s="7">
        <f t="shared" si="42"/>
        <v>24399504.022552773</v>
      </c>
      <c r="G179" s="8">
        <f t="shared" si="43"/>
        <v>10192.302836514189</v>
      </c>
      <c r="H179" s="8">
        <f t="shared" si="44"/>
        <v>152884.54254771268</v>
      </c>
      <c r="I179" s="7">
        <f t="shared" si="45"/>
        <v>62022.785081259222</v>
      </c>
      <c r="J179" s="8">
        <f t="shared" si="46"/>
        <v>191009.57363665308</v>
      </c>
      <c r="K179" s="8">
        <f t="shared" si="47"/>
        <v>253032.35871791228</v>
      </c>
      <c r="L179" s="8">
        <f t="shared" si="37"/>
        <v>405916.90126562497</v>
      </c>
      <c r="M179" s="4">
        <f t="shared" si="38"/>
        <v>1.5</v>
      </c>
      <c r="N179" s="10">
        <f t="shared" si="48"/>
        <v>0.09</v>
      </c>
      <c r="O179" s="11">
        <f t="shared" si="49"/>
        <v>7.8284203424832111E-3</v>
      </c>
    </row>
    <row r="180" spans="2:15" x14ac:dyDescent="0.25">
      <c r="B180" s="3">
        <v>163</v>
      </c>
      <c r="C180" s="3">
        <f t="shared" si="39"/>
        <v>192</v>
      </c>
      <c r="D180" s="7">
        <f t="shared" si="40"/>
        <v>221589.07645595129</v>
      </c>
      <c r="E180" s="8">
        <f t="shared" si="41"/>
        <v>23957517.636578795</v>
      </c>
      <c r="F180" s="7">
        <f t="shared" si="42"/>
        <v>24146546.955969632</v>
      </c>
      <c r="G180" s="8">
        <f t="shared" si="43"/>
        <v>10086.872687048393</v>
      </c>
      <c r="H180" s="8">
        <f t="shared" si="44"/>
        <v>151303.09030572575</v>
      </c>
      <c r="I180" s="7">
        <f t="shared" si="45"/>
        <v>61947.492946490507</v>
      </c>
      <c r="J180" s="8">
        <f t="shared" si="46"/>
        <v>189029.31939083873</v>
      </c>
      <c r="K180" s="8">
        <f t="shared" si="47"/>
        <v>250976.81233732923</v>
      </c>
      <c r="L180" s="8">
        <f t="shared" si="37"/>
        <v>402279.90264305496</v>
      </c>
      <c r="M180" s="4">
        <f t="shared" si="38"/>
        <v>1.5</v>
      </c>
      <c r="N180" s="10">
        <f t="shared" si="48"/>
        <v>0.09</v>
      </c>
      <c r="O180" s="11">
        <f t="shared" si="49"/>
        <v>7.8284203424832111E-3</v>
      </c>
    </row>
    <row r="181" spans="2:15" x14ac:dyDescent="0.25">
      <c r="B181" s="3">
        <v>164</v>
      </c>
      <c r="C181" s="3">
        <f t="shared" si="39"/>
        <v>191</v>
      </c>
      <c r="D181" s="7">
        <f t="shared" si="40"/>
        <v>219854.38402215144</v>
      </c>
      <c r="E181" s="8">
        <f t="shared" si="41"/>
        <v>23708580.188256096</v>
      </c>
      <c r="F181" s="7">
        <f t="shared" si="42"/>
        <v>23895645.344366703</v>
      </c>
      <c r="G181" s="8">
        <f t="shared" si="43"/>
        <v>9982.299015241173</v>
      </c>
      <c r="H181" s="8">
        <f t="shared" si="44"/>
        <v>149734.48522861744</v>
      </c>
      <c r="I181" s="7">
        <f t="shared" si="45"/>
        <v>61872.292212092638</v>
      </c>
      <c r="J181" s="8">
        <f t="shared" si="46"/>
        <v>187065.15611060453</v>
      </c>
      <c r="K181" s="8">
        <f t="shared" si="47"/>
        <v>248937.44832269716</v>
      </c>
      <c r="L181" s="8">
        <f t="shared" si="37"/>
        <v>398671.93355131464</v>
      </c>
      <c r="M181" s="4">
        <f t="shared" si="38"/>
        <v>1.5</v>
      </c>
      <c r="N181" s="10">
        <f t="shared" si="48"/>
        <v>0.09</v>
      </c>
      <c r="O181" s="11">
        <f t="shared" si="49"/>
        <v>7.8284203424832111E-3</v>
      </c>
    </row>
    <row r="182" spans="2:15" x14ac:dyDescent="0.25">
      <c r="B182" s="3">
        <v>165</v>
      </c>
      <c r="C182" s="3">
        <f t="shared" si="39"/>
        <v>190</v>
      </c>
      <c r="D182" s="7">
        <f t="shared" si="40"/>
        <v>218133.27148988834</v>
      </c>
      <c r="E182" s="8">
        <f t="shared" si="41"/>
        <v>23461666.04837453</v>
      </c>
      <c r="F182" s="7">
        <f t="shared" si="42"/>
        <v>23646783.005488984</v>
      </c>
      <c r="G182" s="8">
        <f t="shared" si="43"/>
        <v>9878.5750784400479</v>
      </c>
      <c r="H182" s="8">
        <f t="shared" si="44"/>
        <v>148178.62617660058</v>
      </c>
      <c r="I182" s="7">
        <f t="shared" si="45"/>
        <v>61797.182767110782</v>
      </c>
      <c r="J182" s="8">
        <f t="shared" si="46"/>
        <v>185116.95711445625</v>
      </c>
      <c r="K182" s="8">
        <f t="shared" si="47"/>
        <v>246914.13988156704</v>
      </c>
      <c r="L182" s="8">
        <f t="shared" si="37"/>
        <v>395092.76605816762</v>
      </c>
      <c r="M182" s="4">
        <f t="shared" si="38"/>
        <v>1.5</v>
      </c>
      <c r="N182" s="10">
        <f t="shared" si="48"/>
        <v>0.09</v>
      </c>
      <c r="O182" s="11">
        <f t="shared" si="49"/>
        <v>7.8284203424832111E-3</v>
      </c>
    </row>
    <row r="183" spans="2:15" x14ac:dyDescent="0.25">
      <c r="B183" s="3">
        <v>166</v>
      </c>
      <c r="C183" s="3">
        <f t="shared" si="39"/>
        <v>189</v>
      </c>
      <c r="D183" s="7">
        <f t="shared" si="40"/>
        <v>216425.63254998447</v>
      </c>
      <c r="E183" s="8">
        <f t="shared" si="41"/>
        <v>23216759.287160322</v>
      </c>
      <c r="F183" s="7">
        <f t="shared" si="42"/>
        <v>23399943.883873805</v>
      </c>
      <c r="G183" s="8">
        <f t="shared" si="43"/>
        <v>9775.6941868227295</v>
      </c>
      <c r="H183" s="8">
        <f t="shared" si="44"/>
        <v>146635.41280234081</v>
      </c>
      <c r="I183" s="7">
        <f t="shared" si="45"/>
        <v>61722.164500724779</v>
      </c>
      <c r="J183" s="8">
        <f t="shared" si="46"/>
        <v>183184.5967134833</v>
      </c>
      <c r="K183" s="8">
        <f t="shared" si="47"/>
        <v>244906.76121420809</v>
      </c>
      <c r="L183" s="8">
        <f t="shared" si="37"/>
        <v>391542.1740165489</v>
      </c>
      <c r="M183" s="4">
        <f t="shared" si="38"/>
        <v>1.5</v>
      </c>
      <c r="N183" s="10">
        <f t="shared" si="48"/>
        <v>0.09</v>
      </c>
      <c r="O183" s="11">
        <f t="shared" si="49"/>
        <v>7.8284203424832111E-3</v>
      </c>
    </row>
    <row r="184" spans="2:15" x14ac:dyDescent="0.25">
      <c r="B184" s="3">
        <v>167</v>
      </c>
      <c r="C184" s="3">
        <f t="shared" si="39"/>
        <v>188</v>
      </c>
      <c r="D184" s="7">
        <f t="shared" si="40"/>
        <v>214731.36172549531</v>
      </c>
      <c r="E184" s="8">
        <f t="shared" si="41"/>
        <v>22973844.099654485</v>
      </c>
      <c r="F184" s="7">
        <f t="shared" si="42"/>
        <v>23155112.049858075</v>
      </c>
      <c r="G184" s="8">
        <f t="shared" si="43"/>
        <v>9673.6497029834754</v>
      </c>
      <c r="H184" s="8">
        <f t="shared" si="44"/>
        <v>145104.74554475199</v>
      </c>
      <c r="I184" s="7">
        <f t="shared" si="45"/>
        <v>61647.23730224897</v>
      </c>
      <c r="J184" s="8">
        <f t="shared" si="46"/>
        <v>181267.95020358707</v>
      </c>
      <c r="K184" s="8">
        <f t="shared" si="47"/>
        <v>242915.18750583605</v>
      </c>
      <c r="L184" s="8">
        <f t="shared" si="37"/>
        <v>388019.93305058801</v>
      </c>
      <c r="M184" s="4">
        <f t="shared" si="38"/>
        <v>1.5</v>
      </c>
      <c r="N184" s="10">
        <f t="shared" si="48"/>
        <v>0.09</v>
      </c>
      <c r="O184" s="11">
        <f t="shared" si="49"/>
        <v>7.8284203424832111E-3</v>
      </c>
    </row>
    <row r="185" spans="2:15" x14ac:dyDescent="0.25">
      <c r="B185" s="3">
        <v>168</v>
      </c>
      <c r="C185" s="3">
        <f t="shared" si="39"/>
        <v>187</v>
      </c>
      <c r="D185" s="7">
        <f t="shared" si="40"/>
        <v>213050.35436519433</v>
      </c>
      <c r="E185" s="8">
        <f t="shared" si="41"/>
        <v>22732904.804735582</v>
      </c>
      <c r="F185" s="7">
        <f t="shared" si="42"/>
        <v>22912271.698593352</v>
      </c>
      <c r="G185" s="8">
        <f t="shared" si="43"/>
        <v>9572.4350415227091</v>
      </c>
      <c r="H185" s="8">
        <f t="shared" si="44"/>
        <v>143586.52562284051</v>
      </c>
      <c r="I185" s="7">
        <f t="shared" si="45"/>
        <v>61572.401061132085</v>
      </c>
      <c r="J185" s="8">
        <f t="shared" si="46"/>
        <v>179366.89385777054</v>
      </c>
      <c r="K185" s="8">
        <f t="shared" si="47"/>
        <v>240939.29491890263</v>
      </c>
      <c r="L185" s="8">
        <f t="shared" si="37"/>
        <v>384525.82054174313</v>
      </c>
      <c r="M185" s="4">
        <f t="shared" si="38"/>
        <v>1.5</v>
      </c>
      <c r="N185" s="10">
        <f t="shared" si="48"/>
        <v>0.09</v>
      </c>
      <c r="O185" s="11">
        <f t="shared" si="49"/>
        <v>7.8284203424832111E-3</v>
      </c>
    </row>
    <row r="186" spans="2:15" x14ac:dyDescent="0.25">
      <c r="B186" s="3">
        <v>169</v>
      </c>
      <c r="C186" s="3">
        <f t="shared" si="39"/>
        <v>186</v>
      </c>
      <c r="D186" s="7">
        <f t="shared" si="40"/>
        <v>211382.50663710857</v>
      </c>
      <c r="E186" s="8">
        <f t="shared" si="41"/>
        <v>22493925.844150137</v>
      </c>
      <c r="F186" s="7">
        <f t="shared" si="42"/>
        <v>22671407.149068624</v>
      </c>
      <c r="G186" s="8">
        <f t="shared" si="43"/>
        <v>9472.0436686398334</v>
      </c>
      <c r="H186" s="8">
        <f t="shared" si="44"/>
        <v>142080.65502959737</v>
      </c>
      <c r="I186" s="7">
        <f t="shared" si="45"/>
        <v>61497.6556669571</v>
      </c>
      <c r="J186" s="8">
        <f t="shared" si="46"/>
        <v>177481.30491848811</v>
      </c>
      <c r="K186" s="8">
        <f t="shared" si="47"/>
        <v>238978.96058544522</v>
      </c>
      <c r="L186" s="8">
        <f t="shared" si="37"/>
        <v>381059.61561504262</v>
      </c>
      <c r="M186" s="4">
        <f t="shared" si="38"/>
        <v>1.5</v>
      </c>
      <c r="N186" s="10">
        <f t="shared" si="48"/>
        <v>0.09</v>
      </c>
      <c r="O186" s="11">
        <f t="shared" si="49"/>
        <v>7.8284203424832111E-3</v>
      </c>
    </row>
    <row r="187" spans="2:15" x14ac:dyDescent="0.25">
      <c r="B187" s="3">
        <v>170</v>
      </c>
      <c r="C187" s="3">
        <f t="shared" si="39"/>
        <v>185</v>
      </c>
      <c r="D187" s="7">
        <f t="shared" si="40"/>
        <v>209727.71552210554</v>
      </c>
      <c r="E187" s="8">
        <f t="shared" si="41"/>
        <v>22256891.781550642</v>
      </c>
      <c r="F187" s="7">
        <f t="shared" si="42"/>
        <v>22432502.843140695</v>
      </c>
      <c r="G187" s="8">
        <f t="shared" si="43"/>
        <v>9372.4691017292316</v>
      </c>
      <c r="H187" s="8">
        <f t="shared" si="44"/>
        <v>140587.03652593834</v>
      </c>
      <c r="I187" s="7">
        <f t="shared" si="45"/>
        <v>61423.001009440981</v>
      </c>
      <c r="J187" s="8">
        <f t="shared" si="46"/>
        <v>175611.06159005509</v>
      </c>
      <c r="K187" s="8">
        <f t="shared" si="47"/>
        <v>237034.06259949607</v>
      </c>
      <c r="L187" s="8">
        <f t="shared" si="37"/>
        <v>377621.09912543441</v>
      </c>
      <c r="M187" s="4">
        <f t="shared" si="38"/>
        <v>1.5</v>
      </c>
      <c r="N187" s="10">
        <f t="shared" si="48"/>
        <v>0.09</v>
      </c>
      <c r="O187" s="11">
        <f t="shared" si="49"/>
        <v>7.8284203424832111E-3</v>
      </c>
    </row>
    <row r="188" spans="2:15" x14ac:dyDescent="0.25">
      <c r="B188" s="3">
        <v>171</v>
      </c>
      <c r="C188" s="3">
        <f t="shared" si="39"/>
        <v>184</v>
      </c>
      <c r="D188" s="7">
        <f t="shared" si="40"/>
        <v>208085.87880752975</v>
      </c>
      <c r="E188" s="8">
        <f t="shared" si="41"/>
        <v>22021787.30154109</v>
      </c>
      <c r="F188" s="7">
        <f t="shared" si="42"/>
        <v>22195543.344572209</v>
      </c>
      <c r="G188" s="8">
        <f t="shared" si="43"/>
        <v>9273.7049089794418</v>
      </c>
      <c r="H188" s="8">
        <f t="shared" si="44"/>
        <v>139105.57363469151</v>
      </c>
      <c r="I188" s="7">
        <f t="shared" si="45"/>
        <v>61348.436978434591</v>
      </c>
      <c r="J188" s="8">
        <f t="shared" si="46"/>
        <v>173756.04303111692</v>
      </c>
      <c r="K188" s="8">
        <f t="shared" si="47"/>
        <v>235104.48000955151</v>
      </c>
      <c r="L188" s="8">
        <f t="shared" si="37"/>
        <v>374210.05364424305</v>
      </c>
      <c r="M188" s="4">
        <f t="shared" si="38"/>
        <v>1.5</v>
      </c>
      <c r="N188" s="10">
        <f t="shared" si="48"/>
        <v>0.09</v>
      </c>
      <c r="O188" s="11">
        <f t="shared" si="49"/>
        <v>7.8284203424832111E-3</v>
      </c>
    </row>
    <row r="189" spans="2:15" x14ac:dyDescent="0.25">
      <c r="B189" s="3">
        <v>172</v>
      </c>
      <c r="C189" s="3">
        <f t="shared" si="39"/>
        <v>183</v>
      </c>
      <c r="D189" s="7">
        <f t="shared" si="40"/>
        <v>206456.89508088937</v>
      </c>
      <c r="E189" s="8">
        <f t="shared" si="41"/>
        <v>21788597.20872999</v>
      </c>
      <c r="F189" s="7">
        <f t="shared" si="42"/>
        <v>21960513.338077169</v>
      </c>
      <c r="G189" s="8">
        <f t="shared" si="43"/>
        <v>9175.7447089754623</v>
      </c>
      <c r="H189" s="8">
        <f t="shared" si="44"/>
        <v>137636.1706346318</v>
      </c>
      <c r="I189" s="7">
        <f t="shared" si="45"/>
        <v>61273.963463922468</v>
      </c>
      <c r="J189" s="8">
        <f t="shared" si="46"/>
        <v>171916.12934717719</v>
      </c>
      <c r="K189" s="8">
        <f t="shared" si="47"/>
        <v>233190.09281109966</v>
      </c>
      <c r="L189" s="8">
        <f t="shared" si="37"/>
        <v>370826.26344573149</v>
      </c>
      <c r="M189" s="4">
        <f t="shared" si="38"/>
        <v>1.5</v>
      </c>
      <c r="N189" s="10">
        <f t="shared" si="48"/>
        <v>0.09</v>
      </c>
      <c r="O189" s="11">
        <f t="shared" si="49"/>
        <v>7.8284203424832111E-3</v>
      </c>
    </row>
    <row r="190" spans="2:15" x14ac:dyDescent="0.25">
      <c r="B190" s="3">
        <v>173</v>
      </c>
      <c r="C190" s="3">
        <f t="shared" si="39"/>
        <v>182</v>
      </c>
      <c r="D190" s="7">
        <f t="shared" si="40"/>
        <v>204840.66372359221</v>
      </c>
      <c r="E190" s="8">
        <f t="shared" si="41"/>
        <v>21557306.426790781</v>
      </c>
      <c r="F190" s="7">
        <f t="shared" si="42"/>
        <v>21727397.628373966</v>
      </c>
      <c r="G190" s="8">
        <f t="shared" si="43"/>
        <v>9078.5821703041693</v>
      </c>
      <c r="H190" s="8">
        <f t="shared" si="44"/>
        <v>136178.73255456242</v>
      </c>
      <c r="I190" s="7">
        <f t="shared" si="45"/>
        <v>61199.580356022765</v>
      </c>
      <c r="J190" s="8">
        <f t="shared" si="46"/>
        <v>170091.20158318421</v>
      </c>
      <c r="K190" s="8">
        <f t="shared" si="47"/>
        <v>231290.78193920699</v>
      </c>
      <c r="L190" s="8">
        <f t="shared" si="37"/>
        <v>367469.51449376938</v>
      </c>
      <c r="M190" s="4">
        <f t="shared" si="38"/>
        <v>1.5</v>
      </c>
      <c r="N190" s="10">
        <f t="shared" si="48"/>
        <v>0.09</v>
      </c>
      <c r="O190" s="11">
        <f t="shared" si="49"/>
        <v>7.8284203424832111E-3</v>
      </c>
    </row>
    <row r="191" spans="2:15" x14ac:dyDescent="0.25">
      <c r="B191" s="3">
        <v>174</v>
      </c>
      <c r="C191" s="3">
        <f t="shared" si="39"/>
        <v>181</v>
      </c>
      <c r="D191" s="7">
        <f t="shared" si="40"/>
        <v>203237.0849047307</v>
      </c>
      <c r="E191" s="8">
        <f t="shared" si="41"/>
        <v>21327899.997529618</v>
      </c>
      <c r="F191" s="7">
        <f t="shared" si="42"/>
        <v>21496181.139245793</v>
      </c>
      <c r="G191" s="8">
        <f t="shared" si="43"/>
        <v>8982.2110111628335</v>
      </c>
      <c r="H191" s="8">
        <f t="shared" si="44"/>
        <v>134733.16516744238</v>
      </c>
      <c r="I191" s="7">
        <f t="shared" si="45"/>
        <v>61125.287544986983</v>
      </c>
      <c r="J191" s="8">
        <f t="shared" si="46"/>
        <v>168281.14171617568</v>
      </c>
      <c r="K191" s="8">
        <f t="shared" si="47"/>
        <v>229406.42926116267</v>
      </c>
      <c r="L191" s="8">
        <f t="shared" si="37"/>
        <v>364139.59442860505</v>
      </c>
      <c r="M191" s="4">
        <f t="shared" si="38"/>
        <v>1.5</v>
      </c>
      <c r="N191" s="10">
        <f t="shared" si="48"/>
        <v>0.09</v>
      </c>
      <c r="O191" s="11">
        <f t="shared" si="49"/>
        <v>7.8284203424832111E-3</v>
      </c>
    </row>
    <row r="192" spans="2:15" x14ac:dyDescent="0.25">
      <c r="B192" s="3">
        <v>175</v>
      </c>
      <c r="C192" s="3">
        <f t="shared" si="39"/>
        <v>180</v>
      </c>
      <c r="D192" s="7">
        <f t="shared" si="40"/>
        <v>201646.05957491547</v>
      </c>
      <c r="E192" s="8">
        <f t="shared" si="41"/>
        <v>21100363.079960439</v>
      </c>
      <c r="F192" s="7">
        <f t="shared" si="42"/>
        <v>21266848.912608419</v>
      </c>
      <c r="G192" s="8">
        <f t="shared" si="43"/>
        <v>8886.6249989706812</v>
      </c>
      <c r="H192" s="8">
        <f t="shared" si="44"/>
        <v>133299.3749845601</v>
      </c>
      <c r="I192" s="7">
        <f t="shared" si="45"/>
        <v>61051.084921199865</v>
      </c>
      <c r="J192" s="8">
        <f t="shared" si="46"/>
        <v>166485.83264798071</v>
      </c>
      <c r="K192" s="8">
        <f t="shared" si="47"/>
        <v>227536.91756918057</v>
      </c>
      <c r="L192" s="8">
        <f t="shared" si="37"/>
        <v>360836.29255374067</v>
      </c>
      <c r="M192" s="4">
        <f t="shared" si="38"/>
        <v>1.5</v>
      </c>
      <c r="N192" s="10">
        <f t="shared" si="48"/>
        <v>0.09</v>
      </c>
      <c r="O192" s="11">
        <f t="shared" si="49"/>
        <v>7.8284203424832111E-3</v>
      </c>
    </row>
    <row r="193" spans="2:15" x14ac:dyDescent="0.25">
      <c r="B193" s="3">
        <v>176</v>
      </c>
      <c r="C193" s="3">
        <f t="shared" si="39"/>
        <v>179</v>
      </c>
      <c r="D193" s="7">
        <f t="shared" si="40"/>
        <v>200067.48946015764</v>
      </c>
      <c r="E193" s="8">
        <f t="shared" si="41"/>
        <v>20874680.949387282</v>
      </c>
      <c r="F193" s="7">
        <f t="shared" si="42"/>
        <v>21039386.107585259</v>
      </c>
      <c r="G193" s="8">
        <f t="shared" si="43"/>
        <v>8791.8179499835242</v>
      </c>
      <c r="H193" s="8">
        <f t="shared" si="44"/>
        <v>131877.26924975275</v>
      </c>
      <c r="I193" s="7">
        <f t="shared" si="45"/>
        <v>60976.972375179197</v>
      </c>
      <c r="J193" s="8">
        <f t="shared" si="46"/>
        <v>164705.15819797909</v>
      </c>
      <c r="K193" s="8">
        <f t="shared" si="47"/>
        <v>225682.1305731583</v>
      </c>
      <c r="L193" s="8">
        <f t="shared" si="37"/>
        <v>357559.39982291101</v>
      </c>
      <c r="M193" s="4">
        <f t="shared" si="38"/>
        <v>1.5</v>
      </c>
      <c r="N193" s="10">
        <f t="shared" si="48"/>
        <v>0.09</v>
      </c>
      <c r="O193" s="11">
        <f t="shared" si="49"/>
        <v>7.8284203424832111E-3</v>
      </c>
    </row>
    <row r="194" spans="2:15" x14ac:dyDescent="0.25">
      <c r="B194" s="3">
        <v>177</v>
      </c>
      <c r="C194" s="3">
        <f t="shared" si="39"/>
        <v>178</v>
      </c>
      <c r="D194" s="7">
        <f t="shared" si="40"/>
        <v>198501.27705579819</v>
      </c>
      <c r="E194" s="8">
        <f t="shared" si="41"/>
        <v>20650838.99649379</v>
      </c>
      <c r="F194" s="7">
        <f t="shared" si="42"/>
        <v>20813777.999589708</v>
      </c>
      <c r="G194" s="8">
        <f t="shared" si="43"/>
        <v>8697.7837289113741</v>
      </c>
      <c r="H194" s="8">
        <f t="shared" si="44"/>
        <v>130466.7559336705</v>
      </c>
      <c r="I194" s="7">
        <f t="shared" si="45"/>
        <v>60902.949797575733</v>
      </c>
      <c r="J194" s="8">
        <f t="shared" si="46"/>
        <v>162939.00309591758</v>
      </c>
      <c r="K194" s="8">
        <f t="shared" si="47"/>
        <v>223841.95289349332</v>
      </c>
      <c r="L194" s="8">
        <f t="shared" si="37"/>
        <v>354308.70882716379</v>
      </c>
      <c r="M194" s="4">
        <f t="shared" si="38"/>
        <v>1.5</v>
      </c>
      <c r="N194" s="10">
        <f t="shared" si="48"/>
        <v>0.09</v>
      </c>
      <c r="O194" s="11">
        <f t="shared" si="49"/>
        <v>7.8284203424832111E-3</v>
      </c>
    </row>
    <row r="195" spans="2:15" x14ac:dyDescent="0.25">
      <c r="B195" s="3">
        <v>178</v>
      </c>
      <c r="C195" s="3">
        <f t="shared" si="39"/>
        <v>177</v>
      </c>
      <c r="D195" s="7">
        <f t="shared" si="40"/>
        <v>196947.32562048567</v>
      </c>
      <c r="E195" s="8">
        <f t="shared" si="41"/>
        <v>20428822.726439837</v>
      </c>
      <c r="F195" s="7">
        <f t="shared" si="42"/>
        <v>20590009.979414616</v>
      </c>
      <c r="G195" s="8">
        <f t="shared" si="43"/>
        <v>8604.5162485390865</v>
      </c>
      <c r="H195" s="8">
        <f t="shared" si="44"/>
        <v>129067.74372808618</v>
      </c>
      <c r="I195" s="7">
        <f t="shared" si="45"/>
        <v>60829.017079172911</v>
      </c>
      <c r="J195" s="8">
        <f t="shared" si="46"/>
        <v>161187.2529747817</v>
      </c>
      <c r="K195" s="8">
        <f t="shared" si="47"/>
        <v>222016.27005395462</v>
      </c>
      <c r="L195" s="8">
        <f t="shared" si="37"/>
        <v>351084.0137820408</v>
      </c>
      <c r="M195" s="4">
        <f t="shared" si="38"/>
        <v>1.5</v>
      </c>
      <c r="N195" s="10">
        <f t="shared" si="48"/>
        <v>0.09</v>
      </c>
      <c r="O195" s="11">
        <f t="shared" si="49"/>
        <v>7.8284203424832111E-3</v>
      </c>
    </row>
    <row r="196" spans="2:15" x14ac:dyDescent="0.25">
      <c r="B196" s="3">
        <v>179</v>
      </c>
      <c r="C196" s="3">
        <f t="shared" si="39"/>
        <v>176</v>
      </c>
      <c r="D196" s="7">
        <f t="shared" si="40"/>
        <v>195405.53917020059</v>
      </c>
      <c r="E196" s="8">
        <f t="shared" si="41"/>
        <v>20208617.757965226</v>
      </c>
      <c r="F196" s="7">
        <f t="shared" si="42"/>
        <v>20368067.552328952</v>
      </c>
      <c r="G196" s="8">
        <f t="shared" si="43"/>
        <v>8512.0094693499395</v>
      </c>
      <c r="H196" s="8">
        <f t="shared" si="44"/>
        <v>127680.14204024897</v>
      </c>
      <c r="I196" s="7">
        <f t="shared" si="45"/>
        <v>60755.17411088675</v>
      </c>
      <c r="J196" s="8">
        <f t="shared" si="46"/>
        <v>159449.79436372418</v>
      </c>
      <c r="K196" s="8">
        <f t="shared" si="47"/>
        <v>220204.96847461094</v>
      </c>
      <c r="L196" s="8">
        <f t="shared" si="37"/>
        <v>347885.1105148599</v>
      </c>
      <c r="M196" s="4">
        <f t="shared" si="38"/>
        <v>1.5</v>
      </c>
      <c r="N196" s="10">
        <f t="shared" si="48"/>
        <v>0.09</v>
      </c>
      <c r="O196" s="11">
        <f t="shared" si="49"/>
        <v>7.8284203424832111E-3</v>
      </c>
    </row>
    <row r="197" spans="2:15" x14ac:dyDescent="0.25">
      <c r="B197" s="3">
        <v>180</v>
      </c>
      <c r="C197" s="3">
        <f t="shared" si="39"/>
        <v>175</v>
      </c>
      <c r="D197" s="7">
        <f t="shared" si="40"/>
        <v>193875.82247232666</v>
      </c>
      <c r="E197" s="8">
        <f t="shared" si="41"/>
        <v>19990209.822500411</v>
      </c>
      <c r="F197" s="7">
        <f t="shared" si="42"/>
        <v>20147936.33718146</v>
      </c>
      <c r="G197" s="8">
        <f t="shared" si="43"/>
        <v>8420.257399152184</v>
      </c>
      <c r="H197" s="8">
        <f t="shared" si="44"/>
        <v>126303.86098728265</v>
      </c>
      <c r="I197" s="7">
        <f t="shared" si="45"/>
        <v>60681.420783765752</v>
      </c>
      <c r="J197" s="8">
        <f t="shared" si="46"/>
        <v>157726.51468104802</v>
      </c>
      <c r="K197" s="8">
        <f t="shared" si="47"/>
        <v>218407.93546481378</v>
      </c>
      <c r="L197" s="8">
        <f t="shared" si="37"/>
        <v>344711.79645209643</v>
      </c>
      <c r="M197" s="4">
        <f t="shared" si="38"/>
        <v>1.5</v>
      </c>
      <c r="N197" s="10">
        <f t="shared" si="48"/>
        <v>0.09</v>
      </c>
      <c r="O197" s="11">
        <f t="shared" si="49"/>
        <v>7.8284203424832111E-3</v>
      </c>
    </row>
    <row r="198" spans="2:15" x14ac:dyDescent="0.25">
      <c r="B198" s="3">
        <v>181</v>
      </c>
      <c r="C198" s="3">
        <f t="shared" si="39"/>
        <v>174</v>
      </c>
      <c r="D198" s="7">
        <f t="shared" si="40"/>
        <v>192358.08103976867</v>
      </c>
      <c r="E198" s="8">
        <f t="shared" si="41"/>
        <v>19773584.763284177</v>
      </c>
      <c r="F198" s="7">
        <f t="shared" si="42"/>
        <v>19929602.06551142</v>
      </c>
      <c r="G198" s="8">
        <f t="shared" si="43"/>
        <v>8329.254092708512</v>
      </c>
      <c r="H198" s="8">
        <f t="shared" si="44"/>
        <v>124938.81139062755</v>
      </c>
      <c r="I198" s="7">
        <f t="shared" si="45"/>
        <v>60607.756988990586</v>
      </c>
      <c r="J198" s="8">
        <f t="shared" si="46"/>
        <v>156017.30222724503</v>
      </c>
      <c r="K198" s="8">
        <f t="shared" si="47"/>
        <v>216625.05921623562</v>
      </c>
      <c r="L198" s="8">
        <f t="shared" si="37"/>
        <v>341563.87060686317</v>
      </c>
      <c r="M198" s="4">
        <f t="shared" si="38"/>
        <v>1.5</v>
      </c>
      <c r="N198" s="10">
        <f t="shared" si="48"/>
        <v>0.09</v>
      </c>
      <c r="O198" s="11">
        <f t="shared" si="49"/>
        <v>7.8284203424832111E-3</v>
      </c>
    </row>
    <row r="199" spans="2:15" x14ac:dyDescent="0.25">
      <c r="B199" s="3">
        <v>182</v>
      </c>
      <c r="C199" s="3">
        <f t="shared" si="39"/>
        <v>173</v>
      </c>
      <c r="D199" s="7">
        <f t="shared" si="40"/>
        <v>190852.22112511587</v>
      </c>
      <c r="E199" s="8">
        <f t="shared" si="41"/>
        <v>19558728.534488212</v>
      </c>
      <c r="F199" s="7">
        <f t="shared" si="42"/>
        <v>19713050.580666304</v>
      </c>
      <c r="G199" s="8">
        <f t="shared" si="43"/>
        <v>8238.9936513684133</v>
      </c>
      <c r="H199" s="8">
        <f t="shared" si="44"/>
        <v>123584.90477052609</v>
      </c>
      <c r="I199" s="7">
        <f t="shared" si="45"/>
        <v>60534.182617874139</v>
      </c>
      <c r="J199" s="8">
        <f t="shared" si="46"/>
        <v>154322.04617808858</v>
      </c>
      <c r="K199" s="8">
        <f t="shared" si="47"/>
        <v>214856.22879596273</v>
      </c>
      <c r="L199" s="8">
        <f t="shared" si="37"/>
        <v>338441.1335664888</v>
      </c>
      <c r="M199" s="4">
        <f t="shared" si="38"/>
        <v>1.5</v>
      </c>
      <c r="N199" s="10">
        <f t="shared" si="48"/>
        <v>0.09</v>
      </c>
      <c r="O199" s="11">
        <f t="shared" si="49"/>
        <v>7.8284203424832111E-3</v>
      </c>
    </row>
    <row r="200" spans="2:15" x14ac:dyDescent="0.25">
      <c r="B200" s="3">
        <v>183</v>
      </c>
      <c r="C200" s="3">
        <f t="shared" si="39"/>
        <v>172</v>
      </c>
      <c r="D200" s="7">
        <f t="shared" si="40"/>
        <v>189358.1497148519</v>
      </c>
      <c r="E200" s="8">
        <f t="shared" si="41"/>
        <v>19345627.200348571</v>
      </c>
      <c r="F200" s="7">
        <f t="shared" si="42"/>
        <v>19498267.836926352</v>
      </c>
      <c r="G200" s="8">
        <f t="shared" si="43"/>
        <v>8149.4702227034286</v>
      </c>
      <c r="H200" s="8">
        <f t="shared" si="44"/>
        <v>122242.05334055131</v>
      </c>
      <c r="I200" s="7">
        <f t="shared" si="45"/>
        <v>60460.697561861118</v>
      </c>
      <c r="J200" s="8">
        <f t="shared" si="46"/>
        <v>152640.63657778039</v>
      </c>
      <c r="K200" s="8">
        <f t="shared" si="47"/>
        <v>213101.33413964149</v>
      </c>
      <c r="L200" s="8">
        <f t="shared" si="37"/>
        <v>335343.38748019282</v>
      </c>
      <c r="M200" s="4">
        <f t="shared" si="38"/>
        <v>1.5</v>
      </c>
      <c r="N200" s="10">
        <f t="shared" si="48"/>
        <v>0.09</v>
      </c>
      <c r="O200" s="11">
        <f t="shared" si="49"/>
        <v>7.8284203424832111E-3</v>
      </c>
    </row>
    <row r="201" spans="2:15" x14ac:dyDescent="0.25">
      <c r="B201" s="3">
        <v>184</v>
      </c>
      <c r="C201" s="3">
        <f t="shared" si="39"/>
        <v>171</v>
      </c>
      <c r="D201" s="7">
        <f t="shared" si="40"/>
        <v>187875.77452360917</v>
      </c>
      <c r="E201" s="8">
        <f t="shared" si="41"/>
        <v>19134266.934303891</v>
      </c>
      <c r="F201" s="7">
        <f t="shared" si="42"/>
        <v>19285239.898636043</v>
      </c>
      <c r="G201" s="8">
        <f t="shared" si="43"/>
        <v>8060.6780001452444</v>
      </c>
      <c r="H201" s="8">
        <f t="shared" si="44"/>
        <v>120910.17000217857</v>
      </c>
      <c r="I201" s="7">
        <f t="shared" si="45"/>
        <v>60387.301712528089</v>
      </c>
      <c r="J201" s="8">
        <f t="shared" si="46"/>
        <v>150972.96433215126</v>
      </c>
      <c r="K201" s="8">
        <f t="shared" si="47"/>
        <v>211360.26604467933</v>
      </c>
      <c r="L201" s="8">
        <f t="shared" si="37"/>
        <v>332270.43604685791</v>
      </c>
      <c r="M201" s="4">
        <f t="shared" si="38"/>
        <v>1.5</v>
      </c>
      <c r="N201" s="10">
        <f t="shared" si="48"/>
        <v>0.09</v>
      </c>
      <c r="O201" s="11">
        <f t="shared" si="49"/>
        <v>7.8284203424832111E-3</v>
      </c>
    </row>
    <row r="202" spans="2:15" x14ac:dyDescent="0.25">
      <c r="B202" s="3">
        <v>185</v>
      </c>
      <c r="C202" s="3">
        <f t="shared" si="39"/>
        <v>170</v>
      </c>
      <c r="D202" s="7">
        <f t="shared" si="40"/>
        <v>186405.00398846876</v>
      </c>
      <c r="E202" s="8">
        <f t="shared" si="41"/>
        <v>18924634.018140394</v>
      </c>
      <c r="F202" s="7">
        <f t="shared" si="42"/>
        <v>19073952.939342309</v>
      </c>
      <c r="G202" s="8">
        <f t="shared" si="43"/>
        <v>7972.6112226266278</v>
      </c>
      <c r="H202" s="8">
        <f t="shared" si="44"/>
        <v>119589.16833939932</v>
      </c>
      <c r="I202" s="7">
        <f t="shared" si="45"/>
        <v>60313.994961583216</v>
      </c>
      <c r="J202" s="8">
        <f t="shared" si="46"/>
        <v>149318.92120191478</v>
      </c>
      <c r="K202" s="8">
        <f t="shared" si="47"/>
        <v>209632.91616349801</v>
      </c>
      <c r="L202" s="8">
        <f t="shared" si="37"/>
        <v>329222.08450289734</v>
      </c>
      <c r="M202" s="4">
        <f t="shared" si="38"/>
        <v>1.5</v>
      </c>
      <c r="N202" s="10">
        <f t="shared" si="48"/>
        <v>0.09</v>
      </c>
      <c r="O202" s="11">
        <f t="shared" si="49"/>
        <v>7.8284203424832111E-3</v>
      </c>
    </row>
    <row r="203" spans="2:15" x14ac:dyDescent="0.25">
      <c r="B203" s="3">
        <v>186</v>
      </c>
      <c r="C203" s="3">
        <f t="shared" si="39"/>
        <v>169</v>
      </c>
      <c r="D203" s="7">
        <f t="shared" si="40"/>
        <v>184945.74726330474</v>
      </c>
      <c r="E203" s="8">
        <f t="shared" si="41"/>
        <v>18716714.841143556</v>
      </c>
      <c r="F203" s="7">
        <f t="shared" si="42"/>
        <v>18864393.240939528</v>
      </c>
      <c r="G203" s="8">
        <f t="shared" si="43"/>
        <v>7885.2641742251708</v>
      </c>
      <c r="H203" s="8">
        <f t="shared" si="44"/>
        <v>118278.96261337746</v>
      </c>
      <c r="I203" s="7">
        <f t="shared" si="45"/>
        <v>60240.777200866127</v>
      </c>
      <c r="J203" s="8">
        <f t="shared" si="46"/>
        <v>147678.39979597379</v>
      </c>
      <c r="K203" s="8">
        <f t="shared" si="47"/>
        <v>207919.17699683993</v>
      </c>
      <c r="L203" s="8">
        <f t="shared" si="37"/>
        <v>326198.13961021742</v>
      </c>
      <c r="M203" s="4">
        <f t="shared" si="38"/>
        <v>1.5</v>
      </c>
      <c r="N203" s="10">
        <f t="shared" si="48"/>
        <v>0.09</v>
      </c>
      <c r="O203" s="11">
        <f t="shared" si="49"/>
        <v>7.8284203424832111E-3</v>
      </c>
    </row>
    <row r="204" spans="2:15" x14ac:dyDescent="0.25">
      <c r="B204" s="3">
        <v>187</v>
      </c>
      <c r="C204" s="3">
        <f t="shared" si="39"/>
        <v>168</v>
      </c>
      <c r="D204" s="7">
        <f t="shared" si="40"/>
        <v>183497.91421317295</v>
      </c>
      <c r="E204" s="8">
        <f t="shared" si="41"/>
        <v>18510495.899256427</v>
      </c>
      <c r="F204" s="7">
        <f t="shared" si="42"/>
        <v>18656547.192821208</v>
      </c>
      <c r="G204" s="8">
        <f t="shared" si="43"/>
        <v>7798.6311838098218</v>
      </c>
      <c r="H204" s="8">
        <f t="shared" si="44"/>
        <v>116979.46775714721</v>
      </c>
      <c r="I204" s="7">
        <f t="shared" si="45"/>
        <v>60167.648322347712</v>
      </c>
      <c r="J204" s="8">
        <f t="shared" si="46"/>
        <v>146051.2935647796</v>
      </c>
      <c r="K204" s="8">
        <f t="shared" si="47"/>
        <v>206218.94188712729</v>
      </c>
      <c r="L204" s="8">
        <f t="shared" si="37"/>
        <v>323198.40964427451</v>
      </c>
      <c r="M204" s="4">
        <f t="shared" si="38"/>
        <v>1.5</v>
      </c>
      <c r="N204" s="10">
        <f t="shared" si="48"/>
        <v>0.09</v>
      </c>
      <c r="O204" s="11">
        <f t="shared" si="49"/>
        <v>7.8284203424832111E-3</v>
      </c>
    </row>
    <row r="205" spans="2:15" x14ac:dyDescent="0.25">
      <c r="B205" s="3">
        <v>188</v>
      </c>
      <c r="C205" s="3">
        <f t="shared" si="39"/>
        <v>167</v>
      </c>
      <c r="D205" s="7">
        <f t="shared" si="40"/>
        <v>182061.41540874328</v>
      </c>
      <c r="E205" s="8">
        <f t="shared" si="41"/>
        <v>18305963.794244554</v>
      </c>
      <c r="F205" s="7">
        <f t="shared" si="42"/>
        <v>18450401.291038297</v>
      </c>
      <c r="G205" s="8">
        <f t="shared" si="43"/>
        <v>7712.7066246901841</v>
      </c>
      <c r="H205" s="8">
        <f t="shared" si="44"/>
        <v>115690.59937035266</v>
      </c>
      <c r="I205" s="7">
        <f t="shared" si="45"/>
        <v>60094.608218130081</v>
      </c>
      <c r="J205" s="8">
        <f t="shared" si="46"/>
        <v>144437.4967937427</v>
      </c>
      <c r="K205" s="8">
        <f t="shared" si="47"/>
        <v>204532.10501187277</v>
      </c>
      <c r="L205" s="8">
        <f t="shared" si="37"/>
        <v>320222.70438222541</v>
      </c>
      <c r="M205" s="4">
        <f t="shared" si="38"/>
        <v>1.5</v>
      </c>
      <c r="N205" s="10">
        <f t="shared" si="48"/>
        <v>0.09</v>
      </c>
      <c r="O205" s="11">
        <f t="shared" si="49"/>
        <v>7.8284203424832111E-3</v>
      </c>
    </row>
    <row r="206" spans="2:15" x14ac:dyDescent="0.25">
      <c r="B206" s="3">
        <v>189</v>
      </c>
      <c r="C206" s="3">
        <f t="shared" si="39"/>
        <v>166</v>
      </c>
      <c r="D206" s="7">
        <f t="shared" si="40"/>
        <v>180636.16212077619</v>
      </c>
      <c r="E206" s="8">
        <f t="shared" si="41"/>
        <v>18103105.232867412</v>
      </c>
      <c r="F206" s="7">
        <f t="shared" si="42"/>
        <v>18245942.137464106</v>
      </c>
      <c r="G206" s="8">
        <f t="shared" si="43"/>
        <v>7627.4849142685707</v>
      </c>
      <c r="H206" s="8">
        <f t="shared" si="44"/>
        <v>114412.27371402846</v>
      </c>
      <c r="I206" s="7">
        <f t="shared" si="45"/>
        <v>60021.656780446247</v>
      </c>
      <c r="J206" s="8">
        <f t="shared" si="46"/>
        <v>142836.90459669562</v>
      </c>
      <c r="K206" s="8">
        <f t="shared" si="47"/>
        <v>202858.56137714186</v>
      </c>
      <c r="L206" s="8">
        <f t="shared" si="37"/>
        <v>317270.83509117033</v>
      </c>
      <c r="M206" s="4">
        <f t="shared" si="38"/>
        <v>1.5</v>
      </c>
      <c r="N206" s="10">
        <f t="shared" si="48"/>
        <v>0.09</v>
      </c>
      <c r="O206" s="11">
        <f t="shared" si="49"/>
        <v>7.8284203424832111E-3</v>
      </c>
    </row>
    <row r="207" spans="2:15" x14ac:dyDescent="0.25">
      <c r="B207" s="3">
        <v>190</v>
      </c>
      <c r="C207" s="3">
        <f t="shared" si="39"/>
        <v>165</v>
      </c>
      <c r="D207" s="7">
        <f t="shared" si="40"/>
        <v>179222.06631464176</v>
      </c>
      <c r="E207" s="8">
        <f t="shared" si="41"/>
        <v>17901907.026056346</v>
      </c>
      <c r="F207" s="7">
        <f t="shared" si="42"/>
        <v>18043156.438965753</v>
      </c>
      <c r="G207" s="8">
        <f t="shared" si="43"/>
        <v>7542.9605136947612</v>
      </c>
      <c r="H207" s="8">
        <f t="shared" si="44"/>
        <v>113144.40770542131</v>
      </c>
      <c r="I207" s="7">
        <f t="shared" si="45"/>
        <v>59948.793901660101</v>
      </c>
      <c r="J207" s="8">
        <f t="shared" si="46"/>
        <v>141249.41290940644</v>
      </c>
      <c r="K207" s="8">
        <f t="shared" si="47"/>
        <v>201198.20681106654</v>
      </c>
      <c r="L207" s="8">
        <f t="shared" si="37"/>
        <v>314342.61451648787</v>
      </c>
      <c r="M207" s="4">
        <f t="shared" si="38"/>
        <v>1.5</v>
      </c>
      <c r="N207" s="10">
        <f t="shared" si="48"/>
        <v>0.09</v>
      </c>
      <c r="O207" s="11">
        <f t="shared" si="49"/>
        <v>7.8284203424832111E-3</v>
      </c>
    </row>
    <row r="208" spans="2:15" x14ac:dyDescent="0.25">
      <c r="B208" s="3">
        <v>191</v>
      </c>
      <c r="C208" s="3">
        <f t="shared" si="39"/>
        <v>164</v>
      </c>
      <c r="D208" s="7">
        <f t="shared" si="40"/>
        <v>177819.04064488233</v>
      </c>
      <c r="E208" s="8">
        <f t="shared" si="41"/>
        <v>17702356.088098936</v>
      </c>
      <c r="F208" s="7">
        <f t="shared" si="42"/>
        <v>17842031.006582078</v>
      </c>
      <c r="G208" s="8">
        <f t="shared" si="43"/>
        <v>7459.1279275234838</v>
      </c>
      <c r="H208" s="8">
        <f t="shared" si="44"/>
        <v>111886.91891285215</v>
      </c>
      <c r="I208" s="7">
        <f t="shared" si="45"/>
        <v>59876.019474266133</v>
      </c>
      <c r="J208" s="8">
        <f t="shared" si="46"/>
        <v>139674.91848314335</v>
      </c>
      <c r="K208" s="8">
        <f t="shared" si="47"/>
        <v>199550.93795740948</v>
      </c>
      <c r="L208" s="8">
        <f t="shared" si="37"/>
        <v>311437.8568702616</v>
      </c>
      <c r="M208" s="4">
        <f t="shared" si="38"/>
        <v>1.5</v>
      </c>
      <c r="N208" s="10">
        <f t="shared" si="48"/>
        <v>0.09</v>
      </c>
      <c r="O208" s="11">
        <f t="shared" si="49"/>
        <v>7.8284203424832111E-3</v>
      </c>
    </row>
    <row r="209" spans="2:15" x14ac:dyDescent="0.25">
      <c r="B209" s="3">
        <v>192</v>
      </c>
      <c r="C209" s="3">
        <f t="shared" si="39"/>
        <v>163</v>
      </c>
      <c r="D209" s="7">
        <f t="shared" si="40"/>
        <v>176426.9984498171</v>
      </c>
      <c r="E209" s="8">
        <f t="shared" si="41"/>
        <v>17504439.435829755</v>
      </c>
      <c r="F209" s="7">
        <f t="shared" si="42"/>
        <v>17642552.754708048</v>
      </c>
      <c r="G209" s="8">
        <f t="shared" si="43"/>
        <v>7375.981703374563</v>
      </c>
      <c r="H209" s="8">
        <f t="shared" si="44"/>
        <v>110639.72555061834</v>
      </c>
      <c r="I209" s="7">
        <f t="shared" si="45"/>
        <v>59803.333390889442</v>
      </c>
      <c r="J209" s="8">
        <f t="shared" si="46"/>
        <v>138113.31887828969</v>
      </c>
      <c r="K209" s="8">
        <f t="shared" si="47"/>
        <v>197916.65226917912</v>
      </c>
      <c r="L209" s="8">
        <f t="shared" si="37"/>
        <v>308556.37781979749</v>
      </c>
      <c r="M209" s="4">
        <f t="shared" si="38"/>
        <v>1.5</v>
      </c>
      <c r="N209" s="10">
        <f t="shared" si="48"/>
        <v>0.09</v>
      </c>
      <c r="O209" s="11">
        <f t="shared" si="49"/>
        <v>7.8284203424832111E-3</v>
      </c>
    </row>
    <row r="210" spans="2:15" x14ac:dyDescent="0.25">
      <c r="B210" s="3">
        <v>193</v>
      </c>
      <c r="C210" s="3">
        <f t="shared" si="39"/>
        <v>162</v>
      </c>
      <c r="D210" s="7">
        <f t="shared" si="40"/>
        <v>175045.85374618927</v>
      </c>
      <c r="E210" s="8">
        <f t="shared" si="41"/>
        <v>17308144.18782746</v>
      </c>
      <c r="F210" s="7">
        <f t="shared" si="42"/>
        <v>17444708.700285468</v>
      </c>
      <c r="G210" s="8">
        <f t="shared" si="43"/>
        <v>7293.5164315957372</v>
      </c>
      <c r="H210" s="8">
        <f t="shared" si="44"/>
        <v>109402.74647393596</v>
      </c>
      <c r="I210" s="7">
        <f t="shared" si="45"/>
        <v>59730.73554428538</v>
      </c>
      <c r="J210" s="8">
        <f t="shared" si="46"/>
        <v>136564.51245800863</v>
      </c>
      <c r="K210" s="8">
        <f t="shared" si="47"/>
        <v>196295.24800229401</v>
      </c>
      <c r="L210" s="8">
        <f t="shared" si="37"/>
        <v>305697.99447623</v>
      </c>
      <c r="M210" s="4">
        <f t="shared" si="38"/>
        <v>1.5</v>
      </c>
      <c r="N210" s="10">
        <f t="shared" si="48"/>
        <v>0.09</v>
      </c>
      <c r="O210" s="11">
        <f t="shared" si="49"/>
        <v>7.8284203424832111E-3</v>
      </c>
    </row>
    <row r="211" spans="2:15" x14ac:dyDescent="0.25">
      <c r="B211" s="3">
        <v>194</v>
      </c>
      <c r="C211" s="3">
        <f t="shared" si="39"/>
        <v>161</v>
      </c>
      <c r="D211" s="7">
        <f t="shared" si="40"/>
        <v>173675.52122385526</v>
      </c>
      <c r="E211" s="8">
        <f t="shared" si="41"/>
        <v>17113457.563618165</v>
      </c>
      <c r="F211" s="7">
        <f t="shared" si="42"/>
        <v>17248485.96200012</v>
      </c>
      <c r="G211" s="8">
        <f t="shared" si="43"/>
        <v>7211.7267449281144</v>
      </c>
      <c r="H211" s="8">
        <f t="shared" si="44"/>
        <v>108175.90117392162</v>
      </c>
      <c r="I211" s="7">
        <f t="shared" si="45"/>
        <v>59658.225827339535</v>
      </c>
      <c r="J211" s="8">
        <f t="shared" si="46"/>
        <v>135028.39838195784</v>
      </c>
      <c r="K211" s="8">
        <f t="shared" si="47"/>
        <v>194686.62420929738</v>
      </c>
      <c r="L211" s="8">
        <f t="shared" ref="L211:L274" si="50">H211+K211</f>
        <v>302862.52538321901</v>
      </c>
      <c r="M211" s="4">
        <f t="shared" ref="M211:M274" si="51">$E$11</f>
        <v>1.5</v>
      </c>
      <c r="N211" s="10">
        <f t="shared" si="48"/>
        <v>0.09</v>
      </c>
      <c r="O211" s="11">
        <f t="shared" si="49"/>
        <v>7.8284203424832111E-3</v>
      </c>
    </row>
    <row r="212" spans="2:15" x14ac:dyDescent="0.25">
      <c r="B212" s="3">
        <v>195</v>
      </c>
      <c r="C212" s="3">
        <f t="shared" si="39"/>
        <v>160</v>
      </c>
      <c r="D212" s="7">
        <f t="shared" si="40"/>
        <v>172315.91624051504</v>
      </c>
      <c r="E212" s="8">
        <f t="shared" si="41"/>
        <v>16920366.882885043</v>
      </c>
      <c r="F212" s="7">
        <f t="shared" si="42"/>
        <v>17053871.759485096</v>
      </c>
      <c r="G212" s="8">
        <f t="shared" si="43"/>
        <v>7130.6073181742413</v>
      </c>
      <c r="H212" s="8">
        <f t="shared" si="44"/>
        <v>106959.10977261352</v>
      </c>
      <c r="I212" s="7">
        <f t="shared" si="45"/>
        <v>59585.804133067497</v>
      </c>
      <c r="J212" s="8">
        <f t="shared" si="46"/>
        <v>133504.87660005307</v>
      </c>
      <c r="K212" s="8">
        <f t="shared" si="47"/>
        <v>193090.68073312056</v>
      </c>
      <c r="L212" s="8">
        <f t="shared" si="50"/>
        <v>300049.7905057341</v>
      </c>
      <c r="M212" s="4">
        <f t="shared" si="51"/>
        <v>1.5</v>
      </c>
      <c r="N212" s="10">
        <f t="shared" si="48"/>
        <v>0.09</v>
      </c>
      <c r="O212" s="11">
        <f t="shared" si="49"/>
        <v>7.8284203424832111E-3</v>
      </c>
    </row>
    <row r="213" spans="2:15" x14ac:dyDescent="0.25">
      <c r="B213" s="3">
        <v>196</v>
      </c>
      <c r="C213" s="3">
        <f t="shared" si="39"/>
        <v>159</v>
      </c>
      <c r="D213" s="7">
        <f t="shared" si="40"/>
        <v>170966.95481648415</v>
      </c>
      <c r="E213" s="8">
        <f t="shared" si="41"/>
        <v>16728859.564684147</v>
      </c>
      <c r="F213" s="7">
        <f t="shared" si="42"/>
        <v>16860853.41253043</v>
      </c>
      <c r="G213" s="8">
        <f t="shared" si="43"/>
        <v>7050.1528678687737</v>
      </c>
      <c r="H213" s="8">
        <f t="shared" si="44"/>
        <v>105752.2930180315</v>
      </c>
      <c r="I213" s="7">
        <f t="shared" si="45"/>
        <v>59513.47035461475</v>
      </c>
      <c r="J213" s="8">
        <f t="shared" si="46"/>
        <v>131993.8478462807</v>
      </c>
      <c r="K213" s="8">
        <f t="shared" si="47"/>
        <v>191507.31820089545</v>
      </c>
      <c r="L213" s="8">
        <f t="shared" si="50"/>
        <v>297259.61121892696</v>
      </c>
      <c r="M213" s="4">
        <f t="shared" si="51"/>
        <v>1.5</v>
      </c>
      <c r="N213" s="10">
        <f t="shared" si="48"/>
        <v>0.09</v>
      </c>
      <c r="O213" s="11">
        <f t="shared" si="49"/>
        <v>7.8284203424832111E-3</v>
      </c>
    </row>
    <row r="214" spans="2:15" x14ac:dyDescent="0.25">
      <c r="B214" s="3">
        <v>197</v>
      </c>
      <c r="C214" s="3">
        <f t="shared" si="39"/>
        <v>158</v>
      </c>
      <c r="D214" s="7">
        <f t="shared" si="40"/>
        <v>169628.55362950638</v>
      </c>
      <c r="E214" s="8">
        <f t="shared" si="41"/>
        <v>16538923.126666332</v>
      </c>
      <c r="F214" s="7">
        <f t="shared" si="42"/>
        <v>16669418.340298891</v>
      </c>
      <c r="G214" s="8">
        <f t="shared" si="43"/>
        <v>6970.3581519517338</v>
      </c>
      <c r="H214" s="8">
        <f t="shared" si="44"/>
        <v>104555.37227927591</v>
      </c>
      <c r="I214" s="7">
        <f t="shared" si="45"/>
        <v>59441.224385256493</v>
      </c>
      <c r="J214" s="8">
        <f t="shared" si="46"/>
        <v>130495.21363255856</v>
      </c>
      <c r="K214" s="8">
        <f t="shared" si="47"/>
        <v>189936.43801781506</v>
      </c>
      <c r="L214" s="8">
        <f t="shared" si="50"/>
        <v>294491.81029709097</v>
      </c>
      <c r="M214" s="4">
        <f t="shared" si="51"/>
        <v>1.5</v>
      </c>
      <c r="N214" s="10">
        <f t="shared" si="48"/>
        <v>0.09</v>
      </c>
      <c r="O214" s="11">
        <f t="shared" si="49"/>
        <v>7.8284203424832111E-3</v>
      </c>
    </row>
    <row r="215" spans="2:15" x14ac:dyDescent="0.25">
      <c r="B215" s="3">
        <v>198</v>
      </c>
      <c r="C215" s="3">
        <f t="shared" si="39"/>
        <v>157</v>
      </c>
      <c r="D215" s="7">
        <f t="shared" si="40"/>
        <v>168300.63000960712</v>
      </c>
      <c r="E215" s="8">
        <f t="shared" si="41"/>
        <v>16350545.18430529</v>
      </c>
      <c r="F215" s="7">
        <f t="shared" si="42"/>
        <v>16479554.060547935</v>
      </c>
      <c r="G215" s="8">
        <f t="shared" si="43"/>
        <v>6891.2179694443103</v>
      </c>
      <c r="H215" s="8">
        <f t="shared" si="44"/>
        <v>103368.26954166456</v>
      </c>
      <c r="I215" s="7">
        <f t="shared" si="45"/>
        <v>59369.066118397481</v>
      </c>
      <c r="J215" s="8">
        <f t="shared" si="46"/>
        <v>129008.87624264526</v>
      </c>
      <c r="K215" s="8">
        <f t="shared" si="47"/>
        <v>188377.94236104275</v>
      </c>
      <c r="L215" s="8">
        <f t="shared" si="50"/>
        <v>291746.21190270729</v>
      </c>
      <c r="M215" s="4">
        <f t="shared" si="51"/>
        <v>1.5</v>
      </c>
      <c r="N215" s="10">
        <f t="shared" si="48"/>
        <v>0.09</v>
      </c>
      <c r="O215" s="11">
        <f t="shared" si="49"/>
        <v>7.8284203424832111E-3</v>
      </c>
    </row>
    <row r="216" spans="2:15" x14ac:dyDescent="0.25">
      <c r="B216" s="3">
        <v>199</v>
      </c>
      <c r="C216" s="3">
        <f t="shared" si="39"/>
        <v>156</v>
      </c>
      <c r="D216" s="7">
        <f t="shared" si="40"/>
        <v>166983.10193398717</v>
      </c>
      <c r="E216" s="8">
        <f t="shared" si="41"/>
        <v>16163713.450131621</v>
      </c>
      <c r="F216" s="7">
        <f t="shared" si="42"/>
        <v>16291248.188857717</v>
      </c>
      <c r="G216" s="8">
        <f t="shared" si="43"/>
        <v>6812.7271601272096</v>
      </c>
      <c r="H216" s="8">
        <f t="shared" si="44"/>
        <v>102190.90740190806</v>
      </c>
      <c r="I216" s="7">
        <f t="shared" si="45"/>
        <v>59296.995447571862</v>
      </c>
      <c r="J216" s="8">
        <f t="shared" si="46"/>
        <v>127534.73872609652</v>
      </c>
      <c r="K216" s="8">
        <f t="shared" si="47"/>
        <v>186831.73417366837</v>
      </c>
      <c r="L216" s="8">
        <f t="shared" si="50"/>
        <v>289022.64157557645</v>
      </c>
      <c r="M216" s="4">
        <f t="shared" si="51"/>
        <v>1.5</v>
      </c>
      <c r="N216" s="10">
        <f t="shared" si="48"/>
        <v>0.09</v>
      </c>
      <c r="O216" s="11">
        <f t="shared" si="49"/>
        <v>7.8284203424832111E-3</v>
      </c>
    </row>
    <row r="217" spans="2:15" x14ac:dyDescent="0.25">
      <c r="B217" s="3">
        <v>200</v>
      </c>
      <c r="C217" s="3">
        <f t="shared" si="39"/>
        <v>155</v>
      </c>
      <c r="D217" s="7">
        <f t="shared" si="40"/>
        <v>165675.8880219562</v>
      </c>
      <c r="E217" s="8">
        <f t="shared" si="41"/>
        <v>15978415.732972909</v>
      </c>
      <c r="F217" s="7">
        <f t="shared" si="42"/>
        <v>16104488.437865179</v>
      </c>
      <c r="G217" s="8">
        <f t="shared" si="43"/>
        <v>6734.8806042215147</v>
      </c>
      <c r="H217" s="8">
        <f t="shared" si="44"/>
        <v>101023.20906332262</v>
      </c>
      <c r="I217" s="7">
        <f t="shared" si="45"/>
        <v>59225.012266443024</v>
      </c>
      <c r="J217" s="8">
        <f t="shared" si="46"/>
        <v>126072.70489226944</v>
      </c>
      <c r="K217" s="8">
        <f t="shared" si="47"/>
        <v>185297.71715871245</v>
      </c>
      <c r="L217" s="8">
        <f t="shared" si="50"/>
        <v>286320.92622203508</v>
      </c>
      <c r="M217" s="4">
        <f t="shared" si="51"/>
        <v>1.5</v>
      </c>
      <c r="N217" s="10">
        <f t="shared" si="48"/>
        <v>0.09</v>
      </c>
      <c r="O217" s="11">
        <f t="shared" si="49"/>
        <v>7.8284203424832111E-3</v>
      </c>
    </row>
    <row r="218" spans="2:15" x14ac:dyDescent="0.25">
      <c r="B218" s="3">
        <v>201</v>
      </c>
      <c r="C218" s="3">
        <f t="shared" si="39"/>
        <v>154</v>
      </c>
      <c r="D218" s="7">
        <f t="shared" si="40"/>
        <v>164378.90752990611</v>
      </c>
      <c r="E218" s="8">
        <f t="shared" si="41"/>
        <v>15794639.937199732</v>
      </c>
      <c r="F218" s="7">
        <f t="shared" si="42"/>
        <v>15919262.616504105</v>
      </c>
      <c r="G218" s="8">
        <f t="shared" si="43"/>
        <v>6657.6732220720505</v>
      </c>
      <c r="H218" s="8">
        <f t="shared" si="44"/>
        <v>99865.098331080677</v>
      </c>
      <c r="I218" s="7">
        <f t="shared" si="45"/>
        <v>59153.116468803455</v>
      </c>
      <c r="J218" s="8">
        <f t="shared" si="46"/>
        <v>124622.67930437325</v>
      </c>
      <c r="K218" s="8">
        <f t="shared" si="47"/>
        <v>183775.79577317671</v>
      </c>
      <c r="L218" s="8">
        <f t="shared" si="50"/>
        <v>283640.8941042574</v>
      </c>
      <c r="M218" s="4">
        <f t="shared" si="51"/>
        <v>1.5</v>
      </c>
      <c r="N218" s="10">
        <f t="shared" si="48"/>
        <v>0.09</v>
      </c>
      <c r="O218" s="11">
        <f t="shared" si="49"/>
        <v>7.8284203424832111E-3</v>
      </c>
    </row>
    <row r="219" spans="2:15" x14ac:dyDescent="0.25">
      <c r="B219" s="3">
        <v>202</v>
      </c>
      <c r="C219" s="3">
        <f t="shared" si="39"/>
        <v>153</v>
      </c>
      <c r="D219" s="7">
        <f t="shared" si="40"/>
        <v>163092.08034632381</v>
      </c>
      <c r="E219" s="8">
        <f t="shared" si="41"/>
        <v>15612374.061977591</v>
      </c>
      <c r="F219" s="7">
        <f t="shared" si="42"/>
        <v>15735558.629251158</v>
      </c>
      <c r="G219" s="8">
        <f t="shared" si="43"/>
        <v>6581.0999738332275</v>
      </c>
      <c r="H219" s="8">
        <f t="shared" si="44"/>
        <v>98716.499607498321</v>
      </c>
      <c r="I219" s="7">
        <f t="shared" si="45"/>
        <v>59081.307948574569</v>
      </c>
      <c r="J219" s="8">
        <f t="shared" si="46"/>
        <v>123184.56727356699</v>
      </c>
      <c r="K219" s="8">
        <f t="shared" si="47"/>
        <v>182265.87522214156</v>
      </c>
      <c r="L219" s="8">
        <f t="shared" si="50"/>
        <v>280982.37482963991</v>
      </c>
      <c r="M219" s="4">
        <f t="shared" si="51"/>
        <v>1.5</v>
      </c>
      <c r="N219" s="10">
        <f t="shared" si="48"/>
        <v>0.09</v>
      </c>
      <c r="O219" s="11">
        <f t="shared" si="49"/>
        <v>7.8284203424832111E-3</v>
      </c>
    </row>
    <row r="220" spans="2:15" x14ac:dyDescent="0.25">
      <c r="B220" s="3">
        <v>203</v>
      </c>
      <c r="C220" s="3">
        <f t="shared" si="39"/>
        <v>152</v>
      </c>
      <c r="D220" s="7">
        <f t="shared" si="40"/>
        <v>161815.32698684279</v>
      </c>
      <c r="E220" s="8">
        <f t="shared" si="41"/>
        <v>15431606.200524682</v>
      </c>
      <c r="F220" s="7">
        <f t="shared" si="42"/>
        <v>15553364.475377785</v>
      </c>
      <c r="G220" s="8">
        <f t="shared" si="43"/>
        <v>6505.1558591573348</v>
      </c>
      <c r="H220" s="8">
        <f t="shared" si="44"/>
        <v>97577.337887359943</v>
      </c>
      <c r="I220" s="7">
        <f t="shared" si="45"/>
        <v>59009.586599806542</v>
      </c>
      <c r="J220" s="8">
        <f t="shared" si="46"/>
        <v>121758.27485310317</v>
      </c>
      <c r="K220" s="8">
        <f t="shared" si="47"/>
        <v>180767.86145290971</v>
      </c>
      <c r="L220" s="8">
        <f t="shared" si="50"/>
        <v>278345.19934026967</v>
      </c>
      <c r="M220" s="4">
        <f t="shared" si="51"/>
        <v>1.5</v>
      </c>
      <c r="N220" s="10">
        <f t="shared" si="48"/>
        <v>0.09</v>
      </c>
      <c r="O220" s="11">
        <f t="shared" si="49"/>
        <v>7.8284203424832111E-3</v>
      </c>
    </row>
    <row r="221" spans="2:15" x14ac:dyDescent="0.25">
      <c r="B221" s="3">
        <v>204</v>
      </c>
      <c r="C221" s="3">
        <f t="shared" si="39"/>
        <v>151</v>
      </c>
      <c r="D221" s="7">
        <f t="shared" si="40"/>
        <v>160548.56858933339</v>
      </c>
      <c r="E221" s="8">
        <f t="shared" si="41"/>
        <v>15252324.539375486</v>
      </c>
      <c r="F221" s="7">
        <f t="shared" si="42"/>
        <v>15372668.248208003</v>
      </c>
      <c r="G221" s="8">
        <f t="shared" si="43"/>
        <v>6429.8359168852894</v>
      </c>
      <c r="H221" s="8">
        <f t="shared" si="44"/>
        <v>96447.538753279252</v>
      </c>
      <c r="I221" s="7">
        <f t="shared" si="45"/>
        <v>58937.952316678224</v>
      </c>
      <c r="J221" s="8">
        <f t="shared" si="46"/>
        <v>120343.70883251728</v>
      </c>
      <c r="K221" s="8">
        <f t="shared" si="47"/>
        <v>179281.66114919551</v>
      </c>
      <c r="L221" s="8">
        <f t="shared" si="50"/>
        <v>275729.19990247476</v>
      </c>
      <c r="M221" s="4">
        <f t="shared" si="51"/>
        <v>1.5</v>
      </c>
      <c r="N221" s="10">
        <f t="shared" si="48"/>
        <v>0.09</v>
      </c>
      <c r="O221" s="11">
        <f t="shared" si="49"/>
        <v>7.8284203424832111E-3</v>
      </c>
    </row>
    <row r="222" spans="2:15" x14ac:dyDescent="0.25">
      <c r="B222" s="3">
        <v>205</v>
      </c>
      <c r="C222" s="3">
        <f t="shared" si="39"/>
        <v>150</v>
      </c>
      <c r="D222" s="7">
        <f t="shared" si="40"/>
        <v>159291.72690903206</v>
      </c>
      <c r="E222" s="8">
        <f t="shared" si="41"/>
        <v>15074517.357650125</v>
      </c>
      <c r="F222" s="7">
        <f t="shared" si="42"/>
        <v>15193458.134381989</v>
      </c>
      <c r="G222" s="8">
        <f t="shared" si="43"/>
        <v>6355.1352247397908</v>
      </c>
      <c r="H222" s="8">
        <f t="shared" si="44"/>
        <v>95327.028371096778</v>
      </c>
      <c r="I222" s="7">
        <f t="shared" si="45"/>
        <v>58866.404993496806</v>
      </c>
      <c r="J222" s="8">
        <f t="shared" si="46"/>
        <v>118940.77673186298</v>
      </c>
      <c r="K222" s="8">
        <f t="shared" si="47"/>
        <v>177807.18172535978</v>
      </c>
      <c r="L222" s="8">
        <f t="shared" si="50"/>
        <v>273134.21009645658</v>
      </c>
      <c r="M222" s="4">
        <f t="shared" si="51"/>
        <v>1.5</v>
      </c>
      <c r="N222" s="10">
        <f t="shared" si="48"/>
        <v>0.09</v>
      </c>
      <c r="O222" s="11">
        <f t="shared" si="49"/>
        <v>7.8284203424832111E-3</v>
      </c>
    </row>
    <row r="223" spans="2:15" x14ac:dyDescent="0.25">
      <c r="B223" s="3">
        <v>206</v>
      </c>
      <c r="C223" s="3">
        <f t="shared" si="39"/>
        <v>149</v>
      </c>
      <c r="D223" s="7">
        <f t="shared" si="40"/>
        <v>158044.72431370811</v>
      </c>
      <c r="E223" s="8">
        <f t="shared" si="41"/>
        <v>14898173.026329435</v>
      </c>
      <c r="F223" s="7">
        <f t="shared" si="42"/>
        <v>15015722.413125427</v>
      </c>
      <c r="G223" s="8">
        <f t="shared" si="43"/>
        <v>6281.0488990208905</v>
      </c>
      <c r="H223" s="8">
        <f t="shared" si="44"/>
        <v>94215.733485313278</v>
      </c>
      <c r="I223" s="7">
        <f t="shared" si="45"/>
        <v>58794.944524697887</v>
      </c>
      <c r="J223" s="8">
        <f t="shared" si="46"/>
        <v>117549.38679599219</v>
      </c>
      <c r="K223" s="8">
        <f t="shared" si="47"/>
        <v>176344.33132069008</v>
      </c>
      <c r="L223" s="8">
        <f t="shared" si="50"/>
        <v>270560.06480600336</v>
      </c>
      <c r="M223" s="4">
        <f t="shared" si="51"/>
        <v>1.5</v>
      </c>
      <c r="N223" s="10">
        <f t="shared" si="48"/>
        <v>0.09</v>
      </c>
      <c r="O223" s="11">
        <f t="shared" si="49"/>
        <v>7.8284203424832111E-3</v>
      </c>
    </row>
    <row r="224" spans="2:15" x14ac:dyDescent="0.25">
      <c r="B224" s="3">
        <v>207</v>
      </c>
      <c r="C224" s="3">
        <f t="shared" si="39"/>
        <v>148</v>
      </c>
      <c r="D224" s="7">
        <f t="shared" si="40"/>
        <v>156807.48377886851</v>
      </c>
      <c r="E224" s="8">
        <f t="shared" si="41"/>
        <v>14723280.007535711</v>
      </c>
      <c r="F224" s="7">
        <f t="shared" si="42"/>
        <v>14839449.45552459</v>
      </c>
      <c r="G224" s="8">
        <f t="shared" si="43"/>
        <v>6207.5720943039369</v>
      </c>
      <c r="H224" s="8">
        <f t="shared" si="44"/>
        <v>93113.581414558968</v>
      </c>
      <c r="I224" s="7">
        <f t="shared" si="45"/>
        <v>58723.5708048452</v>
      </c>
      <c r="J224" s="8">
        <f t="shared" si="46"/>
        <v>116169.44798888011</v>
      </c>
      <c r="K224" s="8">
        <f t="shared" si="47"/>
        <v>174893.01879372532</v>
      </c>
      <c r="L224" s="8">
        <f t="shared" si="50"/>
        <v>268006.60020828428</v>
      </c>
      <c r="M224" s="4">
        <f t="shared" si="51"/>
        <v>1.5</v>
      </c>
      <c r="N224" s="10">
        <f t="shared" si="48"/>
        <v>0.09</v>
      </c>
      <c r="O224" s="11">
        <f t="shared" si="49"/>
        <v>7.8284203424832111E-3</v>
      </c>
    </row>
    <row r="225" spans="2:15" x14ac:dyDescent="0.25">
      <c r="B225" s="3">
        <v>208</v>
      </c>
      <c r="C225" s="3">
        <f t="shared" si="39"/>
        <v>147</v>
      </c>
      <c r="D225" s="7">
        <f t="shared" si="40"/>
        <v>155579.92888300039</v>
      </c>
      <c r="E225" s="8">
        <f t="shared" si="41"/>
        <v>14549826.853819085</v>
      </c>
      <c r="F225" s="7">
        <f t="shared" si="42"/>
        <v>14664627.72380708</v>
      </c>
      <c r="G225" s="8">
        <f t="shared" si="43"/>
        <v>6134.7000031398848</v>
      </c>
      <c r="H225" s="8">
        <f t="shared" si="44"/>
        <v>92020.50004709819</v>
      </c>
      <c r="I225" s="7">
        <f t="shared" si="45"/>
        <v>58652.283728630435</v>
      </c>
      <c r="J225" s="8">
        <f t="shared" si="46"/>
        <v>114800.86998799461</v>
      </c>
      <c r="K225" s="8">
        <f t="shared" si="47"/>
        <v>173453.15371662503</v>
      </c>
      <c r="L225" s="8">
        <f t="shared" si="50"/>
        <v>265473.65376372321</v>
      </c>
      <c r="M225" s="4">
        <f t="shared" si="51"/>
        <v>1.5</v>
      </c>
      <c r="N225" s="10">
        <f t="shared" si="48"/>
        <v>0.09</v>
      </c>
      <c r="O225" s="11">
        <f t="shared" si="49"/>
        <v>7.8284203424832111E-3</v>
      </c>
    </row>
    <row r="226" spans="2:15" x14ac:dyDescent="0.25">
      <c r="B226" s="3">
        <v>209</v>
      </c>
      <c r="C226" s="3">
        <f t="shared" si="39"/>
        <v>146</v>
      </c>
      <c r="D226" s="7">
        <f t="shared" si="40"/>
        <v>154361.98380285065</v>
      </c>
      <c r="E226" s="8">
        <f t="shared" si="41"/>
        <v>14377802.207449503</v>
      </c>
      <c r="F226" s="7">
        <f t="shared" si="42"/>
        <v>14491245.770628212</v>
      </c>
      <c r="G226" s="8">
        <f t="shared" si="43"/>
        <v>6062.4278557579573</v>
      </c>
      <c r="H226" s="8">
        <f t="shared" si="44"/>
        <v>90936.417836369277</v>
      </c>
      <c r="I226" s="7">
        <f t="shared" si="45"/>
        <v>58581.083190873156</v>
      </c>
      <c r="J226" s="8">
        <f t="shared" si="46"/>
        <v>113443.56317870969</v>
      </c>
      <c r="K226" s="8">
        <f t="shared" si="47"/>
        <v>172024.64636958286</v>
      </c>
      <c r="L226" s="8">
        <f t="shared" si="50"/>
        <v>262961.06420595211</v>
      </c>
      <c r="M226" s="4">
        <f t="shared" si="51"/>
        <v>1.5</v>
      </c>
      <c r="N226" s="10">
        <f t="shared" si="48"/>
        <v>0.09</v>
      </c>
      <c r="O226" s="11">
        <f t="shared" si="49"/>
        <v>7.8284203424832111E-3</v>
      </c>
    </row>
    <row r="227" spans="2:15" x14ac:dyDescent="0.25">
      <c r="B227" s="3">
        <v>210</v>
      </c>
      <c r="C227" s="3">
        <f t="shared" si="39"/>
        <v>145</v>
      </c>
      <c r="D227" s="7">
        <f t="shared" si="40"/>
        <v>153153.57330874234</v>
      </c>
      <c r="E227" s="8">
        <f t="shared" si="41"/>
        <v>14207194.799714221</v>
      </c>
      <c r="F227" s="7">
        <f t="shared" si="42"/>
        <v>14319292.238362983</v>
      </c>
      <c r="G227" s="8">
        <f t="shared" si="43"/>
        <v>5990.7509197706313</v>
      </c>
      <c r="H227" s="8">
        <f t="shared" si="44"/>
        <v>89861.263796559389</v>
      </c>
      <c r="I227" s="7">
        <f t="shared" si="45"/>
        <v>58509.969086520614</v>
      </c>
      <c r="J227" s="8">
        <f t="shared" si="46"/>
        <v>112097.43864876273</v>
      </c>
      <c r="K227" s="8">
        <f t="shared" si="47"/>
        <v>170607.40773528334</v>
      </c>
      <c r="L227" s="8">
        <f t="shared" si="50"/>
        <v>260468.67153184273</v>
      </c>
      <c r="M227" s="4">
        <f t="shared" si="51"/>
        <v>1.5</v>
      </c>
      <c r="N227" s="10">
        <f t="shared" si="48"/>
        <v>0.09</v>
      </c>
      <c r="O227" s="11">
        <f t="shared" si="49"/>
        <v>7.8284203424832111E-3</v>
      </c>
    </row>
    <row r="228" spans="2:15" x14ac:dyDescent="0.25">
      <c r="B228" s="3">
        <v>211</v>
      </c>
      <c r="C228" s="3">
        <f t="shared" si="39"/>
        <v>144</v>
      </c>
      <c r="D228" s="7">
        <f t="shared" si="40"/>
        <v>151954.62275992817</v>
      </c>
      <c r="E228" s="8">
        <f t="shared" si="41"/>
        <v>14037993.450220818</v>
      </c>
      <c r="F228" s="7">
        <f t="shared" si="42"/>
        <v>14148755.858403573</v>
      </c>
      <c r="G228" s="8">
        <f t="shared" si="43"/>
        <v>5919.6644998809306</v>
      </c>
      <c r="H228" s="8">
        <f t="shared" si="44"/>
        <v>88794.967498213868</v>
      </c>
      <c r="I228" s="7">
        <f t="shared" si="45"/>
        <v>58438.941310647526</v>
      </c>
      <c r="J228" s="8">
        <f t="shared" si="46"/>
        <v>110762.40818275504</v>
      </c>
      <c r="K228" s="8">
        <f t="shared" si="47"/>
        <v>169201.34949340258</v>
      </c>
      <c r="L228" s="8">
        <f t="shared" si="50"/>
        <v>257996.31699161645</v>
      </c>
      <c r="M228" s="4">
        <f t="shared" si="51"/>
        <v>1.5</v>
      </c>
      <c r="N228" s="10">
        <f t="shared" si="48"/>
        <v>0.09</v>
      </c>
      <c r="O228" s="11">
        <f t="shared" si="49"/>
        <v>7.8284203424832111E-3</v>
      </c>
    </row>
    <row r="229" spans="2:15" x14ac:dyDescent="0.25">
      <c r="B229" s="3">
        <v>212</v>
      </c>
      <c r="C229" s="3">
        <f t="shared" si="39"/>
        <v>143</v>
      </c>
      <c r="D229" s="7">
        <f t="shared" si="40"/>
        <v>150765.05809997997</v>
      </c>
      <c r="E229" s="8">
        <f t="shared" si="41"/>
        <v>13870187.066205665</v>
      </c>
      <c r="F229" s="7">
        <f t="shared" si="42"/>
        <v>13979625.450462362</v>
      </c>
      <c r="G229" s="8">
        <f t="shared" si="43"/>
        <v>5849.1639375920122</v>
      </c>
      <c r="H229" s="8">
        <f t="shared" si="44"/>
        <v>87737.459063880102</v>
      </c>
      <c r="I229" s="7">
        <f t="shared" si="45"/>
        <v>58367.999758456048</v>
      </c>
      <c r="J229" s="8">
        <f t="shared" si="46"/>
        <v>109438.38425669557</v>
      </c>
      <c r="K229" s="8">
        <f t="shared" si="47"/>
        <v>167806.38401515162</v>
      </c>
      <c r="L229" s="8">
        <f t="shared" si="50"/>
        <v>255543.84307903174</v>
      </c>
      <c r="M229" s="4">
        <f t="shared" si="51"/>
        <v>1.5</v>
      </c>
      <c r="N229" s="10">
        <f t="shared" si="48"/>
        <v>0.09</v>
      </c>
      <c r="O229" s="11">
        <f t="shared" si="49"/>
        <v>7.8284203424832111E-3</v>
      </c>
    </row>
    <row r="230" spans="2:15" x14ac:dyDescent="0.25">
      <c r="B230" s="3">
        <v>213</v>
      </c>
      <c r="C230" s="3">
        <f t="shared" si="39"/>
        <v>142</v>
      </c>
      <c r="D230" s="7">
        <f t="shared" si="40"/>
        <v>149584.80585221443</v>
      </c>
      <c r="E230" s="8">
        <f t="shared" si="41"/>
        <v>13703764.641847802</v>
      </c>
      <c r="F230" s="7">
        <f t="shared" si="42"/>
        <v>13811889.92188039</v>
      </c>
      <c r="G230" s="8">
        <f t="shared" si="43"/>
        <v>5779.2446109190323</v>
      </c>
      <c r="H230" s="8">
        <f t="shared" si="44"/>
        <v>86688.669163785409</v>
      </c>
      <c r="I230" s="7">
        <f t="shared" si="45"/>
        <v>58297.144325275527</v>
      </c>
      <c r="J230" s="8">
        <f t="shared" si="46"/>
        <v>108125.2800325873</v>
      </c>
      <c r="K230" s="8">
        <f t="shared" si="47"/>
        <v>166422.42435786282</v>
      </c>
      <c r="L230" s="8">
        <f t="shared" si="50"/>
        <v>253111.09352164823</v>
      </c>
      <c r="M230" s="4">
        <f t="shared" si="51"/>
        <v>1.5</v>
      </c>
      <c r="N230" s="10">
        <f t="shared" si="48"/>
        <v>0.09</v>
      </c>
      <c r="O230" s="11">
        <f t="shared" si="49"/>
        <v>7.8284203424832111E-3</v>
      </c>
    </row>
    <row r="231" spans="2:15" x14ac:dyDescent="0.25">
      <c r="B231" s="3">
        <v>214</v>
      </c>
      <c r="C231" s="3">
        <f t="shared" si="39"/>
        <v>141</v>
      </c>
      <c r="D231" s="7">
        <f t="shared" si="40"/>
        <v>148413.79311515452</v>
      </c>
      <c r="E231" s="8">
        <f t="shared" si="41"/>
        <v>13538715.257588184</v>
      </c>
      <c r="F231" s="7">
        <f t="shared" si="42"/>
        <v>13645538.26694124</v>
      </c>
      <c r="G231" s="8">
        <f t="shared" si="43"/>
        <v>5709.9019341032554</v>
      </c>
      <c r="H231" s="8">
        <f t="shared" si="44"/>
        <v>85648.529011548759</v>
      </c>
      <c r="I231" s="7">
        <f t="shared" si="45"/>
        <v>58226.374906562392</v>
      </c>
      <c r="J231" s="8">
        <f t="shared" si="46"/>
        <v>106823.00935305591</v>
      </c>
      <c r="K231" s="8">
        <f t="shared" si="47"/>
        <v>165049.38425961829</v>
      </c>
      <c r="L231" s="8">
        <f t="shared" si="50"/>
        <v>250697.91327116705</v>
      </c>
      <c r="M231" s="4">
        <f t="shared" si="51"/>
        <v>1.5</v>
      </c>
      <c r="N231" s="10">
        <f t="shared" si="48"/>
        <v>0.09</v>
      </c>
      <c r="O231" s="11">
        <f t="shared" si="49"/>
        <v>7.8284203424832111E-3</v>
      </c>
    </row>
    <row r="232" spans="2:15" x14ac:dyDescent="0.25">
      <c r="B232" s="3">
        <v>215</v>
      </c>
      <c r="C232" s="3">
        <f t="shared" si="39"/>
        <v>140</v>
      </c>
      <c r="D232" s="7">
        <f t="shared" si="40"/>
        <v>147251.94755802676</v>
      </c>
      <c r="E232" s="8">
        <f t="shared" si="41"/>
        <v>13375028.079454264</v>
      </c>
      <c r="F232" s="7">
        <f t="shared" si="42"/>
        <v>13480559.566190284</v>
      </c>
      <c r="G232" s="8">
        <f t="shared" si="43"/>
        <v>5641.1313573284142</v>
      </c>
      <c r="H232" s="8">
        <f t="shared" si="44"/>
        <v>84616.970359926141</v>
      </c>
      <c r="I232" s="7">
        <f t="shared" si="45"/>
        <v>58155.691397899958</v>
      </c>
      <c r="J232" s="8">
        <f t="shared" si="46"/>
        <v>105531.48673602067</v>
      </c>
      <c r="K232" s="8">
        <f t="shared" si="47"/>
        <v>163687.17813392062</v>
      </c>
      <c r="L232" s="8">
        <f t="shared" si="50"/>
        <v>248304.14849384676</v>
      </c>
      <c r="M232" s="4">
        <f t="shared" si="51"/>
        <v>1.5</v>
      </c>
      <c r="N232" s="10">
        <f t="shared" si="48"/>
        <v>0.09</v>
      </c>
      <c r="O232" s="11">
        <f t="shared" si="49"/>
        <v>7.8284203424832111E-3</v>
      </c>
    </row>
    <row r="233" spans="2:15" x14ac:dyDescent="0.25">
      <c r="B233" s="3">
        <v>216</v>
      </c>
      <c r="C233" s="3">
        <f t="shared" si="39"/>
        <v>139</v>
      </c>
      <c r="D233" s="7">
        <f t="shared" si="40"/>
        <v>146099.1974162932</v>
      </c>
      <c r="E233" s="8">
        <f t="shared" si="41"/>
        <v>13212692.358389858</v>
      </c>
      <c r="F233" s="7">
        <f t="shared" si="42"/>
        <v>13316942.985759266</v>
      </c>
      <c r="G233" s="8">
        <f t="shared" si="43"/>
        <v>5572.9283664392815</v>
      </c>
      <c r="H233" s="8">
        <f t="shared" si="44"/>
        <v>83593.925496589145</v>
      </c>
      <c r="I233" s="7">
        <f t="shared" si="45"/>
        <v>58085.093694998322</v>
      </c>
      <c r="J233" s="8">
        <f t="shared" si="46"/>
        <v>104250.62736940695</v>
      </c>
      <c r="K233" s="8">
        <f t="shared" si="47"/>
        <v>162335.72106440528</v>
      </c>
      <c r="L233" s="8">
        <f t="shared" si="50"/>
        <v>245929.64656099444</v>
      </c>
      <c r="M233" s="4">
        <f t="shared" si="51"/>
        <v>1.5</v>
      </c>
      <c r="N233" s="10">
        <f t="shared" si="48"/>
        <v>0.09</v>
      </c>
      <c r="O233" s="11">
        <f t="shared" si="49"/>
        <v>7.8284203424832111E-3</v>
      </c>
    </row>
    <row r="234" spans="2:15" x14ac:dyDescent="0.25">
      <c r="B234" s="3">
        <v>217</v>
      </c>
      <c r="C234" s="3">
        <f t="shared" si="39"/>
        <v>138</v>
      </c>
      <c r="D234" s="7">
        <f t="shared" si="40"/>
        <v>144955.47148721901</v>
      </c>
      <c r="E234" s="8">
        <f t="shared" si="41"/>
        <v>13051697.429590264</v>
      </c>
      <c r="F234" s="7">
        <f t="shared" si="42"/>
        <v>13154677.776696164</v>
      </c>
      <c r="G234" s="8">
        <f t="shared" si="43"/>
        <v>5505.2884826624459</v>
      </c>
      <c r="H234" s="8">
        <f t="shared" si="44"/>
        <v>82579.327239936611</v>
      </c>
      <c r="I234" s="7">
        <f t="shared" si="45"/>
        <v>58014.581693694141</v>
      </c>
      <c r="J234" s="8">
        <f t="shared" si="46"/>
        <v>102980.34710590007</v>
      </c>
      <c r="K234" s="8">
        <f t="shared" si="47"/>
        <v>160994.92879959423</v>
      </c>
      <c r="L234" s="8">
        <f t="shared" si="50"/>
        <v>243574.25603953085</v>
      </c>
      <c r="M234" s="4">
        <f t="shared" si="51"/>
        <v>1.5</v>
      </c>
      <c r="N234" s="10">
        <f t="shared" si="48"/>
        <v>0.09</v>
      </c>
      <c r="O234" s="11">
        <f t="shared" si="49"/>
        <v>7.8284203424832111E-3</v>
      </c>
    </row>
    <row r="235" spans="2:15" x14ac:dyDescent="0.25">
      <c r="B235" s="3">
        <v>218</v>
      </c>
      <c r="C235" s="3">
        <f t="shared" si="39"/>
        <v>137</v>
      </c>
      <c r="D235" s="7">
        <f t="shared" si="40"/>
        <v>143820.69912547423</v>
      </c>
      <c r="E235" s="8">
        <f t="shared" si="41"/>
        <v>12892032.711842574</v>
      </c>
      <c r="F235" s="7">
        <f t="shared" si="42"/>
        <v>12993753.274300314</v>
      </c>
      <c r="G235" s="8">
        <f t="shared" si="43"/>
        <v>5438.2072623292815</v>
      </c>
      <c r="H235" s="8">
        <f t="shared" si="44"/>
        <v>81573.10893493914</v>
      </c>
      <c r="I235" s="7">
        <f t="shared" si="45"/>
        <v>57944.155289950584</v>
      </c>
      <c r="J235" s="8">
        <f t="shared" si="46"/>
        <v>101720.56245774041</v>
      </c>
      <c r="K235" s="8">
        <f t="shared" si="47"/>
        <v>159664.717747691</v>
      </c>
      <c r="L235" s="8">
        <f t="shared" si="50"/>
        <v>241237.82668263014</v>
      </c>
      <c r="M235" s="4">
        <f t="shared" si="51"/>
        <v>1.5</v>
      </c>
      <c r="N235" s="10">
        <f t="shared" si="48"/>
        <v>0.09</v>
      </c>
      <c r="O235" s="11">
        <f t="shared" si="49"/>
        <v>7.8284203424832111E-3</v>
      </c>
    </row>
    <row r="236" spans="2:15" x14ac:dyDescent="0.25">
      <c r="B236" s="3">
        <v>219</v>
      </c>
      <c r="C236" s="3">
        <f t="shared" si="39"/>
        <v>136</v>
      </c>
      <c r="D236" s="7">
        <f t="shared" si="40"/>
        <v>142694.81023877018</v>
      </c>
      <c r="E236" s="8">
        <f t="shared" si="41"/>
        <v>12733687.706871158</v>
      </c>
      <c r="F236" s="7">
        <f t="shared" si="42"/>
        <v>12834158.897462716</v>
      </c>
      <c r="G236" s="8">
        <f t="shared" si="43"/>
        <v>5371.6802966010773</v>
      </c>
      <c r="H236" s="8">
        <f t="shared" si="44"/>
        <v>80575.204449016077</v>
      </c>
      <c r="I236" s="7">
        <f t="shared" si="45"/>
        <v>57873.81437985706</v>
      </c>
      <c r="J236" s="8">
        <f t="shared" si="46"/>
        <v>100471.19059155903</v>
      </c>
      <c r="K236" s="8">
        <f t="shared" si="47"/>
        <v>158345.00497141609</v>
      </c>
      <c r="L236" s="8">
        <f t="shared" si="50"/>
        <v>238920.20942043216</v>
      </c>
      <c r="M236" s="4">
        <f t="shared" si="51"/>
        <v>1.5</v>
      </c>
      <c r="N236" s="10">
        <f t="shared" si="48"/>
        <v>0.09</v>
      </c>
      <c r="O236" s="11">
        <f t="shared" si="49"/>
        <v>7.8284203424832111E-3</v>
      </c>
    </row>
    <row r="237" spans="2:15" x14ac:dyDescent="0.25">
      <c r="B237" s="3">
        <v>220</v>
      </c>
      <c r="C237" s="3">
        <f t="shared" si="39"/>
        <v>135</v>
      </c>
      <c r="D237" s="7">
        <f t="shared" si="40"/>
        <v>141577.73528353023</v>
      </c>
      <c r="E237" s="8">
        <f t="shared" si="41"/>
        <v>12576651.998688275</v>
      </c>
      <c r="F237" s="7">
        <f t="shared" si="42"/>
        <v>12675884.148011528</v>
      </c>
      <c r="G237" s="8">
        <f t="shared" si="43"/>
        <v>5305.7032111963199</v>
      </c>
      <c r="H237" s="8">
        <f t="shared" si="44"/>
        <v>79585.548167944726</v>
      </c>
      <c r="I237" s="7">
        <f t="shared" si="45"/>
        <v>57803.558859629127</v>
      </c>
      <c r="J237" s="8">
        <f t="shared" si="46"/>
        <v>99232.149323253907</v>
      </c>
      <c r="K237" s="8">
        <f t="shared" si="47"/>
        <v>157035.70818288304</v>
      </c>
      <c r="L237" s="8">
        <f t="shared" si="50"/>
        <v>236621.25635082775</v>
      </c>
      <c r="M237" s="4">
        <f t="shared" si="51"/>
        <v>1.5</v>
      </c>
      <c r="N237" s="10">
        <f t="shared" si="48"/>
        <v>0.09</v>
      </c>
      <c r="O237" s="11">
        <f t="shared" si="49"/>
        <v>7.8284203424832111E-3</v>
      </c>
    </row>
    <row r="238" spans="2:15" x14ac:dyDescent="0.25">
      <c r="B238" s="3">
        <v>221</v>
      </c>
      <c r="C238" s="3">
        <f t="shared" si="39"/>
        <v>134</v>
      </c>
      <c r="D238" s="7">
        <f t="shared" si="40"/>
        <v>140469.40526059392</v>
      </c>
      <c r="E238" s="8">
        <f t="shared" si="41"/>
        <v>12420915.252949761</v>
      </c>
      <c r="F238" s="7">
        <f t="shared" si="42"/>
        <v>12518918.610062666</v>
      </c>
      <c r="G238" s="8">
        <f t="shared" si="43"/>
        <v>5240.2716661201193</v>
      </c>
      <c r="H238" s="8">
        <f t="shared" si="44"/>
        <v>78604.07499180171</v>
      </c>
      <c r="I238" s="7">
        <f t="shared" si="45"/>
        <v>57733.388625608386</v>
      </c>
      <c r="J238" s="8">
        <f t="shared" si="46"/>
        <v>98003.357112906218</v>
      </c>
      <c r="K238" s="8">
        <f t="shared" si="47"/>
        <v>155736.74573851461</v>
      </c>
      <c r="L238" s="8">
        <f t="shared" si="50"/>
        <v>234340.82073031634</v>
      </c>
      <c r="M238" s="4">
        <f t="shared" si="51"/>
        <v>1.5</v>
      </c>
      <c r="N238" s="10">
        <f t="shared" si="48"/>
        <v>0.09</v>
      </c>
      <c r="O238" s="11">
        <f t="shared" si="49"/>
        <v>7.8284203424832111E-3</v>
      </c>
    </row>
    <row r="239" spans="2:15" x14ac:dyDescent="0.25">
      <c r="B239" s="3">
        <v>222</v>
      </c>
      <c r="C239" s="3">
        <f t="shared" si="39"/>
        <v>133</v>
      </c>
      <c r="D239" s="7">
        <f t="shared" si="40"/>
        <v>139369.75171095537</v>
      </c>
      <c r="E239" s="8">
        <f t="shared" si="41"/>
        <v>12266467.216315763</v>
      </c>
      <c r="F239" s="7">
        <f t="shared" si="42"/>
        <v>12363251.949375499</v>
      </c>
      <c r="G239" s="8">
        <f t="shared" si="43"/>
        <v>5175.381355395738</v>
      </c>
      <c r="H239" s="8">
        <f t="shared" si="44"/>
        <v>77630.720330936005</v>
      </c>
      <c r="I239" s="7">
        <f t="shared" si="45"/>
        <v>57663.30357426218</v>
      </c>
      <c r="J239" s="8">
        <f t="shared" si="46"/>
        <v>96784.733059736376</v>
      </c>
      <c r="K239" s="8">
        <f t="shared" si="47"/>
        <v>154448.03663399856</v>
      </c>
      <c r="L239" s="8">
        <f t="shared" si="50"/>
        <v>232078.75696493458</v>
      </c>
      <c r="M239" s="4">
        <f t="shared" si="51"/>
        <v>1.5</v>
      </c>
      <c r="N239" s="10">
        <f t="shared" si="48"/>
        <v>0.09</v>
      </c>
      <c r="O239" s="11">
        <f t="shared" si="49"/>
        <v>7.8284203424832111E-3</v>
      </c>
    </row>
    <row r="240" spans="2:15" x14ac:dyDescent="0.25">
      <c r="B240" s="3">
        <v>223</v>
      </c>
      <c r="C240" s="3">
        <f t="shared" si="39"/>
        <v>132</v>
      </c>
      <c r="D240" s="7">
        <f t="shared" si="40"/>
        <v>138278.70671153447</v>
      </c>
      <c r="E240" s="8">
        <f t="shared" si="41"/>
        <v>12113297.715816479</v>
      </c>
      <c r="F240" s="7">
        <f t="shared" si="42"/>
        <v>12208873.91271358</v>
      </c>
      <c r="G240" s="8">
        <f t="shared" si="43"/>
        <v>5111.0280067982385</v>
      </c>
      <c r="H240" s="8">
        <f t="shared" si="44"/>
        <v>76665.420101973519</v>
      </c>
      <c r="I240" s="7">
        <f t="shared" si="45"/>
        <v>57593.303602183609</v>
      </c>
      <c r="J240" s="8">
        <f t="shared" si="46"/>
        <v>95576.19689709958</v>
      </c>
      <c r="K240" s="8">
        <f t="shared" si="47"/>
        <v>153169.5004992832</v>
      </c>
      <c r="L240" s="8">
        <f t="shared" si="50"/>
        <v>229834.92060125672</v>
      </c>
      <c r="M240" s="4">
        <f t="shared" si="51"/>
        <v>1.5</v>
      </c>
      <c r="N240" s="10">
        <f t="shared" si="48"/>
        <v>0.09</v>
      </c>
      <c r="O240" s="11">
        <f t="shared" si="49"/>
        <v>7.8284203424832111E-3</v>
      </c>
    </row>
    <row r="241" spans="2:15" x14ac:dyDescent="0.25">
      <c r="B241" s="3">
        <v>224</v>
      </c>
      <c r="C241" s="3">
        <f t="shared" ref="C241:C304" si="52">$E$9-B241</f>
        <v>131</v>
      </c>
      <c r="D241" s="7">
        <f t="shared" ref="D241:D304" si="53">($E$5*E241)/(1-$E$7^C241)</f>
        <v>137196.20287098159</v>
      </c>
      <c r="E241" s="8">
        <f t="shared" ref="E241:E304" si="54">E240-K241</f>
        <v>11961396.658222867</v>
      </c>
      <c r="F241" s="7">
        <f t="shared" ref="F241:F304" si="55">E240-I241</f>
        <v>12055774.327210387</v>
      </c>
      <c r="G241" s="8">
        <f t="shared" ref="G241:G304" si="56">$E$4/12*E240</f>
        <v>5047.207381590204</v>
      </c>
      <c r="H241" s="8">
        <f t="shared" ref="H241:H304" si="57">$E$6*E240</f>
        <v>75708.110723852995</v>
      </c>
      <c r="I241" s="7">
        <f t="shared" ref="I241:I304" si="58">D240*($E$7^(C240-1+1))</f>
        <v>57523.38860609127</v>
      </c>
      <c r="J241" s="8">
        <f t="shared" ref="J241:J304" si="59">O241*F241</f>
        <v>94377.668987520636</v>
      </c>
      <c r="K241" s="8">
        <f t="shared" ref="K241:K304" si="60">I241+J241</f>
        <v>151901.05759361191</v>
      </c>
      <c r="L241" s="8">
        <f t="shared" si="50"/>
        <v>227609.16831746491</v>
      </c>
      <c r="M241" s="4">
        <f t="shared" si="51"/>
        <v>1.5</v>
      </c>
      <c r="N241" s="10">
        <f t="shared" ref="N241:N304" si="61">MIN((B241+$E$10)/30*6%*$E$11,6%*$E$11)</f>
        <v>0.09</v>
      </c>
      <c r="O241" s="11">
        <f t="shared" ref="O241:O304" si="62">1 - (1 - N241)^(1/12)</f>
        <v>7.8284203424832111E-3</v>
      </c>
    </row>
    <row r="242" spans="2:15" x14ac:dyDescent="0.25">
      <c r="B242" s="3">
        <v>225</v>
      </c>
      <c r="C242" s="3">
        <f t="shared" si="52"/>
        <v>130</v>
      </c>
      <c r="D242" s="7">
        <f t="shared" si="53"/>
        <v>136122.17332551494</v>
      </c>
      <c r="E242" s="8">
        <f t="shared" si="54"/>
        <v>11810754.02942227</v>
      </c>
      <c r="F242" s="7">
        <f t="shared" si="55"/>
        <v>11903943.099740038</v>
      </c>
      <c r="G242" s="8">
        <f t="shared" si="56"/>
        <v>4983.9152742595325</v>
      </c>
      <c r="H242" s="8">
        <f t="shared" si="57"/>
        <v>74758.729113892914</v>
      </c>
      <c r="I242" s="7">
        <f t="shared" si="58"/>
        <v>57453.558482829154</v>
      </c>
      <c r="J242" s="8">
        <f t="shared" si="59"/>
        <v>93189.07031776756</v>
      </c>
      <c r="K242" s="8">
        <f t="shared" si="60"/>
        <v>150642.62880059672</v>
      </c>
      <c r="L242" s="8">
        <f t="shared" si="50"/>
        <v>225401.35791448964</v>
      </c>
      <c r="M242" s="4">
        <f t="shared" si="51"/>
        <v>1.5</v>
      </c>
      <c r="N242" s="10">
        <f t="shared" si="61"/>
        <v>0.09</v>
      </c>
      <c r="O242" s="11">
        <f t="shared" si="62"/>
        <v>7.8284203424832111E-3</v>
      </c>
    </row>
    <row r="243" spans="2:15" x14ac:dyDescent="0.25">
      <c r="B243" s="3">
        <v>226</v>
      </c>
      <c r="C243" s="3">
        <f t="shared" si="52"/>
        <v>129</v>
      </c>
      <c r="D243" s="7">
        <f t="shared" si="53"/>
        <v>135056.55173479047</v>
      </c>
      <c r="E243" s="8">
        <f t="shared" si="54"/>
        <v>11661359.89379894</v>
      </c>
      <c r="F243" s="7">
        <f t="shared" si="55"/>
        <v>11753370.216292903</v>
      </c>
      <c r="G243" s="8">
        <f t="shared" si="56"/>
        <v>4921.1475122592838</v>
      </c>
      <c r="H243" s="8">
        <f t="shared" si="57"/>
        <v>73817.212683889185</v>
      </c>
      <c r="I243" s="7">
        <f t="shared" si="58"/>
        <v>57383.813129366477</v>
      </c>
      <c r="J243" s="8">
        <f t="shared" si="59"/>
        <v>92010.322493963657</v>
      </c>
      <c r="K243" s="8">
        <f t="shared" si="60"/>
        <v>149394.13562333013</v>
      </c>
      <c r="L243" s="8">
        <f t="shared" si="50"/>
        <v>223211.34830721933</v>
      </c>
      <c r="M243" s="4">
        <f t="shared" si="51"/>
        <v>1.5</v>
      </c>
      <c r="N243" s="10">
        <f t="shared" si="61"/>
        <v>0.09</v>
      </c>
      <c r="O243" s="11">
        <f t="shared" si="62"/>
        <v>7.8284203424832111E-3</v>
      </c>
    </row>
    <row r="244" spans="2:15" x14ac:dyDescent="0.25">
      <c r="B244" s="3">
        <v>227</v>
      </c>
      <c r="C244" s="3">
        <f t="shared" si="52"/>
        <v>128</v>
      </c>
      <c r="D244" s="7">
        <f t="shared" si="53"/>
        <v>133999.27227780421</v>
      </c>
      <c r="E244" s="8">
        <f t="shared" si="54"/>
        <v>11513204.393619405</v>
      </c>
      <c r="F244" s="7">
        <f t="shared" si="55"/>
        <v>11604045.741356142</v>
      </c>
      <c r="G244" s="8">
        <f t="shared" si="56"/>
        <v>4858.8999557495627</v>
      </c>
      <c r="H244" s="8">
        <f t="shared" si="57"/>
        <v>72883.499336243374</v>
      </c>
      <c r="I244" s="7">
        <f t="shared" si="58"/>
        <v>57314.152442797531</v>
      </c>
      <c r="J244" s="8">
        <f t="shared" si="59"/>
        <v>90841.347736738098</v>
      </c>
      <c r="K244" s="8">
        <f t="shared" si="60"/>
        <v>148155.50017953562</v>
      </c>
      <c r="L244" s="8">
        <f t="shared" si="50"/>
        <v>221038.999515779</v>
      </c>
      <c r="M244" s="4">
        <f t="shared" si="51"/>
        <v>1.5</v>
      </c>
      <c r="N244" s="10">
        <f t="shared" si="61"/>
        <v>0.09</v>
      </c>
      <c r="O244" s="11">
        <f t="shared" si="62"/>
        <v>7.8284203424832111E-3</v>
      </c>
    </row>
    <row r="245" spans="2:15" x14ac:dyDescent="0.25">
      <c r="B245" s="3">
        <v>228</v>
      </c>
      <c r="C245" s="3">
        <f t="shared" si="52"/>
        <v>127</v>
      </c>
      <c r="D245" s="7">
        <f t="shared" si="53"/>
        <v>132950.26964882665</v>
      </c>
      <c r="E245" s="8">
        <f t="shared" si="54"/>
        <v>11366277.748422649</v>
      </c>
      <c r="F245" s="7">
        <f t="shared" si="55"/>
        <v>11455959.817299064</v>
      </c>
      <c r="G245" s="8">
        <f t="shared" si="56"/>
        <v>4797.1684973414231</v>
      </c>
      <c r="H245" s="8">
        <f t="shared" si="57"/>
        <v>71957.527460121273</v>
      </c>
      <c r="I245" s="7">
        <f t="shared" si="58"/>
        <v>57244.57632034149</v>
      </c>
      <c r="J245" s="8">
        <f t="shared" si="59"/>
        <v>89682.06887641424</v>
      </c>
      <c r="K245" s="8">
        <f t="shared" si="60"/>
        <v>146926.64519675574</v>
      </c>
      <c r="L245" s="8">
        <f t="shared" si="50"/>
        <v>218884.17265687702</v>
      </c>
      <c r="M245" s="4">
        <f t="shared" si="51"/>
        <v>1.5</v>
      </c>
      <c r="N245" s="10">
        <f t="shared" si="61"/>
        <v>0.09</v>
      </c>
      <c r="O245" s="11">
        <f t="shared" si="62"/>
        <v>7.8284203424832111E-3</v>
      </c>
    </row>
    <row r="246" spans="2:15" x14ac:dyDescent="0.25">
      <c r="B246" s="3">
        <v>229</v>
      </c>
      <c r="C246" s="3">
        <f t="shared" si="52"/>
        <v>126</v>
      </c>
      <c r="D246" s="7">
        <f t="shared" si="53"/>
        <v>131909.47905336917</v>
      </c>
      <c r="E246" s="8">
        <f t="shared" si="54"/>
        <v>11220570.254415071</v>
      </c>
      <c r="F246" s="7">
        <f t="shared" si="55"/>
        <v>11309102.663763307</v>
      </c>
      <c r="G246" s="8">
        <f t="shared" si="56"/>
        <v>4735.9490618427744</v>
      </c>
      <c r="H246" s="8">
        <f t="shared" si="57"/>
        <v>71039.235927641552</v>
      </c>
      <c r="I246" s="7">
        <f t="shared" si="58"/>
        <v>57175.084659342327</v>
      </c>
      <c r="J246" s="8">
        <f t="shared" si="59"/>
        <v>88532.409348235742</v>
      </c>
      <c r="K246" s="8">
        <f t="shared" si="60"/>
        <v>145707.49400757806</v>
      </c>
      <c r="L246" s="8">
        <f t="shared" si="50"/>
        <v>216746.72993521963</v>
      </c>
      <c r="M246" s="4">
        <f t="shared" si="51"/>
        <v>1.5</v>
      </c>
      <c r="N246" s="10">
        <f t="shared" si="61"/>
        <v>0.09</v>
      </c>
      <c r="O246" s="11">
        <f t="shared" si="62"/>
        <v>7.8284203424832111E-3</v>
      </c>
    </row>
    <row r="247" spans="2:15" x14ac:dyDescent="0.25">
      <c r="B247" s="3">
        <v>230</v>
      </c>
      <c r="C247" s="3">
        <f t="shared" si="52"/>
        <v>125</v>
      </c>
      <c r="D247" s="7">
        <f t="shared" si="53"/>
        <v>130876.8362041814</v>
      </c>
      <c r="E247" s="8">
        <f t="shared" si="54"/>
        <v>11076072.283870172</v>
      </c>
      <c r="F247" s="7">
        <f t="shared" si="55"/>
        <v>11163464.577057801</v>
      </c>
      <c r="G247" s="8">
        <f t="shared" si="56"/>
        <v>4675.2376060062834</v>
      </c>
      <c r="H247" s="8">
        <f t="shared" si="57"/>
        <v>70128.56409009418</v>
      </c>
      <c r="I247" s="7">
        <f t="shared" si="58"/>
        <v>57105.67735726868</v>
      </c>
      <c r="J247" s="8">
        <f t="shared" si="59"/>
        <v>87392.293187630028</v>
      </c>
      <c r="K247" s="8">
        <f t="shared" si="60"/>
        <v>144497.97054489871</v>
      </c>
      <c r="L247" s="8">
        <f t="shared" si="50"/>
        <v>214626.53463499289</v>
      </c>
      <c r="M247" s="4">
        <f t="shared" si="51"/>
        <v>1.5</v>
      </c>
      <c r="N247" s="10">
        <f t="shared" si="61"/>
        <v>0.09</v>
      </c>
      <c r="O247" s="11">
        <f t="shared" si="62"/>
        <v>7.8284203424832111E-3</v>
      </c>
    </row>
    <row r="248" spans="2:15" x14ac:dyDescent="0.25">
      <c r="B248" s="3">
        <v>231</v>
      </c>
      <c r="C248" s="3">
        <f t="shared" si="52"/>
        <v>124</v>
      </c>
      <c r="D248" s="7">
        <f t="shared" si="53"/>
        <v>129852.27731728071</v>
      </c>
      <c r="E248" s="8">
        <f t="shared" si="54"/>
        <v>10932774.284532949</v>
      </c>
      <c r="F248" s="7">
        <f t="shared" si="55"/>
        <v>11019035.929558458</v>
      </c>
      <c r="G248" s="8">
        <f t="shared" si="56"/>
        <v>4615.0301182792418</v>
      </c>
      <c r="H248" s="8">
        <f t="shared" si="57"/>
        <v>69225.451774188565</v>
      </c>
      <c r="I248" s="7">
        <f t="shared" si="58"/>
        <v>57036.354311713578</v>
      </c>
      <c r="J248" s="8">
        <f t="shared" si="59"/>
        <v>86261.645025508828</v>
      </c>
      <c r="K248" s="8">
        <f t="shared" si="60"/>
        <v>143297.9993372224</v>
      </c>
      <c r="L248" s="8">
        <f t="shared" si="50"/>
        <v>212523.45111141098</v>
      </c>
      <c r="M248" s="4">
        <f t="shared" si="51"/>
        <v>1.5</v>
      </c>
      <c r="N248" s="10">
        <f t="shared" si="61"/>
        <v>0.09</v>
      </c>
      <c r="O248" s="11">
        <f t="shared" si="62"/>
        <v>7.8284203424832111E-3</v>
      </c>
    </row>
    <row r="249" spans="2:15" x14ac:dyDescent="0.25">
      <c r="B249" s="3">
        <v>232</v>
      </c>
      <c r="C249" s="3">
        <f t="shared" si="52"/>
        <v>123</v>
      </c>
      <c r="D249" s="7">
        <f t="shared" si="53"/>
        <v>128835.73910801233</v>
      </c>
      <c r="E249" s="8">
        <f t="shared" si="54"/>
        <v>10790666.77902895</v>
      </c>
      <c r="F249" s="7">
        <f t="shared" si="55"/>
        <v>10875807.169112556</v>
      </c>
      <c r="G249" s="8">
        <f t="shared" si="56"/>
        <v>4555.3226185553995</v>
      </c>
      <c r="H249" s="8">
        <f t="shared" si="57"/>
        <v>68329.839278330925</v>
      </c>
      <c r="I249" s="7">
        <f t="shared" si="58"/>
        <v>56967.115420394373</v>
      </c>
      <c r="J249" s="8">
        <f t="shared" si="59"/>
        <v>85140.390083605482</v>
      </c>
      <c r="K249" s="8">
        <f t="shared" si="60"/>
        <v>142107.50550399986</v>
      </c>
      <c r="L249" s="8">
        <f t="shared" si="50"/>
        <v>210437.34478233079</v>
      </c>
      <c r="M249" s="4">
        <f t="shared" si="51"/>
        <v>1.5</v>
      </c>
      <c r="N249" s="10">
        <f t="shared" si="61"/>
        <v>0.09</v>
      </c>
      <c r="O249" s="11">
        <f t="shared" si="62"/>
        <v>7.8284203424832111E-3</v>
      </c>
    </row>
    <row r="250" spans="2:15" x14ac:dyDescent="0.25">
      <c r="B250" s="3">
        <v>233</v>
      </c>
      <c r="C250" s="3">
        <f t="shared" si="52"/>
        <v>122</v>
      </c>
      <c r="D250" s="7">
        <f t="shared" si="53"/>
        <v>127827.15878714029</v>
      </c>
      <c r="E250" s="8">
        <f t="shared" si="54"/>
        <v>10649740.36427795</v>
      </c>
      <c r="F250" s="7">
        <f t="shared" si="55"/>
        <v>10733768.818447798</v>
      </c>
      <c r="G250" s="8">
        <f t="shared" si="56"/>
        <v>4496.1111579287335</v>
      </c>
      <c r="H250" s="8">
        <f t="shared" si="57"/>
        <v>67441.667368930939</v>
      </c>
      <c r="I250" s="7">
        <f t="shared" si="58"/>
        <v>56897.960581152656</v>
      </c>
      <c r="J250" s="8">
        <f t="shared" si="59"/>
        <v>84028.45416984873</v>
      </c>
      <c r="K250" s="8">
        <f t="shared" si="60"/>
        <v>140926.4147510014</v>
      </c>
      <c r="L250" s="8">
        <f t="shared" si="50"/>
        <v>208368.08211993234</v>
      </c>
      <c r="M250" s="4">
        <f t="shared" si="51"/>
        <v>1.5</v>
      </c>
      <c r="N250" s="10">
        <f t="shared" si="61"/>
        <v>0.09</v>
      </c>
      <c r="O250" s="11">
        <f t="shared" si="62"/>
        <v>7.8284203424832111E-3</v>
      </c>
    </row>
    <row r="251" spans="2:15" x14ac:dyDescent="0.25">
      <c r="B251" s="3">
        <v>234</v>
      </c>
      <c r="C251" s="3">
        <f t="shared" si="52"/>
        <v>121</v>
      </c>
      <c r="D251" s="7">
        <f t="shared" si="53"/>
        <v>126826.47405696921</v>
      </c>
      <c r="E251" s="8">
        <f t="shared" si="54"/>
        <v>10509985.710912222</v>
      </c>
      <c r="F251" s="7">
        <f t="shared" si="55"/>
        <v>10592911.474585995</v>
      </c>
      <c r="G251" s="8">
        <f t="shared" si="56"/>
        <v>4437.3918184491495</v>
      </c>
      <c r="H251" s="8">
        <f t="shared" si="57"/>
        <v>66560.877276737185</v>
      </c>
      <c r="I251" s="7">
        <f t="shared" si="58"/>
        <v>56828.889691953962</v>
      </c>
      <c r="J251" s="8">
        <f t="shared" si="59"/>
        <v>82925.763673772832</v>
      </c>
      <c r="K251" s="8">
        <f t="shared" si="60"/>
        <v>139754.65336572679</v>
      </c>
      <c r="L251" s="8">
        <f t="shared" si="50"/>
        <v>206315.53064246397</v>
      </c>
      <c r="M251" s="4">
        <f t="shared" si="51"/>
        <v>1.5</v>
      </c>
      <c r="N251" s="10">
        <f t="shared" si="61"/>
        <v>0.09</v>
      </c>
      <c r="O251" s="11">
        <f t="shared" si="62"/>
        <v>7.8284203424832111E-3</v>
      </c>
    </row>
    <row r="252" spans="2:15" x14ac:dyDescent="0.25">
      <c r="B252" s="3">
        <v>235</v>
      </c>
      <c r="C252" s="3">
        <f t="shared" si="52"/>
        <v>120</v>
      </c>
      <c r="D252" s="7">
        <f t="shared" si="53"/>
        <v>125833.6231074962</v>
      </c>
      <c r="E252" s="8">
        <f t="shared" si="54"/>
        <v>10371393.56269937</v>
      </c>
      <c r="F252" s="7">
        <f t="shared" si="55"/>
        <v>10453225.808261335</v>
      </c>
      <c r="G252" s="8">
        <f t="shared" si="56"/>
        <v>4379.1607128800961</v>
      </c>
      <c r="H252" s="8">
        <f t="shared" si="57"/>
        <v>65687.410693201382</v>
      </c>
      <c r="I252" s="7">
        <f t="shared" si="58"/>
        <v>56759.902650887721</v>
      </c>
      <c r="J252" s="8">
        <f t="shared" si="59"/>
        <v>81832.245561963544</v>
      </c>
      <c r="K252" s="8">
        <f t="shared" si="60"/>
        <v>138592.14821285126</v>
      </c>
      <c r="L252" s="8">
        <f t="shared" si="50"/>
        <v>204279.55890605264</v>
      </c>
      <c r="M252" s="4">
        <f t="shared" si="51"/>
        <v>1.5</v>
      </c>
      <c r="N252" s="10">
        <f t="shared" si="61"/>
        <v>0.09</v>
      </c>
      <c r="O252" s="11">
        <f t="shared" si="62"/>
        <v>7.8284203424832111E-3</v>
      </c>
    </row>
    <row r="253" spans="2:15" x14ac:dyDescent="0.25">
      <c r="B253" s="3">
        <v>236</v>
      </c>
      <c r="C253" s="3">
        <f t="shared" si="52"/>
        <v>119</v>
      </c>
      <c r="D253" s="7">
        <f t="shared" si="53"/>
        <v>124848.5446125931</v>
      </c>
      <c r="E253" s="8">
        <f t="shared" si="54"/>
        <v>10233954.735969663</v>
      </c>
      <c r="F253" s="7">
        <f t="shared" si="55"/>
        <v>10314702.563343203</v>
      </c>
      <c r="G253" s="8">
        <f t="shared" si="56"/>
        <v>4321.4139844580741</v>
      </c>
      <c r="H253" s="8">
        <f t="shared" si="57"/>
        <v>64821.209766871056</v>
      </c>
      <c r="I253" s="7">
        <f t="shared" si="58"/>
        <v>56690.999356167049</v>
      </c>
      <c r="J253" s="8">
        <f t="shared" si="59"/>
        <v>80747.827373539651</v>
      </c>
      <c r="K253" s="8">
        <f t="shared" si="60"/>
        <v>137438.82672970669</v>
      </c>
      <c r="L253" s="8">
        <f t="shared" si="50"/>
        <v>202260.03649657776</v>
      </c>
      <c r="M253" s="4">
        <f t="shared" si="51"/>
        <v>1.5</v>
      </c>
      <c r="N253" s="10">
        <f t="shared" si="61"/>
        <v>0.09</v>
      </c>
      <c r="O253" s="11">
        <f t="shared" si="62"/>
        <v>7.8284203424832111E-3</v>
      </c>
    </row>
    <row r="254" spans="2:15" x14ac:dyDescent="0.25">
      <c r="B254" s="3">
        <v>237</v>
      </c>
      <c r="C254" s="3">
        <f t="shared" si="52"/>
        <v>118</v>
      </c>
      <c r="D254" s="7">
        <f t="shared" si="53"/>
        <v>123871.1777262184</v>
      </c>
      <c r="E254" s="8">
        <f t="shared" si="54"/>
        <v>10097660.119047863</v>
      </c>
      <c r="F254" s="7">
        <f t="shared" si="55"/>
        <v>10177332.556263534</v>
      </c>
      <c r="G254" s="8">
        <f t="shared" si="56"/>
        <v>4264.1478066540294</v>
      </c>
      <c r="H254" s="8">
        <f t="shared" si="57"/>
        <v>63962.217099810383</v>
      </c>
      <c r="I254" s="7">
        <f t="shared" si="58"/>
        <v>56622.179706128671</v>
      </c>
      <c r="J254" s="8">
        <f t="shared" si="59"/>
        <v>79672.437215670114</v>
      </c>
      <c r="K254" s="8">
        <f t="shared" si="60"/>
        <v>136294.61692179879</v>
      </c>
      <c r="L254" s="8">
        <f t="shared" si="50"/>
        <v>200256.83402160916</v>
      </c>
      <c r="M254" s="4">
        <f t="shared" si="51"/>
        <v>1.5</v>
      </c>
      <c r="N254" s="10">
        <f t="shared" si="61"/>
        <v>0.09</v>
      </c>
      <c r="O254" s="11">
        <f t="shared" si="62"/>
        <v>7.8284203424832111E-3</v>
      </c>
    </row>
    <row r="255" spans="2:15" x14ac:dyDescent="0.25">
      <c r="B255" s="3">
        <v>238</v>
      </c>
      <c r="C255" s="3">
        <f t="shared" si="52"/>
        <v>117</v>
      </c>
      <c r="D255" s="7">
        <f t="shared" si="53"/>
        <v>122901.46207865914</v>
      </c>
      <c r="E255" s="8">
        <f t="shared" si="54"/>
        <v>9962500.6716895048</v>
      </c>
      <c r="F255" s="7">
        <f t="shared" si="55"/>
        <v>10041106.67544863</v>
      </c>
      <c r="G255" s="8">
        <f t="shared" si="56"/>
        <v>4207.3583829366135</v>
      </c>
      <c r="H255" s="8">
        <f t="shared" si="57"/>
        <v>63110.375744049139</v>
      </c>
      <c r="I255" s="7">
        <f t="shared" si="58"/>
        <v>56553.443599232654</v>
      </c>
      <c r="J255" s="8">
        <f t="shared" si="59"/>
        <v>78606.003759126019</v>
      </c>
      <c r="K255" s="8">
        <f t="shared" si="60"/>
        <v>135159.44735835868</v>
      </c>
      <c r="L255" s="8">
        <f t="shared" si="50"/>
        <v>198269.82310240783</v>
      </c>
      <c r="M255" s="4">
        <f t="shared" si="51"/>
        <v>1.5</v>
      </c>
      <c r="N255" s="10">
        <f t="shared" si="61"/>
        <v>0.09</v>
      </c>
      <c r="O255" s="11">
        <f t="shared" si="62"/>
        <v>7.8284203424832111E-3</v>
      </c>
    </row>
    <row r="256" spans="2:15" x14ac:dyDescent="0.25">
      <c r="B256" s="3">
        <v>239</v>
      </c>
      <c r="C256" s="3">
        <f t="shared" si="52"/>
        <v>116</v>
      </c>
      <c r="D256" s="7">
        <f t="shared" si="53"/>
        <v>121939.33777280161</v>
      </c>
      <c r="E256" s="8">
        <f t="shared" si="54"/>
        <v>9828467.4245215748</v>
      </c>
      <c r="F256" s="7">
        <f t="shared" si="55"/>
        <v>9906015.8807554431</v>
      </c>
      <c r="G256" s="8">
        <f t="shared" si="56"/>
        <v>4151.041946537297</v>
      </c>
      <c r="H256" s="8">
        <f t="shared" si="57"/>
        <v>62265.629198059396</v>
      </c>
      <c r="I256" s="7">
        <f t="shared" si="58"/>
        <v>56484.790934062432</v>
      </c>
      <c r="J256" s="8">
        <f t="shared" si="59"/>
        <v>77548.456233867648</v>
      </c>
      <c r="K256" s="8">
        <f t="shared" si="60"/>
        <v>134033.24716793007</v>
      </c>
      <c r="L256" s="8">
        <f t="shared" si="50"/>
        <v>196298.87636598945</v>
      </c>
      <c r="M256" s="4">
        <f t="shared" si="51"/>
        <v>1.5</v>
      </c>
      <c r="N256" s="10">
        <f t="shared" si="61"/>
        <v>0.09</v>
      </c>
      <c r="O256" s="11">
        <f t="shared" si="62"/>
        <v>7.8284203424832111E-3</v>
      </c>
    </row>
    <row r="257" spans="2:15" x14ac:dyDescent="0.25">
      <c r="B257" s="3">
        <v>240</v>
      </c>
      <c r="C257" s="3">
        <f t="shared" si="52"/>
        <v>115</v>
      </c>
      <c r="D257" s="7">
        <f t="shared" si="53"/>
        <v>120984.74538043205</v>
      </c>
      <c r="E257" s="8">
        <f t="shared" si="54"/>
        <v>9695551.4784875847</v>
      </c>
      <c r="F257" s="7">
        <f t="shared" si="55"/>
        <v>9772051.2029122505</v>
      </c>
      <c r="G257" s="8">
        <f t="shared" si="56"/>
        <v>4095.1947602173263</v>
      </c>
      <c r="H257" s="8">
        <f t="shared" si="57"/>
        <v>61427.921403259839</v>
      </c>
      <c r="I257" s="7">
        <f t="shared" si="58"/>
        <v>56416.221609324442</v>
      </c>
      <c r="J257" s="8">
        <f t="shared" si="59"/>
        <v>76499.724424665794</v>
      </c>
      <c r="K257" s="8">
        <f t="shared" si="60"/>
        <v>132915.94603399024</v>
      </c>
      <c r="L257" s="8">
        <f t="shared" si="50"/>
        <v>194343.8674372501</v>
      </c>
      <c r="M257" s="4">
        <f t="shared" si="51"/>
        <v>1.5</v>
      </c>
      <c r="N257" s="10">
        <f t="shared" si="61"/>
        <v>0.09</v>
      </c>
      <c r="O257" s="11">
        <f t="shared" si="62"/>
        <v>7.8284203424832111E-3</v>
      </c>
    </row>
    <row r="258" spans="2:15" x14ac:dyDescent="0.25">
      <c r="B258" s="3">
        <v>241</v>
      </c>
      <c r="C258" s="3">
        <f t="shared" si="52"/>
        <v>114</v>
      </c>
      <c r="D258" s="7">
        <f t="shared" si="53"/>
        <v>120037.62593856573</v>
      </c>
      <c r="E258" s="8">
        <f t="shared" si="54"/>
        <v>9563744.0042969789</v>
      </c>
      <c r="F258" s="7">
        <f t="shared" si="55"/>
        <v>9639203.7429637369</v>
      </c>
      <c r="G258" s="8">
        <f t="shared" si="56"/>
        <v>4039.8131160364969</v>
      </c>
      <c r="H258" s="8">
        <f t="shared" si="57"/>
        <v>60597.196740547399</v>
      </c>
      <c r="I258" s="7">
        <f t="shared" si="58"/>
        <v>56347.735523848161</v>
      </c>
      <c r="J258" s="8">
        <f t="shared" si="59"/>
        <v>75459.738666757621</v>
      </c>
      <c r="K258" s="8">
        <f t="shared" si="60"/>
        <v>131807.47419060578</v>
      </c>
      <c r="L258" s="8">
        <f t="shared" si="50"/>
        <v>192404.67093115317</v>
      </c>
      <c r="M258" s="4">
        <f t="shared" si="51"/>
        <v>1.5</v>
      </c>
      <c r="N258" s="10">
        <f t="shared" si="61"/>
        <v>0.09</v>
      </c>
      <c r="O258" s="11">
        <f t="shared" si="62"/>
        <v>7.8284203424832111E-3</v>
      </c>
    </row>
    <row r="259" spans="2:15" x14ac:dyDescent="0.25">
      <c r="B259" s="3">
        <v>242</v>
      </c>
      <c r="C259" s="3">
        <f t="shared" si="52"/>
        <v>113</v>
      </c>
      <c r="D259" s="7">
        <f t="shared" si="53"/>
        <v>119097.92094580486</v>
      </c>
      <c r="E259" s="8">
        <f t="shared" si="54"/>
        <v>9433036.241878856</v>
      </c>
      <c r="F259" s="7">
        <f t="shared" si="55"/>
        <v>9507464.671720393</v>
      </c>
      <c r="G259" s="8">
        <f t="shared" si="56"/>
        <v>3984.8933351237447</v>
      </c>
      <c r="H259" s="8">
        <f t="shared" si="57"/>
        <v>59773.400026856114</v>
      </c>
      <c r="I259" s="7">
        <f t="shared" si="58"/>
        <v>56279.332576585868</v>
      </c>
      <c r="J259" s="8">
        <f t="shared" si="59"/>
        <v>74428.429841536388</v>
      </c>
      <c r="K259" s="8">
        <f t="shared" si="60"/>
        <v>130707.76241812226</v>
      </c>
      <c r="L259" s="8">
        <f t="shared" si="50"/>
        <v>190481.16244497837</v>
      </c>
      <c r="M259" s="4">
        <f t="shared" si="51"/>
        <v>1.5</v>
      </c>
      <c r="N259" s="10">
        <f t="shared" si="61"/>
        <v>0.09</v>
      </c>
      <c r="O259" s="11">
        <f t="shared" si="62"/>
        <v>7.8284203424832111E-3</v>
      </c>
    </row>
    <row r="260" spans="2:15" x14ac:dyDescent="0.25">
      <c r="B260" s="3">
        <v>243</v>
      </c>
      <c r="C260" s="3">
        <f t="shared" si="52"/>
        <v>112</v>
      </c>
      <c r="D260" s="7">
        <f t="shared" si="53"/>
        <v>118165.57235872524</v>
      </c>
      <c r="E260" s="8">
        <f t="shared" si="54"/>
        <v>9303419.499839969</v>
      </c>
      <c r="F260" s="7">
        <f t="shared" si="55"/>
        <v>9376825.2292122431</v>
      </c>
      <c r="G260" s="8">
        <f t="shared" si="56"/>
        <v>3930.4317674495264</v>
      </c>
      <c r="H260" s="8">
        <f t="shared" si="57"/>
        <v>58956.476511742847</v>
      </c>
      <c r="I260" s="7">
        <f t="shared" si="58"/>
        <v>56211.012666612478</v>
      </c>
      <c r="J260" s="8">
        <f t="shared" si="59"/>
        <v>73405.729372274916</v>
      </c>
      <c r="K260" s="8">
        <f t="shared" si="60"/>
        <v>129616.7420388874</v>
      </c>
      <c r="L260" s="8">
        <f t="shared" si="50"/>
        <v>188573.21855063026</v>
      </c>
      <c r="M260" s="4">
        <f t="shared" si="51"/>
        <v>1.5</v>
      </c>
      <c r="N260" s="10">
        <f t="shared" si="61"/>
        <v>0.09</v>
      </c>
      <c r="O260" s="11">
        <f t="shared" si="62"/>
        <v>7.8284203424832111E-3</v>
      </c>
    </row>
    <row r="261" spans="2:15" x14ac:dyDescent="0.25">
      <c r="B261" s="3">
        <v>244</v>
      </c>
      <c r="C261" s="3">
        <f t="shared" si="52"/>
        <v>111</v>
      </c>
      <c r="D261" s="7">
        <f t="shared" si="53"/>
        <v>117240.52258829103</v>
      </c>
      <c r="E261" s="8">
        <f t="shared" si="54"/>
        <v>9174885.1549269613</v>
      </c>
      <c r="F261" s="7">
        <f t="shared" si="55"/>
        <v>9247276.724146843</v>
      </c>
      <c r="G261" s="8">
        <f t="shared" si="56"/>
        <v>3876.4247915999904</v>
      </c>
      <c r="H261" s="8">
        <f t="shared" si="57"/>
        <v>58146.3718739998</v>
      </c>
      <c r="I261" s="7">
        <f t="shared" si="58"/>
        <v>56142.775693125448</v>
      </c>
      <c r="J261" s="8">
        <f t="shared" si="59"/>
        <v>72391.569219882658</v>
      </c>
      <c r="K261" s="8">
        <f t="shared" si="60"/>
        <v>128534.3449130081</v>
      </c>
      <c r="L261" s="8">
        <f t="shared" si="50"/>
        <v>186680.7167870079</v>
      </c>
      <c r="M261" s="4">
        <f t="shared" si="51"/>
        <v>1.5</v>
      </c>
      <c r="N261" s="10">
        <f t="shared" si="61"/>
        <v>0.09</v>
      </c>
      <c r="O261" s="11">
        <f t="shared" si="62"/>
        <v>7.8284203424832111E-3</v>
      </c>
    </row>
    <row r="262" spans="2:15" x14ac:dyDescent="0.25">
      <c r="B262" s="3">
        <v>245</v>
      </c>
      <c r="C262" s="3">
        <f t="shared" si="52"/>
        <v>110</v>
      </c>
      <c r="D262" s="7">
        <f t="shared" si="53"/>
        <v>116322.71449629747</v>
      </c>
      <c r="E262" s="8">
        <f t="shared" si="54"/>
        <v>9047424.6514928211</v>
      </c>
      <c r="F262" s="7">
        <f t="shared" si="55"/>
        <v>9118810.5333715174</v>
      </c>
      <c r="G262" s="8">
        <f t="shared" si="56"/>
        <v>3822.8688145529036</v>
      </c>
      <c r="H262" s="8">
        <f t="shared" si="57"/>
        <v>57343.032218293505</v>
      </c>
      <c r="I262" s="7">
        <f t="shared" si="58"/>
        <v>56074.621555444617</v>
      </c>
      <c r="J262" s="8">
        <f t="shared" si="59"/>
        <v>71385.881878695771</v>
      </c>
      <c r="K262" s="8">
        <f t="shared" si="60"/>
        <v>127460.50343414038</v>
      </c>
      <c r="L262" s="8">
        <f t="shared" si="50"/>
        <v>184803.53565243387</v>
      </c>
      <c r="M262" s="4">
        <f t="shared" si="51"/>
        <v>1.5</v>
      </c>
      <c r="N262" s="10">
        <f t="shared" si="61"/>
        <v>0.09</v>
      </c>
      <c r="O262" s="11">
        <f t="shared" si="62"/>
        <v>7.8284203424832111E-3</v>
      </c>
    </row>
    <row r="263" spans="2:15" x14ac:dyDescent="0.25">
      <c r="B263" s="3">
        <v>246</v>
      </c>
      <c r="C263" s="3">
        <f t="shared" si="52"/>
        <v>109</v>
      </c>
      <c r="D263" s="7">
        <f t="shared" si="53"/>
        <v>115412.09139184179</v>
      </c>
      <c r="E263" s="8">
        <f t="shared" si="54"/>
        <v>8921029.5009675082</v>
      </c>
      <c r="F263" s="7">
        <f t="shared" si="55"/>
        <v>8991418.1013398096</v>
      </c>
      <c r="G263" s="8">
        <f t="shared" si="56"/>
        <v>3769.7602714553454</v>
      </c>
      <c r="H263" s="8">
        <f t="shared" si="57"/>
        <v>56546.404071830126</v>
      </c>
      <c r="I263" s="7">
        <f t="shared" si="58"/>
        <v>56006.550153011995</v>
      </c>
      <c r="J263" s="8">
        <f t="shared" si="59"/>
        <v>70388.600372300338</v>
      </c>
      <c r="K263" s="8">
        <f t="shared" si="60"/>
        <v>126395.15052531233</v>
      </c>
      <c r="L263" s="8">
        <f t="shared" si="50"/>
        <v>182941.55459714244</v>
      </c>
      <c r="M263" s="4">
        <f t="shared" si="51"/>
        <v>1.5</v>
      </c>
      <c r="N263" s="10">
        <f t="shared" si="61"/>
        <v>0.09</v>
      </c>
      <c r="O263" s="11">
        <f t="shared" si="62"/>
        <v>7.8284203424832111E-3</v>
      </c>
    </row>
    <row r="264" spans="2:15" x14ac:dyDescent="0.25">
      <c r="B264" s="3">
        <v>247</v>
      </c>
      <c r="C264" s="3">
        <f t="shared" si="52"/>
        <v>108</v>
      </c>
      <c r="D264" s="7">
        <f t="shared" si="53"/>
        <v>114508.59702782136</v>
      </c>
      <c r="E264" s="8">
        <f t="shared" si="54"/>
        <v>8795691.2813327275</v>
      </c>
      <c r="F264" s="7">
        <f t="shared" si="55"/>
        <v>8865090.9395821169</v>
      </c>
      <c r="G264" s="8">
        <f t="shared" si="56"/>
        <v>3717.0956254031316</v>
      </c>
      <c r="H264" s="8">
        <f t="shared" si="57"/>
        <v>55756.434381046922</v>
      </c>
      <c r="I264" s="7">
        <f t="shared" si="58"/>
        <v>55938.561385391731</v>
      </c>
      <c r="J264" s="8">
        <f t="shared" si="59"/>
        <v>69399.658249388245</v>
      </c>
      <c r="K264" s="8">
        <f t="shared" si="60"/>
        <v>125338.21963477998</v>
      </c>
      <c r="L264" s="8">
        <f t="shared" si="50"/>
        <v>181094.65401582691</v>
      </c>
      <c r="M264" s="4">
        <f t="shared" si="51"/>
        <v>1.5</v>
      </c>
      <c r="N264" s="10">
        <f t="shared" si="61"/>
        <v>0.09</v>
      </c>
      <c r="O264" s="11">
        <f t="shared" si="62"/>
        <v>7.8284203424832111E-3</v>
      </c>
    </row>
    <row r="265" spans="2:15" x14ac:dyDescent="0.25">
      <c r="B265" s="3">
        <v>248</v>
      </c>
      <c r="C265" s="3">
        <f t="shared" si="52"/>
        <v>107</v>
      </c>
      <c r="D265" s="7">
        <f t="shared" si="53"/>
        <v>113612.17559745951</v>
      </c>
      <c r="E265" s="8">
        <f t="shared" si="54"/>
        <v>8671401.6366008129</v>
      </c>
      <c r="F265" s="7">
        <f t="shared" si="55"/>
        <v>8739820.626180457</v>
      </c>
      <c r="G265" s="8">
        <f t="shared" si="56"/>
        <v>3664.8713672219728</v>
      </c>
      <c r="H265" s="8">
        <f t="shared" si="57"/>
        <v>54973.07050832954</v>
      </c>
      <c r="I265" s="7">
        <f t="shared" si="58"/>
        <v>55870.655152269836</v>
      </c>
      <c r="J265" s="8">
        <f t="shared" si="59"/>
        <v>68418.989579645451</v>
      </c>
      <c r="K265" s="8">
        <f t="shared" si="60"/>
        <v>124289.64473191529</v>
      </c>
      <c r="L265" s="8">
        <f t="shared" si="50"/>
        <v>179262.71524024484</v>
      </c>
      <c r="M265" s="4">
        <f t="shared" si="51"/>
        <v>1.5</v>
      </c>
      <c r="N265" s="10">
        <f t="shared" si="61"/>
        <v>0.09</v>
      </c>
      <c r="O265" s="11">
        <f t="shared" si="62"/>
        <v>7.8284203424832111E-3</v>
      </c>
    </row>
    <row r="266" spans="2:15" x14ac:dyDescent="0.25">
      <c r="B266" s="3">
        <v>249</v>
      </c>
      <c r="C266" s="3">
        <f t="shared" si="52"/>
        <v>106</v>
      </c>
      <c r="D266" s="7">
        <f t="shared" si="53"/>
        <v>112722.7717308586</v>
      </c>
      <c r="E266" s="8">
        <f t="shared" si="54"/>
        <v>8548152.2762976866</v>
      </c>
      <c r="F266" s="7">
        <f t="shared" si="55"/>
        <v>8615598.805247359</v>
      </c>
      <c r="G266" s="8">
        <f t="shared" si="56"/>
        <v>3613.084015250342</v>
      </c>
      <c r="H266" s="8">
        <f t="shared" si="57"/>
        <v>54196.260228755076</v>
      </c>
      <c r="I266" s="7">
        <f t="shared" si="58"/>
        <v>55802.831353454094</v>
      </c>
      <c r="J266" s="8">
        <f t="shared" si="59"/>
        <v>67446.528949672473</v>
      </c>
      <c r="K266" s="8">
        <f t="shared" si="60"/>
        <v>123249.36030312657</v>
      </c>
      <c r="L266" s="8">
        <f t="shared" si="50"/>
        <v>177445.62053188164</v>
      </c>
      <c r="M266" s="4">
        <f t="shared" si="51"/>
        <v>1.5</v>
      </c>
      <c r="N266" s="10">
        <f t="shared" si="61"/>
        <v>0.09</v>
      </c>
      <c r="O266" s="11">
        <f t="shared" si="62"/>
        <v>7.8284203424832111E-3</v>
      </c>
    </row>
    <row r="267" spans="2:15" x14ac:dyDescent="0.25">
      <c r="B267" s="3">
        <v>250</v>
      </c>
      <c r="C267" s="3">
        <f t="shared" si="52"/>
        <v>105</v>
      </c>
      <c r="D267" s="7">
        <f t="shared" si="53"/>
        <v>111840.33049157965</v>
      </c>
      <c r="E267" s="8">
        <f t="shared" si="54"/>
        <v>8425934.9749498758</v>
      </c>
      <c r="F267" s="7">
        <f t="shared" si="55"/>
        <v>8492417.1864088122</v>
      </c>
      <c r="G267" s="8">
        <f t="shared" si="56"/>
        <v>3561.730115124039</v>
      </c>
      <c r="H267" s="8">
        <f t="shared" si="57"/>
        <v>53425.951726860534</v>
      </c>
      <c r="I267" s="7">
        <f t="shared" si="58"/>
        <v>55735.089888874019</v>
      </c>
      <c r="J267" s="8">
        <f t="shared" si="59"/>
        <v>66482.211458936785</v>
      </c>
      <c r="K267" s="8">
        <f t="shared" si="60"/>
        <v>122217.3013478108</v>
      </c>
      <c r="L267" s="8">
        <f t="shared" si="50"/>
        <v>175643.25307467135</v>
      </c>
      <c r="M267" s="4">
        <f t="shared" si="51"/>
        <v>1.5</v>
      </c>
      <c r="N267" s="10">
        <f t="shared" si="61"/>
        <v>0.09</v>
      </c>
      <c r="O267" s="11">
        <f t="shared" si="62"/>
        <v>7.8284203424832111E-3</v>
      </c>
    </row>
    <row r="268" spans="2:15" x14ac:dyDescent="0.25">
      <c r="B268" s="3">
        <v>251</v>
      </c>
      <c r="C268" s="3">
        <f t="shared" si="52"/>
        <v>104</v>
      </c>
      <c r="D268" s="7">
        <f t="shared" si="53"/>
        <v>110964.7973732493</v>
      </c>
      <c r="E268" s="8">
        <f t="shared" si="54"/>
        <v>8304741.5715755383</v>
      </c>
      <c r="F268" s="7">
        <f t="shared" si="55"/>
        <v>8370267.5442912951</v>
      </c>
      <c r="G268" s="8">
        <f t="shared" si="56"/>
        <v>3510.8062395624511</v>
      </c>
      <c r="H268" s="8">
        <f t="shared" si="57"/>
        <v>52662.093593436723</v>
      </c>
      <c r="I268" s="7">
        <f t="shared" si="58"/>
        <v>55667.430658580466</v>
      </c>
      <c r="J268" s="8">
        <f t="shared" si="59"/>
        <v>65525.972715756965</v>
      </c>
      <c r="K268" s="8">
        <f t="shared" si="60"/>
        <v>121193.40337433743</v>
      </c>
      <c r="L268" s="8">
        <f t="shared" si="50"/>
        <v>173855.49696777415</v>
      </c>
      <c r="M268" s="4">
        <f t="shared" si="51"/>
        <v>1.5</v>
      </c>
      <c r="N268" s="10">
        <f t="shared" si="61"/>
        <v>0.09</v>
      </c>
      <c r="O268" s="11">
        <f t="shared" si="62"/>
        <v>7.8284203424832111E-3</v>
      </c>
    </row>
    <row r="269" spans="2:15" x14ac:dyDescent="0.25">
      <c r="B269" s="3">
        <v>252</v>
      </c>
      <c r="C269" s="3">
        <f t="shared" si="52"/>
        <v>103</v>
      </c>
      <c r="D269" s="7">
        <f t="shared" si="53"/>
        <v>110096.11829619302</v>
      </c>
      <c r="E269" s="8">
        <f t="shared" si="54"/>
        <v>8184563.9691794747</v>
      </c>
      <c r="F269" s="7">
        <f t="shared" si="55"/>
        <v>8249141.718012793</v>
      </c>
      <c r="G269" s="8">
        <f t="shared" si="56"/>
        <v>3460.308988156477</v>
      </c>
      <c r="H269" s="8">
        <f t="shared" si="57"/>
        <v>51904.634822347107</v>
      </c>
      <c r="I269" s="7">
        <f t="shared" si="58"/>
        <v>55599.853562745702</v>
      </c>
      <c r="J269" s="8">
        <f t="shared" si="59"/>
        <v>64577.748833318255</v>
      </c>
      <c r="K269" s="8">
        <f t="shared" si="60"/>
        <v>120177.60239606396</v>
      </c>
      <c r="L269" s="8">
        <f t="shared" si="50"/>
        <v>172082.23721841106</v>
      </c>
      <c r="M269" s="4">
        <f t="shared" si="51"/>
        <v>1.5</v>
      </c>
      <c r="N269" s="10">
        <f t="shared" si="61"/>
        <v>0.09</v>
      </c>
      <c r="O269" s="11">
        <f t="shared" si="62"/>
        <v>7.8284203424832111E-3</v>
      </c>
    </row>
    <row r="270" spans="2:15" x14ac:dyDescent="0.25">
      <c r="B270" s="3">
        <v>253</v>
      </c>
      <c r="C270" s="3">
        <f t="shared" si="52"/>
        <v>102</v>
      </c>
      <c r="D270" s="7">
        <f t="shared" si="53"/>
        <v>109234.23960409466</v>
      </c>
      <c r="E270" s="8">
        <f t="shared" si="54"/>
        <v>8065394.1342520919</v>
      </c>
      <c r="F270" s="7">
        <f t="shared" si="55"/>
        <v>8129031.6106778113</v>
      </c>
      <c r="G270" s="8">
        <f t="shared" si="56"/>
        <v>3410.2349871581173</v>
      </c>
      <c r="H270" s="8">
        <f t="shared" si="57"/>
        <v>51153.524807371716</v>
      </c>
      <c r="I270" s="7">
        <f t="shared" si="58"/>
        <v>55532.358501663184</v>
      </c>
      <c r="J270" s="8">
        <f t="shared" si="59"/>
        <v>63637.476425719244</v>
      </c>
      <c r="K270" s="8">
        <f t="shared" si="60"/>
        <v>119169.83492738243</v>
      </c>
      <c r="L270" s="8">
        <f t="shared" si="50"/>
        <v>170323.35973475414</v>
      </c>
      <c r="M270" s="4">
        <f t="shared" si="51"/>
        <v>1.5</v>
      </c>
      <c r="N270" s="10">
        <f t="shared" si="61"/>
        <v>0.09</v>
      </c>
      <c r="O270" s="11">
        <f t="shared" si="62"/>
        <v>7.8284203424832111E-3</v>
      </c>
    </row>
    <row r="271" spans="2:15" x14ac:dyDescent="0.25">
      <c r="B271" s="3">
        <v>254</v>
      </c>
      <c r="C271" s="3">
        <f t="shared" si="52"/>
        <v>101</v>
      </c>
      <c r="D271" s="7">
        <f t="shared" si="53"/>
        <v>108379.10806068224</v>
      </c>
      <c r="E271" s="8">
        <f t="shared" si="54"/>
        <v>7947224.0962722944</v>
      </c>
      <c r="F271" s="7">
        <f t="shared" si="55"/>
        <v>8009929.1888763448</v>
      </c>
      <c r="G271" s="8">
        <f t="shared" si="56"/>
        <v>3360.5808892717077</v>
      </c>
      <c r="H271" s="8">
        <f t="shared" si="57"/>
        <v>50408.71333907557</v>
      </c>
      <c r="I271" s="7">
        <f t="shared" si="58"/>
        <v>55464.945375747382</v>
      </c>
      <c r="J271" s="8">
        <f t="shared" si="59"/>
        <v>62705.092604049627</v>
      </c>
      <c r="K271" s="8">
        <f t="shared" si="60"/>
        <v>118170.03797979701</v>
      </c>
      <c r="L271" s="8">
        <f t="shared" si="50"/>
        <v>168578.75131887259</v>
      </c>
      <c r="M271" s="4">
        <f t="shared" si="51"/>
        <v>1.5</v>
      </c>
      <c r="N271" s="10">
        <f t="shared" si="61"/>
        <v>0.09</v>
      </c>
      <c r="O271" s="11">
        <f t="shared" si="62"/>
        <v>7.8284203424832111E-3</v>
      </c>
    </row>
    <row r="272" spans="2:15" x14ac:dyDescent="0.25">
      <c r="B272" s="3">
        <v>255</v>
      </c>
      <c r="C272" s="3">
        <f t="shared" si="52"/>
        <v>100</v>
      </c>
      <c r="D272" s="7">
        <f t="shared" si="53"/>
        <v>107530.67084643983</v>
      </c>
      <c r="E272" s="8">
        <f t="shared" si="54"/>
        <v>7830045.9472142626</v>
      </c>
      <c r="F272" s="7">
        <f t="shared" si="55"/>
        <v>7891826.4821867608</v>
      </c>
      <c r="G272" s="8">
        <f t="shared" si="56"/>
        <v>3311.3433734467922</v>
      </c>
      <c r="H272" s="8">
        <f t="shared" si="57"/>
        <v>49670.150601701833</v>
      </c>
      <c r="I272" s="7">
        <f t="shared" si="58"/>
        <v>55397.614085533605</v>
      </c>
      <c r="J272" s="8">
        <f t="shared" si="59"/>
        <v>61780.534972498557</v>
      </c>
      <c r="K272" s="8">
        <f t="shared" si="60"/>
        <v>117178.14905803217</v>
      </c>
      <c r="L272" s="8">
        <f t="shared" si="50"/>
        <v>166848.29965973401</v>
      </c>
      <c r="M272" s="4">
        <f t="shared" si="51"/>
        <v>1.5</v>
      </c>
      <c r="N272" s="10">
        <f t="shared" si="61"/>
        <v>0.09</v>
      </c>
      <c r="O272" s="11">
        <f t="shared" si="62"/>
        <v>7.8284203424832111E-3</v>
      </c>
    </row>
    <row r="273" spans="2:15" x14ac:dyDescent="0.25">
      <c r="B273" s="3">
        <v>256</v>
      </c>
      <c r="C273" s="3">
        <f t="shared" si="52"/>
        <v>99</v>
      </c>
      <c r="D273" s="7">
        <f t="shared" si="53"/>
        <v>106688.87555534467</v>
      </c>
      <c r="E273" s="8">
        <f t="shared" si="54"/>
        <v>7713851.8410580913</v>
      </c>
      <c r="F273" s="7">
        <f t="shared" si="55"/>
        <v>7774715.5826825844</v>
      </c>
      <c r="G273" s="8">
        <f t="shared" si="56"/>
        <v>3262.5191446726121</v>
      </c>
      <c r="H273" s="8">
        <f t="shared" si="57"/>
        <v>48937.787170089134</v>
      </c>
      <c r="I273" s="7">
        <f t="shared" si="58"/>
        <v>55330.364531678075</v>
      </c>
      <c r="J273" s="8">
        <f t="shared" si="59"/>
        <v>60863.741624493552</v>
      </c>
      <c r="K273" s="8">
        <f t="shared" si="60"/>
        <v>116194.10615617162</v>
      </c>
      <c r="L273" s="8">
        <f t="shared" si="50"/>
        <v>165131.89332626076</v>
      </c>
      <c r="M273" s="4">
        <f t="shared" si="51"/>
        <v>1.5</v>
      </c>
      <c r="N273" s="10">
        <f t="shared" si="61"/>
        <v>0.09</v>
      </c>
      <c r="O273" s="11">
        <f t="shared" si="62"/>
        <v>7.8284203424832111E-3</v>
      </c>
    </row>
    <row r="274" spans="2:15" x14ac:dyDescent="0.25">
      <c r="B274" s="3">
        <v>257</v>
      </c>
      <c r="C274" s="3">
        <f t="shared" si="52"/>
        <v>98</v>
      </c>
      <c r="D274" s="7">
        <f t="shared" si="53"/>
        <v>105853.67019163055</v>
      </c>
      <c r="E274" s="8">
        <f t="shared" si="54"/>
        <v>7598633.9933042647</v>
      </c>
      <c r="F274" s="7">
        <f t="shared" si="55"/>
        <v>7658588.6444431338</v>
      </c>
      <c r="G274" s="8">
        <f t="shared" si="56"/>
        <v>3214.1049337742074</v>
      </c>
      <c r="H274" s="8">
        <f t="shared" si="57"/>
        <v>48211.574006613067</v>
      </c>
      <c r="I274" s="7">
        <f t="shared" si="58"/>
        <v>55263.196614957393</v>
      </c>
      <c r="J274" s="8">
        <f t="shared" si="59"/>
        <v>59954.651138869551</v>
      </c>
      <c r="K274" s="8">
        <f t="shared" si="60"/>
        <v>115217.84775382694</v>
      </c>
      <c r="L274" s="8">
        <f t="shared" si="50"/>
        <v>163429.42176043999</v>
      </c>
      <c r="M274" s="4">
        <f t="shared" si="51"/>
        <v>1.5</v>
      </c>
      <c r="N274" s="10">
        <f t="shared" si="61"/>
        <v>0.09</v>
      </c>
      <c r="O274" s="11">
        <f t="shared" si="62"/>
        <v>7.8284203424832111E-3</v>
      </c>
    </row>
    <row r="275" spans="2:15" x14ac:dyDescent="0.25">
      <c r="B275" s="3">
        <v>258</v>
      </c>
      <c r="C275" s="3">
        <f t="shared" si="52"/>
        <v>97</v>
      </c>
      <c r="D275" s="7">
        <f t="shared" si="53"/>
        <v>105025.00316657587</v>
      </c>
      <c r="E275" s="8">
        <f t="shared" si="54"/>
        <v>7484384.680491928</v>
      </c>
      <c r="F275" s="7">
        <f t="shared" si="55"/>
        <v>7543437.8830679962</v>
      </c>
      <c r="G275" s="8">
        <f t="shared" si="56"/>
        <v>3166.097497210113</v>
      </c>
      <c r="H275" s="8">
        <f t="shared" si="57"/>
        <v>47491.462458151647</v>
      </c>
      <c r="I275" s="7">
        <f t="shared" si="58"/>
        <v>55196.110236268782</v>
      </c>
      <c r="J275" s="8">
        <f t="shared" si="59"/>
        <v>59053.20257606799</v>
      </c>
      <c r="K275" s="8">
        <f t="shared" si="60"/>
        <v>114249.31281233678</v>
      </c>
      <c r="L275" s="8">
        <f t="shared" ref="L275:L338" si="63">H275+K275</f>
        <v>161740.77527048843</v>
      </c>
      <c r="M275" s="4">
        <f t="shared" ref="M275:M338" si="64">$E$11</f>
        <v>1.5</v>
      </c>
      <c r="N275" s="10">
        <f t="shared" si="61"/>
        <v>0.09</v>
      </c>
      <c r="O275" s="11">
        <f t="shared" si="62"/>
        <v>7.8284203424832111E-3</v>
      </c>
    </row>
    <row r="276" spans="2:15" x14ac:dyDescent="0.25">
      <c r="B276" s="3">
        <v>259</v>
      </c>
      <c r="C276" s="3">
        <f t="shared" si="52"/>
        <v>96</v>
      </c>
      <c r="D276" s="7">
        <f t="shared" si="53"/>
        <v>104202.82329531727</v>
      </c>
      <c r="E276" s="8">
        <f t="shared" si="54"/>
        <v>7371096.2397209322</v>
      </c>
      <c r="F276" s="7">
        <f t="shared" si="55"/>
        <v>7429255.5751952985</v>
      </c>
      <c r="G276" s="8">
        <f t="shared" si="56"/>
        <v>3118.4936168716395</v>
      </c>
      <c r="H276" s="8">
        <f t="shared" si="57"/>
        <v>46777.404253074543</v>
      </c>
      <c r="I276" s="7">
        <f t="shared" si="58"/>
        <v>55129.105296629685</v>
      </c>
      <c r="J276" s="8">
        <f t="shared" si="59"/>
        <v>58159.335474365682</v>
      </c>
      <c r="K276" s="8">
        <f t="shared" si="60"/>
        <v>113288.44077099537</v>
      </c>
      <c r="L276" s="8">
        <f t="shared" si="63"/>
        <v>160065.84502406992</v>
      </c>
      <c r="M276" s="4">
        <f t="shared" si="64"/>
        <v>1.5</v>
      </c>
      <c r="N276" s="10">
        <f t="shared" si="61"/>
        <v>0.09</v>
      </c>
      <c r="O276" s="11">
        <f t="shared" si="62"/>
        <v>7.8284203424832111E-3</v>
      </c>
    </row>
    <row r="277" spans="2:15" x14ac:dyDescent="0.25">
      <c r="B277" s="3">
        <v>260</v>
      </c>
      <c r="C277" s="3">
        <f t="shared" si="52"/>
        <v>95</v>
      </c>
      <c r="D277" s="7">
        <f t="shared" si="53"/>
        <v>103387.079793688</v>
      </c>
      <c r="E277" s="8">
        <f t="shared" si="54"/>
        <v>7258761.0681776218</v>
      </c>
      <c r="F277" s="7">
        <f t="shared" si="55"/>
        <v>7316034.0580237545</v>
      </c>
      <c r="G277" s="8">
        <f t="shared" si="56"/>
        <v>3071.2900998837245</v>
      </c>
      <c r="H277" s="8">
        <f t="shared" si="57"/>
        <v>46069.351498255819</v>
      </c>
      <c r="I277" s="7">
        <f t="shared" si="58"/>
        <v>55062.181697177715</v>
      </c>
      <c r="J277" s="8">
        <f t="shared" si="59"/>
        <v>57272.989846133154</v>
      </c>
      <c r="K277" s="8">
        <f t="shared" si="60"/>
        <v>112335.17154331086</v>
      </c>
      <c r="L277" s="8">
        <f t="shared" si="63"/>
        <v>158404.52304156669</v>
      </c>
      <c r="M277" s="4">
        <f t="shared" si="64"/>
        <v>1.5</v>
      </c>
      <c r="N277" s="10">
        <f t="shared" si="61"/>
        <v>0.09</v>
      </c>
      <c r="O277" s="11">
        <f t="shared" si="62"/>
        <v>7.8284203424832111E-3</v>
      </c>
    </row>
    <row r="278" spans="2:15" x14ac:dyDescent="0.25">
      <c r="B278" s="3">
        <v>261</v>
      </c>
      <c r="C278" s="3">
        <f t="shared" si="52"/>
        <v>94</v>
      </c>
      <c r="D278" s="7">
        <f t="shared" si="53"/>
        <v>102577.72227508115</v>
      </c>
      <c r="E278" s="8">
        <f t="shared" si="54"/>
        <v>7147371.6226643287</v>
      </c>
      <c r="F278" s="7">
        <f t="shared" si="55"/>
        <v>7203765.7288384512</v>
      </c>
      <c r="G278" s="8">
        <f t="shared" si="56"/>
        <v>3024.4837784073452</v>
      </c>
      <c r="H278" s="8">
        <f t="shared" si="57"/>
        <v>45367.256676110133</v>
      </c>
      <c r="I278" s="7">
        <f t="shared" si="58"/>
        <v>54995.339339170518</v>
      </c>
      <c r="J278" s="8">
        <f t="shared" si="59"/>
        <v>56394.106174122324</v>
      </c>
      <c r="K278" s="8">
        <f t="shared" si="60"/>
        <v>111389.44551329284</v>
      </c>
      <c r="L278" s="8">
        <f t="shared" si="63"/>
        <v>156756.70218940297</v>
      </c>
      <c r="M278" s="4">
        <f t="shared" si="64"/>
        <v>1.5</v>
      </c>
      <c r="N278" s="10">
        <f t="shared" si="61"/>
        <v>0.09</v>
      </c>
      <c r="O278" s="11">
        <f t="shared" si="62"/>
        <v>7.8284203424832111E-3</v>
      </c>
    </row>
    <row r="279" spans="2:15" x14ac:dyDescent="0.25">
      <c r="B279" s="3">
        <v>262</v>
      </c>
      <c r="C279" s="3">
        <f t="shared" si="52"/>
        <v>93</v>
      </c>
      <c r="D279" s="7">
        <f t="shared" si="53"/>
        <v>101774.70074733731</v>
      </c>
      <c r="E279" s="8">
        <f t="shared" si="54"/>
        <v>7036920.4191325596</v>
      </c>
      <c r="F279" s="7">
        <f t="shared" si="55"/>
        <v>7092443.0445403429</v>
      </c>
      <c r="G279" s="8">
        <f t="shared" si="56"/>
        <v>2978.0715094434727</v>
      </c>
      <c r="H279" s="8">
        <f t="shared" si="57"/>
        <v>44671.072641652048</v>
      </c>
      <c r="I279" s="7">
        <f t="shared" si="58"/>
        <v>54928.578123985622</v>
      </c>
      <c r="J279" s="8">
        <f t="shared" si="59"/>
        <v>55522.625407783176</v>
      </c>
      <c r="K279" s="8">
        <f t="shared" si="60"/>
        <v>110451.2035317688</v>
      </c>
      <c r="L279" s="8">
        <f t="shared" si="63"/>
        <v>155122.27617342083</v>
      </c>
      <c r="M279" s="4">
        <f t="shared" si="64"/>
        <v>1.5</v>
      </c>
      <c r="N279" s="10">
        <f t="shared" si="61"/>
        <v>0.09</v>
      </c>
      <c r="O279" s="11">
        <f t="shared" si="62"/>
        <v>7.8284203424832111E-3</v>
      </c>
    </row>
    <row r="280" spans="2:15" x14ac:dyDescent="0.25">
      <c r="B280" s="3">
        <v>263</v>
      </c>
      <c r="C280" s="3">
        <f t="shared" si="52"/>
        <v>92</v>
      </c>
      <c r="D280" s="7">
        <f t="shared" si="53"/>
        <v>100977.96560965669</v>
      </c>
      <c r="E280" s="8">
        <f t="shared" si="54"/>
        <v>6927400.03221983</v>
      </c>
      <c r="F280" s="7">
        <f t="shared" si="55"/>
        <v>6982058.5211794395</v>
      </c>
      <c r="G280" s="8">
        <f t="shared" si="56"/>
        <v>2932.0501746385689</v>
      </c>
      <c r="H280" s="8">
        <f t="shared" si="57"/>
        <v>43980.752619578496</v>
      </c>
      <c r="I280" s="7">
        <f t="shared" si="58"/>
        <v>54861.897953120242</v>
      </c>
      <c r="J280" s="8">
        <f t="shared" si="59"/>
        <v>54658.488959609371</v>
      </c>
      <c r="K280" s="8">
        <f t="shared" si="60"/>
        <v>109520.38691272962</v>
      </c>
      <c r="L280" s="8">
        <f t="shared" si="63"/>
        <v>153501.13953230812</v>
      </c>
      <c r="M280" s="4">
        <f t="shared" si="64"/>
        <v>1.5</v>
      </c>
      <c r="N280" s="10">
        <f t="shared" si="61"/>
        <v>0.09</v>
      </c>
      <c r="O280" s="11">
        <f t="shared" si="62"/>
        <v>7.8284203424832111E-3</v>
      </c>
    </row>
    <row r="281" spans="2:15" x14ac:dyDescent="0.25">
      <c r="B281" s="3">
        <v>264</v>
      </c>
      <c r="C281" s="3">
        <f t="shared" si="52"/>
        <v>91</v>
      </c>
      <c r="D281" s="7">
        <f t="shared" si="53"/>
        <v>100187.46764953545</v>
      </c>
      <c r="E281" s="8">
        <f t="shared" si="54"/>
        <v>6818803.0947901262</v>
      </c>
      <c r="F281" s="7">
        <f t="shared" si="55"/>
        <v>6872604.7334916387</v>
      </c>
      <c r="G281" s="8">
        <f t="shared" si="56"/>
        <v>2886.4166800915982</v>
      </c>
      <c r="H281" s="8">
        <f t="shared" si="57"/>
        <v>43296.250201373936</v>
      </c>
      <c r="I281" s="7">
        <f t="shared" si="58"/>
        <v>54795.298728191156</v>
      </c>
      <c r="J281" s="8">
        <f t="shared" si="59"/>
        <v>53801.638701512355</v>
      </c>
      <c r="K281" s="8">
        <f t="shared" si="60"/>
        <v>108596.93742970351</v>
      </c>
      <c r="L281" s="8">
        <f t="shared" si="63"/>
        <v>151893.18763107745</v>
      </c>
      <c r="M281" s="4">
        <f t="shared" si="64"/>
        <v>1.5</v>
      </c>
      <c r="N281" s="10">
        <f t="shared" si="61"/>
        <v>0.09</v>
      </c>
      <c r="O281" s="11">
        <f t="shared" si="62"/>
        <v>7.8284203424832111E-3</v>
      </c>
    </row>
    <row r="282" spans="2:15" x14ac:dyDescent="0.25">
      <c r="B282" s="3">
        <v>265</v>
      </c>
      <c r="C282" s="3">
        <f t="shared" si="52"/>
        <v>90</v>
      </c>
      <c r="D282" s="7">
        <f t="shared" si="53"/>
        <v>99403.158039725968</v>
      </c>
      <c r="E282" s="8">
        <f t="shared" si="54"/>
        <v>6711122.297477968</v>
      </c>
      <c r="F282" s="7">
        <f t="shared" si="55"/>
        <v>6764074.3144391915</v>
      </c>
      <c r="G282" s="8">
        <f t="shared" si="56"/>
        <v>2841.1679561625551</v>
      </c>
      <c r="H282" s="8">
        <f t="shared" si="57"/>
        <v>42617.519342438289</v>
      </c>
      <c r="I282" s="7">
        <f t="shared" si="58"/>
        <v>54728.780350934605</v>
      </c>
      <c r="J282" s="8">
        <f t="shared" si="59"/>
        <v>52952.016961223948</v>
      </c>
      <c r="K282" s="8">
        <f t="shared" si="60"/>
        <v>107680.79731215855</v>
      </c>
      <c r="L282" s="8">
        <f t="shared" si="63"/>
        <v>150298.31665459683</v>
      </c>
      <c r="M282" s="4">
        <f t="shared" si="64"/>
        <v>1.5</v>
      </c>
      <c r="N282" s="10">
        <f t="shared" si="61"/>
        <v>0.09</v>
      </c>
      <c r="O282" s="11">
        <f t="shared" si="62"/>
        <v>7.8284203424832111E-3</v>
      </c>
    </row>
    <row r="283" spans="2:15" x14ac:dyDescent="0.25">
      <c r="B283" s="3">
        <v>266</v>
      </c>
      <c r="C283" s="3">
        <f t="shared" si="52"/>
        <v>89</v>
      </c>
      <c r="D283" s="7">
        <f t="shared" si="53"/>
        <v>98624.988335220682</v>
      </c>
      <c r="E283" s="8">
        <f t="shared" si="54"/>
        <v>6604350.3882360347</v>
      </c>
      <c r="F283" s="7">
        <f t="shared" si="55"/>
        <v>6656459.9547547614</v>
      </c>
      <c r="G283" s="8">
        <f t="shared" si="56"/>
        <v>2796.300957282489</v>
      </c>
      <c r="H283" s="8">
        <f t="shared" si="57"/>
        <v>41944.514359237299</v>
      </c>
      <c r="I283" s="7">
        <f t="shared" si="58"/>
        <v>54662.34272320618</v>
      </c>
      <c r="J283" s="8">
        <f t="shared" si="59"/>
        <v>52109.56651872705</v>
      </c>
      <c r="K283" s="8">
        <f t="shared" si="60"/>
        <v>106771.90924193323</v>
      </c>
      <c r="L283" s="8">
        <f t="shared" si="63"/>
        <v>148716.42360117054</v>
      </c>
      <c r="M283" s="4">
        <f t="shared" si="64"/>
        <v>1.5</v>
      </c>
      <c r="N283" s="10">
        <f t="shared" si="61"/>
        <v>0.09</v>
      </c>
      <c r="O283" s="11">
        <f t="shared" si="62"/>
        <v>7.8284203424832111E-3</v>
      </c>
    </row>
    <row r="284" spans="2:15" x14ac:dyDescent="0.25">
      <c r="B284" s="3">
        <v>267</v>
      </c>
      <c r="C284" s="3">
        <f t="shared" si="52"/>
        <v>88</v>
      </c>
      <c r="D284" s="7">
        <f t="shared" si="53"/>
        <v>97852.91047026006</v>
      </c>
      <c r="E284" s="8">
        <f t="shared" si="54"/>
        <v>6498480.1718863398</v>
      </c>
      <c r="F284" s="7">
        <f t="shared" si="55"/>
        <v>6549754.402489054</v>
      </c>
      <c r="G284" s="8">
        <f t="shared" si="56"/>
        <v>2751.8126617650169</v>
      </c>
      <c r="H284" s="8">
        <f t="shared" si="57"/>
        <v>41277.189926475214</v>
      </c>
      <c r="I284" s="7">
        <f t="shared" si="58"/>
        <v>54595.985746980448</v>
      </c>
      <c r="J284" s="8">
        <f t="shared" si="59"/>
        <v>51274.230602714277</v>
      </c>
      <c r="K284" s="8">
        <f t="shared" si="60"/>
        <v>105870.21634969473</v>
      </c>
      <c r="L284" s="8">
        <f t="shared" si="63"/>
        <v>147147.40627616993</v>
      </c>
      <c r="M284" s="4">
        <f t="shared" si="64"/>
        <v>1.5</v>
      </c>
      <c r="N284" s="10">
        <f t="shared" si="61"/>
        <v>0.09</v>
      </c>
      <c r="O284" s="11">
        <f t="shared" si="62"/>
        <v>7.8284203424832111E-3</v>
      </c>
    </row>
    <row r="285" spans="2:15" x14ac:dyDescent="0.25">
      <c r="B285" s="3">
        <v>268</v>
      </c>
      <c r="C285" s="3">
        <f t="shared" si="52"/>
        <v>87</v>
      </c>
      <c r="D285" s="7">
        <f t="shared" si="53"/>
        <v>97086.876755363453</v>
      </c>
      <c r="E285" s="8">
        <f t="shared" si="54"/>
        <v>6393504.5096749142</v>
      </c>
      <c r="F285" s="7">
        <f t="shared" si="55"/>
        <v>6443950.4625619883</v>
      </c>
      <c r="G285" s="8">
        <f t="shared" si="56"/>
        <v>2707.7000716193106</v>
      </c>
      <c r="H285" s="8">
        <f t="shared" si="57"/>
        <v>40615.501074289619</v>
      </c>
      <c r="I285" s="7">
        <f t="shared" si="58"/>
        <v>54529.709324351126</v>
      </c>
      <c r="J285" s="8">
        <f t="shared" si="59"/>
        <v>50445.952887074367</v>
      </c>
      <c r="K285" s="8">
        <f t="shared" si="60"/>
        <v>104975.66221142549</v>
      </c>
      <c r="L285" s="8">
        <f t="shared" si="63"/>
        <v>145591.1632857151</v>
      </c>
      <c r="M285" s="4">
        <f t="shared" si="64"/>
        <v>1.5</v>
      </c>
      <c r="N285" s="10">
        <f t="shared" si="61"/>
        <v>0.09</v>
      </c>
      <c r="O285" s="11">
        <f t="shared" si="62"/>
        <v>7.8284203424832111E-3</v>
      </c>
    </row>
    <row r="286" spans="2:15" x14ac:dyDescent="0.25">
      <c r="B286" s="3">
        <v>269</v>
      </c>
      <c r="C286" s="3">
        <f t="shared" si="52"/>
        <v>86</v>
      </c>
      <c r="D286" s="7">
        <f t="shared" si="53"/>
        <v>96326.83987438363</v>
      </c>
      <c r="E286" s="8">
        <f t="shared" si="54"/>
        <v>6289416.3188299779</v>
      </c>
      <c r="F286" s="7">
        <f t="shared" si="55"/>
        <v>6339040.9963173838</v>
      </c>
      <c r="G286" s="8">
        <f t="shared" si="56"/>
        <v>2663.96021236455</v>
      </c>
      <c r="H286" s="8">
        <f t="shared" si="57"/>
        <v>39959.403185468211</v>
      </c>
      <c r="I286" s="7">
        <f t="shared" si="58"/>
        <v>54463.51335753069</v>
      </c>
      <c r="J286" s="8">
        <f t="shared" si="59"/>
        <v>49624.67748740605</v>
      </c>
      <c r="K286" s="8">
        <f t="shared" si="60"/>
        <v>104088.19084493673</v>
      </c>
      <c r="L286" s="8">
        <f t="shared" si="63"/>
        <v>144047.59403040493</v>
      </c>
      <c r="M286" s="4">
        <f t="shared" si="64"/>
        <v>1.5</v>
      </c>
      <c r="N286" s="10">
        <f t="shared" si="61"/>
        <v>0.09</v>
      </c>
      <c r="O286" s="11">
        <f t="shared" si="62"/>
        <v>7.8284203424832111E-3</v>
      </c>
    </row>
    <row r="287" spans="2:15" x14ac:dyDescent="0.25">
      <c r="B287" s="3">
        <v>270</v>
      </c>
      <c r="C287" s="3">
        <f t="shared" si="52"/>
        <v>85</v>
      </c>
      <c r="D287" s="7">
        <f t="shared" si="53"/>
        <v>95572.752881583845</v>
      </c>
      <c r="E287" s="8">
        <f t="shared" si="54"/>
        <v>6186208.5721235685</v>
      </c>
      <c r="F287" s="7">
        <f t="shared" si="55"/>
        <v>6235018.9210811276</v>
      </c>
      <c r="G287" s="8">
        <f t="shared" si="56"/>
        <v>2620.5901328458262</v>
      </c>
      <c r="H287" s="8">
        <f t="shared" si="57"/>
        <v>39308.851992687356</v>
      </c>
      <c r="I287" s="7">
        <f t="shared" si="58"/>
        <v>54397.397748850439</v>
      </c>
      <c r="J287" s="8">
        <f t="shared" si="59"/>
        <v>48810.348957559225</v>
      </c>
      <c r="K287" s="8">
        <f t="shared" si="60"/>
        <v>103207.74670640967</v>
      </c>
      <c r="L287" s="8">
        <f t="shared" si="63"/>
        <v>142516.59869909703</v>
      </c>
      <c r="M287" s="4">
        <f t="shared" si="64"/>
        <v>1.5</v>
      </c>
      <c r="N287" s="10">
        <f t="shared" si="61"/>
        <v>0.09</v>
      </c>
      <c r="O287" s="11">
        <f t="shared" si="62"/>
        <v>7.8284203424832111E-3</v>
      </c>
    </row>
    <row r="288" spans="2:15" x14ac:dyDescent="0.25">
      <c r="B288" s="3">
        <v>271</v>
      </c>
      <c r="C288" s="3">
        <f t="shared" si="52"/>
        <v>84</v>
      </c>
      <c r="D288" s="7">
        <f t="shared" si="53"/>
        <v>94824.569198738522</v>
      </c>
      <c r="E288" s="8">
        <f t="shared" si="54"/>
        <v>6083874.2974366052</v>
      </c>
      <c r="F288" s="7">
        <f t="shared" si="55"/>
        <v>6131877.2097228086</v>
      </c>
      <c r="G288" s="8">
        <f t="shared" si="56"/>
        <v>2577.5869050514889</v>
      </c>
      <c r="H288" s="8">
        <f t="shared" si="57"/>
        <v>38663.803575772297</v>
      </c>
      <c r="I288" s="7">
        <f t="shared" si="58"/>
        <v>54331.362400760052</v>
      </c>
      <c r="J288" s="8">
        <f t="shared" si="59"/>
        <v>48002.912286203224</v>
      </c>
      <c r="K288" s="8">
        <f t="shared" si="60"/>
        <v>102334.27468696327</v>
      </c>
      <c r="L288" s="8">
        <f t="shared" si="63"/>
        <v>140998.07826273557</v>
      </c>
      <c r="M288" s="4">
        <f t="shared" si="64"/>
        <v>1.5</v>
      </c>
      <c r="N288" s="10">
        <f t="shared" si="61"/>
        <v>0.09</v>
      </c>
      <c r="O288" s="11">
        <f t="shared" si="62"/>
        <v>7.8284203424832111E-3</v>
      </c>
    </row>
    <row r="289" spans="2:15" x14ac:dyDescent="0.25">
      <c r="B289" s="3">
        <v>272</v>
      </c>
      <c r="C289" s="3">
        <f t="shared" si="52"/>
        <v>83</v>
      </c>
      <c r="D289" s="7">
        <f t="shared" si="53"/>
        <v>94082.242612255883</v>
      </c>
      <c r="E289" s="8">
        <f t="shared" si="54"/>
        <v>5982406.5773273557</v>
      </c>
      <c r="F289" s="7">
        <f t="shared" si="55"/>
        <v>6029608.8902207771</v>
      </c>
      <c r="G289" s="8">
        <f t="shared" si="56"/>
        <v>2534.947623931921</v>
      </c>
      <c r="H289" s="8">
        <f t="shared" si="57"/>
        <v>38024.214358978781</v>
      </c>
      <c r="I289" s="7">
        <f t="shared" si="58"/>
        <v>54265.407215827814</v>
      </c>
      <c r="J289" s="8">
        <f t="shared" si="59"/>
        <v>47202.312893421949</v>
      </c>
      <c r="K289" s="8">
        <f t="shared" si="60"/>
        <v>101467.72010924976</v>
      </c>
      <c r="L289" s="8">
        <f t="shared" si="63"/>
        <v>139491.93446822854</v>
      </c>
      <c r="M289" s="4">
        <f t="shared" si="64"/>
        <v>1.5</v>
      </c>
      <c r="N289" s="10">
        <f t="shared" si="61"/>
        <v>0.09</v>
      </c>
      <c r="O289" s="11">
        <f t="shared" si="62"/>
        <v>7.8284203424832111E-3</v>
      </c>
    </row>
    <row r="290" spans="2:15" x14ac:dyDescent="0.25">
      <c r="B290" s="3">
        <v>273</v>
      </c>
      <c r="C290" s="3">
        <f t="shared" si="52"/>
        <v>82</v>
      </c>
      <c r="D290" s="7">
        <f t="shared" si="53"/>
        <v>93345.727270323667</v>
      </c>
      <c r="E290" s="8">
        <f t="shared" si="54"/>
        <v>5881798.5486032795</v>
      </c>
      <c r="F290" s="7">
        <f t="shared" si="55"/>
        <v>5928207.0452306159</v>
      </c>
      <c r="G290" s="8">
        <f t="shared" si="56"/>
        <v>2492.6694072197338</v>
      </c>
      <c r="H290" s="8">
        <f t="shared" si="57"/>
        <v>37390.041108295969</v>
      </c>
      <c r="I290" s="7">
        <f t="shared" si="58"/>
        <v>54199.532096740179</v>
      </c>
      <c r="J290" s="8">
        <f t="shared" si="59"/>
        <v>46408.49662733564</v>
      </c>
      <c r="K290" s="8">
        <f t="shared" si="60"/>
        <v>100608.02872407582</v>
      </c>
      <c r="L290" s="8">
        <f t="shared" si="63"/>
        <v>137998.06983237178</v>
      </c>
      <c r="M290" s="4">
        <f t="shared" si="64"/>
        <v>1.5</v>
      </c>
      <c r="N290" s="10">
        <f t="shared" si="61"/>
        <v>0.09</v>
      </c>
      <c r="O290" s="11">
        <f t="shared" si="62"/>
        <v>7.8284203424832111E-3</v>
      </c>
    </row>
    <row r="291" spans="2:15" x14ac:dyDescent="0.25">
      <c r="B291" s="3">
        <v>274</v>
      </c>
      <c r="C291" s="3">
        <f t="shared" si="52"/>
        <v>81</v>
      </c>
      <c r="D291" s="7">
        <f t="shared" si="53"/>
        <v>92614.977680076758</v>
      </c>
      <c r="E291" s="8">
        <f t="shared" si="54"/>
        <v>5782043.401896229</v>
      </c>
      <c r="F291" s="7">
        <f t="shared" si="55"/>
        <v>5827664.811656978</v>
      </c>
      <c r="G291" s="8">
        <f t="shared" si="56"/>
        <v>2450.7493952513687</v>
      </c>
      <c r="H291" s="8">
        <f t="shared" si="57"/>
        <v>36761.240928770494</v>
      </c>
      <c r="I291" s="7">
        <f t="shared" si="58"/>
        <v>54133.736946301804</v>
      </c>
      <c r="J291" s="8">
        <f t="shared" si="59"/>
        <v>45621.409760749077</v>
      </c>
      <c r="K291" s="8">
        <f t="shared" si="60"/>
        <v>99755.146707050881</v>
      </c>
      <c r="L291" s="8">
        <f t="shared" si="63"/>
        <v>136516.38763582136</v>
      </c>
      <c r="M291" s="4">
        <f t="shared" si="64"/>
        <v>1.5</v>
      </c>
      <c r="N291" s="10">
        <f t="shared" si="61"/>
        <v>0.09</v>
      </c>
      <c r="O291" s="11">
        <f t="shared" si="62"/>
        <v>7.8284203424832111E-3</v>
      </c>
    </row>
    <row r="292" spans="2:15" x14ac:dyDescent="0.25">
      <c r="B292" s="3">
        <v>275</v>
      </c>
      <c r="C292" s="3">
        <f t="shared" si="52"/>
        <v>80</v>
      </c>
      <c r="D292" s="7">
        <f t="shared" si="53"/>
        <v>91889.948704787399</v>
      </c>
      <c r="E292" s="8">
        <f t="shared" si="54"/>
        <v>5683134.3812409677</v>
      </c>
      <c r="F292" s="7">
        <f t="shared" si="55"/>
        <v>5727975.3802287942</v>
      </c>
      <c r="G292" s="8">
        <f t="shared" si="56"/>
        <v>2409.1847507900975</v>
      </c>
      <c r="H292" s="8">
        <f t="shared" si="57"/>
        <v>36137.771261851427</v>
      </c>
      <c r="I292" s="7">
        <f t="shared" si="58"/>
        <v>54068.021667435227</v>
      </c>
      <c r="J292" s="8">
        <f t="shared" si="59"/>
        <v>44840.998987826097</v>
      </c>
      <c r="K292" s="8">
        <f t="shared" si="60"/>
        <v>98909.020655261324</v>
      </c>
      <c r="L292" s="8">
        <f t="shared" si="63"/>
        <v>135046.79191711274</v>
      </c>
      <c r="M292" s="4">
        <f t="shared" si="64"/>
        <v>1.5</v>
      </c>
      <c r="N292" s="10">
        <f t="shared" si="61"/>
        <v>0.09</v>
      </c>
      <c r="O292" s="11">
        <f t="shared" si="62"/>
        <v>7.8284203424832111E-3</v>
      </c>
    </row>
    <row r="293" spans="2:15" x14ac:dyDescent="0.25">
      <c r="B293" s="3">
        <v>276</v>
      </c>
      <c r="C293" s="3">
        <f t="shared" si="52"/>
        <v>79</v>
      </c>
      <c r="D293" s="7">
        <f t="shared" si="53"/>
        <v>91170.595561077105</v>
      </c>
      <c r="E293" s="8">
        <f t="shared" si="54"/>
        <v>5585064.7836569967</v>
      </c>
      <c r="F293" s="7">
        <f t="shared" si="55"/>
        <v>5629131.995077787</v>
      </c>
      <c r="G293" s="8">
        <f t="shared" si="56"/>
        <v>2367.972658850405</v>
      </c>
      <c r="H293" s="8">
        <f t="shared" si="57"/>
        <v>35519.589882756045</v>
      </c>
      <c r="I293" s="7">
        <f t="shared" si="58"/>
        <v>54002.386163180949</v>
      </c>
      <c r="J293" s="8">
        <f t="shared" si="59"/>
        <v>44067.211420790052</v>
      </c>
      <c r="K293" s="8">
        <f t="shared" si="60"/>
        <v>98069.597583971001</v>
      </c>
      <c r="L293" s="8">
        <f t="shared" si="63"/>
        <v>133589.18746672705</v>
      </c>
      <c r="M293" s="4">
        <f t="shared" si="64"/>
        <v>1.5</v>
      </c>
      <c r="N293" s="10">
        <f t="shared" si="61"/>
        <v>0.09</v>
      </c>
      <c r="O293" s="11">
        <f t="shared" si="62"/>
        <v>7.8284203424832111E-3</v>
      </c>
    </row>
    <row r="294" spans="2:15" x14ac:dyDescent="0.25">
      <c r="B294" s="3">
        <v>277</v>
      </c>
      <c r="C294" s="3">
        <f t="shared" si="52"/>
        <v>78</v>
      </c>
      <c r="D294" s="7">
        <f t="shared" si="53"/>
        <v>90456.87381615043</v>
      </c>
      <c r="E294" s="8">
        <f t="shared" si="54"/>
        <v>5487827.958733649</v>
      </c>
      <c r="F294" s="7">
        <f t="shared" si="55"/>
        <v>5531127.9533202993</v>
      </c>
      <c r="G294" s="8">
        <f t="shared" si="56"/>
        <v>2327.1103265237507</v>
      </c>
      <c r="H294" s="8">
        <f t="shared" si="57"/>
        <v>34906.654897856228</v>
      </c>
      <c r="I294" s="7">
        <f t="shared" si="58"/>
        <v>53936.830336697123</v>
      </c>
      <c r="J294" s="8">
        <f t="shared" si="59"/>
        <v>43299.994586650158</v>
      </c>
      <c r="K294" s="8">
        <f t="shared" si="60"/>
        <v>97236.824923347274</v>
      </c>
      <c r="L294" s="8">
        <f t="shared" si="63"/>
        <v>132143.47982120351</v>
      </c>
      <c r="M294" s="4">
        <f t="shared" si="64"/>
        <v>1.5</v>
      </c>
      <c r="N294" s="10">
        <f t="shared" si="61"/>
        <v>0.09</v>
      </c>
      <c r="O294" s="11">
        <f t="shared" si="62"/>
        <v>7.8284203424832111E-3</v>
      </c>
    </row>
    <row r="295" spans="2:15" x14ac:dyDescent="0.25">
      <c r="B295" s="3">
        <v>278</v>
      </c>
      <c r="C295" s="3">
        <f t="shared" si="52"/>
        <v>77</v>
      </c>
      <c r="D295" s="7">
        <f t="shared" si="53"/>
        <v>89748.739385050649</v>
      </c>
      <c r="E295" s="8">
        <f t="shared" si="54"/>
        <v>5391417.3082184363</v>
      </c>
      <c r="F295" s="7">
        <f t="shared" si="55"/>
        <v>5433956.6046423893</v>
      </c>
      <c r="G295" s="8">
        <f t="shared" si="56"/>
        <v>2286.5949828056891</v>
      </c>
      <c r="H295" s="8">
        <f t="shared" si="57"/>
        <v>34298.924742085306</v>
      </c>
      <c r="I295" s="7">
        <f t="shared" si="58"/>
        <v>53871.354091259433</v>
      </c>
      <c r="J295" s="8">
        <f t="shared" si="59"/>
        <v>42539.296423953478</v>
      </c>
      <c r="K295" s="8">
        <f t="shared" si="60"/>
        <v>96410.65051521291</v>
      </c>
      <c r="L295" s="8">
        <f t="shared" si="63"/>
        <v>130709.57525729822</v>
      </c>
      <c r="M295" s="4">
        <f t="shared" si="64"/>
        <v>1.5</v>
      </c>
      <c r="N295" s="10">
        <f t="shared" si="61"/>
        <v>0.09</v>
      </c>
      <c r="O295" s="11">
        <f t="shared" si="62"/>
        <v>7.8284203424832111E-3</v>
      </c>
    </row>
    <row r="296" spans="2:15" x14ac:dyDescent="0.25">
      <c r="B296" s="3">
        <v>279</v>
      </c>
      <c r="C296" s="3">
        <f t="shared" si="52"/>
        <v>76</v>
      </c>
      <c r="D296" s="7">
        <f t="shared" si="53"/>
        <v>89046.148527936457</v>
      </c>
      <c r="E296" s="8">
        <f t="shared" si="54"/>
        <v>5295826.2856086129</v>
      </c>
      <c r="F296" s="7">
        <f t="shared" si="55"/>
        <v>5337611.350888175</v>
      </c>
      <c r="G296" s="8">
        <f t="shared" si="56"/>
        <v>2246.4238784243503</v>
      </c>
      <c r="H296" s="8">
        <f t="shared" si="57"/>
        <v>33696.358176365226</v>
      </c>
      <c r="I296" s="7">
        <f t="shared" si="58"/>
        <v>53805.957330261073</v>
      </c>
      <c r="J296" s="8">
        <f t="shared" si="59"/>
        <v>41785.065279562281</v>
      </c>
      <c r="K296" s="8">
        <f t="shared" si="60"/>
        <v>95591.022609823354</v>
      </c>
      <c r="L296" s="8">
        <f t="shared" si="63"/>
        <v>129287.38078618859</v>
      </c>
      <c r="M296" s="4">
        <f t="shared" si="64"/>
        <v>1.5</v>
      </c>
      <c r="N296" s="10">
        <f t="shared" si="61"/>
        <v>0.09</v>
      </c>
      <c r="O296" s="11">
        <f t="shared" si="62"/>
        <v>7.8284203424832111E-3</v>
      </c>
    </row>
    <row r="297" spans="2:15" x14ac:dyDescent="0.25">
      <c r="B297" s="3">
        <v>280</v>
      </c>
      <c r="C297" s="3">
        <f t="shared" si="52"/>
        <v>75</v>
      </c>
      <c r="D297" s="7">
        <f t="shared" si="53"/>
        <v>88349.057847380565</v>
      </c>
      <c r="E297" s="8">
        <f t="shared" si="54"/>
        <v>5201048.3957459442</v>
      </c>
      <c r="F297" s="7">
        <f t="shared" si="55"/>
        <v>5242085.645651401</v>
      </c>
      <c r="G297" s="8">
        <f t="shared" si="56"/>
        <v>2206.5942856702572</v>
      </c>
      <c r="H297" s="8">
        <f t="shared" si="57"/>
        <v>33098.914285053826</v>
      </c>
      <c r="I297" s="7">
        <f t="shared" si="58"/>
        <v>53740.63995721237</v>
      </c>
      <c r="J297" s="8">
        <f t="shared" si="59"/>
        <v>41037.249905456665</v>
      </c>
      <c r="K297" s="8">
        <f t="shared" si="60"/>
        <v>94777.889862669035</v>
      </c>
      <c r="L297" s="8">
        <f t="shared" si="63"/>
        <v>127876.80414772287</v>
      </c>
      <c r="M297" s="4">
        <f t="shared" si="64"/>
        <v>1.5</v>
      </c>
      <c r="N297" s="10">
        <f t="shared" si="61"/>
        <v>0.09</v>
      </c>
      <c r="O297" s="11">
        <f t="shared" si="62"/>
        <v>7.8284203424832111E-3</v>
      </c>
    </row>
    <row r="298" spans="2:15" x14ac:dyDescent="0.25">
      <c r="B298" s="3">
        <v>281</v>
      </c>
      <c r="C298" s="3">
        <f t="shared" si="52"/>
        <v>74</v>
      </c>
      <c r="D298" s="7">
        <f t="shared" si="53"/>
        <v>87657.424285688918</v>
      </c>
      <c r="E298" s="8">
        <f t="shared" si="54"/>
        <v>5107077.1944146408</v>
      </c>
      <c r="F298" s="7">
        <f t="shared" si="55"/>
        <v>5147372.9938702034</v>
      </c>
      <c r="G298" s="8">
        <f t="shared" si="56"/>
        <v>2167.1034982274787</v>
      </c>
      <c r="H298" s="8">
        <f t="shared" si="57"/>
        <v>32506.55247341215</v>
      </c>
      <c r="I298" s="7">
        <f t="shared" si="58"/>
        <v>53675.401875740936</v>
      </c>
      <c r="J298" s="8">
        <f t="shared" si="59"/>
        <v>40295.799455562206</v>
      </c>
      <c r="K298" s="8">
        <f t="shared" si="60"/>
        <v>93971.201331303135</v>
      </c>
      <c r="L298" s="8">
        <f t="shared" si="63"/>
        <v>126477.75380471529</v>
      </c>
      <c r="M298" s="4">
        <f t="shared" si="64"/>
        <v>1.5</v>
      </c>
      <c r="N298" s="10">
        <f t="shared" si="61"/>
        <v>0.09</v>
      </c>
      <c r="O298" s="11">
        <f t="shared" si="62"/>
        <v>7.8284203424832111E-3</v>
      </c>
    </row>
    <row r="299" spans="2:15" x14ac:dyDescent="0.25">
      <c r="B299" s="3">
        <v>282</v>
      </c>
      <c r="C299" s="3">
        <f t="shared" si="52"/>
        <v>73</v>
      </c>
      <c r="D299" s="7">
        <f t="shared" si="53"/>
        <v>86971.20512224111</v>
      </c>
      <c r="E299" s="8">
        <f t="shared" si="54"/>
        <v>5013906.2879424468</v>
      </c>
      <c r="F299" s="7">
        <f t="shared" si="55"/>
        <v>5053466.9514250495</v>
      </c>
      <c r="G299" s="8">
        <f t="shared" si="56"/>
        <v>2127.948831006102</v>
      </c>
      <c r="H299" s="8">
        <f t="shared" si="57"/>
        <v>31919.232465091503</v>
      </c>
      <c r="I299" s="7">
        <f t="shared" si="58"/>
        <v>53610.242989591308</v>
      </c>
      <c r="J299" s="8">
        <f t="shared" si="59"/>
        <v>39560.663482602475</v>
      </c>
      <c r="K299" s="8">
        <f t="shared" si="60"/>
        <v>93170.906472193776</v>
      </c>
      <c r="L299" s="8">
        <f t="shared" si="63"/>
        <v>125090.13893728529</v>
      </c>
      <c r="M299" s="4">
        <f t="shared" si="64"/>
        <v>1.5</v>
      </c>
      <c r="N299" s="10">
        <f t="shared" si="61"/>
        <v>0.09</v>
      </c>
      <c r="O299" s="11">
        <f t="shared" si="62"/>
        <v>7.8284203424832111E-3</v>
      </c>
    </row>
    <row r="300" spans="2:15" x14ac:dyDescent="0.25">
      <c r="B300" s="3">
        <v>283</v>
      </c>
      <c r="C300" s="3">
        <f t="shared" si="52"/>
        <v>72</v>
      </c>
      <c r="D300" s="7">
        <f t="shared" si="53"/>
        <v>86290.357970851881</v>
      </c>
      <c r="E300" s="8">
        <f t="shared" si="54"/>
        <v>4921529.3328048456</v>
      </c>
      <c r="F300" s="7">
        <f t="shared" si="55"/>
        <v>4960361.124739822</v>
      </c>
      <c r="G300" s="8">
        <f t="shared" si="56"/>
        <v>2089.1276199760214</v>
      </c>
      <c r="H300" s="8">
        <f t="shared" si="57"/>
        <v>31336.914299640288</v>
      </c>
      <c r="I300" s="7">
        <f t="shared" si="58"/>
        <v>53545.163202624797</v>
      </c>
      <c r="J300" s="8">
        <f t="shared" si="59"/>
        <v>38831.791934976121</v>
      </c>
      <c r="K300" s="8">
        <f t="shared" si="60"/>
        <v>92376.955137600919</v>
      </c>
      <c r="L300" s="8">
        <f t="shared" si="63"/>
        <v>123713.8694372412</v>
      </c>
      <c r="M300" s="4">
        <f t="shared" si="64"/>
        <v>1.5</v>
      </c>
      <c r="N300" s="10">
        <f t="shared" si="61"/>
        <v>0.09</v>
      </c>
      <c r="O300" s="11">
        <f t="shared" si="62"/>
        <v>7.8284203424832111E-3</v>
      </c>
    </row>
    <row r="301" spans="2:15" x14ac:dyDescent="0.25">
      <c r="B301" s="3">
        <v>284</v>
      </c>
      <c r="C301" s="3">
        <f t="shared" si="52"/>
        <v>71</v>
      </c>
      <c r="D301" s="7">
        <f t="shared" si="53"/>
        <v>85614.840777152669</v>
      </c>
      <c r="E301" s="8">
        <f t="shared" si="54"/>
        <v>4829940.0352323679</v>
      </c>
      <c r="F301" s="7">
        <f t="shared" si="55"/>
        <v>4868049.1703860257</v>
      </c>
      <c r="G301" s="8">
        <f t="shared" si="56"/>
        <v>2050.6372220020207</v>
      </c>
      <c r="H301" s="8">
        <f t="shared" si="57"/>
        <v>30759.558330030282</v>
      </c>
      <c r="I301" s="7">
        <f t="shared" si="58"/>
        <v>53480.162418819571</v>
      </c>
      <c r="J301" s="8">
        <f t="shared" si="59"/>
        <v>38109.135153658484</v>
      </c>
      <c r="K301" s="8">
        <f t="shared" si="60"/>
        <v>91589.297572478055</v>
      </c>
      <c r="L301" s="8">
        <f t="shared" si="63"/>
        <v>122348.85590250834</v>
      </c>
      <c r="M301" s="4">
        <f t="shared" si="64"/>
        <v>1.5</v>
      </c>
      <c r="N301" s="10">
        <f t="shared" si="61"/>
        <v>0.09</v>
      </c>
      <c r="O301" s="11">
        <f t="shared" si="62"/>
        <v>7.8284203424832111E-3</v>
      </c>
    </row>
    <row r="302" spans="2:15" x14ac:dyDescent="0.25">
      <c r="B302" s="3">
        <v>285</v>
      </c>
      <c r="C302" s="3">
        <f t="shared" si="52"/>
        <v>70</v>
      </c>
      <c r="D302" s="7">
        <f t="shared" si="53"/>
        <v>84944.611815994343</v>
      </c>
      <c r="E302" s="8">
        <f t="shared" si="54"/>
        <v>4739132.1508209705</v>
      </c>
      <c r="F302" s="7">
        <f t="shared" si="55"/>
        <v>4776524.7946900977</v>
      </c>
      <c r="G302" s="8">
        <f t="shared" si="56"/>
        <v>2012.475014680155</v>
      </c>
      <c r="H302" s="8">
        <f t="shared" si="57"/>
        <v>30187.125220202299</v>
      </c>
      <c r="I302" s="7">
        <f t="shared" si="58"/>
        <v>53415.240542270214</v>
      </c>
      <c r="J302" s="8">
        <f t="shared" si="59"/>
        <v>37392.643869127402</v>
      </c>
      <c r="K302" s="8">
        <f t="shared" si="60"/>
        <v>90807.884411397623</v>
      </c>
      <c r="L302" s="8">
        <f t="shared" si="63"/>
        <v>120995.00963159993</v>
      </c>
      <c r="M302" s="4">
        <f t="shared" si="64"/>
        <v>1.5</v>
      </c>
      <c r="N302" s="10">
        <f t="shared" si="61"/>
        <v>0.09</v>
      </c>
      <c r="O302" s="11">
        <f t="shared" si="62"/>
        <v>7.8284203424832111E-3</v>
      </c>
    </row>
    <row r="303" spans="2:15" x14ac:dyDescent="0.25">
      <c r="B303" s="3">
        <v>286</v>
      </c>
      <c r="C303" s="3">
        <f t="shared" si="52"/>
        <v>69</v>
      </c>
      <c r="D303" s="7">
        <f t="shared" si="53"/>
        <v>84279.629688869667</v>
      </c>
      <c r="E303" s="8">
        <f t="shared" si="54"/>
        <v>4649099.48414547</v>
      </c>
      <c r="F303" s="7">
        <f t="shared" si="55"/>
        <v>4685781.7533437824</v>
      </c>
      <c r="G303" s="8">
        <f t="shared" si="56"/>
        <v>1974.6383961754061</v>
      </c>
      <c r="H303" s="8">
        <f t="shared" si="57"/>
        <v>29619.575942631065</v>
      </c>
      <c r="I303" s="7">
        <f t="shared" si="58"/>
        <v>53350.397477187871</v>
      </c>
      <c r="J303" s="8">
        <f t="shared" si="59"/>
        <v>36682.269198313115</v>
      </c>
      <c r="K303" s="8">
        <f t="shared" si="60"/>
        <v>90032.666675500979</v>
      </c>
      <c r="L303" s="8">
        <f t="shared" si="63"/>
        <v>119652.24261813205</v>
      </c>
      <c r="M303" s="4">
        <f t="shared" si="64"/>
        <v>1.5</v>
      </c>
      <c r="N303" s="10">
        <f t="shared" si="61"/>
        <v>0.09</v>
      </c>
      <c r="O303" s="11">
        <f t="shared" si="62"/>
        <v>7.8284203424832111E-3</v>
      </c>
    </row>
    <row r="304" spans="2:15" x14ac:dyDescent="0.25">
      <c r="B304" s="3">
        <v>287</v>
      </c>
      <c r="C304" s="3">
        <f t="shared" si="52"/>
        <v>68</v>
      </c>
      <c r="D304" s="7">
        <f t="shared" si="53"/>
        <v>83619.85332135635</v>
      </c>
      <c r="E304" s="8">
        <f t="shared" si="54"/>
        <v>4559835.8883759985</v>
      </c>
      <c r="F304" s="7">
        <f t="shared" si="55"/>
        <v>4595813.8510175701</v>
      </c>
      <c r="G304" s="8">
        <f t="shared" si="56"/>
        <v>1937.1247850606142</v>
      </c>
      <c r="H304" s="8">
        <f t="shared" si="57"/>
        <v>29056.871775909185</v>
      </c>
      <c r="I304" s="7">
        <f t="shared" si="58"/>
        <v>53285.63312789987</v>
      </c>
      <c r="J304" s="8">
        <f t="shared" si="59"/>
        <v>35977.962641572049</v>
      </c>
      <c r="K304" s="8">
        <f t="shared" si="60"/>
        <v>89263.595769471925</v>
      </c>
      <c r="L304" s="8">
        <f t="shared" si="63"/>
        <v>118320.46754538111</v>
      </c>
      <c r="M304" s="4">
        <f t="shared" si="64"/>
        <v>1.5</v>
      </c>
      <c r="N304" s="10">
        <f t="shared" si="61"/>
        <v>0.09</v>
      </c>
      <c r="O304" s="11">
        <f t="shared" si="62"/>
        <v>7.8284203424832111E-3</v>
      </c>
    </row>
    <row r="305" spans="2:15" x14ac:dyDescent="0.25">
      <c r="B305" s="3">
        <v>288</v>
      </c>
      <c r="C305" s="3">
        <f t="shared" ref="C305:C356" si="65">$E$9-B305</f>
        <v>67</v>
      </c>
      <c r="D305" s="7">
        <f t="shared" ref="D305:D356" si="66">($E$5*E305)/(1-$E$7^C305)</f>
        <v>82965.241960579981</v>
      </c>
      <c r="E305" s="8">
        <f t="shared" ref="E305:E356" si="67">E304-K305</f>
        <v>4471335.2648974648</v>
      </c>
      <c r="F305" s="7">
        <f t="shared" ref="F305:F356" si="68">E304-I305</f>
        <v>4506614.9409771487</v>
      </c>
      <c r="G305" s="8">
        <f t="shared" ref="G305:G356" si="69">$E$4/12*E304</f>
        <v>1899.9316201566676</v>
      </c>
      <c r="H305" s="8">
        <f t="shared" ref="H305:H356" si="70">$E$6*E304</f>
        <v>28498.974302349987</v>
      </c>
      <c r="I305" s="7">
        <f t="shared" ref="I305:I356" si="71">D304*($E$7^(C304-1+1))</f>
        <v>53220.94739884969</v>
      </c>
      <c r="J305" s="8">
        <f t="shared" ref="J305:J356" si="72">O305*F305</f>
        <v>35279.676079684286</v>
      </c>
      <c r="K305" s="8">
        <f t="shared" ref="K305:K356" si="73">I305+J305</f>
        <v>88500.623478533977</v>
      </c>
      <c r="L305" s="8">
        <f t="shared" si="63"/>
        <v>116999.59778088397</v>
      </c>
      <c r="M305" s="4">
        <f t="shared" si="64"/>
        <v>1.5</v>
      </c>
      <c r="N305" s="10">
        <f t="shared" ref="N305:N356" si="74">MIN((B305+$E$10)/30*6%*$E$11,6%*$E$11)</f>
        <v>0.09</v>
      </c>
      <c r="O305" s="11">
        <f t="shared" ref="O305:O356" si="75">1 - (1 - N305)^(1/12)</f>
        <v>7.8284203424832111E-3</v>
      </c>
    </row>
    <row r="306" spans="2:15" x14ac:dyDescent="0.25">
      <c r="B306" s="3">
        <v>289</v>
      </c>
      <c r="C306" s="3">
        <f t="shared" si="65"/>
        <v>66</v>
      </c>
      <c r="D306" s="7">
        <f t="shared" si="66"/>
        <v>82315.755172696721</v>
      </c>
      <c r="E306" s="8">
        <f t="shared" si="67"/>
        <v>4383591.562931993</v>
      </c>
      <c r="F306" s="7">
        <f t="shared" si="68"/>
        <v>4418178.9247028679</v>
      </c>
      <c r="G306" s="8">
        <f t="shared" si="69"/>
        <v>1863.0563603739452</v>
      </c>
      <c r="H306" s="8">
        <f t="shared" si="70"/>
        <v>27945.845405609154</v>
      </c>
      <c r="I306" s="7">
        <f t="shared" si="71"/>
        <v>53156.34019459688</v>
      </c>
      <c r="J306" s="8">
        <f t="shared" si="72"/>
        <v>34587.36177087453</v>
      </c>
      <c r="K306" s="8">
        <f t="shared" si="73"/>
        <v>87743.701965471409</v>
      </c>
      <c r="L306" s="8">
        <f t="shared" si="63"/>
        <v>115689.54737108057</v>
      </c>
      <c r="M306" s="4">
        <f t="shared" si="64"/>
        <v>1.5</v>
      </c>
      <c r="N306" s="10">
        <f t="shared" si="74"/>
        <v>0.09</v>
      </c>
      <c r="O306" s="11">
        <f t="shared" si="75"/>
        <v>7.8284203424832111E-3</v>
      </c>
    </row>
    <row r="307" spans="2:15" x14ac:dyDescent="0.25">
      <c r="B307" s="3">
        <v>290</v>
      </c>
      <c r="C307" s="3">
        <f t="shared" si="65"/>
        <v>65</v>
      </c>
      <c r="D307" s="7">
        <f t="shared" si="66"/>
        <v>81671.352840395906</v>
      </c>
      <c r="E307" s="8">
        <f t="shared" si="67"/>
        <v>4296598.7791643199</v>
      </c>
      <c r="F307" s="7">
        <f t="shared" si="68"/>
        <v>4330499.7515121764</v>
      </c>
      <c r="G307" s="8">
        <f t="shared" si="69"/>
        <v>1826.4964845549987</v>
      </c>
      <c r="H307" s="8">
        <f t="shared" si="70"/>
        <v>27397.447268324955</v>
      </c>
      <c r="I307" s="7">
        <f t="shared" si="71"/>
        <v>53091.811419816768</v>
      </c>
      <c r="J307" s="8">
        <f t="shared" si="72"/>
        <v>33900.972347856412</v>
      </c>
      <c r="K307" s="8">
        <f t="shared" si="73"/>
        <v>86992.783767673187</v>
      </c>
      <c r="L307" s="8">
        <f t="shared" si="63"/>
        <v>114390.23103599815</v>
      </c>
      <c r="M307" s="4">
        <f t="shared" si="64"/>
        <v>1.5</v>
      </c>
      <c r="N307" s="10">
        <f t="shared" si="74"/>
        <v>0.09</v>
      </c>
      <c r="O307" s="11">
        <f t="shared" si="75"/>
        <v>7.8284203424832111E-3</v>
      </c>
    </row>
    <row r="308" spans="2:15" x14ac:dyDescent="0.25">
      <c r="B308" s="3">
        <v>291</v>
      </c>
      <c r="C308" s="3">
        <f t="shared" si="65"/>
        <v>64</v>
      </c>
      <c r="D308" s="7">
        <f t="shared" si="66"/>
        <v>81031.995160421997</v>
      </c>
      <c r="E308" s="8">
        <f t="shared" si="67"/>
        <v>4210350.9573701192</v>
      </c>
      <c r="F308" s="7">
        <f t="shared" si="68"/>
        <v>4243571.4181850199</v>
      </c>
      <c r="G308" s="8">
        <f t="shared" si="69"/>
        <v>1790.249491318468</v>
      </c>
      <c r="H308" s="8">
        <f t="shared" si="70"/>
        <v>26853.742369776995</v>
      </c>
      <c r="I308" s="7">
        <f t="shared" si="71"/>
        <v>53027.360979300436</v>
      </c>
      <c r="J308" s="8">
        <f t="shared" si="72"/>
        <v>33220.46081489994</v>
      </c>
      <c r="K308" s="8">
        <f t="shared" si="73"/>
        <v>86247.821794200368</v>
      </c>
      <c r="L308" s="8">
        <f t="shared" si="63"/>
        <v>113101.56416397737</v>
      </c>
      <c r="M308" s="4">
        <f t="shared" si="64"/>
        <v>1.5</v>
      </c>
      <c r="N308" s="10">
        <f t="shared" si="74"/>
        <v>0.09</v>
      </c>
      <c r="O308" s="11">
        <f t="shared" si="75"/>
        <v>7.8284203424832111E-3</v>
      </c>
    </row>
    <row r="309" spans="2:15" x14ac:dyDescent="0.25">
      <c r="B309" s="3">
        <v>292</v>
      </c>
      <c r="C309" s="3">
        <f t="shared" si="65"/>
        <v>63</v>
      </c>
      <c r="D309" s="7">
        <f t="shared" si="66"/>
        <v>80397.642641116137</v>
      </c>
      <c r="E309" s="8">
        <f t="shared" si="67"/>
        <v>4124842.1880472428</v>
      </c>
      <c r="F309" s="7">
        <f t="shared" si="68"/>
        <v>4157387.9685921646</v>
      </c>
      <c r="G309" s="8">
        <f t="shared" si="69"/>
        <v>1754.3128989042177</v>
      </c>
      <c r="H309" s="8">
        <f t="shared" si="70"/>
        <v>26314.693483563242</v>
      </c>
      <c r="I309" s="7">
        <f t="shared" si="71"/>
        <v>52962.988777954532</v>
      </c>
      <c r="J309" s="8">
        <f t="shared" si="72"/>
        <v>32545.780544921854</v>
      </c>
      <c r="K309" s="8">
        <f t="shared" si="73"/>
        <v>85508.769322876382</v>
      </c>
      <c r="L309" s="8">
        <f t="shared" si="63"/>
        <v>111823.46280643962</v>
      </c>
      <c r="M309" s="4">
        <f t="shared" si="64"/>
        <v>1.5</v>
      </c>
      <c r="N309" s="10">
        <f t="shared" si="74"/>
        <v>0.09</v>
      </c>
      <c r="O309" s="11">
        <f t="shared" si="75"/>
        <v>7.8284203424832111E-3</v>
      </c>
    </row>
    <row r="310" spans="2:15" x14ac:dyDescent="0.25">
      <c r="B310" s="3">
        <v>293</v>
      </c>
      <c r="C310" s="3">
        <f t="shared" si="65"/>
        <v>62</v>
      </c>
      <c r="D310" s="7">
        <f t="shared" si="66"/>
        <v>79768.256099976701</v>
      </c>
      <c r="E310" s="8">
        <f t="shared" si="67"/>
        <v>4040066.6080498425</v>
      </c>
      <c r="F310" s="7">
        <f t="shared" si="68"/>
        <v>4071943.4933264419</v>
      </c>
      <c r="G310" s="8">
        <f t="shared" si="69"/>
        <v>1718.6842450196859</v>
      </c>
      <c r="H310" s="8">
        <f t="shared" si="70"/>
        <v>25780.263675295264</v>
      </c>
      <c r="I310" s="7">
        <f t="shared" si="71"/>
        <v>52898.694720801184</v>
      </c>
      <c r="J310" s="8">
        <f t="shared" si="72"/>
        <v>31876.885276598867</v>
      </c>
      <c r="K310" s="8">
        <f t="shared" si="73"/>
        <v>84775.579997400055</v>
      </c>
      <c r="L310" s="8">
        <f t="shared" si="63"/>
        <v>110555.84367269532</v>
      </c>
      <c r="M310" s="4">
        <f t="shared" si="64"/>
        <v>1.5</v>
      </c>
      <c r="N310" s="10">
        <f t="shared" si="74"/>
        <v>0.09</v>
      </c>
      <c r="O310" s="11">
        <f t="shared" si="75"/>
        <v>7.8284203424832111E-3</v>
      </c>
    </row>
    <row r="311" spans="2:15" x14ac:dyDescent="0.25">
      <c r="B311" s="3">
        <v>294</v>
      </c>
      <c r="C311" s="3">
        <f t="shared" si="65"/>
        <v>61</v>
      </c>
      <c r="D311" s="7">
        <f t="shared" si="66"/>
        <v>79143.796661239248</v>
      </c>
      <c r="E311" s="8">
        <f t="shared" si="67"/>
        <v>3956018.4002253613</v>
      </c>
      <c r="F311" s="7">
        <f t="shared" si="68"/>
        <v>3987232.1293368647</v>
      </c>
      <c r="G311" s="8">
        <f t="shared" si="69"/>
        <v>1683.3610866874358</v>
      </c>
      <c r="H311" s="8">
        <f t="shared" si="70"/>
        <v>25250.416300311514</v>
      </c>
      <c r="I311" s="7">
        <f t="shared" si="71"/>
        <v>52834.478712977754</v>
      </c>
      <c r="J311" s="8">
        <f t="shared" si="72"/>
        <v>31213.729111503362</v>
      </c>
      <c r="K311" s="8">
        <f t="shared" si="73"/>
        <v>84048.207824481113</v>
      </c>
      <c r="L311" s="8">
        <f t="shared" si="63"/>
        <v>109298.62412479262</v>
      </c>
      <c r="M311" s="4">
        <f t="shared" si="64"/>
        <v>1.5</v>
      </c>
      <c r="N311" s="10">
        <f t="shared" si="74"/>
        <v>0.09</v>
      </c>
      <c r="O311" s="11">
        <f t="shared" si="75"/>
        <v>7.8284203424832111E-3</v>
      </c>
    </row>
    <row r="312" spans="2:15" x14ac:dyDescent="0.25">
      <c r="B312" s="3">
        <v>295</v>
      </c>
      <c r="C312" s="3">
        <f t="shared" si="65"/>
        <v>60</v>
      </c>
      <c r="D312" s="7">
        <f t="shared" si="66"/>
        <v>78524.22575347501</v>
      </c>
      <c r="E312" s="8">
        <f t="shared" si="67"/>
        <v>3872691.7930543628</v>
      </c>
      <c r="F312" s="7">
        <f t="shared" si="68"/>
        <v>3903248.0595656247</v>
      </c>
      <c r="G312" s="8">
        <f t="shared" si="69"/>
        <v>1648.341000093902</v>
      </c>
      <c r="H312" s="8">
        <f t="shared" si="70"/>
        <v>24725.115001408507</v>
      </c>
      <c r="I312" s="7">
        <f t="shared" si="71"/>
        <v>52770.340659736838</v>
      </c>
      <c r="J312" s="8">
        <f t="shared" si="72"/>
        <v>30556.266511261656</v>
      </c>
      <c r="K312" s="8">
        <f t="shared" si="73"/>
        <v>83326.607170998497</v>
      </c>
      <c r="L312" s="8">
        <f t="shared" si="63"/>
        <v>108051.722172407</v>
      </c>
      <c r="M312" s="4">
        <f t="shared" si="64"/>
        <v>1.5</v>
      </c>
      <c r="N312" s="10">
        <f t="shared" si="74"/>
        <v>0.09</v>
      </c>
      <c r="O312" s="11">
        <f t="shared" si="75"/>
        <v>7.8284203424832111E-3</v>
      </c>
    </row>
    <row r="313" spans="2:15" x14ac:dyDescent="0.25">
      <c r="B313" s="3">
        <v>296</v>
      </c>
      <c r="C313" s="3">
        <f t="shared" si="65"/>
        <v>59</v>
      </c>
      <c r="D313" s="7">
        <f t="shared" si="66"/>
        <v>77909.505107208708</v>
      </c>
      <c r="E313" s="8">
        <f t="shared" si="67"/>
        <v>3790081.0602931823</v>
      </c>
      <c r="F313" s="7">
        <f t="shared" si="68"/>
        <v>3819985.512587917</v>
      </c>
      <c r="G313" s="8">
        <f t="shared" si="69"/>
        <v>1613.6215804393191</v>
      </c>
      <c r="H313" s="8">
        <f t="shared" si="70"/>
        <v>24204.323706589767</v>
      </c>
      <c r="I313" s="7">
        <f t="shared" si="71"/>
        <v>52706.280466445925</v>
      </c>
      <c r="J313" s="8">
        <f t="shared" si="72"/>
        <v>29904.452294734405</v>
      </c>
      <c r="K313" s="8">
        <f t="shared" si="73"/>
        <v>82610.732761180334</v>
      </c>
      <c r="L313" s="8">
        <f t="shared" si="63"/>
        <v>106815.0564677701</v>
      </c>
      <c r="M313" s="4">
        <f t="shared" si="64"/>
        <v>1.5</v>
      </c>
      <c r="N313" s="10">
        <f t="shared" si="74"/>
        <v>0.09</v>
      </c>
      <c r="O313" s="11">
        <f t="shared" si="75"/>
        <v>7.8284203424832111E-3</v>
      </c>
    </row>
    <row r="314" spans="2:15" x14ac:dyDescent="0.25">
      <c r="B314" s="3">
        <v>297</v>
      </c>
      <c r="C314" s="3">
        <f t="shared" si="65"/>
        <v>58</v>
      </c>
      <c r="D314" s="7">
        <f t="shared" si="66"/>
        <v>77299.596752554644</v>
      </c>
      <c r="E314" s="8">
        <f t="shared" si="67"/>
        <v>3708180.5206193756</v>
      </c>
      <c r="F314" s="7">
        <f t="shared" si="68"/>
        <v>3737438.7622545948</v>
      </c>
      <c r="G314" s="8">
        <f t="shared" si="69"/>
        <v>1579.2004417888272</v>
      </c>
      <c r="H314" s="8">
        <f t="shared" si="70"/>
        <v>23688.006626832386</v>
      </c>
      <c r="I314" s="7">
        <f t="shared" si="71"/>
        <v>52642.298038587491</v>
      </c>
      <c r="J314" s="8">
        <f t="shared" si="72"/>
        <v>29258.241635219143</v>
      </c>
      <c r="K314" s="8">
        <f t="shared" si="73"/>
        <v>81900.539673806634</v>
      </c>
      <c r="L314" s="8">
        <f t="shared" si="63"/>
        <v>105588.54630063902</v>
      </c>
      <c r="M314" s="4">
        <f t="shared" si="64"/>
        <v>1.5</v>
      </c>
      <c r="N314" s="10">
        <f t="shared" si="74"/>
        <v>0.09</v>
      </c>
      <c r="O314" s="11">
        <f t="shared" si="75"/>
        <v>7.8284203424832111E-3</v>
      </c>
    </row>
    <row r="315" spans="2:15" x14ac:dyDescent="0.25">
      <c r="B315" s="3">
        <v>298</v>
      </c>
      <c r="C315" s="3">
        <f t="shared" si="65"/>
        <v>57</v>
      </c>
      <c r="D315" s="7">
        <f t="shared" si="66"/>
        <v>76694.463016871174</v>
      </c>
      <c r="E315" s="8">
        <f t="shared" si="67"/>
        <v>3626984.5372799421</v>
      </c>
      <c r="F315" s="7">
        <f t="shared" si="68"/>
        <v>3655602.1273376169</v>
      </c>
      <c r="G315" s="8">
        <f t="shared" si="69"/>
        <v>1545.0752169247412</v>
      </c>
      <c r="H315" s="8">
        <f t="shared" si="70"/>
        <v>23176.128253871095</v>
      </c>
      <c r="I315" s="7">
        <f t="shared" si="71"/>
        <v>52578.393281758807</v>
      </c>
      <c r="J315" s="8">
        <f t="shared" si="72"/>
        <v>28617.590057674701</v>
      </c>
      <c r="K315" s="8">
        <f t="shared" si="73"/>
        <v>81195.9833394335</v>
      </c>
      <c r="L315" s="8">
        <f t="shared" si="63"/>
        <v>104372.11159330459</v>
      </c>
      <c r="M315" s="4">
        <f t="shared" si="64"/>
        <v>1.5</v>
      </c>
      <c r="N315" s="10">
        <f t="shared" si="74"/>
        <v>0.09</v>
      </c>
      <c r="O315" s="11">
        <f t="shared" si="75"/>
        <v>7.8284203424832111E-3</v>
      </c>
    </row>
    <row r="316" spans="2:15" x14ac:dyDescent="0.25">
      <c r="B316" s="3">
        <v>299</v>
      </c>
      <c r="C316" s="3">
        <f t="shared" si="65"/>
        <v>56</v>
      </c>
      <c r="D316" s="7">
        <f t="shared" si="66"/>
        <v>76094.066522434063</v>
      </c>
      <c r="E316" s="8">
        <f t="shared" si="67"/>
        <v>3546487.5177423032</v>
      </c>
      <c r="F316" s="7">
        <f t="shared" si="68"/>
        <v>3574469.9711782704</v>
      </c>
      <c r="G316" s="8">
        <f t="shared" si="69"/>
        <v>1511.2435571999772</v>
      </c>
      <c r="H316" s="8">
        <f t="shared" si="70"/>
        <v>22668.653357999636</v>
      </c>
      <c r="I316" s="7">
        <f t="shared" si="71"/>
        <v>52514.56610167156</v>
      </c>
      <c r="J316" s="8">
        <f t="shared" si="72"/>
        <v>27982.453435967349</v>
      </c>
      <c r="K316" s="8">
        <f t="shared" si="73"/>
        <v>80497.019537638902</v>
      </c>
      <c r="L316" s="8">
        <f t="shared" si="63"/>
        <v>103165.67289563853</v>
      </c>
      <c r="M316" s="4">
        <f t="shared" si="64"/>
        <v>1.5</v>
      </c>
      <c r="N316" s="10">
        <f t="shared" si="74"/>
        <v>0.09</v>
      </c>
      <c r="O316" s="11">
        <f t="shared" si="75"/>
        <v>7.8284203424832111E-3</v>
      </c>
    </row>
    <row r="317" spans="2:15" x14ac:dyDescent="0.25">
      <c r="B317" s="3">
        <v>300</v>
      </c>
      <c r="C317" s="3">
        <f t="shared" si="65"/>
        <v>55</v>
      </c>
      <c r="D317" s="7">
        <f t="shared" si="66"/>
        <v>75498.370184127562</v>
      </c>
      <c r="E317" s="8">
        <f t="shared" si="67"/>
        <v>3466683.9133480126</v>
      </c>
      <c r="F317" s="7">
        <f t="shared" si="68"/>
        <v>3494036.701338151</v>
      </c>
      <c r="G317" s="8">
        <f t="shared" si="69"/>
        <v>1477.7031323926276</v>
      </c>
      <c r="H317" s="8">
        <f t="shared" si="70"/>
        <v>22165.546985889392</v>
      </c>
      <c r="I317" s="7">
        <f t="shared" si="71"/>
        <v>52450.816404152036</v>
      </c>
      <c r="J317" s="8">
        <f t="shared" si="72"/>
        <v>27352.787990138517</v>
      </c>
      <c r="K317" s="8">
        <f t="shared" si="73"/>
        <v>79803.604394290553</v>
      </c>
      <c r="L317" s="8">
        <f t="shared" si="63"/>
        <v>101969.15138017994</v>
      </c>
      <c r="M317" s="4">
        <f t="shared" si="64"/>
        <v>1.5</v>
      </c>
      <c r="N317" s="10">
        <f t="shared" si="74"/>
        <v>0.09</v>
      </c>
      <c r="O317" s="11">
        <f t="shared" si="75"/>
        <v>7.8284203424832111E-3</v>
      </c>
    </row>
    <row r="318" spans="2:15" x14ac:dyDescent="0.25">
      <c r="B318" s="3">
        <v>301</v>
      </c>
      <c r="C318" s="3">
        <f t="shared" si="65"/>
        <v>54</v>
      </c>
      <c r="D318" s="7">
        <f t="shared" si="66"/>
        <v>74907.337207153789</v>
      </c>
      <c r="E318" s="8">
        <f t="shared" si="67"/>
        <v>3387568.2189691779</v>
      </c>
      <c r="F318" s="7">
        <f t="shared" si="68"/>
        <v>3414296.7692528716</v>
      </c>
      <c r="G318" s="8">
        <f t="shared" si="69"/>
        <v>1444.451630561673</v>
      </c>
      <c r="H318" s="8">
        <f t="shared" si="70"/>
        <v>21666.774458425076</v>
      </c>
      <c r="I318" s="7">
        <f t="shared" si="71"/>
        <v>52387.144095140808</v>
      </c>
      <c r="J318" s="8">
        <f t="shared" si="72"/>
        <v>26728.550283693887</v>
      </c>
      <c r="K318" s="8">
        <f t="shared" si="73"/>
        <v>79115.694378834698</v>
      </c>
      <c r="L318" s="8">
        <f t="shared" si="63"/>
        <v>100782.46883725977</v>
      </c>
      <c r="M318" s="4">
        <f t="shared" si="64"/>
        <v>1.5</v>
      </c>
      <c r="N318" s="10">
        <f t="shared" si="74"/>
        <v>0.09</v>
      </c>
      <c r="O318" s="11">
        <f t="shared" si="75"/>
        <v>7.8284203424832111E-3</v>
      </c>
    </row>
    <row r="319" spans="2:15" x14ac:dyDescent="0.25">
      <c r="B319" s="3">
        <v>302</v>
      </c>
      <c r="C319" s="3">
        <f t="shared" si="65"/>
        <v>53</v>
      </c>
      <c r="D319" s="7">
        <f t="shared" si="66"/>
        <v>74320.931084760028</v>
      </c>
      <c r="E319" s="8">
        <f t="shared" si="67"/>
        <v>3309134.9726675716</v>
      </c>
      <c r="F319" s="7">
        <f t="shared" si="68"/>
        <v>3335244.6698884852</v>
      </c>
      <c r="G319" s="8">
        <f t="shared" si="69"/>
        <v>1411.4867579038253</v>
      </c>
      <c r="H319" s="8">
        <f t="shared" si="70"/>
        <v>21172.301368557361</v>
      </c>
      <c r="I319" s="7">
        <f t="shared" si="71"/>
        <v>52323.549080692603</v>
      </c>
      <c r="J319" s="8">
        <f t="shared" si="72"/>
        <v>26109.69722091372</v>
      </c>
      <c r="K319" s="8">
        <f t="shared" si="73"/>
        <v>78433.246301606327</v>
      </c>
      <c r="L319" s="8">
        <f t="shared" si="63"/>
        <v>99605.54767016368</v>
      </c>
      <c r="M319" s="4">
        <f t="shared" si="64"/>
        <v>1.5</v>
      </c>
      <c r="N319" s="10">
        <f t="shared" si="74"/>
        <v>0.09</v>
      </c>
      <c r="O319" s="11">
        <f t="shared" si="75"/>
        <v>7.8284203424832111E-3</v>
      </c>
    </row>
    <row r="320" spans="2:15" x14ac:dyDescent="0.25">
      <c r="B320" s="3">
        <v>303</v>
      </c>
      <c r="C320" s="3">
        <f t="shared" si="65"/>
        <v>52</v>
      </c>
      <c r="D320" s="7">
        <f t="shared" si="66"/>
        <v>73739.115595983778</v>
      </c>
      <c r="E320" s="8">
        <f t="shared" si="67"/>
        <v>3231378.755356411</v>
      </c>
      <c r="F320" s="7">
        <f t="shared" si="68"/>
        <v>3256874.9414005955</v>
      </c>
      <c r="G320" s="8">
        <f t="shared" si="69"/>
        <v>1378.8062386114893</v>
      </c>
      <c r="H320" s="8">
        <f t="shared" si="70"/>
        <v>20682.09357917232</v>
      </c>
      <c r="I320" s="7">
        <f t="shared" si="71"/>
        <v>52260.031266976213</v>
      </c>
      <c r="J320" s="8">
        <f t="shared" si="72"/>
        <v>25496.186044184236</v>
      </c>
      <c r="K320" s="8">
        <f t="shared" si="73"/>
        <v>77756.21731116045</v>
      </c>
      <c r="L320" s="8">
        <f t="shared" si="63"/>
        <v>98438.310890332767</v>
      </c>
      <c r="M320" s="4">
        <f t="shared" si="64"/>
        <v>1.5</v>
      </c>
      <c r="N320" s="10">
        <f t="shared" si="74"/>
        <v>0.09</v>
      </c>
      <c r="O320" s="11">
        <f t="shared" si="75"/>
        <v>7.8284203424832111E-3</v>
      </c>
    </row>
    <row r="321" spans="2:15" x14ac:dyDescent="0.25">
      <c r="B321" s="3">
        <v>304</v>
      </c>
      <c r="C321" s="3">
        <f t="shared" si="65"/>
        <v>51</v>
      </c>
      <c r="D321" s="7">
        <f t="shared" si="66"/>
        <v>73161.854803415437</v>
      </c>
      <c r="E321" s="8">
        <f t="shared" si="67"/>
        <v>3154294.1904647867</v>
      </c>
      <c r="F321" s="7">
        <f t="shared" si="68"/>
        <v>3179182.1647961368</v>
      </c>
      <c r="G321" s="8">
        <f t="shared" si="69"/>
        <v>1346.4078147318392</v>
      </c>
      <c r="H321" s="8">
        <f t="shared" si="70"/>
        <v>20196.117220977569</v>
      </c>
      <c r="I321" s="7">
        <f t="shared" si="71"/>
        <v>52196.590560274373</v>
      </c>
      <c r="J321" s="8">
        <f t="shared" si="72"/>
        <v>24887.974331349891</v>
      </c>
      <c r="K321" s="8">
        <f t="shared" si="73"/>
        <v>77084.564891624264</v>
      </c>
      <c r="L321" s="8">
        <f t="shared" si="63"/>
        <v>97280.682112601833</v>
      </c>
      <c r="M321" s="4">
        <f t="shared" si="64"/>
        <v>1.5</v>
      </c>
      <c r="N321" s="10">
        <f t="shared" si="74"/>
        <v>0.09</v>
      </c>
      <c r="O321" s="11">
        <f t="shared" si="75"/>
        <v>7.8284203424832111E-3</v>
      </c>
    </row>
    <row r="322" spans="2:15" x14ac:dyDescent="0.25">
      <c r="B322" s="3">
        <v>305</v>
      </c>
      <c r="C322" s="3">
        <f t="shared" si="65"/>
        <v>50</v>
      </c>
      <c r="D322" s="7">
        <f t="shared" si="66"/>
        <v>72589.113050978558</v>
      </c>
      <c r="E322" s="8">
        <f t="shared" si="67"/>
        <v>3077875.943604717</v>
      </c>
      <c r="F322" s="7">
        <f t="shared" si="68"/>
        <v>3102160.9635978034</v>
      </c>
      <c r="G322" s="8">
        <f t="shared" si="69"/>
        <v>1314.2892460269957</v>
      </c>
      <c r="H322" s="8">
        <f t="shared" si="70"/>
        <v>19714.338690404915</v>
      </c>
      <c r="I322" s="7">
        <f t="shared" si="71"/>
        <v>52133.226866983525</v>
      </c>
      <c r="J322" s="8">
        <f t="shared" si="72"/>
        <v>24285.019993086364</v>
      </c>
      <c r="K322" s="8">
        <f t="shared" si="73"/>
        <v>76418.246860069892</v>
      </c>
      <c r="L322" s="8">
        <f t="shared" si="63"/>
        <v>96132.585550474803</v>
      </c>
      <c r="M322" s="4">
        <f t="shared" si="64"/>
        <v>1.5</v>
      </c>
      <c r="N322" s="10">
        <f t="shared" si="74"/>
        <v>0.09</v>
      </c>
      <c r="O322" s="11">
        <f t="shared" si="75"/>
        <v>7.8284203424832111E-3</v>
      </c>
    </row>
    <row r="323" spans="2:15" x14ac:dyDescent="0.25">
      <c r="B323" s="3">
        <v>306</v>
      </c>
      <c r="C323" s="3">
        <f t="shared" si="65"/>
        <v>49</v>
      </c>
      <c r="D323" s="7">
        <f t="shared" si="66"/>
        <v>72020.85496172744</v>
      </c>
      <c r="E323" s="8">
        <f t="shared" si="67"/>
        <v>3002118.7222408089</v>
      </c>
      <c r="F323" s="7">
        <f t="shared" si="68"/>
        <v>3025806.0035111033</v>
      </c>
      <c r="G323" s="8">
        <f t="shared" si="69"/>
        <v>1282.4483098352998</v>
      </c>
      <c r="H323" s="8">
        <f t="shared" si="70"/>
        <v>19236.724647529481</v>
      </c>
      <c r="I323" s="7">
        <f t="shared" si="71"/>
        <v>52069.940093613775</v>
      </c>
      <c r="J323" s="8">
        <f t="shared" si="72"/>
        <v>23687.281270294148</v>
      </c>
      <c r="K323" s="8">
        <f t="shared" si="73"/>
        <v>75757.221363907927</v>
      </c>
      <c r="L323" s="8">
        <f t="shared" si="63"/>
        <v>94993.946011437409</v>
      </c>
      <c r="M323" s="4">
        <f t="shared" si="64"/>
        <v>1.5</v>
      </c>
      <c r="N323" s="10">
        <f t="shared" si="74"/>
        <v>0.09</v>
      </c>
      <c r="O323" s="11">
        <f t="shared" si="75"/>
        <v>7.8284203424832111E-3</v>
      </c>
    </row>
    <row r="324" spans="2:15" x14ac:dyDescent="0.25">
      <c r="B324" s="3">
        <v>307</v>
      </c>
      <c r="C324" s="3">
        <f t="shared" si="65"/>
        <v>48</v>
      </c>
      <c r="D324" s="7">
        <f t="shared" si="66"/>
        <v>71457.045435662003</v>
      </c>
      <c r="E324" s="8">
        <f t="shared" si="67"/>
        <v>2927017.2753625074</v>
      </c>
      <c r="F324" s="7">
        <f t="shared" si="68"/>
        <v>2950111.9920940204</v>
      </c>
      <c r="G324" s="8">
        <f t="shared" si="69"/>
        <v>1250.8828009336714</v>
      </c>
      <c r="H324" s="8">
        <f t="shared" si="70"/>
        <v>18763.242014005053</v>
      </c>
      <c r="I324" s="7">
        <f t="shared" si="71"/>
        <v>52006.730146788708</v>
      </c>
      <c r="J324" s="8">
        <f t="shared" si="72"/>
        <v>23094.716731512501</v>
      </c>
      <c r="K324" s="8">
        <f t="shared" si="73"/>
        <v>75101.446878301213</v>
      </c>
      <c r="L324" s="8">
        <f t="shared" si="63"/>
        <v>93864.688892306265</v>
      </c>
      <c r="M324" s="4">
        <f t="shared" si="64"/>
        <v>1.5</v>
      </c>
      <c r="N324" s="10">
        <f t="shared" si="74"/>
        <v>0.09</v>
      </c>
      <c r="O324" s="11">
        <f t="shared" si="75"/>
        <v>7.8284203424832111E-3</v>
      </c>
    </row>
    <row r="325" spans="2:15" x14ac:dyDescent="0.25">
      <c r="B325" s="3">
        <v>308</v>
      </c>
      <c r="C325" s="3">
        <f t="shared" si="65"/>
        <v>47</v>
      </c>
      <c r="D325" s="7">
        <f t="shared" si="66"/>
        <v>70897.64964755968</v>
      </c>
      <c r="E325" s="8">
        <f t="shared" si="67"/>
        <v>2852566.3931589085</v>
      </c>
      <c r="F325" s="7">
        <f t="shared" si="68"/>
        <v>2875073.6784292622</v>
      </c>
      <c r="G325" s="8">
        <f t="shared" si="69"/>
        <v>1219.5905314010458</v>
      </c>
      <c r="H325" s="8">
        <f t="shared" si="70"/>
        <v>18293.85797101567</v>
      </c>
      <c r="I325" s="7">
        <f t="shared" si="71"/>
        <v>51943.596933245288</v>
      </c>
      <c r="J325" s="8">
        <f t="shared" si="72"/>
        <v>22507.28527035367</v>
      </c>
      <c r="K325" s="8">
        <f t="shared" si="73"/>
        <v>74450.882203598958</v>
      </c>
      <c r="L325" s="8">
        <f t="shared" si="63"/>
        <v>92744.740174614621</v>
      </c>
      <c r="M325" s="4">
        <f t="shared" si="64"/>
        <v>1.5</v>
      </c>
      <c r="N325" s="10">
        <f t="shared" si="74"/>
        <v>0.09</v>
      </c>
      <c r="O325" s="11">
        <f t="shared" si="75"/>
        <v>7.8284203424832111E-3</v>
      </c>
    </row>
    <row r="326" spans="2:15" x14ac:dyDescent="0.25">
      <c r="B326" s="3">
        <v>309</v>
      </c>
      <c r="C326" s="3">
        <f t="shared" si="65"/>
        <v>46</v>
      </c>
      <c r="D326" s="7">
        <f t="shared" si="66"/>
        <v>70342.633044824455</v>
      </c>
      <c r="E326" s="8">
        <f t="shared" si="67"/>
        <v>2778760.9066961175</v>
      </c>
      <c r="F326" s="7">
        <f t="shared" si="68"/>
        <v>2800685.8527990747</v>
      </c>
      <c r="G326" s="8">
        <f t="shared" si="69"/>
        <v>1188.5693304828794</v>
      </c>
      <c r="H326" s="8">
        <f t="shared" si="70"/>
        <v>17828.539957243178</v>
      </c>
      <c r="I326" s="7">
        <f t="shared" si="71"/>
        <v>51880.54035983362</v>
      </c>
      <c r="J326" s="8">
        <f t="shared" si="72"/>
        <v>21924.946102957216</v>
      </c>
      <c r="K326" s="8">
        <f t="shared" si="73"/>
        <v>73805.486462790839</v>
      </c>
      <c r="L326" s="8">
        <f t="shared" si="63"/>
        <v>91634.026420034017</v>
      </c>
      <c r="M326" s="4">
        <f t="shared" si="64"/>
        <v>1.5</v>
      </c>
      <c r="N326" s="10">
        <f t="shared" si="74"/>
        <v>0.09</v>
      </c>
      <c r="O326" s="11">
        <f t="shared" si="75"/>
        <v>7.8284203424832111E-3</v>
      </c>
    </row>
    <row r="327" spans="2:15" x14ac:dyDescent="0.25">
      <c r="B327" s="3">
        <v>310</v>
      </c>
      <c r="C327" s="3">
        <f t="shared" si="65"/>
        <v>45</v>
      </c>
      <c r="D327" s="7">
        <f t="shared" si="66"/>
        <v>69791.961345352523</v>
      </c>
      <c r="E327" s="8">
        <f t="shared" si="67"/>
        <v>2705595.687597136</v>
      </c>
      <c r="F327" s="7">
        <f t="shared" si="68"/>
        <v>2726943.3463626006</v>
      </c>
      <c r="G327" s="8">
        <f t="shared" si="69"/>
        <v>1157.8170444567165</v>
      </c>
      <c r="H327" s="8">
        <f t="shared" si="70"/>
        <v>17367.255666850731</v>
      </c>
      <c r="I327" s="7">
        <f t="shared" si="71"/>
        <v>51817.560333517009</v>
      </c>
      <c r="J327" s="8">
        <f t="shared" si="72"/>
        <v>21347.658765464224</v>
      </c>
      <c r="K327" s="8">
        <f t="shared" si="73"/>
        <v>73165.219098981237</v>
      </c>
      <c r="L327" s="8">
        <f t="shared" si="63"/>
        <v>90532.474765831968</v>
      </c>
      <c r="M327" s="4">
        <f t="shared" si="64"/>
        <v>1.5</v>
      </c>
      <c r="N327" s="10">
        <f t="shared" si="74"/>
        <v>0.09</v>
      </c>
      <c r="O327" s="11">
        <f t="shared" si="75"/>
        <v>7.8284203424832111E-3</v>
      </c>
    </row>
    <row r="328" spans="2:15" x14ac:dyDescent="0.25">
      <c r="B328" s="3">
        <v>311</v>
      </c>
      <c r="C328" s="3">
        <f t="shared" si="65"/>
        <v>44</v>
      </c>
      <c r="D328" s="7">
        <f t="shared" si="66"/>
        <v>69245.600535414735</v>
      </c>
      <c r="E328" s="8">
        <f t="shared" si="67"/>
        <v>2633065.6477242531</v>
      </c>
      <c r="F328" s="7">
        <f t="shared" si="68"/>
        <v>2653841.0308357645</v>
      </c>
      <c r="G328" s="8">
        <f t="shared" si="69"/>
        <v>1127.3315364988077</v>
      </c>
      <c r="H328" s="8">
        <f t="shared" si="70"/>
        <v>16909.973047482097</v>
      </c>
      <c r="I328" s="7">
        <f t="shared" si="71"/>
        <v>51754.656761371611</v>
      </c>
      <c r="J328" s="8">
        <f t="shared" si="72"/>
        <v>20775.383111511313</v>
      </c>
      <c r="K328" s="8">
        <f t="shared" si="73"/>
        <v>72530.039872882917</v>
      </c>
      <c r="L328" s="8">
        <f t="shared" si="63"/>
        <v>89440.012920365014</v>
      </c>
      <c r="M328" s="4">
        <f t="shared" si="64"/>
        <v>1.5</v>
      </c>
      <c r="N328" s="10">
        <f t="shared" si="74"/>
        <v>0.09</v>
      </c>
      <c r="O328" s="11">
        <f t="shared" si="75"/>
        <v>7.8284203424832111E-3</v>
      </c>
    </row>
    <row r="329" spans="2:15" x14ac:dyDescent="0.25">
      <c r="B329" s="3">
        <v>312</v>
      </c>
      <c r="C329" s="3">
        <f t="shared" si="65"/>
        <v>43</v>
      </c>
      <c r="D329" s="7">
        <f t="shared" si="66"/>
        <v>68703.516867555794</v>
      </c>
      <c r="E329" s="8">
        <f t="shared" si="67"/>
        <v>2561165.7388639227</v>
      </c>
      <c r="F329" s="7">
        <f t="shared" si="68"/>
        <v>2581373.818173667</v>
      </c>
      <c r="G329" s="8">
        <f t="shared" si="69"/>
        <v>1097.1106865517731</v>
      </c>
      <c r="H329" s="8">
        <f t="shared" si="70"/>
        <v>16456.66029827658</v>
      </c>
      <c r="I329" s="7">
        <f t="shared" si="71"/>
        <v>51691.829550586379</v>
      </c>
      <c r="J329" s="8">
        <f t="shared" si="72"/>
        <v>20208.079309744291</v>
      </c>
      <c r="K329" s="8">
        <f t="shared" si="73"/>
        <v>71899.908860330674</v>
      </c>
      <c r="L329" s="8">
        <f t="shared" si="63"/>
        <v>88356.56915860725</v>
      </c>
      <c r="M329" s="4">
        <f t="shared" si="64"/>
        <v>1.5</v>
      </c>
      <c r="N329" s="10">
        <f t="shared" si="74"/>
        <v>0.09</v>
      </c>
      <c r="O329" s="11">
        <f t="shared" si="75"/>
        <v>7.8284203424832111E-3</v>
      </c>
    </row>
    <row r="330" spans="2:15" x14ac:dyDescent="0.25">
      <c r="B330" s="3">
        <v>313</v>
      </c>
      <c r="C330" s="3">
        <f t="shared" si="65"/>
        <v>42</v>
      </c>
      <c r="D330" s="7">
        <f t="shared" si="66"/>
        <v>68165.676858509687</v>
      </c>
      <c r="E330" s="8">
        <f t="shared" si="67"/>
        <v>2489890.9524141084</v>
      </c>
      <c r="F330" s="7">
        <f t="shared" si="68"/>
        <v>2509536.6602554596</v>
      </c>
      <c r="G330" s="8">
        <f t="shared" si="69"/>
        <v>1067.152391193302</v>
      </c>
      <c r="H330" s="8">
        <f t="shared" si="70"/>
        <v>16007.285867899514</v>
      </c>
      <c r="I330" s="7">
        <f t="shared" si="71"/>
        <v>51629.078608462973</v>
      </c>
      <c r="J330" s="8">
        <f t="shared" si="72"/>
        <v>19645.707841351217</v>
      </c>
      <c r="K330" s="8">
        <f t="shared" si="73"/>
        <v>71274.786449814186</v>
      </c>
      <c r="L330" s="8">
        <f t="shared" si="63"/>
        <v>87282.072317713697</v>
      </c>
      <c r="M330" s="4">
        <f t="shared" si="64"/>
        <v>1.5</v>
      </c>
      <c r="N330" s="10">
        <f t="shared" si="74"/>
        <v>0.09</v>
      </c>
      <c r="O330" s="11">
        <f t="shared" si="75"/>
        <v>7.8284203424832111E-3</v>
      </c>
    </row>
    <row r="331" spans="2:15" x14ac:dyDescent="0.25">
      <c r="B331" s="3">
        <v>314</v>
      </c>
      <c r="C331" s="3">
        <f t="shared" si="65"/>
        <v>41</v>
      </c>
      <c r="D331" s="7">
        <f t="shared" si="66"/>
        <v>67632.047287131369</v>
      </c>
      <c r="E331" s="8">
        <f t="shared" si="67"/>
        <v>2419236.319074078</v>
      </c>
      <c r="F331" s="7">
        <f t="shared" si="68"/>
        <v>2438324.5485716928</v>
      </c>
      <c r="G331" s="8">
        <f t="shared" si="69"/>
        <v>1037.4545635058794</v>
      </c>
      <c r="H331" s="8">
        <f t="shared" si="70"/>
        <v>15561.818452588177</v>
      </c>
      <c r="I331" s="7">
        <f t="shared" si="71"/>
        <v>51566.403842415632</v>
      </c>
      <c r="J331" s="8">
        <f t="shared" si="72"/>
        <v>19088.229497614833</v>
      </c>
      <c r="K331" s="8">
        <f t="shared" si="73"/>
        <v>70654.633340030472</v>
      </c>
      <c r="L331" s="8">
        <f t="shared" si="63"/>
        <v>86216.451792618653</v>
      </c>
      <c r="M331" s="4">
        <f t="shared" si="64"/>
        <v>1.5</v>
      </c>
      <c r="N331" s="10">
        <f t="shared" si="74"/>
        <v>0.09</v>
      </c>
      <c r="O331" s="11">
        <f t="shared" si="75"/>
        <v>7.8284203424832111E-3</v>
      </c>
    </row>
    <row r="332" spans="2:15" x14ac:dyDescent="0.25">
      <c r="B332" s="3">
        <v>315</v>
      </c>
      <c r="C332" s="3">
        <f t="shared" si="65"/>
        <v>40</v>
      </c>
      <c r="D332" s="7">
        <f t="shared" si="66"/>
        <v>67102.595192344976</v>
      </c>
      <c r="E332" s="8">
        <f t="shared" si="67"/>
        <v>2349196.9085366232</v>
      </c>
      <c r="F332" s="7">
        <f t="shared" si="68"/>
        <v>2367732.5139141073</v>
      </c>
      <c r="G332" s="8">
        <f t="shared" si="69"/>
        <v>1008.0151329475334</v>
      </c>
      <c r="H332" s="8">
        <f t="shared" si="70"/>
        <v>15120.226994212986</v>
      </c>
      <c r="I332" s="7">
        <f t="shared" si="71"/>
        <v>51503.805159970849</v>
      </c>
      <c r="J332" s="8">
        <f t="shared" si="72"/>
        <v>18535.605377484109</v>
      </c>
      <c r="K332" s="8">
        <f t="shared" si="73"/>
        <v>70039.410537454954</v>
      </c>
      <c r="L332" s="8">
        <f t="shared" si="63"/>
        <v>85159.637531667948</v>
      </c>
      <c r="M332" s="4">
        <f t="shared" si="64"/>
        <v>1.5</v>
      </c>
      <c r="N332" s="10">
        <f t="shared" si="74"/>
        <v>0.09</v>
      </c>
      <c r="O332" s="11">
        <f t="shared" si="75"/>
        <v>7.8284203424832111E-3</v>
      </c>
    </row>
    <row r="333" spans="2:15" x14ac:dyDescent="0.25">
      <c r="B333" s="3">
        <v>316</v>
      </c>
      <c r="C333" s="3">
        <f t="shared" si="65"/>
        <v>39</v>
      </c>
      <c r="D333" s="7">
        <f t="shared" si="66"/>
        <v>66577.287871107779</v>
      </c>
      <c r="E333" s="8">
        <f t="shared" si="67"/>
        <v>2279767.8291826909</v>
      </c>
      <c r="F333" s="7">
        <f t="shared" si="68"/>
        <v>2297755.6260678559</v>
      </c>
      <c r="G333" s="8">
        <f t="shared" si="69"/>
        <v>978.83204522359381</v>
      </c>
      <c r="H333" s="8">
        <f t="shared" si="70"/>
        <v>14682.480678353893</v>
      </c>
      <c r="I333" s="7">
        <f t="shared" si="71"/>
        <v>51441.282468767487</v>
      </c>
      <c r="J333" s="8">
        <f t="shared" si="72"/>
        <v>17987.796885164847</v>
      </c>
      <c r="K333" s="8">
        <f t="shared" si="73"/>
        <v>69429.079353932335</v>
      </c>
      <c r="L333" s="8">
        <f t="shared" si="63"/>
        <v>84111.56003228623</v>
      </c>
      <c r="M333" s="4">
        <f t="shared" si="64"/>
        <v>1.5</v>
      </c>
      <c r="N333" s="10">
        <f t="shared" si="74"/>
        <v>0.09</v>
      </c>
      <c r="O333" s="11">
        <f t="shared" si="75"/>
        <v>7.8284203424832111E-3</v>
      </c>
    </row>
    <row r="334" spans="2:15" x14ac:dyDescent="0.25">
      <c r="B334" s="3">
        <v>317</v>
      </c>
      <c r="C334" s="3">
        <f t="shared" si="65"/>
        <v>38</v>
      </c>
      <c r="D334" s="7">
        <f t="shared" si="66"/>
        <v>66056.092876390234</v>
      </c>
      <c r="E334" s="8">
        <f t="shared" si="67"/>
        <v>2210944.2277784054</v>
      </c>
      <c r="F334" s="7">
        <f t="shared" si="68"/>
        <v>2228388.9935061345</v>
      </c>
      <c r="G334" s="8">
        <f t="shared" si="69"/>
        <v>949.90326215945538</v>
      </c>
      <c r="H334" s="8">
        <f t="shared" si="70"/>
        <v>14248.548932391817</v>
      </c>
      <c r="I334" s="7">
        <f t="shared" si="71"/>
        <v>51378.835676556504</v>
      </c>
      <c r="J334" s="8">
        <f t="shared" si="72"/>
        <v>17444.765727729111</v>
      </c>
      <c r="K334" s="8">
        <f t="shared" si="73"/>
        <v>68823.601404285611</v>
      </c>
      <c r="L334" s="8">
        <f t="shared" si="63"/>
        <v>83072.150336677427</v>
      </c>
      <c r="M334" s="4">
        <f t="shared" si="64"/>
        <v>1.5</v>
      </c>
      <c r="N334" s="10">
        <f t="shared" si="74"/>
        <v>0.09</v>
      </c>
      <c r="O334" s="11">
        <f t="shared" si="75"/>
        <v>7.8284203424832111E-3</v>
      </c>
    </row>
    <row r="335" spans="2:15" x14ac:dyDescent="0.25">
      <c r="B335" s="3">
        <v>318</v>
      </c>
      <c r="C335" s="3">
        <f t="shared" si="65"/>
        <v>37</v>
      </c>
      <c r="D335" s="7">
        <f t="shared" si="66"/>
        <v>65538.978015171713</v>
      </c>
      <c r="E335" s="8">
        <f t="shared" si="67"/>
        <v>2142721.2891744613</v>
      </c>
      <c r="F335" s="7">
        <f t="shared" si="68"/>
        <v>2159627.7630872047</v>
      </c>
      <c r="G335" s="8">
        <f t="shared" si="69"/>
        <v>921.22676157433636</v>
      </c>
      <c r="H335" s="8">
        <f t="shared" si="70"/>
        <v>13818.401423615032</v>
      </c>
      <c r="I335" s="7">
        <f t="shared" si="71"/>
        <v>51316.464691200861</v>
      </c>
      <c r="J335" s="8">
        <f t="shared" si="72"/>
        <v>16906.473912743386</v>
      </c>
      <c r="K335" s="8">
        <f t="shared" si="73"/>
        <v>68222.938603944247</v>
      </c>
      <c r="L335" s="8">
        <f t="shared" si="63"/>
        <v>82041.340027559287</v>
      </c>
      <c r="M335" s="4">
        <f t="shared" si="64"/>
        <v>1.5</v>
      </c>
      <c r="N335" s="10">
        <f t="shared" si="74"/>
        <v>0.09</v>
      </c>
      <c r="O335" s="11">
        <f t="shared" si="75"/>
        <v>7.8284203424832111E-3</v>
      </c>
    </row>
    <row r="336" spans="2:15" x14ac:dyDescent="0.25">
      <c r="B336" s="3">
        <v>319</v>
      </c>
      <c r="C336" s="3">
        <f t="shared" si="65"/>
        <v>36</v>
      </c>
      <c r="D336" s="7">
        <f t="shared" si="66"/>
        <v>65025.911346452165</v>
      </c>
      <c r="E336" s="8">
        <f t="shared" si="67"/>
        <v>2075094.2360078706</v>
      </c>
      <c r="F336" s="7">
        <f t="shared" si="68"/>
        <v>2091467.1197537859</v>
      </c>
      <c r="G336" s="8">
        <f t="shared" si="69"/>
        <v>892.80053715602628</v>
      </c>
      <c r="H336" s="8">
        <f t="shared" si="70"/>
        <v>13392.008057340381</v>
      </c>
      <c r="I336" s="7">
        <f t="shared" si="71"/>
        <v>51254.169420675302</v>
      </c>
      <c r="J336" s="8">
        <f t="shared" si="72"/>
        <v>16372.883745915307</v>
      </c>
      <c r="K336" s="8">
        <f t="shared" si="73"/>
        <v>67627.053166590602</v>
      </c>
      <c r="L336" s="8">
        <f t="shared" si="63"/>
        <v>81019.061223930985</v>
      </c>
      <c r="M336" s="4">
        <f t="shared" si="64"/>
        <v>1.5</v>
      </c>
      <c r="N336" s="10">
        <f t="shared" si="74"/>
        <v>0.09</v>
      </c>
      <c r="O336" s="11">
        <f t="shared" si="75"/>
        <v>7.8284203424832111E-3</v>
      </c>
    </row>
    <row r="337" spans="2:15" x14ac:dyDescent="0.25">
      <c r="B337" s="3">
        <v>320</v>
      </c>
      <c r="C337" s="3">
        <f t="shared" si="65"/>
        <v>35</v>
      </c>
      <c r="D337" s="7">
        <f t="shared" si="66"/>
        <v>64516.861179279047</v>
      </c>
      <c r="E337" s="8">
        <f t="shared" si="67"/>
        <v>2008058.3284060454</v>
      </c>
      <c r="F337" s="7">
        <f t="shared" si="68"/>
        <v>2023902.2862348042</v>
      </c>
      <c r="G337" s="8">
        <f t="shared" si="69"/>
        <v>864.62259833661346</v>
      </c>
      <c r="H337" s="8">
        <f t="shared" si="70"/>
        <v>12969.33897504919</v>
      </c>
      <c r="I337" s="7">
        <f t="shared" si="71"/>
        <v>51191.949773066357</v>
      </c>
      <c r="J337" s="8">
        <f t="shared" si="72"/>
        <v>15843.957828758819</v>
      </c>
      <c r="K337" s="8">
        <f t="shared" si="73"/>
        <v>67035.90760182518</v>
      </c>
      <c r="L337" s="8">
        <f t="shared" si="63"/>
        <v>80005.246576874371</v>
      </c>
      <c r="M337" s="4">
        <f t="shared" si="64"/>
        <v>1.5</v>
      </c>
      <c r="N337" s="10">
        <f t="shared" si="74"/>
        <v>0.09</v>
      </c>
      <c r="O337" s="11">
        <f t="shared" si="75"/>
        <v>7.8284203424832111E-3</v>
      </c>
    </row>
    <row r="338" spans="2:15" x14ac:dyDescent="0.25">
      <c r="B338" s="3">
        <v>321</v>
      </c>
      <c r="C338" s="3">
        <f t="shared" si="65"/>
        <v>34</v>
      </c>
      <c r="D338" s="7">
        <f t="shared" si="66"/>
        <v>64011.796070790013</v>
      </c>
      <c r="E338" s="8">
        <f t="shared" si="67"/>
        <v>1941608.8636931959</v>
      </c>
      <c r="F338" s="7">
        <f t="shared" si="68"/>
        <v>1956928.5227494733</v>
      </c>
      <c r="G338" s="8">
        <f t="shared" si="69"/>
        <v>836.69097016918636</v>
      </c>
      <c r="H338" s="8">
        <f t="shared" si="70"/>
        <v>12550.364552537783</v>
      </c>
      <c r="I338" s="7">
        <f t="shared" si="71"/>
        <v>51129.805656572076</v>
      </c>
      <c r="J338" s="8">
        <f t="shared" si="72"/>
        <v>15319.659056277596</v>
      </c>
      <c r="K338" s="8">
        <f t="shared" si="73"/>
        <v>66449.464712849673</v>
      </c>
      <c r="L338" s="8">
        <f t="shared" si="63"/>
        <v>78999.829265387452</v>
      </c>
      <c r="M338" s="4">
        <f t="shared" si="64"/>
        <v>1.5</v>
      </c>
      <c r="N338" s="10">
        <f t="shared" si="74"/>
        <v>0.09</v>
      </c>
      <c r="O338" s="11">
        <f t="shared" si="75"/>
        <v>7.8284203424832111E-3</v>
      </c>
    </row>
    <row r="339" spans="2:15" x14ac:dyDescent="0.25">
      <c r="B339" s="3">
        <v>322</v>
      </c>
      <c r="C339" s="3">
        <f t="shared" si="65"/>
        <v>33</v>
      </c>
      <c r="D339" s="7">
        <f t="shared" si="66"/>
        <v>63510.684824270524</v>
      </c>
      <c r="E339" s="8">
        <f t="shared" si="67"/>
        <v>1875741.1760990273</v>
      </c>
      <c r="F339" s="7">
        <f t="shared" si="68"/>
        <v>1890541.1267136938</v>
      </c>
      <c r="G339" s="8">
        <f t="shared" si="69"/>
        <v>809.00369320549896</v>
      </c>
      <c r="H339" s="8">
        <f t="shared" si="70"/>
        <v>12135.055398082473</v>
      </c>
      <c r="I339" s="7">
        <f t="shared" si="71"/>
        <v>51067.736979502042</v>
      </c>
      <c r="J339" s="8">
        <f t="shared" si="72"/>
        <v>14799.950614666612</v>
      </c>
      <c r="K339" s="8">
        <f t="shared" si="73"/>
        <v>65867.687594168659</v>
      </c>
      <c r="L339" s="8">
        <f t="shared" ref="L339:L372" si="76">H339+K339</f>
        <v>78002.742992251136</v>
      </c>
      <c r="M339" s="4">
        <f t="shared" ref="M339:M372" si="77">$E$11</f>
        <v>1.5</v>
      </c>
      <c r="N339" s="10">
        <f t="shared" si="74"/>
        <v>0.09</v>
      </c>
      <c r="O339" s="11">
        <f t="shared" si="75"/>
        <v>7.8284203424832111E-3</v>
      </c>
    </row>
    <row r="340" spans="2:15" x14ac:dyDescent="0.25">
      <c r="B340" s="3">
        <v>323</v>
      </c>
      <c r="C340" s="3">
        <f t="shared" si="65"/>
        <v>32</v>
      </c>
      <c r="D340" s="7">
        <f t="shared" si="66"/>
        <v>63013.49648722713</v>
      </c>
      <c r="E340" s="8">
        <f t="shared" si="67"/>
        <v>1810450.6364697185</v>
      </c>
      <c r="F340" s="7">
        <f t="shared" si="68"/>
        <v>1824735.4324487504</v>
      </c>
      <c r="G340" s="8">
        <f t="shared" si="69"/>
        <v>781.55882337459536</v>
      </c>
      <c r="H340" s="8">
        <f t="shared" si="70"/>
        <v>11723.38235061892</v>
      </c>
      <c r="I340" s="7">
        <f t="shared" si="71"/>
        <v>51005.743650277007</v>
      </c>
      <c r="J340" s="8">
        <f t="shared" si="72"/>
        <v>14284.795979031696</v>
      </c>
      <c r="K340" s="8">
        <f t="shared" si="73"/>
        <v>65290.539629308703</v>
      </c>
      <c r="L340" s="8">
        <f t="shared" si="76"/>
        <v>77013.921979927618</v>
      </c>
      <c r="M340" s="4">
        <f t="shared" si="77"/>
        <v>1.5</v>
      </c>
      <c r="N340" s="10">
        <f t="shared" si="74"/>
        <v>0.09</v>
      </c>
      <c r="O340" s="11">
        <f t="shared" si="75"/>
        <v>7.8284203424832111E-3</v>
      </c>
    </row>
    <row r="341" spans="2:15" x14ac:dyDescent="0.25">
      <c r="B341" s="3">
        <v>324</v>
      </c>
      <c r="C341" s="3">
        <f t="shared" si="65"/>
        <v>31</v>
      </c>
      <c r="D341" s="7">
        <f t="shared" si="66"/>
        <v>62520.200349475475</v>
      </c>
      <c r="E341" s="8">
        <f t="shared" si="67"/>
        <v>1745732.6519811626</v>
      </c>
      <c r="F341" s="7">
        <f t="shared" si="68"/>
        <v>1759506.8108922895</v>
      </c>
      <c r="G341" s="8">
        <f t="shared" si="69"/>
        <v>754.35443186238331</v>
      </c>
      <c r="H341" s="8">
        <f t="shared" si="70"/>
        <v>11315.316477935739</v>
      </c>
      <c r="I341" s="7">
        <f t="shared" si="71"/>
        <v>50943.825577429008</v>
      </c>
      <c r="J341" s="8">
        <f t="shared" si="72"/>
        <v>13774.158911126959</v>
      </c>
      <c r="K341" s="8">
        <f t="shared" si="73"/>
        <v>64717.984488555965</v>
      </c>
      <c r="L341" s="8">
        <f t="shared" si="76"/>
        <v>76033.300966491704</v>
      </c>
      <c r="M341" s="4">
        <f t="shared" si="77"/>
        <v>1.5</v>
      </c>
      <c r="N341" s="10">
        <f t="shared" si="74"/>
        <v>0.09</v>
      </c>
      <c r="O341" s="11">
        <f t="shared" si="75"/>
        <v>7.8284203424832111E-3</v>
      </c>
    </row>
    <row r="342" spans="2:15" x14ac:dyDescent="0.25">
      <c r="B342" s="3">
        <v>325</v>
      </c>
      <c r="C342" s="3">
        <f t="shared" si="65"/>
        <v>30</v>
      </c>
      <c r="D342" s="7">
        <f t="shared" si="66"/>
        <v>62030.765941243495</v>
      </c>
      <c r="E342" s="8">
        <f t="shared" si="67"/>
        <v>1681582.6658544517</v>
      </c>
      <c r="F342" s="7">
        <f t="shared" si="68"/>
        <v>1694850.6693115616</v>
      </c>
      <c r="G342" s="8">
        <f t="shared" si="69"/>
        <v>727.38860499215173</v>
      </c>
      <c r="H342" s="8">
        <f t="shared" si="70"/>
        <v>10910.829074882266</v>
      </c>
      <c r="I342" s="7">
        <f t="shared" si="71"/>
        <v>50881.982669601057</v>
      </c>
      <c r="J342" s="8">
        <f t="shared" si="72"/>
        <v>13268.003457109915</v>
      </c>
      <c r="K342" s="8">
        <f t="shared" si="73"/>
        <v>64149.986126710974</v>
      </c>
      <c r="L342" s="8">
        <f t="shared" si="76"/>
        <v>75060.815201593243</v>
      </c>
      <c r="M342" s="4">
        <f t="shared" si="77"/>
        <v>1.5</v>
      </c>
      <c r="N342" s="10">
        <f t="shared" si="74"/>
        <v>0.09</v>
      </c>
      <c r="O342" s="11">
        <f t="shared" si="75"/>
        <v>7.8284203424832111E-3</v>
      </c>
    </row>
    <row r="343" spans="2:15" x14ac:dyDescent="0.25">
      <c r="B343" s="3">
        <v>326</v>
      </c>
      <c r="C343" s="3">
        <f t="shared" si="65"/>
        <v>29</v>
      </c>
      <c r="D343" s="7">
        <f t="shared" si="66"/>
        <v>61545.163031289267</v>
      </c>
      <c r="E343" s="8">
        <f t="shared" si="67"/>
        <v>1617996.1570735904</v>
      </c>
      <c r="F343" s="7">
        <f t="shared" si="68"/>
        <v>1630762.4510189046</v>
      </c>
      <c r="G343" s="8">
        <f t="shared" si="69"/>
        <v>700.65944410602219</v>
      </c>
      <c r="H343" s="8">
        <f t="shared" si="70"/>
        <v>10509.891661590322</v>
      </c>
      <c r="I343" s="7">
        <f t="shared" si="71"/>
        <v>50820.214835547151</v>
      </c>
      <c r="J343" s="8">
        <f t="shared" si="72"/>
        <v>12766.293945314173</v>
      </c>
      <c r="K343" s="8">
        <f t="shared" si="73"/>
        <v>63586.508780861324</v>
      </c>
      <c r="L343" s="8">
        <f t="shared" si="76"/>
        <v>74096.400442451646</v>
      </c>
      <c r="M343" s="4">
        <f t="shared" si="77"/>
        <v>1.5</v>
      </c>
      <c r="N343" s="10">
        <f t="shared" si="74"/>
        <v>0.09</v>
      </c>
      <c r="O343" s="11">
        <f t="shared" si="75"/>
        <v>7.8284203424832111E-3</v>
      </c>
    </row>
    <row r="344" spans="2:15" x14ac:dyDescent="0.25">
      <c r="B344" s="3">
        <v>327</v>
      </c>
      <c r="C344" s="3">
        <f t="shared" si="65"/>
        <v>28</v>
      </c>
      <c r="D344" s="7">
        <f t="shared" si="66"/>
        <v>61063.361625033627</v>
      </c>
      <c r="E344" s="8">
        <f t="shared" si="67"/>
        <v>1554968.6401054189</v>
      </c>
      <c r="F344" s="7">
        <f t="shared" si="68"/>
        <v>1567237.6350894584</v>
      </c>
      <c r="G344" s="8">
        <f t="shared" si="69"/>
        <v>674.16506544732988</v>
      </c>
      <c r="H344" s="8">
        <f t="shared" si="70"/>
        <v>10112.47598170994</v>
      </c>
      <c r="I344" s="7">
        <f t="shared" si="71"/>
        <v>50758.521984131992</v>
      </c>
      <c r="J344" s="8">
        <f t="shared" si="72"/>
        <v>12268.994984039597</v>
      </c>
      <c r="K344" s="8">
        <f t="shared" si="73"/>
        <v>63027.516968171592</v>
      </c>
      <c r="L344" s="8">
        <f t="shared" si="76"/>
        <v>73139.992949881533</v>
      </c>
      <c r="M344" s="4">
        <f t="shared" si="77"/>
        <v>1.5</v>
      </c>
      <c r="N344" s="10">
        <f t="shared" si="74"/>
        <v>0.09</v>
      </c>
      <c r="O344" s="11">
        <f t="shared" si="75"/>
        <v>7.8284203424832111E-3</v>
      </c>
    </row>
    <row r="345" spans="2:15" x14ac:dyDescent="0.25">
      <c r="B345" s="3">
        <v>328</v>
      </c>
      <c r="C345" s="3">
        <f t="shared" si="65"/>
        <v>27</v>
      </c>
      <c r="D345" s="7">
        <f t="shared" si="66"/>
        <v>60585.331962707722</v>
      </c>
      <c r="E345" s="8">
        <f t="shared" si="67"/>
        <v>1492495.6646217282</v>
      </c>
      <c r="F345" s="7">
        <f t="shared" si="68"/>
        <v>1504271.736081088</v>
      </c>
      <c r="G345" s="8">
        <f t="shared" si="69"/>
        <v>647.90360004392505</v>
      </c>
      <c r="H345" s="8">
        <f t="shared" si="70"/>
        <v>9718.5540006588672</v>
      </c>
      <c r="I345" s="7">
        <f t="shared" si="71"/>
        <v>50696.904024330834</v>
      </c>
      <c r="J345" s="8">
        <f t="shared" si="72"/>
        <v>11776.071459359726</v>
      </c>
      <c r="K345" s="8">
        <f t="shared" si="73"/>
        <v>62472.975483690563</v>
      </c>
      <c r="L345" s="8">
        <f t="shared" si="76"/>
        <v>72191.529484349434</v>
      </c>
      <c r="M345" s="4">
        <f t="shared" si="77"/>
        <v>1.5</v>
      </c>
      <c r="N345" s="10">
        <f t="shared" si="74"/>
        <v>0.09</v>
      </c>
      <c r="O345" s="11">
        <f t="shared" si="75"/>
        <v>7.8284203424832111E-3</v>
      </c>
    </row>
    <row r="346" spans="2:15" x14ac:dyDescent="0.25">
      <c r="B346" s="3">
        <v>329</v>
      </c>
      <c r="C346" s="3">
        <f t="shared" si="65"/>
        <v>26</v>
      </c>
      <c r="D346" s="7">
        <f t="shared" si="66"/>
        <v>60111.044517514783</v>
      </c>
      <c r="E346" s="8">
        <f t="shared" si="67"/>
        <v>1430572.8152235523</v>
      </c>
      <c r="F346" s="7">
        <f t="shared" si="68"/>
        <v>1441860.3037564987</v>
      </c>
      <c r="G346" s="8">
        <f t="shared" si="69"/>
        <v>621.87319359238734</v>
      </c>
      <c r="H346" s="8">
        <f t="shared" si="70"/>
        <v>9328.0979038858004</v>
      </c>
      <c r="I346" s="7">
        <f t="shared" si="71"/>
        <v>50635.36086522953</v>
      </c>
      <c r="J346" s="8">
        <f t="shared" si="72"/>
        <v>11287.488532946396</v>
      </c>
      <c r="K346" s="8">
        <f t="shared" si="73"/>
        <v>61922.849398175924</v>
      </c>
      <c r="L346" s="8">
        <f t="shared" si="76"/>
        <v>71250.94730206173</v>
      </c>
      <c r="M346" s="4">
        <f t="shared" si="77"/>
        <v>1.5</v>
      </c>
      <c r="N346" s="10">
        <f t="shared" si="74"/>
        <v>0.09</v>
      </c>
      <c r="O346" s="11">
        <f t="shared" si="75"/>
        <v>7.8284203424832111E-3</v>
      </c>
    </row>
    <row r="347" spans="2:15" x14ac:dyDescent="0.25">
      <c r="B347" s="3">
        <v>330</v>
      </c>
      <c r="C347" s="3">
        <f t="shared" si="65"/>
        <v>25</v>
      </c>
      <c r="D347" s="7">
        <f t="shared" si="66"/>
        <v>59640.469993805891</v>
      </c>
      <c r="E347" s="8">
        <f t="shared" si="67"/>
        <v>1369195.7111676165</v>
      </c>
      <c r="F347" s="7">
        <f t="shared" si="68"/>
        <v>1379998.9228075279</v>
      </c>
      <c r="G347" s="8">
        <f t="shared" si="69"/>
        <v>596.07200634314734</v>
      </c>
      <c r="H347" s="8">
        <f t="shared" si="70"/>
        <v>8941.0800951472011</v>
      </c>
      <c r="I347" s="7">
        <f t="shared" si="71"/>
        <v>50573.892416024435</v>
      </c>
      <c r="J347" s="8">
        <f t="shared" si="72"/>
        <v>10803.211639911371</v>
      </c>
      <c r="K347" s="8">
        <f t="shared" si="73"/>
        <v>61377.104055935808</v>
      </c>
      <c r="L347" s="8">
        <f t="shared" si="76"/>
        <v>70318.184151083013</v>
      </c>
      <c r="M347" s="4">
        <f t="shared" si="77"/>
        <v>1.5</v>
      </c>
      <c r="N347" s="10">
        <f t="shared" si="74"/>
        <v>0.09</v>
      </c>
      <c r="O347" s="11">
        <f t="shared" si="75"/>
        <v>7.8284203424832111E-3</v>
      </c>
    </row>
    <row r="348" spans="2:15" x14ac:dyDescent="0.25">
      <c r="B348" s="3">
        <v>331</v>
      </c>
      <c r="C348" s="3">
        <f t="shared" si="65"/>
        <v>24</v>
      </c>
      <c r="D348" s="7">
        <f t="shared" si="66"/>
        <v>59173.579325271086</v>
      </c>
      <c r="E348" s="8">
        <f t="shared" si="67"/>
        <v>1308360.00609493</v>
      </c>
      <c r="F348" s="7">
        <f t="shared" si="68"/>
        <v>1318683.2125815947</v>
      </c>
      <c r="G348" s="8">
        <f t="shared" si="69"/>
        <v>570.49821298650738</v>
      </c>
      <c r="H348" s="8">
        <f t="shared" si="70"/>
        <v>8557.4731947976034</v>
      </c>
      <c r="I348" s="7">
        <f t="shared" si="71"/>
        <v>50512.498586021778</v>
      </c>
      <c r="J348" s="8">
        <f t="shared" si="72"/>
        <v>10323.206486664869</v>
      </c>
      <c r="K348" s="8">
        <f t="shared" si="73"/>
        <v>60835.705072686644</v>
      </c>
      <c r="L348" s="8">
        <f t="shared" si="76"/>
        <v>69393.17826748424</v>
      </c>
      <c r="M348" s="4">
        <f t="shared" si="77"/>
        <v>1.5</v>
      </c>
      <c r="N348" s="10">
        <f t="shared" si="74"/>
        <v>0.09</v>
      </c>
      <c r="O348" s="11">
        <f t="shared" si="75"/>
        <v>7.8284203424832111E-3</v>
      </c>
    </row>
    <row r="349" spans="2:15" x14ac:dyDescent="0.25">
      <c r="B349" s="3">
        <v>332</v>
      </c>
      <c r="C349" s="3">
        <f t="shared" si="65"/>
        <v>23</v>
      </c>
      <c r="D349" s="7">
        <f t="shared" si="66"/>
        <v>58710.343673143572</v>
      </c>
      <c r="E349" s="8">
        <f t="shared" si="67"/>
        <v>1248061.3877615009</v>
      </c>
      <c r="F349" s="7">
        <f t="shared" si="68"/>
        <v>1257908.8268102917</v>
      </c>
      <c r="G349" s="8">
        <f t="shared" si="69"/>
        <v>545.15000253955463</v>
      </c>
      <c r="H349" s="8">
        <f t="shared" si="70"/>
        <v>8177.2500380933116</v>
      </c>
      <c r="I349" s="7">
        <f t="shared" si="71"/>
        <v>50451.179284638216</v>
      </c>
      <c r="J349" s="8">
        <f t="shared" si="72"/>
        <v>9847.4390487908786</v>
      </c>
      <c r="K349" s="8">
        <f t="shared" si="73"/>
        <v>60298.618333429098</v>
      </c>
      <c r="L349" s="8">
        <f t="shared" si="76"/>
        <v>68475.868371522403</v>
      </c>
      <c r="M349" s="4">
        <f t="shared" si="77"/>
        <v>1.5</v>
      </c>
      <c r="N349" s="10">
        <f t="shared" si="74"/>
        <v>0.09</v>
      </c>
      <c r="O349" s="11">
        <f t="shared" si="75"/>
        <v>7.8284203424832111E-3</v>
      </c>
    </row>
    <row r="350" spans="2:15" x14ac:dyDescent="0.25">
      <c r="B350" s="3">
        <v>333</v>
      </c>
      <c r="C350" s="3">
        <f t="shared" si="65"/>
        <v>22</v>
      </c>
      <c r="D350" s="7">
        <f t="shared" si="66"/>
        <v>58250.734424418551</v>
      </c>
      <c r="E350" s="8">
        <f t="shared" si="67"/>
        <v>1188295.5777711617</v>
      </c>
      <c r="F350" s="7">
        <f t="shared" si="68"/>
        <v>1197671.4533401006</v>
      </c>
      <c r="G350" s="8">
        <f t="shared" si="69"/>
        <v>520.0255782339591</v>
      </c>
      <c r="H350" s="8">
        <f t="shared" si="70"/>
        <v>7800.3836735093801</v>
      </c>
      <c r="I350" s="7">
        <f t="shared" si="71"/>
        <v>50389.934421400234</v>
      </c>
      <c r="J350" s="8">
        <f t="shared" si="72"/>
        <v>9375.8755689390746</v>
      </c>
      <c r="K350" s="8">
        <f t="shared" si="73"/>
        <v>59765.809990339309</v>
      </c>
      <c r="L350" s="8">
        <f t="shared" si="76"/>
        <v>67566.193663848695</v>
      </c>
      <c r="M350" s="4">
        <f t="shared" si="77"/>
        <v>1.5</v>
      </c>
      <c r="N350" s="10">
        <f t="shared" si="74"/>
        <v>0.09</v>
      </c>
      <c r="O350" s="11">
        <f t="shared" si="75"/>
        <v>7.8284203424832111E-3</v>
      </c>
    </row>
    <row r="351" spans="2:15" x14ac:dyDescent="0.25">
      <c r="B351" s="3">
        <v>334</v>
      </c>
      <c r="C351" s="3">
        <f t="shared" si="65"/>
        <v>21</v>
      </c>
      <c r="D351" s="7">
        <f t="shared" si="66"/>
        <v>57794.723190085773</v>
      </c>
      <c r="E351" s="8">
        <f t="shared" si="67"/>
        <v>1129058.3313104843</v>
      </c>
      <c r="F351" s="7">
        <f t="shared" si="68"/>
        <v>1137966.8138652176</v>
      </c>
      <c r="G351" s="8">
        <f t="shared" si="69"/>
        <v>495.12315740465112</v>
      </c>
      <c r="H351" s="8">
        <f t="shared" si="70"/>
        <v>7426.8473610697602</v>
      </c>
      <c r="I351" s="7">
        <f t="shared" si="71"/>
        <v>50328.763905944143</v>
      </c>
      <c r="J351" s="8">
        <f t="shared" si="72"/>
        <v>8908.4825547332748</v>
      </c>
      <c r="K351" s="8">
        <f t="shared" si="73"/>
        <v>59237.246460677416</v>
      </c>
      <c r="L351" s="8">
        <f t="shared" si="76"/>
        <v>66664.09382174717</v>
      </c>
      <c r="M351" s="4">
        <f t="shared" si="77"/>
        <v>1.5</v>
      </c>
      <c r="N351" s="10">
        <f t="shared" si="74"/>
        <v>0.09</v>
      </c>
      <c r="O351" s="11">
        <f t="shared" si="75"/>
        <v>7.8284203424832111E-3</v>
      </c>
    </row>
    <row r="352" spans="2:15" x14ac:dyDescent="0.25">
      <c r="B352" s="3">
        <v>335</v>
      </c>
      <c r="C352" s="3">
        <f t="shared" si="65"/>
        <v>20</v>
      </c>
      <c r="D352" s="7">
        <f t="shared" si="66"/>
        <v>57342.281803376267</v>
      </c>
      <c r="E352" s="8">
        <f t="shared" si="67"/>
        <v>1070345.4368857723</v>
      </c>
      <c r="F352" s="7">
        <f t="shared" si="68"/>
        <v>1078790.6636624685</v>
      </c>
      <c r="G352" s="8">
        <f t="shared" si="69"/>
        <v>470.44097137936888</v>
      </c>
      <c r="H352" s="8">
        <f t="shared" si="70"/>
        <v>7056.6145706905263</v>
      </c>
      <c r="I352" s="7">
        <f t="shared" si="71"/>
        <v>50267.667648015879</v>
      </c>
      <c r="J352" s="8">
        <f t="shared" si="72"/>
        <v>8445.2267766962323</v>
      </c>
      <c r="K352" s="8">
        <f t="shared" si="73"/>
        <v>58712.894424712111</v>
      </c>
      <c r="L352" s="8">
        <f t="shared" si="76"/>
        <v>65769.508995402633</v>
      </c>
      <c r="M352" s="4">
        <f t="shared" si="77"/>
        <v>1.5</v>
      </c>
      <c r="N352" s="10">
        <f t="shared" si="74"/>
        <v>0.09</v>
      </c>
      <c r="O352" s="11">
        <f t="shared" si="75"/>
        <v>7.8284203424832111E-3</v>
      </c>
    </row>
    <row r="353" spans="2:15" x14ac:dyDescent="0.25">
      <c r="B353" s="3">
        <v>336</v>
      </c>
      <c r="C353" s="3">
        <f t="shared" si="65"/>
        <v>19</v>
      </c>
      <c r="D353" s="7">
        <f t="shared" si="66"/>
        <v>56893.382318022261</v>
      </c>
      <c r="E353" s="8">
        <f t="shared" si="67"/>
        <v>1012152.7160621105</v>
      </c>
      <c r="F353" s="7">
        <f t="shared" si="68"/>
        <v>1020138.7913283012</v>
      </c>
      <c r="G353" s="8">
        <f t="shared" si="69"/>
        <v>445.97726536907214</v>
      </c>
      <c r="H353" s="8">
        <f t="shared" si="70"/>
        <v>6689.6589805360763</v>
      </c>
      <c r="I353" s="7">
        <f t="shared" si="71"/>
        <v>50206.645557471114</v>
      </c>
      <c r="J353" s="8">
        <f t="shared" si="72"/>
        <v>7986.0752661907081</v>
      </c>
      <c r="K353" s="8">
        <f t="shared" si="73"/>
        <v>58192.720823661824</v>
      </c>
      <c r="L353" s="8">
        <f t="shared" si="76"/>
        <v>64882.379804197903</v>
      </c>
      <c r="M353" s="4">
        <f t="shared" si="77"/>
        <v>1.5</v>
      </c>
      <c r="N353" s="10">
        <f t="shared" si="74"/>
        <v>0.09</v>
      </c>
      <c r="O353" s="11">
        <f t="shared" si="75"/>
        <v>7.8284203424832111E-3</v>
      </c>
    </row>
    <row r="354" spans="2:15" x14ac:dyDescent="0.25">
      <c r="B354" s="3">
        <v>337</v>
      </c>
      <c r="C354" s="3">
        <f t="shared" si="65"/>
        <v>18</v>
      </c>
      <c r="D354" s="7">
        <f t="shared" si="66"/>
        <v>56447.997006531172</v>
      </c>
      <c r="E354" s="8">
        <f t="shared" si="67"/>
        <v>954476.02320445899</v>
      </c>
      <c r="F354" s="7">
        <f t="shared" si="68"/>
        <v>962007.01851783565</v>
      </c>
      <c r="G354" s="8">
        <f t="shared" si="69"/>
        <v>421.73029835921307</v>
      </c>
      <c r="H354" s="8">
        <f t="shared" si="70"/>
        <v>6325.9544753881901</v>
      </c>
      <c r="I354" s="7">
        <f t="shared" si="71"/>
        <v>50145.697544274859</v>
      </c>
      <c r="J354" s="8">
        <f t="shared" si="72"/>
        <v>7530.9953133766476</v>
      </c>
      <c r="K354" s="8">
        <f t="shared" si="73"/>
        <v>57676.692857651506</v>
      </c>
      <c r="L354" s="8">
        <f t="shared" si="76"/>
        <v>64002.647333039698</v>
      </c>
      <c r="M354" s="4">
        <f t="shared" si="77"/>
        <v>1.5</v>
      </c>
      <c r="N354" s="10">
        <f t="shared" si="74"/>
        <v>0.09</v>
      </c>
      <c r="O354" s="11">
        <f t="shared" si="75"/>
        <v>7.8284203424832111E-3</v>
      </c>
    </row>
    <row r="355" spans="2:15" x14ac:dyDescent="0.25">
      <c r="B355" s="3">
        <v>338</v>
      </c>
      <c r="C355" s="3">
        <f t="shared" si="65"/>
        <v>17</v>
      </c>
      <c r="D355" s="7">
        <f t="shared" si="66"/>
        <v>56006.098358472744</v>
      </c>
      <c r="E355" s="8">
        <f t="shared" si="67"/>
        <v>897311.24522077315</v>
      </c>
      <c r="F355" s="7">
        <f t="shared" si="68"/>
        <v>904391.19968595752</v>
      </c>
      <c r="G355" s="8">
        <f t="shared" si="69"/>
        <v>397.69834300185823</v>
      </c>
      <c r="H355" s="8">
        <f t="shared" si="70"/>
        <v>5965.4751450278682</v>
      </c>
      <c r="I355" s="7">
        <f t="shared" si="71"/>
        <v>50084.823518501442</v>
      </c>
      <c r="J355" s="8">
        <f t="shared" si="72"/>
        <v>7079.9544651843453</v>
      </c>
      <c r="K355" s="8">
        <f t="shared" si="73"/>
        <v>57164.777983685788</v>
      </c>
      <c r="L355" s="8">
        <f t="shared" si="76"/>
        <v>63130.253128713659</v>
      </c>
      <c r="M355" s="4">
        <f t="shared" si="77"/>
        <v>1.5</v>
      </c>
      <c r="N355" s="10">
        <f t="shared" si="74"/>
        <v>0.09</v>
      </c>
      <c r="O355" s="11">
        <f t="shared" si="75"/>
        <v>7.8284203424832111E-3</v>
      </c>
    </row>
    <row r="356" spans="2:15" x14ac:dyDescent="0.25">
      <c r="B356" s="3">
        <v>339</v>
      </c>
      <c r="C356" s="3">
        <f t="shared" si="65"/>
        <v>16</v>
      </c>
      <c r="D356" s="7">
        <f t="shared" si="66"/>
        <v>55567.659078780132</v>
      </c>
      <c r="E356" s="8">
        <f t="shared" si="67"/>
        <v>840654.30130713538</v>
      </c>
      <c r="F356" s="7">
        <f t="shared" si="68"/>
        <v>847287.22183043894</v>
      </c>
      <c r="G356" s="8">
        <f t="shared" si="69"/>
        <v>373.87968550865583</v>
      </c>
      <c r="H356" s="8">
        <f t="shared" si="70"/>
        <v>5608.195282629832</v>
      </c>
      <c r="I356" s="7">
        <f t="shared" si="71"/>
        <v>50024.023390334252</v>
      </c>
      <c r="J356" s="8">
        <f t="shared" si="72"/>
        <v>6632.9205233034936</v>
      </c>
      <c r="K356" s="8">
        <f t="shared" si="73"/>
        <v>56656.943913637748</v>
      </c>
      <c r="L356" s="8">
        <f t="shared" si="76"/>
        <v>62265.139196267577</v>
      </c>
      <c r="M356" s="4">
        <f t="shared" si="77"/>
        <v>1.5</v>
      </c>
      <c r="N356" s="10">
        <f t="shared" si="74"/>
        <v>0.09</v>
      </c>
      <c r="O356" s="11">
        <f t="shared" si="75"/>
        <v>7.8284203424832111E-3</v>
      </c>
    </row>
    <row r="357" spans="2:15" x14ac:dyDescent="0.25">
      <c r="B357" s="3">
        <v>340</v>
      </c>
      <c r="C357" s="3">
        <f t="shared" ref="C357:C372" si="78">$E$9-B357</f>
        <v>15</v>
      </c>
      <c r="D357" s="7">
        <f t="shared" ref="D357:D371" si="79">($E$5*E357)/(1-$E$7^C357)</f>
        <v>55132.652086063543</v>
      </c>
      <c r="E357" s="8">
        <f t="shared" ref="E357:E372" si="80">E356-K357</f>
        <v>784501.14269488154</v>
      </c>
      <c r="F357" s="7">
        <f t="shared" ref="F357:F372" si="81">E356-I357</f>
        <v>790691.00423706952</v>
      </c>
      <c r="G357" s="8">
        <f t="shared" ref="G357:G372" si="82">$E$4/12*E356</f>
        <v>350.27262554464005</v>
      </c>
      <c r="H357" s="8">
        <f t="shared" ref="H357:H372" si="83">$E$6*E356</f>
        <v>5254.0893831695957</v>
      </c>
      <c r="I357" s="7">
        <f t="shared" ref="I357:I372" si="84">D356*($E$7^(C356-1+1))</f>
        <v>49963.297070065899</v>
      </c>
      <c r="J357" s="8">
        <f t="shared" ref="J357:J372" si="85">O357*F357</f>
        <v>6189.861542187954</v>
      </c>
      <c r="K357" s="8">
        <f t="shared" ref="K357:K372" si="86">I357+J357</f>
        <v>56153.15861225385</v>
      </c>
      <c r="L357" s="8">
        <f t="shared" si="76"/>
        <v>61407.247995423444</v>
      </c>
      <c r="M357" s="4">
        <f t="shared" si="77"/>
        <v>1.5</v>
      </c>
      <c r="N357" s="10">
        <f t="shared" ref="N357:N372" si="87">MIN((B357+$E$10)/30*6%*$E$11,6%*$E$11)</f>
        <v>0.09</v>
      </c>
      <c r="O357" s="11">
        <f t="shared" ref="O357:O372" si="88">1 - (1 - N357)^(1/12)</f>
        <v>7.8284203424832111E-3</v>
      </c>
    </row>
    <row r="358" spans="2:15" x14ac:dyDescent="0.25">
      <c r="B358" s="3">
        <v>341</v>
      </c>
      <c r="C358" s="3">
        <f t="shared" si="78"/>
        <v>14</v>
      </c>
      <c r="D358" s="7">
        <f t="shared" si="79"/>
        <v>54701.05051093793</v>
      </c>
      <c r="E358" s="8">
        <f t="shared" si="80"/>
        <v>728847.75239970768</v>
      </c>
      <c r="F358" s="7">
        <f t="shared" si="81"/>
        <v>734598.49822678382</v>
      </c>
      <c r="G358" s="8">
        <f t="shared" si="82"/>
        <v>326.87547612286761</v>
      </c>
      <c r="H358" s="8">
        <f t="shared" si="83"/>
        <v>4903.1321418430089</v>
      </c>
      <c r="I358" s="7">
        <f t="shared" si="84"/>
        <v>49902.644468097664</v>
      </c>
      <c r="J358" s="8">
        <f t="shared" si="85"/>
        <v>5750.7458270761717</v>
      </c>
      <c r="K358" s="8">
        <f t="shared" si="86"/>
        <v>55653.390295173835</v>
      </c>
      <c r="L358" s="8">
        <f t="shared" si="76"/>
        <v>60556.522437016843</v>
      </c>
      <c r="M358" s="4">
        <f t="shared" si="77"/>
        <v>1.5</v>
      </c>
      <c r="N358" s="10">
        <f t="shared" si="87"/>
        <v>0.09</v>
      </c>
      <c r="O358" s="11">
        <f t="shared" si="88"/>
        <v>7.8284203424832111E-3</v>
      </c>
    </row>
    <row r="359" spans="2:15" x14ac:dyDescent="0.25">
      <c r="B359" s="3">
        <v>342</v>
      </c>
      <c r="C359" s="3">
        <f t="shared" si="78"/>
        <v>13</v>
      </c>
      <c r="D359" s="7">
        <f t="shared" si="79"/>
        <v>54272.827694362881</v>
      </c>
      <c r="E359" s="8">
        <f t="shared" si="80"/>
        <v>673690.14497274067</v>
      </c>
      <c r="F359" s="7">
        <f t="shared" si="81"/>
        <v>679005.68690476776</v>
      </c>
      <c r="G359" s="8">
        <f t="shared" si="82"/>
        <v>303.68656349987845</v>
      </c>
      <c r="H359" s="8">
        <f t="shared" si="83"/>
        <v>4555.298452498173</v>
      </c>
      <c r="I359" s="7">
        <f t="shared" si="84"/>
        <v>49842.065494939881</v>
      </c>
      <c r="J359" s="8">
        <f t="shared" si="85"/>
        <v>5315.5419320270703</v>
      </c>
      <c r="K359" s="8">
        <f t="shared" si="86"/>
        <v>55157.607426966948</v>
      </c>
      <c r="L359" s="8">
        <f t="shared" si="76"/>
        <v>59712.905879465121</v>
      </c>
      <c r="M359" s="4">
        <f t="shared" si="77"/>
        <v>1.5</v>
      </c>
      <c r="N359" s="10">
        <f t="shared" si="87"/>
        <v>0.09</v>
      </c>
      <c r="O359" s="11">
        <f t="shared" si="88"/>
        <v>7.8284203424832111E-3</v>
      </c>
    </row>
    <row r="360" spans="2:15" x14ac:dyDescent="0.25">
      <c r="B360" s="3">
        <v>343</v>
      </c>
      <c r="C360" s="3">
        <f t="shared" si="78"/>
        <v>12</v>
      </c>
      <c r="D360" s="7">
        <f t="shared" si="79"/>
        <v>53847.957185996151</v>
      </c>
      <c r="E360" s="8">
        <f t="shared" si="80"/>
        <v>619024.36625355808</v>
      </c>
      <c r="F360" s="7">
        <f t="shared" si="81"/>
        <v>623908.58491152944</v>
      </c>
      <c r="G360" s="8">
        <f t="shared" si="82"/>
        <v>280.70422707197554</v>
      </c>
      <c r="H360" s="8">
        <f t="shared" si="83"/>
        <v>4210.5634060796292</v>
      </c>
      <c r="I360" s="7">
        <f t="shared" si="84"/>
        <v>49781.560061211276</v>
      </c>
      <c r="J360" s="8">
        <f t="shared" si="85"/>
        <v>4884.2186579713307</v>
      </c>
      <c r="K360" s="8">
        <f t="shared" si="86"/>
        <v>54665.778719182606</v>
      </c>
      <c r="L360" s="8">
        <f t="shared" si="76"/>
        <v>58876.342125262236</v>
      </c>
      <c r="M360" s="4">
        <f t="shared" si="77"/>
        <v>1.5</v>
      </c>
      <c r="N360" s="10">
        <f t="shared" si="87"/>
        <v>0.09</v>
      </c>
      <c r="O360" s="11">
        <f t="shared" si="88"/>
        <v>7.8284203424832111E-3</v>
      </c>
    </row>
    <row r="361" spans="2:15" x14ac:dyDescent="0.25">
      <c r="B361" s="3">
        <v>344</v>
      </c>
      <c r="C361" s="3">
        <f t="shared" si="78"/>
        <v>11</v>
      </c>
      <c r="D361" s="7">
        <f t="shared" si="79"/>
        <v>53426.412742560009</v>
      </c>
      <c r="E361" s="8">
        <f t="shared" si="80"/>
        <v>564846.49312514102</v>
      </c>
      <c r="F361" s="7">
        <f t="shared" si="81"/>
        <v>569303.23817591893</v>
      </c>
      <c r="G361" s="8">
        <f t="shared" si="82"/>
        <v>257.9268192723161</v>
      </c>
      <c r="H361" s="8">
        <f t="shared" si="83"/>
        <v>3868.9022890847377</v>
      </c>
      <c r="I361" s="7">
        <f t="shared" si="84"/>
        <v>49721.1280776391</v>
      </c>
      <c r="J361" s="8">
        <f t="shared" si="85"/>
        <v>4456.7450507779286</v>
      </c>
      <c r="K361" s="8">
        <f t="shared" si="86"/>
        <v>54177.873128417028</v>
      </c>
      <c r="L361" s="8">
        <f t="shared" si="76"/>
        <v>58046.775417501769</v>
      </c>
      <c r="M361" s="4">
        <f t="shared" si="77"/>
        <v>1.5</v>
      </c>
      <c r="N361" s="10">
        <f t="shared" si="87"/>
        <v>0.09</v>
      </c>
      <c r="O361" s="11">
        <f t="shared" si="88"/>
        <v>7.8284203424832111E-3</v>
      </c>
    </row>
    <row r="362" spans="2:15" x14ac:dyDescent="0.25">
      <c r="B362" s="3">
        <v>345</v>
      </c>
      <c r="C362" s="3">
        <f t="shared" si="78"/>
        <v>10</v>
      </c>
      <c r="D362" s="7">
        <f t="shared" si="79"/>
        <v>53008.168326220242</v>
      </c>
      <c r="E362" s="8">
        <f t="shared" si="80"/>
        <v>511152.63327074616</v>
      </c>
      <c r="F362" s="7">
        <f t="shared" si="81"/>
        <v>515185.72367008193</v>
      </c>
      <c r="G362" s="8">
        <f t="shared" si="82"/>
        <v>235.35270546880895</v>
      </c>
      <c r="H362" s="8">
        <f t="shared" si="83"/>
        <v>3530.2905820321312</v>
      </c>
      <c r="I362" s="7">
        <f t="shared" si="84"/>
        <v>49660.769455059068</v>
      </c>
      <c r="J362" s="8">
        <f t="shared" si="85"/>
        <v>4033.0903993358038</v>
      </c>
      <c r="K362" s="8">
        <f t="shared" si="86"/>
        <v>53693.859854394868</v>
      </c>
      <c r="L362" s="8">
        <f t="shared" si="76"/>
        <v>57224.150436427</v>
      </c>
      <c r="M362" s="4">
        <f t="shared" si="77"/>
        <v>1.5</v>
      </c>
      <c r="N362" s="10">
        <f t="shared" si="87"/>
        <v>0.09</v>
      </c>
      <c r="O362" s="11">
        <f t="shared" si="88"/>
        <v>7.8284203424832111E-3</v>
      </c>
    </row>
    <row r="363" spans="2:15" x14ac:dyDescent="0.25">
      <c r="B363" s="3">
        <v>346</v>
      </c>
      <c r="C363" s="3">
        <f t="shared" si="78"/>
        <v>9</v>
      </c>
      <c r="D363" s="7">
        <f t="shared" si="79"/>
        <v>52593.198102977374</v>
      </c>
      <c r="E363" s="8">
        <f t="shared" si="80"/>
        <v>457938.92493268033</v>
      </c>
      <c r="F363" s="7">
        <f t="shared" si="81"/>
        <v>461552.14916633087</v>
      </c>
      <c r="G363" s="8">
        <f t="shared" si="82"/>
        <v>212.98026386281109</v>
      </c>
      <c r="H363" s="8">
        <f t="shared" si="83"/>
        <v>3194.703957942163</v>
      </c>
      <c r="I363" s="7">
        <f t="shared" si="84"/>
        <v>49600.484104415271</v>
      </c>
      <c r="J363" s="8">
        <f t="shared" si="85"/>
        <v>3613.2242336505501</v>
      </c>
      <c r="K363" s="8">
        <f t="shared" si="86"/>
        <v>53213.708338065822</v>
      </c>
      <c r="L363" s="8">
        <f t="shared" si="76"/>
        <v>56408.412296007984</v>
      </c>
      <c r="M363" s="4">
        <f t="shared" si="77"/>
        <v>1.5</v>
      </c>
      <c r="N363" s="10">
        <f t="shared" si="87"/>
        <v>0.09</v>
      </c>
      <c r="O363" s="11">
        <f t="shared" si="88"/>
        <v>7.8284203424832111E-3</v>
      </c>
    </row>
    <row r="364" spans="2:15" x14ac:dyDescent="0.25">
      <c r="B364" s="3">
        <v>347</v>
      </c>
      <c r="C364" s="3">
        <f t="shared" si="78"/>
        <v>8</v>
      </c>
      <c r="D364" s="7">
        <f t="shared" si="79"/>
        <v>52181.476441071667</v>
      </c>
      <c r="E364" s="8">
        <f t="shared" si="80"/>
        <v>405201.53667296481</v>
      </c>
      <c r="F364" s="7">
        <f t="shared" si="81"/>
        <v>408398.6529959208</v>
      </c>
      <c r="G364" s="8">
        <f t="shared" si="82"/>
        <v>190.80788538861697</v>
      </c>
      <c r="H364" s="8">
        <f t="shared" si="83"/>
        <v>2862.1182808292519</v>
      </c>
      <c r="I364" s="7">
        <f t="shared" si="84"/>
        <v>49540.271936759505</v>
      </c>
      <c r="J364" s="8">
        <f t="shared" si="85"/>
        <v>3197.1163229560084</v>
      </c>
      <c r="K364" s="8">
        <f t="shared" si="86"/>
        <v>52737.388259715517</v>
      </c>
      <c r="L364" s="8">
        <f t="shared" si="76"/>
        <v>55599.506540544768</v>
      </c>
      <c r="M364" s="4">
        <f t="shared" si="77"/>
        <v>1.5</v>
      </c>
      <c r="N364" s="10">
        <f t="shared" si="87"/>
        <v>0.09</v>
      </c>
      <c r="O364" s="11">
        <f t="shared" si="88"/>
        <v>7.8284203424832111E-3</v>
      </c>
    </row>
    <row r="365" spans="2:15" x14ac:dyDescent="0.25">
      <c r="B365" s="3">
        <v>348</v>
      </c>
      <c r="C365" s="3">
        <f t="shared" si="78"/>
        <v>7</v>
      </c>
      <c r="D365" s="7">
        <f t="shared" si="79"/>
        <v>51772.9779093994</v>
      </c>
      <c r="E365" s="8">
        <f t="shared" si="80"/>
        <v>352936.6671358723</v>
      </c>
      <c r="F365" s="7">
        <f t="shared" si="81"/>
        <v>355721.40380971291</v>
      </c>
      <c r="G365" s="8">
        <f t="shared" si="82"/>
        <v>168.83397361373548</v>
      </c>
      <c r="H365" s="8">
        <f t="shared" si="83"/>
        <v>2532.50960420603</v>
      </c>
      <c r="I365" s="7">
        <f t="shared" si="84"/>
        <v>49480.1328632519</v>
      </c>
      <c r="J365" s="8">
        <f t="shared" si="85"/>
        <v>2784.7366738406413</v>
      </c>
      <c r="K365" s="8">
        <f t="shared" si="86"/>
        <v>52264.869537092542</v>
      </c>
      <c r="L365" s="8">
        <f t="shared" si="76"/>
        <v>54797.379141298574</v>
      </c>
      <c r="M365" s="4">
        <f t="shared" si="77"/>
        <v>1.5</v>
      </c>
      <c r="N365" s="10">
        <f t="shared" si="87"/>
        <v>0.09</v>
      </c>
      <c r="O365" s="11">
        <f t="shared" si="88"/>
        <v>7.8284203424832111E-3</v>
      </c>
    </row>
    <row r="366" spans="2:15" x14ac:dyDescent="0.25">
      <c r="B366" s="3">
        <v>349</v>
      </c>
      <c r="C366" s="3">
        <f t="shared" si="78"/>
        <v>6</v>
      </c>
      <c r="D366" s="7">
        <f t="shared" si="79"/>
        <v>51367.677275942508</v>
      </c>
      <c r="E366" s="8">
        <f t="shared" si="80"/>
        <v>301140.54481232347</v>
      </c>
      <c r="F366" s="7">
        <f t="shared" si="81"/>
        <v>303516.60034071206</v>
      </c>
      <c r="G366" s="8">
        <f t="shared" si="82"/>
        <v>147.05694463994692</v>
      </c>
      <c r="H366" s="8">
        <f t="shared" si="83"/>
        <v>2205.8541695992017</v>
      </c>
      <c r="I366" s="7">
        <f t="shared" si="84"/>
        <v>49420.066795160252</v>
      </c>
      <c r="J366" s="8">
        <f t="shared" si="85"/>
        <v>2376.0555283885769</v>
      </c>
      <c r="K366" s="8">
        <f t="shared" si="86"/>
        <v>51796.122323548829</v>
      </c>
      <c r="L366" s="8">
        <f t="shared" si="76"/>
        <v>54001.976493148031</v>
      </c>
      <c r="M366" s="4">
        <f t="shared" si="77"/>
        <v>1.5</v>
      </c>
      <c r="N366" s="10">
        <f t="shared" si="87"/>
        <v>0.09</v>
      </c>
      <c r="O366" s="11">
        <f t="shared" si="88"/>
        <v>7.8284203424832111E-3</v>
      </c>
    </row>
    <row r="367" spans="2:15" x14ac:dyDescent="0.25">
      <c r="B367" s="3">
        <v>350</v>
      </c>
      <c r="C367" s="3">
        <f t="shared" si="78"/>
        <v>5</v>
      </c>
      <c r="D367" s="7">
        <f t="shared" si="79"/>
        <v>50965.549506209223</v>
      </c>
      <c r="E367" s="8">
        <f t="shared" si="80"/>
        <v>249809.4278061279</v>
      </c>
      <c r="F367" s="7">
        <f t="shared" si="81"/>
        <v>251780.47116846312</v>
      </c>
      <c r="G367" s="8">
        <f t="shared" si="82"/>
        <v>125.47522700513488</v>
      </c>
      <c r="H367" s="8">
        <f t="shared" si="83"/>
        <v>1882.1284050770216</v>
      </c>
      <c r="I367" s="7">
        <f t="shared" si="84"/>
        <v>49360.073643860349</v>
      </c>
      <c r="J367" s="8">
        <f t="shared" si="85"/>
        <v>1971.0433623352044</v>
      </c>
      <c r="K367" s="8">
        <f t="shared" si="86"/>
        <v>51331.117006195556</v>
      </c>
      <c r="L367" s="8">
        <f t="shared" si="76"/>
        <v>53213.245411272575</v>
      </c>
      <c r="M367" s="4">
        <f t="shared" si="77"/>
        <v>1.5</v>
      </c>
      <c r="N367" s="10">
        <f t="shared" si="87"/>
        <v>0.09</v>
      </c>
      <c r="O367" s="11">
        <f t="shared" si="88"/>
        <v>7.8284203424832111E-3</v>
      </c>
    </row>
    <row r="368" spans="2:15" x14ac:dyDescent="0.25">
      <c r="B368" s="3">
        <v>351</v>
      </c>
      <c r="C368" s="3">
        <f t="shared" si="78"/>
        <v>4</v>
      </c>
      <c r="D368" s="7">
        <f t="shared" si="79"/>
        <v>50566.569761688756</v>
      </c>
      <c r="E368" s="8">
        <f t="shared" si="80"/>
        <v>198939.60360205563</v>
      </c>
      <c r="F368" s="7">
        <f t="shared" si="81"/>
        <v>200509.27448529287</v>
      </c>
      <c r="G368" s="8">
        <f t="shared" si="82"/>
        <v>104.08726158588671</v>
      </c>
      <c r="H368" s="8">
        <f t="shared" si="83"/>
        <v>1561.3089237882994</v>
      </c>
      <c r="I368" s="7">
        <f t="shared" si="84"/>
        <v>49300.153320835037</v>
      </c>
      <c r="J368" s="8">
        <f t="shared" si="85"/>
        <v>1569.6708832372167</v>
      </c>
      <c r="K368" s="8">
        <f t="shared" si="86"/>
        <v>50869.824204072254</v>
      </c>
      <c r="L368" s="8">
        <f t="shared" si="76"/>
        <v>52431.13312786055</v>
      </c>
      <c r="M368" s="4">
        <f t="shared" si="77"/>
        <v>1.5</v>
      </c>
      <c r="N368" s="10">
        <f t="shared" si="87"/>
        <v>0.09</v>
      </c>
      <c r="O368" s="11">
        <f t="shared" si="88"/>
        <v>7.8284203424832111E-3</v>
      </c>
    </row>
    <row r="369" spans="2:15" x14ac:dyDescent="0.25">
      <c r="B369" s="3">
        <v>352</v>
      </c>
      <c r="C369" s="3">
        <f t="shared" si="78"/>
        <v>3</v>
      </c>
      <c r="D369" s="7">
        <f t="shared" si="79"/>
        <v>50170.71339831646</v>
      </c>
      <c r="E369" s="8">
        <f t="shared" si="80"/>
        <v>148527.38883572363</v>
      </c>
      <c r="F369" s="7">
        <f t="shared" si="81"/>
        <v>149699.29786438058</v>
      </c>
      <c r="G369" s="8">
        <f t="shared" si="82"/>
        <v>82.891501500856592</v>
      </c>
      <c r="H369" s="8">
        <f t="shared" si="83"/>
        <v>1243.3725225128476</v>
      </c>
      <c r="I369" s="7">
        <f t="shared" si="84"/>
        <v>49240.305737675051</v>
      </c>
      <c r="J369" s="8">
        <f t="shared" si="85"/>
        <v>1171.9090286569706</v>
      </c>
      <c r="K369" s="8">
        <f t="shared" si="86"/>
        <v>50412.214766332021</v>
      </c>
      <c r="L369" s="8">
        <f t="shared" si="76"/>
        <v>51655.587288844872</v>
      </c>
      <c r="M369" s="4">
        <f t="shared" si="77"/>
        <v>1.5</v>
      </c>
      <c r="N369" s="10">
        <f t="shared" si="87"/>
        <v>0.09</v>
      </c>
      <c r="O369" s="11">
        <f t="shared" si="88"/>
        <v>7.8284203424832111E-3</v>
      </c>
    </row>
    <row r="370" spans="2:15" x14ac:dyDescent="0.25">
      <c r="B370" s="3">
        <v>353</v>
      </c>
      <c r="C370" s="3">
        <f t="shared" si="78"/>
        <v>2</v>
      </c>
      <c r="D370" s="7">
        <f t="shared" si="79"/>
        <v>49777.955964951907</v>
      </c>
      <c r="E370" s="8">
        <f t="shared" si="80"/>
        <v>98569.129065284258</v>
      </c>
      <c r="F370" s="7">
        <f t="shared" si="81"/>
        <v>99346.858029645315</v>
      </c>
      <c r="G370" s="8">
        <f t="shared" si="82"/>
        <v>61.886412014884897</v>
      </c>
      <c r="H370" s="8">
        <f t="shared" si="83"/>
        <v>928.29618022327259</v>
      </c>
      <c r="I370" s="7">
        <f t="shared" si="84"/>
        <v>49180.530806078306</v>
      </c>
      <c r="J370" s="8">
        <f t="shared" si="85"/>
        <v>777.72896436106691</v>
      </c>
      <c r="K370" s="8">
        <f t="shared" si="86"/>
        <v>49958.25977043937</v>
      </c>
      <c r="L370" s="8">
        <f t="shared" si="76"/>
        <v>50886.555950662645</v>
      </c>
      <c r="M370" s="4">
        <f t="shared" si="77"/>
        <v>1.5</v>
      </c>
      <c r="N370" s="10">
        <f t="shared" si="87"/>
        <v>0.09</v>
      </c>
      <c r="O370" s="11">
        <f t="shared" si="88"/>
        <v>7.8284203424832111E-3</v>
      </c>
    </row>
    <row r="371" spans="2:15" x14ac:dyDescent="0.25">
      <c r="B371" s="3">
        <v>354</v>
      </c>
      <c r="C371" s="3">
        <f t="shared" si="78"/>
        <v>1</v>
      </c>
      <c r="D371" s="7">
        <f t="shared" si="79"/>
        <v>49388.2732018678</v>
      </c>
      <c r="E371" s="8">
        <f t="shared" si="80"/>
        <v>49061.198544901214</v>
      </c>
      <c r="F371" s="7">
        <f t="shared" si="81"/>
        <v>49448.300627434248</v>
      </c>
      <c r="G371" s="8">
        <f t="shared" si="82"/>
        <v>41.070470443868473</v>
      </c>
      <c r="H371" s="8">
        <f t="shared" si="83"/>
        <v>616.05705665802657</v>
      </c>
      <c r="I371" s="7">
        <f t="shared" si="84"/>
        <v>49120.82843785001</v>
      </c>
      <c r="J371" s="8">
        <f t="shared" si="85"/>
        <v>387.10208253303159</v>
      </c>
      <c r="K371" s="8">
        <f t="shared" si="86"/>
        <v>49507.930520383044</v>
      </c>
      <c r="L371" s="8">
        <f t="shared" si="76"/>
        <v>50123.987577041073</v>
      </c>
      <c r="M371" s="4">
        <f t="shared" si="77"/>
        <v>1.5</v>
      </c>
      <c r="N371" s="10">
        <f t="shared" si="87"/>
        <v>0.09</v>
      </c>
      <c r="O371" s="11">
        <f t="shared" si="88"/>
        <v>7.8284203424832111E-3</v>
      </c>
    </row>
    <row r="372" spans="2:15" x14ac:dyDescent="0.25">
      <c r="B372" s="3">
        <v>355</v>
      </c>
      <c r="C372" s="3">
        <f t="shared" si="78"/>
        <v>0</v>
      </c>
      <c r="D372" s="12" t="s">
        <v>24</v>
      </c>
      <c r="E372" s="8">
        <f t="shared" si="80"/>
        <v>-5.6752469390630722E-10</v>
      </c>
      <c r="F372" s="7">
        <f t="shared" si="81"/>
        <v>-5.7480065152049065E-10</v>
      </c>
      <c r="G372" s="8">
        <f t="shared" si="82"/>
        <v>20.442166060375524</v>
      </c>
      <c r="H372" s="8">
        <f t="shared" si="83"/>
        <v>306.63249090563255</v>
      </c>
      <c r="I372" s="7">
        <f t="shared" si="84"/>
        <v>49061.198544901788</v>
      </c>
      <c r="J372" s="8">
        <f t="shared" si="85"/>
        <v>-4.4997811132356122E-12</v>
      </c>
      <c r="K372" s="8">
        <f t="shared" si="86"/>
        <v>49061.198544901781</v>
      </c>
      <c r="L372" s="8">
        <f t="shared" si="76"/>
        <v>49367.831035807416</v>
      </c>
      <c r="M372" s="4">
        <f t="shared" si="77"/>
        <v>1.5</v>
      </c>
      <c r="N372" s="10">
        <f t="shared" si="87"/>
        <v>0.09</v>
      </c>
      <c r="O372" s="11">
        <f t="shared" si="88"/>
        <v>7.8284203424832111E-3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64"/>
  <sheetViews>
    <sheetView workbookViewId="0">
      <selection activeCell="K27" sqref="K27"/>
    </sheetView>
  </sheetViews>
  <sheetFormatPr defaultRowHeight="15.75" x14ac:dyDescent="0.25"/>
  <cols>
    <col min="2" max="2" width="9" style="3"/>
    <col min="3" max="3" width="14.75" style="3" customWidth="1"/>
    <col min="4" max="4" width="13.125" style="3" customWidth="1"/>
    <col min="5" max="5" width="13.375" style="3" customWidth="1"/>
    <col min="6" max="6" width="2.125" style="3" customWidth="1"/>
    <col min="7" max="7" width="15" style="3" customWidth="1"/>
    <col min="8" max="8" width="13.625" style="3" customWidth="1"/>
    <col min="9" max="9" width="13.5" style="3" customWidth="1"/>
    <col min="10" max="10" width="2.125" style="3" customWidth="1"/>
    <col min="11" max="11" width="14.375" style="3" customWidth="1"/>
    <col min="12" max="12" width="13" style="3" customWidth="1"/>
    <col min="13" max="13" width="12.25" style="3" customWidth="1"/>
    <col min="14" max="14" width="2.125" style="3" customWidth="1"/>
    <col min="15" max="15" width="14.5" style="3" customWidth="1"/>
    <col min="16" max="16" width="12.625" style="3" customWidth="1"/>
    <col min="17" max="17" width="12.875" style="3" customWidth="1"/>
    <col min="18" max="18" width="2.125" customWidth="1"/>
  </cols>
  <sheetData>
    <row r="2" spans="2:17" x14ac:dyDescent="0.25">
      <c r="C2" s="14" t="s">
        <v>44</v>
      </c>
      <c r="D2" s="31">
        <f>7.5%</f>
        <v>7.4999999999999997E-2</v>
      </c>
    </row>
    <row r="3" spans="2:17" x14ac:dyDescent="0.25">
      <c r="C3" s="14" t="s">
        <v>45</v>
      </c>
      <c r="D3" s="32">
        <f>$D$2/12</f>
        <v>6.2499999999999995E-3</v>
      </c>
    </row>
    <row r="6" spans="2:17" x14ac:dyDescent="0.25">
      <c r="B6" s="28" t="s">
        <v>31</v>
      </c>
      <c r="C6" s="29" t="s">
        <v>39</v>
      </c>
      <c r="D6" s="30" t="s">
        <v>40</v>
      </c>
      <c r="E6" s="30"/>
      <c r="G6" s="29" t="s">
        <v>41</v>
      </c>
      <c r="H6" s="30" t="s">
        <v>40</v>
      </c>
      <c r="I6" s="30"/>
      <c r="K6" s="29" t="s">
        <v>42</v>
      </c>
      <c r="L6" s="30" t="s">
        <v>40</v>
      </c>
      <c r="M6" s="30"/>
      <c r="O6" s="29" t="s">
        <v>43</v>
      </c>
      <c r="P6" s="30" t="s">
        <v>40</v>
      </c>
      <c r="Q6" s="30"/>
    </row>
    <row r="7" spans="2:17" x14ac:dyDescent="0.25">
      <c r="B7" s="24"/>
      <c r="C7" s="25" t="s">
        <v>32</v>
      </c>
      <c r="D7" s="26" t="s">
        <v>14</v>
      </c>
      <c r="E7" s="26" t="s">
        <v>14</v>
      </c>
      <c r="G7" s="25" t="s">
        <v>33</v>
      </c>
      <c r="H7" s="26" t="s">
        <v>36</v>
      </c>
      <c r="I7" s="26" t="s">
        <v>36</v>
      </c>
      <c r="K7" s="25" t="s">
        <v>34</v>
      </c>
      <c r="L7" s="26" t="s">
        <v>37</v>
      </c>
      <c r="M7" s="26" t="s">
        <v>37</v>
      </c>
      <c r="O7" s="25" t="s">
        <v>35</v>
      </c>
      <c r="P7" s="26" t="s">
        <v>38</v>
      </c>
      <c r="Q7" s="26" t="s">
        <v>38</v>
      </c>
    </row>
    <row r="8" spans="2:17" x14ac:dyDescent="0.25">
      <c r="B8" s="28" t="s">
        <v>28</v>
      </c>
      <c r="C8" s="29" t="s">
        <v>6</v>
      </c>
      <c r="D8" s="30" t="s">
        <v>15</v>
      </c>
      <c r="E8" s="30" t="s">
        <v>10</v>
      </c>
      <c r="G8" s="29" t="s">
        <v>6</v>
      </c>
      <c r="H8" s="30" t="s">
        <v>15</v>
      </c>
      <c r="I8" s="30" t="s">
        <v>10</v>
      </c>
      <c r="K8" s="29" t="s">
        <v>6</v>
      </c>
      <c r="L8" s="30" t="s">
        <v>15</v>
      </c>
      <c r="M8" s="30" t="s">
        <v>10</v>
      </c>
      <c r="O8" s="29" t="s">
        <v>6</v>
      </c>
      <c r="P8" s="30" t="s">
        <v>15</v>
      </c>
      <c r="Q8" s="30" t="s">
        <v>10</v>
      </c>
    </row>
    <row r="9" spans="2:17" x14ac:dyDescent="0.25">
      <c r="B9" s="3">
        <v>0</v>
      </c>
      <c r="C9" s="27">
        <v>100000000</v>
      </c>
      <c r="D9" s="7"/>
      <c r="E9" s="7"/>
      <c r="G9" s="27">
        <v>50000000</v>
      </c>
      <c r="H9" s="7"/>
      <c r="I9" s="7"/>
      <c r="K9" s="27">
        <v>30000000</v>
      </c>
      <c r="L9" s="7"/>
      <c r="M9" s="7"/>
      <c r="O9" s="27">
        <v>20000000</v>
      </c>
      <c r="P9" s="7"/>
      <c r="Q9" s="7"/>
    </row>
    <row r="10" spans="2:17" x14ac:dyDescent="0.25">
      <c r="B10" s="3">
        <v>1</v>
      </c>
      <c r="C10" s="27">
        <v>99779252.18866314</v>
      </c>
      <c r="D10" s="7">
        <v>625000</v>
      </c>
      <c r="E10" s="7">
        <v>220747.811336866</v>
      </c>
      <c r="G10" s="27">
        <f>G9-I10</f>
        <v>49779252.188663132</v>
      </c>
      <c r="H10" s="7">
        <f>$D$3*G9</f>
        <v>312500</v>
      </c>
      <c r="I10" s="7">
        <f>IF(G9&gt;0,IF(E10 &lt; G9, E10, G9),0)</f>
        <v>220747.811336866</v>
      </c>
      <c r="K10" s="27">
        <f>K9-M10</f>
        <v>30000000</v>
      </c>
      <c r="L10" s="7">
        <f>$D$3*K9</f>
        <v>187499.99999999997</v>
      </c>
      <c r="M10" s="7">
        <f>IF(G10&gt;0,0,IF(E10 &lt; K9,E10-I10,K9))</f>
        <v>0</v>
      </c>
      <c r="O10" s="27">
        <f>O9-Q10</f>
        <v>20000000</v>
      </c>
      <c r="P10" s="7">
        <f>$D$3*O9</f>
        <v>124999.99999999999</v>
      </c>
      <c r="Q10" s="7">
        <f>IF(K10&gt;0,0,E10-M10)</f>
        <v>0</v>
      </c>
    </row>
    <row r="11" spans="2:17" x14ac:dyDescent="0.25">
      <c r="B11" s="3">
        <v>2</v>
      </c>
      <c r="C11" s="27">
        <v>99533099.367143214</v>
      </c>
      <c r="D11" s="7">
        <v>623620.32617914455</v>
      </c>
      <c r="E11" s="7">
        <v>246152.82151992587</v>
      </c>
      <c r="G11" s="27">
        <f t="shared" ref="G11:G74" si="0">G10-I11</f>
        <v>49533099.367143206</v>
      </c>
      <c r="H11" s="7">
        <f t="shared" ref="H11:H74" si="1">$D$3*G10</f>
        <v>311120.32617914455</v>
      </c>
      <c r="I11" s="7">
        <f t="shared" ref="I11:I74" si="2">IF(G10&gt;0,IF(E11 &lt; G10, E11, G10),0)</f>
        <v>246152.82151992587</v>
      </c>
      <c r="K11" s="27">
        <f t="shared" ref="K11:K74" si="3">K10-M11</f>
        <v>30000000</v>
      </c>
      <c r="L11" s="7">
        <f t="shared" ref="L11:L74" si="4">$D$3*K10</f>
        <v>187499.99999999997</v>
      </c>
      <c r="M11" s="7">
        <f t="shared" ref="M11:M74" si="5">IF(G11&gt;0,0,IF(E11 &lt; K10,E11-I11,K10))</f>
        <v>0</v>
      </c>
      <c r="O11" s="27">
        <f t="shared" ref="O11:O74" si="6">O10-Q11</f>
        <v>20000000</v>
      </c>
      <c r="P11" s="7">
        <f t="shared" ref="P11:P74" si="7">$D$3*O10</f>
        <v>124999.99999999999</v>
      </c>
      <c r="Q11" s="7">
        <f t="shared" ref="Q11:Q74" si="8">IF(K11&gt;0,0,E11-M11)</f>
        <v>0</v>
      </c>
    </row>
    <row r="12" spans="2:17" x14ac:dyDescent="0.25">
      <c r="B12" s="3">
        <v>3</v>
      </c>
      <c r="C12" s="27">
        <v>99261650.29456535</v>
      </c>
      <c r="D12" s="7">
        <v>622081.87104464509</v>
      </c>
      <c r="E12" s="7">
        <v>271449.07257785846</v>
      </c>
      <c r="G12" s="27">
        <f t="shared" si="0"/>
        <v>49261650.29456535</v>
      </c>
      <c r="H12" s="7">
        <f t="shared" si="1"/>
        <v>309581.87104464503</v>
      </c>
      <c r="I12" s="7">
        <f t="shared" si="2"/>
        <v>271449.07257785846</v>
      </c>
      <c r="K12" s="27">
        <f t="shared" si="3"/>
        <v>30000000</v>
      </c>
      <c r="L12" s="7">
        <f t="shared" si="4"/>
        <v>187499.99999999997</v>
      </c>
      <c r="M12" s="7">
        <f t="shared" si="5"/>
        <v>0</v>
      </c>
      <c r="O12" s="27">
        <f t="shared" si="6"/>
        <v>20000000</v>
      </c>
      <c r="P12" s="7">
        <f t="shared" si="7"/>
        <v>124999.99999999999</v>
      </c>
      <c r="Q12" s="7">
        <f t="shared" si="8"/>
        <v>0</v>
      </c>
    </row>
    <row r="13" spans="2:17" x14ac:dyDescent="0.25">
      <c r="B13" s="3">
        <v>4</v>
      </c>
      <c r="C13" s="27">
        <v>98965033.343804732</v>
      </c>
      <c r="D13" s="7">
        <v>620385.31434103334</v>
      </c>
      <c r="E13" s="7">
        <v>296616.950760615</v>
      </c>
      <c r="G13" s="27">
        <f t="shared" si="0"/>
        <v>48965033.343804732</v>
      </c>
      <c r="H13" s="7">
        <f t="shared" si="1"/>
        <v>307885.3143410334</v>
      </c>
      <c r="I13" s="7">
        <f t="shared" si="2"/>
        <v>296616.950760615</v>
      </c>
      <c r="K13" s="27">
        <f t="shared" si="3"/>
        <v>30000000</v>
      </c>
      <c r="L13" s="7">
        <f t="shared" si="4"/>
        <v>187499.99999999997</v>
      </c>
      <c r="M13" s="7">
        <f t="shared" si="5"/>
        <v>0</v>
      </c>
      <c r="O13" s="27">
        <f t="shared" si="6"/>
        <v>20000000</v>
      </c>
      <c r="P13" s="7">
        <f t="shared" si="7"/>
        <v>124999.99999999999</v>
      </c>
      <c r="Q13" s="7">
        <f t="shared" si="8"/>
        <v>0</v>
      </c>
    </row>
    <row r="14" spans="2:17" x14ac:dyDescent="0.25">
      <c r="B14" s="3">
        <v>5</v>
      </c>
      <c r="C14" s="27">
        <v>98643396.440120935</v>
      </c>
      <c r="D14" s="7">
        <v>618531.4583987795</v>
      </c>
      <c r="E14" s="7">
        <v>321636.90368378919</v>
      </c>
      <c r="G14" s="27">
        <f t="shared" si="0"/>
        <v>48643396.440120943</v>
      </c>
      <c r="H14" s="7">
        <f t="shared" si="1"/>
        <v>306031.45839877956</v>
      </c>
      <c r="I14" s="7">
        <f t="shared" si="2"/>
        <v>321636.90368378919</v>
      </c>
      <c r="K14" s="27">
        <f t="shared" si="3"/>
        <v>30000000</v>
      </c>
      <c r="L14" s="7">
        <f t="shared" si="4"/>
        <v>187499.99999999997</v>
      </c>
      <c r="M14" s="7">
        <f t="shared" si="5"/>
        <v>0</v>
      </c>
      <c r="O14" s="27">
        <f t="shared" si="6"/>
        <v>20000000</v>
      </c>
      <c r="P14" s="7">
        <f t="shared" si="7"/>
        <v>124999.99999999999</v>
      </c>
      <c r="Q14" s="7">
        <f t="shared" si="8"/>
        <v>0</v>
      </c>
    </row>
    <row r="15" spans="2:17" x14ac:dyDescent="0.25">
      <c r="B15" s="3">
        <v>6</v>
      </c>
      <c r="C15" s="27">
        <v>98296906.974602133</v>
      </c>
      <c r="D15" s="7">
        <v>616521.22775075585</v>
      </c>
      <c r="E15" s="7">
        <v>346489.46551879891</v>
      </c>
      <c r="G15" s="27">
        <f t="shared" si="0"/>
        <v>48296906.97460214</v>
      </c>
      <c r="H15" s="7">
        <f t="shared" si="1"/>
        <v>304021.22775075585</v>
      </c>
      <c r="I15" s="7">
        <f t="shared" si="2"/>
        <v>346489.46551879891</v>
      </c>
      <c r="K15" s="27">
        <f t="shared" si="3"/>
        <v>30000000</v>
      </c>
      <c r="L15" s="7">
        <f t="shared" si="4"/>
        <v>187499.99999999997</v>
      </c>
      <c r="M15" s="7">
        <f t="shared" si="5"/>
        <v>0</v>
      </c>
      <c r="O15" s="27">
        <f t="shared" si="6"/>
        <v>20000000</v>
      </c>
      <c r="P15" s="7">
        <f t="shared" si="7"/>
        <v>124999.99999999999</v>
      </c>
      <c r="Q15" s="7">
        <f t="shared" si="8"/>
        <v>0</v>
      </c>
    </row>
    <row r="16" spans="2:17" x14ac:dyDescent="0.25">
      <c r="B16" s="3">
        <v>7</v>
      </c>
      <c r="C16" s="27">
        <v>97925751.692389935</v>
      </c>
      <c r="D16" s="7">
        <v>614355.66859126324</v>
      </c>
      <c r="E16" s="7">
        <v>371155.28221220267</v>
      </c>
      <c r="G16" s="27">
        <f t="shared" si="0"/>
        <v>47925751.692389935</v>
      </c>
      <c r="H16" s="7">
        <f t="shared" si="1"/>
        <v>301855.66859126335</v>
      </c>
      <c r="I16" s="7">
        <f t="shared" si="2"/>
        <v>371155.28221220267</v>
      </c>
      <c r="K16" s="27">
        <f t="shared" si="3"/>
        <v>30000000</v>
      </c>
      <c r="L16" s="7">
        <f t="shared" si="4"/>
        <v>187499.99999999997</v>
      </c>
      <c r="M16" s="7">
        <f t="shared" si="5"/>
        <v>0</v>
      </c>
      <c r="O16" s="27">
        <f t="shared" si="6"/>
        <v>20000000</v>
      </c>
      <c r="P16" s="7">
        <f t="shared" si="7"/>
        <v>124999.99999999999</v>
      </c>
      <c r="Q16" s="7">
        <f t="shared" si="8"/>
        <v>0</v>
      </c>
    </row>
    <row r="17" spans="2:17" x14ac:dyDescent="0.25">
      <c r="B17" s="3">
        <v>8</v>
      </c>
      <c r="C17" s="27">
        <v>97530136.555700108</v>
      </c>
      <c r="D17" s="7">
        <v>612035.948077437</v>
      </c>
      <c r="E17" s="7">
        <v>395615.13668982661</v>
      </c>
      <c r="G17" s="27">
        <f t="shared" si="0"/>
        <v>47530136.555700108</v>
      </c>
      <c r="H17" s="7">
        <f t="shared" si="1"/>
        <v>299535.94807743706</v>
      </c>
      <c r="I17" s="7">
        <f t="shared" si="2"/>
        <v>395615.13668982661</v>
      </c>
      <c r="K17" s="27">
        <f t="shared" si="3"/>
        <v>30000000</v>
      </c>
      <c r="L17" s="7">
        <f t="shared" si="4"/>
        <v>187499.99999999997</v>
      </c>
      <c r="M17" s="7">
        <f t="shared" si="5"/>
        <v>0</v>
      </c>
      <c r="O17" s="27">
        <f t="shared" si="6"/>
        <v>20000000</v>
      </c>
      <c r="P17" s="7">
        <f t="shared" si="7"/>
        <v>124999.99999999999</v>
      </c>
      <c r="Q17" s="7">
        <f t="shared" si="8"/>
        <v>0</v>
      </c>
    </row>
    <row r="18" spans="2:17" x14ac:dyDescent="0.25">
      <c r="B18" s="3">
        <v>9</v>
      </c>
      <c r="C18" s="27">
        <v>97110286.581699446</v>
      </c>
      <c r="D18" s="7">
        <v>609563.35347312561</v>
      </c>
      <c r="E18" s="7">
        <v>419849.97400066</v>
      </c>
      <c r="G18" s="27">
        <f t="shared" si="0"/>
        <v>47110286.581699446</v>
      </c>
      <c r="H18" s="7">
        <f t="shared" si="1"/>
        <v>297063.35347312567</v>
      </c>
      <c r="I18" s="7">
        <f t="shared" si="2"/>
        <v>419849.97400066</v>
      </c>
      <c r="K18" s="27">
        <f t="shared" si="3"/>
        <v>30000000</v>
      </c>
      <c r="L18" s="7">
        <f t="shared" si="4"/>
        <v>187499.99999999997</v>
      </c>
      <c r="M18" s="7">
        <f t="shared" si="5"/>
        <v>0</v>
      </c>
      <c r="O18" s="27">
        <f t="shared" si="6"/>
        <v>20000000</v>
      </c>
      <c r="P18" s="7">
        <f t="shared" si="7"/>
        <v>124999.99999999999</v>
      </c>
      <c r="Q18" s="7">
        <f t="shared" si="8"/>
        <v>0</v>
      </c>
    </row>
    <row r="19" spans="2:17" x14ac:dyDescent="0.25">
      <c r="B19" s="3">
        <v>10</v>
      </c>
      <c r="C19" s="27">
        <v>96666445.655344099</v>
      </c>
      <c r="D19" s="7">
        <v>606939.29113562149</v>
      </c>
      <c r="E19" s="7">
        <v>443840.92635534576</v>
      </c>
      <c r="G19" s="27">
        <f t="shared" si="0"/>
        <v>46666445.655344099</v>
      </c>
      <c r="H19" s="7">
        <f t="shared" si="1"/>
        <v>294439.29113562149</v>
      </c>
      <c r="I19" s="7">
        <f t="shared" si="2"/>
        <v>443840.92635534576</v>
      </c>
      <c r="K19" s="27">
        <f t="shared" si="3"/>
        <v>30000000</v>
      </c>
      <c r="L19" s="7">
        <f t="shared" si="4"/>
        <v>187499.99999999997</v>
      </c>
      <c r="M19" s="7">
        <f t="shared" si="5"/>
        <v>0</v>
      </c>
      <c r="O19" s="27">
        <f t="shared" si="6"/>
        <v>20000000</v>
      </c>
      <c r="P19" s="7">
        <f t="shared" si="7"/>
        <v>124999.99999999999</v>
      </c>
      <c r="Q19" s="7">
        <f t="shared" si="8"/>
        <v>0</v>
      </c>
    </row>
    <row r="20" spans="2:17" x14ac:dyDescent="0.25">
      <c r="B20" s="3">
        <v>11</v>
      </c>
      <c r="C20" s="27">
        <v>96198876.317330211</v>
      </c>
      <c r="D20" s="7">
        <v>604165.28534590057</v>
      </c>
      <c r="E20" s="7">
        <v>467569.33801388706</v>
      </c>
      <c r="G20" s="27">
        <f t="shared" si="0"/>
        <v>46198876.317330211</v>
      </c>
      <c r="H20" s="7">
        <f t="shared" si="1"/>
        <v>291665.28534590057</v>
      </c>
      <c r="I20" s="7">
        <f t="shared" si="2"/>
        <v>467569.33801388706</v>
      </c>
      <c r="K20" s="27">
        <f t="shared" si="3"/>
        <v>30000000</v>
      </c>
      <c r="L20" s="7">
        <f t="shared" si="4"/>
        <v>187499.99999999997</v>
      </c>
      <c r="M20" s="7">
        <f t="shared" si="5"/>
        <v>0</v>
      </c>
      <c r="O20" s="27">
        <f t="shared" si="6"/>
        <v>20000000</v>
      </c>
      <c r="P20" s="7">
        <f t="shared" si="7"/>
        <v>124999.99999999999</v>
      </c>
      <c r="Q20" s="7">
        <f t="shared" si="8"/>
        <v>0</v>
      </c>
    </row>
    <row r="21" spans="2:17" x14ac:dyDescent="0.25">
      <c r="B21" s="3">
        <v>12</v>
      </c>
      <c r="C21" s="27">
        <v>95707859.527353227</v>
      </c>
      <c r="D21" s="7">
        <v>601242.9769833138</v>
      </c>
      <c r="E21" s="7">
        <v>491016.78997698269</v>
      </c>
      <c r="G21" s="27">
        <f t="shared" si="0"/>
        <v>45707859.527353227</v>
      </c>
      <c r="H21" s="7">
        <f t="shared" si="1"/>
        <v>288742.9769833138</v>
      </c>
      <c r="I21" s="7">
        <f t="shared" si="2"/>
        <v>491016.78997698269</v>
      </c>
      <c r="K21" s="27">
        <f t="shared" si="3"/>
        <v>30000000</v>
      </c>
      <c r="L21" s="7">
        <f t="shared" si="4"/>
        <v>187499.99999999997</v>
      </c>
      <c r="M21" s="7">
        <f t="shared" si="5"/>
        <v>0</v>
      </c>
      <c r="O21" s="27">
        <f t="shared" si="6"/>
        <v>20000000</v>
      </c>
      <c r="P21" s="7">
        <f t="shared" si="7"/>
        <v>124999.99999999999</v>
      </c>
      <c r="Q21" s="7">
        <f t="shared" si="8"/>
        <v>0</v>
      </c>
    </row>
    <row r="22" spans="2:17" x14ac:dyDescent="0.25">
      <c r="B22" s="3">
        <v>13</v>
      </c>
      <c r="C22" s="27">
        <v>95193694.402917534</v>
      </c>
      <c r="D22" s="7">
        <v>598174.1220459576</v>
      </c>
      <c r="E22" s="7">
        <v>514165.12443569396</v>
      </c>
      <c r="G22" s="27">
        <f t="shared" si="0"/>
        <v>45193694.402917534</v>
      </c>
      <c r="H22" s="7">
        <f t="shared" si="1"/>
        <v>285674.12204595766</v>
      </c>
      <c r="I22" s="7">
        <f t="shared" si="2"/>
        <v>514165.12443569396</v>
      </c>
      <c r="K22" s="27">
        <f t="shared" si="3"/>
        <v>30000000</v>
      </c>
      <c r="L22" s="7">
        <f t="shared" si="4"/>
        <v>187499.99999999997</v>
      </c>
      <c r="M22" s="7">
        <f t="shared" si="5"/>
        <v>0</v>
      </c>
      <c r="O22" s="27">
        <f t="shared" si="6"/>
        <v>20000000</v>
      </c>
      <c r="P22" s="7">
        <f t="shared" si="7"/>
        <v>124999.99999999999</v>
      </c>
      <c r="Q22" s="7">
        <f t="shared" si="8"/>
        <v>0</v>
      </c>
    </row>
    <row r="23" spans="2:17" x14ac:dyDescent="0.25">
      <c r="B23" s="3">
        <v>14</v>
      </c>
      <c r="C23" s="27">
        <v>94656697.933983505</v>
      </c>
      <c r="D23" s="7">
        <v>594960.59001823456</v>
      </c>
      <c r="E23" s="7">
        <v>536996.46893403481</v>
      </c>
      <c r="G23" s="27">
        <f t="shared" si="0"/>
        <v>44656697.933983497</v>
      </c>
      <c r="H23" s="7">
        <f t="shared" si="1"/>
        <v>282460.59001823456</v>
      </c>
      <c r="I23" s="7">
        <f t="shared" si="2"/>
        <v>536996.46893403481</v>
      </c>
      <c r="K23" s="27">
        <f t="shared" si="3"/>
        <v>30000000</v>
      </c>
      <c r="L23" s="7">
        <f t="shared" si="4"/>
        <v>187499.99999999997</v>
      </c>
      <c r="M23" s="7">
        <f t="shared" si="5"/>
        <v>0</v>
      </c>
      <c r="O23" s="27">
        <f t="shared" si="6"/>
        <v>20000000</v>
      </c>
      <c r="P23" s="7">
        <f t="shared" si="7"/>
        <v>124999.99999999999</v>
      </c>
      <c r="Q23" s="7">
        <f t="shared" si="8"/>
        <v>0</v>
      </c>
    </row>
    <row r="24" spans="2:17" x14ac:dyDescent="0.25">
      <c r="B24" s="3">
        <v>15</v>
      </c>
      <c r="C24" s="27">
        <v>94097204.673784167</v>
      </c>
      <c r="D24" s="7">
        <v>591604.3620873969</v>
      </c>
      <c r="E24" s="7">
        <v>559493.26019933098</v>
      </c>
      <c r="G24" s="27">
        <f t="shared" si="0"/>
        <v>44097204.673784167</v>
      </c>
      <c r="H24" s="7">
        <f t="shared" si="1"/>
        <v>279104.36208739685</v>
      </c>
      <c r="I24" s="7">
        <f t="shared" si="2"/>
        <v>559493.26019933098</v>
      </c>
      <c r="K24" s="27">
        <f t="shared" si="3"/>
        <v>30000000</v>
      </c>
      <c r="L24" s="7">
        <f t="shared" si="4"/>
        <v>187499.99999999997</v>
      </c>
      <c r="M24" s="7">
        <f t="shared" si="5"/>
        <v>0</v>
      </c>
      <c r="O24" s="27">
        <f t="shared" si="6"/>
        <v>20000000</v>
      </c>
      <c r="P24" s="7">
        <f t="shared" si="7"/>
        <v>124999.99999999999</v>
      </c>
      <c r="Q24" s="7">
        <f t="shared" si="8"/>
        <v>0</v>
      </c>
    </row>
    <row r="25" spans="2:17" x14ac:dyDescent="0.25">
      <c r="B25" s="3">
        <v>16</v>
      </c>
      <c r="C25" s="27">
        <v>93515566.406188458</v>
      </c>
      <c r="D25" s="7">
        <v>588107.52921115095</v>
      </c>
      <c r="E25" s="7">
        <v>581638.26759571128</v>
      </c>
      <c r="G25" s="27">
        <f t="shared" si="0"/>
        <v>43515566.406188458</v>
      </c>
      <c r="H25" s="7">
        <f t="shared" si="1"/>
        <v>275607.52921115101</v>
      </c>
      <c r="I25" s="7">
        <f t="shared" si="2"/>
        <v>581638.26759571128</v>
      </c>
      <c r="K25" s="27">
        <f t="shared" si="3"/>
        <v>30000000</v>
      </c>
      <c r="L25" s="7">
        <f t="shared" si="4"/>
        <v>187499.99999999997</v>
      </c>
      <c r="M25" s="7">
        <f t="shared" si="5"/>
        <v>0</v>
      </c>
      <c r="O25" s="27">
        <f t="shared" si="6"/>
        <v>20000000</v>
      </c>
      <c r="P25" s="7">
        <f t="shared" si="7"/>
        <v>124999.99999999999</v>
      </c>
      <c r="Q25" s="7">
        <f t="shared" si="8"/>
        <v>0</v>
      </c>
    </row>
    <row r="26" spans="2:17" x14ac:dyDescent="0.25">
      <c r="B26" s="3">
        <v>17</v>
      </c>
      <c r="C26" s="27">
        <v>92912151.790032148</v>
      </c>
      <c r="D26" s="7">
        <v>584472.29003867786</v>
      </c>
      <c r="E26" s="7">
        <v>603414.61615631531</v>
      </c>
      <c r="G26" s="27">
        <f t="shared" si="0"/>
        <v>42912151.790032141</v>
      </c>
      <c r="H26" s="7">
        <f t="shared" si="1"/>
        <v>271972.29003867786</v>
      </c>
      <c r="I26" s="7">
        <f t="shared" si="2"/>
        <v>603414.61615631531</v>
      </c>
      <c r="K26" s="27">
        <f t="shared" si="3"/>
        <v>30000000</v>
      </c>
      <c r="L26" s="7">
        <f t="shared" si="4"/>
        <v>187499.99999999997</v>
      </c>
      <c r="M26" s="7">
        <f t="shared" si="5"/>
        <v>0</v>
      </c>
      <c r="O26" s="27">
        <f t="shared" si="6"/>
        <v>20000000</v>
      </c>
      <c r="P26" s="7">
        <f t="shared" si="7"/>
        <v>124999.99999999999</v>
      </c>
      <c r="Q26" s="7">
        <f t="shared" si="8"/>
        <v>0</v>
      </c>
    </row>
    <row r="27" spans="2:17" x14ac:dyDescent="0.25">
      <c r="B27" s="3">
        <v>18</v>
      </c>
      <c r="C27" s="27">
        <v>92287345.980881646</v>
      </c>
      <c r="D27" s="7">
        <v>580700.9486877009</v>
      </c>
      <c r="E27" s="7">
        <v>624805.80915050616</v>
      </c>
      <c r="G27" s="27">
        <f t="shared" si="0"/>
        <v>42287345.980881631</v>
      </c>
      <c r="H27" s="7">
        <f t="shared" si="1"/>
        <v>268200.94868770085</v>
      </c>
      <c r="I27" s="7">
        <f t="shared" si="2"/>
        <v>624805.80915050616</v>
      </c>
      <c r="K27" s="27">
        <f t="shared" si="3"/>
        <v>30000000</v>
      </c>
      <c r="L27" s="7">
        <f t="shared" si="4"/>
        <v>187499.99999999997</v>
      </c>
      <c r="M27" s="7">
        <f t="shared" si="5"/>
        <v>0</v>
      </c>
      <c r="O27" s="27">
        <f t="shared" si="6"/>
        <v>20000000</v>
      </c>
      <c r="P27" s="7">
        <f t="shared" si="7"/>
        <v>124999.99999999999</v>
      </c>
      <c r="Q27" s="7">
        <f t="shared" si="8"/>
        <v>0</v>
      </c>
    </row>
    <row r="28" spans="2:17" x14ac:dyDescent="0.25">
      <c r="B28" s="3">
        <v>19</v>
      </c>
      <c r="C28" s="27">
        <v>91641550.230738714</v>
      </c>
      <c r="D28" s="7">
        <v>576795.91238051024</v>
      </c>
      <c r="E28" s="7">
        <v>645795.75014292751</v>
      </c>
      <c r="G28" s="27">
        <f t="shared" si="0"/>
        <v>41641550.230738707</v>
      </c>
      <c r="H28" s="7">
        <f t="shared" si="1"/>
        <v>264295.91238051018</v>
      </c>
      <c r="I28" s="7">
        <f t="shared" si="2"/>
        <v>645795.75014292751</v>
      </c>
      <c r="K28" s="27">
        <f t="shared" si="3"/>
        <v>30000000</v>
      </c>
      <c r="L28" s="7">
        <f t="shared" si="4"/>
        <v>187499.99999999997</v>
      </c>
      <c r="M28" s="7">
        <f t="shared" si="5"/>
        <v>0</v>
      </c>
      <c r="O28" s="27">
        <f t="shared" si="6"/>
        <v>20000000</v>
      </c>
      <c r="P28" s="7">
        <f t="shared" si="7"/>
        <v>124999.99999999999</v>
      </c>
      <c r="Q28" s="7">
        <f t="shared" si="8"/>
        <v>0</v>
      </c>
    </row>
    <row r="29" spans="2:17" x14ac:dyDescent="0.25">
      <c r="B29" s="3">
        <v>20</v>
      </c>
      <c r="C29" s="27">
        <v>90975181.466236621</v>
      </c>
      <c r="D29" s="7">
        <v>572759.68894211692</v>
      </c>
      <c r="E29" s="7">
        <v>666368.76450208959</v>
      </c>
      <c r="G29" s="27">
        <f t="shared" si="0"/>
        <v>40975181.466236614</v>
      </c>
      <c r="H29" s="7">
        <f t="shared" si="1"/>
        <v>260259.68894211689</v>
      </c>
      <c r="I29" s="7">
        <f t="shared" si="2"/>
        <v>666368.76450208959</v>
      </c>
      <c r="K29" s="27">
        <f t="shared" si="3"/>
        <v>30000000</v>
      </c>
      <c r="L29" s="7">
        <f t="shared" si="4"/>
        <v>187499.99999999997</v>
      </c>
      <c r="M29" s="7">
        <f t="shared" si="5"/>
        <v>0</v>
      </c>
      <c r="O29" s="27">
        <f t="shared" si="6"/>
        <v>20000000</v>
      </c>
      <c r="P29" s="7">
        <f t="shared" si="7"/>
        <v>124999.99999999999</v>
      </c>
      <c r="Q29" s="7">
        <f t="shared" si="8"/>
        <v>0</v>
      </c>
    </row>
    <row r="30" spans="2:17" x14ac:dyDescent="0.25">
      <c r="B30" s="3">
        <v>21</v>
      </c>
      <c r="C30" s="27">
        <v>90288671.845919624</v>
      </c>
      <c r="D30" s="7">
        <v>568594.88416397886</v>
      </c>
      <c r="E30" s="7">
        <v>686509.62031699345</v>
      </c>
      <c r="G30" s="27">
        <f t="shared" si="0"/>
        <v>40288671.845919624</v>
      </c>
      <c r="H30" s="7">
        <f t="shared" si="1"/>
        <v>256094.8841639788</v>
      </c>
      <c r="I30" s="7">
        <f t="shared" si="2"/>
        <v>686509.62031699345</v>
      </c>
      <c r="K30" s="27">
        <f t="shared" si="3"/>
        <v>30000000</v>
      </c>
      <c r="L30" s="7">
        <f t="shared" si="4"/>
        <v>187499.99999999997</v>
      </c>
      <c r="M30" s="7">
        <f t="shared" si="5"/>
        <v>0</v>
      </c>
      <c r="O30" s="27">
        <f t="shared" si="6"/>
        <v>20000000</v>
      </c>
      <c r="P30" s="7">
        <f t="shared" si="7"/>
        <v>124999.99999999999</v>
      </c>
      <c r="Q30" s="7">
        <f t="shared" si="8"/>
        <v>0</v>
      </c>
    </row>
    <row r="31" spans="2:17" x14ac:dyDescent="0.25">
      <c r="B31" s="3">
        <v>22</v>
      </c>
      <c r="C31" s="27">
        <v>89582468.297238395</v>
      </c>
      <c r="D31" s="7">
        <v>564304.19903699763</v>
      </c>
      <c r="E31" s="7">
        <v>706203.548681224</v>
      </c>
      <c r="G31" s="27">
        <f t="shared" si="0"/>
        <v>39582468.297238402</v>
      </c>
      <c r="H31" s="7">
        <f t="shared" si="1"/>
        <v>251804.19903699763</v>
      </c>
      <c r="I31" s="7">
        <f t="shared" si="2"/>
        <v>706203.548681224</v>
      </c>
      <c r="K31" s="27">
        <f t="shared" si="3"/>
        <v>30000000</v>
      </c>
      <c r="L31" s="7">
        <f t="shared" si="4"/>
        <v>187499.99999999997</v>
      </c>
      <c r="M31" s="7">
        <f t="shared" si="5"/>
        <v>0</v>
      </c>
      <c r="O31" s="27">
        <f t="shared" si="6"/>
        <v>20000000</v>
      </c>
      <c r="P31" s="7">
        <f t="shared" si="7"/>
        <v>124999.99999999999</v>
      </c>
      <c r="Q31" s="7">
        <f t="shared" si="8"/>
        <v>0</v>
      </c>
    </row>
    <row r="32" spans="2:17" x14ac:dyDescent="0.25">
      <c r="B32" s="3">
        <v>23</v>
      </c>
      <c r="C32" s="27">
        <v>88857032.033933267</v>
      </c>
      <c r="D32" s="7">
        <v>559890.42685773992</v>
      </c>
      <c r="E32" s="7">
        <v>725436.26330512867</v>
      </c>
      <c r="G32" s="27">
        <f t="shared" si="0"/>
        <v>38857032.033933274</v>
      </c>
      <c r="H32" s="7">
        <f t="shared" si="1"/>
        <v>247390.42685773998</v>
      </c>
      <c r="I32" s="7">
        <f t="shared" si="2"/>
        <v>725436.26330512867</v>
      </c>
      <c r="K32" s="27">
        <f t="shared" si="3"/>
        <v>30000000</v>
      </c>
      <c r="L32" s="7">
        <f t="shared" si="4"/>
        <v>187499.99999999997</v>
      </c>
      <c r="M32" s="7">
        <f t="shared" si="5"/>
        <v>0</v>
      </c>
      <c r="O32" s="27">
        <f t="shared" si="6"/>
        <v>20000000</v>
      </c>
      <c r="P32" s="7">
        <f t="shared" si="7"/>
        <v>124999.99999999999</v>
      </c>
      <c r="Q32" s="7">
        <f t="shared" si="8"/>
        <v>0</v>
      </c>
    </row>
    <row r="33" spans="2:17" x14ac:dyDescent="0.25">
      <c r="B33" s="3">
        <v>24</v>
      </c>
      <c r="C33" s="27">
        <v>88112838.054515585</v>
      </c>
      <c r="D33" s="7">
        <v>555356.45021208283</v>
      </c>
      <c r="E33" s="7">
        <v>744193.97941768449</v>
      </c>
      <c r="G33" s="27">
        <f t="shared" si="0"/>
        <v>38112838.054515593</v>
      </c>
      <c r="H33" s="7">
        <f t="shared" si="1"/>
        <v>242856.45021208294</v>
      </c>
      <c r="I33" s="7">
        <f t="shared" si="2"/>
        <v>744193.97941768449</v>
      </c>
      <c r="K33" s="27">
        <f t="shared" si="3"/>
        <v>30000000</v>
      </c>
      <c r="L33" s="7">
        <f t="shared" si="4"/>
        <v>187499.99999999997</v>
      </c>
      <c r="M33" s="7">
        <f t="shared" si="5"/>
        <v>0</v>
      </c>
      <c r="O33" s="27">
        <f t="shared" si="6"/>
        <v>20000000</v>
      </c>
      <c r="P33" s="7">
        <f t="shared" si="7"/>
        <v>124999.99999999999</v>
      </c>
      <c r="Q33" s="7">
        <f t="shared" si="8"/>
        <v>0</v>
      </c>
    </row>
    <row r="34" spans="2:17" x14ac:dyDescent="0.25">
      <c r="B34" s="3">
        <v>25</v>
      </c>
      <c r="C34" s="27">
        <v>87350374.622594431</v>
      </c>
      <c r="D34" s="7">
        <v>550705.23784072232</v>
      </c>
      <c r="E34" s="7">
        <v>762463.43192114739</v>
      </c>
      <c r="G34" s="27">
        <f t="shared" si="0"/>
        <v>37350374.622594446</v>
      </c>
      <c r="H34" s="7">
        <f t="shared" si="1"/>
        <v>238205.23784072243</v>
      </c>
      <c r="I34" s="7">
        <f t="shared" si="2"/>
        <v>762463.43192114739</v>
      </c>
      <c r="K34" s="27">
        <f t="shared" si="3"/>
        <v>30000000</v>
      </c>
      <c r="L34" s="7">
        <f t="shared" si="4"/>
        <v>187499.99999999997</v>
      </c>
      <c r="M34" s="7">
        <f t="shared" si="5"/>
        <v>0</v>
      </c>
      <c r="O34" s="27">
        <f t="shared" si="6"/>
        <v>20000000</v>
      </c>
      <c r="P34" s="7">
        <f t="shared" si="7"/>
        <v>124999.99999999999</v>
      </c>
      <c r="Q34" s="7">
        <f t="shared" si="8"/>
        <v>0</v>
      </c>
    </row>
    <row r="35" spans="2:17" x14ac:dyDescent="0.25">
      <c r="B35" s="3">
        <v>26</v>
      </c>
      <c r="C35" s="27">
        <v>86593968.303206995</v>
      </c>
      <c r="D35" s="7">
        <v>545939.8413912151</v>
      </c>
      <c r="E35" s="7">
        <v>756406.31938743696</v>
      </c>
      <c r="G35" s="27">
        <f t="shared" si="0"/>
        <v>36593968.30320701</v>
      </c>
      <c r="H35" s="7">
        <f t="shared" si="1"/>
        <v>233439.84139121528</v>
      </c>
      <c r="I35" s="7">
        <f t="shared" si="2"/>
        <v>756406.31938743696</v>
      </c>
      <c r="K35" s="27">
        <f t="shared" si="3"/>
        <v>30000000</v>
      </c>
      <c r="L35" s="7">
        <f t="shared" si="4"/>
        <v>187499.99999999997</v>
      </c>
      <c r="M35" s="7">
        <f t="shared" si="5"/>
        <v>0</v>
      </c>
      <c r="O35" s="27">
        <f t="shared" si="6"/>
        <v>20000000</v>
      </c>
      <c r="P35" s="7">
        <f t="shared" si="7"/>
        <v>124999.99999999999</v>
      </c>
      <c r="Q35" s="7">
        <f t="shared" si="8"/>
        <v>0</v>
      </c>
    </row>
    <row r="36" spans="2:17" x14ac:dyDescent="0.25">
      <c r="B36" s="3">
        <v>27</v>
      </c>
      <c r="C36" s="27">
        <v>85843571.571626157</v>
      </c>
      <c r="D36" s="7">
        <v>541212.3018950437</v>
      </c>
      <c r="E36" s="7">
        <v>750396.73158083356</v>
      </c>
      <c r="G36" s="27">
        <f t="shared" si="0"/>
        <v>35843571.571626179</v>
      </c>
      <c r="H36" s="7">
        <f t="shared" si="1"/>
        <v>228712.30189504378</v>
      </c>
      <c r="I36" s="7">
        <f t="shared" si="2"/>
        <v>750396.73158083356</v>
      </c>
      <c r="K36" s="27">
        <f t="shared" si="3"/>
        <v>30000000</v>
      </c>
      <c r="L36" s="7">
        <f t="shared" si="4"/>
        <v>187499.99999999997</v>
      </c>
      <c r="M36" s="7">
        <f t="shared" si="5"/>
        <v>0</v>
      </c>
      <c r="O36" s="27">
        <f t="shared" si="6"/>
        <v>20000000</v>
      </c>
      <c r="P36" s="7">
        <f t="shared" si="7"/>
        <v>124999.99999999999</v>
      </c>
      <c r="Q36" s="7">
        <f t="shared" si="8"/>
        <v>0</v>
      </c>
    </row>
    <row r="37" spans="2:17" x14ac:dyDescent="0.25">
      <c r="B37" s="3">
        <v>28</v>
      </c>
      <c r="C37" s="27">
        <v>85099137.275298372</v>
      </c>
      <c r="D37" s="7">
        <v>536522.32232266339</v>
      </c>
      <c r="E37" s="7">
        <v>744434.29632777814</v>
      </c>
      <c r="G37" s="27">
        <f t="shared" si="0"/>
        <v>35099137.275298402</v>
      </c>
      <c r="H37" s="7">
        <f t="shared" si="1"/>
        <v>224022.32232266359</v>
      </c>
      <c r="I37" s="7">
        <f t="shared" si="2"/>
        <v>744434.29632777814</v>
      </c>
      <c r="K37" s="27">
        <f t="shared" si="3"/>
        <v>30000000</v>
      </c>
      <c r="L37" s="7">
        <f t="shared" si="4"/>
        <v>187499.99999999997</v>
      </c>
      <c r="M37" s="7">
        <f t="shared" si="5"/>
        <v>0</v>
      </c>
      <c r="O37" s="27">
        <f t="shared" si="6"/>
        <v>20000000</v>
      </c>
      <c r="P37" s="7">
        <f t="shared" si="7"/>
        <v>124999.99999999999</v>
      </c>
      <c r="Q37" s="7">
        <f t="shared" si="8"/>
        <v>0</v>
      </c>
    </row>
    <row r="38" spans="2:17" x14ac:dyDescent="0.25">
      <c r="B38" s="3">
        <v>29</v>
      </c>
      <c r="C38" s="27">
        <v>84360618.630929977</v>
      </c>
      <c r="D38" s="7">
        <v>531869.6079706148</v>
      </c>
      <c r="E38" s="7">
        <v>738518.64436840103</v>
      </c>
      <c r="G38" s="27">
        <f t="shared" si="0"/>
        <v>34360618.630929999</v>
      </c>
      <c r="H38" s="7">
        <f t="shared" si="1"/>
        <v>219369.607970615</v>
      </c>
      <c r="I38" s="7">
        <f t="shared" si="2"/>
        <v>738518.64436840103</v>
      </c>
      <c r="K38" s="27">
        <f t="shared" si="3"/>
        <v>30000000</v>
      </c>
      <c r="L38" s="7">
        <f t="shared" si="4"/>
        <v>187499.99999999997</v>
      </c>
      <c r="M38" s="7">
        <f t="shared" si="5"/>
        <v>0</v>
      </c>
      <c r="O38" s="27">
        <f t="shared" si="6"/>
        <v>20000000</v>
      </c>
      <c r="P38" s="7">
        <f t="shared" si="7"/>
        <v>124999.99999999999</v>
      </c>
      <c r="Q38" s="7">
        <f t="shared" si="8"/>
        <v>0</v>
      </c>
    </row>
    <row r="39" spans="2:17" x14ac:dyDescent="0.25">
      <c r="B39" s="3">
        <v>30</v>
      </c>
      <c r="C39" s="27">
        <v>83627969.221596271</v>
      </c>
      <c r="D39" s="7">
        <v>527253.86644331226</v>
      </c>
      <c r="E39" s="7">
        <v>732649.40933371137</v>
      </c>
      <c r="G39" s="27">
        <f t="shared" si="0"/>
        <v>33627969.221596286</v>
      </c>
      <c r="H39" s="7">
        <f t="shared" si="1"/>
        <v>214753.86644331246</v>
      </c>
      <c r="I39" s="7">
        <f t="shared" si="2"/>
        <v>732649.40933371137</v>
      </c>
      <c r="K39" s="27">
        <f t="shared" si="3"/>
        <v>30000000</v>
      </c>
      <c r="L39" s="7">
        <f t="shared" si="4"/>
        <v>187499.99999999997</v>
      </c>
      <c r="M39" s="7">
        <f t="shared" si="5"/>
        <v>0</v>
      </c>
      <c r="O39" s="27">
        <f t="shared" si="6"/>
        <v>20000000</v>
      </c>
      <c r="P39" s="7">
        <f t="shared" si="7"/>
        <v>124999.99999999999</v>
      </c>
      <c r="Q39" s="7">
        <f t="shared" si="8"/>
        <v>0</v>
      </c>
    </row>
    <row r="40" spans="2:17" x14ac:dyDescent="0.25">
      <c r="B40" s="3">
        <v>31</v>
      </c>
      <c r="C40" s="27">
        <v>82901142.993873298</v>
      </c>
      <c r="D40" s="7">
        <v>522674.80763497663</v>
      </c>
      <c r="E40" s="7">
        <v>726826.22772296646</v>
      </c>
      <c r="G40" s="27">
        <f t="shared" si="0"/>
        <v>32901142.993873321</v>
      </c>
      <c r="H40" s="7">
        <f t="shared" si="1"/>
        <v>210174.80763497678</v>
      </c>
      <c r="I40" s="7">
        <f t="shared" si="2"/>
        <v>726826.22772296646</v>
      </c>
      <c r="K40" s="27">
        <f t="shared" si="3"/>
        <v>30000000</v>
      </c>
      <c r="L40" s="7">
        <f t="shared" si="4"/>
        <v>187499.99999999997</v>
      </c>
      <c r="M40" s="7">
        <f t="shared" si="5"/>
        <v>0</v>
      </c>
      <c r="O40" s="27">
        <f t="shared" si="6"/>
        <v>20000000</v>
      </c>
      <c r="P40" s="7">
        <f t="shared" si="7"/>
        <v>124999.99999999999</v>
      </c>
      <c r="Q40" s="7">
        <f t="shared" si="8"/>
        <v>0</v>
      </c>
    </row>
    <row r="41" spans="2:17" x14ac:dyDescent="0.25">
      <c r="B41" s="3">
        <v>32</v>
      </c>
      <c r="C41" s="27">
        <v>82180094.254992083</v>
      </c>
      <c r="D41" s="7">
        <v>518132.14371170808</v>
      </c>
      <c r="E41" s="7">
        <v>721048.73888121708</v>
      </c>
      <c r="G41" s="27">
        <f t="shared" si="0"/>
        <v>32180094.254992105</v>
      </c>
      <c r="H41" s="7">
        <f t="shared" si="1"/>
        <v>205632.14371170822</v>
      </c>
      <c r="I41" s="7">
        <f t="shared" si="2"/>
        <v>721048.73888121708</v>
      </c>
      <c r="K41" s="27">
        <f t="shared" si="3"/>
        <v>30000000</v>
      </c>
      <c r="L41" s="7">
        <f t="shared" si="4"/>
        <v>187499.99999999997</v>
      </c>
      <c r="M41" s="7">
        <f t="shared" si="5"/>
        <v>0</v>
      </c>
      <c r="O41" s="27">
        <f t="shared" si="6"/>
        <v>20000000</v>
      </c>
      <c r="P41" s="7">
        <f t="shared" si="7"/>
        <v>124999.99999999999</v>
      </c>
      <c r="Q41" s="7">
        <f t="shared" si="8"/>
        <v>0</v>
      </c>
    </row>
    <row r="42" spans="2:17" x14ac:dyDescent="0.25">
      <c r="B42" s="3">
        <v>33</v>
      </c>
      <c r="C42" s="27">
        <v>81464777.670015052</v>
      </c>
      <c r="D42" s="7">
        <v>513625.58909370046</v>
      </c>
      <c r="E42" s="7">
        <v>715316.58497702994</v>
      </c>
      <c r="G42" s="27">
        <f t="shared" si="0"/>
        <v>31464777.670015074</v>
      </c>
      <c r="H42" s="7">
        <f t="shared" si="1"/>
        <v>201125.58909370063</v>
      </c>
      <c r="I42" s="7">
        <f t="shared" si="2"/>
        <v>715316.58497702994</v>
      </c>
      <c r="K42" s="27">
        <f t="shared" si="3"/>
        <v>30000000</v>
      </c>
      <c r="L42" s="7">
        <f t="shared" si="4"/>
        <v>187499.99999999997</v>
      </c>
      <c r="M42" s="7">
        <f t="shared" si="5"/>
        <v>0</v>
      </c>
      <c r="O42" s="27">
        <f t="shared" si="6"/>
        <v>20000000</v>
      </c>
      <c r="P42" s="7">
        <f t="shared" si="7"/>
        <v>124999.99999999999</v>
      </c>
      <c r="Q42" s="7">
        <f t="shared" si="8"/>
        <v>0</v>
      </c>
    </row>
    <row r="43" spans="2:17" x14ac:dyDescent="0.25">
      <c r="B43" s="3">
        <v>34</v>
      </c>
      <c r="C43" s="27">
        <v>80755148.259034663</v>
      </c>
      <c r="D43" s="7">
        <v>509154.860437594</v>
      </c>
      <c r="E43" s="7">
        <v>709629.4109803834</v>
      </c>
      <c r="G43" s="27">
        <f t="shared" si="0"/>
        <v>30755148.25903469</v>
      </c>
      <c r="H43" s="7">
        <f t="shared" si="1"/>
        <v>196654.86043759421</v>
      </c>
      <c r="I43" s="7">
        <f t="shared" si="2"/>
        <v>709629.4109803834</v>
      </c>
      <c r="K43" s="27">
        <f t="shared" si="3"/>
        <v>30000000</v>
      </c>
      <c r="L43" s="7">
        <f t="shared" si="4"/>
        <v>187499.99999999997</v>
      </c>
      <c r="M43" s="7">
        <f t="shared" si="5"/>
        <v>0</v>
      </c>
      <c r="O43" s="27">
        <f t="shared" si="6"/>
        <v>20000000</v>
      </c>
      <c r="P43" s="7">
        <f t="shared" si="7"/>
        <v>124999.99999999999</v>
      </c>
      <c r="Q43" s="7">
        <f t="shared" si="8"/>
        <v>0</v>
      </c>
    </row>
    <row r="44" spans="2:17" x14ac:dyDescent="0.25">
      <c r="B44" s="3">
        <v>35</v>
      </c>
      <c r="C44" s="27">
        <v>80051161.394393921</v>
      </c>
      <c r="D44" s="7">
        <v>504719.67661896662</v>
      </c>
      <c r="E44" s="7">
        <v>703986.86464073672</v>
      </c>
      <c r="G44" s="27">
        <f t="shared" si="0"/>
        <v>30051161.394393954</v>
      </c>
      <c r="H44" s="7">
        <f t="shared" si="1"/>
        <v>192219.6766189668</v>
      </c>
      <c r="I44" s="7">
        <f t="shared" si="2"/>
        <v>703986.86464073672</v>
      </c>
      <c r="K44" s="27">
        <f t="shared" si="3"/>
        <v>30000000</v>
      </c>
      <c r="L44" s="7">
        <f t="shared" si="4"/>
        <v>187499.99999999997</v>
      </c>
      <c r="M44" s="7">
        <f t="shared" si="5"/>
        <v>0</v>
      </c>
      <c r="O44" s="27">
        <f t="shared" si="6"/>
        <v>20000000</v>
      </c>
      <c r="P44" s="7">
        <f t="shared" si="7"/>
        <v>124999.99999999999</v>
      </c>
      <c r="Q44" s="7">
        <f t="shared" si="8"/>
        <v>0</v>
      </c>
    </row>
    <row r="45" spans="2:17" x14ac:dyDescent="0.25">
      <c r="B45" s="3">
        <v>36</v>
      </c>
      <c r="C45" s="27">
        <v>79352772.797928646</v>
      </c>
      <c r="D45" s="7">
        <v>500319.75871496194</v>
      </c>
      <c r="E45" s="7">
        <v>698388.59646527108</v>
      </c>
      <c r="G45" s="27">
        <f t="shared" si="0"/>
        <v>29352772.797928683</v>
      </c>
      <c r="H45" s="7">
        <f t="shared" si="1"/>
        <v>187819.7587149622</v>
      </c>
      <c r="I45" s="7">
        <f t="shared" si="2"/>
        <v>698388.59646527108</v>
      </c>
      <c r="K45" s="27">
        <f t="shared" si="3"/>
        <v>30000000</v>
      </c>
      <c r="L45" s="7">
        <f t="shared" si="4"/>
        <v>187499.99999999997</v>
      </c>
      <c r="M45" s="7">
        <f t="shared" si="5"/>
        <v>0</v>
      </c>
      <c r="O45" s="27">
        <f t="shared" si="6"/>
        <v>20000000</v>
      </c>
      <c r="P45" s="7">
        <f t="shared" si="7"/>
        <v>124999.99999999999</v>
      </c>
      <c r="Q45" s="7">
        <f t="shared" si="8"/>
        <v>0</v>
      </c>
    </row>
    <row r="46" spans="2:17" x14ac:dyDescent="0.25">
      <c r="B46" s="3">
        <v>37</v>
      </c>
      <c r="C46" s="27">
        <v>78659938.538231343</v>
      </c>
      <c r="D46" s="7">
        <v>495954.82998705399</v>
      </c>
      <c r="E46" s="7">
        <v>692834.25969730073</v>
      </c>
      <c r="G46" s="27">
        <f t="shared" si="0"/>
        <v>28659938.538231384</v>
      </c>
      <c r="H46" s="7">
        <f t="shared" si="1"/>
        <v>183454.82998705425</v>
      </c>
      <c r="I46" s="7">
        <f t="shared" si="2"/>
        <v>692834.25969730073</v>
      </c>
      <c r="K46" s="27">
        <f t="shared" si="3"/>
        <v>30000000</v>
      </c>
      <c r="L46" s="7">
        <f t="shared" si="4"/>
        <v>187499.99999999997</v>
      </c>
      <c r="M46" s="7">
        <f t="shared" si="5"/>
        <v>0</v>
      </c>
      <c r="O46" s="27">
        <f t="shared" si="6"/>
        <v>20000000</v>
      </c>
      <c r="P46" s="7">
        <f t="shared" si="7"/>
        <v>124999.99999999999</v>
      </c>
      <c r="Q46" s="7">
        <f t="shared" si="8"/>
        <v>0</v>
      </c>
    </row>
    <row r="47" spans="2:17" x14ac:dyDescent="0.25">
      <c r="B47" s="3">
        <v>38</v>
      </c>
      <c r="C47" s="27">
        <v>77972615.027936488</v>
      </c>
      <c r="D47" s="7">
        <v>491624.61586394586</v>
      </c>
      <c r="E47" s="7">
        <v>687323.51029485278</v>
      </c>
      <c r="G47" s="27">
        <f t="shared" si="0"/>
        <v>27972615.027936533</v>
      </c>
      <c r="H47" s="7">
        <f t="shared" si="1"/>
        <v>179124.61586394612</v>
      </c>
      <c r="I47" s="7">
        <f t="shared" si="2"/>
        <v>687323.51029485278</v>
      </c>
      <c r="K47" s="27">
        <f t="shared" si="3"/>
        <v>30000000</v>
      </c>
      <c r="L47" s="7">
        <f t="shared" si="4"/>
        <v>187499.99999999997</v>
      </c>
      <c r="M47" s="7">
        <f t="shared" si="5"/>
        <v>0</v>
      </c>
      <c r="O47" s="27">
        <f t="shared" si="6"/>
        <v>20000000</v>
      </c>
      <c r="P47" s="7">
        <f t="shared" si="7"/>
        <v>124999.99999999999</v>
      </c>
      <c r="Q47" s="7">
        <f t="shared" si="8"/>
        <v>0</v>
      </c>
    </row>
    <row r="48" spans="2:17" x14ac:dyDescent="0.25">
      <c r="B48" s="3">
        <v>39</v>
      </c>
      <c r="C48" s="27">
        <v>77290759.021027073</v>
      </c>
      <c r="D48" s="7">
        <v>487328.84392460302</v>
      </c>
      <c r="E48" s="7">
        <v>681856.00690941582</v>
      </c>
      <c r="G48" s="27">
        <f t="shared" si="0"/>
        <v>27290759.021027118</v>
      </c>
      <c r="H48" s="7">
        <f t="shared" si="1"/>
        <v>174828.84392460331</v>
      </c>
      <c r="I48" s="7">
        <f t="shared" si="2"/>
        <v>681856.00690941582</v>
      </c>
      <c r="K48" s="27">
        <f t="shared" si="3"/>
        <v>30000000</v>
      </c>
      <c r="L48" s="7">
        <f t="shared" si="4"/>
        <v>187499.99999999997</v>
      </c>
      <c r="M48" s="7">
        <f t="shared" si="5"/>
        <v>0</v>
      </c>
      <c r="O48" s="27">
        <f t="shared" si="6"/>
        <v>20000000</v>
      </c>
      <c r="P48" s="7">
        <f t="shared" si="7"/>
        <v>124999.99999999999</v>
      </c>
      <c r="Q48" s="7">
        <f t="shared" si="8"/>
        <v>0</v>
      </c>
    </row>
    <row r="49" spans="2:17" x14ac:dyDescent="0.25">
      <c r="B49" s="3">
        <v>40</v>
      </c>
      <c r="C49" s="27">
        <v>76614327.610162213</v>
      </c>
      <c r="D49" s="7">
        <v>483067.24388141918</v>
      </c>
      <c r="E49" s="7">
        <v>676431.41086485342</v>
      </c>
      <c r="G49" s="27">
        <f t="shared" si="0"/>
        <v>26614327.610162266</v>
      </c>
      <c r="H49" s="7">
        <f t="shared" si="1"/>
        <v>170567.24388141948</v>
      </c>
      <c r="I49" s="7">
        <f t="shared" si="2"/>
        <v>676431.41086485342</v>
      </c>
      <c r="K49" s="27">
        <f t="shared" si="3"/>
        <v>30000000</v>
      </c>
      <c r="L49" s="7">
        <f t="shared" si="4"/>
        <v>187499.99999999997</v>
      </c>
      <c r="M49" s="7">
        <f t="shared" si="5"/>
        <v>0</v>
      </c>
      <c r="O49" s="27">
        <f t="shared" si="6"/>
        <v>20000000</v>
      </c>
      <c r="P49" s="7">
        <f t="shared" si="7"/>
        <v>124999.99999999999</v>
      </c>
      <c r="Q49" s="7">
        <f t="shared" si="8"/>
        <v>0</v>
      </c>
    </row>
    <row r="50" spans="2:17" x14ac:dyDescent="0.25">
      <c r="B50" s="3">
        <v>41</v>
      </c>
      <c r="C50" s="27">
        <v>75943278.224025726</v>
      </c>
      <c r="D50" s="7">
        <v>478839.5475635138</v>
      </c>
      <c r="E50" s="7">
        <v>671049.38613648422</v>
      </c>
      <c r="G50" s="27">
        <f t="shared" si="0"/>
        <v>25943278.224025782</v>
      </c>
      <c r="H50" s="7">
        <f t="shared" si="1"/>
        <v>166339.54756351415</v>
      </c>
      <c r="I50" s="7">
        <f t="shared" si="2"/>
        <v>671049.38613648422</v>
      </c>
      <c r="K50" s="27">
        <f t="shared" si="3"/>
        <v>30000000</v>
      </c>
      <c r="L50" s="7">
        <f t="shared" si="4"/>
        <v>187499.99999999997</v>
      </c>
      <c r="M50" s="7">
        <f t="shared" si="5"/>
        <v>0</v>
      </c>
      <c r="O50" s="27">
        <f t="shared" si="6"/>
        <v>20000000</v>
      </c>
      <c r="P50" s="7">
        <f t="shared" si="7"/>
        <v>124999.99999999999</v>
      </c>
      <c r="Q50" s="7">
        <f t="shared" si="8"/>
        <v>0</v>
      </c>
    </row>
    <row r="51" spans="2:17" x14ac:dyDescent="0.25">
      <c r="B51" s="3">
        <v>42</v>
      </c>
      <c r="C51" s="27">
        <v>75277568.624695405</v>
      </c>
      <c r="D51" s="7">
        <v>474645.48890016077</v>
      </c>
      <c r="E51" s="7">
        <v>665709.59933032456</v>
      </c>
      <c r="G51" s="27">
        <f t="shared" si="0"/>
        <v>25277568.624695458</v>
      </c>
      <c r="H51" s="7">
        <f t="shared" si="1"/>
        <v>162145.48890016112</v>
      </c>
      <c r="I51" s="7">
        <f t="shared" si="2"/>
        <v>665709.59933032456</v>
      </c>
      <c r="K51" s="27">
        <f t="shared" si="3"/>
        <v>30000000</v>
      </c>
      <c r="L51" s="7">
        <f t="shared" si="4"/>
        <v>187499.99999999997</v>
      </c>
      <c r="M51" s="7">
        <f t="shared" si="5"/>
        <v>0</v>
      </c>
      <c r="O51" s="27">
        <f t="shared" si="6"/>
        <v>20000000</v>
      </c>
      <c r="P51" s="7">
        <f t="shared" si="7"/>
        <v>124999.99999999999</v>
      </c>
      <c r="Q51" s="7">
        <f t="shared" si="8"/>
        <v>0</v>
      </c>
    </row>
    <row r="52" spans="2:17" x14ac:dyDescent="0.25">
      <c r="B52" s="3">
        <v>43</v>
      </c>
      <c r="C52" s="27">
        <v>74617156.905032918</v>
      </c>
      <c r="D52" s="7">
        <v>470484.80390434625</v>
      </c>
      <c r="E52" s="7">
        <v>660411.71966249426</v>
      </c>
      <c r="G52" s="27">
        <f t="shared" si="0"/>
        <v>24617156.905032963</v>
      </c>
      <c r="H52" s="7">
        <f t="shared" si="1"/>
        <v>157984.8039043466</v>
      </c>
      <c r="I52" s="7">
        <f t="shared" si="2"/>
        <v>660411.71966249426</v>
      </c>
      <c r="K52" s="27">
        <f t="shared" si="3"/>
        <v>30000000</v>
      </c>
      <c r="L52" s="7">
        <f t="shared" si="4"/>
        <v>187499.99999999997</v>
      </c>
      <c r="M52" s="7">
        <f t="shared" si="5"/>
        <v>0</v>
      </c>
      <c r="O52" s="27">
        <f t="shared" si="6"/>
        <v>20000000</v>
      </c>
      <c r="P52" s="7">
        <f t="shared" si="7"/>
        <v>124999.99999999999</v>
      </c>
      <c r="Q52" s="7">
        <f t="shared" si="8"/>
        <v>0</v>
      </c>
    </row>
    <row r="53" spans="2:17" x14ac:dyDescent="0.25">
      <c r="B53" s="3">
        <v>44</v>
      </c>
      <c r="C53" s="27">
        <v>73962001.486094132</v>
      </c>
      <c r="D53" s="7">
        <v>466357.23065645568</v>
      </c>
      <c r="E53" s="7">
        <v>655155.41893878311</v>
      </c>
      <c r="G53" s="27">
        <f t="shared" si="0"/>
        <v>23962001.48609418</v>
      </c>
      <c r="H53" s="7">
        <f t="shared" si="1"/>
        <v>153857.230656456</v>
      </c>
      <c r="I53" s="7">
        <f t="shared" si="2"/>
        <v>655155.41893878311</v>
      </c>
      <c r="K53" s="27">
        <f t="shared" si="3"/>
        <v>30000000</v>
      </c>
      <c r="L53" s="7">
        <f t="shared" si="4"/>
        <v>187499.99999999997</v>
      </c>
      <c r="M53" s="7">
        <f t="shared" si="5"/>
        <v>0</v>
      </c>
      <c r="O53" s="27">
        <f t="shared" si="6"/>
        <v>20000000</v>
      </c>
      <c r="P53" s="7">
        <f t="shared" si="7"/>
        <v>124999.99999999999</v>
      </c>
      <c r="Q53" s="7">
        <f t="shared" si="8"/>
        <v>0</v>
      </c>
    </row>
    <row r="54" spans="2:17" x14ac:dyDescent="0.25">
      <c r="B54" s="3">
        <v>45</v>
      </c>
      <c r="C54" s="27">
        <v>73312061.114559755</v>
      </c>
      <c r="D54" s="7">
        <v>462262.5092880883</v>
      </c>
      <c r="E54" s="7">
        <v>649940.37153437803</v>
      </c>
      <c r="G54" s="27">
        <f t="shared" si="0"/>
        <v>23312061.114559803</v>
      </c>
      <c r="H54" s="7">
        <f t="shared" si="1"/>
        <v>149762.50928808862</v>
      </c>
      <c r="I54" s="7">
        <f t="shared" si="2"/>
        <v>649940.37153437803</v>
      </c>
      <c r="K54" s="27">
        <f t="shared" si="3"/>
        <v>30000000</v>
      </c>
      <c r="L54" s="7">
        <f t="shared" si="4"/>
        <v>187499.99999999997</v>
      </c>
      <c r="M54" s="7">
        <f t="shared" si="5"/>
        <v>0</v>
      </c>
      <c r="O54" s="27">
        <f t="shared" si="6"/>
        <v>20000000</v>
      </c>
      <c r="P54" s="7">
        <f t="shared" si="7"/>
        <v>124999.99999999999</v>
      </c>
      <c r="Q54" s="7">
        <f t="shared" si="8"/>
        <v>0</v>
      </c>
    </row>
    <row r="55" spans="2:17" x14ac:dyDescent="0.25">
      <c r="B55" s="3">
        <v>46</v>
      </c>
      <c r="C55" s="27">
        <v>72667294.860186011</v>
      </c>
      <c r="D55" s="7">
        <v>458200.38196599844</v>
      </c>
      <c r="E55" s="7">
        <v>644766.25437374902</v>
      </c>
      <c r="G55" s="27">
        <f t="shared" si="0"/>
        <v>22667294.860186055</v>
      </c>
      <c r="H55" s="7">
        <f t="shared" si="1"/>
        <v>145700.38196599876</v>
      </c>
      <c r="I55" s="7">
        <f t="shared" si="2"/>
        <v>644766.25437374902</v>
      </c>
      <c r="K55" s="27">
        <f t="shared" si="3"/>
        <v>30000000</v>
      </c>
      <c r="L55" s="7">
        <f t="shared" si="4"/>
        <v>187499.99999999997</v>
      </c>
      <c r="M55" s="7">
        <f t="shared" si="5"/>
        <v>0</v>
      </c>
      <c r="O55" s="27">
        <f t="shared" si="6"/>
        <v>20000000</v>
      </c>
      <c r="P55" s="7">
        <f t="shared" si="7"/>
        <v>124999.99999999999</v>
      </c>
      <c r="Q55" s="7">
        <f t="shared" si="8"/>
        <v>0</v>
      </c>
    </row>
    <row r="56" spans="2:17" x14ac:dyDescent="0.25">
      <c r="B56" s="3">
        <v>47</v>
      </c>
      <c r="C56" s="27">
        <v>72027662.113275319</v>
      </c>
      <c r="D56" s="7">
        <v>454170.59287616255</v>
      </c>
      <c r="E56" s="7">
        <v>639632.74691069056</v>
      </c>
      <c r="G56" s="27">
        <f t="shared" si="0"/>
        <v>22027662.113275364</v>
      </c>
      <c r="H56" s="7">
        <f t="shared" si="1"/>
        <v>141670.59287616285</v>
      </c>
      <c r="I56" s="7">
        <f t="shared" si="2"/>
        <v>639632.74691069056</v>
      </c>
      <c r="K56" s="27">
        <f t="shared" si="3"/>
        <v>30000000</v>
      </c>
      <c r="L56" s="7">
        <f t="shared" si="4"/>
        <v>187499.99999999997</v>
      </c>
      <c r="M56" s="7">
        <f t="shared" si="5"/>
        <v>0</v>
      </c>
      <c r="O56" s="27">
        <f t="shared" si="6"/>
        <v>20000000</v>
      </c>
      <c r="P56" s="7">
        <f t="shared" si="7"/>
        <v>124999.99999999999</v>
      </c>
      <c r="Q56" s="7">
        <f t="shared" si="8"/>
        <v>0</v>
      </c>
    </row>
    <row r="57" spans="2:17" x14ac:dyDescent="0.25">
      <c r="B57" s="3">
        <v>48</v>
      </c>
      <c r="C57" s="27">
        <v>71393122.582166791</v>
      </c>
      <c r="D57" s="7">
        <v>450172.88820797071</v>
      </c>
      <c r="E57" s="7">
        <v>634539.53110852255</v>
      </c>
      <c r="G57" s="27">
        <f t="shared" si="0"/>
        <v>21393122.582166843</v>
      </c>
      <c r="H57" s="7">
        <f t="shared" si="1"/>
        <v>137672.888207971</v>
      </c>
      <c r="I57" s="7">
        <f t="shared" si="2"/>
        <v>634539.53110852255</v>
      </c>
      <c r="K57" s="27">
        <f t="shared" si="3"/>
        <v>30000000</v>
      </c>
      <c r="L57" s="7">
        <f t="shared" si="4"/>
        <v>187499.99999999997</v>
      </c>
      <c r="M57" s="7">
        <f t="shared" si="5"/>
        <v>0</v>
      </c>
      <c r="O57" s="27">
        <f t="shared" si="6"/>
        <v>20000000</v>
      </c>
      <c r="P57" s="7">
        <f t="shared" si="7"/>
        <v>124999.99999999999</v>
      </c>
      <c r="Q57" s="7">
        <f t="shared" si="8"/>
        <v>0</v>
      </c>
    </row>
    <row r="58" spans="2:17" x14ac:dyDescent="0.25">
      <c r="B58" s="3">
        <v>49</v>
      </c>
      <c r="C58" s="27">
        <v>70763636.290746346</v>
      </c>
      <c r="D58" s="7">
        <v>446207.01613854239</v>
      </c>
      <c r="E58" s="7">
        <v>629486.29142044345</v>
      </c>
      <c r="G58" s="27">
        <f t="shared" si="0"/>
        <v>20763636.290746398</v>
      </c>
      <c r="H58" s="7">
        <f t="shared" si="1"/>
        <v>133707.01613854276</v>
      </c>
      <c r="I58" s="7">
        <f t="shared" si="2"/>
        <v>629486.29142044345</v>
      </c>
      <c r="K58" s="27">
        <f t="shared" si="3"/>
        <v>30000000</v>
      </c>
      <c r="L58" s="7">
        <f t="shared" si="4"/>
        <v>187499.99999999997</v>
      </c>
      <c r="M58" s="7">
        <f t="shared" si="5"/>
        <v>0</v>
      </c>
      <c r="O58" s="27">
        <f t="shared" si="6"/>
        <v>20000000</v>
      </c>
      <c r="P58" s="7">
        <f t="shared" si="7"/>
        <v>124999.99999999999</v>
      </c>
      <c r="Q58" s="7">
        <f t="shared" si="8"/>
        <v>0</v>
      </c>
    </row>
    <row r="59" spans="2:17" x14ac:dyDescent="0.25">
      <c r="B59" s="3">
        <v>50</v>
      </c>
      <c r="C59" s="27">
        <v>70139163.575976312</v>
      </c>
      <c r="D59" s="7">
        <v>442272.72681716463</v>
      </c>
      <c r="E59" s="7">
        <v>624472.71477003861</v>
      </c>
      <c r="G59" s="27">
        <f t="shared" si="0"/>
        <v>20139163.575976361</v>
      </c>
      <c r="H59" s="7">
        <f t="shared" si="1"/>
        <v>129772.72681716498</v>
      </c>
      <c r="I59" s="7">
        <f t="shared" si="2"/>
        <v>624472.71477003861</v>
      </c>
      <c r="K59" s="27">
        <f t="shared" si="3"/>
        <v>30000000</v>
      </c>
      <c r="L59" s="7">
        <f t="shared" si="4"/>
        <v>187499.99999999997</v>
      </c>
      <c r="M59" s="7">
        <f t="shared" si="5"/>
        <v>0</v>
      </c>
      <c r="O59" s="27">
        <f t="shared" si="6"/>
        <v>20000000</v>
      </c>
      <c r="P59" s="7">
        <f t="shared" si="7"/>
        <v>124999.99999999999</v>
      </c>
      <c r="Q59" s="7">
        <f t="shared" si="8"/>
        <v>0</v>
      </c>
    </row>
    <row r="60" spans="2:17" x14ac:dyDescent="0.25">
      <c r="B60" s="3">
        <v>51</v>
      </c>
      <c r="C60" s="27">
        <v>69519665.085444376</v>
      </c>
      <c r="D60" s="7">
        <v>438369.7723498519</v>
      </c>
      <c r="E60" s="7">
        <v>619498.49053194118</v>
      </c>
      <c r="G60" s="27">
        <f t="shared" si="0"/>
        <v>19519665.085444421</v>
      </c>
      <c r="H60" s="7">
        <f t="shared" si="1"/>
        <v>125869.77234985224</v>
      </c>
      <c r="I60" s="7">
        <f t="shared" si="2"/>
        <v>619498.49053194118</v>
      </c>
      <c r="K60" s="27">
        <f t="shared" si="3"/>
        <v>30000000</v>
      </c>
      <c r="L60" s="7">
        <f t="shared" si="4"/>
        <v>187499.99999999997</v>
      </c>
      <c r="M60" s="7">
        <f t="shared" si="5"/>
        <v>0</v>
      </c>
      <c r="O60" s="27">
        <f t="shared" si="6"/>
        <v>20000000</v>
      </c>
      <c r="P60" s="7">
        <f t="shared" si="7"/>
        <v>124999.99999999999</v>
      </c>
      <c r="Q60" s="7">
        <f t="shared" si="8"/>
        <v>0</v>
      </c>
    </row>
    <row r="61" spans="2:17" x14ac:dyDescent="0.25">
      <c r="B61" s="3">
        <v>52</v>
      </c>
      <c r="C61" s="27">
        <v>68905101.774931729</v>
      </c>
      <c r="D61" s="7">
        <v>434497.90678402729</v>
      </c>
      <c r="E61" s="7">
        <v>614563.31051264307</v>
      </c>
      <c r="G61" s="27">
        <f t="shared" si="0"/>
        <v>18905101.774931777</v>
      </c>
      <c r="H61" s="7">
        <f t="shared" si="1"/>
        <v>121997.90678402763</v>
      </c>
      <c r="I61" s="7">
        <f t="shared" si="2"/>
        <v>614563.31051264307</v>
      </c>
      <c r="K61" s="27">
        <f t="shared" si="3"/>
        <v>30000000</v>
      </c>
      <c r="L61" s="7">
        <f t="shared" si="4"/>
        <v>187499.99999999997</v>
      </c>
      <c r="M61" s="7">
        <f t="shared" si="5"/>
        <v>0</v>
      </c>
      <c r="O61" s="27">
        <f t="shared" si="6"/>
        <v>20000000</v>
      </c>
      <c r="P61" s="7">
        <f t="shared" si="7"/>
        <v>124999.99999999999</v>
      </c>
      <c r="Q61" s="7">
        <f t="shared" si="8"/>
        <v>0</v>
      </c>
    </row>
    <row r="62" spans="2:17" x14ac:dyDescent="0.25">
      <c r="B62" s="3">
        <v>53</v>
      </c>
      <c r="C62" s="27">
        <v>68295434.906000271</v>
      </c>
      <c r="D62" s="7">
        <v>430656.88609332329</v>
      </c>
      <c r="E62" s="7">
        <v>609666.86893145822</v>
      </c>
      <c r="G62" s="27">
        <f t="shared" si="0"/>
        <v>18295434.90600032</v>
      </c>
      <c r="H62" s="7">
        <f t="shared" si="1"/>
        <v>118156.8860933236</v>
      </c>
      <c r="I62" s="7">
        <f t="shared" si="2"/>
        <v>609666.86893145822</v>
      </c>
      <c r="K62" s="27">
        <f t="shared" si="3"/>
        <v>30000000</v>
      </c>
      <c r="L62" s="7">
        <f t="shared" si="4"/>
        <v>187499.99999999997</v>
      </c>
      <c r="M62" s="7">
        <f t="shared" si="5"/>
        <v>0</v>
      </c>
      <c r="O62" s="27">
        <f t="shared" si="6"/>
        <v>20000000</v>
      </c>
      <c r="P62" s="7">
        <f t="shared" si="7"/>
        <v>124999.99999999999</v>
      </c>
      <c r="Q62" s="7">
        <f t="shared" si="8"/>
        <v>0</v>
      </c>
    </row>
    <row r="63" spans="2:17" x14ac:dyDescent="0.25">
      <c r="B63" s="3">
        <v>54</v>
      </c>
      <c r="C63" s="27">
        <v>67690626.043598637</v>
      </c>
      <c r="D63" s="7">
        <v>426846.46816250164</v>
      </c>
      <c r="E63" s="7">
        <v>604808.86240163341</v>
      </c>
      <c r="G63" s="27">
        <f t="shared" si="0"/>
        <v>17690626.043598685</v>
      </c>
      <c r="H63" s="7">
        <f t="shared" si="1"/>
        <v>114346.46816250199</v>
      </c>
      <c r="I63" s="7">
        <f t="shared" si="2"/>
        <v>604808.86240163341</v>
      </c>
      <c r="K63" s="27">
        <f t="shared" si="3"/>
        <v>30000000</v>
      </c>
      <c r="L63" s="7">
        <f t="shared" si="4"/>
        <v>187499.99999999997</v>
      </c>
      <c r="M63" s="7">
        <f t="shared" si="5"/>
        <v>0</v>
      </c>
      <c r="O63" s="27">
        <f t="shared" si="6"/>
        <v>20000000</v>
      </c>
      <c r="P63" s="7">
        <f t="shared" si="7"/>
        <v>124999.99999999999</v>
      </c>
      <c r="Q63" s="7">
        <f t="shared" si="8"/>
        <v>0</v>
      </c>
    </row>
    <row r="64" spans="2:17" x14ac:dyDescent="0.25">
      <c r="B64" s="3">
        <v>55</v>
      </c>
      <c r="C64" s="27">
        <v>67090637.053687029</v>
      </c>
      <c r="D64" s="7">
        <v>423066.41277249146</v>
      </c>
      <c r="E64" s="7">
        <v>599988.98991160747</v>
      </c>
      <c r="G64" s="27">
        <f t="shared" si="0"/>
        <v>17090637.053687077</v>
      </c>
      <c r="H64" s="7">
        <f t="shared" si="1"/>
        <v>110566.41277249178</v>
      </c>
      <c r="I64" s="7">
        <f t="shared" si="2"/>
        <v>599988.98991160747</v>
      </c>
      <c r="K64" s="27">
        <f t="shared" si="3"/>
        <v>30000000</v>
      </c>
      <c r="L64" s="7">
        <f t="shared" si="4"/>
        <v>187499.99999999997</v>
      </c>
      <c r="M64" s="7">
        <f t="shared" si="5"/>
        <v>0</v>
      </c>
      <c r="O64" s="27">
        <f t="shared" si="6"/>
        <v>20000000</v>
      </c>
      <c r="P64" s="7">
        <f t="shared" si="7"/>
        <v>124999.99999999999</v>
      </c>
      <c r="Q64" s="7">
        <f t="shared" si="8"/>
        <v>0</v>
      </c>
    </row>
    <row r="65" spans="2:17" x14ac:dyDescent="0.25">
      <c r="B65" s="3">
        <v>56</v>
      </c>
      <c r="C65" s="27">
        <v>66495430.100880615</v>
      </c>
      <c r="D65" s="7">
        <v>419316.48158554389</v>
      </c>
      <c r="E65" s="7">
        <v>595206.95280641678</v>
      </c>
      <c r="G65" s="27">
        <f t="shared" si="0"/>
        <v>16495430.10088066</v>
      </c>
      <c r="H65" s="7">
        <f t="shared" si="1"/>
        <v>106816.48158554423</v>
      </c>
      <c r="I65" s="7">
        <f t="shared" si="2"/>
        <v>595206.95280641678</v>
      </c>
      <c r="K65" s="27">
        <f t="shared" si="3"/>
        <v>30000000</v>
      </c>
      <c r="L65" s="7">
        <f t="shared" si="4"/>
        <v>187499.99999999997</v>
      </c>
      <c r="M65" s="7">
        <f t="shared" si="5"/>
        <v>0</v>
      </c>
      <c r="O65" s="27">
        <f t="shared" si="6"/>
        <v>20000000</v>
      </c>
      <c r="P65" s="7">
        <f t="shared" si="7"/>
        <v>124999.99999999999</v>
      </c>
      <c r="Q65" s="7">
        <f t="shared" si="8"/>
        <v>0</v>
      </c>
    </row>
    <row r="66" spans="2:17" x14ac:dyDescent="0.25">
      <c r="B66" s="3">
        <v>57</v>
      </c>
      <c r="C66" s="27">
        <v>65904967.646111369</v>
      </c>
      <c r="D66" s="7">
        <v>415596.43813050381</v>
      </c>
      <c r="E66" s="7">
        <v>590462.4547692471</v>
      </c>
      <c r="G66" s="27">
        <f t="shared" si="0"/>
        <v>15904967.646111414</v>
      </c>
      <c r="H66" s="7">
        <f t="shared" si="1"/>
        <v>103096.43813050412</v>
      </c>
      <c r="I66" s="7">
        <f t="shared" si="2"/>
        <v>590462.4547692471</v>
      </c>
      <c r="K66" s="27">
        <f t="shared" si="3"/>
        <v>30000000</v>
      </c>
      <c r="L66" s="7">
        <f t="shared" si="4"/>
        <v>187499.99999999997</v>
      </c>
      <c r="M66" s="7">
        <f t="shared" si="5"/>
        <v>0</v>
      </c>
      <c r="O66" s="27">
        <f t="shared" si="6"/>
        <v>20000000</v>
      </c>
      <c r="P66" s="7">
        <f t="shared" si="7"/>
        <v>124999.99999999999</v>
      </c>
      <c r="Q66" s="7">
        <f t="shared" si="8"/>
        <v>0</v>
      </c>
    </row>
    <row r="67" spans="2:17" x14ac:dyDescent="0.25">
      <c r="B67" s="3">
        <v>58</v>
      </c>
      <c r="C67" s="27">
        <v>65319212.444308244</v>
      </c>
      <c r="D67" s="7">
        <v>411906.04778819601</v>
      </c>
      <c r="E67" s="7">
        <v>585755.2018031287</v>
      </c>
      <c r="G67" s="27">
        <f t="shared" si="0"/>
        <v>15319212.444308285</v>
      </c>
      <c r="H67" s="7">
        <f t="shared" si="1"/>
        <v>99406.047788196331</v>
      </c>
      <c r="I67" s="7">
        <f t="shared" si="2"/>
        <v>585755.2018031287</v>
      </c>
      <c r="K67" s="27">
        <f t="shared" si="3"/>
        <v>30000000</v>
      </c>
      <c r="L67" s="7">
        <f t="shared" si="4"/>
        <v>187499.99999999997</v>
      </c>
      <c r="M67" s="7">
        <f t="shared" si="5"/>
        <v>0</v>
      </c>
      <c r="O67" s="27">
        <f t="shared" si="6"/>
        <v>20000000</v>
      </c>
      <c r="P67" s="7">
        <f t="shared" si="7"/>
        <v>124999.99999999999</v>
      </c>
      <c r="Q67" s="7">
        <f t="shared" si="8"/>
        <v>0</v>
      </c>
    </row>
    <row r="68" spans="2:17" x14ac:dyDescent="0.25">
      <c r="B68" s="3">
        <v>59</v>
      </c>
      <c r="C68" s="27">
        <v>64738127.542095467</v>
      </c>
      <c r="D68" s="7">
        <v>408245.07777692651</v>
      </c>
      <c r="E68" s="7">
        <v>581084.90221277648</v>
      </c>
      <c r="G68" s="27">
        <f t="shared" si="0"/>
        <v>14738127.542095508</v>
      </c>
      <c r="H68" s="7">
        <f t="shared" si="1"/>
        <v>95745.077776926773</v>
      </c>
      <c r="I68" s="7">
        <f t="shared" si="2"/>
        <v>581084.90221277648</v>
      </c>
      <c r="K68" s="27">
        <f t="shared" si="3"/>
        <v>30000000</v>
      </c>
      <c r="L68" s="7">
        <f t="shared" si="4"/>
        <v>187499.99999999997</v>
      </c>
      <c r="M68" s="7">
        <f t="shared" si="5"/>
        <v>0</v>
      </c>
      <c r="O68" s="27">
        <f t="shared" si="6"/>
        <v>20000000</v>
      </c>
      <c r="P68" s="7">
        <f t="shared" si="7"/>
        <v>124999.99999999999</v>
      </c>
      <c r="Q68" s="7">
        <f t="shared" si="8"/>
        <v>0</v>
      </c>
    </row>
    <row r="69" spans="2:17" x14ac:dyDescent="0.25">
      <c r="B69" s="3">
        <v>60</v>
      </c>
      <c r="C69" s="27">
        <v>64161676.275508896</v>
      </c>
      <c r="D69" s="7">
        <v>404613.29713809665</v>
      </c>
      <c r="E69" s="7">
        <v>576451.2665865703</v>
      </c>
      <c r="G69" s="27">
        <f t="shared" si="0"/>
        <v>14161676.275508938</v>
      </c>
      <c r="H69" s="7">
        <f t="shared" si="1"/>
        <v>92113.297138096925</v>
      </c>
      <c r="I69" s="7">
        <f t="shared" si="2"/>
        <v>576451.2665865703</v>
      </c>
      <c r="K69" s="27">
        <f t="shared" si="3"/>
        <v>30000000</v>
      </c>
      <c r="L69" s="7">
        <f t="shared" si="4"/>
        <v>187499.99999999997</v>
      </c>
      <c r="M69" s="7">
        <f t="shared" si="5"/>
        <v>0</v>
      </c>
      <c r="O69" s="27">
        <f t="shared" si="6"/>
        <v>20000000</v>
      </c>
      <c r="P69" s="7">
        <f t="shared" si="7"/>
        <v>124999.99999999999</v>
      </c>
      <c r="Q69" s="7">
        <f t="shared" si="8"/>
        <v>0</v>
      </c>
    </row>
    <row r="70" spans="2:17" x14ac:dyDescent="0.25">
      <c r="B70" s="3">
        <v>61</v>
      </c>
      <c r="C70" s="27">
        <v>63589822.267730221</v>
      </c>
      <c r="D70" s="7">
        <v>401010.47672193055</v>
      </c>
      <c r="E70" s="7">
        <v>571854.00777867762</v>
      </c>
      <c r="G70" s="27">
        <f t="shared" si="0"/>
        <v>13589822.26773026</v>
      </c>
      <c r="H70" s="7">
        <f t="shared" si="1"/>
        <v>88510.476721930856</v>
      </c>
      <c r="I70" s="7">
        <f t="shared" si="2"/>
        <v>571854.00777867762</v>
      </c>
      <c r="K70" s="27">
        <f t="shared" si="3"/>
        <v>30000000</v>
      </c>
      <c r="L70" s="7">
        <f t="shared" si="4"/>
        <v>187499.99999999997</v>
      </c>
      <c r="M70" s="7">
        <f t="shared" si="5"/>
        <v>0</v>
      </c>
      <c r="O70" s="27">
        <f t="shared" si="6"/>
        <v>20000000</v>
      </c>
      <c r="P70" s="7">
        <f t="shared" si="7"/>
        <v>124999.99999999999</v>
      </c>
      <c r="Q70" s="7">
        <f t="shared" si="8"/>
        <v>0</v>
      </c>
    </row>
    <row r="71" spans="2:17" x14ac:dyDescent="0.25">
      <c r="B71" s="3">
        <v>62</v>
      </c>
      <c r="C71" s="27">
        <v>63022529.426838905</v>
      </c>
      <c r="D71" s="7">
        <v>397436.38917331386</v>
      </c>
      <c r="E71" s="7">
        <v>567292.84089131595</v>
      </c>
      <c r="G71" s="27">
        <f t="shared" si="0"/>
        <v>13022529.426838944</v>
      </c>
      <c r="H71" s="7">
        <f t="shared" si="1"/>
        <v>84936.389173314121</v>
      </c>
      <c r="I71" s="7">
        <f t="shared" si="2"/>
        <v>567292.84089131595</v>
      </c>
      <c r="K71" s="27">
        <f t="shared" si="3"/>
        <v>30000000</v>
      </c>
      <c r="L71" s="7">
        <f t="shared" si="4"/>
        <v>187499.99999999997</v>
      </c>
      <c r="M71" s="7">
        <f t="shared" si="5"/>
        <v>0</v>
      </c>
      <c r="O71" s="27">
        <f t="shared" si="6"/>
        <v>20000000</v>
      </c>
      <c r="P71" s="7">
        <f t="shared" si="7"/>
        <v>124999.99999999999</v>
      </c>
      <c r="Q71" s="7">
        <f t="shared" si="8"/>
        <v>0</v>
      </c>
    </row>
    <row r="72" spans="2:17" x14ac:dyDescent="0.25">
      <c r="B72" s="3">
        <v>63</v>
      </c>
      <c r="C72" s="27">
        <v>62459761.943581752</v>
      </c>
      <c r="D72" s="7">
        <v>393890.8089177431</v>
      </c>
      <c r="E72" s="7">
        <v>562767.48325715389</v>
      </c>
      <c r="G72" s="27">
        <f t="shared" si="0"/>
        <v>12459761.94358179</v>
      </c>
      <c r="H72" s="7">
        <f t="shared" si="1"/>
        <v>81390.808917743387</v>
      </c>
      <c r="I72" s="7">
        <f t="shared" si="2"/>
        <v>562767.48325715389</v>
      </c>
      <c r="K72" s="27">
        <f t="shared" si="3"/>
        <v>30000000</v>
      </c>
      <c r="L72" s="7">
        <f t="shared" si="4"/>
        <v>187499.99999999997</v>
      </c>
      <c r="M72" s="7">
        <f t="shared" si="5"/>
        <v>0</v>
      </c>
      <c r="O72" s="27">
        <f t="shared" si="6"/>
        <v>20000000</v>
      </c>
      <c r="P72" s="7">
        <f t="shared" si="7"/>
        <v>124999.99999999999</v>
      </c>
      <c r="Q72" s="7">
        <f t="shared" si="8"/>
        <v>0</v>
      </c>
    </row>
    <row r="73" spans="2:17" x14ac:dyDescent="0.25">
      <c r="B73" s="3">
        <v>64</v>
      </c>
      <c r="C73" s="27">
        <v>61901484.289159901</v>
      </c>
      <c r="D73" s="7">
        <v>390373.51214738592</v>
      </c>
      <c r="E73" s="7">
        <v>558277.65442184987</v>
      </c>
      <c r="G73" s="27">
        <f t="shared" si="0"/>
        <v>11901484.289159941</v>
      </c>
      <c r="H73" s="7">
        <f t="shared" si="1"/>
        <v>77873.51214738618</v>
      </c>
      <c r="I73" s="7">
        <f t="shared" si="2"/>
        <v>558277.65442184987</v>
      </c>
      <c r="K73" s="27">
        <f t="shared" si="3"/>
        <v>30000000</v>
      </c>
      <c r="L73" s="7">
        <f t="shared" si="4"/>
        <v>187499.99999999997</v>
      </c>
      <c r="M73" s="7">
        <f t="shared" si="5"/>
        <v>0</v>
      </c>
      <c r="O73" s="27">
        <f t="shared" si="6"/>
        <v>20000000</v>
      </c>
      <c r="P73" s="7">
        <f t="shared" si="7"/>
        <v>124999.99999999999</v>
      </c>
      <c r="Q73" s="7">
        <f t="shared" si="8"/>
        <v>0</v>
      </c>
    </row>
    <row r="74" spans="2:17" x14ac:dyDescent="0.25">
      <c r="B74" s="3">
        <v>65</v>
      </c>
      <c r="C74" s="27">
        <v>61347661.213033177</v>
      </c>
      <c r="D74" s="7">
        <v>386884.27680724935</v>
      </c>
      <c r="E74" s="7">
        <v>553823.07612672774</v>
      </c>
      <c r="G74" s="27">
        <f t="shared" si="0"/>
        <v>11347661.213033212</v>
      </c>
      <c r="H74" s="7">
        <f t="shared" si="1"/>
        <v>74384.276807249626</v>
      </c>
      <c r="I74" s="7">
        <f t="shared" si="2"/>
        <v>553823.07612672774</v>
      </c>
      <c r="K74" s="27">
        <f t="shared" si="3"/>
        <v>30000000</v>
      </c>
      <c r="L74" s="7">
        <f t="shared" si="4"/>
        <v>187499.99999999997</v>
      </c>
      <c r="M74" s="7">
        <f t="shared" si="5"/>
        <v>0</v>
      </c>
      <c r="O74" s="27">
        <f t="shared" si="6"/>
        <v>20000000</v>
      </c>
      <c r="P74" s="7">
        <f t="shared" si="7"/>
        <v>124999.99999999999</v>
      </c>
      <c r="Q74" s="7">
        <f t="shared" si="8"/>
        <v>0</v>
      </c>
    </row>
    <row r="75" spans="2:17" x14ac:dyDescent="0.25">
      <c r="B75" s="3">
        <v>66</v>
      </c>
      <c r="C75" s="27">
        <v>60798257.740741588</v>
      </c>
      <c r="D75" s="7">
        <v>383422.88258145732</v>
      </c>
      <c r="E75" s="7">
        <v>549403.47229158867</v>
      </c>
      <c r="G75" s="27">
        <f t="shared" ref="G75:G138" si="9">G74-I75</f>
        <v>10798257.740741624</v>
      </c>
      <c r="H75" s="7">
        <f t="shared" ref="H75:H138" si="10">$D$3*G74</f>
        <v>70922.882581457568</v>
      </c>
      <c r="I75" s="7">
        <f t="shared" ref="I75:I138" si="11">IF(G74&gt;0,IF(E75 &lt; G74, E75, G74),0)</f>
        <v>549403.47229158867</v>
      </c>
      <c r="K75" s="27">
        <f t="shared" ref="K75:K138" si="12">K74-M75</f>
        <v>30000000</v>
      </c>
      <c r="L75" s="7">
        <f t="shared" ref="L75:L138" si="13">$D$3*K74</f>
        <v>187499.99999999997</v>
      </c>
      <c r="M75" s="7">
        <f t="shared" ref="M75:M138" si="14">IF(G75&gt;0,0,IF(E75 &lt; K74,E75-I75,K74))</f>
        <v>0</v>
      </c>
      <c r="O75" s="27">
        <f t="shared" ref="O75:O138" si="15">O74-Q75</f>
        <v>20000000</v>
      </c>
      <c r="P75" s="7">
        <f t="shared" ref="P75:P138" si="16">$D$3*O74</f>
        <v>124999.99999999999</v>
      </c>
      <c r="Q75" s="7">
        <f t="shared" ref="Q75:Q138" si="17">IF(K75&gt;0,0,E75-M75)</f>
        <v>0</v>
      </c>
    </row>
    <row r="76" spans="2:17" x14ac:dyDescent="0.25">
      <c r="B76" s="3">
        <v>67</v>
      </c>
      <c r="C76" s="27">
        <v>60253239.171743929</v>
      </c>
      <c r="D76" s="7">
        <v>379989.11087963491</v>
      </c>
      <c r="E76" s="7">
        <v>545018.56899765553</v>
      </c>
      <c r="G76" s="27">
        <f t="shared" si="9"/>
        <v>10253239.171743969</v>
      </c>
      <c r="H76" s="7">
        <f t="shared" si="10"/>
        <v>67489.110879635147</v>
      </c>
      <c r="I76" s="7">
        <f t="shared" si="11"/>
        <v>545018.56899765553</v>
      </c>
      <c r="K76" s="27">
        <f t="shared" si="12"/>
        <v>30000000</v>
      </c>
      <c r="L76" s="7">
        <f t="shared" si="13"/>
        <v>187499.99999999997</v>
      </c>
      <c r="M76" s="7">
        <f t="shared" si="14"/>
        <v>0</v>
      </c>
      <c r="O76" s="27">
        <f t="shared" si="15"/>
        <v>20000000</v>
      </c>
      <c r="P76" s="7">
        <f t="shared" si="16"/>
        <v>124999.99999999999</v>
      </c>
      <c r="Q76" s="7">
        <f t="shared" si="17"/>
        <v>0</v>
      </c>
    </row>
    <row r="77" spans="2:17" x14ac:dyDescent="0.25">
      <c r="B77" s="3">
        <v>68</v>
      </c>
      <c r="C77" s="27">
        <v>59712571.077273272</v>
      </c>
      <c r="D77" s="7">
        <v>376582.74482339952</v>
      </c>
      <c r="E77" s="7">
        <v>540668.09447065403</v>
      </c>
      <c r="G77" s="27">
        <f t="shared" si="9"/>
        <v>9712571.0772733148</v>
      </c>
      <c r="H77" s="7">
        <f t="shared" si="10"/>
        <v>64082.7448233998</v>
      </c>
      <c r="I77" s="7">
        <f t="shared" si="11"/>
        <v>540668.09447065403</v>
      </c>
      <c r="K77" s="27">
        <f t="shared" si="12"/>
        <v>30000000</v>
      </c>
      <c r="L77" s="7">
        <f t="shared" si="13"/>
        <v>187499.99999999997</v>
      </c>
      <c r="M77" s="7">
        <f t="shared" si="14"/>
        <v>0</v>
      </c>
      <c r="O77" s="27">
        <f t="shared" si="15"/>
        <v>20000000</v>
      </c>
      <c r="P77" s="7">
        <f t="shared" si="16"/>
        <v>124999.99999999999</v>
      </c>
      <c r="Q77" s="7">
        <f t="shared" si="17"/>
        <v>0</v>
      </c>
    </row>
    <row r="78" spans="2:17" x14ac:dyDescent="0.25">
      <c r="B78" s="3">
        <v>69</v>
      </c>
      <c r="C78" s="27">
        <v>59176219.29820925</v>
      </c>
      <c r="D78" s="7">
        <v>373203.5692329579</v>
      </c>
      <c r="E78" s="7">
        <v>536351.77906402259</v>
      </c>
      <c r="G78" s="27">
        <f t="shared" si="9"/>
        <v>9176219.2982092928</v>
      </c>
      <c r="H78" s="7">
        <f t="shared" si="10"/>
        <v>60703.569232958216</v>
      </c>
      <c r="I78" s="7">
        <f t="shared" si="11"/>
        <v>536351.77906402259</v>
      </c>
      <c r="K78" s="27">
        <f t="shared" si="12"/>
        <v>30000000</v>
      </c>
      <c r="L78" s="7">
        <f t="shared" si="13"/>
        <v>187499.99999999997</v>
      </c>
      <c r="M78" s="7">
        <f t="shared" si="14"/>
        <v>0</v>
      </c>
      <c r="O78" s="27">
        <f t="shared" si="15"/>
        <v>20000000</v>
      </c>
      <c r="P78" s="7">
        <f t="shared" si="16"/>
        <v>124999.99999999999</v>
      </c>
      <c r="Q78" s="7">
        <f t="shared" si="17"/>
        <v>0</v>
      </c>
    </row>
    <row r="79" spans="2:17" x14ac:dyDescent="0.25">
      <c r="B79" s="3">
        <v>70</v>
      </c>
      <c r="C79" s="27">
        <v>58644149.94296699</v>
      </c>
      <c r="D79" s="7">
        <v>369851.37061380775</v>
      </c>
      <c r="E79" s="7">
        <v>532069.35524225712</v>
      </c>
      <c r="G79" s="27">
        <f t="shared" si="9"/>
        <v>8644149.9429670349</v>
      </c>
      <c r="H79" s="7">
        <f t="shared" si="10"/>
        <v>57351.370613808074</v>
      </c>
      <c r="I79" s="7">
        <f t="shared" si="11"/>
        <v>532069.35524225712</v>
      </c>
      <c r="K79" s="27">
        <f t="shared" si="12"/>
        <v>30000000</v>
      </c>
      <c r="L79" s="7">
        <f t="shared" si="13"/>
        <v>187499.99999999997</v>
      </c>
      <c r="M79" s="7">
        <f t="shared" si="14"/>
        <v>0</v>
      </c>
      <c r="O79" s="27">
        <f t="shared" si="15"/>
        <v>20000000</v>
      </c>
      <c r="P79" s="7">
        <f t="shared" si="16"/>
        <v>124999.99999999999</v>
      </c>
      <c r="Q79" s="7">
        <f t="shared" si="17"/>
        <v>0</v>
      </c>
    </row>
    <row r="80" spans="2:17" x14ac:dyDescent="0.25">
      <c r="B80" s="3">
        <v>71</v>
      </c>
      <c r="C80" s="27">
        <v>58116329.385402605</v>
      </c>
      <c r="D80" s="7">
        <v>366525.93714354368</v>
      </c>
      <c r="E80" s="7">
        <v>527820.55756438349</v>
      </c>
      <c r="G80" s="27">
        <f t="shared" si="9"/>
        <v>8116329.3854026515</v>
      </c>
      <c r="H80" s="7">
        <f t="shared" si="10"/>
        <v>54025.937143543961</v>
      </c>
      <c r="I80" s="7">
        <f t="shared" si="11"/>
        <v>527820.55756438349</v>
      </c>
      <c r="K80" s="27">
        <f t="shared" si="12"/>
        <v>30000000</v>
      </c>
      <c r="L80" s="7">
        <f t="shared" si="13"/>
        <v>187499.99999999997</v>
      </c>
      <c r="M80" s="7">
        <f t="shared" si="14"/>
        <v>0</v>
      </c>
      <c r="O80" s="27">
        <f t="shared" si="15"/>
        <v>20000000</v>
      </c>
      <c r="P80" s="7">
        <f t="shared" si="16"/>
        <v>124999.99999999999</v>
      </c>
      <c r="Q80" s="7">
        <f t="shared" si="17"/>
        <v>0</v>
      </c>
    </row>
    <row r="81" spans="2:17" x14ac:dyDescent="0.25">
      <c r="B81" s="3">
        <v>72</v>
      </c>
      <c r="C81" s="27">
        <v>57592724.262735046</v>
      </c>
      <c r="D81" s="7">
        <v>363227.05865876627</v>
      </c>
      <c r="E81" s="7">
        <v>523605.12266756111</v>
      </c>
      <c r="G81" s="27">
        <f t="shared" si="9"/>
        <v>7592724.2627350902</v>
      </c>
      <c r="H81" s="7">
        <f t="shared" si="10"/>
        <v>50727.058658766568</v>
      </c>
      <c r="I81" s="7">
        <f t="shared" si="11"/>
        <v>523605.12266756111</v>
      </c>
      <c r="K81" s="27">
        <f t="shared" si="12"/>
        <v>30000000</v>
      </c>
      <c r="L81" s="7">
        <f t="shared" si="13"/>
        <v>187499.99999999997</v>
      </c>
      <c r="M81" s="7">
        <f t="shared" si="14"/>
        <v>0</v>
      </c>
      <c r="O81" s="27">
        <f t="shared" si="15"/>
        <v>20000000</v>
      </c>
      <c r="P81" s="7">
        <f t="shared" si="16"/>
        <v>124999.99999999999</v>
      </c>
      <c r="Q81" s="7">
        <f t="shared" si="17"/>
        <v>0</v>
      </c>
    </row>
    <row r="82" spans="2:17" x14ac:dyDescent="0.25">
      <c r="B82" s="3">
        <v>73</v>
      </c>
      <c r="C82" s="27">
        <v>57073301.473484233</v>
      </c>
      <c r="D82" s="7">
        <v>359954.52664209402</v>
      </c>
      <c r="E82" s="7">
        <v>519422.78925081377</v>
      </c>
      <c r="G82" s="27">
        <f t="shared" si="9"/>
        <v>7073301.4734842768</v>
      </c>
      <c r="H82" s="7">
        <f t="shared" si="10"/>
        <v>47454.526642094308</v>
      </c>
      <c r="I82" s="7">
        <f t="shared" si="11"/>
        <v>519422.78925081377</v>
      </c>
      <c r="K82" s="27">
        <f t="shared" si="12"/>
        <v>30000000</v>
      </c>
      <c r="L82" s="7">
        <f t="shared" si="13"/>
        <v>187499.99999999997</v>
      </c>
      <c r="M82" s="7">
        <f t="shared" si="14"/>
        <v>0</v>
      </c>
      <c r="O82" s="27">
        <f t="shared" si="15"/>
        <v>20000000</v>
      </c>
      <c r="P82" s="7">
        <f t="shared" si="16"/>
        <v>124999.99999999999</v>
      </c>
      <c r="Q82" s="7">
        <f t="shared" si="17"/>
        <v>0</v>
      </c>
    </row>
    <row r="83" spans="2:17" x14ac:dyDescent="0.25">
      <c r="B83" s="3">
        <v>74</v>
      </c>
      <c r="C83" s="27">
        <v>56558028.175425343</v>
      </c>
      <c r="D83" s="7">
        <v>356708.13420927641</v>
      </c>
      <c r="E83" s="7">
        <v>515273.29805888887</v>
      </c>
      <c r="G83" s="27">
        <f t="shared" si="9"/>
        <v>6558028.1754253879</v>
      </c>
      <c r="H83" s="7">
        <f t="shared" si="10"/>
        <v>44208.134209276723</v>
      </c>
      <c r="I83" s="7">
        <f t="shared" si="11"/>
        <v>515273.29805888887</v>
      </c>
      <c r="K83" s="27">
        <f t="shared" si="12"/>
        <v>30000000</v>
      </c>
      <c r="L83" s="7">
        <f t="shared" si="13"/>
        <v>187499.99999999997</v>
      </c>
      <c r="M83" s="7">
        <f t="shared" si="14"/>
        <v>0</v>
      </c>
      <c r="O83" s="27">
        <f t="shared" si="15"/>
        <v>20000000</v>
      </c>
      <c r="P83" s="7">
        <f t="shared" si="16"/>
        <v>124999.99999999999</v>
      </c>
      <c r="Q83" s="7">
        <f t="shared" si="17"/>
        <v>0</v>
      </c>
    </row>
    <row r="84" spans="2:17" x14ac:dyDescent="0.25">
      <c r="B84" s="3">
        <v>75</v>
      </c>
      <c r="C84" s="27">
        <v>56046871.783559099</v>
      </c>
      <c r="D84" s="7">
        <v>353487.67609640834</v>
      </c>
      <c r="E84" s="7">
        <v>511156.39186624181</v>
      </c>
      <c r="G84" s="27">
        <f t="shared" si="9"/>
        <v>6046871.7835591463</v>
      </c>
      <c r="H84" s="7">
        <f t="shared" si="10"/>
        <v>40987.676096408672</v>
      </c>
      <c r="I84" s="7">
        <f t="shared" si="11"/>
        <v>511156.39186624181</v>
      </c>
      <c r="K84" s="27">
        <f t="shared" si="12"/>
        <v>30000000</v>
      </c>
      <c r="L84" s="7">
        <f t="shared" si="13"/>
        <v>187499.99999999997</v>
      </c>
      <c r="M84" s="7">
        <f t="shared" si="14"/>
        <v>0</v>
      </c>
      <c r="O84" s="27">
        <f t="shared" si="15"/>
        <v>20000000</v>
      </c>
      <c r="P84" s="7">
        <f t="shared" si="16"/>
        <v>124999.99999999999</v>
      </c>
      <c r="Q84" s="7">
        <f t="shared" si="17"/>
        <v>0</v>
      </c>
    </row>
    <row r="85" spans="2:17" x14ac:dyDescent="0.25">
      <c r="B85" s="3">
        <v>76</v>
      </c>
      <c r="C85" s="27">
        <v>55539799.968097955</v>
      </c>
      <c r="D85" s="7">
        <v>350292.94864724431</v>
      </c>
      <c r="E85" s="7">
        <v>507071.81546114729</v>
      </c>
      <c r="G85" s="27">
        <f t="shared" si="9"/>
        <v>5539799.9680979988</v>
      </c>
      <c r="H85" s="7">
        <f t="shared" si="10"/>
        <v>37792.948647244659</v>
      </c>
      <c r="I85" s="7">
        <f t="shared" si="11"/>
        <v>507071.81546114729</v>
      </c>
      <c r="K85" s="27">
        <f t="shared" si="12"/>
        <v>30000000</v>
      </c>
      <c r="L85" s="7">
        <f t="shared" si="13"/>
        <v>187499.99999999997</v>
      </c>
      <c r="M85" s="7">
        <f t="shared" si="14"/>
        <v>0</v>
      </c>
      <c r="O85" s="27">
        <f t="shared" si="15"/>
        <v>20000000</v>
      </c>
      <c r="P85" s="7">
        <f t="shared" si="16"/>
        <v>124999.99999999999</v>
      </c>
      <c r="Q85" s="7">
        <f t="shared" si="17"/>
        <v>0</v>
      </c>
    </row>
    <row r="86" spans="2:17" x14ac:dyDescent="0.25">
      <c r="B86" s="3">
        <v>77</v>
      </c>
      <c r="C86" s="27">
        <v>55036780.652468018</v>
      </c>
      <c r="D86" s="7">
        <v>347123.74980061222</v>
      </c>
      <c r="E86" s="7">
        <v>503019.31562993309</v>
      </c>
      <c r="G86" s="27">
        <f t="shared" si="9"/>
        <v>5036780.6524680657</v>
      </c>
      <c r="H86" s="7">
        <f t="shared" si="10"/>
        <v>34623.749800612488</v>
      </c>
      <c r="I86" s="7">
        <f t="shared" si="11"/>
        <v>503019.31562993309</v>
      </c>
      <c r="K86" s="27">
        <f t="shared" si="12"/>
        <v>30000000</v>
      </c>
      <c r="L86" s="7">
        <f t="shared" si="13"/>
        <v>187499.99999999997</v>
      </c>
      <c r="M86" s="7">
        <f t="shared" si="14"/>
        <v>0</v>
      </c>
      <c r="O86" s="27">
        <f t="shared" si="15"/>
        <v>20000000</v>
      </c>
      <c r="P86" s="7">
        <f t="shared" si="16"/>
        <v>124999.99999999999</v>
      </c>
      <c r="Q86" s="7">
        <f t="shared" si="17"/>
        <v>0</v>
      </c>
    </row>
    <row r="87" spans="2:17" x14ac:dyDescent="0.25">
      <c r="B87" s="3">
        <v>78</v>
      </c>
      <c r="C87" s="27">
        <v>54537782.011326678</v>
      </c>
      <c r="D87" s="7">
        <v>343979.87907792511</v>
      </c>
      <c r="E87" s="7">
        <v>498998.64114133886</v>
      </c>
      <c r="G87" s="27">
        <f t="shared" si="9"/>
        <v>4537782.0113267265</v>
      </c>
      <c r="H87" s="7">
        <f t="shared" si="10"/>
        <v>31479.879077925409</v>
      </c>
      <c r="I87" s="7">
        <f t="shared" si="11"/>
        <v>498998.64114133886</v>
      </c>
      <c r="K87" s="27">
        <f t="shared" si="12"/>
        <v>30000000</v>
      </c>
      <c r="L87" s="7">
        <f t="shared" si="13"/>
        <v>187499.99999999997</v>
      </c>
      <c r="M87" s="7">
        <f t="shared" si="14"/>
        <v>0</v>
      </c>
      <c r="O87" s="27">
        <f t="shared" si="15"/>
        <v>20000000</v>
      </c>
      <c r="P87" s="7">
        <f t="shared" si="16"/>
        <v>124999.99999999999</v>
      </c>
      <c r="Q87" s="7">
        <f t="shared" si="17"/>
        <v>0</v>
      </c>
    </row>
    <row r="88" spans="2:17" x14ac:dyDescent="0.25">
      <c r="B88" s="3">
        <v>79</v>
      </c>
      <c r="C88" s="27">
        <v>54042772.468595684</v>
      </c>
      <c r="D88" s="7">
        <v>340861.1375707917</v>
      </c>
      <c r="E88" s="7">
        <v>495009.54273099685</v>
      </c>
      <c r="G88" s="27">
        <f t="shared" si="9"/>
        <v>4042772.4685957297</v>
      </c>
      <c r="H88" s="7">
        <f t="shared" si="10"/>
        <v>28361.137570792038</v>
      </c>
      <c r="I88" s="7">
        <f t="shared" si="11"/>
        <v>495009.54273099685</v>
      </c>
      <c r="K88" s="27">
        <f t="shared" si="12"/>
        <v>30000000</v>
      </c>
      <c r="L88" s="7">
        <f t="shared" si="13"/>
        <v>187499.99999999997</v>
      </c>
      <c r="M88" s="7">
        <f t="shared" si="14"/>
        <v>0</v>
      </c>
      <c r="O88" s="27">
        <f t="shared" si="15"/>
        <v>20000000</v>
      </c>
      <c r="P88" s="7">
        <f t="shared" si="16"/>
        <v>124999.99999999999</v>
      </c>
      <c r="Q88" s="7">
        <f t="shared" si="17"/>
        <v>0</v>
      </c>
    </row>
    <row r="89" spans="2:17" x14ac:dyDescent="0.25">
      <c r="B89" s="3">
        <v>80</v>
      </c>
      <c r="C89" s="27">
        <v>53551720.69550965</v>
      </c>
      <c r="D89" s="7">
        <v>337767.32792872301</v>
      </c>
      <c r="E89" s="7">
        <v>491051.77308603388</v>
      </c>
      <c r="G89" s="27">
        <f t="shared" si="9"/>
        <v>3551720.6955096959</v>
      </c>
      <c r="H89" s="7">
        <f t="shared" si="10"/>
        <v>25267.327928723309</v>
      </c>
      <c r="I89" s="7">
        <f t="shared" si="11"/>
        <v>491051.77308603388</v>
      </c>
      <c r="K89" s="27">
        <f t="shared" si="12"/>
        <v>30000000</v>
      </c>
      <c r="L89" s="7">
        <f t="shared" si="13"/>
        <v>187499.99999999997</v>
      </c>
      <c r="M89" s="7">
        <f t="shared" si="14"/>
        <v>0</v>
      </c>
      <c r="O89" s="27">
        <f t="shared" si="15"/>
        <v>20000000</v>
      </c>
      <c r="P89" s="7">
        <f t="shared" si="16"/>
        <v>124999.99999999999</v>
      </c>
      <c r="Q89" s="7">
        <f t="shared" si="17"/>
        <v>0</v>
      </c>
    </row>
    <row r="90" spans="2:17" x14ac:dyDescent="0.25">
      <c r="B90" s="3">
        <v>81</v>
      </c>
      <c r="C90" s="27">
        <v>53064595.608679853</v>
      </c>
      <c r="D90" s="7">
        <v>334698.25434693531</v>
      </c>
      <c r="E90" s="7">
        <v>487125.08682979376</v>
      </c>
      <c r="G90" s="27">
        <f t="shared" si="9"/>
        <v>3064595.6086799023</v>
      </c>
      <c r="H90" s="7">
        <f t="shared" si="10"/>
        <v>22198.254346935599</v>
      </c>
      <c r="I90" s="7">
        <f t="shared" si="11"/>
        <v>487125.08682979376</v>
      </c>
      <c r="K90" s="27">
        <f t="shared" si="12"/>
        <v>30000000</v>
      </c>
      <c r="L90" s="7">
        <f t="shared" si="13"/>
        <v>187499.99999999997</v>
      </c>
      <c r="M90" s="7">
        <f t="shared" si="14"/>
        <v>0</v>
      </c>
      <c r="O90" s="27">
        <f t="shared" si="15"/>
        <v>20000000</v>
      </c>
      <c r="P90" s="7">
        <f t="shared" si="16"/>
        <v>124999.99999999999</v>
      </c>
      <c r="Q90" s="7">
        <f t="shared" si="17"/>
        <v>0</v>
      </c>
    </row>
    <row r="91" spans="2:17" x14ac:dyDescent="0.25">
      <c r="B91" s="3">
        <v>82</v>
      </c>
      <c r="C91" s="27">
        <v>52581366.368173175</v>
      </c>
      <c r="D91" s="7">
        <v>331653.72255424905</v>
      </c>
      <c r="E91" s="7">
        <v>483229.24050668045</v>
      </c>
      <c r="G91" s="27">
        <f t="shared" si="9"/>
        <v>2581366.3681732221</v>
      </c>
      <c r="H91" s="7">
        <f t="shared" si="10"/>
        <v>19153.722554249387</v>
      </c>
      <c r="I91" s="7">
        <f t="shared" si="11"/>
        <v>483229.24050668045</v>
      </c>
      <c r="K91" s="27">
        <f t="shared" si="12"/>
        <v>30000000</v>
      </c>
      <c r="L91" s="7">
        <f t="shared" si="13"/>
        <v>187499.99999999997</v>
      </c>
      <c r="M91" s="7">
        <f t="shared" si="14"/>
        <v>0</v>
      </c>
      <c r="O91" s="27">
        <f t="shared" si="15"/>
        <v>20000000</v>
      </c>
      <c r="P91" s="7">
        <f t="shared" si="16"/>
        <v>124999.99999999999</v>
      </c>
      <c r="Q91" s="7">
        <f t="shared" si="17"/>
        <v>0</v>
      </c>
    </row>
    <row r="92" spans="2:17" x14ac:dyDescent="0.25">
      <c r="B92" s="3">
        <v>83</v>
      </c>
      <c r="C92" s="27">
        <v>52102002.37560606</v>
      </c>
      <c r="D92" s="7">
        <v>328633.53980108234</v>
      </c>
      <c r="E92" s="7">
        <v>479363.99256711802</v>
      </c>
      <c r="G92" s="27">
        <f t="shared" si="9"/>
        <v>2102002.3756061038</v>
      </c>
      <c r="H92" s="7">
        <f t="shared" si="10"/>
        <v>16133.539801082636</v>
      </c>
      <c r="I92" s="7">
        <f t="shared" si="11"/>
        <v>479363.99256711802</v>
      </c>
      <c r="K92" s="27">
        <f t="shared" si="12"/>
        <v>30000000</v>
      </c>
      <c r="L92" s="7">
        <f t="shared" si="13"/>
        <v>187499.99999999997</v>
      </c>
      <c r="M92" s="7">
        <f t="shared" si="14"/>
        <v>0</v>
      </c>
      <c r="O92" s="27">
        <f t="shared" si="15"/>
        <v>20000000</v>
      </c>
      <c r="P92" s="7">
        <f t="shared" si="16"/>
        <v>124999.99999999999</v>
      </c>
      <c r="Q92" s="7">
        <f t="shared" si="17"/>
        <v>0</v>
      </c>
    </row>
    <row r="93" spans="2:17" x14ac:dyDescent="0.25">
      <c r="B93" s="3">
        <v>84</v>
      </c>
      <c r="C93" s="27">
        <v>51626473.272253431</v>
      </c>
      <c r="D93" s="7">
        <v>325637.51484753785</v>
      </c>
      <c r="E93" s="7">
        <v>475529.10335262999</v>
      </c>
      <c r="G93" s="27">
        <f t="shared" si="9"/>
        <v>1626473.2722534738</v>
      </c>
      <c r="H93" s="7">
        <f t="shared" si="10"/>
        <v>13137.514847538148</v>
      </c>
      <c r="I93" s="7">
        <f t="shared" si="11"/>
        <v>475529.10335262999</v>
      </c>
      <c r="K93" s="27">
        <f t="shared" si="12"/>
        <v>30000000</v>
      </c>
      <c r="L93" s="7">
        <f t="shared" si="13"/>
        <v>187499.99999999997</v>
      </c>
      <c r="M93" s="7">
        <f t="shared" si="14"/>
        <v>0</v>
      </c>
      <c r="O93" s="27">
        <f t="shared" si="15"/>
        <v>20000000</v>
      </c>
      <c r="P93" s="7">
        <f t="shared" si="16"/>
        <v>124999.99999999999</v>
      </c>
      <c r="Q93" s="7">
        <f t="shared" si="17"/>
        <v>0</v>
      </c>
    </row>
    <row r="94" spans="2:17" x14ac:dyDescent="0.25">
      <c r="B94" s="3">
        <v>85</v>
      </c>
      <c r="C94" s="27">
        <v>51154748.937172398</v>
      </c>
      <c r="D94" s="7">
        <v>322665.4579515839</v>
      </c>
      <c r="E94" s="7">
        <v>471724.33508103451</v>
      </c>
      <c r="G94" s="27">
        <f t="shared" si="9"/>
        <v>1154748.9371724392</v>
      </c>
      <c r="H94" s="7">
        <f t="shared" si="10"/>
        <v>10165.457951584211</v>
      </c>
      <c r="I94" s="7">
        <f t="shared" si="11"/>
        <v>471724.33508103451</v>
      </c>
      <c r="K94" s="27">
        <f t="shared" si="12"/>
        <v>30000000</v>
      </c>
      <c r="L94" s="7">
        <f t="shared" si="13"/>
        <v>187499.99999999997</v>
      </c>
      <c r="M94" s="7">
        <f t="shared" si="14"/>
        <v>0</v>
      </c>
      <c r="O94" s="27">
        <f t="shared" si="15"/>
        <v>20000000</v>
      </c>
      <c r="P94" s="7">
        <f t="shared" si="16"/>
        <v>124999.99999999999</v>
      </c>
      <c r="Q94" s="7">
        <f t="shared" si="17"/>
        <v>0</v>
      </c>
    </row>
    <row r="95" spans="2:17" x14ac:dyDescent="0.25">
      <c r="B95" s="3">
        <v>86</v>
      </c>
      <c r="C95" s="27">
        <v>50686799.48534064</v>
      </c>
      <c r="D95" s="7">
        <v>319717.18085732748</v>
      </c>
      <c r="E95" s="7">
        <v>467949.45183175604</v>
      </c>
      <c r="G95" s="27">
        <f t="shared" si="9"/>
        <v>686799.48534068314</v>
      </c>
      <c r="H95" s="7">
        <f t="shared" si="10"/>
        <v>7217.180857327744</v>
      </c>
      <c r="I95" s="7">
        <f t="shared" si="11"/>
        <v>467949.45183175604</v>
      </c>
      <c r="K95" s="27">
        <f t="shared" si="12"/>
        <v>30000000</v>
      </c>
      <c r="L95" s="7">
        <f t="shared" si="13"/>
        <v>187499.99999999997</v>
      </c>
      <c r="M95" s="7">
        <f t="shared" si="14"/>
        <v>0</v>
      </c>
      <c r="O95" s="27">
        <f t="shared" si="15"/>
        <v>20000000</v>
      </c>
      <c r="P95" s="7">
        <f t="shared" si="16"/>
        <v>124999.99999999999</v>
      </c>
      <c r="Q95" s="7">
        <f t="shared" si="17"/>
        <v>0</v>
      </c>
    </row>
    <row r="96" spans="2:17" x14ac:dyDescent="0.25">
      <c r="B96" s="3">
        <v>87</v>
      </c>
      <c r="C96" s="27">
        <v>50222595.265809387</v>
      </c>
      <c r="D96" s="7">
        <v>316792.496783379</v>
      </c>
      <c r="E96" s="7">
        <v>464204.21953125135</v>
      </c>
      <c r="G96" s="27">
        <f t="shared" si="9"/>
        <v>222595.26580943179</v>
      </c>
      <c r="H96" s="7">
        <f t="shared" si="10"/>
        <v>4292.4967833792689</v>
      </c>
      <c r="I96" s="7">
        <f t="shared" si="11"/>
        <v>464204.21953125135</v>
      </c>
      <c r="K96" s="27">
        <f t="shared" si="12"/>
        <v>30000000</v>
      </c>
      <c r="L96" s="7">
        <f t="shared" si="13"/>
        <v>187499.99999999997</v>
      </c>
      <c r="M96" s="7">
        <f t="shared" si="14"/>
        <v>0</v>
      </c>
      <c r="O96" s="27">
        <f t="shared" si="15"/>
        <v>20000000</v>
      </c>
      <c r="P96" s="7">
        <f t="shared" si="16"/>
        <v>124999.99999999999</v>
      </c>
      <c r="Q96" s="7">
        <f t="shared" si="17"/>
        <v>0</v>
      </c>
    </row>
    <row r="97" spans="2:17" x14ac:dyDescent="0.25">
      <c r="B97" s="3">
        <v>88</v>
      </c>
      <c r="C97" s="27">
        <v>49762106.859870836</v>
      </c>
      <c r="D97" s="7">
        <v>313891.22041130863</v>
      </c>
      <c r="E97" s="7">
        <v>460488.40593855036</v>
      </c>
      <c r="G97" s="27">
        <f t="shared" si="9"/>
        <v>0</v>
      </c>
      <c r="H97" s="7">
        <f t="shared" si="10"/>
        <v>1391.2204113089485</v>
      </c>
      <c r="I97" s="7">
        <f t="shared" si="11"/>
        <v>222595.26580943179</v>
      </c>
      <c r="K97" s="27">
        <f t="shared" si="12"/>
        <v>29762106.859870881</v>
      </c>
      <c r="L97" s="7">
        <f t="shared" si="13"/>
        <v>187499.99999999997</v>
      </c>
      <c r="M97" s="7">
        <f t="shared" si="14"/>
        <v>237893.14012911858</v>
      </c>
      <c r="O97" s="27">
        <f t="shared" si="15"/>
        <v>20000000</v>
      </c>
      <c r="P97" s="7">
        <f t="shared" si="16"/>
        <v>124999.99999999999</v>
      </c>
      <c r="Q97" s="7">
        <f t="shared" si="17"/>
        <v>0</v>
      </c>
    </row>
    <row r="98" spans="2:17" x14ac:dyDescent="0.25">
      <c r="B98" s="3">
        <v>89</v>
      </c>
      <c r="C98" s="27">
        <v>49305305.079239927</v>
      </c>
      <c r="D98" s="7">
        <v>311013.1678741927</v>
      </c>
      <c r="E98" s="7">
        <v>456801.78063090966</v>
      </c>
      <c r="G98" s="27">
        <f t="shared" si="9"/>
        <v>0</v>
      </c>
      <c r="H98" s="7">
        <f t="shared" si="10"/>
        <v>0</v>
      </c>
      <c r="I98" s="7">
        <f t="shared" si="11"/>
        <v>0</v>
      </c>
      <c r="K98" s="27">
        <f t="shared" si="12"/>
        <v>29305305.079239972</v>
      </c>
      <c r="L98" s="7">
        <f t="shared" si="13"/>
        <v>186013.16787419299</v>
      </c>
      <c r="M98" s="7">
        <f t="shared" si="14"/>
        <v>456801.78063090966</v>
      </c>
      <c r="O98" s="27">
        <f t="shared" si="15"/>
        <v>20000000</v>
      </c>
      <c r="P98" s="7">
        <f t="shared" si="16"/>
        <v>124999.99999999999</v>
      </c>
      <c r="Q98" s="7">
        <f t="shared" si="17"/>
        <v>0</v>
      </c>
    </row>
    <row r="99" spans="2:17" x14ac:dyDescent="0.25">
      <c r="B99" s="3">
        <v>90</v>
      </c>
      <c r="C99" s="27">
        <v>48852160.964250349</v>
      </c>
      <c r="D99" s="7">
        <v>308158.15674524952</v>
      </c>
      <c r="E99" s="7">
        <v>453144.11498957849</v>
      </c>
      <c r="G99" s="27">
        <f t="shared" si="9"/>
        <v>0</v>
      </c>
      <c r="H99" s="7">
        <f t="shared" si="10"/>
        <v>0</v>
      </c>
      <c r="I99" s="7">
        <f t="shared" si="11"/>
        <v>0</v>
      </c>
      <c r="K99" s="27">
        <f t="shared" si="12"/>
        <v>28852160.964250393</v>
      </c>
      <c r="L99" s="7">
        <f t="shared" si="13"/>
        <v>183158.15674524981</v>
      </c>
      <c r="M99" s="7">
        <f t="shared" si="14"/>
        <v>453144.11498957849</v>
      </c>
      <c r="O99" s="27">
        <f t="shared" si="15"/>
        <v>20000000</v>
      </c>
      <c r="P99" s="7">
        <f t="shared" si="16"/>
        <v>124999.99999999999</v>
      </c>
      <c r="Q99" s="7">
        <f t="shared" si="17"/>
        <v>0</v>
      </c>
    </row>
    <row r="100" spans="2:17" x14ac:dyDescent="0.25">
      <c r="B100" s="3">
        <v>91</v>
      </c>
      <c r="C100" s="27">
        <v>48402645.782064669</v>
      </c>
      <c r="D100" s="7">
        <v>305326.00602656463</v>
      </c>
      <c r="E100" s="7">
        <v>449515.1821856763</v>
      </c>
      <c r="G100" s="27">
        <f t="shared" si="9"/>
        <v>0</v>
      </c>
      <c r="H100" s="7">
        <f t="shared" si="10"/>
        <v>0</v>
      </c>
      <c r="I100" s="7">
        <f t="shared" si="11"/>
        <v>0</v>
      </c>
      <c r="K100" s="27">
        <f t="shared" si="12"/>
        <v>28402645.782064717</v>
      </c>
      <c r="L100" s="7">
        <f t="shared" si="13"/>
        <v>180326.00602656495</v>
      </c>
      <c r="M100" s="7">
        <f t="shared" si="14"/>
        <v>449515.1821856763</v>
      </c>
      <c r="O100" s="27">
        <f t="shared" si="15"/>
        <v>20000000</v>
      </c>
      <c r="P100" s="7">
        <f t="shared" si="16"/>
        <v>124999.99999999999</v>
      </c>
      <c r="Q100" s="7">
        <f t="shared" si="17"/>
        <v>0</v>
      </c>
    </row>
    <row r="101" spans="2:17" x14ac:dyDescent="0.25">
      <c r="B101" s="3">
        <v>92</v>
      </c>
      <c r="C101" s="27">
        <v>47956731.024898492</v>
      </c>
      <c r="D101" s="7">
        <v>302516.53613790416</v>
      </c>
      <c r="E101" s="7">
        <v>445914.75716618006</v>
      </c>
      <c r="G101" s="27">
        <f t="shared" si="9"/>
        <v>0</v>
      </c>
      <c r="H101" s="7">
        <f t="shared" si="10"/>
        <v>0</v>
      </c>
      <c r="I101" s="7">
        <f t="shared" si="11"/>
        <v>0</v>
      </c>
      <c r="K101" s="27">
        <f t="shared" si="12"/>
        <v>27956731.024898537</v>
      </c>
      <c r="L101" s="7">
        <f t="shared" si="13"/>
        <v>177516.53613790448</v>
      </c>
      <c r="M101" s="7">
        <f t="shared" si="14"/>
        <v>445914.75716618006</v>
      </c>
      <c r="O101" s="27">
        <f t="shared" si="15"/>
        <v>20000000</v>
      </c>
      <c r="P101" s="7">
        <f t="shared" si="16"/>
        <v>124999.99999999999</v>
      </c>
      <c r="Q101" s="7">
        <f t="shared" si="17"/>
        <v>0</v>
      </c>
    </row>
    <row r="102" spans="2:17" x14ac:dyDescent="0.25">
      <c r="B102" s="3">
        <v>93</v>
      </c>
      <c r="C102" s="27">
        <v>47514388.408258468</v>
      </c>
      <c r="D102" s="7">
        <v>299729.56890561554</v>
      </c>
      <c r="E102" s="7">
        <v>442342.61664002307</v>
      </c>
      <c r="G102" s="27">
        <f t="shared" si="9"/>
        <v>0</v>
      </c>
      <c r="H102" s="7">
        <f t="shared" si="10"/>
        <v>0</v>
      </c>
      <c r="I102" s="7">
        <f t="shared" si="11"/>
        <v>0</v>
      </c>
      <c r="K102" s="27">
        <f t="shared" si="12"/>
        <v>27514388.408258513</v>
      </c>
      <c r="L102" s="7">
        <f t="shared" si="13"/>
        <v>174729.56890561583</v>
      </c>
      <c r="M102" s="7">
        <f t="shared" si="14"/>
        <v>442342.61664002307</v>
      </c>
      <c r="O102" s="27">
        <f t="shared" si="15"/>
        <v>20000000</v>
      </c>
      <c r="P102" s="7">
        <f t="shared" si="16"/>
        <v>124999.99999999999</v>
      </c>
      <c r="Q102" s="7">
        <f t="shared" si="17"/>
        <v>0</v>
      </c>
    </row>
    <row r="103" spans="2:17" x14ac:dyDescent="0.25">
      <c r="B103" s="3">
        <v>94</v>
      </c>
      <c r="C103" s="27">
        <v>47075589.869194165</v>
      </c>
      <c r="D103" s="7">
        <v>296964.9275516154</v>
      </c>
      <c r="E103" s="7">
        <v>438798.53906430054</v>
      </c>
      <c r="G103" s="27">
        <f t="shared" si="9"/>
        <v>0</v>
      </c>
      <c r="H103" s="7">
        <f t="shared" si="10"/>
        <v>0</v>
      </c>
      <c r="I103" s="7">
        <f t="shared" si="11"/>
        <v>0</v>
      </c>
      <c r="K103" s="27">
        <f t="shared" si="12"/>
        <v>27075589.869194213</v>
      </c>
      <c r="L103" s="7">
        <f t="shared" si="13"/>
        <v>171964.92755161569</v>
      </c>
      <c r="M103" s="7">
        <f t="shared" si="14"/>
        <v>438798.53906430054</v>
      </c>
      <c r="O103" s="27">
        <f t="shared" si="15"/>
        <v>20000000</v>
      </c>
      <c r="P103" s="7">
        <f t="shared" si="16"/>
        <v>124999.99999999999</v>
      </c>
      <c r="Q103" s="7">
        <f t="shared" si="17"/>
        <v>0</v>
      </c>
    </row>
    <row r="104" spans="2:17" x14ac:dyDescent="0.25">
      <c r="B104" s="3">
        <v>95</v>
      </c>
      <c r="C104" s="27">
        <v>46640307.56456358</v>
      </c>
      <c r="D104" s="7">
        <v>294222.43668246351</v>
      </c>
      <c r="E104" s="7">
        <v>435282.30463058408</v>
      </c>
      <c r="G104" s="27">
        <f t="shared" si="9"/>
        <v>0</v>
      </c>
      <c r="H104" s="7">
        <f t="shared" si="10"/>
        <v>0</v>
      </c>
      <c r="I104" s="7">
        <f t="shared" si="11"/>
        <v>0</v>
      </c>
      <c r="K104" s="27">
        <f t="shared" si="12"/>
        <v>26640307.564563628</v>
      </c>
      <c r="L104" s="7">
        <f t="shared" si="13"/>
        <v>169222.43668246383</v>
      </c>
      <c r="M104" s="7">
        <f t="shared" si="14"/>
        <v>435282.30463058408</v>
      </c>
      <c r="O104" s="27">
        <f t="shared" si="15"/>
        <v>20000000</v>
      </c>
      <c r="P104" s="7">
        <f t="shared" si="16"/>
        <v>124999.99999999999</v>
      </c>
      <c r="Q104" s="7">
        <f t="shared" si="17"/>
        <v>0</v>
      </c>
    </row>
    <row r="105" spans="2:17" x14ac:dyDescent="0.25">
      <c r="B105" s="3">
        <v>96</v>
      </c>
      <c r="C105" s="27">
        <v>46208513.869312234</v>
      </c>
      <c r="D105" s="7">
        <v>291501.92227852234</v>
      </c>
      <c r="E105" s="7">
        <v>431793.695251344</v>
      </c>
      <c r="G105" s="27">
        <f t="shared" si="9"/>
        <v>0</v>
      </c>
      <c r="H105" s="7">
        <f t="shared" si="10"/>
        <v>0</v>
      </c>
      <c r="I105" s="7">
        <f t="shared" si="11"/>
        <v>0</v>
      </c>
      <c r="K105" s="27">
        <f t="shared" si="12"/>
        <v>26208513.869312283</v>
      </c>
      <c r="L105" s="7">
        <f t="shared" si="13"/>
        <v>166501.92227852266</v>
      </c>
      <c r="M105" s="7">
        <f t="shared" si="14"/>
        <v>431793.695251344</v>
      </c>
      <c r="O105" s="27">
        <f t="shared" si="15"/>
        <v>20000000</v>
      </c>
      <c r="P105" s="7">
        <f t="shared" si="16"/>
        <v>124999.99999999999</v>
      </c>
      <c r="Q105" s="7">
        <f t="shared" si="17"/>
        <v>0</v>
      </c>
    </row>
    <row r="106" spans="2:17" x14ac:dyDescent="0.25">
      <c r="B106" s="3">
        <v>97</v>
      </c>
      <c r="C106" s="27">
        <v>45780181.374765761</v>
      </c>
      <c r="D106" s="7">
        <v>288803.21168320143</v>
      </c>
      <c r="E106" s="7">
        <v>428332.49454647658</v>
      </c>
      <c r="G106" s="27">
        <f t="shared" si="9"/>
        <v>0</v>
      </c>
      <c r="H106" s="7">
        <f t="shared" si="10"/>
        <v>0</v>
      </c>
      <c r="I106" s="7">
        <f t="shared" si="11"/>
        <v>0</v>
      </c>
      <c r="K106" s="27">
        <f t="shared" si="12"/>
        <v>25780181.374765806</v>
      </c>
      <c r="L106" s="7">
        <f t="shared" si="13"/>
        <v>163803.21168320175</v>
      </c>
      <c r="M106" s="7">
        <f t="shared" si="14"/>
        <v>428332.49454647658</v>
      </c>
      <c r="O106" s="27">
        <f t="shared" si="15"/>
        <v>20000000</v>
      </c>
      <c r="P106" s="7">
        <f t="shared" si="16"/>
        <v>124999.99999999999</v>
      </c>
      <c r="Q106" s="7">
        <f t="shared" si="17"/>
        <v>0</v>
      </c>
    </row>
    <row r="107" spans="2:17" x14ac:dyDescent="0.25">
      <c r="B107" s="3">
        <v>98</v>
      </c>
      <c r="C107" s="27">
        <v>45355282.886935823</v>
      </c>
      <c r="D107" s="7">
        <v>286126.13359228597</v>
      </c>
      <c r="E107" s="7">
        <v>424898.48782993772</v>
      </c>
      <c r="G107" s="27">
        <f t="shared" si="9"/>
        <v>0</v>
      </c>
      <c r="H107" s="7">
        <f t="shared" si="10"/>
        <v>0</v>
      </c>
      <c r="I107" s="7">
        <f t="shared" si="11"/>
        <v>0</v>
      </c>
      <c r="K107" s="27">
        <f t="shared" si="12"/>
        <v>25355282.886935867</v>
      </c>
      <c r="L107" s="7">
        <f t="shared" si="13"/>
        <v>161126.13359228626</v>
      </c>
      <c r="M107" s="7">
        <f t="shared" si="14"/>
        <v>424898.48782993772</v>
      </c>
      <c r="O107" s="27">
        <f t="shared" si="15"/>
        <v>20000000</v>
      </c>
      <c r="P107" s="7">
        <f t="shared" si="16"/>
        <v>124999.99999999999</v>
      </c>
      <c r="Q107" s="7">
        <f t="shared" si="17"/>
        <v>0</v>
      </c>
    </row>
    <row r="108" spans="2:17" x14ac:dyDescent="0.25">
      <c r="B108" s="3">
        <v>99</v>
      </c>
      <c r="C108" s="27">
        <v>44933791.42483934</v>
      </c>
      <c r="D108" s="7">
        <v>283470.51804334886</v>
      </c>
      <c r="E108" s="7">
        <v>421491.46209648065</v>
      </c>
      <c r="G108" s="27">
        <f t="shared" si="9"/>
        <v>0</v>
      </c>
      <c r="H108" s="7">
        <f t="shared" si="10"/>
        <v>0</v>
      </c>
      <c r="I108" s="7">
        <f t="shared" si="11"/>
        <v>0</v>
      </c>
      <c r="K108" s="27">
        <f t="shared" si="12"/>
        <v>24933791.424839385</v>
      </c>
      <c r="L108" s="7">
        <f t="shared" si="13"/>
        <v>158470.51804334915</v>
      </c>
      <c r="M108" s="7">
        <f t="shared" si="14"/>
        <v>421491.46209648065</v>
      </c>
      <c r="O108" s="27">
        <f t="shared" si="15"/>
        <v>20000000</v>
      </c>
      <c r="P108" s="7">
        <f t="shared" si="16"/>
        <v>124999.99999999999</v>
      </c>
      <c r="Q108" s="7">
        <f t="shared" si="17"/>
        <v>0</v>
      </c>
    </row>
    <row r="109" spans="2:17" x14ac:dyDescent="0.25">
      <c r="B109" s="3">
        <v>100</v>
      </c>
      <c r="C109" s="27">
        <v>44515680.218830839</v>
      </c>
      <c r="D109" s="7">
        <v>280836.19640524586</v>
      </c>
      <c r="E109" s="7">
        <v>418111.20600849832</v>
      </c>
      <c r="G109" s="27">
        <f t="shared" si="9"/>
        <v>0</v>
      </c>
      <c r="H109" s="7">
        <f t="shared" si="10"/>
        <v>0</v>
      </c>
      <c r="I109" s="7">
        <f t="shared" si="11"/>
        <v>0</v>
      </c>
      <c r="K109" s="27">
        <f t="shared" si="12"/>
        <v>24515680.218830887</v>
      </c>
      <c r="L109" s="7">
        <f t="shared" si="13"/>
        <v>155836.19640524616</v>
      </c>
      <c r="M109" s="7">
        <f t="shared" si="14"/>
        <v>418111.20600849832</v>
      </c>
      <c r="O109" s="27">
        <f t="shared" si="15"/>
        <v>20000000</v>
      </c>
      <c r="P109" s="7">
        <f t="shared" si="16"/>
        <v>124999.99999999999</v>
      </c>
      <c r="Q109" s="7">
        <f t="shared" si="17"/>
        <v>0</v>
      </c>
    </row>
    <row r="110" spans="2:17" x14ac:dyDescent="0.25">
      <c r="B110" s="3">
        <v>101</v>
      </c>
      <c r="C110" s="27">
        <v>44100922.708947875</v>
      </c>
      <c r="D110" s="7">
        <v>278223.00136769272</v>
      </c>
      <c r="E110" s="7">
        <v>414757.50988296769</v>
      </c>
      <c r="G110" s="27">
        <f t="shared" si="9"/>
        <v>0</v>
      </c>
      <c r="H110" s="7">
        <f t="shared" si="10"/>
        <v>0</v>
      </c>
      <c r="I110" s="7">
        <f t="shared" si="11"/>
        <v>0</v>
      </c>
      <c r="K110" s="27">
        <f t="shared" si="12"/>
        <v>24100922.708947919</v>
      </c>
      <c r="L110" s="7">
        <f t="shared" si="13"/>
        <v>153223.00136769304</v>
      </c>
      <c r="M110" s="7">
        <f t="shared" si="14"/>
        <v>414757.50988296769</v>
      </c>
      <c r="O110" s="27">
        <f t="shared" si="15"/>
        <v>20000000</v>
      </c>
      <c r="P110" s="7">
        <f t="shared" si="16"/>
        <v>124999.99999999999</v>
      </c>
      <c r="Q110" s="7">
        <f t="shared" si="17"/>
        <v>0</v>
      </c>
    </row>
    <row r="111" spans="2:17" x14ac:dyDescent="0.25">
      <c r="B111" s="3">
        <v>102</v>
      </c>
      <c r="C111" s="27">
        <v>43689492.543269381</v>
      </c>
      <c r="D111" s="7">
        <v>275630.7669309242</v>
      </c>
      <c r="E111" s="7">
        <v>411430.1656784974</v>
      </c>
      <c r="G111" s="27">
        <f t="shared" si="9"/>
        <v>0</v>
      </c>
      <c r="H111" s="7">
        <f t="shared" si="10"/>
        <v>0</v>
      </c>
      <c r="I111" s="7">
        <f t="shared" si="11"/>
        <v>0</v>
      </c>
      <c r="K111" s="27">
        <f t="shared" si="12"/>
        <v>23689492.543269422</v>
      </c>
      <c r="L111" s="7">
        <f t="shared" si="13"/>
        <v>150630.7669309245</v>
      </c>
      <c r="M111" s="7">
        <f t="shared" si="14"/>
        <v>411430.1656784974</v>
      </c>
      <c r="O111" s="27">
        <f t="shared" si="15"/>
        <v>20000000</v>
      </c>
      <c r="P111" s="7">
        <f t="shared" si="16"/>
        <v>124999.99999999999</v>
      </c>
      <c r="Q111" s="7">
        <f t="shared" si="17"/>
        <v>0</v>
      </c>
    </row>
    <row r="112" spans="2:17" x14ac:dyDescent="0.25">
      <c r="B112" s="3">
        <v>103</v>
      </c>
      <c r="C112" s="27">
        <v>43281363.576286905</v>
      </c>
      <c r="D112" s="7">
        <v>273059.32839543361</v>
      </c>
      <c r="E112" s="7">
        <v>408128.96698247519</v>
      </c>
      <c r="G112" s="27">
        <f t="shared" si="9"/>
        <v>0</v>
      </c>
      <c r="H112" s="7">
        <f t="shared" si="10"/>
        <v>0</v>
      </c>
      <c r="I112" s="7">
        <f t="shared" si="11"/>
        <v>0</v>
      </c>
      <c r="K112" s="27">
        <f t="shared" si="12"/>
        <v>23281363.576286945</v>
      </c>
      <c r="L112" s="7">
        <f t="shared" si="13"/>
        <v>148059.32839543387</v>
      </c>
      <c r="M112" s="7">
        <f t="shared" si="14"/>
        <v>408128.96698247519</v>
      </c>
      <c r="O112" s="27">
        <f t="shared" si="15"/>
        <v>20000000</v>
      </c>
      <c r="P112" s="7">
        <f t="shared" si="16"/>
        <v>124999.99999999999</v>
      </c>
      <c r="Q112" s="7">
        <f t="shared" si="17"/>
        <v>0</v>
      </c>
    </row>
    <row r="113" spans="2:17" x14ac:dyDescent="0.25">
      <c r="B113" s="3">
        <v>104</v>
      </c>
      <c r="C113" s="27">
        <v>42876509.867288589</v>
      </c>
      <c r="D113" s="7">
        <v>270508.52235179313</v>
      </c>
      <c r="E113" s="7">
        <v>404853.708998318</v>
      </c>
      <c r="G113" s="27">
        <f t="shared" si="9"/>
        <v>0</v>
      </c>
      <c r="H113" s="7">
        <f t="shared" si="10"/>
        <v>0</v>
      </c>
      <c r="I113" s="7">
        <f t="shared" si="11"/>
        <v>0</v>
      </c>
      <c r="K113" s="27">
        <f t="shared" si="12"/>
        <v>22876509.867288627</v>
      </c>
      <c r="L113" s="7">
        <f t="shared" si="13"/>
        <v>145508.52235179339</v>
      </c>
      <c r="M113" s="7">
        <f t="shared" si="14"/>
        <v>404853.708998318</v>
      </c>
      <c r="O113" s="27">
        <f t="shared" si="15"/>
        <v>20000000</v>
      </c>
      <c r="P113" s="7">
        <f t="shared" si="16"/>
        <v>124999.99999999999</v>
      </c>
      <c r="Q113" s="7">
        <f t="shared" si="17"/>
        <v>0</v>
      </c>
    </row>
    <row r="114" spans="2:17" x14ac:dyDescent="0.25">
      <c r="B114" s="3">
        <v>105</v>
      </c>
      <c r="C114" s="27">
        <v>42474905.678755768</v>
      </c>
      <c r="D114" s="7">
        <v>267978.18667055364</v>
      </c>
      <c r="E114" s="7">
        <v>401604.18853282038</v>
      </c>
      <c r="G114" s="27">
        <f t="shared" si="9"/>
        <v>0</v>
      </c>
      <c r="H114" s="7">
        <f t="shared" si="10"/>
        <v>0</v>
      </c>
      <c r="I114" s="7">
        <f t="shared" si="11"/>
        <v>0</v>
      </c>
      <c r="K114" s="27">
        <f t="shared" si="12"/>
        <v>22474905.678755805</v>
      </c>
      <c r="L114" s="7">
        <f t="shared" si="13"/>
        <v>142978.1866705539</v>
      </c>
      <c r="M114" s="7">
        <f t="shared" si="14"/>
        <v>401604.18853282038</v>
      </c>
      <c r="O114" s="27">
        <f t="shared" si="15"/>
        <v>20000000</v>
      </c>
      <c r="P114" s="7">
        <f t="shared" si="16"/>
        <v>124999.99999999999</v>
      </c>
      <c r="Q114" s="7">
        <f t="shared" si="17"/>
        <v>0</v>
      </c>
    </row>
    <row r="115" spans="2:17" x14ac:dyDescent="0.25">
      <c r="B115" s="3">
        <v>106</v>
      </c>
      <c r="C115" s="27">
        <v>42076525.474772163</v>
      </c>
      <c r="D115" s="7">
        <v>265468.16049222351</v>
      </c>
      <c r="E115" s="7">
        <v>398380.20398360235</v>
      </c>
      <c r="G115" s="27">
        <f t="shared" si="9"/>
        <v>0</v>
      </c>
      <c r="H115" s="7">
        <f t="shared" si="10"/>
        <v>0</v>
      </c>
      <c r="I115" s="7">
        <f t="shared" si="11"/>
        <v>0</v>
      </c>
      <c r="K115" s="27">
        <f t="shared" si="12"/>
        <v>22076525.474772204</v>
      </c>
      <c r="L115" s="7">
        <f t="shared" si="13"/>
        <v>140468.16049222377</v>
      </c>
      <c r="M115" s="7">
        <f t="shared" si="14"/>
        <v>398380.20398360235</v>
      </c>
      <c r="O115" s="27">
        <f t="shared" si="15"/>
        <v>20000000</v>
      </c>
      <c r="P115" s="7">
        <f t="shared" si="16"/>
        <v>124999.99999999999</v>
      </c>
      <c r="Q115" s="7">
        <f t="shared" si="17"/>
        <v>0</v>
      </c>
    </row>
    <row r="116" spans="2:17" x14ac:dyDescent="0.25">
      <c r="B116" s="3">
        <v>107</v>
      </c>
      <c r="C116" s="27">
        <v>41681343.919445507</v>
      </c>
      <c r="D116" s="7">
        <v>262978.28421732597</v>
      </c>
      <c r="E116" s="7">
        <v>395181.55532665574</v>
      </c>
      <c r="G116" s="27">
        <f t="shared" si="9"/>
        <v>0</v>
      </c>
      <c r="H116" s="7">
        <f t="shared" si="10"/>
        <v>0</v>
      </c>
      <c r="I116" s="7">
        <f t="shared" si="11"/>
        <v>0</v>
      </c>
      <c r="K116" s="27">
        <f t="shared" si="12"/>
        <v>21681343.919445548</v>
      </c>
      <c r="L116" s="7">
        <f t="shared" si="13"/>
        <v>137978.28421732626</v>
      </c>
      <c r="M116" s="7">
        <f t="shared" si="14"/>
        <v>395181.55532665574</v>
      </c>
      <c r="O116" s="27">
        <f t="shared" si="15"/>
        <v>20000000</v>
      </c>
      <c r="P116" s="7">
        <f t="shared" si="16"/>
        <v>124999.99999999999</v>
      </c>
      <c r="Q116" s="7">
        <f t="shared" si="17"/>
        <v>0</v>
      </c>
    </row>
    <row r="117" spans="2:17" x14ac:dyDescent="0.25">
      <c r="B117" s="3">
        <v>108</v>
      </c>
      <c r="C117" s="27">
        <v>41289335.87534152</v>
      </c>
      <c r="D117" s="7">
        <v>260508.3994965344</v>
      </c>
      <c r="E117" s="7">
        <v>392008.04410398781</v>
      </c>
      <c r="G117" s="27">
        <f t="shared" si="9"/>
        <v>0</v>
      </c>
      <c r="H117" s="7">
        <f t="shared" si="10"/>
        <v>0</v>
      </c>
      <c r="I117" s="7">
        <f t="shared" si="11"/>
        <v>0</v>
      </c>
      <c r="K117" s="27">
        <f t="shared" si="12"/>
        <v>21289335.875341561</v>
      </c>
      <c r="L117" s="7">
        <f t="shared" si="13"/>
        <v>135508.39949653466</v>
      </c>
      <c r="M117" s="7">
        <f t="shared" si="14"/>
        <v>392008.04410398781</v>
      </c>
      <c r="O117" s="27">
        <f t="shared" si="15"/>
        <v>20000000</v>
      </c>
      <c r="P117" s="7">
        <f t="shared" si="16"/>
        <v>124999.99999999999</v>
      </c>
      <c r="Q117" s="7">
        <f t="shared" si="17"/>
        <v>0</v>
      </c>
    </row>
    <row r="118" spans="2:17" x14ac:dyDescent="0.25">
      <c r="B118" s="3">
        <v>109</v>
      </c>
      <c r="C118" s="27">
        <v>40900476.401930161</v>
      </c>
      <c r="D118" s="7">
        <v>258058.34922088447</v>
      </c>
      <c r="E118" s="7">
        <v>388859.47341136145</v>
      </c>
      <c r="G118" s="27">
        <f t="shared" si="9"/>
        <v>0</v>
      </c>
      <c r="H118" s="7">
        <f t="shared" si="10"/>
        <v>0</v>
      </c>
      <c r="I118" s="7">
        <f t="shared" si="11"/>
        <v>0</v>
      </c>
      <c r="K118" s="27">
        <f t="shared" si="12"/>
        <v>20900476.401930198</v>
      </c>
      <c r="L118" s="7">
        <f t="shared" si="13"/>
        <v>133058.34922088473</v>
      </c>
      <c r="M118" s="7">
        <f t="shared" si="14"/>
        <v>388859.47341136145</v>
      </c>
      <c r="O118" s="27">
        <f t="shared" si="15"/>
        <v>20000000</v>
      </c>
      <c r="P118" s="7">
        <f t="shared" si="16"/>
        <v>124999.99999999999</v>
      </c>
      <c r="Q118" s="7">
        <f t="shared" si="17"/>
        <v>0</v>
      </c>
    </row>
    <row r="119" spans="2:17" x14ac:dyDescent="0.25">
      <c r="B119" s="3">
        <v>110</v>
      </c>
      <c r="C119" s="27">
        <v>40514740.754044026</v>
      </c>
      <c r="D119" s="7">
        <v>255627.97751206349</v>
      </c>
      <c r="E119" s="7">
        <v>385735.64788613212</v>
      </c>
      <c r="G119" s="27">
        <f t="shared" si="9"/>
        <v>0</v>
      </c>
      <c r="H119" s="7">
        <f t="shared" si="10"/>
        <v>0</v>
      </c>
      <c r="I119" s="7">
        <f t="shared" si="11"/>
        <v>0</v>
      </c>
      <c r="K119" s="27">
        <f t="shared" si="12"/>
        <v>20514740.754044067</v>
      </c>
      <c r="L119" s="7">
        <f t="shared" si="13"/>
        <v>130627.97751206372</v>
      </c>
      <c r="M119" s="7">
        <f t="shared" si="14"/>
        <v>385735.64788613212</v>
      </c>
      <c r="O119" s="27">
        <f t="shared" si="15"/>
        <v>20000000</v>
      </c>
      <c r="P119" s="7">
        <f t="shared" si="16"/>
        <v>124999.99999999999</v>
      </c>
      <c r="Q119" s="7">
        <f t="shared" si="17"/>
        <v>0</v>
      </c>
    </row>
    <row r="120" spans="2:17" x14ac:dyDescent="0.25">
      <c r="B120" s="3">
        <v>111</v>
      </c>
      <c r="C120" s="27">
        <v>40132104.380348846</v>
      </c>
      <c r="D120" s="7">
        <v>253217.12971277515</v>
      </c>
      <c r="E120" s="7">
        <v>382636.37369517854</v>
      </c>
      <c r="G120" s="27">
        <f t="shared" si="9"/>
        <v>0</v>
      </c>
      <c r="H120" s="7">
        <f t="shared" si="10"/>
        <v>0</v>
      </c>
      <c r="I120" s="7">
        <f t="shared" si="11"/>
        <v>0</v>
      </c>
      <c r="K120" s="27">
        <f t="shared" si="12"/>
        <v>20132104.380348887</v>
      </c>
      <c r="L120" s="7">
        <f t="shared" si="13"/>
        <v>128217.12971277541</v>
      </c>
      <c r="M120" s="7">
        <f t="shared" si="14"/>
        <v>382636.37369517854</v>
      </c>
      <c r="O120" s="27">
        <f t="shared" si="15"/>
        <v>20000000</v>
      </c>
      <c r="P120" s="7">
        <f t="shared" si="16"/>
        <v>124999.99999999999</v>
      </c>
      <c r="Q120" s="7">
        <f t="shared" si="17"/>
        <v>0</v>
      </c>
    </row>
    <row r="121" spans="2:17" x14ac:dyDescent="0.25">
      <c r="B121" s="3">
        <v>112</v>
      </c>
      <c r="C121" s="27">
        <v>39752542.921825916</v>
      </c>
      <c r="D121" s="7">
        <v>250825.65237718026</v>
      </c>
      <c r="E121" s="7">
        <v>379561.45852292958</v>
      </c>
      <c r="G121" s="27">
        <f t="shared" si="9"/>
        <v>0</v>
      </c>
      <c r="H121" s="7">
        <f t="shared" si="10"/>
        <v>0</v>
      </c>
      <c r="I121" s="7">
        <f t="shared" si="11"/>
        <v>0</v>
      </c>
      <c r="K121" s="27">
        <f t="shared" si="12"/>
        <v>19752542.921825957</v>
      </c>
      <c r="L121" s="7">
        <f t="shared" si="13"/>
        <v>125825.65237718054</v>
      </c>
      <c r="M121" s="7">
        <f t="shared" si="14"/>
        <v>379561.45852292958</v>
      </c>
      <c r="O121" s="27">
        <f t="shared" si="15"/>
        <v>20000000</v>
      </c>
      <c r="P121" s="7">
        <f t="shared" si="16"/>
        <v>124999.99999999999</v>
      </c>
      <c r="Q121" s="7">
        <f t="shared" si="17"/>
        <v>0</v>
      </c>
    </row>
    <row r="122" spans="2:17" x14ac:dyDescent="0.25">
      <c r="B122" s="3">
        <v>113</v>
      </c>
      <c r="C122" s="27">
        <v>39376032.210266434</v>
      </c>
      <c r="D122" s="7">
        <v>248453.39326141195</v>
      </c>
      <c r="E122" s="7">
        <v>376510.71155948378</v>
      </c>
      <c r="G122" s="27">
        <f t="shared" si="9"/>
        <v>0</v>
      </c>
      <c r="H122" s="7">
        <f t="shared" si="10"/>
        <v>0</v>
      </c>
      <c r="I122" s="7">
        <f t="shared" si="11"/>
        <v>0</v>
      </c>
      <c r="K122" s="27">
        <f t="shared" si="12"/>
        <v>19376032.210266471</v>
      </c>
      <c r="L122" s="7">
        <f t="shared" si="13"/>
        <v>123453.39326141222</v>
      </c>
      <c r="M122" s="7">
        <f t="shared" si="14"/>
        <v>376510.71155948378</v>
      </c>
      <c r="O122" s="27">
        <f t="shared" si="15"/>
        <v>20000000</v>
      </c>
      <c r="P122" s="7">
        <f t="shared" si="16"/>
        <v>124999.99999999999</v>
      </c>
      <c r="Q122" s="7">
        <f t="shared" si="17"/>
        <v>0</v>
      </c>
    </row>
    <row r="123" spans="2:17" x14ac:dyDescent="0.25">
      <c r="B123" s="3">
        <v>114</v>
      </c>
      <c r="C123" s="27">
        <v>39002548.266777612</v>
      </c>
      <c r="D123" s="7">
        <v>246100.2013141652</v>
      </c>
      <c r="E123" s="7">
        <v>373483.94348882214</v>
      </c>
      <c r="G123" s="27">
        <f t="shared" si="9"/>
        <v>0</v>
      </c>
      <c r="H123" s="7">
        <f t="shared" si="10"/>
        <v>0</v>
      </c>
      <c r="I123" s="7">
        <f t="shared" si="11"/>
        <v>0</v>
      </c>
      <c r="K123" s="27">
        <f t="shared" si="12"/>
        <v>19002548.26677765</v>
      </c>
      <c r="L123" s="7">
        <f t="shared" si="13"/>
        <v>121100.20131416543</v>
      </c>
      <c r="M123" s="7">
        <f t="shared" si="14"/>
        <v>373483.94348882214</v>
      </c>
      <c r="O123" s="27">
        <f t="shared" si="15"/>
        <v>20000000</v>
      </c>
      <c r="P123" s="7">
        <f t="shared" si="16"/>
        <v>124999.99999999999</v>
      </c>
      <c r="Q123" s="7">
        <f t="shared" si="17"/>
        <v>0</v>
      </c>
    </row>
    <row r="124" spans="2:17" x14ac:dyDescent="0.25">
      <c r="B124" s="3">
        <v>115</v>
      </c>
      <c r="C124" s="27">
        <v>38632067.300300501</v>
      </c>
      <c r="D124" s="7">
        <v>243765.92666736007</v>
      </c>
      <c r="E124" s="7">
        <v>370480.96647711314</v>
      </c>
      <c r="G124" s="27">
        <f t="shared" si="9"/>
        <v>0</v>
      </c>
      <c r="H124" s="7">
        <f t="shared" si="10"/>
        <v>0</v>
      </c>
      <c r="I124" s="7">
        <f t="shared" si="11"/>
        <v>0</v>
      </c>
      <c r="K124" s="27">
        <f t="shared" si="12"/>
        <v>18632067.300300535</v>
      </c>
      <c r="L124" s="7">
        <f t="shared" si="13"/>
        <v>118765.9266673603</v>
      </c>
      <c r="M124" s="7">
        <f t="shared" si="14"/>
        <v>370480.96647711314</v>
      </c>
      <c r="O124" s="27">
        <f t="shared" si="15"/>
        <v>20000000</v>
      </c>
      <c r="P124" s="7">
        <f t="shared" si="16"/>
        <v>124999.99999999999</v>
      </c>
      <c r="Q124" s="7">
        <f t="shared" si="17"/>
        <v>0</v>
      </c>
    </row>
    <row r="125" spans="2:17" x14ac:dyDescent="0.25">
      <c r="B125" s="3">
        <v>116</v>
      </c>
      <c r="C125" s="27">
        <v>38264565.706139393</v>
      </c>
      <c r="D125" s="7">
        <v>241450.42062687813</v>
      </c>
      <c r="E125" s="7">
        <v>367501.59416110936</v>
      </c>
      <c r="G125" s="27">
        <f t="shared" si="9"/>
        <v>0</v>
      </c>
      <c r="H125" s="7">
        <f t="shared" si="10"/>
        <v>0</v>
      </c>
      <c r="I125" s="7">
        <f t="shared" si="11"/>
        <v>0</v>
      </c>
      <c r="K125" s="27">
        <f t="shared" si="12"/>
        <v>18264565.706139427</v>
      </c>
      <c r="L125" s="7">
        <f t="shared" si="13"/>
        <v>116450.42062687833</v>
      </c>
      <c r="M125" s="7">
        <f t="shared" si="14"/>
        <v>367501.59416110936</v>
      </c>
      <c r="O125" s="27">
        <f t="shared" si="15"/>
        <v>20000000</v>
      </c>
      <c r="P125" s="7">
        <f t="shared" si="16"/>
        <v>124999.99999999999</v>
      </c>
      <c r="Q125" s="7">
        <f t="shared" si="17"/>
        <v>0</v>
      </c>
    </row>
    <row r="126" spans="2:17" x14ac:dyDescent="0.25">
      <c r="B126" s="3">
        <v>117</v>
      </c>
      <c r="C126" s="27">
        <v>37900020.064502761</v>
      </c>
      <c r="D126" s="7">
        <v>239153.53566337118</v>
      </c>
      <c r="E126" s="7">
        <v>364545.64163663512</v>
      </c>
      <c r="G126" s="27">
        <f t="shared" si="9"/>
        <v>0</v>
      </c>
      <c r="H126" s="7">
        <f t="shared" si="10"/>
        <v>0</v>
      </c>
      <c r="I126" s="7">
        <f t="shared" si="11"/>
        <v>0</v>
      </c>
      <c r="K126" s="27">
        <f t="shared" si="12"/>
        <v>17900020.064502791</v>
      </c>
      <c r="L126" s="7">
        <f t="shared" si="13"/>
        <v>114153.53566337141</v>
      </c>
      <c r="M126" s="7">
        <f t="shared" si="14"/>
        <v>364545.64163663512</v>
      </c>
      <c r="O126" s="27">
        <f t="shared" si="15"/>
        <v>20000000</v>
      </c>
      <c r="P126" s="7">
        <f t="shared" si="16"/>
        <v>124999.99999999999</v>
      </c>
      <c r="Q126" s="7">
        <f t="shared" si="17"/>
        <v>0</v>
      </c>
    </row>
    <row r="127" spans="2:17" x14ac:dyDescent="0.25">
      <c r="B127" s="3">
        <v>118</v>
      </c>
      <c r="C127" s="27">
        <v>37538407.139055595</v>
      </c>
      <c r="D127" s="7">
        <v>236875.12540314224</v>
      </c>
      <c r="E127" s="7">
        <v>361612.92544716434</v>
      </c>
      <c r="G127" s="27">
        <f t="shared" si="9"/>
        <v>0</v>
      </c>
      <c r="H127" s="7">
        <f t="shared" si="10"/>
        <v>0</v>
      </c>
      <c r="I127" s="7">
        <f t="shared" si="11"/>
        <v>0</v>
      </c>
      <c r="K127" s="27">
        <f t="shared" si="12"/>
        <v>17538407.139055625</v>
      </c>
      <c r="L127" s="7">
        <f t="shared" si="13"/>
        <v>111875.12540314243</v>
      </c>
      <c r="M127" s="7">
        <f t="shared" si="14"/>
        <v>361612.92544716434</v>
      </c>
      <c r="O127" s="27">
        <f t="shared" si="15"/>
        <v>20000000</v>
      </c>
      <c r="P127" s="7">
        <f t="shared" si="16"/>
        <v>124999.99999999999</v>
      </c>
      <c r="Q127" s="7">
        <f t="shared" si="17"/>
        <v>0</v>
      </c>
    </row>
    <row r="128" spans="2:17" x14ac:dyDescent="0.25">
      <c r="B128" s="3">
        <v>119</v>
      </c>
      <c r="C128" s="27">
        <v>37179703.875483111</v>
      </c>
      <c r="D128" s="7">
        <v>234615.04461909746</v>
      </c>
      <c r="E128" s="7">
        <v>358703.2635724867</v>
      </c>
      <c r="G128" s="27">
        <f t="shared" si="9"/>
        <v>0</v>
      </c>
      <c r="H128" s="7">
        <f t="shared" si="10"/>
        <v>0</v>
      </c>
      <c r="I128" s="7">
        <f t="shared" si="11"/>
        <v>0</v>
      </c>
      <c r="K128" s="27">
        <f t="shared" si="12"/>
        <v>17179703.875483137</v>
      </c>
      <c r="L128" s="7">
        <f t="shared" si="13"/>
        <v>109615.04461909765</v>
      </c>
      <c r="M128" s="7">
        <f t="shared" si="14"/>
        <v>358703.2635724867</v>
      </c>
      <c r="O128" s="27">
        <f t="shared" si="15"/>
        <v>20000000</v>
      </c>
      <c r="P128" s="7">
        <f t="shared" si="16"/>
        <v>124999.99999999999</v>
      </c>
      <c r="Q128" s="7">
        <f t="shared" si="17"/>
        <v>0</v>
      </c>
    </row>
    <row r="129" spans="2:17" x14ac:dyDescent="0.25">
      <c r="B129" s="3">
        <v>120</v>
      </c>
      <c r="C129" s="27">
        <v>36823887.400065646</v>
      </c>
      <c r="D129" s="7">
        <v>232373.14922176942</v>
      </c>
      <c r="E129" s="7">
        <v>355816.47541746416</v>
      </c>
      <c r="G129" s="27">
        <f t="shared" si="9"/>
        <v>0</v>
      </c>
      <c r="H129" s="7">
        <f t="shared" si="10"/>
        <v>0</v>
      </c>
      <c r="I129" s="7">
        <f t="shared" si="11"/>
        <v>0</v>
      </c>
      <c r="K129" s="27">
        <f t="shared" si="12"/>
        <v>16823887.400065672</v>
      </c>
      <c r="L129" s="7">
        <f t="shared" si="13"/>
        <v>107373.14922176959</v>
      </c>
      <c r="M129" s="7">
        <f t="shared" si="14"/>
        <v>355816.47541746416</v>
      </c>
      <c r="O129" s="27">
        <f t="shared" si="15"/>
        <v>20000000</v>
      </c>
      <c r="P129" s="7">
        <f t="shared" si="16"/>
        <v>124999.99999999999</v>
      </c>
      <c r="Q129" s="7">
        <f t="shared" si="17"/>
        <v>0</v>
      </c>
    </row>
    <row r="130" spans="2:17" x14ac:dyDescent="0.25">
      <c r="B130" s="3">
        <v>121</v>
      </c>
      <c r="C130" s="27">
        <v>36470935.018264771</v>
      </c>
      <c r="D130" s="7">
        <v>230149.29625041026</v>
      </c>
      <c r="E130" s="7">
        <v>352952.3818008746</v>
      </c>
      <c r="G130" s="27">
        <f t="shared" si="9"/>
        <v>0</v>
      </c>
      <c r="H130" s="7">
        <f t="shared" si="10"/>
        <v>0</v>
      </c>
      <c r="I130" s="7">
        <f t="shared" si="11"/>
        <v>0</v>
      </c>
      <c r="K130" s="27">
        <f t="shared" si="12"/>
        <v>16470935.018264797</v>
      </c>
      <c r="L130" s="7">
        <f t="shared" si="13"/>
        <v>105149.29625041044</v>
      </c>
      <c r="M130" s="7">
        <f t="shared" si="14"/>
        <v>352952.3818008746</v>
      </c>
      <c r="O130" s="27">
        <f t="shared" si="15"/>
        <v>20000000</v>
      </c>
      <c r="P130" s="7">
        <f t="shared" si="16"/>
        <v>124999.99999999999</v>
      </c>
      <c r="Q130" s="7">
        <f t="shared" si="17"/>
        <v>0</v>
      </c>
    </row>
    <row r="131" spans="2:17" x14ac:dyDescent="0.25">
      <c r="B131" s="3">
        <v>122</v>
      </c>
      <c r="C131" s="27">
        <v>36120824.213320427</v>
      </c>
      <c r="D131" s="7">
        <v>227943.3438641548</v>
      </c>
      <c r="E131" s="7">
        <v>350110.80494434258</v>
      </c>
      <c r="G131" s="27">
        <f t="shared" si="9"/>
        <v>0</v>
      </c>
      <c r="H131" s="7">
        <f t="shared" si="10"/>
        <v>0</v>
      </c>
      <c r="I131" s="7">
        <f t="shared" si="11"/>
        <v>0</v>
      </c>
      <c r="K131" s="27">
        <f t="shared" si="12"/>
        <v>16120824.213320455</v>
      </c>
      <c r="L131" s="7">
        <f t="shared" si="13"/>
        <v>102943.34386415497</v>
      </c>
      <c r="M131" s="7">
        <f t="shared" si="14"/>
        <v>350110.80494434258</v>
      </c>
      <c r="O131" s="27">
        <f t="shared" si="15"/>
        <v>20000000</v>
      </c>
      <c r="P131" s="7">
        <f t="shared" si="16"/>
        <v>124999.99999999999</v>
      </c>
      <c r="Q131" s="7">
        <f t="shared" si="17"/>
        <v>0</v>
      </c>
    </row>
    <row r="132" spans="2:17" x14ac:dyDescent="0.25">
      <c r="B132" s="3">
        <v>123</v>
      </c>
      <c r="C132" s="27">
        <v>35773532.644859068</v>
      </c>
      <c r="D132" s="7">
        <v>225755.15133325264</v>
      </c>
      <c r="E132" s="7">
        <v>347291.5684613575</v>
      </c>
      <c r="G132" s="27">
        <f t="shared" si="9"/>
        <v>0</v>
      </c>
      <c r="H132" s="7">
        <f t="shared" si="10"/>
        <v>0</v>
      </c>
      <c r="I132" s="7">
        <f t="shared" si="11"/>
        <v>0</v>
      </c>
      <c r="K132" s="27">
        <f t="shared" si="12"/>
        <v>15773532.644859098</v>
      </c>
      <c r="L132" s="7">
        <f t="shared" si="13"/>
        <v>100755.15133325283</v>
      </c>
      <c r="M132" s="7">
        <f t="shared" si="14"/>
        <v>347291.5684613575</v>
      </c>
      <c r="O132" s="27">
        <f t="shared" si="15"/>
        <v>20000000</v>
      </c>
      <c r="P132" s="7">
        <f t="shared" si="16"/>
        <v>124999.99999999999</v>
      </c>
      <c r="Q132" s="7">
        <f t="shared" si="17"/>
        <v>0</v>
      </c>
    </row>
    <row r="133" spans="2:17" x14ac:dyDescent="0.25">
      <c r="B133" s="3">
        <v>124</v>
      </c>
      <c r="C133" s="27">
        <v>35429038.147512689</v>
      </c>
      <c r="D133" s="7">
        <v>223584.57903036915</v>
      </c>
      <c r="E133" s="7">
        <v>344494.49734637694</v>
      </c>
      <c r="G133" s="27">
        <f t="shared" si="9"/>
        <v>0</v>
      </c>
      <c r="H133" s="7">
        <f t="shared" si="10"/>
        <v>0</v>
      </c>
      <c r="I133" s="7">
        <f t="shared" si="11"/>
        <v>0</v>
      </c>
      <c r="K133" s="27">
        <f t="shared" si="12"/>
        <v>15429038.147512721</v>
      </c>
      <c r="L133" s="7">
        <f t="shared" si="13"/>
        <v>98584.57903036935</v>
      </c>
      <c r="M133" s="7">
        <f t="shared" si="14"/>
        <v>344494.49734637694</v>
      </c>
      <c r="O133" s="27">
        <f t="shared" si="15"/>
        <v>20000000</v>
      </c>
      <c r="P133" s="7">
        <f t="shared" si="16"/>
        <v>124999.99999999999</v>
      </c>
      <c r="Q133" s="7">
        <f t="shared" si="17"/>
        <v>0</v>
      </c>
    </row>
    <row r="134" spans="2:17" x14ac:dyDescent="0.25">
      <c r="B134" s="3">
        <v>125</v>
      </c>
      <c r="C134" s="27">
        <v>35087318.72954867</v>
      </c>
      <c r="D134" s="7">
        <v>221431.4884219543</v>
      </c>
      <c r="E134" s="7">
        <v>341719.41796401609</v>
      </c>
      <c r="G134" s="27">
        <f t="shared" si="9"/>
        <v>0</v>
      </c>
      <c r="H134" s="7">
        <f t="shared" si="10"/>
        <v>0</v>
      </c>
      <c r="I134" s="7">
        <f t="shared" si="11"/>
        <v>0</v>
      </c>
      <c r="K134" s="27">
        <f t="shared" si="12"/>
        <v>15087318.729548704</v>
      </c>
      <c r="L134" s="7">
        <f t="shared" si="13"/>
        <v>96431.488421954491</v>
      </c>
      <c r="M134" s="7">
        <f t="shared" si="14"/>
        <v>341719.41796401609</v>
      </c>
      <c r="O134" s="27">
        <f t="shared" si="15"/>
        <v>20000000</v>
      </c>
      <c r="P134" s="7">
        <f t="shared" si="16"/>
        <v>124999.99999999999</v>
      </c>
      <c r="Q134" s="7">
        <f t="shared" si="17"/>
        <v>0</v>
      </c>
    </row>
    <row r="135" spans="2:17" x14ac:dyDescent="0.25">
      <c r="B135" s="3">
        <v>126</v>
      </c>
      <c r="C135" s="27">
        <v>34748352.571510352</v>
      </c>
      <c r="D135" s="7">
        <v>219295.74205967918</v>
      </c>
      <c r="E135" s="7">
        <v>338966.15803832118</v>
      </c>
      <c r="G135" s="27">
        <f t="shared" si="9"/>
        <v>0</v>
      </c>
      <c r="H135" s="7">
        <f t="shared" si="10"/>
        <v>0</v>
      </c>
      <c r="I135" s="7">
        <f t="shared" si="11"/>
        <v>0</v>
      </c>
      <c r="K135" s="27">
        <f t="shared" si="12"/>
        <v>14748352.571510382</v>
      </c>
      <c r="L135" s="7">
        <f t="shared" si="13"/>
        <v>94295.742059679396</v>
      </c>
      <c r="M135" s="7">
        <f t="shared" si="14"/>
        <v>338966.15803832118</v>
      </c>
      <c r="O135" s="27">
        <f t="shared" si="15"/>
        <v>20000000</v>
      </c>
      <c r="P135" s="7">
        <f t="shared" si="16"/>
        <v>124999.99999999999</v>
      </c>
      <c r="Q135" s="7">
        <f t="shared" si="17"/>
        <v>0</v>
      </c>
    </row>
    <row r="136" spans="2:17" x14ac:dyDescent="0.25">
      <c r="B136" s="3">
        <v>127</v>
      </c>
      <c r="C136" s="27">
        <v>34412118.024868228</v>
      </c>
      <c r="D136" s="7">
        <v>217177.2035719397</v>
      </c>
      <c r="E136" s="7">
        <v>336234.54664212704</v>
      </c>
      <c r="G136" s="27">
        <f t="shared" si="9"/>
        <v>0</v>
      </c>
      <c r="H136" s="7">
        <f t="shared" si="10"/>
        <v>0</v>
      </c>
      <c r="I136" s="7">
        <f t="shared" si="11"/>
        <v>0</v>
      </c>
      <c r="K136" s="27">
        <f t="shared" si="12"/>
        <v>14412118.024868255</v>
      </c>
      <c r="L136" s="7">
        <f t="shared" si="13"/>
        <v>92177.203571939885</v>
      </c>
      <c r="M136" s="7">
        <f t="shared" si="14"/>
        <v>336234.54664212704</v>
      </c>
      <c r="O136" s="27">
        <f t="shared" si="15"/>
        <v>20000000</v>
      </c>
      <c r="P136" s="7">
        <f t="shared" si="16"/>
        <v>124999.99999999999</v>
      </c>
      <c r="Q136" s="7">
        <f t="shared" si="17"/>
        <v>0</v>
      </c>
    </row>
    <row r="137" spans="2:17" x14ac:dyDescent="0.25">
      <c r="B137" s="3">
        <v>128</v>
      </c>
      <c r="C137" s="27">
        <v>34078593.610681728</v>
      </c>
      <c r="D137" s="7">
        <v>215075.7376554264</v>
      </c>
      <c r="E137" s="7">
        <v>333524.41418649815</v>
      </c>
      <c r="G137" s="27">
        <f t="shared" si="9"/>
        <v>0</v>
      </c>
      <c r="H137" s="7">
        <f t="shared" si="10"/>
        <v>0</v>
      </c>
      <c r="I137" s="7">
        <f t="shared" si="11"/>
        <v>0</v>
      </c>
      <c r="K137" s="27">
        <f t="shared" si="12"/>
        <v>14078593.610681757</v>
      </c>
      <c r="L137" s="7">
        <f t="shared" si="13"/>
        <v>90075.737655426594</v>
      </c>
      <c r="M137" s="7">
        <f t="shared" si="14"/>
        <v>333524.41418649815</v>
      </c>
      <c r="O137" s="27">
        <f t="shared" si="15"/>
        <v>20000000</v>
      </c>
      <c r="P137" s="7">
        <f t="shared" si="16"/>
        <v>124999.99999999999</v>
      </c>
      <c r="Q137" s="7">
        <f t="shared" si="17"/>
        <v>0</v>
      </c>
    </row>
    <row r="138" spans="2:17" x14ac:dyDescent="0.25">
      <c r="B138" s="3">
        <v>129</v>
      </c>
      <c r="C138" s="27">
        <v>33747758.018271476</v>
      </c>
      <c r="D138" s="7">
        <v>212991.21006676077</v>
      </c>
      <c r="E138" s="7">
        <v>330835.59241025231</v>
      </c>
      <c r="G138" s="27">
        <f t="shared" si="9"/>
        <v>0</v>
      </c>
      <c r="H138" s="7">
        <f t="shared" si="10"/>
        <v>0</v>
      </c>
      <c r="I138" s="7">
        <f t="shared" si="11"/>
        <v>0</v>
      </c>
      <c r="K138" s="27">
        <f t="shared" si="12"/>
        <v>13747758.018271506</v>
      </c>
      <c r="L138" s="7">
        <f t="shared" si="13"/>
        <v>87991.210066760977</v>
      </c>
      <c r="M138" s="7">
        <f t="shared" si="14"/>
        <v>330835.59241025231</v>
      </c>
      <c r="O138" s="27">
        <f t="shared" si="15"/>
        <v>20000000</v>
      </c>
      <c r="P138" s="7">
        <f t="shared" si="16"/>
        <v>124999.99999999999</v>
      </c>
      <c r="Q138" s="7">
        <f t="shared" si="17"/>
        <v>0</v>
      </c>
    </row>
    <row r="139" spans="2:17" x14ac:dyDescent="0.25">
      <c r="B139" s="3">
        <v>130</v>
      </c>
      <c r="C139" s="27">
        <v>33419590.103901912</v>
      </c>
      <c r="D139" s="7">
        <v>210923.4876141967</v>
      </c>
      <c r="E139" s="7">
        <v>328167.91436956619</v>
      </c>
      <c r="G139" s="27">
        <f t="shared" ref="G139:G202" si="18">G138-I139</f>
        <v>0</v>
      </c>
      <c r="H139" s="7">
        <f t="shared" ref="H139:H202" si="19">$D$3*G138</f>
        <v>0</v>
      </c>
      <c r="I139" s="7">
        <f t="shared" ref="I139:I202" si="20">IF(G138&gt;0,IF(E139 &lt; G138, E139, G138),0)</f>
        <v>0</v>
      </c>
      <c r="K139" s="27">
        <f t="shared" ref="K139:K202" si="21">K138-M139</f>
        <v>13419590.103901939</v>
      </c>
      <c r="L139" s="7">
        <f t="shared" ref="L139:L202" si="22">$D$3*K138</f>
        <v>85923.4876141969</v>
      </c>
      <c r="M139" s="7">
        <f t="shared" ref="M139:M202" si="23">IF(G139&gt;0,0,IF(E139 &lt; K138,E139-I139,K138))</f>
        <v>328167.91436956619</v>
      </c>
      <c r="O139" s="27">
        <f t="shared" ref="O139:O202" si="24">O138-Q139</f>
        <v>20000000</v>
      </c>
      <c r="P139" s="7">
        <f t="shared" ref="P139:P202" si="25">$D$3*O138</f>
        <v>124999.99999999999</v>
      </c>
      <c r="Q139" s="7">
        <f t="shared" ref="Q139:Q202" si="26">IF(K139&gt;0,0,E139-M139)</f>
        <v>0</v>
      </c>
    </row>
    <row r="140" spans="2:17" x14ac:dyDescent="0.25">
      <c r="B140" s="3">
        <v>131</v>
      </c>
      <c r="C140" s="27">
        <v>33094068.88947425</v>
      </c>
      <c r="D140" s="7">
        <v>208872.43814938693</v>
      </c>
      <c r="E140" s="7">
        <v>325521.21442766231</v>
      </c>
      <c r="G140" s="27">
        <f t="shared" si="18"/>
        <v>0</v>
      </c>
      <c r="H140" s="7">
        <f t="shared" si="19"/>
        <v>0</v>
      </c>
      <c r="I140" s="7">
        <f t="shared" si="20"/>
        <v>0</v>
      </c>
      <c r="K140" s="27">
        <f t="shared" si="21"/>
        <v>13094068.889474276</v>
      </c>
      <c r="L140" s="7">
        <f t="shared" si="22"/>
        <v>83872.438149387119</v>
      </c>
      <c r="M140" s="7">
        <f t="shared" si="23"/>
        <v>325521.21442766231</v>
      </c>
      <c r="O140" s="27">
        <f t="shared" si="24"/>
        <v>20000000</v>
      </c>
      <c r="P140" s="7">
        <f t="shared" si="25"/>
        <v>124999.99999999999</v>
      </c>
      <c r="Q140" s="7">
        <f t="shared" si="26"/>
        <v>0</v>
      </c>
    </row>
    <row r="141" spans="2:17" x14ac:dyDescent="0.25">
      <c r="B141" s="3">
        <v>132</v>
      </c>
      <c r="C141" s="27">
        <v>32771173.561229672</v>
      </c>
      <c r="D141" s="7">
        <v>206837.93055921406</v>
      </c>
      <c r="E141" s="7">
        <v>322895.32824457681</v>
      </c>
      <c r="G141" s="27">
        <f t="shared" si="18"/>
        <v>0</v>
      </c>
      <c r="H141" s="7">
        <f t="shared" si="19"/>
        <v>0</v>
      </c>
      <c r="I141" s="7">
        <f t="shared" si="20"/>
        <v>0</v>
      </c>
      <c r="K141" s="27">
        <f t="shared" si="21"/>
        <v>12771173.5612297</v>
      </c>
      <c r="L141" s="7">
        <f t="shared" si="22"/>
        <v>81837.930559214219</v>
      </c>
      <c r="M141" s="7">
        <f t="shared" si="23"/>
        <v>322895.32824457681</v>
      </c>
      <c r="O141" s="27">
        <f t="shared" si="24"/>
        <v>20000000</v>
      </c>
      <c r="P141" s="7">
        <f t="shared" si="25"/>
        <v>124999.99999999999</v>
      </c>
      <c r="Q141" s="7">
        <f t="shared" si="26"/>
        <v>0</v>
      </c>
    </row>
    <row r="142" spans="2:17" x14ac:dyDescent="0.25">
      <c r="B142" s="3">
        <v>133</v>
      </c>
      <c r="C142" s="27">
        <v>32450883.468462665</v>
      </c>
      <c r="D142" s="7">
        <v>204819.83475768543</v>
      </c>
      <c r="E142" s="7">
        <v>320290.09276700713</v>
      </c>
      <c r="G142" s="27">
        <f t="shared" si="18"/>
        <v>0</v>
      </c>
      <c r="H142" s="7">
        <f t="shared" si="19"/>
        <v>0</v>
      </c>
      <c r="I142" s="7">
        <f t="shared" si="20"/>
        <v>0</v>
      </c>
      <c r="K142" s="27">
        <f t="shared" si="21"/>
        <v>12450883.468462693</v>
      </c>
      <c r="L142" s="7">
        <f t="shared" si="22"/>
        <v>79819.834757685618</v>
      </c>
      <c r="M142" s="7">
        <f t="shared" si="23"/>
        <v>320290.09276700713</v>
      </c>
      <c r="O142" s="27">
        <f t="shared" si="24"/>
        <v>20000000</v>
      </c>
      <c r="P142" s="7">
        <f t="shared" si="25"/>
        <v>124999.99999999999</v>
      </c>
      <c r="Q142" s="7">
        <f t="shared" si="26"/>
        <v>0</v>
      </c>
    </row>
    <row r="143" spans="2:17" x14ac:dyDescent="0.25">
      <c r="B143" s="3">
        <v>134</v>
      </c>
      <c r="C143" s="27">
        <v>32133178.122244425</v>
      </c>
      <c r="D143" s="7">
        <v>202818.02167789164</v>
      </c>
      <c r="E143" s="7">
        <v>317705.34621823963</v>
      </c>
      <c r="G143" s="27">
        <f t="shared" si="18"/>
        <v>0</v>
      </c>
      <c r="H143" s="7">
        <f t="shared" si="19"/>
        <v>0</v>
      </c>
      <c r="I143" s="7">
        <f t="shared" si="20"/>
        <v>0</v>
      </c>
      <c r="K143" s="27">
        <f t="shared" si="21"/>
        <v>12133178.122244453</v>
      </c>
      <c r="L143" s="7">
        <f t="shared" si="22"/>
        <v>77818.021677891826</v>
      </c>
      <c r="M143" s="7">
        <f t="shared" si="23"/>
        <v>317705.34621823963</v>
      </c>
      <c r="O143" s="27">
        <f t="shared" si="24"/>
        <v>20000000</v>
      </c>
      <c r="P143" s="7">
        <f t="shared" si="25"/>
        <v>124999.99999999999</v>
      </c>
      <c r="Q143" s="7">
        <f t="shared" si="26"/>
        <v>0</v>
      </c>
    </row>
    <row r="144" spans="2:17" x14ac:dyDescent="0.25">
      <c r="B144" s="3">
        <v>135</v>
      </c>
      <c r="C144" s="27">
        <v>31818037.19415627</v>
      </c>
      <c r="D144" s="7">
        <v>200832.36326402763</v>
      </c>
      <c r="E144" s="7">
        <v>315140.92808815534</v>
      </c>
      <c r="G144" s="27">
        <f t="shared" si="18"/>
        <v>0</v>
      </c>
      <c r="H144" s="7">
        <f t="shared" si="19"/>
        <v>0</v>
      </c>
      <c r="I144" s="7">
        <f t="shared" si="20"/>
        <v>0</v>
      </c>
      <c r="K144" s="27">
        <f t="shared" si="21"/>
        <v>11818037.194156298</v>
      </c>
      <c r="L144" s="7">
        <f t="shared" si="22"/>
        <v>75832.363264027823</v>
      </c>
      <c r="M144" s="7">
        <f t="shared" si="23"/>
        <v>315140.92808815534</v>
      </c>
      <c r="O144" s="27">
        <f t="shared" si="24"/>
        <v>20000000</v>
      </c>
      <c r="P144" s="7">
        <f t="shared" si="25"/>
        <v>124999.99999999999</v>
      </c>
      <c r="Q144" s="7">
        <f t="shared" si="26"/>
        <v>0</v>
      </c>
    </row>
    <row r="145" spans="2:17" x14ac:dyDescent="0.25">
      <c r="B145" s="3">
        <v>136</v>
      </c>
      <c r="C145" s="27">
        <v>31505440.515032955</v>
      </c>
      <c r="D145" s="7">
        <v>198862.73246347668</v>
      </c>
      <c r="E145" s="7">
        <v>312596.6791233148</v>
      </c>
      <c r="G145" s="27">
        <f t="shared" si="18"/>
        <v>0</v>
      </c>
      <c r="H145" s="7">
        <f t="shared" si="19"/>
        <v>0</v>
      </c>
      <c r="I145" s="7">
        <f t="shared" si="20"/>
        <v>0</v>
      </c>
      <c r="K145" s="27">
        <f t="shared" si="21"/>
        <v>11505440.515032984</v>
      </c>
      <c r="L145" s="7">
        <f t="shared" si="22"/>
        <v>73862.732463476859</v>
      </c>
      <c r="M145" s="7">
        <f t="shared" si="23"/>
        <v>312596.6791233148</v>
      </c>
      <c r="O145" s="27">
        <f t="shared" si="24"/>
        <v>20000000</v>
      </c>
      <c r="P145" s="7">
        <f t="shared" si="25"/>
        <v>124999.99999999999</v>
      </c>
      <c r="Q145" s="7">
        <f t="shared" si="26"/>
        <v>0</v>
      </c>
    </row>
    <row r="146" spans="2:17" x14ac:dyDescent="0.25">
      <c r="B146" s="3">
        <v>137</v>
      </c>
      <c r="C146" s="27">
        <v>31195368.073715836</v>
      </c>
      <c r="D146" s="7">
        <v>196909.00321895594</v>
      </c>
      <c r="E146" s="7">
        <v>310072.44131711964</v>
      </c>
      <c r="G146" s="27">
        <f t="shared" si="18"/>
        <v>0</v>
      </c>
      <c r="H146" s="7">
        <f t="shared" si="19"/>
        <v>0</v>
      </c>
      <c r="I146" s="7">
        <f t="shared" si="20"/>
        <v>0</v>
      </c>
      <c r="K146" s="27">
        <f t="shared" si="21"/>
        <v>11195368.073715866</v>
      </c>
      <c r="L146" s="7">
        <f t="shared" si="22"/>
        <v>71909.003218956146</v>
      </c>
      <c r="M146" s="7">
        <f t="shared" si="23"/>
        <v>310072.44131711964</v>
      </c>
      <c r="O146" s="27">
        <f t="shared" si="24"/>
        <v>20000000</v>
      </c>
      <c r="P146" s="7">
        <f t="shared" si="25"/>
        <v>124999.99999999999</v>
      </c>
      <c r="Q146" s="7">
        <f t="shared" si="26"/>
        <v>0</v>
      </c>
    </row>
    <row r="147" spans="2:17" x14ac:dyDescent="0.25">
      <c r="B147" s="3">
        <v>138</v>
      </c>
      <c r="C147" s="27">
        <v>30887800.015815783</v>
      </c>
      <c r="D147" s="7">
        <v>194971.05046072396</v>
      </c>
      <c r="E147" s="7">
        <v>307568.05790005199</v>
      </c>
      <c r="G147" s="27">
        <f t="shared" si="18"/>
        <v>0</v>
      </c>
      <c r="H147" s="7">
        <f t="shared" si="19"/>
        <v>0</v>
      </c>
      <c r="I147" s="7">
        <f t="shared" si="20"/>
        <v>0</v>
      </c>
      <c r="K147" s="27">
        <f t="shared" si="21"/>
        <v>10887800.015815813</v>
      </c>
      <c r="L147" s="7">
        <f t="shared" si="22"/>
        <v>69971.05046072416</v>
      </c>
      <c r="M147" s="7">
        <f t="shared" si="23"/>
        <v>307568.05790005199</v>
      </c>
      <c r="O147" s="27">
        <f t="shared" si="24"/>
        <v>20000000</v>
      </c>
      <c r="P147" s="7">
        <f t="shared" si="25"/>
        <v>124999.99999999999</v>
      </c>
      <c r="Q147" s="7">
        <f t="shared" si="26"/>
        <v>0</v>
      </c>
    </row>
    <row r="148" spans="2:17" x14ac:dyDescent="0.25">
      <c r="B148" s="3">
        <v>139</v>
      </c>
      <c r="C148" s="27">
        <v>30582716.642485794</v>
      </c>
      <c r="D148" s="7">
        <v>193048.75009884863</v>
      </c>
      <c r="E148" s="7">
        <v>305083.37332998955</v>
      </c>
      <c r="G148" s="27">
        <f t="shared" si="18"/>
        <v>0</v>
      </c>
      <c r="H148" s="7">
        <f t="shared" si="19"/>
        <v>0</v>
      </c>
      <c r="I148" s="7">
        <f t="shared" si="20"/>
        <v>0</v>
      </c>
      <c r="K148" s="27">
        <f t="shared" si="21"/>
        <v>10582716.642485823</v>
      </c>
      <c r="L148" s="7">
        <f t="shared" si="22"/>
        <v>68048.750098848832</v>
      </c>
      <c r="M148" s="7">
        <f t="shared" si="23"/>
        <v>305083.37332998955</v>
      </c>
      <c r="O148" s="27">
        <f t="shared" si="24"/>
        <v>20000000</v>
      </c>
      <c r="P148" s="7">
        <f t="shared" si="25"/>
        <v>124999.99999999999</v>
      </c>
      <c r="Q148" s="7">
        <f t="shared" si="26"/>
        <v>0</v>
      </c>
    </row>
    <row r="149" spans="2:17" x14ac:dyDescent="0.25">
      <c r="B149" s="3">
        <v>140</v>
      </c>
      <c r="C149" s="27">
        <v>30280098.409203198</v>
      </c>
      <c r="D149" s="7">
        <v>191141.9790155362</v>
      </c>
      <c r="E149" s="7">
        <v>302618.23328259727</v>
      </c>
      <c r="G149" s="27">
        <f t="shared" si="18"/>
        <v>0</v>
      </c>
      <c r="H149" s="7">
        <f t="shared" si="19"/>
        <v>0</v>
      </c>
      <c r="I149" s="7">
        <f t="shared" si="20"/>
        <v>0</v>
      </c>
      <c r="K149" s="27">
        <f t="shared" si="21"/>
        <v>10280098.409203226</v>
      </c>
      <c r="L149" s="7">
        <f t="shared" si="22"/>
        <v>66141.979015536388</v>
      </c>
      <c r="M149" s="7">
        <f t="shared" si="23"/>
        <v>302618.23328259727</v>
      </c>
      <c r="O149" s="27">
        <f t="shared" si="24"/>
        <v>20000000</v>
      </c>
      <c r="P149" s="7">
        <f t="shared" si="25"/>
        <v>124999.99999999999</v>
      </c>
      <c r="Q149" s="7">
        <f t="shared" si="26"/>
        <v>0</v>
      </c>
    </row>
    <row r="150" spans="2:17" x14ac:dyDescent="0.25">
      <c r="B150" s="3">
        <v>141</v>
      </c>
      <c r="C150" s="27">
        <v>29979925.924561404</v>
      </c>
      <c r="D150" s="7">
        <v>189250.61505751996</v>
      </c>
      <c r="E150" s="7">
        <v>300172.48464179353</v>
      </c>
      <c r="G150" s="27">
        <f t="shared" si="18"/>
        <v>0</v>
      </c>
      <c r="H150" s="7">
        <f t="shared" si="19"/>
        <v>0</v>
      </c>
      <c r="I150" s="7">
        <f t="shared" si="20"/>
        <v>0</v>
      </c>
      <c r="K150" s="27">
        <f t="shared" si="21"/>
        <v>9979925.9245614316</v>
      </c>
      <c r="L150" s="7">
        <f t="shared" si="22"/>
        <v>64250.615057520154</v>
      </c>
      <c r="M150" s="7">
        <f t="shared" si="23"/>
        <v>300172.48464179353</v>
      </c>
      <c r="O150" s="27">
        <f t="shared" si="24"/>
        <v>20000000</v>
      </c>
      <c r="P150" s="7">
        <f t="shared" si="25"/>
        <v>124999.99999999999</v>
      </c>
      <c r="Q150" s="7">
        <f t="shared" si="26"/>
        <v>0</v>
      </c>
    </row>
    <row r="151" spans="2:17" x14ac:dyDescent="0.25">
      <c r="B151" s="3">
        <v>142</v>
      </c>
      <c r="C151" s="27">
        <v>29682179.949071113</v>
      </c>
      <c r="D151" s="7">
        <v>187374.53702850876</v>
      </c>
      <c r="E151" s="7">
        <v>297745.97549029131</v>
      </c>
      <c r="G151" s="27">
        <f t="shared" si="18"/>
        <v>0</v>
      </c>
      <c r="H151" s="7">
        <f t="shared" si="19"/>
        <v>0</v>
      </c>
      <c r="I151" s="7">
        <f t="shared" si="20"/>
        <v>0</v>
      </c>
      <c r="K151" s="27">
        <f t="shared" si="21"/>
        <v>9682179.949071141</v>
      </c>
      <c r="L151" s="7">
        <f t="shared" si="22"/>
        <v>62374.537028508945</v>
      </c>
      <c r="M151" s="7">
        <f t="shared" si="23"/>
        <v>297745.97549029131</v>
      </c>
      <c r="O151" s="27">
        <f t="shared" si="24"/>
        <v>20000000</v>
      </c>
      <c r="P151" s="7">
        <f t="shared" si="25"/>
        <v>124999.99999999999</v>
      </c>
      <c r="Q151" s="7">
        <f t="shared" si="26"/>
        <v>0</v>
      </c>
    </row>
    <row r="152" spans="2:17" x14ac:dyDescent="0.25">
      <c r="B152" s="3">
        <v>143</v>
      </c>
      <c r="C152" s="27">
        <v>29386841.393970899</v>
      </c>
      <c r="D152" s="7">
        <v>185513.62468169443</v>
      </c>
      <c r="E152" s="7">
        <v>295338.55510021345</v>
      </c>
      <c r="G152" s="27">
        <f t="shared" si="18"/>
        <v>0</v>
      </c>
      <c r="H152" s="7">
        <f t="shared" si="19"/>
        <v>0</v>
      </c>
      <c r="I152" s="7">
        <f t="shared" si="20"/>
        <v>0</v>
      </c>
      <c r="K152" s="27">
        <f t="shared" si="21"/>
        <v>9386841.3939709272</v>
      </c>
      <c r="L152" s="7">
        <f t="shared" si="22"/>
        <v>60513.62468169463</v>
      </c>
      <c r="M152" s="7">
        <f t="shared" si="23"/>
        <v>295338.55510021345</v>
      </c>
      <c r="O152" s="27">
        <f t="shared" si="24"/>
        <v>20000000</v>
      </c>
      <c r="P152" s="7">
        <f t="shared" si="25"/>
        <v>124999.99999999999</v>
      </c>
      <c r="Q152" s="7">
        <f t="shared" si="26"/>
        <v>0</v>
      </c>
    </row>
    <row r="153" spans="2:17" x14ac:dyDescent="0.25">
      <c r="B153" s="3">
        <v>144</v>
      </c>
      <c r="C153" s="27">
        <v>29093891.320047118</v>
      </c>
      <c r="D153" s="7">
        <v>183667.75871231811</v>
      </c>
      <c r="E153" s="7">
        <v>292950.07392378122</v>
      </c>
      <c r="G153" s="27">
        <f t="shared" si="18"/>
        <v>0</v>
      </c>
      <c r="H153" s="7">
        <f t="shared" si="19"/>
        <v>0</v>
      </c>
      <c r="I153" s="7">
        <f t="shared" si="20"/>
        <v>0</v>
      </c>
      <c r="K153" s="27">
        <f t="shared" si="21"/>
        <v>9093891.3200471457</v>
      </c>
      <c r="L153" s="7">
        <f t="shared" si="22"/>
        <v>58667.758712318289</v>
      </c>
      <c r="M153" s="7">
        <f t="shared" si="23"/>
        <v>292950.07392378122</v>
      </c>
      <c r="O153" s="27">
        <f t="shared" si="24"/>
        <v>20000000</v>
      </c>
      <c r="P153" s="7">
        <f t="shared" si="25"/>
        <v>124999.99999999999</v>
      </c>
      <c r="Q153" s="7">
        <f t="shared" si="26"/>
        <v>0</v>
      </c>
    </row>
    <row r="154" spans="2:17" x14ac:dyDescent="0.25">
      <c r="B154" s="3">
        <v>145</v>
      </c>
      <c r="C154" s="27">
        <v>28803310.936463043</v>
      </c>
      <c r="D154" s="7">
        <v>181836.82075029446</v>
      </c>
      <c r="E154" s="7">
        <v>290580.3835840759</v>
      </c>
      <c r="G154" s="27">
        <f t="shared" si="18"/>
        <v>0</v>
      </c>
      <c r="H154" s="7">
        <f t="shared" si="19"/>
        <v>0</v>
      </c>
      <c r="I154" s="7">
        <f t="shared" si="20"/>
        <v>0</v>
      </c>
      <c r="K154" s="27">
        <f t="shared" si="21"/>
        <v>8803310.9364630692</v>
      </c>
      <c r="L154" s="7">
        <f t="shared" si="22"/>
        <v>56836.820750294653</v>
      </c>
      <c r="M154" s="7">
        <f t="shared" si="23"/>
        <v>290580.3835840759</v>
      </c>
      <c r="O154" s="27">
        <f t="shared" si="24"/>
        <v>20000000</v>
      </c>
      <c r="P154" s="7">
        <f t="shared" si="25"/>
        <v>124999.99999999999</v>
      </c>
      <c r="Q154" s="7">
        <f t="shared" si="26"/>
        <v>0</v>
      </c>
    </row>
    <row r="155" spans="2:17" x14ac:dyDescent="0.25">
      <c r="B155" s="3">
        <v>146</v>
      </c>
      <c r="C155" s="27">
        <v>28515081.599597171</v>
      </c>
      <c r="D155" s="7">
        <v>180020.69335289401</v>
      </c>
      <c r="E155" s="7">
        <v>288229.33686587249</v>
      </c>
      <c r="G155" s="27">
        <f t="shared" si="18"/>
        <v>0</v>
      </c>
      <c r="H155" s="7">
        <f t="shared" si="19"/>
        <v>0</v>
      </c>
      <c r="I155" s="7">
        <f t="shared" si="20"/>
        <v>0</v>
      </c>
      <c r="K155" s="27">
        <f t="shared" si="21"/>
        <v>8515081.599597197</v>
      </c>
      <c r="L155" s="7">
        <f t="shared" si="22"/>
        <v>55020.693352894181</v>
      </c>
      <c r="M155" s="7">
        <f t="shared" si="23"/>
        <v>288229.33686587249</v>
      </c>
      <c r="O155" s="27">
        <f t="shared" si="24"/>
        <v>20000000</v>
      </c>
      <c r="P155" s="7">
        <f t="shared" si="25"/>
        <v>124999.99999999999</v>
      </c>
      <c r="Q155" s="7">
        <f t="shared" si="26"/>
        <v>0</v>
      </c>
    </row>
    <row r="156" spans="2:17" x14ac:dyDescent="0.25">
      <c r="B156" s="3">
        <v>147</v>
      </c>
      <c r="C156" s="27">
        <v>28229184.811890624</v>
      </c>
      <c r="D156" s="7">
        <v>178219.2599974823</v>
      </c>
      <c r="E156" s="7">
        <v>285896.78770654544</v>
      </c>
      <c r="G156" s="27">
        <f t="shared" si="18"/>
        <v>0</v>
      </c>
      <c r="H156" s="7">
        <f t="shared" si="19"/>
        <v>0</v>
      </c>
      <c r="I156" s="7">
        <f t="shared" si="20"/>
        <v>0</v>
      </c>
      <c r="K156" s="27">
        <f t="shared" si="21"/>
        <v>8229184.8118906515</v>
      </c>
      <c r="L156" s="7">
        <f t="shared" si="22"/>
        <v>53219.259997482477</v>
      </c>
      <c r="M156" s="7">
        <f t="shared" si="23"/>
        <v>285896.78770654544</v>
      </c>
      <c r="O156" s="27">
        <f t="shared" si="24"/>
        <v>20000000</v>
      </c>
      <c r="P156" s="7">
        <f t="shared" si="25"/>
        <v>124999.99999999999</v>
      </c>
      <c r="Q156" s="7">
        <f t="shared" si="26"/>
        <v>0</v>
      </c>
    </row>
    <row r="157" spans="2:17" x14ac:dyDescent="0.25">
      <c r="B157" s="3">
        <v>148</v>
      </c>
      <c r="C157" s="27">
        <v>27945602.220703579</v>
      </c>
      <c r="D157" s="7">
        <v>176432.4050743164</v>
      </c>
      <c r="E157" s="7">
        <v>283582.59118704544</v>
      </c>
      <c r="G157" s="27">
        <f t="shared" si="18"/>
        <v>0</v>
      </c>
      <c r="H157" s="7">
        <f t="shared" si="19"/>
        <v>0</v>
      </c>
      <c r="I157" s="7">
        <f t="shared" si="20"/>
        <v>0</v>
      </c>
      <c r="K157" s="27">
        <f t="shared" si="21"/>
        <v>7945602.2207036056</v>
      </c>
      <c r="L157" s="7">
        <f t="shared" si="22"/>
        <v>51432.405074316564</v>
      </c>
      <c r="M157" s="7">
        <f t="shared" si="23"/>
        <v>283582.59118704544</v>
      </c>
      <c r="O157" s="27">
        <f t="shared" si="24"/>
        <v>20000000</v>
      </c>
      <c r="P157" s="7">
        <f t="shared" si="25"/>
        <v>124999.99999999999</v>
      </c>
      <c r="Q157" s="7">
        <f t="shared" si="26"/>
        <v>0</v>
      </c>
    </row>
    <row r="158" spans="2:17" x14ac:dyDescent="0.25">
      <c r="B158" s="3">
        <v>149</v>
      </c>
      <c r="C158" s="27">
        <v>27664315.617180634</v>
      </c>
      <c r="D158" s="7">
        <v>174660.01387939736</v>
      </c>
      <c r="E158" s="7">
        <v>281286.60352294688</v>
      </c>
      <c r="G158" s="27">
        <f t="shared" si="18"/>
        <v>0</v>
      </c>
      <c r="H158" s="7">
        <f t="shared" si="19"/>
        <v>0</v>
      </c>
      <c r="I158" s="7">
        <f t="shared" si="20"/>
        <v>0</v>
      </c>
      <c r="K158" s="27">
        <f t="shared" si="21"/>
        <v>7664315.6171806585</v>
      </c>
      <c r="L158" s="7">
        <f t="shared" si="22"/>
        <v>49660.013879397527</v>
      </c>
      <c r="M158" s="7">
        <f t="shared" si="23"/>
        <v>281286.60352294688</v>
      </c>
      <c r="O158" s="27">
        <f t="shared" si="24"/>
        <v>20000000</v>
      </c>
      <c r="P158" s="7">
        <f t="shared" si="25"/>
        <v>124999.99999999999</v>
      </c>
      <c r="Q158" s="7">
        <f t="shared" si="26"/>
        <v>0</v>
      </c>
    </row>
    <row r="159" spans="2:17" x14ac:dyDescent="0.25">
      <c r="B159" s="3">
        <v>150</v>
      </c>
      <c r="C159" s="27">
        <v>27385306.935125068</v>
      </c>
      <c r="D159" s="7">
        <v>172901.97260737896</v>
      </c>
      <c r="E159" s="7">
        <v>279008.6820555653</v>
      </c>
      <c r="G159" s="27">
        <f t="shared" si="18"/>
        <v>0</v>
      </c>
      <c r="H159" s="7">
        <f t="shared" si="19"/>
        <v>0</v>
      </c>
      <c r="I159" s="7">
        <f t="shared" si="20"/>
        <v>0</v>
      </c>
      <c r="K159" s="27">
        <f t="shared" si="21"/>
        <v>7385306.935125093</v>
      </c>
      <c r="L159" s="7">
        <f t="shared" si="22"/>
        <v>47901.97260737911</v>
      </c>
      <c r="M159" s="7">
        <f t="shared" si="23"/>
        <v>279008.6820555653</v>
      </c>
      <c r="O159" s="27">
        <f t="shared" si="24"/>
        <v>20000000</v>
      </c>
      <c r="P159" s="7">
        <f t="shared" si="25"/>
        <v>124999.99999999999</v>
      </c>
      <c r="Q159" s="7">
        <f t="shared" si="26"/>
        <v>0</v>
      </c>
    </row>
    <row r="160" spans="2:17" x14ac:dyDescent="0.25">
      <c r="B160" s="3">
        <v>151</v>
      </c>
      <c r="C160" s="27">
        <v>27108558.249881923</v>
      </c>
      <c r="D160" s="7">
        <v>171158.16834453167</v>
      </c>
      <c r="E160" s="7">
        <v>276748.6852431444</v>
      </c>
      <c r="G160" s="27">
        <f t="shared" si="18"/>
        <v>0</v>
      </c>
      <c r="H160" s="7">
        <f t="shared" si="19"/>
        <v>0</v>
      </c>
      <c r="I160" s="7">
        <f t="shared" si="20"/>
        <v>0</v>
      </c>
      <c r="K160" s="27">
        <f t="shared" si="21"/>
        <v>7108558.2498819483</v>
      </c>
      <c r="L160" s="7">
        <f t="shared" si="22"/>
        <v>46158.168344531827</v>
      </c>
      <c r="M160" s="7">
        <f t="shared" si="23"/>
        <v>276748.6852431444</v>
      </c>
      <c r="O160" s="27">
        <f t="shared" si="24"/>
        <v>20000000</v>
      </c>
      <c r="P160" s="7">
        <f t="shared" si="25"/>
        <v>124999.99999999999</v>
      </c>
      <c r="Q160" s="7">
        <f t="shared" si="26"/>
        <v>0</v>
      </c>
    </row>
    <row r="161" spans="2:17" x14ac:dyDescent="0.25">
      <c r="B161" s="3">
        <v>152</v>
      </c>
      <c r="C161" s="27">
        <v>26834051.777229812</v>
      </c>
      <c r="D161" s="7">
        <v>169428.489061762</v>
      </c>
      <c r="E161" s="7">
        <v>274506.47265211231</v>
      </c>
      <c r="G161" s="27">
        <f t="shared" si="18"/>
        <v>0</v>
      </c>
      <c r="H161" s="7">
        <f t="shared" si="19"/>
        <v>0</v>
      </c>
      <c r="I161" s="7">
        <f t="shared" si="20"/>
        <v>0</v>
      </c>
      <c r="K161" s="27">
        <f t="shared" si="21"/>
        <v>6834051.7772298362</v>
      </c>
      <c r="L161" s="7">
        <f t="shared" si="22"/>
        <v>44428.489061762171</v>
      </c>
      <c r="M161" s="7">
        <f t="shared" si="23"/>
        <v>274506.47265211231</v>
      </c>
      <c r="O161" s="27">
        <f t="shared" si="24"/>
        <v>20000000</v>
      </c>
      <c r="P161" s="7">
        <f t="shared" si="25"/>
        <v>124999.99999999999</v>
      </c>
      <c r="Q161" s="7">
        <f t="shared" si="26"/>
        <v>0</v>
      </c>
    </row>
    <row r="162" spans="2:17" x14ac:dyDescent="0.25">
      <c r="B162" s="3">
        <v>153</v>
      </c>
      <c r="C162" s="27">
        <v>26561769.872281406</v>
      </c>
      <c r="D162" s="7">
        <v>167712.82360768632</v>
      </c>
      <c r="E162" s="7">
        <v>272281.90494840581</v>
      </c>
      <c r="G162" s="27">
        <f t="shared" si="18"/>
        <v>0</v>
      </c>
      <c r="H162" s="7">
        <f t="shared" si="19"/>
        <v>0</v>
      </c>
      <c r="I162" s="7">
        <f t="shared" si="20"/>
        <v>0</v>
      </c>
      <c r="K162" s="27">
        <f t="shared" si="21"/>
        <v>6561769.8722814303</v>
      </c>
      <c r="L162" s="7">
        <f t="shared" si="22"/>
        <v>42712.82360768647</v>
      </c>
      <c r="M162" s="7">
        <f t="shared" si="23"/>
        <v>272281.90494840581</v>
      </c>
      <c r="O162" s="27">
        <f t="shared" si="24"/>
        <v>20000000</v>
      </c>
      <c r="P162" s="7">
        <f t="shared" si="25"/>
        <v>124999.99999999999</v>
      </c>
      <c r="Q162" s="7">
        <f t="shared" si="26"/>
        <v>0</v>
      </c>
    </row>
    <row r="163" spans="2:17" x14ac:dyDescent="0.25">
      <c r="B163" s="3">
        <v>154</v>
      </c>
      <c r="C163" s="27">
        <v>26291695.028392542</v>
      </c>
      <c r="D163" s="7">
        <v>166011.06170175876</v>
      </c>
      <c r="E163" s="7">
        <v>270074.84388886316</v>
      </c>
      <c r="G163" s="27">
        <f t="shared" si="18"/>
        <v>0</v>
      </c>
      <c r="H163" s="7">
        <f t="shared" si="19"/>
        <v>0</v>
      </c>
      <c r="I163" s="7">
        <f t="shared" si="20"/>
        <v>0</v>
      </c>
      <c r="K163" s="27">
        <f t="shared" si="21"/>
        <v>6291695.0283925673</v>
      </c>
      <c r="L163" s="7">
        <f t="shared" si="22"/>
        <v>41011.061701758939</v>
      </c>
      <c r="M163" s="7">
        <f t="shared" si="23"/>
        <v>270074.84388886316</v>
      </c>
      <c r="O163" s="27">
        <f t="shared" si="24"/>
        <v>20000000</v>
      </c>
      <c r="P163" s="7">
        <f t="shared" si="25"/>
        <v>124999.99999999999</v>
      </c>
      <c r="Q163" s="7">
        <f t="shared" si="26"/>
        <v>0</v>
      </c>
    </row>
    <row r="164" spans="2:17" x14ac:dyDescent="0.25">
      <c r="B164" s="3">
        <v>155</v>
      </c>
      <c r="C164" s="27">
        <v>26023809.876079857</v>
      </c>
      <c r="D164" s="7">
        <v>164323.09392745339</v>
      </c>
      <c r="E164" s="7">
        <v>267885.15231268323</v>
      </c>
      <c r="G164" s="27">
        <f t="shared" si="18"/>
        <v>0</v>
      </c>
      <c r="H164" s="7">
        <f t="shared" si="19"/>
        <v>0</v>
      </c>
      <c r="I164" s="7">
        <f t="shared" si="20"/>
        <v>0</v>
      </c>
      <c r="K164" s="27">
        <f t="shared" si="21"/>
        <v>6023809.8760798844</v>
      </c>
      <c r="L164" s="7">
        <f t="shared" si="22"/>
        <v>39323.093927453541</v>
      </c>
      <c r="M164" s="7">
        <f t="shared" si="23"/>
        <v>267885.15231268323</v>
      </c>
      <c r="O164" s="27">
        <f t="shared" si="24"/>
        <v>20000000</v>
      </c>
      <c r="P164" s="7">
        <f t="shared" si="25"/>
        <v>124999.99999999999</v>
      </c>
      <c r="Q164" s="7">
        <f t="shared" si="26"/>
        <v>0</v>
      </c>
    </row>
    <row r="165" spans="2:17" x14ac:dyDescent="0.25">
      <c r="B165" s="3">
        <v>156</v>
      </c>
      <c r="C165" s="27">
        <v>25758097.181946903</v>
      </c>
      <c r="D165" s="7">
        <v>162648.81172549911</v>
      </c>
      <c r="E165" s="7">
        <v>265712.69413295289</v>
      </c>
      <c r="G165" s="27">
        <f t="shared" si="18"/>
        <v>0</v>
      </c>
      <c r="H165" s="7">
        <f t="shared" si="19"/>
        <v>0</v>
      </c>
      <c r="I165" s="7">
        <f t="shared" si="20"/>
        <v>0</v>
      </c>
      <c r="K165" s="27">
        <f t="shared" si="21"/>
        <v>5758097.1819469314</v>
      </c>
      <c r="L165" s="7">
        <f t="shared" si="22"/>
        <v>37648.811725499276</v>
      </c>
      <c r="M165" s="7">
        <f t="shared" si="23"/>
        <v>265712.69413295289</v>
      </c>
      <c r="O165" s="27">
        <f t="shared" si="24"/>
        <v>20000000</v>
      </c>
      <c r="P165" s="7">
        <f t="shared" si="25"/>
        <v>124999.99999999999</v>
      </c>
      <c r="Q165" s="7">
        <f t="shared" si="26"/>
        <v>0</v>
      </c>
    </row>
    <row r="166" spans="2:17" x14ac:dyDescent="0.25">
      <c r="B166" s="3">
        <v>157</v>
      </c>
      <c r="C166" s="27">
        <v>25494539.847618666</v>
      </c>
      <c r="D166" s="7">
        <v>160988.10738716813</v>
      </c>
      <c r="E166" s="7">
        <v>263557.33432823961</v>
      </c>
      <c r="G166" s="27">
        <f t="shared" si="18"/>
        <v>0</v>
      </c>
      <c r="H166" s="7">
        <f t="shared" si="19"/>
        <v>0</v>
      </c>
      <c r="I166" s="7">
        <f t="shared" si="20"/>
        <v>0</v>
      </c>
      <c r="K166" s="27">
        <f t="shared" si="21"/>
        <v>5494539.8476186916</v>
      </c>
      <c r="L166" s="7">
        <f t="shared" si="22"/>
        <v>35988.107387168318</v>
      </c>
      <c r="M166" s="7">
        <f t="shared" si="23"/>
        <v>263557.33432823961</v>
      </c>
      <c r="O166" s="27">
        <f t="shared" si="24"/>
        <v>20000000</v>
      </c>
      <c r="P166" s="7">
        <f t="shared" si="25"/>
        <v>124999.99999999999</v>
      </c>
      <c r="Q166" s="7">
        <f t="shared" si="26"/>
        <v>0</v>
      </c>
    </row>
    <row r="167" spans="2:17" x14ac:dyDescent="0.25">
      <c r="B167" s="3">
        <v>158</v>
      </c>
      <c r="C167" s="27">
        <v>25233120.908684414</v>
      </c>
      <c r="D167" s="7">
        <v>159340.87404761664</v>
      </c>
      <c r="E167" s="7">
        <v>261418.93893425036</v>
      </c>
      <c r="G167" s="27">
        <f t="shared" si="18"/>
        <v>0</v>
      </c>
      <c r="H167" s="7">
        <f t="shared" si="19"/>
        <v>0</v>
      </c>
      <c r="I167" s="7">
        <f t="shared" si="20"/>
        <v>0</v>
      </c>
      <c r="K167" s="27">
        <f t="shared" si="21"/>
        <v>5233120.9086844409</v>
      </c>
      <c r="L167" s="7">
        <f t="shared" si="22"/>
        <v>34340.874047616817</v>
      </c>
      <c r="M167" s="7">
        <f t="shared" si="23"/>
        <v>261418.93893425036</v>
      </c>
      <c r="O167" s="27">
        <f t="shared" si="24"/>
        <v>20000000</v>
      </c>
      <c r="P167" s="7">
        <f t="shared" si="25"/>
        <v>124999.99999999999</v>
      </c>
      <c r="Q167" s="7">
        <f t="shared" si="26"/>
        <v>0</v>
      </c>
    </row>
    <row r="168" spans="2:17" x14ac:dyDescent="0.25">
      <c r="B168" s="3">
        <v>159</v>
      </c>
      <c r="C168" s="27">
        <v>24973823.53364886</v>
      </c>
      <c r="D168" s="7">
        <v>157707.00567927759</v>
      </c>
      <c r="E168" s="7">
        <v>259297.37503555551</v>
      </c>
      <c r="G168" s="27">
        <f t="shared" si="18"/>
        <v>0</v>
      </c>
      <c r="H168" s="7">
        <f t="shared" si="19"/>
        <v>0</v>
      </c>
      <c r="I168" s="7">
        <f t="shared" si="20"/>
        <v>0</v>
      </c>
      <c r="K168" s="27">
        <f t="shared" si="21"/>
        <v>4973823.5336488858</v>
      </c>
      <c r="L168" s="7">
        <f t="shared" si="22"/>
        <v>32707.005679277754</v>
      </c>
      <c r="M168" s="7">
        <f t="shared" si="23"/>
        <v>259297.37503555551</v>
      </c>
      <c r="O168" s="27">
        <f t="shared" si="24"/>
        <v>20000000</v>
      </c>
      <c r="P168" s="7">
        <f t="shared" si="25"/>
        <v>124999.99999999999</v>
      </c>
      <c r="Q168" s="7">
        <f t="shared" si="26"/>
        <v>0</v>
      </c>
    </row>
    <row r="169" spans="2:17" x14ac:dyDescent="0.25">
      <c r="B169" s="3">
        <v>160</v>
      </c>
      <c r="C169" s="27">
        <v>24716631.02289148</v>
      </c>
      <c r="D169" s="7">
        <v>156086.39708530536</v>
      </c>
      <c r="E169" s="7">
        <v>257192.51075737801</v>
      </c>
      <c r="G169" s="27">
        <f t="shared" si="18"/>
        <v>0</v>
      </c>
      <c r="H169" s="7">
        <f t="shared" si="19"/>
        <v>0</v>
      </c>
      <c r="I169" s="7">
        <f t="shared" si="20"/>
        <v>0</v>
      </c>
      <c r="K169" s="27">
        <f t="shared" si="21"/>
        <v>4716631.0228915075</v>
      </c>
      <c r="L169" s="7">
        <f t="shared" si="22"/>
        <v>31086.397085305533</v>
      </c>
      <c r="M169" s="7">
        <f t="shared" si="23"/>
        <v>257192.51075737801</v>
      </c>
      <c r="O169" s="27">
        <f t="shared" si="24"/>
        <v>20000000</v>
      </c>
      <c r="P169" s="7">
        <f t="shared" si="25"/>
        <v>124999.99999999999</v>
      </c>
      <c r="Q169" s="7">
        <f t="shared" si="26"/>
        <v>0</v>
      </c>
    </row>
    <row r="170" spans="2:17" x14ac:dyDescent="0.25">
      <c r="B170" s="3">
        <v>161</v>
      </c>
      <c r="C170" s="27">
        <v>24461526.807634033</v>
      </c>
      <c r="D170" s="7">
        <v>154478.94389307173</v>
      </c>
      <c r="E170" s="7">
        <v>255104.21525744657</v>
      </c>
      <c r="G170" s="27">
        <f t="shared" si="18"/>
        <v>0</v>
      </c>
      <c r="H170" s="7">
        <f t="shared" si="19"/>
        <v>0</v>
      </c>
      <c r="I170" s="7">
        <f t="shared" si="20"/>
        <v>0</v>
      </c>
      <c r="K170" s="27">
        <f t="shared" si="21"/>
        <v>4461526.8076340612</v>
      </c>
      <c r="L170" s="7">
        <f t="shared" si="22"/>
        <v>29478.943893071919</v>
      </c>
      <c r="M170" s="7">
        <f t="shared" si="23"/>
        <v>255104.21525744657</v>
      </c>
      <c r="O170" s="27">
        <f t="shared" si="24"/>
        <v>20000000</v>
      </c>
      <c r="P170" s="7">
        <f t="shared" si="25"/>
        <v>124999.99999999999</v>
      </c>
      <c r="Q170" s="7">
        <f t="shared" si="26"/>
        <v>0</v>
      </c>
    </row>
    <row r="171" spans="2:17" x14ac:dyDescent="0.25">
      <c r="B171" s="3">
        <v>162</v>
      </c>
      <c r="C171" s="27">
        <v>24208494.448916122</v>
      </c>
      <c r="D171" s="7">
        <v>152884.54254771268</v>
      </c>
      <c r="E171" s="7">
        <v>253032.35871791228</v>
      </c>
      <c r="G171" s="27">
        <f t="shared" si="18"/>
        <v>0</v>
      </c>
      <c r="H171" s="7">
        <f t="shared" si="19"/>
        <v>0</v>
      </c>
      <c r="I171" s="7">
        <f t="shared" si="20"/>
        <v>0</v>
      </c>
      <c r="K171" s="27">
        <f t="shared" si="21"/>
        <v>4208494.4489161493</v>
      </c>
      <c r="L171" s="7">
        <f t="shared" si="22"/>
        <v>27884.542547712881</v>
      </c>
      <c r="M171" s="7">
        <f t="shared" si="23"/>
        <v>253032.35871791228</v>
      </c>
      <c r="O171" s="27">
        <f t="shared" si="24"/>
        <v>20000000</v>
      </c>
      <c r="P171" s="7">
        <f t="shared" si="25"/>
        <v>124999.99999999999</v>
      </c>
      <c r="Q171" s="7">
        <f t="shared" si="26"/>
        <v>0</v>
      </c>
    </row>
    <row r="172" spans="2:17" x14ac:dyDescent="0.25">
      <c r="B172" s="3">
        <v>163</v>
      </c>
      <c r="C172" s="27">
        <v>23957517.636578795</v>
      </c>
      <c r="D172" s="7">
        <v>151303.09030572575</v>
      </c>
      <c r="E172" s="7">
        <v>250976.81233732923</v>
      </c>
      <c r="G172" s="27">
        <f t="shared" si="18"/>
        <v>0</v>
      </c>
      <c r="H172" s="7">
        <f t="shared" si="19"/>
        <v>0</v>
      </c>
      <c r="I172" s="7">
        <f t="shared" si="20"/>
        <v>0</v>
      </c>
      <c r="K172" s="27">
        <f t="shared" si="21"/>
        <v>3957517.6365788202</v>
      </c>
      <c r="L172" s="7">
        <f t="shared" si="22"/>
        <v>26303.090305725931</v>
      </c>
      <c r="M172" s="7">
        <f t="shared" si="23"/>
        <v>250976.81233732923</v>
      </c>
      <c r="O172" s="27">
        <f t="shared" si="24"/>
        <v>20000000</v>
      </c>
      <c r="P172" s="7">
        <f t="shared" si="25"/>
        <v>124999.99999999999</v>
      </c>
      <c r="Q172" s="7">
        <f t="shared" si="26"/>
        <v>0</v>
      </c>
    </row>
    <row r="173" spans="2:17" x14ac:dyDescent="0.25">
      <c r="B173" s="3">
        <v>164</v>
      </c>
      <c r="C173" s="27">
        <v>23708580.188256096</v>
      </c>
      <c r="D173" s="7">
        <v>149734.48522861744</v>
      </c>
      <c r="E173" s="7">
        <v>248937.44832269716</v>
      </c>
      <c r="G173" s="27">
        <f t="shared" si="18"/>
        <v>0</v>
      </c>
      <c r="H173" s="7">
        <f t="shared" si="19"/>
        <v>0</v>
      </c>
      <c r="I173" s="7">
        <f t="shared" si="20"/>
        <v>0</v>
      </c>
      <c r="K173" s="27">
        <f t="shared" si="21"/>
        <v>3708580.1882561231</v>
      </c>
      <c r="L173" s="7">
        <f t="shared" si="22"/>
        <v>24734.485228617625</v>
      </c>
      <c r="M173" s="7">
        <f t="shared" si="23"/>
        <v>248937.44832269716</v>
      </c>
      <c r="O173" s="27">
        <f t="shared" si="24"/>
        <v>20000000</v>
      </c>
      <c r="P173" s="7">
        <f t="shared" si="25"/>
        <v>124999.99999999999</v>
      </c>
      <c r="Q173" s="7">
        <f t="shared" si="26"/>
        <v>0</v>
      </c>
    </row>
    <row r="174" spans="2:17" x14ac:dyDescent="0.25">
      <c r="B174" s="3">
        <v>165</v>
      </c>
      <c r="C174" s="27">
        <v>23461666.04837453</v>
      </c>
      <c r="D174" s="7">
        <v>148178.62617660058</v>
      </c>
      <c r="E174" s="7">
        <v>246914.13988156704</v>
      </c>
      <c r="G174" s="27">
        <f t="shared" si="18"/>
        <v>0</v>
      </c>
      <c r="H174" s="7">
        <f t="shared" si="19"/>
        <v>0</v>
      </c>
      <c r="I174" s="7">
        <f t="shared" si="20"/>
        <v>0</v>
      </c>
      <c r="K174" s="27">
        <f t="shared" si="21"/>
        <v>3461666.048374556</v>
      </c>
      <c r="L174" s="7">
        <f t="shared" si="22"/>
        <v>23178.626176600766</v>
      </c>
      <c r="M174" s="7">
        <f t="shared" si="23"/>
        <v>246914.13988156704</v>
      </c>
      <c r="O174" s="27">
        <f t="shared" si="24"/>
        <v>20000000</v>
      </c>
      <c r="P174" s="7">
        <f t="shared" si="25"/>
        <v>124999.99999999999</v>
      </c>
      <c r="Q174" s="7">
        <f t="shared" si="26"/>
        <v>0</v>
      </c>
    </row>
    <row r="175" spans="2:17" x14ac:dyDescent="0.25">
      <c r="B175" s="3">
        <v>166</v>
      </c>
      <c r="C175" s="27">
        <v>23216759.287160322</v>
      </c>
      <c r="D175" s="7">
        <v>146635.41280234081</v>
      </c>
      <c r="E175" s="7">
        <v>244906.76121420809</v>
      </c>
      <c r="G175" s="27">
        <f t="shared" si="18"/>
        <v>0</v>
      </c>
      <c r="H175" s="7">
        <f t="shared" si="19"/>
        <v>0</v>
      </c>
      <c r="I175" s="7">
        <f t="shared" si="20"/>
        <v>0</v>
      </c>
      <c r="K175" s="27">
        <f t="shared" si="21"/>
        <v>3216759.2871603481</v>
      </c>
      <c r="L175" s="7">
        <f t="shared" si="22"/>
        <v>21635.412802340972</v>
      </c>
      <c r="M175" s="7">
        <f t="shared" si="23"/>
        <v>244906.76121420809</v>
      </c>
      <c r="O175" s="27">
        <f t="shared" si="24"/>
        <v>20000000</v>
      </c>
      <c r="P175" s="7">
        <f t="shared" si="25"/>
        <v>124999.99999999999</v>
      </c>
      <c r="Q175" s="7">
        <f t="shared" si="26"/>
        <v>0</v>
      </c>
    </row>
    <row r="176" spans="2:17" x14ac:dyDescent="0.25">
      <c r="B176" s="3">
        <v>167</v>
      </c>
      <c r="C176" s="27">
        <v>22973844.099654485</v>
      </c>
      <c r="D176" s="7">
        <v>145104.74554475199</v>
      </c>
      <c r="E176" s="7">
        <v>242915.18750583605</v>
      </c>
      <c r="G176" s="27">
        <f t="shared" si="18"/>
        <v>0</v>
      </c>
      <c r="H176" s="7">
        <f t="shared" si="19"/>
        <v>0</v>
      </c>
      <c r="I176" s="7">
        <f t="shared" si="20"/>
        <v>0</v>
      </c>
      <c r="K176" s="27">
        <f t="shared" si="21"/>
        <v>2973844.099654512</v>
      </c>
      <c r="L176" s="7">
        <f t="shared" si="22"/>
        <v>20104.745544752175</v>
      </c>
      <c r="M176" s="7">
        <f t="shared" si="23"/>
        <v>242915.18750583605</v>
      </c>
      <c r="O176" s="27">
        <f t="shared" si="24"/>
        <v>20000000</v>
      </c>
      <c r="P176" s="7">
        <f t="shared" si="25"/>
        <v>124999.99999999999</v>
      </c>
      <c r="Q176" s="7">
        <f t="shared" si="26"/>
        <v>0</v>
      </c>
    </row>
    <row r="177" spans="2:17" x14ac:dyDescent="0.25">
      <c r="B177" s="3">
        <v>168</v>
      </c>
      <c r="C177" s="27">
        <v>22732904.804735582</v>
      </c>
      <c r="D177" s="7">
        <v>143586.52562284051</v>
      </c>
      <c r="E177" s="7">
        <v>240939.29491890263</v>
      </c>
      <c r="G177" s="27">
        <f t="shared" si="18"/>
        <v>0</v>
      </c>
      <c r="H177" s="7">
        <f t="shared" si="19"/>
        <v>0</v>
      </c>
      <c r="I177" s="7">
        <f t="shared" si="20"/>
        <v>0</v>
      </c>
      <c r="K177" s="27">
        <f t="shared" si="21"/>
        <v>2732904.8047356093</v>
      </c>
      <c r="L177" s="7">
        <f t="shared" si="22"/>
        <v>18586.525622840698</v>
      </c>
      <c r="M177" s="7">
        <f t="shared" si="23"/>
        <v>240939.29491890263</v>
      </c>
      <c r="O177" s="27">
        <f t="shared" si="24"/>
        <v>20000000</v>
      </c>
      <c r="P177" s="7">
        <f t="shared" si="25"/>
        <v>124999.99999999999</v>
      </c>
      <c r="Q177" s="7">
        <f t="shared" si="26"/>
        <v>0</v>
      </c>
    </row>
    <row r="178" spans="2:17" x14ac:dyDescent="0.25">
      <c r="B178" s="3">
        <v>169</v>
      </c>
      <c r="C178" s="27">
        <v>22493925.844150137</v>
      </c>
      <c r="D178" s="7">
        <v>142080.65502959737</v>
      </c>
      <c r="E178" s="7">
        <v>238978.96058544522</v>
      </c>
      <c r="G178" s="27">
        <f t="shared" si="18"/>
        <v>0</v>
      </c>
      <c r="H178" s="7">
        <f t="shared" si="19"/>
        <v>0</v>
      </c>
      <c r="I178" s="7">
        <f t="shared" si="20"/>
        <v>0</v>
      </c>
      <c r="K178" s="27">
        <f t="shared" si="21"/>
        <v>2493925.8441501642</v>
      </c>
      <c r="L178" s="7">
        <f t="shared" si="22"/>
        <v>17080.655029597558</v>
      </c>
      <c r="M178" s="7">
        <f t="shared" si="23"/>
        <v>238978.96058544522</v>
      </c>
      <c r="O178" s="27">
        <f t="shared" si="24"/>
        <v>20000000</v>
      </c>
      <c r="P178" s="7">
        <f t="shared" si="25"/>
        <v>124999.99999999999</v>
      </c>
      <c r="Q178" s="7">
        <f t="shared" si="26"/>
        <v>0</v>
      </c>
    </row>
    <row r="179" spans="2:17" x14ac:dyDescent="0.25">
      <c r="B179" s="3">
        <v>170</v>
      </c>
      <c r="C179" s="27">
        <v>22256891.781550642</v>
      </c>
      <c r="D179" s="7">
        <v>140587.03652593834</v>
      </c>
      <c r="E179" s="7">
        <v>237034.06259949607</v>
      </c>
      <c r="G179" s="27">
        <f t="shared" si="18"/>
        <v>0</v>
      </c>
      <c r="H179" s="7">
        <f t="shared" si="19"/>
        <v>0</v>
      </c>
      <c r="I179" s="7">
        <f t="shared" si="20"/>
        <v>0</v>
      </c>
      <c r="K179" s="27">
        <f t="shared" si="21"/>
        <v>2256891.7815506682</v>
      </c>
      <c r="L179" s="7">
        <f t="shared" si="22"/>
        <v>15587.036525938525</v>
      </c>
      <c r="M179" s="7">
        <f t="shared" si="23"/>
        <v>237034.06259949607</v>
      </c>
      <c r="O179" s="27">
        <f t="shared" si="24"/>
        <v>20000000</v>
      </c>
      <c r="P179" s="7">
        <f t="shared" si="25"/>
        <v>124999.99999999999</v>
      </c>
      <c r="Q179" s="7">
        <f t="shared" si="26"/>
        <v>0</v>
      </c>
    </row>
    <row r="180" spans="2:17" x14ac:dyDescent="0.25">
      <c r="B180" s="3">
        <v>171</v>
      </c>
      <c r="C180" s="27">
        <v>22021787.30154109</v>
      </c>
      <c r="D180" s="7">
        <v>139105.57363469151</v>
      </c>
      <c r="E180" s="7">
        <v>235104.48000955151</v>
      </c>
      <c r="G180" s="27">
        <f t="shared" si="18"/>
        <v>0</v>
      </c>
      <c r="H180" s="7">
        <f t="shared" si="19"/>
        <v>0</v>
      </c>
      <c r="I180" s="7">
        <f t="shared" si="20"/>
        <v>0</v>
      </c>
      <c r="K180" s="27">
        <f t="shared" si="21"/>
        <v>2021787.3015411166</v>
      </c>
      <c r="L180" s="7">
        <f t="shared" si="22"/>
        <v>14105.573634691675</v>
      </c>
      <c r="M180" s="7">
        <f t="shared" si="23"/>
        <v>235104.48000955151</v>
      </c>
      <c r="O180" s="27">
        <f t="shared" si="24"/>
        <v>20000000</v>
      </c>
      <c r="P180" s="7">
        <f t="shared" si="25"/>
        <v>124999.99999999999</v>
      </c>
      <c r="Q180" s="7">
        <f t="shared" si="26"/>
        <v>0</v>
      </c>
    </row>
    <row r="181" spans="2:17" x14ac:dyDescent="0.25">
      <c r="B181" s="3">
        <v>172</v>
      </c>
      <c r="C181" s="27">
        <v>21788597.20872999</v>
      </c>
      <c r="D181" s="7">
        <v>137636.1706346318</v>
      </c>
      <c r="E181" s="7">
        <v>233190.09281109966</v>
      </c>
      <c r="G181" s="27">
        <f t="shared" si="18"/>
        <v>0</v>
      </c>
      <c r="H181" s="7">
        <f t="shared" si="19"/>
        <v>0</v>
      </c>
      <c r="I181" s="7">
        <f t="shared" si="20"/>
        <v>0</v>
      </c>
      <c r="K181" s="27">
        <f t="shared" si="21"/>
        <v>1788597.2087300168</v>
      </c>
      <c r="L181" s="7">
        <f t="shared" si="22"/>
        <v>12636.170634631977</v>
      </c>
      <c r="M181" s="7">
        <f t="shared" si="23"/>
        <v>233190.09281109966</v>
      </c>
      <c r="O181" s="27">
        <f t="shared" si="24"/>
        <v>20000000</v>
      </c>
      <c r="P181" s="7">
        <f t="shared" si="25"/>
        <v>124999.99999999999</v>
      </c>
      <c r="Q181" s="7">
        <f t="shared" si="26"/>
        <v>0</v>
      </c>
    </row>
    <row r="182" spans="2:17" x14ac:dyDescent="0.25">
      <c r="B182" s="3">
        <v>173</v>
      </c>
      <c r="C182" s="27">
        <v>21557306.426790781</v>
      </c>
      <c r="D182" s="7">
        <v>136178.73255456242</v>
      </c>
      <c r="E182" s="7">
        <v>231290.78193920699</v>
      </c>
      <c r="G182" s="27">
        <f t="shared" si="18"/>
        <v>0</v>
      </c>
      <c r="H182" s="7">
        <f t="shared" si="19"/>
        <v>0</v>
      </c>
      <c r="I182" s="7">
        <f t="shared" si="20"/>
        <v>0</v>
      </c>
      <c r="K182" s="27">
        <f t="shared" si="21"/>
        <v>1557306.4267908097</v>
      </c>
      <c r="L182" s="7">
        <f t="shared" si="22"/>
        <v>11178.732554562604</v>
      </c>
      <c r="M182" s="7">
        <f t="shared" si="23"/>
        <v>231290.78193920699</v>
      </c>
      <c r="O182" s="27">
        <f t="shared" si="24"/>
        <v>20000000</v>
      </c>
      <c r="P182" s="7">
        <f t="shared" si="25"/>
        <v>124999.99999999999</v>
      </c>
      <c r="Q182" s="7">
        <f t="shared" si="26"/>
        <v>0</v>
      </c>
    </row>
    <row r="183" spans="2:17" x14ac:dyDescent="0.25">
      <c r="B183" s="3">
        <v>174</v>
      </c>
      <c r="C183" s="27">
        <v>21327899.997529618</v>
      </c>
      <c r="D183" s="7">
        <v>134733.16516744238</v>
      </c>
      <c r="E183" s="7">
        <v>229406.42926116267</v>
      </c>
      <c r="G183" s="27">
        <f t="shared" si="18"/>
        <v>0</v>
      </c>
      <c r="H183" s="7">
        <f t="shared" si="19"/>
        <v>0</v>
      </c>
      <c r="I183" s="7">
        <f t="shared" si="20"/>
        <v>0</v>
      </c>
      <c r="K183" s="27">
        <f t="shared" si="21"/>
        <v>1327899.9975296471</v>
      </c>
      <c r="L183" s="7">
        <f t="shared" si="22"/>
        <v>9733.1651674425593</v>
      </c>
      <c r="M183" s="7">
        <f t="shared" si="23"/>
        <v>229406.42926116267</v>
      </c>
      <c r="O183" s="27">
        <f t="shared" si="24"/>
        <v>20000000</v>
      </c>
      <c r="P183" s="7">
        <f t="shared" si="25"/>
        <v>124999.99999999999</v>
      </c>
      <c r="Q183" s="7">
        <f t="shared" si="26"/>
        <v>0</v>
      </c>
    </row>
    <row r="184" spans="2:17" x14ac:dyDescent="0.25">
      <c r="B184" s="3">
        <v>175</v>
      </c>
      <c r="C184" s="27">
        <v>21100363.079960439</v>
      </c>
      <c r="D184" s="7">
        <v>133299.3749845601</v>
      </c>
      <c r="E184" s="7">
        <v>227536.91756918057</v>
      </c>
      <c r="G184" s="27">
        <f t="shared" si="18"/>
        <v>0</v>
      </c>
      <c r="H184" s="7">
        <f t="shared" si="19"/>
        <v>0</v>
      </c>
      <c r="I184" s="7">
        <f t="shared" si="20"/>
        <v>0</v>
      </c>
      <c r="K184" s="27">
        <f t="shared" si="21"/>
        <v>1100363.0799604666</v>
      </c>
      <c r="L184" s="7">
        <f t="shared" si="22"/>
        <v>8299.3749845602943</v>
      </c>
      <c r="M184" s="7">
        <f t="shared" si="23"/>
        <v>227536.91756918057</v>
      </c>
      <c r="O184" s="27">
        <f t="shared" si="24"/>
        <v>20000000</v>
      </c>
      <c r="P184" s="7">
        <f t="shared" si="25"/>
        <v>124999.99999999999</v>
      </c>
      <c r="Q184" s="7">
        <f t="shared" si="26"/>
        <v>0</v>
      </c>
    </row>
    <row r="185" spans="2:17" x14ac:dyDescent="0.25">
      <c r="B185" s="3">
        <v>176</v>
      </c>
      <c r="C185" s="27">
        <v>20874680.949387282</v>
      </c>
      <c r="D185" s="7">
        <v>131877.26924975275</v>
      </c>
      <c r="E185" s="7">
        <v>225682.1305731583</v>
      </c>
      <c r="G185" s="27">
        <f t="shared" si="18"/>
        <v>0</v>
      </c>
      <c r="H185" s="7">
        <f t="shared" si="19"/>
        <v>0</v>
      </c>
      <c r="I185" s="7">
        <f t="shared" si="20"/>
        <v>0</v>
      </c>
      <c r="K185" s="27">
        <f t="shared" si="21"/>
        <v>874680.94938730833</v>
      </c>
      <c r="L185" s="7">
        <f t="shared" si="22"/>
        <v>6877.269249752916</v>
      </c>
      <c r="M185" s="7">
        <f t="shared" si="23"/>
        <v>225682.1305731583</v>
      </c>
      <c r="O185" s="27">
        <f t="shared" si="24"/>
        <v>20000000</v>
      </c>
      <c r="P185" s="7">
        <f t="shared" si="25"/>
        <v>124999.99999999999</v>
      </c>
      <c r="Q185" s="7">
        <f t="shared" si="26"/>
        <v>0</v>
      </c>
    </row>
    <row r="186" spans="2:17" x14ac:dyDescent="0.25">
      <c r="B186" s="3">
        <v>177</v>
      </c>
      <c r="C186" s="27">
        <v>20650838.99649379</v>
      </c>
      <c r="D186" s="7">
        <v>130466.7559336705</v>
      </c>
      <c r="E186" s="7">
        <v>223841.95289349332</v>
      </c>
      <c r="G186" s="27">
        <f t="shared" si="18"/>
        <v>0</v>
      </c>
      <c r="H186" s="7">
        <f t="shared" si="19"/>
        <v>0</v>
      </c>
      <c r="I186" s="7">
        <f t="shared" si="20"/>
        <v>0</v>
      </c>
      <c r="K186" s="27">
        <f t="shared" si="21"/>
        <v>650838.99649381498</v>
      </c>
      <c r="L186" s="7">
        <f t="shared" si="22"/>
        <v>5466.7559336706763</v>
      </c>
      <c r="M186" s="7">
        <f t="shared" si="23"/>
        <v>223841.95289349332</v>
      </c>
      <c r="O186" s="27">
        <f t="shared" si="24"/>
        <v>20000000</v>
      </c>
      <c r="P186" s="7">
        <f t="shared" si="25"/>
        <v>124999.99999999999</v>
      </c>
      <c r="Q186" s="7">
        <f t="shared" si="26"/>
        <v>0</v>
      </c>
    </row>
    <row r="187" spans="2:17" x14ac:dyDescent="0.25">
      <c r="B187" s="3">
        <v>178</v>
      </c>
      <c r="C187" s="27">
        <v>20428822.726439837</v>
      </c>
      <c r="D187" s="7">
        <v>129067.74372808618</v>
      </c>
      <c r="E187" s="7">
        <v>222016.27005395462</v>
      </c>
      <c r="G187" s="27">
        <f t="shared" si="18"/>
        <v>0</v>
      </c>
      <c r="H187" s="7">
        <f t="shared" si="19"/>
        <v>0</v>
      </c>
      <c r="I187" s="7">
        <f t="shared" si="20"/>
        <v>0</v>
      </c>
      <c r="K187" s="27">
        <f t="shared" si="21"/>
        <v>428822.72643986036</v>
      </c>
      <c r="L187" s="7">
        <f t="shared" si="22"/>
        <v>4067.7437280863433</v>
      </c>
      <c r="M187" s="7">
        <f t="shared" si="23"/>
        <v>222016.27005395462</v>
      </c>
      <c r="O187" s="27">
        <f t="shared" si="24"/>
        <v>20000000</v>
      </c>
      <c r="P187" s="7">
        <f t="shared" si="25"/>
        <v>124999.99999999999</v>
      </c>
      <c r="Q187" s="7">
        <f t="shared" si="26"/>
        <v>0</v>
      </c>
    </row>
    <row r="188" spans="2:17" x14ac:dyDescent="0.25">
      <c r="B188" s="3">
        <v>179</v>
      </c>
      <c r="C188" s="27">
        <v>20208617.757965226</v>
      </c>
      <c r="D188" s="7">
        <v>127680.14204024897</v>
      </c>
      <c r="E188" s="7">
        <v>220204.96847461094</v>
      </c>
      <c r="G188" s="27">
        <f t="shared" si="18"/>
        <v>0</v>
      </c>
      <c r="H188" s="7">
        <f t="shared" si="19"/>
        <v>0</v>
      </c>
      <c r="I188" s="7">
        <f t="shared" si="20"/>
        <v>0</v>
      </c>
      <c r="K188" s="27">
        <f t="shared" si="21"/>
        <v>208617.75796524942</v>
      </c>
      <c r="L188" s="7">
        <f t="shared" si="22"/>
        <v>2680.1420402491271</v>
      </c>
      <c r="M188" s="7">
        <f t="shared" si="23"/>
        <v>220204.96847461094</v>
      </c>
      <c r="O188" s="27">
        <f t="shared" si="24"/>
        <v>20000000</v>
      </c>
      <c r="P188" s="7">
        <f t="shared" si="25"/>
        <v>124999.99999999999</v>
      </c>
      <c r="Q188" s="7">
        <f t="shared" si="26"/>
        <v>0</v>
      </c>
    </row>
    <row r="189" spans="2:17" x14ac:dyDescent="0.25">
      <c r="B189" s="3">
        <v>180</v>
      </c>
      <c r="C189" s="27">
        <v>19990209.822500411</v>
      </c>
      <c r="D189" s="7">
        <v>126303.86098728265</v>
      </c>
      <c r="E189" s="7">
        <v>218407.93546481378</v>
      </c>
      <c r="G189" s="27">
        <f t="shared" si="18"/>
        <v>0</v>
      </c>
      <c r="H189" s="7">
        <f t="shared" si="19"/>
        <v>0</v>
      </c>
      <c r="I189" s="7">
        <f t="shared" si="20"/>
        <v>0</v>
      </c>
      <c r="K189" s="27">
        <f t="shared" si="21"/>
        <v>0</v>
      </c>
      <c r="L189" s="7">
        <f t="shared" si="22"/>
        <v>1303.8609872828088</v>
      </c>
      <c r="M189" s="7">
        <f t="shared" si="23"/>
        <v>208617.75796524942</v>
      </c>
      <c r="O189" s="27">
        <f t="shared" si="24"/>
        <v>19990209.822500437</v>
      </c>
      <c r="P189" s="7">
        <f t="shared" si="25"/>
        <v>124999.99999999999</v>
      </c>
      <c r="Q189" s="7">
        <f t="shared" si="26"/>
        <v>9790.1774995643646</v>
      </c>
    </row>
    <row r="190" spans="2:17" x14ac:dyDescent="0.25">
      <c r="B190" s="3">
        <v>181</v>
      </c>
      <c r="C190" s="27">
        <v>19773584.763284177</v>
      </c>
      <c r="D190" s="7">
        <v>124938.81139062755</v>
      </c>
      <c r="E190" s="7">
        <v>216625.05921623562</v>
      </c>
      <c r="G190" s="27">
        <f t="shared" si="18"/>
        <v>0</v>
      </c>
      <c r="H190" s="7">
        <f t="shared" si="19"/>
        <v>0</v>
      </c>
      <c r="I190" s="7">
        <f t="shared" si="20"/>
        <v>0</v>
      </c>
      <c r="K190" s="27">
        <f t="shared" si="21"/>
        <v>0</v>
      </c>
      <c r="L190" s="7">
        <f t="shared" si="22"/>
        <v>0</v>
      </c>
      <c r="M190" s="7">
        <f t="shared" si="23"/>
        <v>0</v>
      </c>
      <c r="O190" s="27">
        <f t="shared" si="24"/>
        <v>19773584.763284203</v>
      </c>
      <c r="P190" s="7">
        <f t="shared" si="25"/>
        <v>124938.81139062773</v>
      </c>
      <c r="Q190" s="7">
        <f t="shared" si="26"/>
        <v>216625.05921623562</v>
      </c>
    </row>
    <row r="191" spans="2:17" x14ac:dyDescent="0.25">
      <c r="B191" s="3">
        <v>182</v>
      </c>
      <c r="C191" s="27">
        <v>19558728.534488212</v>
      </c>
      <c r="D191" s="7">
        <v>123584.90477052609</v>
      </c>
      <c r="E191" s="7">
        <v>214856.22879596273</v>
      </c>
      <c r="G191" s="27">
        <f t="shared" si="18"/>
        <v>0</v>
      </c>
      <c r="H191" s="7">
        <f t="shared" si="19"/>
        <v>0</v>
      </c>
      <c r="I191" s="7">
        <f t="shared" si="20"/>
        <v>0</v>
      </c>
      <c r="K191" s="27">
        <f t="shared" si="21"/>
        <v>0</v>
      </c>
      <c r="L191" s="7">
        <f t="shared" si="22"/>
        <v>0</v>
      </c>
      <c r="M191" s="7">
        <f t="shared" si="23"/>
        <v>0</v>
      </c>
      <c r="O191" s="27">
        <f t="shared" si="24"/>
        <v>19558728.534488238</v>
      </c>
      <c r="P191" s="7">
        <f t="shared" si="25"/>
        <v>123584.90477052625</v>
      </c>
      <c r="Q191" s="7">
        <f t="shared" si="26"/>
        <v>214856.22879596273</v>
      </c>
    </row>
    <row r="192" spans="2:17" x14ac:dyDescent="0.25">
      <c r="B192" s="3">
        <v>183</v>
      </c>
      <c r="C192" s="27">
        <v>19345627.200348571</v>
      </c>
      <c r="D192" s="7">
        <v>122242.05334055131</v>
      </c>
      <c r="E192" s="7">
        <v>213101.33413964149</v>
      </c>
      <c r="G192" s="27">
        <f t="shared" si="18"/>
        <v>0</v>
      </c>
      <c r="H192" s="7">
        <f t="shared" si="19"/>
        <v>0</v>
      </c>
      <c r="I192" s="7">
        <f t="shared" si="20"/>
        <v>0</v>
      </c>
      <c r="K192" s="27">
        <f t="shared" si="21"/>
        <v>0</v>
      </c>
      <c r="L192" s="7">
        <f t="shared" si="22"/>
        <v>0</v>
      </c>
      <c r="M192" s="7">
        <f t="shared" si="23"/>
        <v>0</v>
      </c>
      <c r="O192" s="27">
        <f t="shared" si="24"/>
        <v>19345627.200348597</v>
      </c>
      <c r="P192" s="7">
        <f t="shared" si="25"/>
        <v>122242.05334055149</v>
      </c>
      <c r="Q192" s="7">
        <f t="shared" si="26"/>
        <v>213101.33413964149</v>
      </c>
    </row>
    <row r="193" spans="2:17" x14ac:dyDescent="0.25">
      <c r="B193" s="3">
        <v>184</v>
      </c>
      <c r="C193" s="27">
        <v>19134266.934303891</v>
      </c>
      <c r="D193" s="7">
        <v>120910.17000217857</v>
      </c>
      <c r="E193" s="7">
        <v>211360.26604467933</v>
      </c>
      <c r="G193" s="27">
        <f t="shared" si="18"/>
        <v>0</v>
      </c>
      <c r="H193" s="7">
        <f t="shared" si="19"/>
        <v>0</v>
      </c>
      <c r="I193" s="7">
        <f t="shared" si="20"/>
        <v>0</v>
      </c>
      <c r="K193" s="27">
        <f t="shared" si="21"/>
        <v>0</v>
      </c>
      <c r="L193" s="7">
        <f t="shared" si="22"/>
        <v>0</v>
      </c>
      <c r="M193" s="7">
        <f t="shared" si="23"/>
        <v>0</v>
      </c>
      <c r="O193" s="27">
        <f t="shared" si="24"/>
        <v>19134266.934303917</v>
      </c>
      <c r="P193" s="7">
        <f t="shared" si="25"/>
        <v>120910.17000217873</v>
      </c>
      <c r="Q193" s="7">
        <f t="shared" si="26"/>
        <v>211360.26604467933</v>
      </c>
    </row>
    <row r="194" spans="2:17" x14ac:dyDescent="0.25">
      <c r="B194" s="3">
        <v>185</v>
      </c>
      <c r="C194" s="27">
        <v>18924634.018140394</v>
      </c>
      <c r="D194" s="7">
        <v>119589.16833939932</v>
      </c>
      <c r="E194" s="7">
        <v>209632.91616349801</v>
      </c>
      <c r="G194" s="27">
        <f t="shared" si="18"/>
        <v>0</v>
      </c>
      <c r="H194" s="7">
        <f t="shared" si="19"/>
        <v>0</v>
      </c>
      <c r="I194" s="7">
        <f t="shared" si="20"/>
        <v>0</v>
      </c>
      <c r="K194" s="27">
        <f t="shared" si="21"/>
        <v>0</v>
      </c>
      <c r="L194" s="7">
        <f t="shared" si="22"/>
        <v>0</v>
      </c>
      <c r="M194" s="7">
        <f t="shared" si="23"/>
        <v>0</v>
      </c>
      <c r="O194" s="27">
        <f t="shared" si="24"/>
        <v>18924634.01814042</v>
      </c>
      <c r="P194" s="7">
        <f t="shared" si="25"/>
        <v>119589.16833939948</v>
      </c>
      <c r="Q194" s="7">
        <f t="shared" si="26"/>
        <v>209632.91616349801</v>
      </c>
    </row>
    <row r="195" spans="2:17" x14ac:dyDescent="0.25">
      <c r="B195" s="3">
        <v>186</v>
      </c>
      <c r="C195" s="27">
        <v>18716714.841143556</v>
      </c>
      <c r="D195" s="7">
        <v>118278.96261337746</v>
      </c>
      <c r="E195" s="7">
        <v>207919.17699683993</v>
      </c>
      <c r="G195" s="27">
        <f t="shared" si="18"/>
        <v>0</v>
      </c>
      <c r="H195" s="7">
        <f t="shared" si="19"/>
        <v>0</v>
      </c>
      <c r="I195" s="7">
        <f t="shared" si="20"/>
        <v>0</v>
      </c>
      <c r="K195" s="27">
        <f t="shared" si="21"/>
        <v>0</v>
      </c>
      <c r="L195" s="7">
        <f t="shared" si="22"/>
        <v>0</v>
      </c>
      <c r="M195" s="7">
        <f t="shared" si="23"/>
        <v>0</v>
      </c>
      <c r="O195" s="27">
        <f t="shared" si="24"/>
        <v>18716714.841143582</v>
      </c>
      <c r="P195" s="7">
        <f t="shared" si="25"/>
        <v>118278.96261337762</v>
      </c>
      <c r="Q195" s="7">
        <f t="shared" si="26"/>
        <v>207919.17699683993</v>
      </c>
    </row>
    <row r="196" spans="2:17" x14ac:dyDescent="0.25">
      <c r="B196" s="3">
        <v>187</v>
      </c>
      <c r="C196" s="27">
        <v>18510495.899256427</v>
      </c>
      <c r="D196" s="7">
        <v>116979.46775714721</v>
      </c>
      <c r="E196" s="7">
        <v>206218.94188712729</v>
      </c>
      <c r="G196" s="27">
        <f t="shared" si="18"/>
        <v>0</v>
      </c>
      <c r="H196" s="7">
        <f t="shared" si="19"/>
        <v>0</v>
      </c>
      <c r="I196" s="7">
        <f t="shared" si="20"/>
        <v>0</v>
      </c>
      <c r="K196" s="27">
        <f t="shared" si="21"/>
        <v>0</v>
      </c>
      <c r="L196" s="7">
        <f t="shared" si="22"/>
        <v>0</v>
      </c>
      <c r="M196" s="7">
        <f t="shared" si="23"/>
        <v>0</v>
      </c>
      <c r="O196" s="27">
        <f t="shared" si="24"/>
        <v>18510495.899256453</v>
      </c>
      <c r="P196" s="7">
        <f t="shared" si="25"/>
        <v>116979.46775714737</v>
      </c>
      <c r="Q196" s="7">
        <f t="shared" si="26"/>
        <v>206218.94188712729</v>
      </c>
    </row>
    <row r="197" spans="2:17" x14ac:dyDescent="0.25">
      <c r="B197" s="3">
        <v>188</v>
      </c>
      <c r="C197" s="27">
        <v>18305963.794244554</v>
      </c>
      <c r="D197" s="7">
        <v>115690.59937035266</v>
      </c>
      <c r="E197" s="7">
        <v>204532.10501187277</v>
      </c>
      <c r="G197" s="27">
        <f t="shared" si="18"/>
        <v>0</v>
      </c>
      <c r="H197" s="7">
        <f t="shared" si="19"/>
        <v>0</v>
      </c>
      <c r="I197" s="7">
        <f t="shared" si="20"/>
        <v>0</v>
      </c>
      <c r="K197" s="27">
        <f t="shared" si="21"/>
        <v>0</v>
      </c>
      <c r="L197" s="7">
        <f t="shared" si="22"/>
        <v>0</v>
      </c>
      <c r="M197" s="7">
        <f t="shared" si="23"/>
        <v>0</v>
      </c>
      <c r="O197" s="27">
        <f t="shared" si="24"/>
        <v>18305963.79424458</v>
      </c>
      <c r="P197" s="7">
        <f t="shared" si="25"/>
        <v>115690.59937035282</v>
      </c>
      <c r="Q197" s="7">
        <f t="shared" si="26"/>
        <v>204532.10501187277</v>
      </c>
    </row>
    <row r="198" spans="2:17" x14ac:dyDescent="0.25">
      <c r="B198" s="3">
        <v>189</v>
      </c>
      <c r="C198" s="27">
        <v>18103105.232867412</v>
      </c>
      <c r="D198" s="7">
        <v>114412.27371402846</v>
      </c>
      <c r="E198" s="7">
        <v>202858.56137714186</v>
      </c>
      <c r="G198" s="27">
        <f t="shared" si="18"/>
        <v>0</v>
      </c>
      <c r="H198" s="7">
        <f t="shared" si="19"/>
        <v>0</v>
      </c>
      <c r="I198" s="7">
        <f t="shared" si="20"/>
        <v>0</v>
      </c>
      <c r="K198" s="27">
        <f t="shared" si="21"/>
        <v>0</v>
      </c>
      <c r="L198" s="7">
        <f t="shared" si="22"/>
        <v>0</v>
      </c>
      <c r="M198" s="7">
        <f t="shared" si="23"/>
        <v>0</v>
      </c>
      <c r="O198" s="27">
        <f t="shared" si="24"/>
        <v>18103105.232867438</v>
      </c>
      <c r="P198" s="7">
        <f t="shared" si="25"/>
        <v>114412.27371402862</v>
      </c>
      <c r="Q198" s="7">
        <f t="shared" si="26"/>
        <v>202858.56137714186</v>
      </c>
    </row>
    <row r="199" spans="2:17" x14ac:dyDescent="0.25">
      <c r="B199" s="3">
        <v>190</v>
      </c>
      <c r="C199" s="27">
        <v>17901907.026056346</v>
      </c>
      <c r="D199" s="7">
        <v>113144.40770542131</v>
      </c>
      <c r="E199" s="7">
        <v>201198.20681106654</v>
      </c>
      <c r="G199" s="27">
        <f t="shared" si="18"/>
        <v>0</v>
      </c>
      <c r="H199" s="7">
        <f t="shared" si="19"/>
        <v>0</v>
      </c>
      <c r="I199" s="7">
        <f t="shared" si="20"/>
        <v>0</v>
      </c>
      <c r="K199" s="27">
        <f t="shared" si="21"/>
        <v>0</v>
      </c>
      <c r="L199" s="7">
        <f t="shared" si="22"/>
        <v>0</v>
      </c>
      <c r="M199" s="7">
        <f t="shared" si="23"/>
        <v>0</v>
      </c>
      <c r="O199" s="27">
        <f t="shared" si="24"/>
        <v>17901907.026056372</v>
      </c>
      <c r="P199" s="7">
        <f t="shared" si="25"/>
        <v>113144.40770542149</v>
      </c>
      <c r="Q199" s="7">
        <f t="shared" si="26"/>
        <v>201198.20681106654</v>
      </c>
    </row>
    <row r="200" spans="2:17" x14ac:dyDescent="0.25">
      <c r="B200" s="3">
        <v>191</v>
      </c>
      <c r="C200" s="27">
        <v>17702356.088098936</v>
      </c>
      <c r="D200" s="7">
        <v>111886.91891285215</v>
      </c>
      <c r="E200" s="7">
        <v>199550.93795740948</v>
      </c>
      <c r="G200" s="27">
        <f t="shared" si="18"/>
        <v>0</v>
      </c>
      <c r="H200" s="7">
        <f t="shared" si="19"/>
        <v>0</v>
      </c>
      <c r="I200" s="7">
        <f t="shared" si="20"/>
        <v>0</v>
      </c>
      <c r="K200" s="27">
        <f t="shared" si="21"/>
        <v>0</v>
      </c>
      <c r="L200" s="7">
        <f t="shared" si="22"/>
        <v>0</v>
      </c>
      <c r="M200" s="7">
        <f t="shared" si="23"/>
        <v>0</v>
      </c>
      <c r="O200" s="27">
        <f t="shared" si="24"/>
        <v>17702356.088098962</v>
      </c>
      <c r="P200" s="7">
        <f t="shared" si="25"/>
        <v>111886.91891285231</v>
      </c>
      <c r="Q200" s="7">
        <f t="shared" si="26"/>
        <v>199550.93795740948</v>
      </c>
    </row>
    <row r="201" spans="2:17" x14ac:dyDescent="0.25">
      <c r="B201" s="3">
        <v>192</v>
      </c>
      <c r="C201" s="27">
        <v>17504439.435829755</v>
      </c>
      <c r="D201" s="7">
        <v>110639.72555061834</v>
      </c>
      <c r="E201" s="7">
        <v>197916.65226917912</v>
      </c>
      <c r="G201" s="27">
        <f t="shared" si="18"/>
        <v>0</v>
      </c>
      <c r="H201" s="7">
        <f t="shared" si="19"/>
        <v>0</v>
      </c>
      <c r="I201" s="7">
        <f t="shared" si="20"/>
        <v>0</v>
      </c>
      <c r="K201" s="27">
        <f t="shared" si="21"/>
        <v>0</v>
      </c>
      <c r="L201" s="7">
        <f t="shared" si="22"/>
        <v>0</v>
      </c>
      <c r="M201" s="7">
        <f t="shared" si="23"/>
        <v>0</v>
      </c>
      <c r="O201" s="27">
        <f t="shared" si="24"/>
        <v>17504439.435829781</v>
      </c>
      <c r="P201" s="7">
        <f t="shared" si="25"/>
        <v>110639.7255506185</v>
      </c>
      <c r="Q201" s="7">
        <f t="shared" si="26"/>
        <v>197916.65226917912</v>
      </c>
    </row>
    <row r="202" spans="2:17" x14ac:dyDescent="0.25">
      <c r="B202" s="3">
        <v>193</v>
      </c>
      <c r="C202" s="27">
        <v>17308144.18782746</v>
      </c>
      <c r="D202" s="7">
        <v>109402.74647393596</v>
      </c>
      <c r="E202" s="7">
        <v>196295.24800229401</v>
      </c>
      <c r="G202" s="27">
        <f t="shared" si="18"/>
        <v>0</v>
      </c>
      <c r="H202" s="7">
        <f t="shared" si="19"/>
        <v>0</v>
      </c>
      <c r="I202" s="7">
        <f t="shared" si="20"/>
        <v>0</v>
      </c>
      <c r="K202" s="27">
        <f t="shared" si="21"/>
        <v>0</v>
      </c>
      <c r="L202" s="7">
        <f t="shared" si="22"/>
        <v>0</v>
      </c>
      <c r="M202" s="7">
        <f t="shared" si="23"/>
        <v>0</v>
      </c>
      <c r="O202" s="27">
        <f t="shared" si="24"/>
        <v>17308144.187827487</v>
      </c>
      <c r="P202" s="7">
        <f t="shared" si="25"/>
        <v>109402.74647393612</v>
      </c>
      <c r="Q202" s="7">
        <f t="shared" si="26"/>
        <v>196295.24800229401</v>
      </c>
    </row>
    <row r="203" spans="2:17" x14ac:dyDescent="0.25">
      <c r="B203" s="3">
        <v>194</v>
      </c>
      <c r="C203" s="27">
        <v>17113457.563618165</v>
      </c>
      <c r="D203" s="7">
        <v>108175.90117392162</v>
      </c>
      <c r="E203" s="7">
        <v>194686.62420929738</v>
      </c>
      <c r="G203" s="27">
        <f t="shared" ref="G203:G266" si="27">G202-I203</f>
        <v>0</v>
      </c>
      <c r="H203" s="7">
        <f t="shared" ref="H203:H266" si="28">$D$3*G202</f>
        <v>0</v>
      </c>
      <c r="I203" s="7">
        <f t="shared" ref="I203:I266" si="29">IF(G202&gt;0,IF(E203 &lt; G202, E203, G202),0)</f>
        <v>0</v>
      </c>
      <c r="K203" s="27">
        <f t="shared" ref="K203:K266" si="30">K202-M203</f>
        <v>0</v>
      </c>
      <c r="L203" s="7">
        <f t="shared" ref="L203:L266" si="31">$D$3*K202</f>
        <v>0</v>
      </c>
      <c r="M203" s="7">
        <f t="shared" ref="M203:M266" si="32">IF(G203&gt;0,0,IF(E203 &lt; K202,E203-I203,K202))</f>
        <v>0</v>
      </c>
      <c r="O203" s="27">
        <f t="shared" ref="O203:O266" si="33">O202-Q203</f>
        <v>17113457.563618191</v>
      </c>
      <c r="P203" s="7">
        <f t="shared" ref="P203:P266" si="34">$D$3*O202</f>
        <v>108175.90117392178</v>
      </c>
      <c r="Q203" s="7">
        <f t="shared" ref="Q203:Q266" si="35">IF(K203&gt;0,0,E203-M203)</f>
        <v>194686.62420929738</v>
      </c>
    </row>
    <row r="204" spans="2:17" x14ac:dyDescent="0.25">
      <c r="B204" s="3">
        <v>195</v>
      </c>
      <c r="C204" s="27">
        <v>16920366.882885043</v>
      </c>
      <c r="D204" s="7">
        <v>106959.10977261352</v>
      </c>
      <c r="E204" s="7">
        <v>193090.68073312056</v>
      </c>
      <c r="G204" s="27">
        <f t="shared" si="27"/>
        <v>0</v>
      </c>
      <c r="H204" s="7">
        <f t="shared" si="28"/>
        <v>0</v>
      </c>
      <c r="I204" s="7">
        <f t="shared" si="29"/>
        <v>0</v>
      </c>
      <c r="K204" s="27">
        <f t="shared" si="30"/>
        <v>0</v>
      </c>
      <c r="L204" s="7">
        <f t="shared" si="31"/>
        <v>0</v>
      </c>
      <c r="M204" s="7">
        <f t="shared" si="32"/>
        <v>0</v>
      </c>
      <c r="O204" s="27">
        <f t="shared" si="33"/>
        <v>16920366.882885069</v>
      </c>
      <c r="P204" s="7">
        <f t="shared" si="34"/>
        <v>106959.10977261368</v>
      </c>
      <c r="Q204" s="7">
        <f t="shared" si="35"/>
        <v>193090.68073312056</v>
      </c>
    </row>
    <row r="205" spans="2:17" x14ac:dyDescent="0.25">
      <c r="B205" s="3">
        <v>196</v>
      </c>
      <c r="C205" s="27">
        <v>16728859.564684147</v>
      </c>
      <c r="D205" s="7">
        <v>105752.2930180315</v>
      </c>
      <c r="E205" s="7">
        <v>191507.31820089545</v>
      </c>
      <c r="G205" s="27">
        <f t="shared" si="27"/>
        <v>0</v>
      </c>
      <c r="H205" s="7">
        <f t="shared" si="28"/>
        <v>0</v>
      </c>
      <c r="I205" s="7">
        <f t="shared" si="29"/>
        <v>0</v>
      </c>
      <c r="K205" s="27">
        <f t="shared" si="30"/>
        <v>0</v>
      </c>
      <c r="L205" s="7">
        <f t="shared" si="31"/>
        <v>0</v>
      </c>
      <c r="M205" s="7">
        <f t="shared" si="32"/>
        <v>0</v>
      </c>
      <c r="O205" s="27">
        <f t="shared" si="33"/>
        <v>16728859.564684173</v>
      </c>
      <c r="P205" s="7">
        <f t="shared" si="34"/>
        <v>105752.29301803168</v>
      </c>
      <c r="Q205" s="7">
        <f t="shared" si="35"/>
        <v>191507.31820089545</v>
      </c>
    </row>
    <row r="206" spans="2:17" x14ac:dyDescent="0.25">
      <c r="B206" s="3">
        <v>197</v>
      </c>
      <c r="C206" s="27">
        <v>16538923.126666332</v>
      </c>
      <c r="D206" s="7">
        <v>104555.37227927591</v>
      </c>
      <c r="E206" s="7">
        <v>189936.43801781506</v>
      </c>
      <c r="G206" s="27">
        <f t="shared" si="27"/>
        <v>0</v>
      </c>
      <c r="H206" s="7">
        <f t="shared" si="28"/>
        <v>0</v>
      </c>
      <c r="I206" s="7">
        <f t="shared" si="29"/>
        <v>0</v>
      </c>
      <c r="K206" s="27">
        <f t="shared" si="30"/>
        <v>0</v>
      </c>
      <c r="L206" s="7">
        <f t="shared" si="31"/>
        <v>0</v>
      </c>
      <c r="M206" s="7">
        <f t="shared" si="32"/>
        <v>0</v>
      </c>
      <c r="O206" s="27">
        <f t="shared" si="33"/>
        <v>16538923.126666358</v>
      </c>
      <c r="P206" s="7">
        <f t="shared" si="34"/>
        <v>104555.37227927607</v>
      </c>
      <c r="Q206" s="7">
        <f t="shared" si="35"/>
        <v>189936.43801781506</v>
      </c>
    </row>
    <row r="207" spans="2:17" x14ac:dyDescent="0.25">
      <c r="B207" s="3">
        <v>198</v>
      </c>
      <c r="C207" s="27">
        <v>16350545.18430529</v>
      </c>
      <c r="D207" s="7">
        <v>103368.26954166456</v>
      </c>
      <c r="E207" s="7">
        <v>188377.94236104275</v>
      </c>
      <c r="G207" s="27">
        <f t="shared" si="27"/>
        <v>0</v>
      </c>
      <c r="H207" s="7">
        <f t="shared" si="28"/>
        <v>0</v>
      </c>
      <c r="I207" s="7">
        <f t="shared" si="29"/>
        <v>0</v>
      </c>
      <c r="K207" s="27">
        <f t="shared" si="30"/>
        <v>0</v>
      </c>
      <c r="L207" s="7">
        <f t="shared" si="31"/>
        <v>0</v>
      </c>
      <c r="M207" s="7">
        <f t="shared" si="32"/>
        <v>0</v>
      </c>
      <c r="O207" s="27">
        <f t="shared" si="33"/>
        <v>16350545.184305316</v>
      </c>
      <c r="P207" s="7">
        <f t="shared" si="34"/>
        <v>103368.26954166473</v>
      </c>
      <c r="Q207" s="7">
        <f t="shared" si="35"/>
        <v>188377.94236104275</v>
      </c>
    </row>
    <row r="208" spans="2:17" x14ac:dyDescent="0.25">
      <c r="B208" s="3">
        <v>199</v>
      </c>
      <c r="C208" s="27">
        <v>16163713.450131621</v>
      </c>
      <c r="D208" s="7">
        <v>102190.90740190806</v>
      </c>
      <c r="E208" s="7">
        <v>186831.73417366837</v>
      </c>
      <c r="G208" s="27">
        <f t="shared" si="27"/>
        <v>0</v>
      </c>
      <c r="H208" s="7">
        <f t="shared" si="28"/>
        <v>0</v>
      </c>
      <c r="I208" s="7">
        <f t="shared" si="29"/>
        <v>0</v>
      </c>
      <c r="K208" s="27">
        <f t="shared" si="30"/>
        <v>0</v>
      </c>
      <c r="L208" s="7">
        <f t="shared" si="31"/>
        <v>0</v>
      </c>
      <c r="M208" s="7">
        <f t="shared" si="32"/>
        <v>0</v>
      </c>
      <c r="O208" s="27">
        <f t="shared" si="33"/>
        <v>16163713.450131647</v>
      </c>
      <c r="P208" s="7">
        <f t="shared" si="34"/>
        <v>102190.90740190822</v>
      </c>
      <c r="Q208" s="7">
        <f t="shared" si="35"/>
        <v>186831.73417366837</v>
      </c>
    </row>
    <row r="209" spans="2:17" x14ac:dyDescent="0.25">
      <c r="B209" s="3">
        <v>200</v>
      </c>
      <c r="C209" s="27">
        <v>15978415.732972909</v>
      </c>
      <c r="D209" s="7">
        <v>101023.20906332262</v>
      </c>
      <c r="E209" s="7">
        <v>185297.71715871245</v>
      </c>
      <c r="G209" s="27">
        <f t="shared" si="27"/>
        <v>0</v>
      </c>
      <c r="H209" s="7">
        <f t="shared" si="28"/>
        <v>0</v>
      </c>
      <c r="I209" s="7">
        <f t="shared" si="29"/>
        <v>0</v>
      </c>
      <c r="K209" s="27">
        <f t="shared" si="30"/>
        <v>0</v>
      </c>
      <c r="L209" s="7">
        <f t="shared" si="31"/>
        <v>0</v>
      </c>
      <c r="M209" s="7">
        <f t="shared" si="32"/>
        <v>0</v>
      </c>
      <c r="O209" s="27">
        <f t="shared" si="33"/>
        <v>15978415.732972935</v>
      </c>
      <c r="P209" s="7">
        <f t="shared" si="34"/>
        <v>101023.20906332279</v>
      </c>
      <c r="Q209" s="7">
        <f t="shared" si="35"/>
        <v>185297.71715871245</v>
      </c>
    </row>
    <row r="210" spans="2:17" x14ac:dyDescent="0.25">
      <c r="B210" s="3">
        <v>201</v>
      </c>
      <c r="C210" s="27">
        <v>15794639.937199732</v>
      </c>
      <c r="D210" s="7">
        <v>99865.098331080677</v>
      </c>
      <c r="E210" s="7">
        <v>183775.79577317671</v>
      </c>
      <c r="G210" s="27">
        <f t="shared" si="27"/>
        <v>0</v>
      </c>
      <c r="H210" s="7">
        <f t="shared" si="28"/>
        <v>0</v>
      </c>
      <c r="I210" s="7">
        <f t="shared" si="29"/>
        <v>0</v>
      </c>
      <c r="K210" s="27">
        <f t="shared" si="30"/>
        <v>0</v>
      </c>
      <c r="L210" s="7">
        <f t="shared" si="31"/>
        <v>0</v>
      </c>
      <c r="M210" s="7">
        <f t="shared" si="32"/>
        <v>0</v>
      </c>
      <c r="O210" s="27">
        <f t="shared" si="33"/>
        <v>15794639.937199758</v>
      </c>
      <c r="P210" s="7">
        <f t="shared" si="34"/>
        <v>99865.098331080837</v>
      </c>
      <c r="Q210" s="7">
        <f t="shared" si="35"/>
        <v>183775.79577317671</v>
      </c>
    </row>
    <row r="211" spans="2:17" x14ac:dyDescent="0.25">
      <c r="B211" s="3">
        <v>202</v>
      </c>
      <c r="C211" s="27">
        <v>15612374.061977591</v>
      </c>
      <c r="D211" s="7">
        <v>98716.499607498321</v>
      </c>
      <c r="E211" s="7">
        <v>182265.87522214156</v>
      </c>
      <c r="G211" s="27">
        <f t="shared" si="27"/>
        <v>0</v>
      </c>
      <c r="H211" s="7">
        <f t="shared" si="28"/>
        <v>0</v>
      </c>
      <c r="I211" s="7">
        <f t="shared" si="29"/>
        <v>0</v>
      </c>
      <c r="K211" s="27">
        <f t="shared" si="30"/>
        <v>0</v>
      </c>
      <c r="L211" s="7">
        <f t="shared" si="31"/>
        <v>0</v>
      </c>
      <c r="M211" s="7">
        <f t="shared" si="32"/>
        <v>0</v>
      </c>
      <c r="O211" s="27">
        <f t="shared" si="33"/>
        <v>15612374.061977617</v>
      </c>
      <c r="P211" s="7">
        <f t="shared" si="34"/>
        <v>98716.499607498481</v>
      </c>
      <c r="Q211" s="7">
        <f t="shared" si="35"/>
        <v>182265.87522214156</v>
      </c>
    </row>
    <row r="212" spans="2:17" x14ac:dyDescent="0.25">
      <c r="B212" s="3">
        <v>203</v>
      </c>
      <c r="C212" s="27">
        <v>15431606.200524682</v>
      </c>
      <c r="D212" s="7">
        <v>97577.337887359943</v>
      </c>
      <c r="E212" s="7">
        <v>180767.86145290971</v>
      </c>
      <c r="G212" s="27">
        <f t="shared" si="27"/>
        <v>0</v>
      </c>
      <c r="H212" s="7">
        <f t="shared" si="28"/>
        <v>0</v>
      </c>
      <c r="I212" s="7">
        <f t="shared" si="29"/>
        <v>0</v>
      </c>
      <c r="K212" s="27">
        <f t="shared" si="30"/>
        <v>0</v>
      </c>
      <c r="L212" s="7">
        <f t="shared" si="31"/>
        <v>0</v>
      </c>
      <c r="M212" s="7">
        <f t="shared" si="32"/>
        <v>0</v>
      </c>
      <c r="O212" s="27">
        <f t="shared" si="33"/>
        <v>15431606.200524708</v>
      </c>
      <c r="P212" s="7">
        <f t="shared" si="34"/>
        <v>97577.337887360103</v>
      </c>
      <c r="Q212" s="7">
        <f t="shared" si="35"/>
        <v>180767.86145290971</v>
      </c>
    </row>
    <row r="213" spans="2:17" x14ac:dyDescent="0.25">
      <c r="B213" s="3">
        <v>204</v>
      </c>
      <c r="C213" s="27">
        <v>15252324.539375486</v>
      </c>
      <c r="D213" s="7">
        <v>96447.538753279252</v>
      </c>
      <c r="E213" s="7">
        <v>179281.66114919551</v>
      </c>
      <c r="G213" s="27">
        <f t="shared" si="27"/>
        <v>0</v>
      </c>
      <c r="H213" s="7">
        <f t="shared" si="28"/>
        <v>0</v>
      </c>
      <c r="I213" s="7">
        <f t="shared" si="29"/>
        <v>0</v>
      </c>
      <c r="K213" s="27">
        <f t="shared" si="30"/>
        <v>0</v>
      </c>
      <c r="L213" s="7">
        <f t="shared" si="31"/>
        <v>0</v>
      </c>
      <c r="M213" s="7">
        <f t="shared" si="32"/>
        <v>0</v>
      </c>
      <c r="O213" s="27">
        <f t="shared" si="33"/>
        <v>15252324.539375512</v>
      </c>
      <c r="P213" s="7">
        <f t="shared" si="34"/>
        <v>96447.538753279412</v>
      </c>
      <c r="Q213" s="7">
        <f t="shared" si="35"/>
        <v>179281.66114919551</v>
      </c>
    </row>
    <row r="214" spans="2:17" x14ac:dyDescent="0.25">
      <c r="B214" s="3">
        <v>205</v>
      </c>
      <c r="C214" s="27">
        <v>15074517.357650125</v>
      </c>
      <c r="D214" s="7">
        <v>95327.028371096778</v>
      </c>
      <c r="E214" s="7">
        <v>177807.18172535978</v>
      </c>
      <c r="G214" s="27">
        <f t="shared" si="27"/>
        <v>0</v>
      </c>
      <c r="H214" s="7">
        <f t="shared" si="28"/>
        <v>0</v>
      </c>
      <c r="I214" s="7">
        <f t="shared" si="29"/>
        <v>0</v>
      </c>
      <c r="K214" s="27">
        <f t="shared" si="30"/>
        <v>0</v>
      </c>
      <c r="L214" s="7">
        <f t="shared" si="31"/>
        <v>0</v>
      </c>
      <c r="M214" s="7">
        <f t="shared" si="32"/>
        <v>0</v>
      </c>
      <c r="O214" s="27">
        <f t="shared" si="33"/>
        <v>15074517.357650151</v>
      </c>
      <c r="P214" s="7">
        <f t="shared" si="34"/>
        <v>95327.028371096938</v>
      </c>
      <c r="Q214" s="7">
        <f t="shared" si="35"/>
        <v>177807.18172535978</v>
      </c>
    </row>
    <row r="215" spans="2:17" x14ac:dyDescent="0.25">
      <c r="B215" s="3">
        <v>206</v>
      </c>
      <c r="C215" s="27">
        <v>14898173.026329435</v>
      </c>
      <c r="D215" s="7">
        <v>94215.733485313278</v>
      </c>
      <c r="E215" s="7">
        <v>176344.33132069008</v>
      </c>
      <c r="G215" s="27">
        <f t="shared" si="27"/>
        <v>0</v>
      </c>
      <c r="H215" s="7">
        <f t="shared" si="28"/>
        <v>0</v>
      </c>
      <c r="I215" s="7">
        <f t="shared" si="29"/>
        <v>0</v>
      </c>
      <c r="K215" s="27">
        <f t="shared" si="30"/>
        <v>0</v>
      </c>
      <c r="L215" s="7">
        <f t="shared" si="31"/>
        <v>0</v>
      </c>
      <c r="M215" s="7">
        <f t="shared" si="32"/>
        <v>0</v>
      </c>
      <c r="O215" s="27">
        <f t="shared" si="33"/>
        <v>14898173.026329461</v>
      </c>
      <c r="P215" s="7">
        <f t="shared" si="34"/>
        <v>94215.733485313438</v>
      </c>
      <c r="Q215" s="7">
        <f t="shared" si="35"/>
        <v>176344.33132069008</v>
      </c>
    </row>
    <row r="216" spans="2:17" x14ac:dyDescent="0.25">
      <c r="B216" s="3">
        <v>207</v>
      </c>
      <c r="C216" s="27">
        <v>14723280.007535711</v>
      </c>
      <c r="D216" s="7">
        <v>93113.581414558968</v>
      </c>
      <c r="E216" s="7">
        <v>174893.01879372532</v>
      </c>
      <c r="G216" s="27">
        <f t="shared" si="27"/>
        <v>0</v>
      </c>
      <c r="H216" s="7">
        <f t="shared" si="28"/>
        <v>0</v>
      </c>
      <c r="I216" s="7">
        <f t="shared" si="29"/>
        <v>0</v>
      </c>
      <c r="K216" s="27">
        <f t="shared" si="30"/>
        <v>0</v>
      </c>
      <c r="L216" s="7">
        <f t="shared" si="31"/>
        <v>0</v>
      </c>
      <c r="M216" s="7">
        <f t="shared" si="32"/>
        <v>0</v>
      </c>
      <c r="O216" s="27">
        <f t="shared" si="33"/>
        <v>14723280.007535737</v>
      </c>
      <c r="P216" s="7">
        <f t="shared" si="34"/>
        <v>93113.581414559128</v>
      </c>
      <c r="Q216" s="7">
        <f t="shared" si="35"/>
        <v>174893.01879372532</v>
      </c>
    </row>
    <row r="217" spans="2:17" x14ac:dyDescent="0.25">
      <c r="B217" s="3">
        <v>208</v>
      </c>
      <c r="C217" s="27">
        <v>14549826.853819085</v>
      </c>
      <c r="D217" s="7">
        <v>92020.50004709819</v>
      </c>
      <c r="E217" s="7">
        <v>173453.15371662503</v>
      </c>
      <c r="G217" s="27">
        <f t="shared" si="27"/>
        <v>0</v>
      </c>
      <c r="H217" s="7">
        <f t="shared" si="28"/>
        <v>0</v>
      </c>
      <c r="I217" s="7">
        <f t="shared" si="29"/>
        <v>0</v>
      </c>
      <c r="K217" s="27">
        <f t="shared" si="30"/>
        <v>0</v>
      </c>
      <c r="L217" s="7">
        <f t="shared" si="31"/>
        <v>0</v>
      </c>
      <c r="M217" s="7">
        <f t="shared" si="32"/>
        <v>0</v>
      </c>
      <c r="O217" s="27">
        <f t="shared" si="33"/>
        <v>14549826.853819111</v>
      </c>
      <c r="P217" s="7">
        <f t="shared" si="34"/>
        <v>92020.50004709835</v>
      </c>
      <c r="Q217" s="7">
        <f t="shared" si="35"/>
        <v>173453.15371662503</v>
      </c>
    </row>
    <row r="218" spans="2:17" x14ac:dyDescent="0.25">
      <c r="B218" s="3">
        <v>209</v>
      </c>
      <c r="C218" s="27">
        <v>14377802.207449503</v>
      </c>
      <c r="D218" s="7">
        <v>90936.417836369277</v>
      </c>
      <c r="E218" s="7">
        <v>172024.64636958286</v>
      </c>
      <c r="G218" s="27">
        <f t="shared" si="27"/>
        <v>0</v>
      </c>
      <c r="H218" s="7">
        <f t="shared" si="28"/>
        <v>0</v>
      </c>
      <c r="I218" s="7">
        <f t="shared" si="29"/>
        <v>0</v>
      </c>
      <c r="K218" s="27">
        <f t="shared" si="30"/>
        <v>0</v>
      </c>
      <c r="L218" s="7">
        <f t="shared" si="31"/>
        <v>0</v>
      </c>
      <c r="M218" s="7">
        <f t="shared" si="32"/>
        <v>0</v>
      </c>
      <c r="O218" s="27">
        <f t="shared" si="33"/>
        <v>14377802.207449529</v>
      </c>
      <c r="P218" s="7">
        <f t="shared" si="34"/>
        <v>90936.417836369437</v>
      </c>
      <c r="Q218" s="7">
        <f t="shared" si="35"/>
        <v>172024.64636958286</v>
      </c>
    </row>
    <row r="219" spans="2:17" x14ac:dyDescent="0.25">
      <c r="B219" s="3">
        <v>210</v>
      </c>
      <c r="C219" s="27">
        <v>14207194.799714221</v>
      </c>
      <c r="D219" s="7">
        <v>89861.263796559389</v>
      </c>
      <c r="E219" s="7">
        <v>170607.40773528334</v>
      </c>
      <c r="G219" s="27">
        <f t="shared" si="27"/>
        <v>0</v>
      </c>
      <c r="H219" s="7">
        <f t="shared" si="28"/>
        <v>0</v>
      </c>
      <c r="I219" s="7">
        <f t="shared" si="29"/>
        <v>0</v>
      </c>
      <c r="K219" s="27">
        <f t="shared" si="30"/>
        <v>0</v>
      </c>
      <c r="L219" s="7">
        <f t="shared" si="31"/>
        <v>0</v>
      </c>
      <c r="M219" s="7">
        <f t="shared" si="32"/>
        <v>0</v>
      </c>
      <c r="O219" s="27">
        <f t="shared" si="33"/>
        <v>14207194.799714247</v>
      </c>
      <c r="P219" s="7">
        <f t="shared" si="34"/>
        <v>89861.26379655955</v>
      </c>
      <c r="Q219" s="7">
        <f t="shared" si="35"/>
        <v>170607.40773528334</v>
      </c>
    </row>
    <row r="220" spans="2:17" x14ac:dyDescent="0.25">
      <c r="B220" s="3">
        <v>211</v>
      </c>
      <c r="C220" s="27">
        <v>14037993.450220818</v>
      </c>
      <c r="D220" s="7">
        <v>88794.967498213868</v>
      </c>
      <c r="E220" s="7">
        <v>169201.34949340258</v>
      </c>
      <c r="G220" s="27">
        <f t="shared" si="27"/>
        <v>0</v>
      </c>
      <c r="H220" s="7">
        <f t="shared" si="28"/>
        <v>0</v>
      </c>
      <c r="I220" s="7">
        <f t="shared" si="29"/>
        <v>0</v>
      </c>
      <c r="K220" s="27">
        <f t="shared" si="30"/>
        <v>0</v>
      </c>
      <c r="L220" s="7">
        <f t="shared" si="31"/>
        <v>0</v>
      </c>
      <c r="M220" s="7">
        <f t="shared" si="32"/>
        <v>0</v>
      </c>
      <c r="O220" s="27">
        <f t="shared" si="33"/>
        <v>14037993.450220844</v>
      </c>
      <c r="P220" s="7">
        <f t="shared" si="34"/>
        <v>88794.967498214028</v>
      </c>
      <c r="Q220" s="7">
        <f t="shared" si="35"/>
        <v>169201.34949340258</v>
      </c>
    </row>
    <row r="221" spans="2:17" x14ac:dyDescent="0.25">
      <c r="B221" s="3">
        <v>212</v>
      </c>
      <c r="C221" s="27">
        <v>13870187.066205665</v>
      </c>
      <c r="D221" s="7">
        <v>87737.459063880102</v>
      </c>
      <c r="E221" s="7">
        <v>167806.38401515162</v>
      </c>
      <c r="G221" s="27">
        <f t="shared" si="27"/>
        <v>0</v>
      </c>
      <c r="H221" s="7">
        <f t="shared" si="28"/>
        <v>0</v>
      </c>
      <c r="I221" s="7">
        <f t="shared" si="29"/>
        <v>0</v>
      </c>
      <c r="K221" s="27">
        <f t="shared" si="30"/>
        <v>0</v>
      </c>
      <c r="L221" s="7">
        <f t="shared" si="31"/>
        <v>0</v>
      </c>
      <c r="M221" s="7">
        <f t="shared" si="32"/>
        <v>0</v>
      </c>
      <c r="O221" s="27">
        <f t="shared" si="33"/>
        <v>13870187.066205692</v>
      </c>
      <c r="P221" s="7">
        <f t="shared" si="34"/>
        <v>87737.459063880262</v>
      </c>
      <c r="Q221" s="7">
        <f t="shared" si="35"/>
        <v>167806.38401515162</v>
      </c>
    </row>
    <row r="222" spans="2:17" x14ac:dyDescent="0.25">
      <c r="B222" s="3">
        <v>213</v>
      </c>
      <c r="C222" s="27">
        <v>13703764.641847802</v>
      </c>
      <c r="D222" s="7">
        <v>86688.669163785409</v>
      </c>
      <c r="E222" s="7">
        <v>166422.42435786282</v>
      </c>
      <c r="G222" s="27">
        <f t="shared" si="27"/>
        <v>0</v>
      </c>
      <c r="H222" s="7">
        <f t="shared" si="28"/>
        <v>0</v>
      </c>
      <c r="I222" s="7">
        <f t="shared" si="29"/>
        <v>0</v>
      </c>
      <c r="K222" s="27">
        <f t="shared" si="30"/>
        <v>0</v>
      </c>
      <c r="L222" s="7">
        <f t="shared" si="31"/>
        <v>0</v>
      </c>
      <c r="M222" s="7">
        <f t="shared" si="32"/>
        <v>0</v>
      </c>
      <c r="O222" s="27">
        <f t="shared" si="33"/>
        <v>13703764.641847828</v>
      </c>
      <c r="P222" s="7">
        <f t="shared" si="34"/>
        <v>86688.669163785569</v>
      </c>
      <c r="Q222" s="7">
        <f t="shared" si="35"/>
        <v>166422.42435786282</v>
      </c>
    </row>
    <row r="223" spans="2:17" x14ac:dyDescent="0.25">
      <c r="B223" s="3">
        <v>214</v>
      </c>
      <c r="C223" s="27">
        <v>13538715.257588184</v>
      </c>
      <c r="D223" s="7">
        <v>85648.529011548759</v>
      </c>
      <c r="E223" s="7">
        <v>165049.38425961829</v>
      </c>
      <c r="G223" s="27">
        <f t="shared" si="27"/>
        <v>0</v>
      </c>
      <c r="H223" s="7">
        <f t="shared" si="28"/>
        <v>0</v>
      </c>
      <c r="I223" s="7">
        <f t="shared" si="29"/>
        <v>0</v>
      </c>
      <c r="K223" s="27">
        <f t="shared" si="30"/>
        <v>0</v>
      </c>
      <c r="L223" s="7">
        <f t="shared" si="31"/>
        <v>0</v>
      </c>
      <c r="M223" s="7">
        <f t="shared" si="32"/>
        <v>0</v>
      </c>
      <c r="O223" s="27">
        <f t="shared" si="33"/>
        <v>13538715.25758821</v>
      </c>
      <c r="P223" s="7">
        <f t="shared" si="34"/>
        <v>85648.529011548919</v>
      </c>
      <c r="Q223" s="7">
        <f t="shared" si="35"/>
        <v>165049.38425961829</v>
      </c>
    </row>
    <row r="224" spans="2:17" x14ac:dyDescent="0.25">
      <c r="B224" s="3">
        <v>215</v>
      </c>
      <c r="C224" s="27">
        <v>13375028.079454264</v>
      </c>
      <c r="D224" s="7">
        <v>84616.970359926141</v>
      </c>
      <c r="E224" s="7">
        <v>163687.17813392062</v>
      </c>
      <c r="G224" s="27">
        <f t="shared" si="27"/>
        <v>0</v>
      </c>
      <c r="H224" s="7">
        <f t="shared" si="28"/>
        <v>0</v>
      </c>
      <c r="I224" s="7">
        <f t="shared" si="29"/>
        <v>0</v>
      </c>
      <c r="K224" s="27">
        <f t="shared" si="30"/>
        <v>0</v>
      </c>
      <c r="L224" s="7">
        <f t="shared" si="31"/>
        <v>0</v>
      </c>
      <c r="M224" s="7">
        <f t="shared" si="32"/>
        <v>0</v>
      </c>
      <c r="O224" s="27">
        <f t="shared" si="33"/>
        <v>13375028.07945429</v>
      </c>
      <c r="P224" s="7">
        <f t="shared" si="34"/>
        <v>84616.970359926301</v>
      </c>
      <c r="Q224" s="7">
        <f t="shared" si="35"/>
        <v>163687.17813392062</v>
      </c>
    </row>
    <row r="225" spans="2:17" x14ac:dyDescent="0.25">
      <c r="B225" s="3">
        <v>216</v>
      </c>
      <c r="C225" s="27">
        <v>13212692.358389858</v>
      </c>
      <c r="D225" s="7">
        <v>83593.925496589145</v>
      </c>
      <c r="E225" s="7">
        <v>162335.72106440528</v>
      </c>
      <c r="G225" s="27">
        <f t="shared" si="27"/>
        <v>0</v>
      </c>
      <c r="H225" s="7">
        <f t="shared" si="28"/>
        <v>0</v>
      </c>
      <c r="I225" s="7">
        <f t="shared" si="29"/>
        <v>0</v>
      </c>
      <c r="K225" s="27">
        <f t="shared" si="30"/>
        <v>0</v>
      </c>
      <c r="L225" s="7">
        <f t="shared" si="31"/>
        <v>0</v>
      </c>
      <c r="M225" s="7">
        <f t="shared" si="32"/>
        <v>0</v>
      </c>
      <c r="O225" s="27">
        <f t="shared" si="33"/>
        <v>13212692.358389884</v>
      </c>
      <c r="P225" s="7">
        <f t="shared" si="34"/>
        <v>83593.925496589305</v>
      </c>
      <c r="Q225" s="7">
        <f t="shared" si="35"/>
        <v>162335.72106440528</v>
      </c>
    </row>
    <row r="226" spans="2:17" x14ac:dyDescent="0.25">
      <c r="B226" s="3">
        <v>217</v>
      </c>
      <c r="C226" s="27">
        <v>13051697.429590264</v>
      </c>
      <c r="D226" s="7">
        <v>82579.327239936611</v>
      </c>
      <c r="E226" s="7">
        <v>160994.92879959423</v>
      </c>
      <c r="G226" s="27">
        <f t="shared" si="27"/>
        <v>0</v>
      </c>
      <c r="H226" s="7">
        <f t="shared" si="28"/>
        <v>0</v>
      </c>
      <c r="I226" s="7">
        <f t="shared" si="29"/>
        <v>0</v>
      </c>
      <c r="K226" s="27">
        <f t="shared" si="30"/>
        <v>0</v>
      </c>
      <c r="L226" s="7">
        <f t="shared" si="31"/>
        <v>0</v>
      </c>
      <c r="M226" s="7">
        <f t="shared" si="32"/>
        <v>0</v>
      </c>
      <c r="O226" s="27">
        <f t="shared" si="33"/>
        <v>13051697.42959029</v>
      </c>
      <c r="P226" s="7">
        <f t="shared" si="34"/>
        <v>82579.327239936771</v>
      </c>
      <c r="Q226" s="7">
        <f t="shared" si="35"/>
        <v>160994.92879959423</v>
      </c>
    </row>
    <row r="227" spans="2:17" x14ac:dyDescent="0.25">
      <c r="B227" s="3">
        <v>218</v>
      </c>
      <c r="C227" s="27">
        <v>12892032.711842574</v>
      </c>
      <c r="D227" s="7">
        <v>81573.10893493914</v>
      </c>
      <c r="E227" s="7">
        <v>159664.717747691</v>
      </c>
      <c r="G227" s="27">
        <f t="shared" si="27"/>
        <v>0</v>
      </c>
      <c r="H227" s="7">
        <f t="shared" si="28"/>
        <v>0</v>
      </c>
      <c r="I227" s="7">
        <f t="shared" si="29"/>
        <v>0</v>
      </c>
      <c r="K227" s="27">
        <f t="shared" si="30"/>
        <v>0</v>
      </c>
      <c r="L227" s="7">
        <f t="shared" si="31"/>
        <v>0</v>
      </c>
      <c r="M227" s="7">
        <f t="shared" si="32"/>
        <v>0</v>
      </c>
      <c r="O227" s="27">
        <f t="shared" si="33"/>
        <v>12892032.7118426</v>
      </c>
      <c r="P227" s="7">
        <f t="shared" si="34"/>
        <v>81573.108934939315</v>
      </c>
      <c r="Q227" s="7">
        <f t="shared" si="35"/>
        <v>159664.717747691</v>
      </c>
    </row>
    <row r="228" spans="2:17" x14ac:dyDescent="0.25">
      <c r="B228" s="3">
        <v>219</v>
      </c>
      <c r="C228" s="27">
        <v>12733687.706871158</v>
      </c>
      <c r="D228" s="7">
        <v>80575.204449016077</v>
      </c>
      <c r="E228" s="7">
        <v>158345.00497141609</v>
      </c>
      <c r="G228" s="27">
        <f t="shared" si="27"/>
        <v>0</v>
      </c>
      <c r="H228" s="7">
        <f t="shared" si="28"/>
        <v>0</v>
      </c>
      <c r="I228" s="7">
        <f t="shared" si="29"/>
        <v>0</v>
      </c>
      <c r="K228" s="27">
        <f t="shared" si="30"/>
        <v>0</v>
      </c>
      <c r="L228" s="7">
        <f t="shared" si="31"/>
        <v>0</v>
      </c>
      <c r="M228" s="7">
        <f t="shared" si="32"/>
        <v>0</v>
      </c>
      <c r="O228" s="27">
        <f t="shared" si="33"/>
        <v>12733687.706871184</v>
      </c>
      <c r="P228" s="7">
        <f t="shared" si="34"/>
        <v>80575.204449016252</v>
      </c>
      <c r="Q228" s="7">
        <f t="shared" si="35"/>
        <v>158345.00497141609</v>
      </c>
    </row>
    <row r="229" spans="2:17" x14ac:dyDescent="0.25">
      <c r="B229" s="3">
        <v>220</v>
      </c>
      <c r="C229" s="27">
        <v>12576651.998688275</v>
      </c>
      <c r="D229" s="7">
        <v>79585.548167944726</v>
      </c>
      <c r="E229" s="7">
        <v>157035.70818288304</v>
      </c>
      <c r="G229" s="27">
        <f t="shared" si="27"/>
        <v>0</v>
      </c>
      <c r="H229" s="7">
        <f t="shared" si="28"/>
        <v>0</v>
      </c>
      <c r="I229" s="7">
        <f t="shared" si="29"/>
        <v>0</v>
      </c>
      <c r="K229" s="27">
        <f t="shared" si="30"/>
        <v>0</v>
      </c>
      <c r="L229" s="7">
        <f t="shared" si="31"/>
        <v>0</v>
      </c>
      <c r="M229" s="7">
        <f t="shared" si="32"/>
        <v>0</v>
      </c>
      <c r="O229" s="27">
        <f t="shared" si="33"/>
        <v>12576651.998688301</v>
      </c>
      <c r="P229" s="7">
        <f t="shared" si="34"/>
        <v>79585.548167944886</v>
      </c>
      <c r="Q229" s="7">
        <f t="shared" si="35"/>
        <v>157035.70818288304</v>
      </c>
    </row>
    <row r="230" spans="2:17" x14ac:dyDescent="0.25">
      <c r="B230" s="3">
        <v>221</v>
      </c>
      <c r="C230" s="27">
        <v>12420915.252949761</v>
      </c>
      <c r="D230" s="7">
        <v>78604.07499180171</v>
      </c>
      <c r="E230" s="7">
        <v>155736.74573851461</v>
      </c>
      <c r="G230" s="27">
        <f t="shared" si="27"/>
        <v>0</v>
      </c>
      <c r="H230" s="7">
        <f t="shared" si="28"/>
        <v>0</v>
      </c>
      <c r="I230" s="7">
        <f t="shared" si="29"/>
        <v>0</v>
      </c>
      <c r="K230" s="27">
        <f t="shared" si="30"/>
        <v>0</v>
      </c>
      <c r="L230" s="7">
        <f t="shared" si="31"/>
        <v>0</v>
      </c>
      <c r="M230" s="7">
        <f t="shared" si="32"/>
        <v>0</v>
      </c>
      <c r="O230" s="27">
        <f t="shared" si="33"/>
        <v>12420915.252949787</v>
      </c>
      <c r="P230" s="7">
        <f t="shared" si="34"/>
        <v>78604.07499180187</v>
      </c>
      <c r="Q230" s="7">
        <f t="shared" si="35"/>
        <v>155736.74573851461</v>
      </c>
    </row>
    <row r="231" spans="2:17" x14ac:dyDescent="0.25">
      <c r="B231" s="3">
        <v>222</v>
      </c>
      <c r="C231" s="27">
        <v>12266467.216315763</v>
      </c>
      <c r="D231" s="7">
        <v>77630.720330936005</v>
      </c>
      <c r="E231" s="7">
        <v>154448.03663399856</v>
      </c>
      <c r="G231" s="27">
        <f t="shared" si="27"/>
        <v>0</v>
      </c>
      <c r="H231" s="7">
        <f t="shared" si="28"/>
        <v>0</v>
      </c>
      <c r="I231" s="7">
        <f t="shared" si="29"/>
        <v>0</v>
      </c>
      <c r="K231" s="27">
        <f t="shared" si="30"/>
        <v>0</v>
      </c>
      <c r="L231" s="7">
        <f t="shared" si="31"/>
        <v>0</v>
      </c>
      <c r="M231" s="7">
        <f t="shared" si="32"/>
        <v>0</v>
      </c>
      <c r="O231" s="27">
        <f t="shared" si="33"/>
        <v>12266467.216315789</v>
      </c>
      <c r="P231" s="7">
        <f t="shared" si="34"/>
        <v>77630.720330936165</v>
      </c>
      <c r="Q231" s="7">
        <f t="shared" si="35"/>
        <v>154448.03663399856</v>
      </c>
    </row>
    <row r="232" spans="2:17" x14ac:dyDescent="0.25">
      <c r="B232" s="3">
        <v>223</v>
      </c>
      <c r="C232" s="27">
        <v>12113297.715816479</v>
      </c>
      <c r="D232" s="7">
        <v>76665.420101973519</v>
      </c>
      <c r="E232" s="7">
        <v>153169.5004992832</v>
      </c>
      <c r="G232" s="27">
        <f t="shared" si="27"/>
        <v>0</v>
      </c>
      <c r="H232" s="7">
        <f t="shared" si="28"/>
        <v>0</v>
      </c>
      <c r="I232" s="7">
        <f t="shared" si="29"/>
        <v>0</v>
      </c>
      <c r="K232" s="27">
        <f t="shared" si="30"/>
        <v>0</v>
      </c>
      <c r="L232" s="7">
        <f t="shared" si="31"/>
        <v>0</v>
      </c>
      <c r="M232" s="7">
        <f t="shared" si="32"/>
        <v>0</v>
      </c>
      <c r="O232" s="27">
        <f t="shared" si="33"/>
        <v>12113297.715816505</v>
      </c>
      <c r="P232" s="7">
        <f t="shared" si="34"/>
        <v>76665.420101973679</v>
      </c>
      <c r="Q232" s="7">
        <f t="shared" si="35"/>
        <v>153169.5004992832</v>
      </c>
    </row>
    <row r="233" spans="2:17" x14ac:dyDescent="0.25">
      <c r="B233" s="3">
        <v>224</v>
      </c>
      <c r="C233" s="27">
        <v>11961396.658222867</v>
      </c>
      <c r="D233" s="7">
        <v>75708.110723852995</v>
      </c>
      <c r="E233" s="7">
        <v>151901.05759361191</v>
      </c>
      <c r="G233" s="27">
        <f t="shared" si="27"/>
        <v>0</v>
      </c>
      <c r="H233" s="7">
        <f t="shared" si="28"/>
        <v>0</v>
      </c>
      <c r="I233" s="7">
        <f t="shared" si="29"/>
        <v>0</v>
      </c>
      <c r="K233" s="27">
        <f t="shared" si="30"/>
        <v>0</v>
      </c>
      <c r="L233" s="7">
        <f t="shared" si="31"/>
        <v>0</v>
      </c>
      <c r="M233" s="7">
        <f t="shared" si="32"/>
        <v>0</v>
      </c>
      <c r="O233" s="27">
        <f t="shared" si="33"/>
        <v>11961396.658222893</v>
      </c>
      <c r="P233" s="7">
        <f t="shared" si="34"/>
        <v>75708.110723853155</v>
      </c>
      <c r="Q233" s="7">
        <f t="shared" si="35"/>
        <v>151901.05759361191</v>
      </c>
    </row>
    <row r="234" spans="2:17" x14ac:dyDescent="0.25">
      <c r="B234" s="3">
        <v>225</v>
      </c>
      <c r="C234" s="27">
        <v>11810754.02942227</v>
      </c>
      <c r="D234" s="7">
        <v>74758.729113892914</v>
      </c>
      <c r="E234" s="7">
        <v>150642.62880059672</v>
      </c>
      <c r="G234" s="27">
        <f t="shared" si="27"/>
        <v>0</v>
      </c>
      <c r="H234" s="7">
        <f t="shared" si="28"/>
        <v>0</v>
      </c>
      <c r="I234" s="7">
        <f t="shared" si="29"/>
        <v>0</v>
      </c>
      <c r="K234" s="27">
        <f t="shared" si="30"/>
        <v>0</v>
      </c>
      <c r="L234" s="7">
        <f t="shared" si="31"/>
        <v>0</v>
      </c>
      <c r="M234" s="7">
        <f t="shared" si="32"/>
        <v>0</v>
      </c>
      <c r="O234" s="27">
        <f t="shared" si="33"/>
        <v>11810754.029422296</v>
      </c>
      <c r="P234" s="7">
        <f t="shared" si="34"/>
        <v>74758.729113893074</v>
      </c>
      <c r="Q234" s="7">
        <f t="shared" si="35"/>
        <v>150642.62880059672</v>
      </c>
    </row>
    <row r="235" spans="2:17" x14ac:dyDescent="0.25">
      <c r="B235" s="3">
        <v>226</v>
      </c>
      <c r="C235" s="27">
        <v>11661359.89379894</v>
      </c>
      <c r="D235" s="7">
        <v>73817.212683889185</v>
      </c>
      <c r="E235" s="7">
        <v>149394.13562333013</v>
      </c>
      <c r="G235" s="27">
        <f t="shared" si="27"/>
        <v>0</v>
      </c>
      <c r="H235" s="7">
        <f t="shared" si="28"/>
        <v>0</v>
      </c>
      <c r="I235" s="7">
        <f t="shared" si="29"/>
        <v>0</v>
      </c>
      <c r="K235" s="27">
        <f t="shared" si="30"/>
        <v>0</v>
      </c>
      <c r="L235" s="7">
        <f t="shared" si="31"/>
        <v>0</v>
      </c>
      <c r="M235" s="7">
        <f t="shared" si="32"/>
        <v>0</v>
      </c>
      <c r="O235" s="27">
        <f t="shared" si="33"/>
        <v>11661359.893798966</v>
      </c>
      <c r="P235" s="7">
        <f t="shared" si="34"/>
        <v>73817.212683889345</v>
      </c>
      <c r="Q235" s="7">
        <f t="shared" si="35"/>
        <v>149394.13562333013</v>
      </c>
    </row>
    <row r="236" spans="2:17" x14ac:dyDescent="0.25">
      <c r="B236" s="3">
        <v>227</v>
      </c>
      <c r="C236" s="27">
        <v>11513204.393619405</v>
      </c>
      <c r="D236" s="7">
        <v>72883.499336243374</v>
      </c>
      <c r="E236" s="7">
        <v>148155.50017953562</v>
      </c>
      <c r="G236" s="27">
        <f t="shared" si="27"/>
        <v>0</v>
      </c>
      <c r="H236" s="7">
        <f t="shared" si="28"/>
        <v>0</v>
      </c>
      <c r="I236" s="7">
        <f t="shared" si="29"/>
        <v>0</v>
      </c>
      <c r="K236" s="27">
        <f t="shared" si="30"/>
        <v>0</v>
      </c>
      <c r="L236" s="7">
        <f t="shared" si="31"/>
        <v>0</v>
      </c>
      <c r="M236" s="7">
        <f t="shared" si="32"/>
        <v>0</v>
      </c>
      <c r="O236" s="27">
        <f t="shared" si="33"/>
        <v>11513204.393619431</v>
      </c>
      <c r="P236" s="7">
        <f t="shared" si="34"/>
        <v>72883.499336243534</v>
      </c>
      <c r="Q236" s="7">
        <f t="shared" si="35"/>
        <v>148155.50017953562</v>
      </c>
    </row>
    <row r="237" spans="2:17" x14ac:dyDescent="0.25">
      <c r="B237" s="3">
        <v>228</v>
      </c>
      <c r="C237" s="27">
        <v>11366277.748422649</v>
      </c>
      <c r="D237" s="7">
        <v>71957.527460121273</v>
      </c>
      <c r="E237" s="7">
        <v>146926.64519675574</v>
      </c>
      <c r="G237" s="27">
        <f t="shared" si="27"/>
        <v>0</v>
      </c>
      <c r="H237" s="7">
        <f t="shared" si="28"/>
        <v>0</v>
      </c>
      <c r="I237" s="7">
        <f t="shared" si="29"/>
        <v>0</v>
      </c>
      <c r="K237" s="27">
        <f t="shared" si="30"/>
        <v>0</v>
      </c>
      <c r="L237" s="7">
        <f t="shared" si="31"/>
        <v>0</v>
      </c>
      <c r="M237" s="7">
        <f t="shared" si="32"/>
        <v>0</v>
      </c>
      <c r="O237" s="27">
        <f t="shared" si="33"/>
        <v>11366277.748422675</v>
      </c>
      <c r="P237" s="7">
        <f t="shared" si="34"/>
        <v>71957.527460121433</v>
      </c>
      <c r="Q237" s="7">
        <f t="shared" si="35"/>
        <v>146926.64519675574</v>
      </c>
    </row>
    <row r="238" spans="2:17" x14ac:dyDescent="0.25">
      <c r="B238" s="3">
        <v>229</v>
      </c>
      <c r="C238" s="27">
        <v>11220570.254415071</v>
      </c>
      <c r="D238" s="7">
        <v>71039.235927641552</v>
      </c>
      <c r="E238" s="7">
        <v>145707.49400757806</v>
      </c>
      <c r="G238" s="27">
        <f t="shared" si="27"/>
        <v>0</v>
      </c>
      <c r="H238" s="7">
        <f t="shared" si="28"/>
        <v>0</v>
      </c>
      <c r="I238" s="7">
        <f t="shared" si="29"/>
        <v>0</v>
      </c>
      <c r="K238" s="27">
        <f t="shared" si="30"/>
        <v>0</v>
      </c>
      <c r="L238" s="7">
        <f t="shared" si="31"/>
        <v>0</v>
      </c>
      <c r="M238" s="7">
        <f t="shared" si="32"/>
        <v>0</v>
      </c>
      <c r="O238" s="27">
        <f t="shared" si="33"/>
        <v>11220570.254415097</v>
      </c>
      <c r="P238" s="7">
        <f t="shared" si="34"/>
        <v>71039.235927641712</v>
      </c>
      <c r="Q238" s="7">
        <f t="shared" si="35"/>
        <v>145707.49400757806</v>
      </c>
    </row>
    <row r="239" spans="2:17" x14ac:dyDescent="0.25">
      <c r="B239" s="3">
        <v>230</v>
      </c>
      <c r="C239" s="27">
        <v>11076072.283870172</v>
      </c>
      <c r="D239" s="7">
        <v>70128.56409009418</v>
      </c>
      <c r="E239" s="7">
        <v>144497.97054489871</v>
      </c>
      <c r="G239" s="27">
        <f t="shared" si="27"/>
        <v>0</v>
      </c>
      <c r="H239" s="7">
        <f t="shared" si="28"/>
        <v>0</v>
      </c>
      <c r="I239" s="7">
        <f t="shared" si="29"/>
        <v>0</v>
      </c>
      <c r="K239" s="27">
        <f t="shared" si="30"/>
        <v>0</v>
      </c>
      <c r="L239" s="7">
        <f t="shared" si="31"/>
        <v>0</v>
      </c>
      <c r="M239" s="7">
        <f t="shared" si="32"/>
        <v>0</v>
      </c>
      <c r="O239" s="27">
        <f t="shared" si="33"/>
        <v>11076072.283870198</v>
      </c>
      <c r="P239" s="7">
        <f t="shared" si="34"/>
        <v>70128.564090094354</v>
      </c>
      <c r="Q239" s="7">
        <f t="shared" si="35"/>
        <v>144497.97054489871</v>
      </c>
    </row>
    <row r="240" spans="2:17" x14ac:dyDescent="0.25">
      <c r="B240" s="3">
        <v>231</v>
      </c>
      <c r="C240" s="27">
        <v>10932774.284532949</v>
      </c>
      <c r="D240" s="7">
        <v>69225.451774188565</v>
      </c>
      <c r="E240" s="7">
        <v>143297.9993372224</v>
      </c>
      <c r="G240" s="27">
        <f t="shared" si="27"/>
        <v>0</v>
      </c>
      <c r="H240" s="7">
        <f t="shared" si="28"/>
        <v>0</v>
      </c>
      <c r="I240" s="7">
        <f t="shared" si="29"/>
        <v>0</v>
      </c>
      <c r="K240" s="27">
        <f t="shared" si="30"/>
        <v>0</v>
      </c>
      <c r="L240" s="7">
        <f t="shared" si="31"/>
        <v>0</v>
      </c>
      <c r="M240" s="7">
        <f t="shared" si="32"/>
        <v>0</v>
      </c>
      <c r="O240" s="27">
        <f t="shared" si="33"/>
        <v>10932774.284532975</v>
      </c>
      <c r="P240" s="7">
        <f t="shared" si="34"/>
        <v>69225.451774188725</v>
      </c>
      <c r="Q240" s="7">
        <f t="shared" si="35"/>
        <v>143297.9993372224</v>
      </c>
    </row>
    <row r="241" spans="2:17" x14ac:dyDescent="0.25">
      <c r="B241" s="3">
        <v>232</v>
      </c>
      <c r="C241" s="27">
        <v>10790666.77902895</v>
      </c>
      <c r="D241" s="7">
        <v>68329.839278330925</v>
      </c>
      <c r="E241" s="7">
        <v>142107.50550399986</v>
      </c>
      <c r="G241" s="27">
        <f t="shared" si="27"/>
        <v>0</v>
      </c>
      <c r="H241" s="7">
        <f t="shared" si="28"/>
        <v>0</v>
      </c>
      <c r="I241" s="7">
        <f t="shared" si="29"/>
        <v>0</v>
      </c>
      <c r="K241" s="27">
        <f t="shared" si="30"/>
        <v>0</v>
      </c>
      <c r="L241" s="7">
        <f t="shared" si="31"/>
        <v>0</v>
      </c>
      <c r="M241" s="7">
        <f t="shared" si="32"/>
        <v>0</v>
      </c>
      <c r="O241" s="27">
        <f t="shared" si="33"/>
        <v>10790666.779028976</v>
      </c>
      <c r="P241" s="7">
        <f t="shared" si="34"/>
        <v>68329.839278331085</v>
      </c>
      <c r="Q241" s="7">
        <f t="shared" si="35"/>
        <v>142107.50550399986</v>
      </c>
    </row>
    <row r="242" spans="2:17" x14ac:dyDescent="0.25">
      <c r="B242" s="3">
        <v>233</v>
      </c>
      <c r="C242" s="27">
        <v>10649740.36427795</v>
      </c>
      <c r="D242" s="7">
        <v>67441.667368930939</v>
      </c>
      <c r="E242" s="7">
        <v>140926.4147510014</v>
      </c>
      <c r="G242" s="27">
        <f t="shared" si="27"/>
        <v>0</v>
      </c>
      <c r="H242" s="7">
        <f t="shared" si="28"/>
        <v>0</v>
      </c>
      <c r="I242" s="7">
        <f t="shared" si="29"/>
        <v>0</v>
      </c>
      <c r="K242" s="27">
        <f t="shared" si="30"/>
        <v>0</v>
      </c>
      <c r="L242" s="7">
        <f t="shared" si="31"/>
        <v>0</v>
      </c>
      <c r="M242" s="7">
        <f t="shared" si="32"/>
        <v>0</v>
      </c>
      <c r="O242" s="27">
        <f t="shared" si="33"/>
        <v>10649740.364277976</v>
      </c>
      <c r="P242" s="7">
        <f t="shared" si="34"/>
        <v>67441.667368931099</v>
      </c>
      <c r="Q242" s="7">
        <f t="shared" si="35"/>
        <v>140926.4147510014</v>
      </c>
    </row>
    <row r="243" spans="2:17" x14ac:dyDescent="0.25">
      <c r="B243" s="3">
        <v>234</v>
      </c>
      <c r="C243" s="27">
        <v>10509985.710912222</v>
      </c>
      <c r="D243" s="7">
        <v>66560.877276737185</v>
      </c>
      <c r="E243" s="7">
        <v>139754.65336572679</v>
      </c>
      <c r="G243" s="27">
        <f t="shared" si="27"/>
        <v>0</v>
      </c>
      <c r="H243" s="7">
        <f t="shared" si="28"/>
        <v>0</v>
      </c>
      <c r="I243" s="7">
        <f t="shared" si="29"/>
        <v>0</v>
      </c>
      <c r="K243" s="27">
        <f t="shared" si="30"/>
        <v>0</v>
      </c>
      <c r="L243" s="7">
        <f t="shared" si="31"/>
        <v>0</v>
      </c>
      <c r="M243" s="7">
        <f t="shared" si="32"/>
        <v>0</v>
      </c>
      <c r="O243" s="27">
        <f t="shared" si="33"/>
        <v>10509985.710912248</v>
      </c>
      <c r="P243" s="7">
        <f t="shared" si="34"/>
        <v>66560.877276737345</v>
      </c>
      <c r="Q243" s="7">
        <f t="shared" si="35"/>
        <v>139754.65336572679</v>
      </c>
    </row>
    <row r="244" spans="2:17" x14ac:dyDescent="0.25">
      <c r="B244" s="3">
        <v>235</v>
      </c>
      <c r="C244" s="27">
        <v>10371393.56269937</v>
      </c>
      <c r="D244" s="7">
        <v>65687.410693201382</v>
      </c>
      <c r="E244" s="7">
        <v>138592.14821285126</v>
      </c>
      <c r="G244" s="27">
        <f t="shared" si="27"/>
        <v>0</v>
      </c>
      <c r="H244" s="7">
        <f t="shared" si="28"/>
        <v>0</v>
      </c>
      <c r="I244" s="7">
        <f t="shared" si="29"/>
        <v>0</v>
      </c>
      <c r="K244" s="27">
        <f t="shared" si="30"/>
        <v>0</v>
      </c>
      <c r="L244" s="7">
        <f t="shared" si="31"/>
        <v>0</v>
      </c>
      <c r="M244" s="7">
        <f t="shared" si="32"/>
        <v>0</v>
      </c>
      <c r="O244" s="27">
        <f t="shared" si="33"/>
        <v>10371393.562699396</v>
      </c>
      <c r="P244" s="7">
        <f t="shared" si="34"/>
        <v>65687.410693201542</v>
      </c>
      <c r="Q244" s="7">
        <f t="shared" si="35"/>
        <v>138592.14821285126</v>
      </c>
    </row>
    <row r="245" spans="2:17" x14ac:dyDescent="0.25">
      <c r="B245" s="3">
        <v>236</v>
      </c>
      <c r="C245" s="27">
        <v>10233954.735969663</v>
      </c>
      <c r="D245" s="7">
        <v>64821.209766871056</v>
      </c>
      <c r="E245" s="7">
        <v>137438.82672970669</v>
      </c>
      <c r="G245" s="27">
        <f t="shared" si="27"/>
        <v>0</v>
      </c>
      <c r="H245" s="7">
        <f t="shared" si="28"/>
        <v>0</v>
      </c>
      <c r="I245" s="7">
        <f t="shared" si="29"/>
        <v>0</v>
      </c>
      <c r="K245" s="27">
        <f t="shared" si="30"/>
        <v>0</v>
      </c>
      <c r="L245" s="7">
        <f t="shared" si="31"/>
        <v>0</v>
      </c>
      <c r="M245" s="7">
        <f t="shared" si="32"/>
        <v>0</v>
      </c>
      <c r="O245" s="27">
        <f t="shared" si="33"/>
        <v>10233954.735969689</v>
      </c>
      <c r="P245" s="7">
        <f t="shared" si="34"/>
        <v>64821.209766871223</v>
      </c>
      <c r="Q245" s="7">
        <f t="shared" si="35"/>
        <v>137438.82672970669</v>
      </c>
    </row>
    <row r="246" spans="2:17" x14ac:dyDescent="0.25">
      <c r="B246" s="3">
        <v>237</v>
      </c>
      <c r="C246" s="27">
        <v>10097660.119047863</v>
      </c>
      <c r="D246" s="7">
        <v>63962.217099810383</v>
      </c>
      <c r="E246" s="7">
        <v>136294.61692179879</v>
      </c>
      <c r="G246" s="27">
        <f t="shared" si="27"/>
        <v>0</v>
      </c>
      <c r="H246" s="7">
        <f t="shared" si="28"/>
        <v>0</v>
      </c>
      <c r="I246" s="7">
        <f t="shared" si="29"/>
        <v>0</v>
      </c>
      <c r="K246" s="27">
        <f t="shared" si="30"/>
        <v>0</v>
      </c>
      <c r="L246" s="7">
        <f t="shared" si="31"/>
        <v>0</v>
      </c>
      <c r="M246" s="7">
        <f t="shared" si="32"/>
        <v>0</v>
      </c>
      <c r="O246" s="27">
        <f t="shared" si="33"/>
        <v>10097660.119047889</v>
      </c>
      <c r="P246" s="7">
        <f t="shared" si="34"/>
        <v>63962.21709981055</v>
      </c>
      <c r="Q246" s="7">
        <f t="shared" si="35"/>
        <v>136294.61692179879</v>
      </c>
    </row>
    <row r="247" spans="2:17" x14ac:dyDescent="0.25">
      <c r="B247" s="3">
        <v>238</v>
      </c>
      <c r="C247" s="27">
        <v>9962500.6716895048</v>
      </c>
      <c r="D247" s="7">
        <v>63110.375744049139</v>
      </c>
      <c r="E247" s="7">
        <v>135159.44735835868</v>
      </c>
      <c r="G247" s="27">
        <f t="shared" si="27"/>
        <v>0</v>
      </c>
      <c r="H247" s="7">
        <f t="shared" si="28"/>
        <v>0</v>
      </c>
      <c r="I247" s="7">
        <f t="shared" si="29"/>
        <v>0</v>
      </c>
      <c r="K247" s="27">
        <f t="shared" si="30"/>
        <v>0</v>
      </c>
      <c r="L247" s="7">
        <f t="shared" si="31"/>
        <v>0</v>
      </c>
      <c r="M247" s="7">
        <f t="shared" si="32"/>
        <v>0</v>
      </c>
      <c r="O247" s="27">
        <f t="shared" si="33"/>
        <v>9962500.6716895308</v>
      </c>
      <c r="P247" s="7">
        <f t="shared" si="34"/>
        <v>63110.375744049306</v>
      </c>
      <c r="Q247" s="7">
        <f t="shared" si="35"/>
        <v>135159.44735835868</v>
      </c>
    </row>
    <row r="248" spans="2:17" x14ac:dyDescent="0.25">
      <c r="B248" s="3">
        <v>239</v>
      </c>
      <c r="C248" s="27">
        <v>9828467.4245215748</v>
      </c>
      <c r="D248" s="7">
        <v>62265.629198059396</v>
      </c>
      <c r="E248" s="7">
        <v>134033.24716793007</v>
      </c>
      <c r="G248" s="27">
        <f t="shared" si="27"/>
        <v>0</v>
      </c>
      <c r="H248" s="7">
        <f t="shared" si="28"/>
        <v>0</v>
      </c>
      <c r="I248" s="7">
        <f t="shared" si="29"/>
        <v>0</v>
      </c>
      <c r="K248" s="27">
        <f t="shared" si="30"/>
        <v>0</v>
      </c>
      <c r="L248" s="7">
        <f t="shared" si="31"/>
        <v>0</v>
      </c>
      <c r="M248" s="7">
        <f t="shared" si="32"/>
        <v>0</v>
      </c>
      <c r="O248" s="27">
        <f t="shared" si="33"/>
        <v>9828467.4245216008</v>
      </c>
      <c r="P248" s="7">
        <f t="shared" si="34"/>
        <v>62265.629198059563</v>
      </c>
      <c r="Q248" s="7">
        <f t="shared" si="35"/>
        <v>134033.24716793007</v>
      </c>
    </row>
    <row r="249" spans="2:17" x14ac:dyDescent="0.25">
      <c r="B249" s="3">
        <v>240</v>
      </c>
      <c r="C249" s="27">
        <v>9695551.4784875847</v>
      </c>
      <c r="D249" s="7">
        <v>61427.921403259839</v>
      </c>
      <c r="E249" s="7">
        <v>132915.94603399024</v>
      </c>
      <c r="G249" s="27">
        <f t="shared" si="27"/>
        <v>0</v>
      </c>
      <c r="H249" s="7">
        <f t="shared" si="28"/>
        <v>0</v>
      </c>
      <c r="I249" s="7">
        <f t="shared" si="29"/>
        <v>0</v>
      </c>
      <c r="K249" s="27">
        <f t="shared" si="30"/>
        <v>0</v>
      </c>
      <c r="L249" s="7">
        <f t="shared" si="31"/>
        <v>0</v>
      </c>
      <c r="M249" s="7">
        <f t="shared" si="32"/>
        <v>0</v>
      </c>
      <c r="O249" s="27">
        <f t="shared" si="33"/>
        <v>9695551.4784876108</v>
      </c>
      <c r="P249" s="7">
        <f t="shared" si="34"/>
        <v>61427.921403259999</v>
      </c>
      <c r="Q249" s="7">
        <f t="shared" si="35"/>
        <v>132915.94603399024</v>
      </c>
    </row>
    <row r="250" spans="2:17" x14ac:dyDescent="0.25">
      <c r="B250" s="3">
        <v>241</v>
      </c>
      <c r="C250" s="27">
        <v>9563744.0042969789</v>
      </c>
      <c r="D250" s="7">
        <v>60597.196740547399</v>
      </c>
      <c r="E250" s="7">
        <v>131807.47419060578</v>
      </c>
      <c r="G250" s="27">
        <f t="shared" si="27"/>
        <v>0</v>
      </c>
      <c r="H250" s="7">
        <f t="shared" si="28"/>
        <v>0</v>
      </c>
      <c r="I250" s="7">
        <f t="shared" si="29"/>
        <v>0</v>
      </c>
      <c r="K250" s="27">
        <f t="shared" si="30"/>
        <v>0</v>
      </c>
      <c r="L250" s="7">
        <f t="shared" si="31"/>
        <v>0</v>
      </c>
      <c r="M250" s="7">
        <f t="shared" si="32"/>
        <v>0</v>
      </c>
      <c r="O250" s="27">
        <f t="shared" si="33"/>
        <v>9563744.004297005</v>
      </c>
      <c r="P250" s="7">
        <f t="shared" si="34"/>
        <v>60597.196740547566</v>
      </c>
      <c r="Q250" s="7">
        <f t="shared" si="35"/>
        <v>131807.47419060578</v>
      </c>
    </row>
    <row r="251" spans="2:17" x14ac:dyDescent="0.25">
      <c r="B251" s="3">
        <v>242</v>
      </c>
      <c r="C251" s="27">
        <v>9433036.241878856</v>
      </c>
      <c r="D251" s="7">
        <v>59773.400026856114</v>
      </c>
      <c r="E251" s="7">
        <v>130707.76241812226</v>
      </c>
      <c r="G251" s="27">
        <f t="shared" si="27"/>
        <v>0</v>
      </c>
      <c r="H251" s="7">
        <f t="shared" si="28"/>
        <v>0</v>
      </c>
      <c r="I251" s="7">
        <f t="shared" si="29"/>
        <v>0</v>
      </c>
      <c r="K251" s="27">
        <f t="shared" si="30"/>
        <v>0</v>
      </c>
      <c r="L251" s="7">
        <f t="shared" si="31"/>
        <v>0</v>
      </c>
      <c r="M251" s="7">
        <f t="shared" si="32"/>
        <v>0</v>
      </c>
      <c r="O251" s="27">
        <f t="shared" si="33"/>
        <v>9433036.2418788821</v>
      </c>
      <c r="P251" s="7">
        <f t="shared" si="34"/>
        <v>59773.400026856274</v>
      </c>
      <c r="Q251" s="7">
        <f t="shared" si="35"/>
        <v>130707.76241812226</v>
      </c>
    </row>
    <row r="252" spans="2:17" x14ac:dyDescent="0.25">
      <c r="B252" s="3">
        <v>243</v>
      </c>
      <c r="C252" s="27">
        <v>9303419.499839969</v>
      </c>
      <c r="D252" s="7">
        <v>58956.476511742847</v>
      </c>
      <c r="E252" s="7">
        <v>129616.7420388874</v>
      </c>
      <c r="G252" s="27">
        <f t="shared" si="27"/>
        <v>0</v>
      </c>
      <c r="H252" s="7">
        <f t="shared" si="28"/>
        <v>0</v>
      </c>
      <c r="I252" s="7">
        <f t="shared" si="29"/>
        <v>0</v>
      </c>
      <c r="K252" s="27">
        <f t="shared" si="30"/>
        <v>0</v>
      </c>
      <c r="L252" s="7">
        <f t="shared" si="31"/>
        <v>0</v>
      </c>
      <c r="M252" s="7">
        <f t="shared" si="32"/>
        <v>0</v>
      </c>
      <c r="O252" s="27">
        <f t="shared" si="33"/>
        <v>9303419.4998399951</v>
      </c>
      <c r="P252" s="7">
        <f t="shared" si="34"/>
        <v>58956.476511743007</v>
      </c>
      <c r="Q252" s="7">
        <f t="shared" si="35"/>
        <v>129616.7420388874</v>
      </c>
    </row>
    <row r="253" spans="2:17" x14ac:dyDescent="0.25">
      <c r="B253" s="3">
        <v>244</v>
      </c>
      <c r="C253" s="27">
        <v>9174885.1549269613</v>
      </c>
      <c r="D253" s="7">
        <v>58146.3718739998</v>
      </c>
      <c r="E253" s="7">
        <v>128534.3449130081</v>
      </c>
      <c r="G253" s="27">
        <f t="shared" si="27"/>
        <v>0</v>
      </c>
      <c r="H253" s="7">
        <f t="shared" si="28"/>
        <v>0</v>
      </c>
      <c r="I253" s="7">
        <f t="shared" si="29"/>
        <v>0</v>
      </c>
      <c r="K253" s="27">
        <f t="shared" si="30"/>
        <v>0</v>
      </c>
      <c r="L253" s="7">
        <f t="shared" si="31"/>
        <v>0</v>
      </c>
      <c r="M253" s="7">
        <f t="shared" si="32"/>
        <v>0</v>
      </c>
      <c r="O253" s="27">
        <f t="shared" si="33"/>
        <v>9174885.1549269874</v>
      </c>
      <c r="P253" s="7">
        <f t="shared" si="34"/>
        <v>58146.371873999968</v>
      </c>
      <c r="Q253" s="7">
        <f t="shared" si="35"/>
        <v>128534.3449130081</v>
      </c>
    </row>
    <row r="254" spans="2:17" x14ac:dyDescent="0.25">
      <c r="B254" s="3">
        <v>245</v>
      </c>
      <c r="C254" s="27">
        <v>9047424.6514928211</v>
      </c>
      <c r="D254" s="7">
        <v>57343.032218293505</v>
      </c>
      <c r="E254" s="7">
        <v>127460.50343414038</v>
      </c>
      <c r="G254" s="27">
        <f t="shared" si="27"/>
        <v>0</v>
      </c>
      <c r="H254" s="7">
        <f t="shared" si="28"/>
        <v>0</v>
      </c>
      <c r="I254" s="7">
        <f t="shared" si="29"/>
        <v>0</v>
      </c>
      <c r="K254" s="27">
        <f t="shared" si="30"/>
        <v>0</v>
      </c>
      <c r="L254" s="7">
        <f t="shared" si="31"/>
        <v>0</v>
      </c>
      <c r="M254" s="7">
        <f t="shared" si="32"/>
        <v>0</v>
      </c>
      <c r="O254" s="27">
        <f t="shared" si="33"/>
        <v>9047424.6514928471</v>
      </c>
      <c r="P254" s="7">
        <f t="shared" si="34"/>
        <v>57343.032218293665</v>
      </c>
      <c r="Q254" s="7">
        <f t="shared" si="35"/>
        <v>127460.50343414038</v>
      </c>
    </row>
    <row r="255" spans="2:17" x14ac:dyDescent="0.25">
      <c r="B255" s="3">
        <v>246</v>
      </c>
      <c r="C255" s="27">
        <v>8921029.5009675082</v>
      </c>
      <c r="D255" s="7">
        <v>56546.404071830126</v>
      </c>
      <c r="E255" s="7">
        <v>126395.15052531233</v>
      </c>
      <c r="G255" s="27">
        <f t="shared" si="27"/>
        <v>0</v>
      </c>
      <c r="H255" s="7">
        <f t="shared" si="28"/>
        <v>0</v>
      </c>
      <c r="I255" s="7">
        <f t="shared" si="29"/>
        <v>0</v>
      </c>
      <c r="K255" s="27">
        <f t="shared" si="30"/>
        <v>0</v>
      </c>
      <c r="L255" s="7">
        <f t="shared" si="31"/>
        <v>0</v>
      </c>
      <c r="M255" s="7">
        <f t="shared" si="32"/>
        <v>0</v>
      </c>
      <c r="O255" s="27">
        <f t="shared" si="33"/>
        <v>8921029.5009675343</v>
      </c>
      <c r="P255" s="7">
        <f t="shared" si="34"/>
        <v>56546.404071830293</v>
      </c>
      <c r="Q255" s="7">
        <f t="shared" si="35"/>
        <v>126395.15052531233</v>
      </c>
    </row>
    <row r="256" spans="2:17" x14ac:dyDescent="0.25">
      <c r="B256" s="3">
        <v>247</v>
      </c>
      <c r="C256" s="27">
        <v>8795691.2813327275</v>
      </c>
      <c r="D256" s="7">
        <v>55756.434381046922</v>
      </c>
      <c r="E256" s="7">
        <v>125338.21963477998</v>
      </c>
      <c r="G256" s="27">
        <f t="shared" si="27"/>
        <v>0</v>
      </c>
      <c r="H256" s="7">
        <f t="shared" si="28"/>
        <v>0</v>
      </c>
      <c r="I256" s="7">
        <f t="shared" si="29"/>
        <v>0</v>
      </c>
      <c r="K256" s="27">
        <f t="shared" si="30"/>
        <v>0</v>
      </c>
      <c r="L256" s="7">
        <f t="shared" si="31"/>
        <v>0</v>
      </c>
      <c r="M256" s="7">
        <f t="shared" si="32"/>
        <v>0</v>
      </c>
      <c r="O256" s="27">
        <f t="shared" si="33"/>
        <v>8795691.2813327536</v>
      </c>
      <c r="P256" s="7">
        <f t="shared" si="34"/>
        <v>55756.434381047082</v>
      </c>
      <c r="Q256" s="7">
        <f t="shared" si="35"/>
        <v>125338.21963477998</v>
      </c>
    </row>
    <row r="257" spans="2:17" x14ac:dyDescent="0.25">
      <c r="B257" s="3">
        <v>248</v>
      </c>
      <c r="C257" s="27">
        <v>8671401.6366008129</v>
      </c>
      <c r="D257" s="7">
        <v>54973.07050832954</v>
      </c>
      <c r="E257" s="7">
        <v>124289.64473191529</v>
      </c>
      <c r="G257" s="27">
        <f t="shared" si="27"/>
        <v>0</v>
      </c>
      <c r="H257" s="7">
        <f t="shared" si="28"/>
        <v>0</v>
      </c>
      <c r="I257" s="7">
        <f t="shared" si="29"/>
        <v>0</v>
      </c>
      <c r="K257" s="27">
        <f t="shared" si="30"/>
        <v>0</v>
      </c>
      <c r="L257" s="7">
        <f t="shared" si="31"/>
        <v>0</v>
      </c>
      <c r="M257" s="7">
        <f t="shared" si="32"/>
        <v>0</v>
      </c>
      <c r="O257" s="27">
        <f t="shared" si="33"/>
        <v>8671401.636600839</v>
      </c>
      <c r="P257" s="7">
        <f t="shared" si="34"/>
        <v>54973.070508329707</v>
      </c>
      <c r="Q257" s="7">
        <f t="shared" si="35"/>
        <v>124289.64473191529</v>
      </c>
    </row>
    <row r="258" spans="2:17" x14ac:dyDescent="0.25">
      <c r="B258" s="3">
        <v>249</v>
      </c>
      <c r="C258" s="27">
        <v>8548152.2762976866</v>
      </c>
      <c r="D258" s="7">
        <v>54196.260228755076</v>
      </c>
      <c r="E258" s="7">
        <v>123249.36030312657</v>
      </c>
      <c r="G258" s="27">
        <f t="shared" si="27"/>
        <v>0</v>
      </c>
      <c r="H258" s="7">
        <f t="shared" si="28"/>
        <v>0</v>
      </c>
      <c r="I258" s="7">
        <f t="shared" si="29"/>
        <v>0</v>
      </c>
      <c r="K258" s="27">
        <f t="shared" si="30"/>
        <v>0</v>
      </c>
      <c r="L258" s="7">
        <f t="shared" si="31"/>
        <v>0</v>
      </c>
      <c r="M258" s="7">
        <f t="shared" si="32"/>
        <v>0</v>
      </c>
      <c r="O258" s="27">
        <f t="shared" si="33"/>
        <v>8548152.2762977127</v>
      </c>
      <c r="P258" s="7">
        <f t="shared" si="34"/>
        <v>54196.260228755236</v>
      </c>
      <c r="Q258" s="7">
        <f t="shared" si="35"/>
        <v>123249.36030312657</v>
      </c>
    </row>
    <row r="259" spans="2:17" x14ac:dyDescent="0.25">
      <c r="B259" s="3">
        <v>250</v>
      </c>
      <c r="C259" s="27">
        <v>8425934.9749498758</v>
      </c>
      <c r="D259" s="7">
        <v>53425.951726860534</v>
      </c>
      <c r="E259" s="7">
        <v>122217.3013478108</v>
      </c>
      <c r="G259" s="27">
        <f t="shared" si="27"/>
        <v>0</v>
      </c>
      <c r="H259" s="7">
        <f t="shared" si="28"/>
        <v>0</v>
      </c>
      <c r="I259" s="7">
        <f t="shared" si="29"/>
        <v>0</v>
      </c>
      <c r="K259" s="27">
        <f t="shared" si="30"/>
        <v>0</v>
      </c>
      <c r="L259" s="7">
        <f t="shared" si="31"/>
        <v>0</v>
      </c>
      <c r="M259" s="7">
        <f t="shared" si="32"/>
        <v>0</v>
      </c>
      <c r="O259" s="27">
        <f t="shared" si="33"/>
        <v>8425934.9749499019</v>
      </c>
      <c r="P259" s="7">
        <f t="shared" si="34"/>
        <v>53425.951726860701</v>
      </c>
      <c r="Q259" s="7">
        <f t="shared" si="35"/>
        <v>122217.3013478108</v>
      </c>
    </row>
    <row r="260" spans="2:17" x14ac:dyDescent="0.25">
      <c r="B260" s="3">
        <v>251</v>
      </c>
      <c r="C260" s="27">
        <v>8304741.5715755383</v>
      </c>
      <c r="D260" s="7">
        <v>52662.093593436723</v>
      </c>
      <c r="E260" s="7">
        <v>121193.40337433743</v>
      </c>
      <c r="G260" s="27">
        <f t="shared" si="27"/>
        <v>0</v>
      </c>
      <c r="H260" s="7">
        <f t="shared" si="28"/>
        <v>0</v>
      </c>
      <c r="I260" s="7">
        <f t="shared" si="29"/>
        <v>0</v>
      </c>
      <c r="K260" s="27">
        <f t="shared" si="30"/>
        <v>0</v>
      </c>
      <c r="L260" s="7">
        <f t="shared" si="31"/>
        <v>0</v>
      </c>
      <c r="M260" s="7">
        <f t="shared" si="32"/>
        <v>0</v>
      </c>
      <c r="O260" s="27">
        <f t="shared" si="33"/>
        <v>8304741.5715755643</v>
      </c>
      <c r="P260" s="7">
        <f t="shared" si="34"/>
        <v>52662.093593436883</v>
      </c>
      <c r="Q260" s="7">
        <f t="shared" si="35"/>
        <v>121193.40337433743</v>
      </c>
    </row>
    <row r="261" spans="2:17" x14ac:dyDescent="0.25">
      <c r="B261" s="3">
        <v>252</v>
      </c>
      <c r="C261" s="27">
        <v>8184563.9691794747</v>
      </c>
      <c r="D261" s="7">
        <v>51904.634822347107</v>
      </c>
      <c r="E261" s="7">
        <v>120177.60239606396</v>
      </c>
      <c r="G261" s="27">
        <f t="shared" si="27"/>
        <v>0</v>
      </c>
      <c r="H261" s="7">
        <f t="shared" si="28"/>
        <v>0</v>
      </c>
      <c r="I261" s="7">
        <f t="shared" si="29"/>
        <v>0</v>
      </c>
      <c r="K261" s="27">
        <f t="shared" si="30"/>
        <v>0</v>
      </c>
      <c r="L261" s="7">
        <f t="shared" si="31"/>
        <v>0</v>
      </c>
      <c r="M261" s="7">
        <f t="shared" si="32"/>
        <v>0</v>
      </c>
      <c r="O261" s="27">
        <f t="shared" si="33"/>
        <v>8184563.9691795008</v>
      </c>
      <c r="P261" s="7">
        <f t="shared" si="34"/>
        <v>51904.634822347274</v>
      </c>
      <c r="Q261" s="7">
        <f t="shared" si="35"/>
        <v>120177.60239606396</v>
      </c>
    </row>
    <row r="262" spans="2:17" x14ac:dyDescent="0.25">
      <c r="B262" s="3">
        <v>253</v>
      </c>
      <c r="C262" s="27">
        <v>8065394.1342520919</v>
      </c>
      <c r="D262" s="7">
        <v>51153.524807371716</v>
      </c>
      <c r="E262" s="7">
        <v>119169.83492738243</v>
      </c>
      <c r="G262" s="27">
        <f t="shared" si="27"/>
        <v>0</v>
      </c>
      <c r="H262" s="7">
        <f t="shared" si="28"/>
        <v>0</v>
      </c>
      <c r="I262" s="7">
        <f t="shared" si="29"/>
        <v>0</v>
      </c>
      <c r="K262" s="27">
        <f t="shared" si="30"/>
        <v>0</v>
      </c>
      <c r="L262" s="7">
        <f t="shared" si="31"/>
        <v>0</v>
      </c>
      <c r="M262" s="7">
        <f t="shared" si="32"/>
        <v>0</v>
      </c>
      <c r="O262" s="27">
        <f t="shared" si="33"/>
        <v>8065394.1342521179</v>
      </c>
      <c r="P262" s="7">
        <f t="shared" si="34"/>
        <v>51153.524807371876</v>
      </c>
      <c r="Q262" s="7">
        <f t="shared" si="35"/>
        <v>119169.83492738243</v>
      </c>
    </row>
    <row r="263" spans="2:17" x14ac:dyDescent="0.25">
      <c r="B263" s="3">
        <v>254</v>
      </c>
      <c r="C263" s="27">
        <v>7947224.0962722944</v>
      </c>
      <c r="D263" s="7">
        <v>50408.71333907557</v>
      </c>
      <c r="E263" s="7">
        <v>118170.03797979701</v>
      </c>
      <c r="G263" s="27">
        <f t="shared" si="27"/>
        <v>0</v>
      </c>
      <c r="H263" s="7">
        <f t="shared" si="28"/>
        <v>0</v>
      </c>
      <c r="I263" s="7">
        <f t="shared" si="29"/>
        <v>0</v>
      </c>
      <c r="K263" s="27">
        <f t="shared" si="30"/>
        <v>0</v>
      </c>
      <c r="L263" s="7">
        <f t="shared" si="31"/>
        <v>0</v>
      </c>
      <c r="M263" s="7">
        <f t="shared" si="32"/>
        <v>0</v>
      </c>
      <c r="O263" s="27">
        <f t="shared" si="33"/>
        <v>7947224.0962723205</v>
      </c>
      <c r="P263" s="7">
        <f t="shared" si="34"/>
        <v>50408.71333907573</v>
      </c>
      <c r="Q263" s="7">
        <f t="shared" si="35"/>
        <v>118170.03797979701</v>
      </c>
    </row>
    <row r="264" spans="2:17" x14ac:dyDescent="0.25">
      <c r="B264" s="3">
        <v>255</v>
      </c>
      <c r="C264" s="27">
        <v>7830045.9472142626</v>
      </c>
      <c r="D264" s="7">
        <v>49670.150601701833</v>
      </c>
      <c r="E264" s="7">
        <v>117178.14905803217</v>
      </c>
      <c r="G264" s="27">
        <f t="shared" si="27"/>
        <v>0</v>
      </c>
      <c r="H264" s="7">
        <f t="shared" si="28"/>
        <v>0</v>
      </c>
      <c r="I264" s="7">
        <f t="shared" si="29"/>
        <v>0</v>
      </c>
      <c r="K264" s="27">
        <f t="shared" si="30"/>
        <v>0</v>
      </c>
      <c r="L264" s="7">
        <f t="shared" si="31"/>
        <v>0</v>
      </c>
      <c r="M264" s="7">
        <f t="shared" si="32"/>
        <v>0</v>
      </c>
      <c r="O264" s="27">
        <f t="shared" si="33"/>
        <v>7830045.9472142886</v>
      </c>
      <c r="P264" s="7">
        <f t="shared" si="34"/>
        <v>49670.150601702</v>
      </c>
      <c r="Q264" s="7">
        <f t="shared" si="35"/>
        <v>117178.14905803217</v>
      </c>
    </row>
    <row r="265" spans="2:17" x14ac:dyDescent="0.25">
      <c r="B265" s="3">
        <v>256</v>
      </c>
      <c r="C265" s="27">
        <v>7713851.8410580913</v>
      </c>
      <c r="D265" s="7">
        <v>48937.787170089134</v>
      </c>
      <c r="E265" s="7">
        <v>116194.10615617162</v>
      </c>
      <c r="G265" s="27">
        <f t="shared" si="27"/>
        <v>0</v>
      </c>
      <c r="H265" s="7">
        <f t="shared" si="28"/>
        <v>0</v>
      </c>
      <c r="I265" s="7">
        <f t="shared" si="29"/>
        <v>0</v>
      </c>
      <c r="K265" s="27">
        <f t="shared" si="30"/>
        <v>0</v>
      </c>
      <c r="L265" s="7">
        <f t="shared" si="31"/>
        <v>0</v>
      </c>
      <c r="M265" s="7">
        <f t="shared" si="32"/>
        <v>0</v>
      </c>
      <c r="O265" s="27">
        <f t="shared" si="33"/>
        <v>7713851.8410581173</v>
      </c>
      <c r="P265" s="7">
        <f t="shared" si="34"/>
        <v>48937.787170089301</v>
      </c>
      <c r="Q265" s="7">
        <f t="shared" si="35"/>
        <v>116194.10615617162</v>
      </c>
    </row>
    <row r="266" spans="2:17" x14ac:dyDescent="0.25">
      <c r="B266" s="3">
        <v>257</v>
      </c>
      <c r="C266" s="27">
        <v>7598633.9933042647</v>
      </c>
      <c r="D266" s="7">
        <v>48211.574006613067</v>
      </c>
      <c r="E266" s="7">
        <v>115217.84775382694</v>
      </c>
      <c r="G266" s="27">
        <f t="shared" si="27"/>
        <v>0</v>
      </c>
      <c r="H266" s="7">
        <f t="shared" si="28"/>
        <v>0</v>
      </c>
      <c r="I266" s="7">
        <f t="shared" si="29"/>
        <v>0</v>
      </c>
      <c r="K266" s="27">
        <f t="shared" si="30"/>
        <v>0</v>
      </c>
      <c r="L266" s="7">
        <f t="shared" si="31"/>
        <v>0</v>
      </c>
      <c r="M266" s="7">
        <f t="shared" si="32"/>
        <v>0</v>
      </c>
      <c r="O266" s="27">
        <f t="shared" si="33"/>
        <v>7598633.9933042908</v>
      </c>
      <c r="P266" s="7">
        <f t="shared" si="34"/>
        <v>48211.574006613228</v>
      </c>
      <c r="Q266" s="7">
        <f t="shared" si="35"/>
        <v>115217.84775382694</v>
      </c>
    </row>
    <row r="267" spans="2:17" x14ac:dyDescent="0.25">
      <c r="B267" s="3">
        <v>258</v>
      </c>
      <c r="C267" s="27">
        <v>7484384.680491928</v>
      </c>
      <c r="D267" s="7">
        <v>47491.462458151647</v>
      </c>
      <c r="E267" s="7">
        <v>114249.31281233678</v>
      </c>
      <c r="G267" s="27">
        <f t="shared" ref="G267:G330" si="36">G266-I267</f>
        <v>0</v>
      </c>
      <c r="H267" s="7">
        <f t="shared" ref="H267:H330" si="37">$D$3*G266</f>
        <v>0</v>
      </c>
      <c r="I267" s="7">
        <f t="shared" ref="I267:I330" si="38">IF(G266&gt;0,IF(E267 &lt; G266, E267, G266),0)</f>
        <v>0</v>
      </c>
      <c r="K267" s="27">
        <f t="shared" ref="K267:K330" si="39">K266-M267</f>
        <v>0</v>
      </c>
      <c r="L267" s="7">
        <f t="shared" ref="L267:L330" si="40">$D$3*K266</f>
        <v>0</v>
      </c>
      <c r="M267" s="7">
        <f t="shared" ref="M267:M330" si="41">IF(G267&gt;0,0,IF(E267 &lt; K266,E267-I267,K266))</f>
        <v>0</v>
      </c>
      <c r="O267" s="27">
        <f t="shared" ref="O267:O330" si="42">O266-Q267</f>
        <v>7484384.6804919541</v>
      </c>
      <c r="P267" s="7">
        <f t="shared" ref="P267:P330" si="43">$D$3*O266</f>
        <v>47491.462458151815</v>
      </c>
      <c r="Q267" s="7">
        <f t="shared" ref="Q267:Q330" si="44">IF(K267&gt;0,0,E267-M267)</f>
        <v>114249.31281233678</v>
      </c>
    </row>
    <row r="268" spans="2:17" x14ac:dyDescent="0.25">
      <c r="B268" s="3">
        <v>259</v>
      </c>
      <c r="C268" s="27">
        <v>7371096.2397209322</v>
      </c>
      <c r="D268" s="7">
        <v>46777.404253074543</v>
      </c>
      <c r="E268" s="7">
        <v>113288.44077099537</v>
      </c>
      <c r="G268" s="27">
        <f t="shared" si="36"/>
        <v>0</v>
      </c>
      <c r="H268" s="7">
        <f t="shared" si="37"/>
        <v>0</v>
      </c>
      <c r="I268" s="7">
        <f t="shared" si="38"/>
        <v>0</v>
      </c>
      <c r="K268" s="27">
        <f t="shared" si="39"/>
        <v>0</v>
      </c>
      <c r="L268" s="7">
        <f t="shared" si="40"/>
        <v>0</v>
      </c>
      <c r="M268" s="7">
        <f t="shared" si="41"/>
        <v>0</v>
      </c>
      <c r="O268" s="27">
        <f t="shared" si="42"/>
        <v>7371096.2397209583</v>
      </c>
      <c r="P268" s="7">
        <f t="shared" si="43"/>
        <v>46777.40425307471</v>
      </c>
      <c r="Q268" s="7">
        <f t="shared" si="44"/>
        <v>113288.44077099537</v>
      </c>
    </row>
    <row r="269" spans="2:17" x14ac:dyDescent="0.25">
      <c r="B269" s="3">
        <v>260</v>
      </c>
      <c r="C269" s="27">
        <v>7258761.0681776218</v>
      </c>
      <c r="D269" s="7">
        <v>46069.351498255819</v>
      </c>
      <c r="E269" s="7">
        <v>112335.17154331086</v>
      </c>
      <c r="G269" s="27">
        <f t="shared" si="36"/>
        <v>0</v>
      </c>
      <c r="H269" s="7">
        <f t="shared" si="37"/>
        <v>0</v>
      </c>
      <c r="I269" s="7">
        <f t="shared" si="38"/>
        <v>0</v>
      </c>
      <c r="K269" s="27">
        <f t="shared" si="39"/>
        <v>0</v>
      </c>
      <c r="L269" s="7">
        <f t="shared" si="40"/>
        <v>0</v>
      </c>
      <c r="M269" s="7">
        <f t="shared" si="41"/>
        <v>0</v>
      </c>
      <c r="O269" s="27">
        <f t="shared" si="42"/>
        <v>7258761.0681776479</v>
      </c>
      <c r="P269" s="7">
        <f t="shared" si="43"/>
        <v>46069.351498255986</v>
      </c>
      <c r="Q269" s="7">
        <f t="shared" si="44"/>
        <v>112335.17154331086</v>
      </c>
    </row>
    <row r="270" spans="2:17" x14ac:dyDescent="0.25">
      <c r="B270" s="3">
        <v>261</v>
      </c>
      <c r="C270" s="27">
        <v>7147371.6226643287</v>
      </c>
      <c r="D270" s="7">
        <v>45367.256676110133</v>
      </c>
      <c r="E270" s="7">
        <v>111389.44551329284</v>
      </c>
      <c r="G270" s="27">
        <f t="shared" si="36"/>
        <v>0</v>
      </c>
      <c r="H270" s="7">
        <f t="shared" si="37"/>
        <v>0</v>
      </c>
      <c r="I270" s="7">
        <f t="shared" si="38"/>
        <v>0</v>
      </c>
      <c r="K270" s="27">
        <f t="shared" si="39"/>
        <v>0</v>
      </c>
      <c r="L270" s="7">
        <f t="shared" si="40"/>
        <v>0</v>
      </c>
      <c r="M270" s="7">
        <f t="shared" si="41"/>
        <v>0</v>
      </c>
      <c r="O270" s="27">
        <f t="shared" si="42"/>
        <v>7147371.6226643547</v>
      </c>
      <c r="P270" s="7">
        <f t="shared" si="43"/>
        <v>45367.256676110293</v>
      </c>
      <c r="Q270" s="7">
        <f t="shared" si="44"/>
        <v>111389.44551329284</v>
      </c>
    </row>
    <row r="271" spans="2:17" x14ac:dyDescent="0.25">
      <c r="B271" s="3">
        <v>262</v>
      </c>
      <c r="C271" s="27">
        <v>7036920.4191325596</v>
      </c>
      <c r="D271" s="7">
        <v>44671.072641652048</v>
      </c>
      <c r="E271" s="7">
        <v>110451.2035317688</v>
      </c>
      <c r="G271" s="27">
        <f t="shared" si="36"/>
        <v>0</v>
      </c>
      <c r="H271" s="7">
        <f t="shared" si="37"/>
        <v>0</v>
      </c>
      <c r="I271" s="7">
        <f t="shared" si="38"/>
        <v>0</v>
      </c>
      <c r="K271" s="27">
        <f t="shared" si="39"/>
        <v>0</v>
      </c>
      <c r="L271" s="7">
        <f t="shared" si="40"/>
        <v>0</v>
      </c>
      <c r="M271" s="7">
        <f t="shared" si="41"/>
        <v>0</v>
      </c>
      <c r="O271" s="27">
        <f t="shared" si="42"/>
        <v>7036920.4191325856</v>
      </c>
      <c r="P271" s="7">
        <f t="shared" si="43"/>
        <v>44671.072641652216</v>
      </c>
      <c r="Q271" s="7">
        <f t="shared" si="44"/>
        <v>110451.2035317688</v>
      </c>
    </row>
    <row r="272" spans="2:17" x14ac:dyDescent="0.25">
      <c r="B272" s="3">
        <v>263</v>
      </c>
      <c r="C272" s="27">
        <v>6927400.03221983</v>
      </c>
      <c r="D272" s="7">
        <v>43980.752619578496</v>
      </c>
      <c r="E272" s="7">
        <v>109520.38691272962</v>
      </c>
      <c r="G272" s="27">
        <f t="shared" si="36"/>
        <v>0</v>
      </c>
      <c r="H272" s="7">
        <f t="shared" si="37"/>
        <v>0</v>
      </c>
      <c r="I272" s="7">
        <f t="shared" si="38"/>
        <v>0</v>
      </c>
      <c r="K272" s="27">
        <f t="shared" si="39"/>
        <v>0</v>
      </c>
      <c r="L272" s="7">
        <f t="shared" si="40"/>
        <v>0</v>
      </c>
      <c r="M272" s="7">
        <f t="shared" si="41"/>
        <v>0</v>
      </c>
      <c r="O272" s="27">
        <f t="shared" si="42"/>
        <v>6927400.032219856</v>
      </c>
      <c r="P272" s="7">
        <f t="shared" si="43"/>
        <v>43980.752619578656</v>
      </c>
      <c r="Q272" s="7">
        <f t="shared" si="44"/>
        <v>109520.38691272962</v>
      </c>
    </row>
    <row r="273" spans="2:17" x14ac:dyDescent="0.25">
      <c r="B273" s="3">
        <v>264</v>
      </c>
      <c r="C273" s="27">
        <v>6818803.0947901262</v>
      </c>
      <c r="D273" s="7">
        <v>43296.250201373936</v>
      </c>
      <c r="E273" s="7">
        <v>108596.93742970351</v>
      </c>
      <c r="G273" s="27">
        <f t="shared" si="36"/>
        <v>0</v>
      </c>
      <c r="H273" s="7">
        <f t="shared" si="37"/>
        <v>0</v>
      </c>
      <c r="I273" s="7">
        <f t="shared" si="38"/>
        <v>0</v>
      </c>
      <c r="K273" s="27">
        <f t="shared" si="39"/>
        <v>0</v>
      </c>
      <c r="L273" s="7">
        <f t="shared" si="40"/>
        <v>0</v>
      </c>
      <c r="M273" s="7">
        <f t="shared" si="41"/>
        <v>0</v>
      </c>
      <c r="O273" s="27">
        <f t="shared" si="42"/>
        <v>6818803.0947901523</v>
      </c>
      <c r="P273" s="7">
        <f t="shared" si="43"/>
        <v>43296.250201374096</v>
      </c>
      <c r="Q273" s="7">
        <f t="shared" si="44"/>
        <v>108596.93742970351</v>
      </c>
    </row>
    <row r="274" spans="2:17" x14ac:dyDescent="0.25">
      <c r="B274" s="3">
        <v>265</v>
      </c>
      <c r="C274" s="27">
        <v>6711122.297477968</v>
      </c>
      <c r="D274" s="7">
        <v>42617.519342438289</v>
      </c>
      <c r="E274" s="7">
        <v>107680.79731215855</v>
      </c>
      <c r="G274" s="27">
        <f t="shared" si="36"/>
        <v>0</v>
      </c>
      <c r="H274" s="7">
        <f t="shared" si="37"/>
        <v>0</v>
      </c>
      <c r="I274" s="7">
        <f t="shared" si="38"/>
        <v>0</v>
      </c>
      <c r="K274" s="27">
        <f t="shared" si="39"/>
        <v>0</v>
      </c>
      <c r="L274" s="7">
        <f t="shared" si="40"/>
        <v>0</v>
      </c>
      <c r="M274" s="7">
        <f t="shared" si="41"/>
        <v>0</v>
      </c>
      <c r="O274" s="27">
        <f t="shared" si="42"/>
        <v>6711122.2974779941</v>
      </c>
      <c r="P274" s="7">
        <f t="shared" si="43"/>
        <v>42617.519342438449</v>
      </c>
      <c r="Q274" s="7">
        <f t="shared" si="44"/>
        <v>107680.79731215855</v>
      </c>
    </row>
    <row r="275" spans="2:17" x14ac:dyDescent="0.25">
      <c r="B275" s="3">
        <v>266</v>
      </c>
      <c r="C275" s="27">
        <v>6604350.3882360347</v>
      </c>
      <c r="D275" s="7">
        <v>41944.514359237299</v>
      </c>
      <c r="E275" s="7">
        <v>106771.90924193323</v>
      </c>
      <c r="G275" s="27">
        <f t="shared" si="36"/>
        <v>0</v>
      </c>
      <c r="H275" s="7">
        <f t="shared" si="37"/>
        <v>0</v>
      </c>
      <c r="I275" s="7">
        <f t="shared" si="38"/>
        <v>0</v>
      </c>
      <c r="K275" s="27">
        <f t="shared" si="39"/>
        <v>0</v>
      </c>
      <c r="L275" s="7">
        <f t="shared" si="40"/>
        <v>0</v>
      </c>
      <c r="M275" s="7">
        <f t="shared" si="41"/>
        <v>0</v>
      </c>
      <c r="O275" s="27">
        <f t="shared" si="42"/>
        <v>6604350.3882360607</v>
      </c>
      <c r="P275" s="7">
        <f t="shared" si="43"/>
        <v>41944.514359237459</v>
      </c>
      <c r="Q275" s="7">
        <f t="shared" si="44"/>
        <v>106771.90924193323</v>
      </c>
    </row>
    <row r="276" spans="2:17" x14ac:dyDescent="0.25">
      <c r="B276" s="3">
        <v>267</v>
      </c>
      <c r="C276" s="27">
        <v>6498480.1718863398</v>
      </c>
      <c r="D276" s="7">
        <v>41277.189926475214</v>
      </c>
      <c r="E276" s="7">
        <v>105870.21634969473</v>
      </c>
      <c r="G276" s="27">
        <f t="shared" si="36"/>
        <v>0</v>
      </c>
      <c r="H276" s="7">
        <f t="shared" si="37"/>
        <v>0</v>
      </c>
      <c r="I276" s="7">
        <f t="shared" si="38"/>
        <v>0</v>
      </c>
      <c r="K276" s="27">
        <f t="shared" si="39"/>
        <v>0</v>
      </c>
      <c r="L276" s="7">
        <f t="shared" si="40"/>
        <v>0</v>
      </c>
      <c r="M276" s="7">
        <f t="shared" si="41"/>
        <v>0</v>
      </c>
      <c r="O276" s="27">
        <f t="shared" si="42"/>
        <v>6498480.1718863659</v>
      </c>
      <c r="P276" s="7">
        <f t="shared" si="43"/>
        <v>41277.189926475374</v>
      </c>
      <c r="Q276" s="7">
        <f t="shared" si="44"/>
        <v>105870.21634969473</v>
      </c>
    </row>
    <row r="277" spans="2:17" x14ac:dyDescent="0.25">
      <c r="B277" s="3">
        <v>268</v>
      </c>
      <c r="C277" s="27">
        <v>6393504.5096749142</v>
      </c>
      <c r="D277" s="7">
        <v>40615.501074289619</v>
      </c>
      <c r="E277" s="7">
        <v>104975.66221142549</v>
      </c>
      <c r="G277" s="27">
        <f t="shared" si="36"/>
        <v>0</v>
      </c>
      <c r="H277" s="7">
        <f t="shared" si="37"/>
        <v>0</v>
      </c>
      <c r="I277" s="7">
        <f t="shared" si="38"/>
        <v>0</v>
      </c>
      <c r="K277" s="27">
        <f t="shared" si="39"/>
        <v>0</v>
      </c>
      <c r="L277" s="7">
        <f t="shared" si="40"/>
        <v>0</v>
      </c>
      <c r="M277" s="7">
        <f t="shared" si="41"/>
        <v>0</v>
      </c>
      <c r="O277" s="27">
        <f t="shared" si="42"/>
        <v>6393504.5096749403</v>
      </c>
      <c r="P277" s="7">
        <f t="shared" si="43"/>
        <v>40615.501074289787</v>
      </c>
      <c r="Q277" s="7">
        <f t="shared" si="44"/>
        <v>104975.66221142549</v>
      </c>
    </row>
    <row r="278" spans="2:17" x14ac:dyDescent="0.25">
      <c r="B278" s="3">
        <v>269</v>
      </c>
      <c r="C278" s="27">
        <v>6289416.3188299779</v>
      </c>
      <c r="D278" s="7">
        <v>39959.403185468211</v>
      </c>
      <c r="E278" s="7">
        <v>104088.19084493673</v>
      </c>
      <c r="G278" s="27">
        <f t="shared" si="36"/>
        <v>0</v>
      </c>
      <c r="H278" s="7">
        <f t="shared" si="37"/>
        <v>0</v>
      </c>
      <c r="I278" s="7">
        <f t="shared" si="38"/>
        <v>0</v>
      </c>
      <c r="K278" s="27">
        <f t="shared" si="39"/>
        <v>0</v>
      </c>
      <c r="L278" s="7">
        <f t="shared" si="40"/>
        <v>0</v>
      </c>
      <c r="M278" s="7">
        <f t="shared" si="41"/>
        <v>0</v>
      </c>
      <c r="O278" s="27">
        <f t="shared" si="42"/>
        <v>6289416.318830004</v>
      </c>
      <c r="P278" s="7">
        <f t="shared" si="43"/>
        <v>39959.403185468371</v>
      </c>
      <c r="Q278" s="7">
        <f t="shared" si="44"/>
        <v>104088.19084493673</v>
      </c>
    </row>
    <row r="279" spans="2:17" x14ac:dyDescent="0.25">
      <c r="B279" s="3">
        <v>270</v>
      </c>
      <c r="C279" s="27">
        <v>6186208.5721235685</v>
      </c>
      <c r="D279" s="7">
        <v>39308.851992687356</v>
      </c>
      <c r="E279" s="7">
        <v>103207.74670640967</v>
      </c>
      <c r="G279" s="27">
        <f t="shared" si="36"/>
        <v>0</v>
      </c>
      <c r="H279" s="7">
        <f t="shared" si="37"/>
        <v>0</v>
      </c>
      <c r="I279" s="7">
        <f t="shared" si="38"/>
        <v>0</v>
      </c>
      <c r="K279" s="27">
        <f t="shared" si="39"/>
        <v>0</v>
      </c>
      <c r="L279" s="7">
        <f t="shared" si="40"/>
        <v>0</v>
      </c>
      <c r="M279" s="7">
        <f t="shared" si="41"/>
        <v>0</v>
      </c>
      <c r="O279" s="27">
        <f t="shared" si="42"/>
        <v>6186208.5721235946</v>
      </c>
      <c r="P279" s="7">
        <f t="shared" si="43"/>
        <v>39308.851992687523</v>
      </c>
      <c r="Q279" s="7">
        <f t="shared" si="44"/>
        <v>103207.74670640967</v>
      </c>
    </row>
    <row r="280" spans="2:17" x14ac:dyDescent="0.25">
      <c r="B280" s="3">
        <v>271</v>
      </c>
      <c r="C280" s="27">
        <v>6083874.2974366052</v>
      </c>
      <c r="D280" s="7">
        <v>38663.803575772297</v>
      </c>
      <c r="E280" s="7">
        <v>102334.27468696327</v>
      </c>
      <c r="G280" s="27">
        <f t="shared" si="36"/>
        <v>0</v>
      </c>
      <c r="H280" s="7">
        <f t="shared" si="37"/>
        <v>0</v>
      </c>
      <c r="I280" s="7">
        <f t="shared" si="38"/>
        <v>0</v>
      </c>
      <c r="K280" s="27">
        <f t="shared" si="39"/>
        <v>0</v>
      </c>
      <c r="L280" s="7">
        <f t="shared" si="40"/>
        <v>0</v>
      </c>
      <c r="M280" s="7">
        <f t="shared" si="41"/>
        <v>0</v>
      </c>
      <c r="O280" s="27">
        <f t="shared" si="42"/>
        <v>6083874.2974366313</v>
      </c>
      <c r="P280" s="7">
        <f t="shared" si="43"/>
        <v>38663.803575772465</v>
      </c>
      <c r="Q280" s="7">
        <f t="shared" si="44"/>
        <v>102334.27468696327</v>
      </c>
    </row>
    <row r="281" spans="2:17" x14ac:dyDescent="0.25">
      <c r="B281" s="3">
        <v>272</v>
      </c>
      <c r="C281" s="27">
        <v>5982406.5773273557</v>
      </c>
      <c r="D281" s="7">
        <v>38024.214358978781</v>
      </c>
      <c r="E281" s="7">
        <v>101467.72010924976</v>
      </c>
      <c r="G281" s="27">
        <f t="shared" si="36"/>
        <v>0</v>
      </c>
      <c r="H281" s="7">
        <f t="shared" si="37"/>
        <v>0</v>
      </c>
      <c r="I281" s="7">
        <f t="shared" si="38"/>
        <v>0</v>
      </c>
      <c r="K281" s="27">
        <f t="shared" si="39"/>
        <v>0</v>
      </c>
      <c r="L281" s="7">
        <f t="shared" si="40"/>
        <v>0</v>
      </c>
      <c r="M281" s="7">
        <f t="shared" si="41"/>
        <v>0</v>
      </c>
      <c r="O281" s="27">
        <f t="shared" si="42"/>
        <v>5982406.5773273818</v>
      </c>
      <c r="P281" s="7">
        <f t="shared" si="43"/>
        <v>38024.214358978941</v>
      </c>
      <c r="Q281" s="7">
        <f t="shared" si="44"/>
        <v>101467.72010924976</v>
      </c>
    </row>
    <row r="282" spans="2:17" x14ac:dyDescent="0.25">
      <c r="B282" s="3">
        <v>273</v>
      </c>
      <c r="C282" s="27">
        <v>5881798.5486032795</v>
      </c>
      <c r="D282" s="7">
        <v>37390.041108295969</v>
      </c>
      <c r="E282" s="7">
        <v>100608.02872407582</v>
      </c>
      <c r="G282" s="27">
        <f t="shared" si="36"/>
        <v>0</v>
      </c>
      <c r="H282" s="7">
        <f t="shared" si="37"/>
        <v>0</v>
      </c>
      <c r="I282" s="7">
        <f t="shared" si="38"/>
        <v>0</v>
      </c>
      <c r="K282" s="27">
        <f t="shared" si="39"/>
        <v>0</v>
      </c>
      <c r="L282" s="7">
        <f t="shared" si="40"/>
        <v>0</v>
      </c>
      <c r="M282" s="7">
        <f t="shared" si="41"/>
        <v>0</v>
      </c>
      <c r="O282" s="27">
        <f t="shared" si="42"/>
        <v>5881798.5486033056</v>
      </c>
      <c r="P282" s="7">
        <f t="shared" si="43"/>
        <v>37390.041108296136</v>
      </c>
      <c r="Q282" s="7">
        <f t="shared" si="44"/>
        <v>100608.02872407582</v>
      </c>
    </row>
    <row r="283" spans="2:17" x14ac:dyDescent="0.25">
      <c r="B283" s="3">
        <v>274</v>
      </c>
      <c r="C283" s="27">
        <v>5782043.401896229</v>
      </c>
      <c r="D283" s="7">
        <v>36761.240928770494</v>
      </c>
      <c r="E283" s="7">
        <v>99755.146707050881</v>
      </c>
      <c r="G283" s="27">
        <f t="shared" si="36"/>
        <v>0</v>
      </c>
      <c r="H283" s="7">
        <f t="shared" si="37"/>
        <v>0</v>
      </c>
      <c r="I283" s="7">
        <f t="shared" si="38"/>
        <v>0</v>
      </c>
      <c r="K283" s="27">
        <f t="shared" si="39"/>
        <v>0</v>
      </c>
      <c r="L283" s="7">
        <f t="shared" si="40"/>
        <v>0</v>
      </c>
      <c r="M283" s="7">
        <f t="shared" si="41"/>
        <v>0</v>
      </c>
      <c r="O283" s="27">
        <f t="shared" si="42"/>
        <v>5782043.4018962551</v>
      </c>
      <c r="P283" s="7">
        <f t="shared" si="43"/>
        <v>36761.240928770654</v>
      </c>
      <c r="Q283" s="7">
        <f t="shared" si="44"/>
        <v>99755.146707050881</v>
      </c>
    </row>
    <row r="284" spans="2:17" x14ac:dyDescent="0.25">
      <c r="B284" s="3">
        <v>275</v>
      </c>
      <c r="C284" s="27">
        <v>5683134.3812409677</v>
      </c>
      <c r="D284" s="7">
        <v>36137.771261851427</v>
      </c>
      <c r="E284" s="7">
        <v>98909.020655261324</v>
      </c>
      <c r="G284" s="27">
        <f t="shared" si="36"/>
        <v>0</v>
      </c>
      <c r="H284" s="7">
        <f t="shared" si="37"/>
        <v>0</v>
      </c>
      <c r="I284" s="7">
        <f t="shared" si="38"/>
        <v>0</v>
      </c>
      <c r="K284" s="27">
        <f t="shared" si="39"/>
        <v>0</v>
      </c>
      <c r="L284" s="7">
        <f t="shared" si="40"/>
        <v>0</v>
      </c>
      <c r="M284" s="7">
        <f t="shared" si="41"/>
        <v>0</v>
      </c>
      <c r="O284" s="27">
        <f t="shared" si="42"/>
        <v>5683134.3812409937</v>
      </c>
      <c r="P284" s="7">
        <f t="shared" si="43"/>
        <v>36137.771261851594</v>
      </c>
      <c r="Q284" s="7">
        <f t="shared" si="44"/>
        <v>98909.020655261324</v>
      </c>
    </row>
    <row r="285" spans="2:17" x14ac:dyDescent="0.25">
      <c r="B285" s="3">
        <v>276</v>
      </c>
      <c r="C285" s="27">
        <v>5585064.7836569967</v>
      </c>
      <c r="D285" s="7">
        <v>35519.589882756045</v>
      </c>
      <c r="E285" s="7">
        <v>98069.597583971001</v>
      </c>
      <c r="G285" s="27">
        <f t="shared" si="36"/>
        <v>0</v>
      </c>
      <c r="H285" s="7">
        <f t="shared" si="37"/>
        <v>0</v>
      </c>
      <c r="I285" s="7">
        <f t="shared" si="38"/>
        <v>0</v>
      </c>
      <c r="K285" s="27">
        <f t="shared" si="39"/>
        <v>0</v>
      </c>
      <c r="L285" s="7">
        <f t="shared" si="40"/>
        <v>0</v>
      </c>
      <c r="M285" s="7">
        <f t="shared" si="41"/>
        <v>0</v>
      </c>
      <c r="O285" s="27">
        <f t="shared" si="42"/>
        <v>5585064.7836570228</v>
      </c>
      <c r="P285" s="7">
        <f t="shared" si="43"/>
        <v>35519.589882756205</v>
      </c>
      <c r="Q285" s="7">
        <f t="shared" si="44"/>
        <v>98069.597583971001</v>
      </c>
    </row>
    <row r="286" spans="2:17" x14ac:dyDescent="0.25">
      <c r="B286" s="3">
        <v>277</v>
      </c>
      <c r="C286" s="27">
        <v>5487827.958733649</v>
      </c>
      <c r="D286" s="7">
        <v>34906.654897856228</v>
      </c>
      <c r="E286" s="7">
        <v>97236.824923347274</v>
      </c>
      <c r="G286" s="27">
        <f t="shared" si="36"/>
        <v>0</v>
      </c>
      <c r="H286" s="7">
        <f t="shared" si="37"/>
        <v>0</v>
      </c>
      <c r="I286" s="7">
        <f t="shared" si="38"/>
        <v>0</v>
      </c>
      <c r="K286" s="27">
        <f t="shared" si="39"/>
        <v>0</v>
      </c>
      <c r="L286" s="7">
        <f t="shared" si="40"/>
        <v>0</v>
      </c>
      <c r="M286" s="7">
        <f t="shared" si="41"/>
        <v>0</v>
      </c>
      <c r="O286" s="27">
        <f t="shared" si="42"/>
        <v>5487827.9587336751</v>
      </c>
      <c r="P286" s="7">
        <f t="shared" si="43"/>
        <v>34906.654897856388</v>
      </c>
      <c r="Q286" s="7">
        <f t="shared" si="44"/>
        <v>97236.824923347274</v>
      </c>
    </row>
    <row r="287" spans="2:17" x14ac:dyDescent="0.25">
      <c r="B287" s="3">
        <v>278</v>
      </c>
      <c r="C287" s="27">
        <v>5391417.3082184363</v>
      </c>
      <c r="D287" s="7">
        <v>34298.924742085306</v>
      </c>
      <c r="E287" s="7">
        <v>96410.65051521291</v>
      </c>
      <c r="G287" s="27">
        <f t="shared" si="36"/>
        <v>0</v>
      </c>
      <c r="H287" s="7">
        <f t="shared" si="37"/>
        <v>0</v>
      </c>
      <c r="I287" s="7">
        <f t="shared" si="38"/>
        <v>0</v>
      </c>
      <c r="K287" s="27">
        <f t="shared" si="39"/>
        <v>0</v>
      </c>
      <c r="L287" s="7">
        <f t="shared" si="40"/>
        <v>0</v>
      </c>
      <c r="M287" s="7">
        <f t="shared" si="41"/>
        <v>0</v>
      </c>
      <c r="O287" s="27">
        <f t="shared" si="42"/>
        <v>5391417.3082184624</v>
      </c>
      <c r="P287" s="7">
        <f t="shared" si="43"/>
        <v>34298.924742085466</v>
      </c>
      <c r="Q287" s="7">
        <f t="shared" si="44"/>
        <v>96410.65051521291</v>
      </c>
    </row>
    <row r="288" spans="2:17" x14ac:dyDescent="0.25">
      <c r="B288" s="3">
        <v>279</v>
      </c>
      <c r="C288" s="27">
        <v>5295826.2856086129</v>
      </c>
      <c r="D288" s="7">
        <v>33696.358176365226</v>
      </c>
      <c r="E288" s="7">
        <v>95591.022609823354</v>
      </c>
      <c r="G288" s="27">
        <f t="shared" si="36"/>
        <v>0</v>
      </c>
      <c r="H288" s="7">
        <f t="shared" si="37"/>
        <v>0</v>
      </c>
      <c r="I288" s="7">
        <f t="shared" si="38"/>
        <v>0</v>
      </c>
      <c r="K288" s="27">
        <f t="shared" si="39"/>
        <v>0</v>
      </c>
      <c r="L288" s="7">
        <f t="shared" si="40"/>
        <v>0</v>
      </c>
      <c r="M288" s="7">
        <f t="shared" si="41"/>
        <v>0</v>
      </c>
      <c r="O288" s="27">
        <f t="shared" si="42"/>
        <v>5295826.285608639</v>
      </c>
      <c r="P288" s="7">
        <f t="shared" si="43"/>
        <v>33696.358176365386</v>
      </c>
      <c r="Q288" s="7">
        <f t="shared" si="44"/>
        <v>95591.022609823354</v>
      </c>
    </row>
    <row r="289" spans="2:17" x14ac:dyDescent="0.25">
      <c r="B289" s="3">
        <v>280</v>
      </c>
      <c r="C289" s="27">
        <v>5201048.3957459442</v>
      </c>
      <c r="D289" s="7">
        <v>33098.914285053826</v>
      </c>
      <c r="E289" s="7">
        <v>94777.889862669035</v>
      </c>
      <c r="G289" s="27">
        <f t="shared" si="36"/>
        <v>0</v>
      </c>
      <c r="H289" s="7">
        <f t="shared" si="37"/>
        <v>0</v>
      </c>
      <c r="I289" s="7">
        <f t="shared" si="38"/>
        <v>0</v>
      </c>
      <c r="K289" s="27">
        <f t="shared" si="39"/>
        <v>0</v>
      </c>
      <c r="L289" s="7">
        <f t="shared" si="40"/>
        <v>0</v>
      </c>
      <c r="M289" s="7">
        <f t="shared" si="41"/>
        <v>0</v>
      </c>
      <c r="O289" s="27">
        <f t="shared" si="42"/>
        <v>5201048.3957459703</v>
      </c>
      <c r="P289" s="7">
        <f t="shared" si="43"/>
        <v>33098.914285053994</v>
      </c>
      <c r="Q289" s="7">
        <f t="shared" si="44"/>
        <v>94777.889862669035</v>
      </c>
    </row>
    <row r="290" spans="2:17" x14ac:dyDescent="0.25">
      <c r="B290" s="3">
        <v>281</v>
      </c>
      <c r="C290" s="27">
        <v>5107077.1944146408</v>
      </c>
      <c r="D290" s="7">
        <v>32506.55247341215</v>
      </c>
      <c r="E290" s="7">
        <v>93971.201331303135</v>
      </c>
      <c r="G290" s="27">
        <f t="shared" si="36"/>
        <v>0</v>
      </c>
      <c r="H290" s="7">
        <f t="shared" si="37"/>
        <v>0</v>
      </c>
      <c r="I290" s="7">
        <f t="shared" si="38"/>
        <v>0</v>
      </c>
      <c r="K290" s="27">
        <f t="shared" si="39"/>
        <v>0</v>
      </c>
      <c r="L290" s="7">
        <f t="shared" si="40"/>
        <v>0</v>
      </c>
      <c r="M290" s="7">
        <f t="shared" si="41"/>
        <v>0</v>
      </c>
      <c r="O290" s="27">
        <f t="shared" si="42"/>
        <v>5107077.1944146669</v>
      </c>
      <c r="P290" s="7">
        <f t="shared" si="43"/>
        <v>32506.55247341231</v>
      </c>
      <c r="Q290" s="7">
        <f t="shared" si="44"/>
        <v>93971.201331303135</v>
      </c>
    </row>
    <row r="291" spans="2:17" x14ac:dyDescent="0.25">
      <c r="B291" s="3">
        <v>282</v>
      </c>
      <c r="C291" s="27">
        <v>5013906.2879424468</v>
      </c>
      <c r="D291" s="7">
        <v>31919.232465091503</v>
      </c>
      <c r="E291" s="7">
        <v>93170.906472193776</v>
      </c>
      <c r="G291" s="27">
        <f t="shared" si="36"/>
        <v>0</v>
      </c>
      <c r="H291" s="7">
        <f t="shared" si="37"/>
        <v>0</v>
      </c>
      <c r="I291" s="7">
        <f t="shared" si="38"/>
        <v>0</v>
      </c>
      <c r="K291" s="27">
        <f t="shared" si="39"/>
        <v>0</v>
      </c>
      <c r="L291" s="7">
        <f t="shared" si="40"/>
        <v>0</v>
      </c>
      <c r="M291" s="7">
        <f t="shared" si="41"/>
        <v>0</v>
      </c>
      <c r="O291" s="27">
        <f t="shared" si="42"/>
        <v>5013906.2879424728</v>
      </c>
      <c r="P291" s="7">
        <f t="shared" si="43"/>
        <v>31919.232465091663</v>
      </c>
      <c r="Q291" s="7">
        <f t="shared" si="44"/>
        <v>93170.906472193776</v>
      </c>
    </row>
    <row r="292" spans="2:17" x14ac:dyDescent="0.25">
      <c r="B292" s="3">
        <v>283</v>
      </c>
      <c r="C292" s="27">
        <v>4921529.3328048456</v>
      </c>
      <c r="D292" s="7">
        <v>31336.914299640288</v>
      </c>
      <c r="E292" s="7">
        <v>92376.955137600919</v>
      </c>
      <c r="G292" s="27">
        <f t="shared" si="36"/>
        <v>0</v>
      </c>
      <c r="H292" s="7">
        <f t="shared" si="37"/>
        <v>0</v>
      </c>
      <c r="I292" s="7">
        <f t="shared" si="38"/>
        <v>0</v>
      </c>
      <c r="K292" s="27">
        <f t="shared" si="39"/>
        <v>0</v>
      </c>
      <c r="L292" s="7">
        <f t="shared" si="40"/>
        <v>0</v>
      </c>
      <c r="M292" s="7">
        <f t="shared" si="41"/>
        <v>0</v>
      </c>
      <c r="O292" s="27">
        <f t="shared" si="42"/>
        <v>4921529.3328048717</v>
      </c>
      <c r="P292" s="7">
        <f t="shared" si="43"/>
        <v>31336.914299640452</v>
      </c>
      <c r="Q292" s="7">
        <f t="shared" si="44"/>
        <v>92376.955137600919</v>
      </c>
    </row>
    <row r="293" spans="2:17" x14ac:dyDescent="0.25">
      <c r="B293" s="3">
        <v>284</v>
      </c>
      <c r="C293" s="27">
        <v>4829940.0352323679</v>
      </c>
      <c r="D293" s="7">
        <v>30759.558330030282</v>
      </c>
      <c r="E293" s="7">
        <v>91589.297572478055</v>
      </c>
      <c r="G293" s="27">
        <f t="shared" si="36"/>
        <v>0</v>
      </c>
      <c r="H293" s="7">
        <f t="shared" si="37"/>
        <v>0</v>
      </c>
      <c r="I293" s="7">
        <f t="shared" si="38"/>
        <v>0</v>
      </c>
      <c r="K293" s="27">
        <f t="shared" si="39"/>
        <v>0</v>
      </c>
      <c r="L293" s="7">
        <f t="shared" si="40"/>
        <v>0</v>
      </c>
      <c r="M293" s="7">
        <f t="shared" si="41"/>
        <v>0</v>
      </c>
      <c r="O293" s="27">
        <f t="shared" si="42"/>
        <v>4829940.035232394</v>
      </c>
      <c r="P293" s="7">
        <f t="shared" si="43"/>
        <v>30759.558330030446</v>
      </c>
      <c r="Q293" s="7">
        <f t="shared" si="44"/>
        <v>91589.297572478055</v>
      </c>
    </row>
    <row r="294" spans="2:17" x14ac:dyDescent="0.25">
      <c r="B294" s="3">
        <v>285</v>
      </c>
      <c r="C294" s="27">
        <v>4739132.1508209705</v>
      </c>
      <c r="D294" s="7">
        <v>30187.125220202299</v>
      </c>
      <c r="E294" s="7">
        <v>90807.884411397623</v>
      </c>
      <c r="G294" s="27">
        <f t="shared" si="36"/>
        <v>0</v>
      </c>
      <c r="H294" s="7">
        <f t="shared" si="37"/>
        <v>0</v>
      </c>
      <c r="I294" s="7">
        <f t="shared" si="38"/>
        <v>0</v>
      </c>
      <c r="K294" s="27">
        <f t="shared" si="39"/>
        <v>0</v>
      </c>
      <c r="L294" s="7">
        <f t="shared" si="40"/>
        <v>0</v>
      </c>
      <c r="M294" s="7">
        <f t="shared" si="41"/>
        <v>0</v>
      </c>
      <c r="O294" s="27">
        <f t="shared" si="42"/>
        <v>4739132.1508209966</v>
      </c>
      <c r="P294" s="7">
        <f t="shared" si="43"/>
        <v>30187.125220202459</v>
      </c>
      <c r="Q294" s="7">
        <f t="shared" si="44"/>
        <v>90807.884411397623</v>
      </c>
    </row>
    <row r="295" spans="2:17" x14ac:dyDescent="0.25">
      <c r="B295" s="3">
        <v>286</v>
      </c>
      <c r="C295" s="27">
        <v>4649099.48414547</v>
      </c>
      <c r="D295" s="7">
        <v>29619.575942631065</v>
      </c>
      <c r="E295" s="7">
        <v>90032.666675500979</v>
      </c>
      <c r="G295" s="27">
        <f t="shared" si="36"/>
        <v>0</v>
      </c>
      <c r="H295" s="7">
        <f t="shared" si="37"/>
        <v>0</v>
      </c>
      <c r="I295" s="7">
        <f t="shared" si="38"/>
        <v>0</v>
      </c>
      <c r="K295" s="27">
        <f t="shared" si="39"/>
        <v>0</v>
      </c>
      <c r="L295" s="7">
        <f t="shared" si="40"/>
        <v>0</v>
      </c>
      <c r="M295" s="7">
        <f t="shared" si="41"/>
        <v>0</v>
      </c>
      <c r="O295" s="27">
        <f t="shared" si="42"/>
        <v>4649099.484145496</v>
      </c>
      <c r="P295" s="7">
        <f t="shared" si="43"/>
        <v>29619.575942631225</v>
      </c>
      <c r="Q295" s="7">
        <f t="shared" si="44"/>
        <v>90032.666675500979</v>
      </c>
    </row>
    <row r="296" spans="2:17" x14ac:dyDescent="0.25">
      <c r="B296" s="3">
        <v>287</v>
      </c>
      <c r="C296" s="27">
        <v>4559835.8883759985</v>
      </c>
      <c r="D296" s="7">
        <v>29056.871775909185</v>
      </c>
      <c r="E296" s="7">
        <v>89263.595769471925</v>
      </c>
      <c r="G296" s="27">
        <f t="shared" si="36"/>
        <v>0</v>
      </c>
      <c r="H296" s="7">
        <f t="shared" si="37"/>
        <v>0</v>
      </c>
      <c r="I296" s="7">
        <f t="shared" si="38"/>
        <v>0</v>
      </c>
      <c r="K296" s="27">
        <f t="shared" si="39"/>
        <v>0</v>
      </c>
      <c r="L296" s="7">
        <f t="shared" si="40"/>
        <v>0</v>
      </c>
      <c r="M296" s="7">
        <f t="shared" si="41"/>
        <v>0</v>
      </c>
      <c r="O296" s="27">
        <f t="shared" si="42"/>
        <v>4559835.8883760246</v>
      </c>
      <c r="P296" s="7">
        <f t="shared" si="43"/>
        <v>29056.871775909349</v>
      </c>
      <c r="Q296" s="7">
        <f t="shared" si="44"/>
        <v>89263.595769471925</v>
      </c>
    </row>
    <row r="297" spans="2:17" x14ac:dyDescent="0.25">
      <c r="B297" s="3">
        <v>288</v>
      </c>
      <c r="C297" s="27">
        <v>4471335.2648974648</v>
      </c>
      <c r="D297" s="7">
        <v>28498.974302349987</v>
      </c>
      <c r="E297" s="7">
        <v>88500.623478533977</v>
      </c>
      <c r="G297" s="27">
        <f t="shared" si="36"/>
        <v>0</v>
      </c>
      <c r="H297" s="7">
        <f t="shared" si="37"/>
        <v>0</v>
      </c>
      <c r="I297" s="7">
        <f t="shared" si="38"/>
        <v>0</v>
      </c>
      <c r="K297" s="27">
        <f t="shared" si="39"/>
        <v>0</v>
      </c>
      <c r="L297" s="7">
        <f t="shared" si="40"/>
        <v>0</v>
      </c>
      <c r="M297" s="7">
        <f t="shared" si="41"/>
        <v>0</v>
      </c>
      <c r="O297" s="27">
        <f t="shared" si="42"/>
        <v>4471335.2648974909</v>
      </c>
      <c r="P297" s="7">
        <f t="shared" si="43"/>
        <v>28498.974302350151</v>
      </c>
      <c r="Q297" s="7">
        <f t="shared" si="44"/>
        <v>88500.623478533977</v>
      </c>
    </row>
    <row r="298" spans="2:17" x14ac:dyDescent="0.25">
      <c r="B298" s="3">
        <v>289</v>
      </c>
      <c r="C298" s="27">
        <v>4383591.562931993</v>
      </c>
      <c r="D298" s="7">
        <v>27945.845405609154</v>
      </c>
      <c r="E298" s="7">
        <v>87743.701965471409</v>
      </c>
      <c r="G298" s="27">
        <f t="shared" si="36"/>
        <v>0</v>
      </c>
      <c r="H298" s="7">
        <f t="shared" si="37"/>
        <v>0</v>
      </c>
      <c r="I298" s="7">
        <f t="shared" si="38"/>
        <v>0</v>
      </c>
      <c r="K298" s="27">
        <f t="shared" si="39"/>
        <v>0</v>
      </c>
      <c r="L298" s="7">
        <f t="shared" si="40"/>
        <v>0</v>
      </c>
      <c r="M298" s="7">
        <f t="shared" si="41"/>
        <v>0</v>
      </c>
      <c r="O298" s="27">
        <f t="shared" si="42"/>
        <v>4383591.5629320191</v>
      </c>
      <c r="P298" s="7">
        <f t="shared" si="43"/>
        <v>27945.845405609314</v>
      </c>
      <c r="Q298" s="7">
        <f t="shared" si="44"/>
        <v>87743.701965471409</v>
      </c>
    </row>
    <row r="299" spans="2:17" x14ac:dyDescent="0.25">
      <c r="B299" s="3">
        <v>290</v>
      </c>
      <c r="C299" s="27">
        <v>4296598.7791643199</v>
      </c>
      <c r="D299" s="7">
        <v>27397.447268324955</v>
      </c>
      <c r="E299" s="7">
        <v>86992.783767673187</v>
      </c>
      <c r="G299" s="27">
        <f t="shared" si="36"/>
        <v>0</v>
      </c>
      <c r="H299" s="7">
        <f t="shared" si="37"/>
        <v>0</v>
      </c>
      <c r="I299" s="7">
        <f t="shared" si="38"/>
        <v>0</v>
      </c>
      <c r="K299" s="27">
        <f t="shared" si="39"/>
        <v>0</v>
      </c>
      <c r="L299" s="7">
        <f t="shared" si="40"/>
        <v>0</v>
      </c>
      <c r="M299" s="7">
        <f t="shared" si="41"/>
        <v>0</v>
      </c>
      <c r="O299" s="27">
        <f t="shared" si="42"/>
        <v>4296598.7791643459</v>
      </c>
      <c r="P299" s="7">
        <f t="shared" si="43"/>
        <v>27397.447268325119</v>
      </c>
      <c r="Q299" s="7">
        <f t="shared" si="44"/>
        <v>86992.783767673187</v>
      </c>
    </row>
    <row r="300" spans="2:17" x14ac:dyDescent="0.25">
      <c r="B300" s="3">
        <v>291</v>
      </c>
      <c r="C300" s="27">
        <v>4210350.9573701192</v>
      </c>
      <c r="D300" s="7">
        <v>26853.742369776995</v>
      </c>
      <c r="E300" s="7">
        <v>86247.821794200368</v>
      </c>
      <c r="G300" s="27">
        <f t="shared" si="36"/>
        <v>0</v>
      </c>
      <c r="H300" s="7">
        <f t="shared" si="37"/>
        <v>0</v>
      </c>
      <c r="I300" s="7">
        <f t="shared" si="38"/>
        <v>0</v>
      </c>
      <c r="K300" s="27">
        <f t="shared" si="39"/>
        <v>0</v>
      </c>
      <c r="L300" s="7">
        <f t="shared" si="40"/>
        <v>0</v>
      </c>
      <c r="M300" s="7">
        <f t="shared" si="41"/>
        <v>0</v>
      </c>
      <c r="O300" s="27">
        <f t="shared" si="42"/>
        <v>4210350.9573701452</v>
      </c>
      <c r="P300" s="7">
        <f t="shared" si="43"/>
        <v>26853.742369777159</v>
      </c>
      <c r="Q300" s="7">
        <f t="shared" si="44"/>
        <v>86247.821794200368</v>
      </c>
    </row>
    <row r="301" spans="2:17" x14ac:dyDescent="0.25">
      <c r="B301" s="3">
        <v>292</v>
      </c>
      <c r="C301" s="27">
        <v>4124842.1880472428</v>
      </c>
      <c r="D301" s="7">
        <v>26314.693483563242</v>
      </c>
      <c r="E301" s="7">
        <v>85508.769322876382</v>
      </c>
      <c r="G301" s="27">
        <f t="shared" si="36"/>
        <v>0</v>
      </c>
      <c r="H301" s="7">
        <f t="shared" si="37"/>
        <v>0</v>
      </c>
      <c r="I301" s="7">
        <f t="shared" si="38"/>
        <v>0</v>
      </c>
      <c r="K301" s="27">
        <f t="shared" si="39"/>
        <v>0</v>
      </c>
      <c r="L301" s="7">
        <f t="shared" si="40"/>
        <v>0</v>
      </c>
      <c r="M301" s="7">
        <f t="shared" si="41"/>
        <v>0</v>
      </c>
      <c r="O301" s="27">
        <f t="shared" si="42"/>
        <v>4124842.1880472689</v>
      </c>
      <c r="P301" s="7">
        <f t="shared" si="43"/>
        <v>26314.693483563406</v>
      </c>
      <c r="Q301" s="7">
        <f t="shared" si="44"/>
        <v>85508.769322876382</v>
      </c>
    </row>
    <row r="302" spans="2:17" x14ac:dyDescent="0.25">
      <c r="B302" s="3">
        <v>293</v>
      </c>
      <c r="C302" s="27">
        <v>4040066.6080498425</v>
      </c>
      <c r="D302" s="7">
        <v>25780.263675295264</v>
      </c>
      <c r="E302" s="7">
        <v>84775.579997400055</v>
      </c>
      <c r="G302" s="27">
        <f t="shared" si="36"/>
        <v>0</v>
      </c>
      <c r="H302" s="7">
        <f t="shared" si="37"/>
        <v>0</v>
      </c>
      <c r="I302" s="7">
        <f t="shared" si="38"/>
        <v>0</v>
      </c>
      <c r="K302" s="27">
        <f t="shared" si="39"/>
        <v>0</v>
      </c>
      <c r="L302" s="7">
        <f t="shared" si="40"/>
        <v>0</v>
      </c>
      <c r="M302" s="7">
        <f t="shared" si="41"/>
        <v>0</v>
      </c>
      <c r="O302" s="27">
        <f t="shared" si="42"/>
        <v>4040066.6080498686</v>
      </c>
      <c r="P302" s="7">
        <f t="shared" si="43"/>
        <v>25780.263675295428</v>
      </c>
      <c r="Q302" s="7">
        <f t="shared" si="44"/>
        <v>84775.579997400055</v>
      </c>
    </row>
    <row r="303" spans="2:17" x14ac:dyDescent="0.25">
      <c r="B303" s="3">
        <v>294</v>
      </c>
      <c r="C303" s="27">
        <v>3956018.4002253613</v>
      </c>
      <c r="D303" s="7">
        <v>25250.416300311514</v>
      </c>
      <c r="E303" s="7">
        <v>84048.207824481113</v>
      </c>
      <c r="G303" s="27">
        <f t="shared" si="36"/>
        <v>0</v>
      </c>
      <c r="H303" s="7">
        <f t="shared" si="37"/>
        <v>0</v>
      </c>
      <c r="I303" s="7">
        <f t="shared" si="38"/>
        <v>0</v>
      </c>
      <c r="K303" s="27">
        <f t="shared" si="39"/>
        <v>0</v>
      </c>
      <c r="L303" s="7">
        <f t="shared" si="40"/>
        <v>0</v>
      </c>
      <c r="M303" s="7">
        <f t="shared" si="41"/>
        <v>0</v>
      </c>
      <c r="O303" s="27">
        <f t="shared" si="42"/>
        <v>3956018.4002253874</v>
      </c>
      <c r="P303" s="7">
        <f t="shared" si="43"/>
        <v>25250.416300311677</v>
      </c>
      <c r="Q303" s="7">
        <f t="shared" si="44"/>
        <v>84048.207824481113</v>
      </c>
    </row>
    <row r="304" spans="2:17" x14ac:dyDescent="0.25">
      <c r="B304" s="3">
        <v>295</v>
      </c>
      <c r="C304" s="27">
        <v>3872691.7930543628</v>
      </c>
      <c r="D304" s="7">
        <v>24725.115001408507</v>
      </c>
      <c r="E304" s="7">
        <v>83326.607170998497</v>
      </c>
      <c r="G304" s="27">
        <f t="shared" si="36"/>
        <v>0</v>
      </c>
      <c r="H304" s="7">
        <f t="shared" si="37"/>
        <v>0</v>
      </c>
      <c r="I304" s="7">
        <f t="shared" si="38"/>
        <v>0</v>
      </c>
      <c r="K304" s="27">
        <f t="shared" si="39"/>
        <v>0</v>
      </c>
      <c r="L304" s="7">
        <f t="shared" si="40"/>
        <v>0</v>
      </c>
      <c r="M304" s="7">
        <f t="shared" si="41"/>
        <v>0</v>
      </c>
      <c r="O304" s="27">
        <f t="shared" si="42"/>
        <v>3872691.7930543888</v>
      </c>
      <c r="P304" s="7">
        <f t="shared" si="43"/>
        <v>24725.115001408671</v>
      </c>
      <c r="Q304" s="7">
        <f t="shared" si="44"/>
        <v>83326.607170998497</v>
      </c>
    </row>
    <row r="305" spans="2:17" x14ac:dyDescent="0.25">
      <c r="B305" s="3">
        <v>296</v>
      </c>
      <c r="C305" s="27">
        <v>3790081.0602931823</v>
      </c>
      <c r="D305" s="7">
        <v>24204.323706589767</v>
      </c>
      <c r="E305" s="7">
        <v>82610.732761180334</v>
      </c>
      <c r="G305" s="27">
        <f t="shared" si="36"/>
        <v>0</v>
      </c>
      <c r="H305" s="7">
        <f t="shared" si="37"/>
        <v>0</v>
      </c>
      <c r="I305" s="7">
        <f t="shared" si="38"/>
        <v>0</v>
      </c>
      <c r="K305" s="27">
        <f t="shared" si="39"/>
        <v>0</v>
      </c>
      <c r="L305" s="7">
        <f t="shared" si="40"/>
        <v>0</v>
      </c>
      <c r="M305" s="7">
        <f t="shared" si="41"/>
        <v>0</v>
      </c>
      <c r="O305" s="27">
        <f t="shared" si="42"/>
        <v>3790081.0602932083</v>
      </c>
      <c r="P305" s="7">
        <f t="shared" si="43"/>
        <v>24204.323706589927</v>
      </c>
      <c r="Q305" s="7">
        <f t="shared" si="44"/>
        <v>82610.732761180334</v>
      </c>
    </row>
    <row r="306" spans="2:17" x14ac:dyDescent="0.25">
      <c r="B306" s="3">
        <v>297</v>
      </c>
      <c r="C306" s="27">
        <v>3708180.5206193756</v>
      </c>
      <c r="D306" s="7">
        <v>23688.006626832386</v>
      </c>
      <c r="E306" s="7">
        <v>81900.539673806634</v>
      </c>
      <c r="G306" s="27">
        <f t="shared" si="36"/>
        <v>0</v>
      </c>
      <c r="H306" s="7">
        <f t="shared" si="37"/>
        <v>0</v>
      </c>
      <c r="I306" s="7">
        <f t="shared" si="38"/>
        <v>0</v>
      </c>
      <c r="K306" s="27">
        <f t="shared" si="39"/>
        <v>0</v>
      </c>
      <c r="L306" s="7">
        <f t="shared" si="40"/>
        <v>0</v>
      </c>
      <c r="M306" s="7">
        <f t="shared" si="41"/>
        <v>0</v>
      </c>
      <c r="O306" s="27">
        <f t="shared" si="42"/>
        <v>3708180.5206194017</v>
      </c>
      <c r="P306" s="7">
        <f t="shared" si="43"/>
        <v>23688.00662683255</v>
      </c>
      <c r="Q306" s="7">
        <f t="shared" si="44"/>
        <v>81900.539673806634</v>
      </c>
    </row>
    <row r="307" spans="2:17" x14ac:dyDescent="0.25">
      <c r="B307" s="3">
        <v>298</v>
      </c>
      <c r="C307" s="27">
        <v>3626984.5372799421</v>
      </c>
      <c r="D307" s="7">
        <v>23176.128253871095</v>
      </c>
      <c r="E307" s="7">
        <v>81195.9833394335</v>
      </c>
      <c r="G307" s="27">
        <f t="shared" si="36"/>
        <v>0</v>
      </c>
      <c r="H307" s="7">
        <f t="shared" si="37"/>
        <v>0</v>
      </c>
      <c r="I307" s="7">
        <f t="shared" si="38"/>
        <v>0</v>
      </c>
      <c r="K307" s="27">
        <f t="shared" si="39"/>
        <v>0</v>
      </c>
      <c r="L307" s="7">
        <f t="shared" si="40"/>
        <v>0</v>
      </c>
      <c r="M307" s="7">
        <f t="shared" si="41"/>
        <v>0</v>
      </c>
      <c r="O307" s="27">
        <f t="shared" si="42"/>
        <v>3626984.5372799681</v>
      </c>
      <c r="P307" s="7">
        <f t="shared" si="43"/>
        <v>23176.128253871258</v>
      </c>
      <c r="Q307" s="7">
        <f t="shared" si="44"/>
        <v>81195.9833394335</v>
      </c>
    </row>
    <row r="308" spans="2:17" x14ac:dyDescent="0.25">
      <c r="B308" s="3">
        <v>299</v>
      </c>
      <c r="C308" s="27">
        <v>3546487.5177423032</v>
      </c>
      <c r="D308" s="7">
        <v>22668.653357999636</v>
      </c>
      <c r="E308" s="7">
        <v>80497.019537638902</v>
      </c>
      <c r="G308" s="27">
        <f t="shared" si="36"/>
        <v>0</v>
      </c>
      <c r="H308" s="7">
        <f t="shared" si="37"/>
        <v>0</v>
      </c>
      <c r="I308" s="7">
        <f t="shared" si="38"/>
        <v>0</v>
      </c>
      <c r="K308" s="27">
        <f t="shared" si="39"/>
        <v>0</v>
      </c>
      <c r="L308" s="7">
        <f t="shared" si="40"/>
        <v>0</v>
      </c>
      <c r="M308" s="7">
        <f t="shared" si="41"/>
        <v>0</v>
      </c>
      <c r="O308" s="27">
        <f t="shared" si="42"/>
        <v>3546487.5177423293</v>
      </c>
      <c r="P308" s="7">
        <f t="shared" si="43"/>
        <v>22668.653357999799</v>
      </c>
      <c r="Q308" s="7">
        <f t="shared" si="44"/>
        <v>80497.019537638902</v>
      </c>
    </row>
    <row r="309" spans="2:17" x14ac:dyDescent="0.25">
      <c r="B309" s="3">
        <v>300</v>
      </c>
      <c r="C309" s="27">
        <v>3466683.9133480126</v>
      </c>
      <c r="D309" s="7">
        <v>22165.546985889392</v>
      </c>
      <c r="E309" s="7">
        <v>79803.604394290553</v>
      </c>
      <c r="G309" s="27">
        <f t="shared" si="36"/>
        <v>0</v>
      </c>
      <c r="H309" s="7">
        <f t="shared" si="37"/>
        <v>0</v>
      </c>
      <c r="I309" s="7">
        <f t="shared" si="38"/>
        <v>0</v>
      </c>
      <c r="K309" s="27">
        <f t="shared" si="39"/>
        <v>0</v>
      </c>
      <c r="L309" s="7">
        <f t="shared" si="40"/>
        <v>0</v>
      </c>
      <c r="M309" s="7">
        <f t="shared" si="41"/>
        <v>0</v>
      </c>
      <c r="O309" s="27">
        <f t="shared" si="42"/>
        <v>3466683.9133480387</v>
      </c>
      <c r="P309" s="7">
        <f t="shared" si="43"/>
        <v>22165.546985889556</v>
      </c>
      <c r="Q309" s="7">
        <f t="shared" si="44"/>
        <v>79803.604394290553</v>
      </c>
    </row>
    <row r="310" spans="2:17" x14ac:dyDescent="0.25">
      <c r="B310" s="3">
        <v>301</v>
      </c>
      <c r="C310" s="27">
        <v>3387568.2189691779</v>
      </c>
      <c r="D310" s="7">
        <v>21666.774458425076</v>
      </c>
      <c r="E310" s="7">
        <v>79115.694378834698</v>
      </c>
      <c r="G310" s="27">
        <f t="shared" si="36"/>
        <v>0</v>
      </c>
      <c r="H310" s="7">
        <f t="shared" si="37"/>
        <v>0</v>
      </c>
      <c r="I310" s="7">
        <f t="shared" si="38"/>
        <v>0</v>
      </c>
      <c r="K310" s="27">
        <f t="shared" si="39"/>
        <v>0</v>
      </c>
      <c r="L310" s="7">
        <f t="shared" si="40"/>
        <v>0</v>
      </c>
      <c r="M310" s="7">
        <f t="shared" si="41"/>
        <v>0</v>
      </c>
      <c r="O310" s="27">
        <f t="shared" si="42"/>
        <v>3387568.218969204</v>
      </c>
      <c r="P310" s="7">
        <f t="shared" si="43"/>
        <v>21666.77445842524</v>
      </c>
      <c r="Q310" s="7">
        <f t="shared" si="44"/>
        <v>79115.694378834698</v>
      </c>
    </row>
    <row r="311" spans="2:17" x14ac:dyDescent="0.25">
      <c r="B311" s="3">
        <v>302</v>
      </c>
      <c r="C311" s="27">
        <v>3309134.9726675716</v>
      </c>
      <c r="D311" s="7">
        <v>21172.301368557361</v>
      </c>
      <c r="E311" s="7">
        <v>78433.246301606327</v>
      </c>
      <c r="G311" s="27">
        <f t="shared" si="36"/>
        <v>0</v>
      </c>
      <c r="H311" s="7">
        <f t="shared" si="37"/>
        <v>0</v>
      </c>
      <c r="I311" s="7">
        <f t="shared" si="38"/>
        <v>0</v>
      </c>
      <c r="K311" s="27">
        <f t="shared" si="39"/>
        <v>0</v>
      </c>
      <c r="L311" s="7">
        <f t="shared" si="40"/>
        <v>0</v>
      </c>
      <c r="M311" s="7">
        <f t="shared" si="41"/>
        <v>0</v>
      </c>
      <c r="O311" s="27">
        <f t="shared" si="42"/>
        <v>3309134.9726675977</v>
      </c>
      <c r="P311" s="7">
        <f t="shared" si="43"/>
        <v>21172.301368557524</v>
      </c>
      <c r="Q311" s="7">
        <f t="shared" si="44"/>
        <v>78433.246301606327</v>
      </c>
    </row>
    <row r="312" spans="2:17" x14ac:dyDescent="0.25">
      <c r="B312" s="3">
        <v>303</v>
      </c>
      <c r="C312" s="27">
        <v>3231378.755356411</v>
      </c>
      <c r="D312" s="7">
        <v>20682.09357917232</v>
      </c>
      <c r="E312" s="7">
        <v>77756.21731116045</v>
      </c>
      <c r="G312" s="27">
        <f t="shared" si="36"/>
        <v>0</v>
      </c>
      <c r="H312" s="7">
        <f t="shared" si="37"/>
        <v>0</v>
      </c>
      <c r="I312" s="7">
        <f t="shared" si="38"/>
        <v>0</v>
      </c>
      <c r="K312" s="27">
        <f t="shared" si="39"/>
        <v>0</v>
      </c>
      <c r="L312" s="7">
        <f t="shared" si="40"/>
        <v>0</v>
      </c>
      <c r="M312" s="7">
        <f t="shared" si="41"/>
        <v>0</v>
      </c>
      <c r="O312" s="27">
        <f t="shared" si="42"/>
        <v>3231378.7553564371</v>
      </c>
      <c r="P312" s="7">
        <f t="shared" si="43"/>
        <v>20682.093579172484</v>
      </c>
      <c r="Q312" s="7">
        <f t="shared" si="44"/>
        <v>77756.21731116045</v>
      </c>
    </row>
    <row r="313" spans="2:17" x14ac:dyDescent="0.25">
      <c r="B313" s="3">
        <v>304</v>
      </c>
      <c r="C313" s="27">
        <v>3154294.1904647867</v>
      </c>
      <c r="D313" s="7">
        <v>20196.117220977569</v>
      </c>
      <c r="E313" s="7">
        <v>77084.564891624264</v>
      </c>
      <c r="G313" s="27">
        <f t="shared" si="36"/>
        <v>0</v>
      </c>
      <c r="H313" s="7">
        <f t="shared" si="37"/>
        <v>0</v>
      </c>
      <c r="I313" s="7">
        <f t="shared" si="38"/>
        <v>0</v>
      </c>
      <c r="K313" s="27">
        <f t="shared" si="39"/>
        <v>0</v>
      </c>
      <c r="L313" s="7">
        <f t="shared" si="40"/>
        <v>0</v>
      </c>
      <c r="M313" s="7">
        <f t="shared" si="41"/>
        <v>0</v>
      </c>
      <c r="O313" s="27">
        <f t="shared" si="42"/>
        <v>3154294.1904648128</v>
      </c>
      <c r="P313" s="7">
        <f t="shared" si="43"/>
        <v>20196.117220977729</v>
      </c>
      <c r="Q313" s="7">
        <f t="shared" si="44"/>
        <v>77084.564891624264</v>
      </c>
    </row>
    <row r="314" spans="2:17" x14ac:dyDescent="0.25">
      <c r="B314" s="3">
        <v>305</v>
      </c>
      <c r="C314" s="27">
        <v>3077875.943604717</v>
      </c>
      <c r="D314" s="7">
        <v>19714.338690404915</v>
      </c>
      <c r="E314" s="7">
        <v>76418.246860069892</v>
      </c>
      <c r="G314" s="27">
        <f t="shared" si="36"/>
        <v>0</v>
      </c>
      <c r="H314" s="7">
        <f t="shared" si="37"/>
        <v>0</v>
      </c>
      <c r="I314" s="7">
        <f t="shared" si="38"/>
        <v>0</v>
      </c>
      <c r="K314" s="27">
        <f t="shared" si="39"/>
        <v>0</v>
      </c>
      <c r="L314" s="7">
        <f t="shared" si="40"/>
        <v>0</v>
      </c>
      <c r="M314" s="7">
        <f t="shared" si="41"/>
        <v>0</v>
      </c>
      <c r="O314" s="27">
        <f t="shared" si="42"/>
        <v>3077875.9436047431</v>
      </c>
      <c r="P314" s="7">
        <f t="shared" si="43"/>
        <v>19714.338690405079</v>
      </c>
      <c r="Q314" s="7">
        <f t="shared" si="44"/>
        <v>76418.246860069892</v>
      </c>
    </row>
    <row r="315" spans="2:17" x14ac:dyDescent="0.25">
      <c r="B315" s="3">
        <v>306</v>
      </c>
      <c r="C315" s="27">
        <v>3002118.7222408089</v>
      </c>
      <c r="D315" s="7">
        <v>19236.724647529481</v>
      </c>
      <c r="E315" s="7">
        <v>75757.221363907927</v>
      </c>
      <c r="G315" s="27">
        <f t="shared" si="36"/>
        <v>0</v>
      </c>
      <c r="H315" s="7">
        <f t="shared" si="37"/>
        <v>0</v>
      </c>
      <c r="I315" s="7">
        <f t="shared" si="38"/>
        <v>0</v>
      </c>
      <c r="K315" s="27">
        <f t="shared" si="39"/>
        <v>0</v>
      </c>
      <c r="L315" s="7">
        <f t="shared" si="40"/>
        <v>0</v>
      </c>
      <c r="M315" s="7">
        <f t="shared" si="41"/>
        <v>0</v>
      </c>
      <c r="O315" s="27">
        <f t="shared" si="42"/>
        <v>3002118.722240835</v>
      </c>
      <c r="P315" s="7">
        <f t="shared" si="43"/>
        <v>19236.724647529642</v>
      </c>
      <c r="Q315" s="7">
        <f t="shared" si="44"/>
        <v>75757.221363907927</v>
      </c>
    </row>
    <row r="316" spans="2:17" x14ac:dyDescent="0.25">
      <c r="B316" s="3">
        <v>307</v>
      </c>
      <c r="C316" s="27">
        <v>2927017.2753625074</v>
      </c>
      <c r="D316" s="7">
        <v>18763.242014005053</v>
      </c>
      <c r="E316" s="7">
        <v>75101.446878301213</v>
      </c>
      <c r="G316" s="27">
        <f t="shared" si="36"/>
        <v>0</v>
      </c>
      <c r="H316" s="7">
        <f t="shared" si="37"/>
        <v>0</v>
      </c>
      <c r="I316" s="7">
        <f t="shared" si="38"/>
        <v>0</v>
      </c>
      <c r="K316" s="27">
        <f t="shared" si="39"/>
        <v>0</v>
      </c>
      <c r="L316" s="7">
        <f t="shared" si="40"/>
        <v>0</v>
      </c>
      <c r="M316" s="7">
        <f t="shared" si="41"/>
        <v>0</v>
      </c>
      <c r="O316" s="27">
        <f t="shared" si="42"/>
        <v>2927017.2753625335</v>
      </c>
      <c r="P316" s="7">
        <f t="shared" si="43"/>
        <v>18763.242014005216</v>
      </c>
      <c r="Q316" s="7">
        <f t="shared" si="44"/>
        <v>75101.446878301213</v>
      </c>
    </row>
    <row r="317" spans="2:17" x14ac:dyDescent="0.25">
      <c r="B317" s="3">
        <v>308</v>
      </c>
      <c r="C317" s="27">
        <v>2852566.3931589085</v>
      </c>
      <c r="D317" s="7">
        <v>18293.85797101567</v>
      </c>
      <c r="E317" s="7">
        <v>74450.882203598958</v>
      </c>
      <c r="G317" s="27">
        <f t="shared" si="36"/>
        <v>0</v>
      </c>
      <c r="H317" s="7">
        <f t="shared" si="37"/>
        <v>0</v>
      </c>
      <c r="I317" s="7">
        <f t="shared" si="38"/>
        <v>0</v>
      </c>
      <c r="K317" s="27">
        <f t="shared" si="39"/>
        <v>0</v>
      </c>
      <c r="L317" s="7">
        <f t="shared" si="40"/>
        <v>0</v>
      </c>
      <c r="M317" s="7">
        <f t="shared" si="41"/>
        <v>0</v>
      </c>
      <c r="O317" s="27">
        <f t="shared" si="42"/>
        <v>2852566.3931589345</v>
      </c>
      <c r="P317" s="7">
        <f t="shared" si="43"/>
        <v>18293.857971015834</v>
      </c>
      <c r="Q317" s="7">
        <f t="shared" si="44"/>
        <v>74450.882203598958</v>
      </c>
    </row>
    <row r="318" spans="2:17" x14ac:dyDescent="0.25">
      <c r="B318" s="3">
        <v>309</v>
      </c>
      <c r="C318" s="27">
        <v>2778760.9066961175</v>
      </c>
      <c r="D318" s="7">
        <v>17828.539957243178</v>
      </c>
      <c r="E318" s="7">
        <v>73805.486462790839</v>
      </c>
      <c r="G318" s="27">
        <f t="shared" si="36"/>
        <v>0</v>
      </c>
      <c r="H318" s="7">
        <f t="shared" si="37"/>
        <v>0</v>
      </c>
      <c r="I318" s="7">
        <f t="shared" si="38"/>
        <v>0</v>
      </c>
      <c r="K318" s="27">
        <f t="shared" si="39"/>
        <v>0</v>
      </c>
      <c r="L318" s="7">
        <f t="shared" si="40"/>
        <v>0</v>
      </c>
      <c r="M318" s="7">
        <f t="shared" si="41"/>
        <v>0</v>
      </c>
      <c r="O318" s="27">
        <f t="shared" si="42"/>
        <v>2778760.9066961436</v>
      </c>
      <c r="P318" s="7">
        <f t="shared" si="43"/>
        <v>17828.539957243338</v>
      </c>
      <c r="Q318" s="7">
        <f t="shared" si="44"/>
        <v>73805.486462790839</v>
      </c>
    </row>
    <row r="319" spans="2:17" x14ac:dyDescent="0.25">
      <c r="B319" s="3">
        <v>310</v>
      </c>
      <c r="C319" s="27">
        <v>2705595.687597136</v>
      </c>
      <c r="D319" s="7">
        <v>17367.255666850731</v>
      </c>
      <c r="E319" s="7">
        <v>73165.219098981237</v>
      </c>
      <c r="G319" s="27">
        <f t="shared" si="36"/>
        <v>0</v>
      </c>
      <c r="H319" s="7">
        <f t="shared" si="37"/>
        <v>0</v>
      </c>
      <c r="I319" s="7">
        <f t="shared" si="38"/>
        <v>0</v>
      </c>
      <c r="K319" s="27">
        <f t="shared" si="39"/>
        <v>0</v>
      </c>
      <c r="L319" s="7">
        <f t="shared" si="40"/>
        <v>0</v>
      </c>
      <c r="M319" s="7">
        <f t="shared" si="41"/>
        <v>0</v>
      </c>
      <c r="O319" s="27">
        <f t="shared" si="42"/>
        <v>2705595.6875971621</v>
      </c>
      <c r="P319" s="7">
        <f t="shared" si="43"/>
        <v>17367.255666850895</v>
      </c>
      <c r="Q319" s="7">
        <f t="shared" si="44"/>
        <v>73165.219098981237</v>
      </c>
    </row>
    <row r="320" spans="2:17" x14ac:dyDescent="0.25">
      <c r="B320" s="3">
        <v>311</v>
      </c>
      <c r="C320" s="27">
        <v>2633065.6477242531</v>
      </c>
      <c r="D320" s="7">
        <v>16909.973047482097</v>
      </c>
      <c r="E320" s="7">
        <v>72530.039872882917</v>
      </c>
      <c r="G320" s="27">
        <f t="shared" si="36"/>
        <v>0</v>
      </c>
      <c r="H320" s="7">
        <f t="shared" si="37"/>
        <v>0</v>
      </c>
      <c r="I320" s="7">
        <f t="shared" si="38"/>
        <v>0</v>
      </c>
      <c r="K320" s="27">
        <f t="shared" si="39"/>
        <v>0</v>
      </c>
      <c r="L320" s="7">
        <f t="shared" si="40"/>
        <v>0</v>
      </c>
      <c r="M320" s="7">
        <f t="shared" si="41"/>
        <v>0</v>
      </c>
      <c r="O320" s="27">
        <f t="shared" si="42"/>
        <v>2633065.6477242792</v>
      </c>
      <c r="P320" s="7">
        <f t="shared" si="43"/>
        <v>16909.973047482261</v>
      </c>
      <c r="Q320" s="7">
        <f t="shared" si="44"/>
        <v>72530.039872882917</v>
      </c>
    </row>
    <row r="321" spans="2:17" x14ac:dyDescent="0.25">
      <c r="B321" s="3">
        <v>312</v>
      </c>
      <c r="C321" s="27">
        <v>2561165.7388639227</v>
      </c>
      <c r="D321" s="7">
        <v>16456.66029827658</v>
      </c>
      <c r="E321" s="7">
        <v>71899.908860330674</v>
      </c>
      <c r="G321" s="27">
        <f t="shared" si="36"/>
        <v>0</v>
      </c>
      <c r="H321" s="7">
        <f t="shared" si="37"/>
        <v>0</v>
      </c>
      <c r="I321" s="7">
        <f t="shared" si="38"/>
        <v>0</v>
      </c>
      <c r="K321" s="27">
        <f t="shared" si="39"/>
        <v>0</v>
      </c>
      <c r="L321" s="7">
        <f t="shared" si="40"/>
        <v>0</v>
      </c>
      <c r="M321" s="7">
        <f t="shared" si="41"/>
        <v>0</v>
      </c>
      <c r="O321" s="27">
        <f t="shared" si="42"/>
        <v>2561165.7388639487</v>
      </c>
      <c r="P321" s="7">
        <f t="shared" si="43"/>
        <v>16456.660298276744</v>
      </c>
      <c r="Q321" s="7">
        <f t="shared" si="44"/>
        <v>71899.908860330674</v>
      </c>
    </row>
    <row r="322" spans="2:17" x14ac:dyDescent="0.25">
      <c r="B322" s="3">
        <v>313</v>
      </c>
      <c r="C322" s="27">
        <v>2489890.9524141084</v>
      </c>
      <c r="D322" s="7">
        <v>16007.285867899514</v>
      </c>
      <c r="E322" s="7">
        <v>71274.786449814186</v>
      </c>
      <c r="G322" s="27">
        <f t="shared" si="36"/>
        <v>0</v>
      </c>
      <c r="H322" s="7">
        <f t="shared" si="37"/>
        <v>0</v>
      </c>
      <c r="I322" s="7">
        <f t="shared" si="38"/>
        <v>0</v>
      </c>
      <c r="K322" s="27">
        <f t="shared" si="39"/>
        <v>0</v>
      </c>
      <c r="L322" s="7">
        <f t="shared" si="40"/>
        <v>0</v>
      </c>
      <c r="M322" s="7">
        <f t="shared" si="41"/>
        <v>0</v>
      </c>
      <c r="O322" s="27">
        <f t="shared" si="42"/>
        <v>2489890.9524141345</v>
      </c>
      <c r="P322" s="7">
        <f t="shared" si="43"/>
        <v>16007.285867899678</v>
      </c>
      <c r="Q322" s="7">
        <f t="shared" si="44"/>
        <v>71274.786449814186</v>
      </c>
    </row>
    <row r="323" spans="2:17" x14ac:dyDescent="0.25">
      <c r="B323" s="3">
        <v>314</v>
      </c>
      <c r="C323" s="27">
        <v>2419236.319074078</v>
      </c>
      <c r="D323" s="7">
        <v>15561.818452588177</v>
      </c>
      <c r="E323" s="7">
        <v>70654.633340030472</v>
      </c>
      <c r="G323" s="27">
        <f t="shared" si="36"/>
        <v>0</v>
      </c>
      <c r="H323" s="7">
        <f t="shared" si="37"/>
        <v>0</v>
      </c>
      <c r="I323" s="7">
        <f t="shared" si="38"/>
        <v>0</v>
      </c>
      <c r="K323" s="27">
        <f t="shared" si="39"/>
        <v>0</v>
      </c>
      <c r="L323" s="7">
        <f t="shared" si="40"/>
        <v>0</v>
      </c>
      <c r="M323" s="7">
        <f t="shared" si="41"/>
        <v>0</v>
      </c>
      <c r="O323" s="27">
        <f t="shared" si="42"/>
        <v>2419236.3190741041</v>
      </c>
      <c r="P323" s="7">
        <f t="shared" si="43"/>
        <v>15561.818452588339</v>
      </c>
      <c r="Q323" s="7">
        <f t="shared" si="44"/>
        <v>70654.633340030472</v>
      </c>
    </row>
    <row r="324" spans="2:17" x14ac:dyDescent="0.25">
      <c r="B324" s="3">
        <v>315</v>
      </c>
      <c r="C324" s="27">
        <v>2349196.9085366232</v>
      </c>
      <c r="D324" s="7">
        <v>15120.226994212986</v>
      </c>
      <c r="E324" s="7">
        <v>70039.410537454954</v>
      </c>
      <c r="G324" s="27">
        <f t="shared" si="36"/>
        <v>0</v>
      </c>
      <c r="H324" s="7">
        <f t="shared" si="37"/>
        <v>0</v>
      </c>
      <c r="I324" s="7">
        <f t="shared" si="38"/>
        <v>0</v>
      </c>
      <c r="K324" s="27">
        <f t="shared" si="39"/>
        <v>0</v>
      </c>
      <c r="L324" s="7">
        <f t="shared" si="40"/>
        <v>0</v>
      </c>
      <c r="M324" s="7">
        <f t="shared" si="41"/>
        <v>0</v>
      </c>
      <c r="O324" s="27">
        <f t="shared" si="42"/>
        <v>2349196.9085366493</v>
      </c>
      <c r="P324" s="7">
        <f t="shared" si="43"/>
        <v>15120.22699421315</v>
      </c>
      <c r="Q324" s="7">
        <f t="shared" si="44"/>
        <v>70039.410537454954</v>
      </c>
    </row>
    <row r="325" spans="2:17" x14ac:dyDescent="0.25">
      <c r="B325" s="3">
        <v>316</v>
      </c>
      <c r="C325" s="27">
        <v>2279767.8291826909</v>
      </c>
      <c r="D325" s="7">
        <v>14682.480678353893</v>
      </c>
      <c r="E325" s="7">
        <v>69429.079353932335</v>
      </c>
      <c r="G325" s="27">
        <f t="shared" si="36"/>
        <v>0</v>
      </c>
      <c r="H325" s="7">
        <f t="shared" si="37"/>
        <v>0</v>
      </c>
      <c r="I325" s="7">
        <f t="shared" si="38"/>
        <v>0</v>
      </c>
      <c r="K325" s="27">
        <f t="shared" si="39"/>
        <v>0</v>
      </c>
      <c r="L325" s="7">
        <f t="shared" si="40"/>
        <v>0</v>
      </c>
      <c r="M325" s="7">
        <f t="shared" si="41"/>
        <v>0</v>
      </c>
      <c r="O325" s="27">
        <f t="shared" si="42"/>
        <v>2279767.829182717</v>
      </c>
      <c r="P325" s="7">
        <f t="shared" si="43"/>
        <v>14682.480678354057</v>
      </c>
      <c r="Q325" s="7">
        <f t="shared" si="44"/>
        <v>69429.079353932335</v>
      </c>
    </row>
    <row r="326" spans="2:17" x14ac:dyDescent="0.25">
      <c r="B326" s="3">
        <v>317</v>
      </c>
      <c r="C326" s="27">
        <v>2210944.2277784054</v>
      </c>
      <c r="D326" s="7">
        <v>14248.548932391817</v>
      </c>
      <c r="E326" s="7">
        <v>68823.601404285611</v>
      </c>
      <c r="G326" s="27">
        <f t="shared" si="36"/>
        <v>0</v>
      </c>
      <c r="H326" s="7">
        <f t="shared" si="37"/>
        <v>0</v>
      </c>
      <c r="I326" s="7">
        <f t="shared" si="38"/>
        <v>0</v>
      </c>
      <c r="K326" s="27">
        <f t="shared" si="39"/>
        <v>0</v>
      </c>
      <c r="L326" s="7">
        <f t="shared" si="40"/>
        <v>0</v>
      </c>
      <c r="M326" s="7">
        <f t="shared" si="41"/>
        <v>0</v>
      </c>
      <c r="O326" s="27">
        <f t="shared" si="42"/>
        <v>2210944.2277784315</v>
      </c>
      <c r="P326" s="7">
        <f t="shared" si="43"/>
        <v>14248.548932391981</v>
      </c>
      <c r="Q326" s="7">
        <f t="shared" si="44"/>
        <v>68823.601404285611</v>
      </c>
    </row>
    <row r="327" spans="2:17" x14ac:dyDescent="0.25">
      <c r="B327" s="3">
        <v>318</v>
      </c>
      <c r="C327" s="27">
        <v>2142721.2891744613</v>
      </c>
      <c r="D327" s="7">
        <v>13818.401423615032</v>
      </c>
      <c r="E327" s="7">
        <v>68222.938603944247</v>
      </c>
      <c r="G327" s="27">
        <f t="shared" si="36"/>
        <v>0</v>
      </c>
      <c r="H327" s="7">
        <f t="shared" si="37"/>
        <v>0</v>
      </c>
      <c r="I327" s="7">
        <f t="shared" si="38"/>
        <v>0</v>
      </c>
      <c r="K327" s="27">
        <f t="shared" si="39"/>
        <v>0</v>
      </c>
      <c r="L327" s="7">
        <f t="shared" si="40"/>
        <v>0</v>
      </c>
      <c r="M327" s="7">
        <f t="shared" si="41"/>
        <v>0</v>
      </c>
      <c r="O327" s="27">
        <f t="shared" si="42"/>
        <v>2142721.2891744873</v>
      </c>
      <c r="P327" s="7">
        <f t="shared" si="43"/>
        <v>13818.401423615196</v>
      </c>
      <c r="Q327" s="7">
        <f t="shared" si="44"/>
        <v>68222.938603944247</v>
      </c>
    </row>
    <row r="328" spans="2:17" x14ac:dyDescent="0.25">
      <c r="B328" s="3">
        <v>319</v>
      </c>
      <c r="C328" s="27">
        <v>2075094.2360078706</v>
      </c>
      <c r="D328" s="7">
        <v>13392.008057340381</v>
      </c>
      <c r="E328" s="7">
        <v>67627.053166590602</v>
      </c>
      <c r="G328" s="27">
        <f t="shared" si="36"/>
        <v>0</v>
      </c>
      <c r="H328" s="7">
        <f t="shared" si="37"/>
        <v>0</v>
      </c>
      <c r="I328" s="7">
        <f t="shared" si="38"/>
        <v>0</v>
      </c>
      <c r="K328" s="27">
        <f t="shared" si="39"/>
        <v>0</v>
      </c>
      <c r="L328" s="7">
        <f t="shared" si="40"/>
        <v>0</v>
      </c>
      <c r="M328" s="7">
        <f t="shared" si="41"/>
        <v>0</v>
      </c>
      <c r="O328" s="27">
        <f t="shared" si="42"/>
        <v>2075094.2360078967</v>
      </c>
      <c r="P328" s="7">
        <f t="shared" si="43"/>
        <v>13392.008057340545</v>
      </c>
      <c r="Q328" s="7">
        <f t="shared" si="44"/>
        <v>67627.053166590602</v>
      </c>
    </row>
    <row r="329" spans="2:17" x14ac:dyDescent="0.25">
      <c r="B329" s="3">
        <v>320</v>
      </c>
      <c r="C329" s="27">
        <v>2008058.3284060454</v>
      </c>
      <c r="D329" s="7">
        <v>12969.33897504919</v>
      </c>
      <c r="E329" s="7">
        <v>67035.90760182518</v>
      </c>
      <c r="G329" s="27">
        <f t="shared" si="36"/>
        <v>0</v>
      </c>
      <c r="H329" s="7">
        <f t="shared" si="37"/>
        <v>0</v>
      </c>
      <c r="I329" s="7">
        <f t="shared" si="38"/>
        <v>0</v>
      </c>
      <c r="K329" s="27">
        <f t="shared" si="39"/>
        <v>0</v>
      </c>
      <c r="L329" s="7">
        <f t="shared" si="40"/>
        <v>0</v>
      </c>
      <c r="M329" s="7">
        <f t="shared" si="41"/>
        <v>0</v>
      </c>
      <c r="O329" s="27">
        <f t="shared" si="42"/>
        <v>2008058.3284060715</v>
      </c>
      <c r="P329" s="7">
        <f t="shared" si="43"/>
        <v>12969.338975049353</v>
      </c>
      <c r="Q329" s="7">
        <f t="shared" si="44"/>
        <v>67035.90760182518</v>
      </c>
    </row>
    <row r="330" spans="2:17" x14ac:dyDescent="0.25">
      <c r="B330" s="3">
        <v>321</v>
      </c>
      <c r="C330" s="27">
        <v>1941608.8636931959</v>
      </c>
      <c r="D330" s="7">
        <v>12550.364552537783</v>
      </c>
      <c r="E330" s="7">
        <v>66449.464712849673</v>
      </c>
      <c r="G330" s="27">
        <f t="shared" si="36"/>
        <v>0</v>
      </c>
      <c r="H330" s="7">
        <f t="shared" si="37"/>
        <v>0</v>
      </c>
      <c r="I330" s="7">
        <f t="shared" si="38"/>
        <v>0</v>
      </c>
      <c r="K330" s="27">
        <f t="shared" si="39"/>
        <v>0</v>
      </c>
      <c r="L330" s="7">
        <f t="shared" si="40"/>
        <v>0</v>
      </c>
      <c r="M330" s="7">
        <f t="shared" si="41"/>
        <v>0</v>
      </c>
      <c r="O330" s="27">
        <f t="shared" si="42"/>
        <v>1941608.8636932219</v>
      </c>
      <c r="P330" s="7">
        <f t="shared" si="43"/>
        <v>12550.364552537945</v>
      </c>
      <c r="Q330" s="7">
        <f t="shared" si="44"/>
        <v>66449.464712849673</v>
      </c>
    </row>
    <row r="331" spans="2:17" x14ac:dyDescent="0.25">
      <c r="B331" s="3">
        <v>322</v>
      </c>
      <c r="C331" s="27">
        <v>1875741.1760990273</v>
      </c>
      <c r="D331" s="7">
        <v>12135.055398082473</v>
      </c>
      <c r="E331" s="7">
        <v>65867.687594168659</v>
      </c>
      <c r="G331" s="27">
        <f t="shared" ref="G331:G364" si="45">G330-I331</f>
        <v>0</v>
      </c>
      <c r="H331" s="7">
        <f t="shared" ref="H331:H364" si="46">$D$3*G330</f>
        <v>0</v>
      </c>
      <c r="I331" s="7">
        <f t="shared" ref="I331:I364" si="47">IF(G330&gt;0,IF(E331 &lt; G330, E331, G330),0)</f>
        <v>0</v>
      </c>
      <c r="K331" s="27">
        <f t="shared" ref="K331:K364" si="48">K330-M331</f>
        <v>0</v>
      </c>
      <c r="L331" s="7">
        <f t="shared" ref="L331:L364" si="49">$D$3*K330</f>
        <v>0</v>
      </c>
      <c r="M331" s="7">
        <f t="shared" ref="M331:M364" si="50">IF(G331&gt;0,0,IF(E331 &lt; K330,E331-I331,K330))</f>
        <v>0</v>
      </c>
      <c r="O331" s="27">
        <f t="shared" ref="O331:O364" si="51">O330-Q331</f>
        <v>1875741.1760990534</v>
      </c>
      <c r="P331" s="7">
        <f t="shared" ref="P331:P364" si="52">$D$3*O330</f>
        <v>12135.055398082635</v>
      </c>
      <c r="Q331" s="7">
        <f t="shared" ref="Q331:Q364" si="53">IF(K331&gt;0,0,E331-M331)</f>
        <v>65867.687594168659</v>
      </c>
    </row>
    <row r="332" spans="2:17" x14ac:dyDescent="0.25">
      <c r="B332" s="3">
        <v>323</v>
      </c>
      <c r="C332" s="27">
        <v>1810450.6364697185</v>
      </c>
      <c r="D332" s="7">
        <v>11723.38235061892</v>
      </c>
      <c r="E332" s="7">
        <v>65290.539629308703</v>
      </c>
      <c r="G332" s="27">
        <f t="shared" si="45"/>
        <v>0</v>
      </c>
      <c r="H332" s="7">
        <f t="shared" si="46"/>
        <v>0</v>
      </c>
      <c r="I332" s="7">
        <f t="shared" si="47"/>
        <v>0</v>
      </c>
      <c r="K332" s="27">
        <f t="shared" si="48"/>
        <v>0</v>
      </c>
      <c r="L332" s="7">
        <f t="shared" si="49"/>
        <v>0</v>
      </c>
      <c r="M332" s="7">
        <f t="shared" si="50"/>
        <v>0</v>
      </c>
      <c r="O332" s="27">
        <f t="shared" si="51"/>
        <v>1810450.6364697446</v>
      </c>
      <c r="P332" s="7">
        <f t="shared" si="52"/>
        <v>11723.382350619082</v>
      </c>
      <c r="Q332" s="7">
        <f t="shared" si="53"/>
        <v>65290.539629308703</v>
      </c>
    </row>
    <row r="333" spans="2:17" x14ac:dyDescent="0.25">
      <c r="B333" s="3">
        <v>324</v>
      </c>
      <c r="C333" s="27">
        <v>1745732.6519811626</v>
      </c>
      <c r="D333" s="7">
        <v>11315.316477935739</v>
      </c>
      <c r="E333" s="7">
        <v>64717.984488555965</v>
      </c>
      <c r="G333" s="27">
        <f t="shared" si="45"/>
        <v>0</v>
      </c>
      <c r="H333" s="7">
        <f t="shared" si="46"/>
        <v>0</v>
      </c>
      <c r="I333" s="7">
        <f t="shared" si="47"/>
        <v>0</v>
      </c>
      <c r="K333" s="27">
        <f t="shared" si="48"/>
        <v>0</v>
      </c>
      <c r="L333" s="7">
        <f t="shared" si="49"/>
        <v>0</v>
      </c>
      <c r="M333" s="7">
        <f t="shared" si="50"/>
        <v>0</v>
      </c>
      <c r="O333" s="27">
        <f t="shared" si="51"/>
        <v>1745732.6519811887</v>
      </c>
      <c r="P333" s="7">
        <f t="shared" si="52"/>
        <v>11315.316477935903</v>
      </c>
      <c r="Q333" s="7">
        <f t="shared" si="53"/>
        <v>64717.984488555965</v>
      </c>
    </row>
    <row r="334" spans="2:17" x14ac:dyDescent="0.25">
      <c r="B334" s="3">
        <v>325</v>
      </c>
      <c r="C334" s="27">
        <v>1681582.6658544517</v>
      </c>
      <c r="D334" s="7">
        <v>10910.829074882266</v>
      </c>
      <c r="E334" s="7">
        <v>64149.986126710974</v>
      </c>
      <c r="G334" s="27">
        <f t="shared" si="45"/>
        <v>0</v>
      </c>
      <c r="H334" s="7">
        <f t="shared" si="46"/>
        <v>0</v>
      </c>
      <c r="I334" s="7">
        <f t="shared" si="47"/>
        <v>0</v>
      </c>
      <c r="K334" s="27">
        <f t="shared" si="48"/>
        <v>0</v>
      </c>
      <c r="L334" s="7">
        <f t="shared" si="49"/>
        <v>0</v>
      </c>
      <c r="M334" s="7">
        <f t="shared" si="50"/>
        <v>0</v>
      </c>
      <c r="O334" s="27">
        <f t="shared" si="51"/>
        <v>1681582.6658544778</v>
      </c>
      <c r="P334" s="7">
        <f t="shared" si="52"/>
        <v>10910.829074882429</v>
      </c>
      <c r="Q334" s="7">
        <f t="shared" si="53"/>
        <v>64149.986126710974</v>
      </c>
    </row>
    <row r="335" spans="2:17" x14ac:dyDescent="0.25">
      <c r="B335" s="3">
        <v>326</v>
      </c>
      <c r="C335" s="27">
        <v>1617996.1570735904</v>
      </c>
      <c r="D335" s="7">
        <v>10509.891661590322</v>
      </c>
      <c r="E335" s="7">
        <v>63586.508780861324</v>
      </c>
      <c r="G335" s="27">
        <f t="shared" si="45"/>
        <v>0</v>
      </c>
      <c r="H335" s="7">
        <f t="shared" si="46"/>
        <v>0</v>
      </c>
      <c r="I335" s="7">
        <f t="shared" si="47"/>
        <v>0</v>
      </c>
      <c r="K335" s="27">
        <f t="shared" si="48"/>
        <v>0</v>
      </c>
      <c r="L335" s="7">
        <f t="shared" si="49"/>
        <v>0</v>
      </c>
      <c r="M335" s="7">
        <f t="shared" si="50"/>
        <v>0</v>
      </c>
      <c r="O335" s="27">
        <f t="shared" si="51"/>
        <v>1617996.1570736165</v>
      </c>
      <c r="P335" s="7">
        <f t="shared" si="52"/>
        <v>10509.891661590485</v>
      </c>
      <c r="Q335" s="7">
        <f t="shared" si="53"/>
        <v>63586.508780861324</v>
      </c>
    </row>
    <row r="336" spans="2:17" x14ac:dyDescent="0.25">
      <c r="B336" s="3">
        <v>327</v>
      </c>
      <c r="C336" s="27">
        <v>1554968.6401054189</v>
      </c>
      <c r="D336" s="7">
        <v>10112.47598170994</v>
      </c>
      <c r="E336" s="7">
        <v>63027.516968171592</v>
      </c>
      <c r="G336" s="27">
        <f t="shared" si="45"/>
        <v>0</v>
      </c>
      <c r="H336" s="7">
        <f t="shared" si="46"/>
        <v>0</v>
      </c>
      <c r="I336" s="7">
        <f t="shared" si="47"/>
        <v>0</v>
      </c>
      <c r="K336" s="27">
        <f t="shared" si="48"/>
        <v>0</v>
      </c>
      <c r="L336" s="7">
        <f t="shared" si="49"/>
        <v>0</v>
      </c>
      <c r="M336" s="7">
        <f t="shared" si="50"/>
        <v>0</v>
      </c>
      <c r="O336" s="27">
        <f t="shared" si="51"/>
        <v>1554968.6401054449</v>
      </c>
      <c r="P336" s="7">
        <f t="shared" si="52"/>
        <v>10112.475981710102</v>
      </c>
      <c r="Q336" s="7">
        <f t="shared" si="53"/>
        <v>63027.516968171592</v>
      </c>
    </row>
    <row r="337" spans="2:17" x14ac:dyDescent="0.25">
      <c r="B337" s="3">
        <v>328</v>
      </c>
      <c r="C337" s="27">
        <v>1492495.6646217282</v>
      </c>
      <c r="D337" s="7">
        <v>9718.5540006588672</v>
      </c>
      <c r="E337" s="7">
        <v>62472.975483690563</v>
      </c>
      <c r="G337" s="27">
        <f t="shared" si="45"/>
        <v>0</v>
      </c>
      <c r="H337" s="7">
        <f t="shared" si="46"/>
        <v>0</v>
      </c>
      <c r="I337" s="7">
        <f t="shared" si="47"/>
        <v>0</v>
      </c>
      <c r="K337" s="27">
        <f t="shared" si="48"/>
        <v>0</v>
      </c>
      <c r="L337" s="7">
        <f t="shared" si="49"/>
        <v>0</v>
      </c>
      <c r="M337" s="7">
        <f t="shared" si="50"/>
        <v>0</v>
      </c>
      <c r="O337" s="27">
        <f t="shared" si="51"/>
        <v>1492495.6646217543</v>
      </c>
      <c r="P337" s="7">
        <f t="shared" si="52"/>
        <v>9718.5540006590309</v>
      </c>
      <c r="Q337" s="7">
        <f t="shared" si="53"/>
        <v>62472.975483690563</v>
      </c>
    </row>
    <row r="338" spans="2:17" x14ac:dyDescent="0.25">
      <c r="B338" s="3">
        <v>329</v>
      </c>
      <c r="C338" s="27">
        <v>1430572.8152235523</v>
      </c>
      <c r="D338" s="7">
        <v>9328.0979038858004</v>
      </c>
      <c r="E338" s="7">
        <v>61922.849398175924</v>
      </c>
      <c r="G338" s="27">
        <f t="shared" si="45"/>
        <v>0</v>
      </c>
      <c r="H338" s="7">
        <f t="shared" si="46"/>
        <v>0</v>
      </c>
      <c r="I338" s="7">
        <f t="shared" si="47"/>
        <v>0</v>
      </c>
      <c r="K338" s="27">
        <f t="shared" si="48"/>
        <v>0</v>
      </c>
      <c r="L338" s="7">
        <f t="shared" si="49"/>
        <v>0</v>
      </c>
      <c r="M338" s="7">
        <f t="shared" si="50"/>
        <v>0</v>
      </c>
      <c r="O338" s="27">
        <f t="shared" si="51"/>
        <v>1430572.8152235784</v>
      </c>
      <c r="P338" s="7">
        <f t="shared" si="52"/>
        <v>9328.0979038859641</v>
      </c>
      <c r="Q338" s="7">
        <f t="shared" si="53"/>
        <v>61922.849398175924</v>
      </c>
    </row>
    <row r="339" spans="2:17" x14ac:dyDescent="0.25">
      <c r="B339" s="3">
        <v>330</v>
      </c>
      <c r="C339" s="27">
        <v>1369195.7111676165</v>
      </c>
      <c r="D339" s="7">
        <v>8941.0800951472011</v>
      </c>
      <c r="E339" s="7">
        <v>61377.104055935808</v>
      </c>
      <c r="G339" s="27">
        <f t="shared" si="45"/>
        <v>0</v>
      </c>
      <c r="H339" s="7">
        <f t="shared" si="46"/>
        <v>0</v>
      </c>
      <c r="I339" s="7">
        <f t="shared" si="47"/>
        <v>0</v>
      </c>
      <c r="K339" s="27">
        <f t="shared" si="48"/>
        <v>0</v>
      </c>
      <c r="L339" s="7">
        <f t="shared" si="49"/>
        <v>0</v>
      </c>
      <c r="M339" s="7">
        <f t="shared" si="50"/>
        <v>0</v>
      </c>
      <c r="O339" s="27">
        <f t="shared" si="51"/>
        <v>1369195.7111676426</v>
      </c>
      <c r="P339" s="7">
        <f t="shared" si="52"/>
        <v>8941.0800951473648</v>
      </c>
      <c r="Q339" s="7">
        <f t="shared" si="53"/>
        <v>61377.104055935808</v>
      </c>
    </row>
    <row r="340" spans="2:17" x14ac:dyDescent="0.25">
      <c r="B340" s="3">
        <v>331</v>
      </c>
      <c r="C340" s="27">
        <v>1308360.00609493</v>
      </c>
      <c r="D340" s="7">
        <v>8557.4731947976034</v>
      </c>
      <c r="E340" s="7">
        <v>60835.705072686644</v>
      </c>
      <c r="G340" s="27">
        <f t="shared" si="45"/>
        <v>0</v>
      </c>
      <c r="H340" s="7">
        <f t="shared" si="46"/>
        <v>0</v>
      </c>
      <c r="I340" s="7">
        <f t="shared" si="47"/>
        <v>0</v>
      </c>
      <c r="K340" s="27">
        <f t="shared" si="48"/>
        <v>0</v>
      </c>
      <c r="L340" s="7">
        <f t="shared" si="49"/>
        <v>0</v>
      </c>
      <c r="M340" s="7">
        <f t="shared" si="50"/>
        <v>0</v>
      </c>
      <c r="O340" s="27">
        <f t="shared" si="51"/>
        <v>1308360.0060949561</v>
      </c>
      <c r="P340" s="7">
        <f t="shared" si="52"/>
        <v>8557.4731947977652</v>
      </c>
      <c r="Q340" s="7">
        <f t="shared" si="53"/>
        <v>60835.705072686644</v>
      </c>
    </row>
    <row r="341" spans="2:17" x14ac:dyDescent="0.25">
      <c r="B341" s="3">
        <v>332</v>
      </c>
      <c r="C341" s="27">
        <v>1248061.3877615009</v>
      </c>
      <c r="D341" s="7">
        <v>8177.2500380933116</v>
      </c>
      <c r="E341" s="7">
        <v>60298.618333429098</v>
      </c>
      <c r="G341" s="27">
        <f t="shared" si="45"/>
        <v>0</v>
      </c>
      <c r="H341" s="7">
        <f t="shared" si="46"/>
        <v>0</v>
      </c>
      <c r="I341" s="7">
        <f t="shared" si="47"/>
        <v>0</v>
      </c>
      <c r="K341" s="27">
        <f t="shared" si="48"/>
        <v>0</v>
      </c>
      <c r="L341" s="7">
        <f t="shared" si="49"/>
        <v>0</v>
      </c>
      <c r="M341" s="7">
        <f t="shared" si="50"/>
        <v>0</v>
      </c>
      <c r="O341" s="27">
        <f t="shared" si="51"/>
        <v>1248061.387761527</v>
      </c>
      <c r="P341" s="7">
        <f t="shared" si="52"/>
        <v>8177.2500380934744</v>
      </c>
      <c r="Q341" s="7">
        <f t="shared" si="53"/>
        <v>60298.618333429098</v>
      </c>
    </row>
    <row r="342" spans="2:17" x14ac:dyDescent="0.25">
      <c r="B342" s="3">
        <v>333</v>
      </c>
      <c r="C342" s="27">
        <v>1188295.5777711617</v>
      </c>
      <c r="D342" s="7">
        <v>7800.3836735093801</v>
      </c>
      <c r="E342" s="7">
        <v>59765.809990339309</v>
      </c>
      <c r="G342" s="27">
        <f t="shared" si="45"/>
        <v>0</v>
      </c>
      <c r="H342" s="7">
        <f t="shared" si="46"/>
        <v>0</v>
      </c>
      <c r="I342" s="7">
        <f t="shared" si="47"/>
        <v>0</v>
      </c>
      <c r="K342" s="27">
        <f t="shared" si="48"/>
        <v>0</v>
      </c>
      <c r="L342" s="7">
        <f t="shared" si="49"/>
        <v>0</v>
      </c>
      <c r="M342" s="7">
        <f t="shared" si="50"/>
        <v>0</v>
      </c>
      <c r="O342" s="27">
        <f t="shared" si="51"/>
        <v>1188295.5777711878</v>
      </c>
      <c r="P342" s="7">
        <f t="shared" si="52"/>
        <v>7800.3836735095429</v>
      </c>
      <c r="Q342" s="7">
        <f t="shared" si="53"/>
        <v>59765.809990339309</v>
      </c>
    </row>
    <row r="343" spans="2:17" x14ac:dyDescent="0.25">
      <c r="B343" s="3">
        <v>334</v>
      </c>
      <c r="C343" s="27">
        <v>1129058.3313104843</v>
      </c>
      <c r="D343" s="7">
        <v>7426.8473610697602</v>
      </c>
      <c r="E343" s="7">
        <v>59237.246460677416</v>
      </c>
      <c r="G343" s="27">
        <f t="shared" si="45"/>
        <v>0</v>
      </c>
      <c r="H343" s="7">
        <f t="shared" si="46"/>
        <v>0</v>
      </c>
      <c r="I343" s="7">
        <f t="shared" si="47"/>
        <v>0</v>
      </c>
      <c r="K343" s="27">
        <f t="shared" si="48"/>
        <v>0</v>
      </c>
      <c r="L343" s="7">
        <f t="shared" si="49"/>
        <v>0</v>
      </c>
      <c r="M343" s="7">
        <f t="shared" si="50"/>
        <v>0</v>
      </c>
      <c r="O343" s="27">
        <f t="shared" si="51"/>
        <v>1129058.3313105104</v>
      </c>
      <c r="P343" s="7">
        <f t="shared" si="52"/>
        <v>7426.847361069923</v>
      </c>
      <c r="Q343" s="7">
        <f t="shared" si="53"/>
        <v>59237.246460677416</v>
      </c>
    </row>
    <row r="344" spans="2:17" x14ac:dyDescent="0.25">
      <c r="B344" s="3">
        <v>335</v>
      </c>
      <c r="C344" s="27">
        <v>1070345.4368857723</v>
      </c>
      <c r="D344" s="7">
        <v>7056.6145706905263</v>
      </c>
      <c r="E344" s="7">
        <v>58712.894424712111</v>
      </c>
      <c r="G344" s="27">
        <f t="shared" si="45"/>
        <v>0</v>
      </c>
      <c r="H344" s="7">
        <f t="shared" si="46"/>
        <v>0</v>
      </c>
      <c r="I344" s="7">
        <f t="shared" si="47"/>
        <v>0</v>
      </c>
      <c r="K344" s="27">
        <f t="shared" si="48"/>
        <v>0</v>
      </c>
      <c r="L344" s="7">
        <f t="shared" si="49"/>
        <v>0</v>
      </c>
      <c r="M344" s="7">
        <f t="shared" si="50"/>
        <v>0</v>
      </c>
      <c r="O344" s="27">
        <f t="shared" si="51"/>
        <v>1070345.4368857983</v>
      </c>
      <c r="P344" s="7">
        <f t="shared" si="52"/>
        <v>7056.6145706906891</v>
      </c>
      <c r="Q344" s="7">
        <f t="shared" si="53"/>
        <v>58712.894424712111</v>
      </c>
    </row>
    <row r="345" spans="2:17" x14ac:dyDescent="0.25">
      <c r="B345" s="3">
        <v>336</v>
      </c>
      <c r="C345" s="27">
        <v>1012152.7160621105</v>
      </c>
      <c r="D345" s="7">
        <v>6689.6589805360763</v>
      </c>
      <c r="E345" s="7">
        <v>58192.720823661824</v>
      </c>
      <c r="G345" s="27">
        <f t="shared" si="45"/>
        <v>0</v>
      </c>
      <c r="H345" s="7">
        <f t="shared" si="46"/>
        <v>0</v>
      </c>
      <c r="I345" s="7">
        <f t="shared" si="47"/>
        <v>0</v>
      </c>
      <c r="K345" s="27">
        <f t="shared" si="48"/>
        <v>0</v>
      </c>
      <c r="L345" s="7">
        <f t="shared" si="49"/>
        <v>0</v>
      </c>
      <c r="M345" s="7">
        <f t="shared" si="50"/>
        <v>0</v>
      </c>
      <c r="O345" s="27">
        <f t="shared" si="51"/>
        <v>1012152.7160621366</v>
      </c>
      <c r="P345" s="7">
        <f t="shared" si="52"/>
        <v>6689.6589805362391</v>
      </c>
      <c r="Q345" s="7">
        <f t="shared" si="53"/>
        <v>58192.720823661824</v>
      </c>
    </row>
    <row r="346" spans="2:17" x14ac:dyDescent="0.25">
      <c r="B346" s="3">
        <v>337</v>
      </c>
      <c r="C346" s="27">
        <v>954476.02320445899</v>
      </c>
      <c r="D346" s="7">
        <v>6325.9544753881901</v>
      </c>
      <c r="E346" s="7">
        <v>57676.692857651506</v>
      </c>
      <c r="G346" s="27">
        <f t="shared" si="45"/>
        <v>0</v>
      </c>
      <c r="H346" s="7">
        <f t="shared" si="46"/>
        <v>0</v>
      </c>
      <c r="I346" s="7">
        <f t="shared" si="47"/>
        <v>0</v>
      </c>
      <c r="K346" s="27">
        <f t="shared" si="48"/>
        <v>0</v>
      </c>
      <c r="L346" s="7">
        <f t="shared" si="49"/>
        <v>0</v>
      </c>
      <c r="M346" s="7">
        <f t="shared" si="50"/>
        <v>0</v>
      </c>
      <c r="O346" s="27">
        <f t="shared" si="51"/>
        <v>954476.02320448507</v>
      </c>
      <c r="P346" s="7">
        <f t="shared" si="52"/>
        <v>6325.9544753883529</v>
      </c>
      <c r="Q346" s="7">
        <f t="shared" si="53"/>
        <v>57676.692857651506</v>
      </c>
    </row>
    <row r="347" spans="2:17" x14ac:dyDescent="0.25">
      <c r="B347" s="3">
        <v>338</v>
      </c>
      <c r="C347" s="27">
        <v>897311.24522077315</v>
      </c>
      <c r="D347" s="7">
        <v>5965.4751450278682</v>
      </c>
      <c r="E347" s="7">
        <v>57164.777983685788</v>
      </c>
      <c r="G347" s="27">
        <f t="shared" si="45"/>
        <v>0</v>
      </c>
      <c r="H347" s="7">
        <f t="shared" si="46"/>
        <v>0</v>
      </c>
      <c r="I347" s="7">
        <f t="shared" si="47"/>
        <v>0</v>
      </c>
      <c r="K347" s="27">
        <f t="shared" si="48"/>
        <v>0</v>
      </c>
      <c r="L347" s="7">
        <f t="shared" si="49"/>
        <v>0</v>
      </c>
      <c r="M347" s="7">
        <f t="shared" si="50"/>
        <v>0</v>
      </c>
      <c r="O347" s="27">
        <f t="shared" si="51"/>
        <v>897311.24522079923</v>
      </c>
      <c r="P347" s="7">
        <f t="shared" si="52"/>
        <v>5965.475145028031</v>
      </c>
      <c r="Q347" s="7">
        <f t="shared" si="53"/>
        <v>57164.777983685788</v>
      </c>
    </row>
    <row r="348" spans="2:17" x14ac:dyDescent="0.25">
      <c r="B348" s="3">
        <v>339</v>
      </c>
      <c r="C348" s="27">
        <v>840654.30130713538</v>
      </c>
      <c r="D348" s="7">
        <v>5608.195282629832</v>
      </c>
      <c r="E348" s="7">
        <v>56656.943913637748</v>
      </c>
      <c r="G348" s="27">
        <f t="shared" si="45"/>
        <v>0</v>
      </c>
      <c r="H348" s="7">
        <f t="shared" si="46"/>
        <v>0</v>
      </c>
      <c r="I348" s="7">
        <f t="shared" si="47"/>
        <v>0</v>
      </c>
      <c r="K348" s="27">
        <f t="shared" si="48"/>
        <v>0</v>
      </c>
      <c r="L348" s="7">
        <f t="shared" si="49"/>
        <v>0</v>
      </c>
      <c r="M348" s="7">
        <f t="shared" si="50"/>
        <v>0</v>
      </c>
      <c r="O348" s="27">
        <f t="shared" si="51"/>
        <v>840654.30130716146</v>
      </c>
      <c r="P348" s="7">
        <f t="shared" si="52"/>
        <v>5608.1952826299948</v>
      </c>
      <c r="Q348" s="7">
        <f t="shared" si="53"/>
        <v>56656.943913637748</v>
      </c>
    </row>
    <row r="349" spans="2:17" x14ac:dyDescent="0.25">
      <c r="B349" s="3">
        <v>340</v>
      </c>
      <c r="C349" s="27">
        <v>784501.14269488154</v>
      </c>
      <c r="D349" s="7">
        <v>5254.0893831695957</v>
      </c>
      <c r="E349" s="7">
        <v>56153.15861225385</v>
      </c>
      <c r="G349" s="27">
        <f t="shared" si="45"/>
        <v>0</v>
      </c>
      <c r="H349" s="7">
        <f t="shared" si="46"/>
        <v>0</v>
      </c>
      <c r="I349" s="7">
        <f t="shared" si="47"/>
        <v>0</v>
      </c>
      <c r="K349" s="27">
        <f t="shared" si="48"/>
        <v>0</v>
      </c>
      <c r="L349" s="7">
        <f t="shared" si="49"/>
        <v>0</v>
      </c>
      <c r="M349" s="7">
        <f t="shared" si="50"/>
        <v>0</v>
      </c>
      <c r="O349" s="27">
        <f t="shared" si="51"/>
        <v>784501.14269490761</v>
      </c>
      <c r="P349" s="7">
        <f t="shared" si="52"/>
        <v>5254.0893831697585</v>
      </c>
      <c r="Q349" s="7">
        <f t="shared" si="53"/>
        <v>56153.15861225385</v>
      </c>
    </row>
    <row r="350" spans="2:17" x14ac:dyDescent="0.25">
      <c r="B350" s="3">
        <v>341</v>
      </c>
      <c r="C350" s="27">
        <v>728847.75239970768</v>
      </c>
      <c r="D350" s="7">
        <v>4903.1321418430089</v>
      </c>
      <c r="E350" s="7">
        <v>55653.390295173835</v>
      </c>
      <c r="G350" s="27">
        <f t="shared" si="45"/>
        <v>0</v>
      </c>
      <c r="H350" s="7">
        <f t="shared" si="46"/>
        <v>0</v>
      </c>
      <c r="I350" s="7">
        <f t="shared" si="47"/>
        <v>0</v>
      </c>
      <c r="K350" s="27">
        <f t="shared" si="48"/>
        <v>0</v>
      </c>
      <c r="L350" s="7">
        <f t="shared" si="49"/>
        <v>0</v>
      </c>
      <c r="M350" s="7">
        <f t="shared" si="50"/>
        <v>0</v>
      </c>
      <c r="O350" s="27">
        <f t="shared" si="51"/>
        <v>728847.75239973376</v>
      </c>
      <c r="P350" s="7">
        <f t="shared" si="52"/>
        <v>4903.1321418431726</v>
      </c>
      <c r="Q350" s="7">
        <f t="shared" si="53"/>
        <v>55653.390295173835</v>
      </c>
    </row>
    <row r="351" spans="2:17" x14ac:dyDescent="0.25">
      <c r="B351" s="3">
        <v>342</v>
      </c>
      <c r="C351" s="27">
        <v>673690.14497274067</v>
      </c>
      <c r="D351" s="7">
        <v>4555.298452498173</v>
      </c>
      <c r="E351" s="7">
        <v>55157.607426966948</v>
      </c>
      <c r="G351" s="27">
        <f t="shared" si="45"/>
        <v>0</v>
      </c>
      <c r="H351" s="7">
        <f t="shared" si="46"/>
        <v>0</v>
      </c>
      <c r="I351" s="7">
        <f t="shared" si="47"/>
        <v>0</v>
      </c>
      <c r="K351" s="27">
        <f t="shared" si="48"/>
        <v>0</v>
      </c>
      <c r="L351" s="7">
        <f t="shared" si="49"/>
        <v>0</v>
      </c>
      <c r="M351" s="7">
        <f t="shared" si="50"/>
        <v>0</v>
      </c>
      <c r="O351" s="27">
        <f t="shared" si="51"/>
        <v>673690.14497276675</v>
      </c>
      <c r="P351" s="7">
        <f t="shared" si="52"/>
        <v>4555.2984524983358</v>
      </c>
      <c r="Q351" s="7">
        <f t="shared" si="53"/>
        <v>55157.607426966948</v>
      </c>
    </row>
    <row r="352" spans="2:17" x14ac:dyDescent="0.25">
      <c r="B352" s="3">
        <v>343</v>
      </c>
      <c r="C352" s="27">
        <v>619024.36625355808</v>
      </c>
      <c r="D352" s="7">
        <v>4210.5634060796292</v>
      </c>
      <c r="E352" s="7">
        <v>54665.778719182606</v>
      </c>
      <c r="G352" s="27">
        <f t="shared" si="45"/>
        <v>0</v>
      </c>
      <c r="H352" s="7">
        <f t="shared" si="46"/>
        <v>0</v>
      </c>
      <c r="I352" s="7">
        <f t="shared" si="47"/>
        <v>0</v>
      </c>
      <c r="K352" s="27">
        <f t="shared" si="48"/>
        <v>0</v>
      </c>
      <c r="L352" s="7">
        <f t="shared" si="49"/>
        <v>0</v>
      </c>
      <c r="M352" s="7">
        <f t="shared" si="50"/>
        <v>0</v>
      </c>
      <c r="O352" s="27">
        <f t="shared" si="51"/>
        <v>619024.36625358416</v>
      </c>
      <c r="P352" s="7">
        <f t="shared" si="52"/>
        <v>4210.563406079792</v>
      </c>
      <c r="Q352" s="7">
        <f t="shared" si="53"/>
        <v>54665.778719182606</v>
      </c>
    </row>
    <row r="353" spans="2:17" x14ac:dyDescent="0.25">
      <c r="B353" s="3">
        <v>344</v>
      </c>
      <c r="C353" s="27">
        <v>564846.49312514102</v>
      </c>
      <c r="D353" s="7">
        <v>3868.9022890847377</v>
      </c>
      <c r="E353" s="7">
        <v>54177.873128417028</v>
      </c>
      <c r="G353" s="27">
        <f t="shared" si="45"/>
        <v>0</v>
      </c>
      <c r="H353" s="7">
        <f t="shared" si="46"/>
        <v>0</v>
      </c>
      <c r="I353" s="7">
        <f t="shared" si="47"/>
        <v>0</v>
      </c>
      <c r="K353" s="27">
        <f t="shared" si="48"/>
        <v>0</v>
      </c>
      <c r="L353" s="7">
        <f t="shared" si="49"/>
        <v>0</v>
      </c>
      <c r="M353" s="7">
        <f t="shared" si="50"/>
        <v>0</v>
      </c>
      <c r="O353" s="27">
        <f t="shared" si="51"/>
        <v>564846.49312516709</v>
      </c>
      <c r="P353" s="7">
        <f t="shared" si="52"/>
        <v>3868.9022890849005</v>
      </c>
      <c r="Q353" s="7">
        <f t="shared" si="53"/>
        <v>54177.873128417028</v>
      </c>
    </row>
    <row r="354" spans="2:17" x14ac:dyDescent="0.25">
      <c r="B354" s="3">
        <v>345</v>
      </c>
      <c r="C354" s="27">
        <v>511152.63327074616</v>
      </c>
      <c r="D354" s="7">
        <v>3530.2905820321312</v>
      </c>
      <c r="E354" s="7">
        <v>53693.859854394868</v>
      </c>
      <c r="G354" s="27">
        <f t="shared" si="45"/>
        <v>0</v>
      </c>
      <c r="H354" s="7">
        <f t="shared" si="46"/>
        <v>0</v>
      </c>
      <c r="I354" s="7">
        <f t="shared" si="47"/>
        <v>0</v>
      </c>
      <c r="K354" s="27">
        <f t="shared" si="48"/>
        <v>0</v>
      </c>
      <c r="L354" s="7">
        <f t="shared" si="49"/>
        <v>0</v>
      </c>
      <c r="M354" s="7">
        <f t="shared" si="50"/>
        <v>0</v>
      </c>
      <c r="O354" s="27">
        <f t="shared" si="51"/>
        <v>511152.63327077223</v>
      </c>
      <c r="P354" s="7">
        <f t="shared" si="52"/>
        <v>3530.290582032294</v>
      </c>
      <c r="Q354" s="7">
        <f t="shared" si="53"/>
        <v>53693.859854394868</v>
      </c>
    </row>
    <row r="355" spans="2:17" x14ac:dyDescent="0.25">
      <c r="B355" s="3">
        <v>346</v>
      </c>
      <c r="C355" s="27">
        <v>457938.92493268033</v>
      </c>
      <c r="D355" s="7">
        <v>3194.703957942163</v>
      </c>
      <c r="E355" s="7">
        <v>53213.708338065822</v>
      </c>
      <c r="G355" s="27">
        <f t="shared" si="45"/>
        <v>0</v>
      </c>
      <c r="H355" s="7">
        <f t="shared" si="46"/>
        <v>0</v>
      </c>
      <c r="I355" s="7">
        <f t="shared" si="47"/>
        <v>0</v>
      </c>
      <c r="K355" s="27">
        <f t="shared" si="48"/>
        <v>0</v>
      </c>
      <c r="L355" s="7">
        <f t="shared" si="49"/>
        <v>0</v>
      </c>
      <c r="M355" s="7">
        <f t="shared" si="50"/>
        <v>0</v>
      </c>
      <c r="O355" s="27">
        <f t="shared" si="51"/>
        <v>457938.9249327064</v>
      </c>
      <c r="P355" s="7">
        <f t="shared" si="52"/>
        <v>3194.7039579423263</v>
      </c>
      <c r="Q355" s="7">
        <f t="shared" si="53"/>
        <v>53213.708338065822</v>
      </c>
    </row>
    <row r="356" spans="2:17" x14ac:dyDescent="0.25">
      <c r="B356" s="3">
        <v>347</v>
      </c>
      <c r="C356" s="27">
        <v>405201.53667296481</v>
      </c>
      <c r="D356" s="7">
        <v>2862.1182808292519</v>
      </c>
      <c r="E356" s="7">
        <v>52737.388259715517</v>
      </c>
      <c r="G356" s="27">
        <f t="shared" si="45"/>
        <v>0</v>
      </c>
      <c r="H356" s="7">
        <f t="shared" si="46"/>
        <v>0</v>
      </c>
      <c r="I356" s="7">
        <f t="shared" si="47"/>
        <v>0</v>
      </c>
      <c r="K356" s="27">
        <f t="shared" si="48"/>
        <v>0</v>
      </c>
      <c r="L356" s="7">
        <f t="shared" si="49"/>
        <v>0</v>
      </c>
      <c r="M356" s="7">
        <f t="shared" si="50"/>
        <v>0</v>
      </c>
      <c r="O356" s="27">
        <f t="shared" si="51"/>
        <v>405201.53667299089</v>
      </c>
      <c r="P356" s="7">
        <f t="shared" si="52"/>
        <v>2862.1182808294147</v>
      </c>
      <c r="Q356" s="7">
        <f t="shared" si="53"/>
        <v>52737.388259715517</v>
      </c>
    </row>
    <row r="357" spans="2:17" x14ac:dyDescent="0.25">
      <c r="B357" s="3">
        <v>348</v>
      </c>
      <c r="C357" s="27">
        <v>352936.6671358723</v>
      </c>
      <c r="D357" s="7">
        <v>2532.50960420603</v>
      </c>
      <c r="E357" s="7">
        <v>52264.869537092542</v>
      </c>
      <c r="G357" s="27">
        <f t="shared" si="45"/>
        <v>0</v>
      </c>
      <c r="H357" s="7">
        <f t="shared" si="46"/>
        <v>0</v>
      </c>
      <c r="I357" s="7">
        <f t="shared" si="47"/>
        <v>0</v>
      </c>
      <c r="K357" s="27">
        <f t="shared" si="48"/>
        <v>0</v>
      </c>
      <c r="L357" s="7">
        <f t="shared" si="49"/>
        <v>0</v>
      </c>
      <c r="M357" s="7">
        <f t="shared" si="50"/>
        <v>0</v>
      </c>
      <c r="O357" s="27">
        <f t="shared" si="51"/>
        <v>352936.66713589837</v>
      </c>
      <c r="P357" s="7">
        <f t="shared" si="52"/>
        <v>2532.5096042061928</v>
      </c>
      <c r="Q357" s="7">
        <f t="shared" si="53"/>
        <v>52264.869537092542</v>
      </c>
    </row>
    <row r="358" spans="2:17" x14ac:dyDescent="0.25">
      <c r="B358" s="3">
        <v>349</v>
      </c>
      <c r="C358" s="27">
        <v>301140.54481232347</v>
      </c>
      <c r="D358" s="7">
        <v>2205.8541695992017</v>
      </c>
      <c r="E358" s="7">
        <v>51796.122323548829</v>
      </c>
      <c r="G358" s="27">
        <f t="shared" si="45"/>
        <v>0</v>
      </c>
      <c r="H358" s="7">
        <f t="shared" si="46"/>
        <v>0</v>
      </c>
      <c r="I358" s="7">
        <f t="shared" si="47"/>
        <v>0</v>
      </c>
      <c r="K358" s="27">
        <f t="shared" si="48"/>
        <v>0</v>
      </c>
      <c r="L358" s="7">
        <f t="shared" si="49"/>
        <v>0</v>
      </c>
      <c r="M358" s="7">
        <f t="shared" si="50"/>
        <v>0</v>
      </c>
      <c r="O358" s="27">
        <f t="shared" si="51"/>
        <v>301140.54481234954</v>
      </c>
      <c r="P358" s="7">
        <f t="shared" si="52"/>
        <v>2205.8541695993645</v>
      </c>
      <c r="Q358" s="7">
        <f t="shared" si="53"/>
        <v>51796.122323548829</v>
      </c>
    </row>
    <row r="359" spans="2:17" x14ac:dyDescent="0.25">
      <c r="B359" s="3">
        <v>350</v>
      </c>
      <c r="C359" s="27">
        <v>249809.4278061279</v>
      </c>
      <c r="D359" s="7">
        <v>1882.1284050770216</v>
      </c>
      <c r="E359" s="7">
        <v>51331.117006195556</v>
      </c>
      <c r="G359" s="27">
        <f t="shared" si="45"/>
        <v>0</v>
      </c>
      <c r="H359" s="7">
        <f t="shared" si="46"/>
        <v>0</v>
      </c>
      <c r="I359" s="7">
        <f t="shared" si="47"/>
        <v>0</v>
      </c>
      <c r="K359" s="27">
        <f t="shared" si="48"/>
        <v>0</v>
      </c>
      <c r="L359" s="7">
        <f t="shared" si="49"/>
        <v>0</v>
      </c>
      <c r="M359" s="7">
        <f t="shared" si="50"/>
        <v>0</v>
      </c>
      <c r="O359" s="27">
        <f t="shared" si="51"/>
        <v>249809.42780615398</v>
      </c>
      <c r="P359" s="7">
        <f t="shared" si="52"/>
        <v>1882.1284050771844</v>
      </c>
      <c r="Q359" s="7">
        <f t="shared" si="53"/>
        <v>51331.117006195556</v>
      </c>
    </row>
    <row r="360" spans="2:17" x14ac:dyDescent="0.25">
      <c r="B360" s="3">
        <v>351</v>
      </c>
      <c r="C360" s="27">
        <v>198939.60360205563</v>
      </c>
      <c r="D360" s="7">
        <v>1561.3089237882994</v>
      </c>
      <c r="E360" s="7">
        <v>50869.824204072254</v>
      </c>
      <c r="G360" s="27">
        <f t="shared" si="45"/>
        <v>0</v>
      </c>
      <c r="H360" s="7">
        <f t="shared" si="46"/>
        <v>0</v>
      </c>
      <c r="I360" s="7">
        <f t="shared" si="47"/>
        <v>0</v>
      </c>
      <c r="K360" s="27">
        <f t="shared" si="48"/>
        <v>0</v>
      </c>
      <c r="L360" s="7">
        <f t="shared" si="49"/>
        <v>0</v>
      </c>
      <c r="M360" s="7">
        <f t="shared" si="50"/>
        <v>0</v>
      </c>
      <c r="O360" s="27">
        <f t="shared" si="51"/>
        <v>198939.60360208171</v>
      </c>
      <c r="P360" s="7">
        <f t="shared" si="52"/>
        <v>1561.3089237884622</v>
      </c>
      <c r="Q360" s="7">
        <f t="shared" si="53"/>
        <v>50869.824204072254</v>
      </c>
    </row>
    <row r="361" spans="2:17" x14ac:dyDescent="0.25">
      <c r="B361" s="3">
        <v>352</v>
      </c>
      <c r="C361" s="27">
        <v>148527.38883572363</v>
      </c>
      <c r="D361" s="7">
        <v>1243.3725225128476</v>
      </c>
      <c r="E361" s="7">
        <v>50412.214766332021</v>
      </c>
      <c r="G361" s="27">
        <f t="shared" si="45"/>
        <v>0</v>
      </c>
      <c r="H361" s="7">
        <f t="shared" si="46"/>
        <v>0</v>
      </c>
      <c r="I361" s="7">
        <f t="shared" si="47"/>
        <v>0</v>
      </c>
      <c r="K361" s="27">
        <f t="shared" si="48"/>
        <v>0</v>
      </c>
      <c r="L361" s="7">
        <f t="shared" si="49"/>
        <v>0</v>
      </c>
      <c r="M361" s="7">
        <f t="shared" si="50"/>
        <v>0</v>
      </c>
      <c r="O361" s="27">
        <f t="shared" si="51"/>
        <v>148527.38883574971</v>
      </c>
      <c r="P361" s="7">
        <f t="shared" si="52"/>
        <v>1243.3725225130106</v>
      </c>
      <c r="Q361" s="7">
        <f t="shared" si="53"/>
        <v>50412.214766332021</v>
      </c>
    </row>
    <row r="362" spans="2:17" x14ac:dyDescent="0.25">
      <c r="B362" s="3">
        <v>353</v>
      </c>
      <c r="C362" s="27">
        <v>98569.129065284258</v>
      </c>
      <c r="D362" s="7">
        <v>928.29618022327259</v>
      </c>
      <c r="E362" s="7">
        <v>49958.25977043937</v>
      </c>
      <c r="G362" s="27">
        <f t="shared" si="45"/>
        <v>0</v>
      </c>
      <c r="H362" s="7">
        <f t="shared" si="46"/>
        <v>0</v>
      </c>
      <c r="I362" s="7">
        <f t="shared" si="47"/>
        <v>0</v>
      </c>
      <c r="K362" s="27">
        <f t="shared" si="48"/>
        <v>0</v>
      </c>
      <c r="L362" s="7">
        <f t="shared" si="49"/>
        <v>0</v>
      </c>
      <c r="M362" s="7">
        <f t="shared" si="50"/>
        <v>0</v>
      </c>
      <c r="O362" s="27">
        <f t="shared" si="51"/>
        <v>98569.129065310335</v>
      </c>
      <c r="P362" s="7">
        <f t="shared" si="52"/>
        <v>928.29618022343561</v>
      </c>
      <c r="Q362" s="7">
        <f t="shared" si="53"/>
        <v>49958.25977043937</v>
      </c>
    </row>
    <row r="363" spans="2:17" x14ac:dyDescent="0.25">
      <c r="B363" s="3">
        <v>354</v>
      </c>
      <c r="C363" s="27">
        <v>49061.198544901214</v>
      </c>
      <c r="D363" s="7">
        <v>616.05705665802657</v>
      </c>
      <c r="E363" s="7">
        <v>49507.930520383044</v>
      </c>
      <c r="G363" s="27">
        <f t="shared" si="45"/>
        <v>0</v>
      </c>
      <c r="H363" s="7">
        <f t="shared" si="46"/>
        <v>0</v>
      </c>
      <c r="I363" s="7">
        <f t="shared" si="47"/>
        <v>0</v>
      </c>
      <c r="K363" s="27">
        <f t="shared" si="48"/>
        <v>0</v>
      </c>
      <c r="L363" s="7">
        <f t="shared" si="49"/>
        <v>0</v>
      </c>
      <c r="M363" s="7">
        <f t="shared" si="50"/>
        <v>0</v>
      </c>
      <c r="O363" s="27">
        <f t="shared" si="51"/>
        <v>49061.198544927291</v>
      </c>
      <c r="P363" s="7">
        <f t="shared" si="52"/>
        <v>616.05705665818959</v>
      </c>
      <c r="Q363" s="7">
        <f t="shared" si="53"/>
        <v>49507.930520383044</v>
      </c>
    </row>
    <row r="364" spans="2:17" x14ac:dyDescent="0.25">
      <c r="B364" s="3">
        <v>355</v>
      </c>
      <c r="C364" s="27">
        <v>-5.6752469390630722E-10</v>
      </c>
      <c r="D364" s="7">
        <v>306.63249090563255</v>
      </c>
      <c r="E364" s="7">
        <v>49061.198544901781</v>
      </c>
      <c r="G364" s="27">
        <f t="shared" si="45"/>
        <v>0</v>
      </c>
      <c r="H364" s="7">
        <f t="shared" si="46"/>
        <v>0</v>
      </c>
      <c r="I364" s="7">
        <f t="shared" si="47"/>
        <v>0</v>
      </c>
      <c r="K364" s="27">
        <f t="shared" si="48"/>
        <v>0</v>
      </c>
      <c r="L364" s="7">
        <f t="shared" si="49"/>
        <v>0</v>
      </c>
      <c r="M364" s="7">
        <f t="shared" si="50"/>
        <v>0</v>
      </c>
      <c r="O364" s="27">
        <f t="shared" si="51"/>
        <v>2.5509507395327091E-8</v>
      </c>
      <c r="P364" s="7">
        <f t="shared" si="52"/>
        <v>306.63249090579552</v>
      </c>
      <c r="Q364" s="7">
        <f t="shared" si="53"/>
        <v>49061.198544901781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Pass-through</vt:lpstr>
      <vt:lpstr>Sequential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2014-10-22T01:53:55Z</dcterms:created>
  <dcterms:modified xsi:type="dcterms:W3CDTF">2014-10-24T20:07:28Z</dcterms:modified>
</cp:coreProperties>
</file>