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105" windowWidth="30675" windowHeight="1768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Sheet1!$A$1:$S$31</definedName>
  </definedNames>
  <calcPr calcId="145621"/>
</workbook>
</file>

<file path=xl/calcChain.xml><?xml version="1.0" encoding="utf-8"?>
<calcChain xmlns="http://schemas.openxmlformats.org/spreadsheetml/2006/main">
  <c r="H26" i="1" l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I27" i="1" s="1"/>
  <c r="H17" i="1"/>
  <c r="H27" i="1" s="1"/>
  <c r="H28" i="1" s="1"/>
  <c r="H29" i="1" s="1"/>
  <c r="H30" i="1" s="1"/>
  <c r="D30" i="1"/>
  <c r="D29" i="1"/>
  <c r="D28" i="1"/>
  <c r="E27" i="1"/>
  <c r="D27" i="1"/>
  <c r="D22" i="1"/>
  <c r="D23" i="1"/>
  <c r="D24" i="1"/>
  <c r="D25" i="1"/>
  <c r="D26" i="1"/>
  <c r="E21" i="1"/>
  <c r="E22" i="1"/>
  <c r="E23" i="1"/>
  <c r="E24" i="1"/>
  <c r="E25" i="1"/>
  <c r="D18" i="1"/>
  <c r="D19" i="1"/>
  <c r="D20" i="1"/>
  <c r="D21" i="1"/>
  <c r="D17" i="1"/>
  <c r="E18" i="1"/>
  <c r="E19" i="1"/>
  <c r="E20" i="1"/>
  <c r="E17" i="1"/>
  <c r="H12" i="1" l="1"/>
  <c r="H11" i="1"/>
  <c r="H10" i="1"/>
  <c r="H9" i="1"/>
  <c r="H8" i="1"/>
  <c r="H7" i="1"/>
  <c r="H6" i="1"/>
  <c r="H5" i="1"/>
  <c r="H4" i="1"/>
  <c r="H3" i="1"/>
  <c r="I3" i="1"/>
  <c r="I4" i="1"/>
  <c r="I5" i="1"/>
  <c r="I6" i="1"/>
  <c r="I7" i="1"/>
  <c r="I8" i="1"/>
  <c r="I9" i="1"/>
  <c r="I10" i="1"/>
  <c r="I11" i="1"/>
  <c r="I12" i="1"/>
  <c r="G13" i="1"/>
  <c r="E5" i="1"/>
  <c r="E6" i="1"/>
  <c r="E7" i="1"/>
  <c r="E8" i="1"/>
  <c r="E9" i="1"/>
  <c r="E10" i="1"/>
  <c r="E11" i="1"/>
  <c r="E12" i="1"/>
  <c r="E4" i="1"/>
  <c r="E3" i="1"/>
  <c r="D4" i="1"/>
  <c r="D5" i="1"/>
  <c r="D6" i="1"/>
  <c r="D7" i="1"/>
  <c r="D8" i="1"/>
  <c r="D9" i="1"/>
  <c r="D10" i="1"/>
  <c r="D11" i="1"/>
  <c r="D12" i="1"/>
  <c r="D3" i="1"/>
  <c r="C13" i="1"/>
</calcChain>
</file>

<file path=xl/sharedStrings.xml><?xml version="1.0" encoding="utf-8"?>
<sst xmlns="http://schemas.openxmlformats.org/spreadsheetml/2006/main" count="35" uniqueCount="31">
  <si>
    <t>Becca</t>
  </si>
  <si>
    <t>John</t>
  </si>
  <si>
    <t>Bill</t>
  </si>
  <si>
    <t>Beth</t>
  </si>
  <si>
    <t>Charles</t>
  </si>
  <si>
    <t>Gina</t>
  </si>
  <si>
    <t>Kasey</t>
  </si>
  <si>
    <t>Joe</t>
  </si>
  <si>
    <t>Nina</t>
  </si>
  <si>
    <t>Julie</t>
  </si>
  <si>
    <t>Raul</t>
  </si>
  <si>
    <t>Leslie</t>
  </si>
  <si>
    <t>Rose</t>
  </si>
  <si>
    <t>Mark</t>
  </si>
  <si>
    <t>Tom</t>
  </si>
  <si>
    <t>Rick</t>
  </si>
  <si>
    <t>Will</t>
  </si>
  <si>
    <t>Sheri</t>
  </si>
  <si>
    <t>Yukiko</t>
  </si>
  <si>
    <t>Steve</t>
  </si>
  <si>
    <t>Total</t>
  </si>
  <si>
    <t>Income</t>
  </si>
  <si>
    <t>%</t>
  </si>
  <si>
    <t>Group X</t>
  </si>
  <si>
    <t>Group Y</t>
  </si>
  <si>
    <t>Rectangle</t>
  </si>
  <si>
    <t>Triangle</t>
  </si>
  <si>
    <t>Sum</t>
  </si>
  <si>
    <t>B</t>
  </si>
  <si>
    <t>A</t>
  </si>
  <si>
    <t>Gini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</si>
</sst>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9" fontId="0" fillId="0" borderId="1" xfId="1" applyFont="1" applyBorder="1"/>
    <xf numFmtId="9" fontId="0" fillId="0" borderId="1" xfId="0" applyNumberFormat="1" applyBorder="1"/>
    <xf numFmtId="165" fontId="0" fillId="0" borderId="1" xfId="0" applyNumberFormat="1" applyBorder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Group X</c:v>
                </c:pt>
              </c:strCache>
            </c:strRef>
          </c:tx>
          <c:marker>
            <c:symbol val="none"/>
          </c:marker>
          <c:cat>
            <c:numRef>
              <c:f>Sheet1!$A$3:$A$12</c:f>
              <c:numCache>
                <c:formatCode>0%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cat>
          <c:val>
            <c:numRef>
              <c:f>Sheet1!$E$3:$E$12</c:f>
              <c:numCache>
                <c:formatCode>0%</c:formatCode>
                <c:ptCount val="10"/>
                <c:pt idx="0">
                  <c:v>5.8139534883720929E-2</c:v>
                </c:pt>
                <c:pt idx="1">
                  <c:v>0.12790697674418605</c:v>
                </c:pt>
                <c:pt idx="2">
                  <c:v>0.21220930232558138</c:v>
                </c:pt>
                <c:pt idx="3">
                  <c:v>0.30232558139534882</c:v>
                </c:pt>
                <c:pt idx="4">
                  <c:v>0.39534883720930231</c:v>
                </c:pt>
                <c:pt idx="5">
                  <c:v>0.4941860465116279</c:v>
                </c:pt>
                <c:pt idx="6">
                  <c:v>0.59593023255813948</c:v>
                </c:pt>
                <c:pt idx="7">
                  <c:v>0.70348837209302317</c:v>
                </c:pt>
                <c:pt idx="8">
                  <c:v>0.82558139534883712</c:v>
                </c:pt>
                <c:pt idx="9">
                  <c:v>0.99999999999999989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Sheet1!$I$2</c:f>
              <c:strCache>
                <c:ptCount val="1"/>
                <c:pt idx="0">
                  <c:v>Group Y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Sheet1!$A$3:$A$12</c:f>
              <c:numCache>
                <c:formatCode>0%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cat>
          <c:val>
            <c:numRef>
              <c:f>Sheet1!$I$3:$I$12</c:f>
              <c:numCache>
                <c:formatCode>0%</c:formatCode>
                <c:ptCount val="10"/>
                <c:pt idx="0">
                  <c:v>4.3604651162790699E-2</c:v>
                </c:pt>
                <c:pt idx="1">
                  <c:v>9.5930232558139539E-2</c:v>
                </c:pt>
                <c:pt idx="2">
                  <c:v>0.15988372093023256</c:v>
                </c:pt>
                <c:pt idx="3">
                  <c:v>0.23255813953488375</c:v>
                </c:pt>
                <c:pt idx="4">
                  <c:v>0.31976744186046513</c:v>
                </c:pt>
                <c:pt idx="5">
                  <c:v>0.40697674418604651</c:v>
                </c:pt>
                <c:pt idx="6">
                  <c:v>0.5</c:v>
                </c:pt>
                <c:pt idx="7">
                  <c:v>0.61046511627906974</c:v>
                </c:pt>
                <c:pt idx="8">
                  <c:v>0.78488372093023251</c:v>
                </c:pt>
                <c:pt idx="9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352704"/>
        <c:axId val="307354240"/>
      </c:lineChart>
      <c:catAx>
        <c:axId val="307352704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307354240"/>
        <c:crosses val="autoZero"/>
        <c:auto val="1"/>
        <c:lblAlgn val="ctr"/>
        <c:lblOffset val="100"/>
        <c:noMultiLvlLbl val="0"/>
      </c:catAx>
      <c:valAx>
        <c:axId val="3073542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07352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390525</xdr:colOff>
      <xdr:row>7</xdr:row>
      <xdr:rowOff>109537</xdr:rowOff>
    </xdr:from>
    <xdr:to>
      <xdr:col>17</xdr:col>
      <xdr:colOff>447675</xdr:colOff>
      <xdr:row>21</xdr:row>
      <xdr:rowOff>185737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I31"/>
  <sheetViews>
    <sheetView tabSelected="1" zoomScaleNormal="100" workbookViewId="0">
      <selection activeCell="J15" sqref="J15"/>
    </sheetView>
  </sheetViews>
  <sheetFormatPr defaultRowHeight="15" x14ac:dyDescent="0.25"/>
  <sheetData>
    <row r="2" spans="1:9" x14ac:dyDescent="0.25">
      <c r="A2" s="1"/>
      <c r="B2" s="1"/>
      <c r="C2" s="1" t="s">
        <v>21</v>
      </c>
      <c r="D2" s="1" t="s">
        <v>22</v>
      </c>
      <c r="E2" s="1" t="s">
        <v>23</v>
      </c>
      <c r="F2" s="1"/>
      <c r="G2" s="1"/>
      <c r="H2" s="1" t="s">
        <v>22</v>
      </c>
      <c r="I2" s="1" t="s">
        <v>24</v>
      </c>
    </row>
    <row r="3" spans="1:9" x14ac:dyDescent="0.25">
      <c r="A3" s="2">
        <v>0.1</v>
      </c>
      <c r="B3" s="1" t="s">
        <v>2</v>
      </c>
      <c r="C3" s="1">
        <v>20000</v>
      </c>
      <c r="D3" s="2">
        <f>C3/$C$13</f>
        <v>5.8139534883720929E-2</v>
      </c>
      <c r="E3" s="3">
        <f>D3</f>
        <v>5.8139534883720929E-2</v>
      </c>
      <c r="F3" s="1" t="s">
        <v>1</v>
      </c>
      <c r="G3" s="1">
        <v>15000</v>
      </c>
      <c r="H3" s="2">
        <f>G3/$C$13</f>
        <v>4.3604651162790699E-2</v>
      </c>
      <c r="I3" s="3">
        <f>H3</f>
        <v>4.3604651162790699E-2</v>
      </c>
    </row>
    <row r="4" spans="1:9" x14ac:dyDescent="0.25">
      <c r="A4" s="2">
        <v>0.2</v>
      </c>
      <c r="B4" s="1" t="s">
        <v>6</v>
      </c>
      <c r="C4" s="1">
        <v>24000</v>
      </c>
      <c r="D4" s="2">
        <f t="shared" ref="D4:D12" si="0">C4/$C$13</f>
        <v>6.9767441860465115E-2</v>
      </c>
      <c r="E4" s="3">
        <f>E3+D4</f>
        <v>0.12790697674418605</v>
      </c>
      <c r="F4" s="1" t="s">
        <v>17</v>
      </c>
      <c r="G4" s="1">
        <v>18000</v>
      </c>
      <c r="H4" s="2">
        <f t="shared" ref="H4:H12" si="1">G4/$C$13</f>
        <v>5.232558139534884E-2</v>
      </c>
      <c r="I4" s="3">
        <f>I3+H4</f>
        <v>9.5930232558139539E-2</v>
      </c>
    </row>
    <row r="5" spans="1:9" x14ac:dyDescent="0.25">
      <c r="A5" s="2">
        <v>0.3</v>
      </c>
      <c r="B5" s="1" t="s">
        <v>12</v>
      </c>
      <c r="C5" s="1">
        <v>29000</v>
      </c>
      <c r="D5" s="2">
        <f t="shared" si="0"/>
        <v>8.4302325581395346E-2</v>
      </c>
      <c r="E5" s="3">
        <f t="shared" ref="E5:E12" si="2">E4+D5</f>
        <v>0.21220930232558138</v>
      </c>
      <c r="F5" s="1" t="s">
        <v>9</v>
      </c>
      <c r="G5" s="1">
        <v>22000</v>
      </c>
      <c r="H5" s="2">
        <f t="shared" si="1"/>
        <v>6.3953488372093026E-2</v>
      </c>
      <c r="I5" s="3">
        <f t="shared" ref="I5:I12" si="3">I4+H5</f>
        <v>0.15988372093023256</v>
      </c>
    </row>
    <row r="6" spans="1:9" x14ac:dyDescent="0.25">
      <c r="A6" s="2">
        <v>0.4</v>
      </c>
      <c r="B6" s="1" t="s">
        <v>4</v>
      </c>
      <c r="C6" s="1">
        <v>31000</v>
      </c>
      <c r="D6" s="2">
        <f t="shared" si="0"/>
        <v>9.0116279069767435E-2</v>
      </c>
      <c r="E6" s="3">
        <f t="shared" si="2"/>
        <v>0.30232558139534882</v>
      </c>
      <c r="F6" s="1" t="s">
        <v>15</v>
      </c>
      <c r="G6" s="1">
        <v>25000</v>
      </c>
      <c r="H6" s="2">
        <f t="shared" si="1"/>
        <v>7.2674418604651167E-2</v>
      </c>
      <c r="I6" s="3">
        <f t="shared" si="3"/>
        <v>0.23255813953488375</v>
      </c>
    </row>
    <row r="7" spans="1:9" x14ac:dyDescent="0.25">
      <c r="A7" s="2">
        <v>0.5</v>
      </c>
      <c r="B7" s="1" t="s">
        <v>18</v>
      </c>
      <c r="C7" s="1">
        <v>32000</v>
      </c>
      <c r="D7" s="2">
        <f t="shared" si="0"/>
        <v>9.3023255813953487E-2</v>
      </c>
      <c r="E7" s="3">
        <f t="shared" si="2"/>
        <v>0.39534883720930231</v>
      </c>
      <c r="F7" s="1" t="s">
        <v>3</v>
      </c>
      <c r="G7" s="1">
        <v>30000</v>
      </c>
      <c r="H7" s="2">
        <f t="shared" si="1"/>
        <v>8.7209302325581398E-2</v>
      </c>
      <c r="I7" s="3">
        <f t="shared" si="3"/>
        <v>0.31976744186046513</v>
      </c>
    </row>
    <row r="8" spans="1:9" x14ac:dyDescent="0.25">
      <c r="A8" s="2">
        <v>0.6</v>
      </c>
      <c r="B8" s="1" t="s">
        <v>8</v>
      </c>
      <c r="C8" s="1">
        <v>34000</v>
      </c>
      <c r="D8" s="2">
        <f t="shared" si="0"/>
        <v>9.8837209302325577E-2</v>
      </c>
      <c r="E8" s="3">
        <f t="shared" si="2"/>
        <v>0.4941860465116279</v>
      </c>
      <c r="F8" s="1" t="s">
        <v>5</v>
      </c>
      <c r="G8" s="1">
        <v>30000</v>
      </c>
      <c r="H8" s="2">
        <f t="shared" si="1"/>
        <v>8.7209302325581398E-2</v>
      </c>
      <c r="I8" s="3">
        <f t="shared" si="3"/>
        <v>0.40697674418604651</v>
      </c>
    </row>
    <row r="9" spans="1:9" x14ac:dyDescent="0.25">
      <c r="A9" s="2">
        <v>0.7</v>
      </c>
      <c r="B9" s="1" t="s">
        <v>14</v>
      </c>
      <c r="C9" s="1">
        <v>35000</v>
      </c>
      <c r="D9" s="2">
        <f t="shared" si="0"/>
        <v>0.10174418604651163</v>
      </c>
      <c r="E9" s="3">
        <f t="shared" si="2"/>
        <v>0.59593023255813948</v>
      </c>
      <c r="F9" s="1" t="s">
        <v>19</v>
      </c>
      <c r="G9" s="1">
        <v>32000</v>
      </c>
      <c r="H9" s="2">
        <f t="shared" si="1"/>
        <v>9.3023255813953487E-2</v>
      </c>
      <c r="I9" s="3">
        <f t="shared" si="3"/>
        <v>0.5</v>
      </c>
    </row>
    <row r="10" spans="1:9" x14ac:dyDescent="0.25">
      <c r="A10" s="2">
        <v>0.8</v>
      </c>
      <c r="B10" s="1" t="s">
        <v>10</v>
      </c>
      <c r="C10" s="1">
        <v>37000</v>
      </c>
      <c r="D10" s="2">
        <f t="shared" si="0"/>
        <v>0.10755813953488372</v>
      </c>
      <c r="E10" s="3">
        <f t="shared" si="2"/>
        <v>0.70348837209302317</v>
      </c>
      <c r="F10" s="1" t="s">
        <v>13</v>
      </c>
      <c r="G10" s="1">
        <v>38000</v>
      </c>
      <c r="H10" s="2">
        <f t="shared" si="1"/>
        <v>0.11046511627906977</v>
      </c>
      <c r="I10" s="3">
        <f t="shared" si="3"/>
        <v>0.61046511627906974</v>
      </c>
    </row>
    <row r="11" spans="1:9" x14ac:dyDescent="0.25">
      <c r="A11" s="2">
        <v>0.9</v>
      </c>
      <c r="B11" s="1" t="s">
        <v>0</v>
      </c>
      <c r="C11" s="1">
        <v>42000</v>
      </c>
      <c r="D11" s="2">
        <f t="shared" si="0"/>
        <v>0.12209302325581395</v>
      </c>
      <c r="E11" s="3">
        <f t="shared" si="2"/>
        <v>0.82558139534883712</v>
      </c>
      <c r="F11" s="1" t="s">
        <v>11</v>
      </c>
      <c r="G11" s="1">
        <v>60000</v>
      </c>
      <c r="H11" s="2">
        <f t="shared" si="1"/>
        <v>0.1744186046511628</v>
      </c>
      <c r="I11" s="3">
        <f t="shared" si="3"/>
        <v>0.78488372093023251</v>
      </c>
    </row>
    <row r="12" spans="1:9" x14ac:dyDescent="0.25">
      <c r="A12" s="2">
        <v>1</v>
      </c>
      <c r="B12" s="1" t="s">
        <v>16</v>
      </c>
      <c r="C12" s="1">
        <v>60000</v>
      </c>
      <c r="D12" s="2">
        <f t="shared" si="0"/>
        <v>0.1744186046511628</v>
      </c>
      <c r="E12" s="3">
        <f t="shared" si="2"/>
        <v>0.99999999999999989</v>
      </c>
      <c r="F12" s="1" t="s">
        <v>7</v>
      </c>
      <c r="G12" s="1">
        <v>74000</v>
      </c>
      <c r="H12" s="2">
        <f t="shared" si="1"/>
        <v>0.21511627906976744</v>
      </c>
      <c r="I12" s="3">
        <f t="shared" si="3"/>
        <v>1</v>
      </c>
    </row>
    <row r="13" spans="1:9" x14ac:dyDescent="0.25">
      <c r="A13" s="1"/>
      <c r="B13" s="1" t="s">
        <v>20</v>
      </c>
      <c r="C13" s="1">
        <f>SUM(C3:C12)</f>
        <v>344000</v>
      </c>
      <c r="D13" s="1"/>
      <c r="E13" s="1"/>
      <c r="F13" s="1" t="s">
        <v>20</v>
      </c>
      <c r="G13" s="1">
        <f>SUM(G3:G12)</f>
        <v>344000</v>
      </c>
      <c r="H13" s="1"/>
      <c r="I13" s="1"/>
    </row>
    <row r="16" spans="1:9" x14ac:dyDescent="0.25">
      <c r="D16" s="1" t="s">
        <v>26</v>
      </c>
      <c r="E16" s="1" t="s">
        <v>25</v>
      </c>
      <c r="H16" s="1" t="s">
        <v>26</v>
      </c>
      <c r="I16" s="1" t="s">
        <v>25</v>
      </c>
    </row>
    <row r="17" spans="3:9" x14ac:dyDescent="0.25">
      <c r="D17" s="4">
        <f>0.1*D3/2</f>
        <v>2.9069767441860465E-3</v>
      </c>
      <c r="E17" s="4">
        <f>0.1*E3</f>
        <v>5.8139534883720929E-3</v>
      </c>
      <c r="H17" s="4">
        <f>0.1*H3/2</f>
        <v>2.1802325581395349E-3</v>
      </c>
      <c r="I17" s="4">
        <f>0.1*I3</f>
        <v>4.3604651162790697E-3</v>
      </c>
    </row>
    <row r="18" spans="3:9" x14ac:dyDescent="0.25">
      <c r="D18" s="4">
        <f t="shared" ref="D18:D26" si="4">0.1*D4/2</f>
        <v>3.4883720930232558E-3</v>
      </c>
      <c r="E18" s="4">
        <f t="shared" ref="E18:E27" si="5">0.1*E4</f>
        <v>1.2790697674418606E-2</v>
      </c>
      <c r="H18" s="4">
        <f t="shared" ref="H18:H26" si="6">0.1*H4/2</f>
        <v>2.6162790697674423E-3</v>
      </c>
      <c r="I18" s="4">
        <f t="shared" ref="I18:I25" si="7">0.1*I4</f>
        <v>9.5930232558139542E-3</v>
      </c>
    </row>
    <row r="19" spans="3:9" x14ac:dyDescent="0.25">
      <c r="D19" s="4">
        <f t="shared" si="4"/>
        <v>4.2151162790697678E-3</v>
      </c>
      <c r="E19" s="4">
        <f t="shared" si="5"/>
        <v>2.1220930232558138E-2</v>
      </c>
      <c r="H19" s="4">
        <f t="shared" si="6"/>
        <v>3.1976744186046516E-3</v>
      </c>
      <c r="I19" s="4">
        <f t="shared" si="7"/>
        <v>1.5988372093023256E-2</v>
      </c>
    </row>
    <row r="20" spans="3:9" x14ac:dyDescent="0.25">
      <c r="D20" s="4">
        <f t="shared" si="4"/>
        <v>4.5058139534883716E-3</v>
      </c>
      <c r="E20" s="4">
        <f t="shared" si="5"/>
        <v>3.0232558139534883E-2</v>
      </c>
      <c r="H20" s="4">
        <f t="shared" si="6"/>
        <v>3.6337209302325585E-3</v>
      </c>
      <c r="I20" s="4">
        <f t="shared" si="7"/>
        <v>2.3255813953488375E-2</v>
      </c>
    </row>
    <row r="21" spans="3:9" x14ac:dyDescent="0.25">
      <c r="D21" s="4">
        <f t="shared" si="4"/>
        <v>4.6511627906976744E-3</v>
      </c>
      <c r="E21" s="4">
        <f t="shared" si="5"/>
        <v>3.9534883720930232E-2</v>
      </c>
      <c r="H21" s="4">
        <f t="shared" si="6"/>
        <v>4.3604651162790697E-3</v>
      </c>
      <c r="I21" s="4">
        <f t="shared" si="7"/>
        <v>3.1976744186046513E-2</v>
      </c>
    </row>
    <row r="22" spans="3:9" x14ac:dyDescent="0.25">
      <c r="D22" s="4">
        <f>0.1*D8/2</f>
        <v>4.941860465116279E-3</v>
      </c>
      <c r="E22" s="4">
        <f t="shared" si="5"/>
        <v>4.9418604651162795E-2</v>
      </c>
      <c r="H22" s="4">
        <f>0.1*H8/2</f>
        <v>4.3604651162790697E-3</v>
      </c>
      <c r="I22" s="4">
        <f t="shared" si="7"/>
        <v>4.0697674418604654E-2</v>
      </c>
    </row>
    <row r="23" spans="3:9" x14ac:dyDescent="0.25">
      <c r="D23" s="4">
        <f t="shared" si="4"/>
        <v>5.0872093023255818E-3</v>
      </c>
      <c r="E23" s="4">
        <f t="shared" si="5"/>
        <v>5.9593023255813948E-2</v>
      </c>
      <c r="H23" s="4">
        <f t="shared" si="6"/>
        <v>4.6511627906976744E-3</v>
      </c>
      <c r="I23" s="4">
        <f t="shared" si="7"/>
        <v>0.05</v>
      </c>
    </row>
    <row r="24" spans="3:9" x14ac:dyDescent="0.25">
      <c r="D24" s="4">
        <f t="shared" si="4"/>
        <v>5.3779069767441864E-3</v>
      </c>
      <c r="E24" s="4">
        <f t="shared" si="5"/>
        <v>7.0348837209302323E-2</v>
      </c>
      <c r="H24" s="4">
        <f t="shared" si="6"/>
        <v>5.5232558139534892E-3</v>
      </c>
      <c r="I24" s="4">
        <f t="shared" si="7"/>
        <v>6.1046511627906974E-2</v>
      </c>
    </row>
    <row r="25" spans="3:9" x14ac:dyDescent="0.25">
      <c r="D25" s="4">
        <f t="shared" si="4"/>
        <v>6.1046511627906976E-3</v>
      </c>
      <c r="E25" s="4">
        <f t="shared" si="5"/>
        <v>8.2558139534883723E-2</v>
      </c>
      <c r="H25" s="4">
        <f t="shared" si="6"/>
        <v>8.7209302325581394E-3</v>
      </c>
      <c r="I25" s="4">
        <f t="shared" si="7"/>
        <v>7.8488372093023256E-2</v>
      </c>
    </row>
    <row r="26" spans="3:9" x14ac:dyDescent="0.25">
      <c r="D26" s="4">
        <f t="shared" si="4"/>
        <v>8.7209302325581394E-3</v>
      </c>
      <c r="E26" s="4"/>
      <c r="H26" s="4">
        <f t="shared" si="6"/>
        <v>1.0755813953488373E-2</v>
      </c>
      <c r="I26" s="4"/>
    </row>
    <row r="27" spans="3:9" x14ac:dyDescent="0.25">
      <c r="C27" t="s">
        <v>27</v>
      </c>
      <c r="D27" s="4">
        <f>SUM(D17:D26)</f>
        <v>0.05</v>
      </c>
      <c r="E27" s="4">
        <f>SUM(E17:E26)</f>
        <v>0.37151162790697673</v>
      </c>
      <c r="H27" s="4">
        <f>SUM(H17:H26)</f>
        <v>0.05</v>
      </c>
      <c r="I27" s="4">
        <f>SUM(I17:I26)</f>
        <v>0.31540697674418605</v>
      </c>
    </row>
    <row r="28" spans="3:9" x14ac:dyDescent="0.25">
      <c r="C28" t="s">
        <v>28</v>
      </c>
      <c r="D28" s="4">
        <f>D27+E27</f>
        <v>0.42151162790697672</v>
      </c>
      <c r="E28" s="4"/>
      <c r="H28" s="4">
        <f>H27+I27</f>
        <v>0.36540697674418604</v>
      </c>
      <c r="I28" s="4"/>
    </row>
    <row r="29" spans="3:9" x14ac:dyDescent="0.25">
      <c r="C29" t="s">
        <v>29</v>
      </c>
      <c r="D29" s="4">
        <f>0.5-D28</f>
        <v>7.8488372093023284E-2</v>
      </c>
      <c r="E29" s="4"/>
      <c r="H29" s="4">
        <f>0.5-H28</f>
        <v>0.13459302325581396</v>
      </c>
      <c r="I29" s="4"/>
    </row>
    <row r="30" spans="3:9" x14ac:dyDescent="0.25">
      <c r="C30" t="s">
        <v>30</v>
      </c>
      <c r="D30" s="4">
        <f>D29/0.5</f>
        <v>0.15697674418604657</v>
      </c>
      <c r="E30" s="4"/>
      <c r="H30" s="4">
        <f>H29/0.5</f>
        <v>0.26918604651162792</v>
      </c>
      <c r="I30" s="4"/>
    </row>
    <row r="31" spans="3:9" x14ac:dyDescent="0.25">
      <c r="H31" s="5"/>
      <c r="I31" s="5"/>
    </row>
  </sheetData>
  <sortState ref="A26:C35">
    <sortCondition ref="C26"/>
  </sortState>
  <pageMargins left="0.7" right="0.7" top="0.75" bottom="0.75" header="0.3" footer="0.3"/>
  <pageSetup scale="71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2015-05-12T21:31:04Z</cp:lastPrinted>
  <dcterms:created xsi:type="dcterms:W3CDTF">2015-05-12T14:07:33Z</dcterms:created>
  <dcterms:modified xsi:type="dcterms:W3CDTF">2015-05-12T21:31:28Z</dcterms:modified>
</cp:coreProperties>
</file>