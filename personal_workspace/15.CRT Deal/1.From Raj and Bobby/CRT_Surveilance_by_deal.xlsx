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Users\Lien\Surveillance\"/>
    </mc:Choice>
  </mc:AlternateContent>
  <bookViews>
    <workbookView xWindow="0" yWindow="0" windowWidth="31020" windowHeight="19305" activeTab="3"/>
  </bookViews>
  <sheets>
    <sheet name="Freddie_orig" sheetId="3" r:id="rId1"/>
    <sheet name="Freddie_perf" sheetId="2" r:id="rId2"/>
    <sheet name="Fannie_orig" sheetId="4" r:id="rId3"/>
    <sheet name="Fannie_perf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5" l="1"/>
  <c r="V4" i="5"/>
  <c r="V5" i="5"/>
  <c r="V6" i="5"/>
  <c r="V7" i="5"/>
  <c r="V8" i="5"/>
  <c r="V9" i="5"/>
  <c r="V10" i="5"/>
  <c r="V11" i="5"/>
  <c r="V12" i="5"/>
  <c r="V13" i="5"/>
  <c r="V2" i="5"/>
  <c r="W3" i="5"/>
  <c r="W4" i="5"/>
  <c r="W5" i="5"/>
  <c r="W6" i="5"/>
  <c r="W7" i="5"/>
  <c r="W8" i="5"/>
  <c r="W9" i="5"/>
  <c r="W10" i="5"/>
  <c r="W11" i="5"/>
  <c r="W12" i="5"/>
  <c r="W13" i="5"/>
  <c r="W2" i="5"/>
  <c r="W3" i="2"/>
  <c r="W4" i="2"/>
  <c r="W5" i="2"/>
  <c r="W6" i="2"/>
  <c r="W7" i="2"/>
  <c r="W8" i="2"/>
  <c r="W9" i="2"/>
  <c r="W10" i="2"/>
  <c r="W11" i="2"/>
  <c r="W12" i="2"/>
  <c r="W13" i="2"/>
  <c r="W14" i="2"/>
  <c r="W15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2" i="2"/>
</calcChain>
</file>

<file path=xl/sharedStrings.xml><?xml version="1.0" encoding="utf-8"?>
<sst xmlns="http://schemas.openxmlformats.org/spreadsheetml/2006/main" count="276" uniqueCount="63">
  <si>
    <t>DealID</t>
  </si>
  <si>
    <t>prepaymentBalance</t>
  </si>
  <si>
    <t>FHL13DN01</t>
  </si>
  <si>
    <t>FHL13DN02</t>
  </si>
  <si>
    <t>FHL14DN01</t>
  </si>
  <si>
    <t>FHL14DN02</t>
  </si>
  <si>
    <t>FHL14DN03</t>
  </si>
  <si>
    <t>FHL14DN04</t>
  </si>
  <si>
    <t>FHL14HQ01</t>
  </si>
  <si>
    <t>FHL14HQ02</t>
  </si>
  <si>
    <t>FHL14HQ03</t>
  </si>
  <si>
    <t>FHL15DN01</t>
  </si>
  <si>
    <t>FHL15DNA1</t>
  </si>
  <si>
    <t>FHL15DNA2</t>
  </si>
  <si>
    <t>FHL15HQ01</t>
  </si>
  <si>
    <t>FHL15HQ02</t>
  </si>
  <si>
    <t>SecMnem</t>
  </si>
  <si>
    <t>cum_default</t>
  </si>
  <si>
    <t>cum_prepayment</t>
  </si>
  <si>
    <t>beginDate</t>
  </si>
  <si>
    <t>loanCount</t>
  </si>
  <si>
    <t>currentBalance</t>
  </si>
  <si>
    <t>defaultBalance</t>
  </si>
  <si>
    <t>smm</t>
  </si>
  <si>
    <t>mdr</t>
  </si>
  <si>
    <t>CPR</t>
  </si>
  <si>
    <t>CDR</t>
  </si>
  <si>
    <t>pct_dq</t>
  </si>
  <si>
    <t>cum_pp_pct</t>
  </si>
  <si>
    <t>cum_df_pct</t>
  </si>
  <si>
    <t>CurrBal</t>
  </si>
  <si>
    <t>OrigBal</t>
  </si>
  <si>
    <t>CurrentLoanCount</t>
  </si>
  <si>
    <t>CurrentBalance</t>
  </si>
  <si>
    <t>OriginalBalance</t>
  </si>
  <si>
    <t>wavg_loanAge</t>
  </si>
  <si>
    <t>wavg_origNoteRate</t>
  </si>
  <si>
    <t>wavg_currentNoteRate</t>
  </si>
  <si>
    <t>wavg_origLTV</t>
  </si>
  <si>
    <t>wavg_origCLTV</t>
  </si>
  <si>
    <t>wavg_currentLTV</t>
  </si>
  <si>
    <t>wavg_origDTI</t>
  </si>
  <si>
    <t>wavg_origFICO</t>
  </si>
  <si>
    <t>wavg_origLoanSize</t>
  </si>
  <si>
    <t>pct_mi</t>
  </si>
  <si>
    <t>pct_2nd</t>
  </si>
  <si>
    <t>pct_firstTimeHomeBuyer</t>
  </si>
  <si>
    <t>pct_multiple_borrowers</t>
  </si>
  <si>
    <t>pct_multiple_units</t>
  </si>
  <si>
    <t>pct_sfr</t>
  </si>
  <si>
    <t>pct_owner</t>
  </si>
  <si>
    <t>pct_purchase</t>
  </si>
  <si>
    <t>pct_broker</t>
  </si>
  <si>
    <t>pct_current</t>
  </si>
  <si>
    <t>pct_delinquent</t>
  </si>
  <si>
    <t>pct_APL</t>
  </si>
  <si>
    <t>pct_RPL</t>
  </si>
  <si>
    <t>pct_earlyNPL</t>
  </si>
  <si>
    <t>pct_lateNPL</t>
  </si>
  <si>
    <t>pct_modified</t>
  </si>
  <si>
    <t>RefPoolId</t>
  </si>
  <si>
    <t>Pct_PP</t>
  </si>
  <si>
    <t>Pct_DF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</si>
</sst>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_);_(* \(#,##0.000\);_(* &quot;-&quot;??_);_(@_)"/>
    <numFmt numFmtId="167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43" fontId="0" fillId="0" borderId="0" xfId="1" applyNumberFormat="1" applyFont="1"/>
    <xf numFmtId="166" fontId="0" fillId="0" borderId="0" xfId="1" applyNumberFormat="1" applyFont="1"/>
    <xf numFmtId="167" fontId="0" fillId="0" borderId="0" xfId="2" applyNumberFormat="1" applyFont="1"/>
    <xf numFmtId="10" fontId="0" fillId="0" borderId="0" xfId="2" applyNumberFormat="1" applyFont="1"/>
    <xf numFmtId="10" fontId="0" fillId="2" borderId="0" xfId="2" applyNumberFormat="1" applyFont="1" applyFill="1"/>
    <xf numFmtId="10" fontId="0" fillId="0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Views>
    <sheetView workbookViewId="0"/>
  </sheetViews>
  <sheetFormatPr defaultRowHeight="15" x14ac:dyDescent="0.25"/>
  <cols>
    <col min="1" max="1" width="11.140625" bestFit="1" customWidth="1"/>
    <col min="2" max="2" width="17.5703125" style="3" bestFit="1" customWidth="1"/>
    <col min="3" max="4" width="18" style="3" bestFit="1" customWidth="1"/>
    <col min="5" max="5" width="14.140625" style="3" bestFit="1" customWidth="1"/>
    <col min="6" max="6" width="18.85546875" style="4" bestFit="1" customWidth="1"/>
    <col min="7" max="7" width="22" style="4" bestFit="1" customWidth="1"/>
    <col min="8" max="8" width="13.42578125" style="2" bestFit="1" customWidth="1"/>
    <col min="9" max="9" width="14.5703125" style="2" bestFit="1" customWidth="1"/>
    <col min="10" max="10" width="16.42578125" style="2" bestFit="1" customWidth="1"/>
    <col min="11" max="11" width="13" style="2" bestFit="1" customWidth="1"/>
    <col min="12" max="12" width="14.42578125" style="2" bestFit="1" customWidth="1"/>
    <col min="13" max="13" width="18.140625" style="3" bestFit="1" customWidth="1"/>
    <col min="14" max="15" width="12.140625" style="7" bestFit="1" customWidth="1"/>
    <col min="16" max="16" width="23.7109375" style="7" bestFit="1" customWidth="1"/>
    <col min="17" max="17" width="23" style="7" bestFit="1" customWidth="1"/>
    <col min="18" max="18" width="18.140625" style="7" bestFit="1" customWidth="1"/>
    <col min="19" max="20" width="12.140625" style="7" bestFit="1" customWidth="1"/>
    <col min="21" max="21" width="12.85546875" style="7" bestFit="1" customWidth="1"/>
    <col min="22" max="23" width="12.140625" style="7" bestFit="1" customWidth="1"/>
    <col min="24" max="24" width="14.85546875" style="7" bestFit="1" customWidth="1"/>
    <col min="25" max="26" width="12.140625" style="7" bestFit="1" customWidth="1"/>
    <col min="27" max="27" width="12.7109375" style="7" bestFit="1" customWidth="1"/>
    <col min="28" max="28" width="12.140625" style="7" bestFit="1" customWidth="1"/>
    <col min="29" max="29" width="13" style="7" bestFit="1" customWidth="1"/>
  </cols>
  <sheetData>
    <row r="1" spans="1:29" x14ac:dyDescent="0.25">
      <c r="A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4" t="s">
        <v>36</v>
      </c>
      <c r="G1" s="4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3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</row>
    <row r="2" spans="1:29" x14ac:dyDescent="0.25">
      <c r="A2" t="s">
        <v>2</v>
      </c>
      <c r="B2" s="3">
        <v>84793</v>
      </c>
      <c r="C2" s="3">
        <v>18844871637.860001</v>
      </c>
      <c r="D2" s="3">
        <v>20248789000</v>
      </c>
      <c r="E2" s="3">
        <v>34.160833355208403</v>
      </c>
      <c r="F2" s="4">
        <v>3.8292562292607899</v>
      </c>
      <c r="G2" s="4">
        <v>3.8292601897346499</v>
      </c>
      <c r="H2" s="2">
        <v>74.826692598709997</v>
      </c>
      <c r="I2" s="2">
        <v>75.582367490546403</v>
      </c>
      <c r="J2" s="2">
        <v>60.618714100668697</v>
      </c>
      <c r="K2" s="2">
        <v>32.199716089737002</v>
      </c>
      <c r="L2" s="2">
        <v>766.69279975411803</v>
      </c>
      <c r="M2" s="3">
        <v>306098.61692109698</v>
      </c>
      <c r="N2" s="7">
        <v>0</v>
      </c>
      <c r="O2" s="7">
        <v>7.0286712970702506E-2</v>
      </c>
      <c r="P2" s="7">
        <v>0.105014142542322</v>
      </c>
      <c r="Q2" s="7">
        <v>0.63129471675833404</v>
      </c>
      <c r="R2" s="7">
        <v>2.3630007779695698E-2</v>
      </c>
      <c r="S2" s="7">
        <v>0.71571042737819401</v>
      </c>
      <c r="T2" s="7">
        <v>0.89395305003696202</v>
      </c>
      <c r="U2" s="7">
        <v>0.40084822924629898</v>
      </c>
      <c r="V2" s="7">
        <v>0.140747616088893</v>
      </c>
      <c r="W2" s="7">
        <v>0.99739476567293905</v>
      </c>
      <c r="X2" s="7">
        <v>2.6052343270604001E-3</v>
      </c>
      <c r="Y2" s="7">
        <v>0.97746113060718898</v>
      </c>
      <c r="Z2" s="7">
        <v>1.99336350657498E-2</v>
      </c>
      <c r="AA2" s="7">
        <v>2.33150770004339E-3</v>
      </c>
      <c r="AB2" s="7">
        <v>2.7372662701701298E-4</v>
      </c>
      <c r="AC2" s="7">
        <v>1.06326131507019E-4</v>
      </c>
    </row>
    <row r="3" spans="1:29" x14ac:dyDescent="0.25">
      <c r="A3" t="s">
        <v>3</v>
      </c>
      <c r="B3" s="3">
        <v>132693</v>
      </c>
      <c r="C3" s="3">
        <v>30868963894.860001</v>
      </c>
      <c r="D3" s="3">
        <v>32744707000</v>
      </c>
      <c r="E3" s="3">
        <v>28.388378680159501</v>
      </c>
      <c r="F3" s="4">
        <v>3.5940966808970498</v>
      </c>
      <c r="G3" s="4">
        <v>3.59411456185369</v>
      </c>
      <c r="H3" s="2">
        <v>74.283992916362394</v>
      </c>
      <c r="I3" s="2">
        <v>75.279818992311107</v>
      </c>
      <c r="J3" s="2">
        <v>61.599118717611702</v>
      </c>
      <c r="K3" s="2">
        <v>32.138041426937498</v>
      </c>
      <c r="L3" s="2">
        <v>764.25690807350702</v>
      </c>
      <c r="M3" s="3">
        <v>313353.88862311898</v>
      </c>
      <c r="N3" s="7">
        <v>0</v>
      </c>
      <c r="O3" s="7">
        <v>9.3519772610854895E-2</v>
      </c>
      <c r="P3" s="7">
        <v>7.4736240114756297E-2</v>
      </c>
      <c r="Q3" s="7">
        <v>0.60931048166284096</v>
      </c>
      <c r="R3" s="7">
        <v>2.8841972311168099E-2</v>
      </c>
      <c r="S3" s="7">
        <v>0.67373260854385097</v>
      </c>
      <c r="T3" s="7">
        <v>0.88653955961789799</v>
      </c>
      <c r="U3" s="7">
        <v>0.26778516042439598</v>
      </c>
      <c r="V3" s="7">
        <v>0.122149590301858</v>
      </c>
      <c r="W3" s="7">
        <v>0.99676694991869697</v>
      </c>
      <c r="X3" s="7">
        <v>3.2330500813024599E-3</v>
      </c>
      <c r="Y3" s="7">
        <v>0.97970960481915303</v>
      </c>
      <c r="Z3" s="7">
        <v>1.7057345099544201E-2</v>
      </c>
      <c r="AA3" s="7">
        <v>2.9992835054440002E-3</v>
      </c>
      <c r="AB3" s="7">
        <v>2.3376657585846399E-4</v>
      </c>
      <c r="AC3" s="7">
        <v>1.14430765218789E-4</v>
      </c>
    </row>
    <row r="4" spans="1:29" x14ac:dyDescent="0.25">
      <c r="A4" t="s">
        <v>4</v>
      </c>
      <c r="B4" s="3">
        <v>128194</v>
      </c>
      <c r="C4" s="3">
        <v>28730000635.919998</v>
      </c>
      <c r="D4" s="3">
        <v>30261960000</v>
      </c>
      <c r="E4" s="3">
        <v>25.215118808229001</v>
      </c>
      <c r="F4" s="4">
        <v>3.7159873508281001</v>
      </c>
      <c r="G4" s="4">
        <v>3.71599278627968</v>
      </c>
      <c r="H4" s="2">
        <v>74.8308152396678</v>
      </c>
      <c r="I4" s="2">
        <v>75.722337139684299</v>
      </c>
      <c r="J4" s="2">
        <v>63.536959983013503</v>
      </c>
      <c r="K4" s="2">
        <v>32.835626074592703</v>
      </c>
      <c r="L4" s="2">
        <v>761.35779383455997</v>
      </c>
      <c r="M4" s="3">
        <v>302441.392871955</v>
      </c>
      <c r="N4" s="7">
        <v>0</v>
      </c>
      <c r="O4" s="7">
        <v>8.0487457430783699E-2</v>
      </c>
      <c r="P4" s="7">
        <v>0.112468208129454</v>
      </c>
      <c r="Q4" s="7">
        <v>0.58662336641470403</v>
      </c>
      <c r="R4" s="7">
        <v>3.2283576632099797E-2</v>
      </c>
      <c r="S4" s="7">
        <v>0.657221934105096</v>
      </c>
      <c r="T4" s="7">
        <v>0.85746265877035599</v>
      </c>
      <c r="U4" s="7">
        <v>0.407853972339279</v>
      </c>
      <c r="V4" s="7">
        <v>0.12274786113477799</v>
      </c>
      <c r="W4" s="7">
        <v>0.99716946758858305</v>
      </c>
      <c r="X4" s="7">
        <v>2.8305324114169098E-3</v>
      </c>
      <c r="Y4" s="7">
        <v>0.98149129867803797</v>
      </c>
      <c r="Z4" s="7">
        <v>1.5678168910544299E-2</v>
      </c>
      <c r="AA4" s="7">
        <v>2.6510414515889202E-3</v>
      </c>
      <c r="AB4" s="7">
        <v>1.7949095982798801E-4</v>
      </c>
      <c r="AC4" s="7">
        <v>8.4162055568383701E-5</v>
      </c>
    </row>
    <row r="5" spans="1:29" x14ac:dyDescent="0.25">
      <c r="A5" t="s">
        <v>5</v>
      </c>
      <c r="B5" s="3">
        <v>102690</v>
      </c>
      <c r="C5" s="3">
        <v>23516001945.110001</v>
      </c>
      <c r="D5" s="3">
        <v>24605428000</v>
      </c>
      <c r="E5" s="3">
        <v>22.542349212856799</v>
      </c>
      <c r="F5" s="4">
        <v>3.9738534854824601</v>
      </c>
      <c r="G5" s="4">
        <v>3.9738622374935502</v>
      </c>
      <c r="H5" s="2">
        <v>75.281709742869197</v>
      </c>
      <c r="I5" s="2">
        <v>76.339009535012707</v>
      </c>
      <c r="J5" s="2">
        <v>65.853191465945997</v>
      </c>
      <c r="K5" s="2">
        <v>33.067403096573102</v>
      </c>
      <c r="L5" s="2">
        <v>760.03980686218995</v>
      </c>
      <c r="M5" s="3">
        <v>303628.014954363</v>
      </c>
      <c r="N5" s="7">
        <v>0</v>
      </c>
      <c r="O5" s="7">
        <v>9.0462926605275398E-2</v>
      </c>
      <c r="P5" s="7">
        <v>0.15007943610303501</v>
      </c>
      <c r="Q5" s="7">
        <v>0.58850832344431703</v>
      </c>
      <c r="R5" s="7">
        <v>2.9315808846637401E-2</v>
      </c>
      <c r="S5" s="7">
        <v>0.636897315309774</v>
      </c>
      <c r="T5" s="7">
        <v>0.87896531170546699</v>
      </c>
      <c r="U5" s="7">
        <v>0.51999656120851701</v>
      </c>
      <c r="V5" s="7">
        <v>9.9023718611497405E-2</v>
      </c>
      <c r="W5" s="7">
        <v>0.99657111943568399</v>
      </c>
      <c r="X5" s="7">
        <v>3.4288805643157899E-3</v>
      </c>
      <c r="Y5" s="7">
        <v>0.98145424869508102</v>
      </c>
      <c r="Z5" s="7">
        <v>1.5116870740603101E-2</v>
      </c>
      <c r="AA5" s="7">
        <v>3.12590570121489E-3</v>
      </c>
      <c r="AB5" s="7">
        <v>3.0297486310089101E-4</v>
      </c>
      <c r="AC5" s="7">
        <v>7.4070098908211795E-5</v>
      </c>
    </row>
    <row r="6" spans="1:29" x14ac:dyDescent="0.25">
      <c r="A6" t="s">
        <v>6</v>
      </c>
      <c r="B6" s="3">
        <v>71708</v>
      </c>
      <c r="C6" s="3">
        <v>14903591509.59</v>
      </c>
      <c r="D6" s="3">
        <v>15465048000</v>
      </c>
      <c r="E6" s="3">
        <v>19.160845104267398</v>
      </c>
      <c r="F6" s="4">
        <v>4.5363102345626301</v>
      </c>
      <c r="G6" s="4">
        <v>4.5363102345626301</v>
      </c>
      <c r="H6" s="2">
        <v>75.917112759675703</v>
      </c>
      <c r="I6" s="2">
        <v>76.686157591043695</v>
      </c>
      <c r="J6" s="2">
        <v>68.293092302147201</v>
      </c>
      <c r="K6" s="2">
        <v>34.478418486754101</v>
      </c>
      <c r="L6" s="2">
        <v>753.80486724772595</v>
      </c>
      <c r="M6" s="3">
        <v>280501.71368464403</v>
      </c>
      <c r="N6" s="7">
        <v>0</v>
      </c>
      <c r="O6" s="7">
        <v>6.2884593991115206E-2</v>
      </c>
      <c r="P6" s="7">
        <v>0.18928094221817501</v>
      </c>
      <c r="Q6" s="7">
        <v>0.55742381848390699</v>
      </c>
      <c r="R6" s="7">
        <v>3.4989357507178798E-2</v>
      </c>
      <c r="S6" s="7">
        <v>0.63150636996685305</v>
      </c>
      <c r="T6" s="7">
        <v>0.85486638953582605</v>
      </c>
      <c r="U6" s="7">
        <v>0.636277261282161</v>
      </c>
      <c r="V6" s="7">
        <v>0.12366351842937</v>
      </c>
      <c r="W6" s="7">
        <v>0.99467667261485604</v>
      </c>
      <c r="X6" s="7">
        <v>5.3233273851439897E-3</v>
      </c>
      <c r="Y6" s="7">
        <v>0.97980849253575097</v>
      </c>
      <c r="Z6" s="7">
        <v>1.48681800791047E-2</v>
      </c>
      <c r="AA6" s="7">
        <v>4.7958792002590397E-3</v>
      </c>
      <c r="AB6" s="7">
        <v>5.2744818488495004E-4</v>
      </c>
      <c r="AC6" s="7">
        <v>5.6965739396017199E-5</v>
      </c>
    </row>
    <row r="7" spans="1:29" x14ac:dyDescent="0.25">
      <c r="A7" t="s">
        <v>7</v>
      </c>
      <c r="B7" s="3">
        <v>59082</v>
      </c>
      <c r="C7" s="3">
        <v>12356174994.129999</v>
      </c>
      <c r="D7" s="3">
        <v>12760098000</v>
      </c>
      <c r="E7" s="3">
        <v>16.3807543534034</v>
      </c>
      <c r="F7" s="4">
        <v>4.5668291499254297</v>
      </c>
      <c r="G7" s="4">
        <v>4.5668291499254297</v>
      </c>
      <c r="H7" s="2">
        <v>75.876078813017898</v>
      </c>
      <c r="I7" s="2">
        <v>76.700996994193105</v>
      </c>
      <c r="J7" s="2">
        <v>69.302217548040403</v>
      </c>
      <c r="K7" s="2">
        <v>34.776090603203301</v>
      </c>
      <c r="L7" s="2">
        <v>751.52818465194605</v>
      </c>
      <c r="M7" s="3">
        <v>280695.33743058302</v>
      </c>
      <c r="N7" s="7">
        <v>0</v>
      </c>
      <c r="O7" s="7">
        <v>6.7788188143006703E-2</v>
      </c>
      <c r="P7" s="7">
        <v>0.17352569864530001</v>
      </c>
      <c r="Q7" s="7">
        <v>0.54743106271183595</v>
      </c>
      <c r="R7" s="7">
        <v>3.6391874004990998E-2</v>
      </c>
      <c r="S7" s="7">
        <v>0.63295607042514701</v>
      </c>
      <c r="T7" s="7">
        <v>0.84416041759729199</v>
      </c>
      <c r="U7" s="7">
        <v>0.60963829247470003</v>
      </c>
      <c r="V7" s="7">
        <v>0.116810665398934</v>
      </c>
      <c r="W7" s="7">
        <v>0.99529690135680204</v>
      </c>
      <c r="X7" s="7">
        <v>4.7030986431971997E-3</v>
      </c>
      <c r="Y7" s="7">
        <v>0.98203506134418905</v>
      </c>
      <c r="Z7" s="7">
        <v>1.32618400126128E-2</v>
      </c>
      <c r="AA7" s="7">
        <v>4.2847106904160201E-3</v>
      </c>
      <c r="AB7" s="7">
        <v>4.1838795278117502E-4</v>
      </c>
      <c r="AC7" s="7">
        <v>0</v>
      </c>
    </row>
    <row r="8" spans="1:29" x14ac:dyDescent="0.25">
      <c r="A8" t="s">
        <v>8</v>
      </c>
      <c r="B8" s="3">
        <v>37981</v>
      </c>
      <c r="C8" s="3">
        <v>7919678628.1700001</v>
      </c>
      <c r="D8" s="3">
        <v>8182812000</v>
      </c>
      <c r="E8" s="3">
        <v>19.223525697993999</v>
      </c>
      <c r="F8" s="4">
        <v>4.5516286331051203</v>
      </c>
      <c r="G8" s="4">
        <v>4.5515971531744999</v>
      </c>
      <c r="H8" s="2">
        <v>92.314133295397895</v>
      </c>
      <c r="I8" s="2">
        <v>92.3249810488919</v>
      </c>
      <c r="J8" s="2">
        <v>83.687363108517999</v>
      </c>
      <c r="K8" s="2">
        <v>34.722093165548202</v>
      </c>
      <c r="L8" s="2">
        <v>751.27795762989103</v>
      </c>
      <c r="M8" s="3">
        <v>257728.99219422101</v>
      </c>
      <c r="N8" s="7">
        <v>0.99801637525112097</v>
      </c>
      <c r="O8" s="7">
        <v>1.68610543014995E-3</v>
      </c>
      <c r="P8" s="7">
        <v>0.39643030257093398</v>
      </c>
      <c r="Q8" s="7">
        <v>0.54258630000532304</v>
      </c>
      <c r="R8" s="7">
        <v>0</v>
      </c>
      <c r="S8" s="7">
        <v>0.60735330321117498</v>
      </c>
      <c r="T8" s="7">
        <v>0.99548008661075205</v>
      </c>
      <c r="U8" s="7">
        <v>0.90576257158019802</v>
      </c>
      <c r="V8" s="7">
        <v>7.9505437242154198E-2</v>
      </c>
      <c r="W8" s="7">
        <v>0.99383550107874996</v>
      </c>
      <c r="X8" s="7">
        <v>6.1644989212499097E-3</v>
      </c>
      <c r="Y8" s="7">
        <v>0.98018477958665995</v>
      </c>
      <c r="Z8" s="7">
        <v>1.36507214920892E-2</v>
      </c>
      <c r="AA8" s="7">
        <v>5.4569332796255299E-3</v>
      </c>
      <c r="AB8" s="7">
        <v>7.0756564162437999E-4</v>
      </c>
      <c r="AC8" s="7">
        <v>8.9954897597229494E-5</v>
      </c>
    </row>
    <row r="9" spans="1:29" x14ac:dyDescent="0.25">
      <c r="A9" t="s">
        <v>9</v>
      </c>
      <c r="B9" s="3">
        <v>135963</v>
      </c>
      <c r="C9" s="3">
        <v>29875609801.369999</v>
      </c>
      <c r="D9" s="3">
        <v>31361353000</v>
      </c>
      <c r="E9" s="3">
        <v>25.2121776592499</v>
      </c>
      <c r="F9" s="4">
        <v>3.79669684971442</v>
      </c>
      <c r="G9" s="4">
        <v>3.7966977189181401</v>
      </c>
      <c r="H9" s="2">
        <v>91.538060510031499</v>
      </c>
      <c r="I9" s="2">
        <v>91.562355822901694</v>
      </c>
      <c r="J9" s="2">
        <v>79.439633154000802</v>
      </c>
      <c r="K9" s="2">
        <v>33.148326786784601</v>
      </c>
      <c r="L9" s="2">
        <v>757.09097000118902</v>
      </c>
      <c r="M9" s="3">
        <v>274161.09979895299</v>
      </c>
      <c r="N9" s="7">
        <v>0.999304563393412</v>
      </c>
      <c r="O9" s="7">
        <v>3.9655796791323401E-3</v>
      </c>
      <c r="P9" s="7">
        <v>0.297197002461279</v>
      </c>
      <c r="Q9" s="7">
        <v>0.56621639503386001</v>
      </c>
      <c r="R9" s="7">
        <v>0</v>
      </c>
      <c r="S9" s="7">
        <v>0.62092425225440295</v>
      </c>
      <c r="T9" s="7">
        <v>0.99602556414347798</v>
      </c>
      <c r="U9" s="7">
        <v>0.71684535995606402</v>
      </c>
      <c r="V9" s="7">
        <v>7.7128833318218404E-2</v>
      </c>
      <c r="W9" s="7">
        <v>0.99623484288729502</v>
      </c>
      <c r="X9" s="7">
        <v>3.7651571127040799E-3</v>
      </c>
      <c r="Y9" s="7">
        <v>0.98681432852520601</v>
      </c>
      <c r="Z9" s="7">
        <v>9.4205143620898994E-3</v>
      </c>
      <c r="AA9" s="7">
        <v>3.2583719334001999E-3</v>
      </c>
      <c r="AB9" s="7">
        <v>5.06785179303878E-4</v>
      </c>
      <c r="AC9" s="7">
        <v>1.9732516387764699E-5</v>
      </c>
    </row>
    <row r="10" spans="1:29" x14ac:dyDescent="0.25">
      <c r="A10" t="s">
        <v>10</v>
      </c>
      <c r="B10" s="3">
        <v>31630</v>
      </c>
      <c r="C10" s="3">
        <v>6632739546.4499998</v>
      </c>
      <c r="D10" s="3">
        <v>6823093000</v>
      </c>
      <c r="E10" s="3">
        <v>16.3784791544564</v>
      </c>
      <c r="F10" s="4">
        <v>4.5605805664145196</v>
      </c>
      <c r="G10" s="4">
        <v>4.5605126292845304</v>
      </c>
      <c r="H10" s="2">
        <v>92.369456020445</v>
      </c>
      <c r="I10" s="2">
        <v>92.378822957986401</v>
      </c>
      <c r="J10" s="2">
        <v>84.837973658007897</v>
      </c>
      <c r="K10" s="2">
        <v>34.914017671663998</v>
      </c>
      <c r="L10" s="2">
        <v>748.63164981732302</v>
      </c>
      <c r="M10" s="3">
        <v>258772.95562326</v>
      </c>
      <c r="N10" s="7">
        <v>0.99787556214572803</v>
      </c>
      <c r="O10" s="7">
        <v>1.4654595860321899E-3</v>
      </c>
      <c r="P10" s="7">
        <v>0.393983315768616</v>
      </c>
      <c r="Q10" s="7">
        <v>0.53975274066446899</v>
      </c>
      <c r="R10" s="7">
        <v>0</v>
      </c>
      <c r="S10" s="7">
        <v>0.59680719831953299</v>
      </c>
      <c r="T10" s="7">
        <v>0.995109091481307</v>
      </c>
      <c r="U10" s="7">
        <v>0.89881178197035905</v>
      </c>
      <c r="V10" s="7">
        <v>8.8609534730571995E-2</v>
      </c>
      <c r="W10" s="7">
        <v>0.99409544362691504</v>
      </c>
      <c r="X10" s="7">
        <v>5.9045563730843499E-3</v>
      </c>
      <c r="Y10" s="7">
        <v>0.98336518772562698</v>
      </c>
      <c r="Z10" s="7">
        <v>1.07302559012877E-2</v>
      </c>
      <c r="AA10" s="7">
        <v>5.0841820342619696E-3</v>
      </c>
      <c r="AB10" s="7">
        <v>8.2037433882238401E-4</v>
      </c>
      <c r="AC10" s="7">
        <v>6.0388559990174699E-5</v>
      </c>
    </row>
    <row r="11" spans="1:29" x14ac:dyDescent="0.25">
      <c r="A11" t="s">
        <v>11</v>
      </c>
      <c r="B11" s="3">
        <v>107563</v>
      </c>
      <c r="C11" s="3">
        <v>23204440894.529999</v>
      </c>
      <c r="D11" s="3">
        <v>23801939000</v>
      </c>
      <c r="E11" s="3">
        <v>12.505718981802501</v>
      </c>
      <c r="F11" s="4">
        <v>4.51958030391304</v>
      </c>
      <c r="G11" s="4">
        <v>4.5195802139696903</v>
      </c>
      <c r="H11" s="2">
        <v>76.213677098987006</v>
      </c>
      <c r="I11" s="2">
        <v>77.015588711609695</v>
      </c>
      <c r="J11" s="2">
        <v>71.710370688618696</v>
      </c>
      <c r="K11" s="2">
        <v>34.480601611133302</v>
      </c>
      <c r="L11" s="2">
        <v>752.26310007983204</v>
      </c>
      <c r="M11" s="3">
        <v>284854.19919722702</v>
      </c>
      <c r="N11" s="7">
        <v>0</v>
      </c>
      <c r="O11" s="7">
        <v>6.4889682685478803E-2</v>
      </c>
      <c r="P11" s="7">
        <v>0.193494976380509</v>
      </c>
      <c r="Q11" s="7">
        <v>0.552612513181163</v>
      </c>
      <c r="R11" s="7">
        <v>3.4019637397774402E-2</v>
      </c>
      <c r="S11" s="7">
        <v>0.61989908816940498</v>
      </c>
      <c r="T11" s="7">
        <v>0.84966590518488505</v>
      </c>
      <c r="U11" s="7">
        <v>0.67181533554444794</v>
      </c>
      <c r="V11" s="7">
        <v>0.13026393858869201</v>
      </c>
      <c r="W11" s="7">
        <v>0.996450836103557</v>
      </c>
      <c r="X11" s="7">
        <v>3.5491638964424998E-3</v>
      </c>
      <c r="Y11" s="7">
        <v>0.98926828604007799</v>
      </c>
      <c r="Z11" s="7">
        <v>7.1825500634789497E-3</v>
      </c>
      <c r="AA11" s="7">
        <v>3.4281744029761099E-3</v>
      </c>
      <c r="AB11" s="7">
        <v>1.20989493466391E-4</v>
      </c>
      <c r="AC11" s="7">
        <v>0</v>
      </c>
    </row>
    <row r="12" spans="1:29" x14ac:dyDescent="0.25">
      <c r="A12" t="s">
        <v>12</v>
      </c>
      <c r="B12" s="3">
        <v>132605</v>
      </c>
      <c r="C12" s="3">
        <v>30902656949.099998</v>
      </c>
      <c r="D12" s="3">
        <v>33002088000</v>
      </c>
      <c r="E12" s="3">
        <v>31.459982571827801</v>
      </c>
      <c r="F12" s="4">
        <v>3.6653300358472798</v>
      </c>
      <c r="G12" s="4">
        <v>3.66533024624965</v>
      </c>
      <c r="H12" s="2">
        <v>74.468186906887297</v>
      </c>
      <c r="I12" s="2">
        <v>75.489855449732801</v>
      </c>
      <c r="J12" s="2">
        <v>60.817591198192297</v>
      </c>
      <c r="K12" s="2">
        <v>31.9957291431604</v>
      </c>
      <c r="L12" s="2">
        <v>766.36911300325505</v>
      </c>
      <c r="M12" s="3">
        <v>314581.67473241698</v>
      </c>
      <c r="N12" s="7">
        <v>0</v>
      </c>
      <c r="O12" s="7">
        <v>9.5284311467456306E-2</v>
      </c>
      <c r="P12" s="7">
        <v>8.1393873836251296E-2</v>
      </c>
      <c r="Q12" s="7">
        <v>0.623578599544374</v>
      </c>
      <c r="R12" s="7">
        <v>2.5401029397339899E-2</v>
      </c>
      <c r="S12" s="7">
        <v>0.70198675552012002</v>
      </c>
      <c r="T12" s="7">
        <v>0.89209194671019598</v>
      </c>
      <c r="U12" s="7">
        <v>0.30733603070614202</v>
      </c>
      <c r="V12" s="7">
        <v>0.125649778648663</v>
      </c>
      <c r="W12" s="7">
        <v>0.99881651417513195</v>
      </c>
      <c r="X12" s="7">
        <v>1.1834858248674E-3</v>
      </c>
      <c r="Y12" s="7">
        <v>0.99783014810213699</v>
      </c>
      <c r="Z12" s="7">
        <v>9.8636607299514793E-4</v>
      </c>
      <c r="AA12" s="7">
        <v>1.1292800430551999E-3</v>
      </c>
      <c r="AB12" s="7">
        <v>5.4205781812194099E-5</v>
      </c>
      <c r="AC12" s="7">
        <v>0</v>
      </c>
    </row>
    <row r="13" spans="1:29" x14ac:dyDescent="0.25">
      <c r="A13" t="s">
        <v>13</v>
      </c>
      <c r="B13" s="3">
        <v>141967</v>
      </c>
      <c r="C13" s="3">
        <v>31928168573.73</v>
      </c>
      <c r="D13" s="3">
        <v>32518882000</v>
      </c>
      <c r="E13" s="3">
        <v>8.7545979936163096</v>
      </c>
      <c r="F13" s="4">
        <v>4.37955953225784</v>
      </c>
      <c r="G13" s="4">
        <v>4.37955953225784</v>
      </c>
      <c r="H13" s="2">
        <v>75.9572137273572</v>
      </c>
      <c r="I13" s="2">
        <v>76.871091511166497</v>
      </c>
      <c r="J13" s="2">
        <v>73.487001855973404</v>
      </c>
      <c r="K13" s="2">
        <v>34.626370253664803</v>
      </c>
      <c r="L13" s="2">
        <v>751.69752539868705</v>
      </c>
      <c r="M13" s="3">
        <v>294182.62573164701</v>
      </c>
      <c r="N13" s="7">
        <v>0</v>
      </c>
      <c r="O13" s="7">
        <v>7.5041649686457199E-2</v>
      </c>
      <c r="P13" s="7">
        <v>0.17036935063997299</v>
      </c>
      <c r="Q13" s="7">
        <v>0.55562806941129494</v>
      </c>
      <c r="R13" s="7">
        <v>3.3118285136154502E-2</v>
      </c>
      <c r="S13" s="7">
        <v>0.62772848756475197</v>
      </c>
      <c r="T13" s="7">
        <v>0.85505301200809303</v>
      </c>
      <c r="U13" s="7">
        <v>0.61957617450367197</v>
      </c>
      <c r="V13" s="7">
        <v>0.121193763642733</v>
      </c>
      <c r="W13" s="7">
        <v>0.99820730528067003</v>
      </c>
      <c r="X13" s="7">
        <v>1.79269471932988E-3</v>
      </c>
      <c r="Y13" s="7">
        <v>0.99820730528067003</v>
      </c>
      <c r="Z13" s="7">
        <v>0</v>
      </c>
      <c r="AA13" s="7">
        <v>1.79269471932988E-3</v>
      </c>
      <c r="AB13" s="7">
        <v>0</v>
      </c>
      <c r="AC13" s="7">
        <v>0</v>
      </c>
    </row>
    <row r="14" spans="1:29" x14ac:dyDescent="0.25">
      <c r="A14" t="s">
        <v>14</v>
      </c>
      <c r="B14" s="3">
        <v>71306</v>
      </c>
      <c r="C14" s="3">
        <v>15307704367.93</v>
      </c>
      <c r="D14" s="3">
        <v>15648312000</v>
      </c>
      <c r="E14" s="3">
        <v>12.4578112545452</v>
      </c>
      <c r="F14" s="4">
        <v>4.5402168157034204</v>
      </c>
      <c r="G14" s="4">
        <v>4.5402168157034204</v>
      </c>
      <c r="H14" s="2">
        <v>92.482191295939998</v>
      </c>
      <c r="I14" s="2">
        <v>92.489408970936495</v>
      </c>
      <c r="J14" s="2">
        <v>87.411302845692205</v>
      </c>
      <c r="K14" s="2">
        <v>34.741520116496403</v>
      </c>
      <c r="L14" s="2">
        <v>748.17364565155799</v>
      </c>
      <c r="M14" s="3">
        <v>261492.37113095701</v>
      </c>
      <c r="N14" s="7">
        <v>0.99829433543773505</v>
      </c>
      <c r="O14" s="7">
        <v>1.16631951734081E-3</v>
      </c>
      <c r="P14" s="7">
        <v>0.405933977118626</v>
      </c>
      <c r="Q14" s="7">
        <v>0.54599575686868296</v>
      </c>
      <c r="R14" s="7">
        <v>0</v>
      </c>
      <c r="S14" s="7">
        <v>0.59745977775482295</v>
      </c>
      <c r="T14" s="7">
        <v>0.99488595389952705</v>
      </c>
      <c r="U14" s="7">
        <v>0.92472485564954598</v>
      </c>
      <c r="V14" s="7">
        <v>0.10252488746503099</v>
      </c>
      <c r="W14" s="7">
        <v>0.99735016690451705</v>
      </c>
      <c r="X14" s="7">
        <v>2.6498330954822999E-3</v>
      </c>
      <c r="Y14" s="7">
        <v>0.99352357934951296</v>
      </c>
      <c r="Z14" s="7">
        <v>3.8265875550039098E-3</v>
      </c>
      <c r="AA14" s="7">
        <v>2.5400054061311701E-3</v>
      </c>
      <c r="AB14" s="7">
        <v>1.09827689351133E-4</v>
      </c>
      <c r="AC14" s="7">
        <v>0</v>
      </c>
    </row>
    <row r="15" spans="1:29" x14ac:dyDescent="0.25">
      <c r="A15" t="s">
        <v>15</v>
      </c>
      <c r="B15" s="3">
        <v>134396</v>
      </c>
      <c r="C15" s="3">
        <v>29531552788.639999</v>
      </c>
      <c r="D15" s="3">
        <v>31002448000</v>
      </c>
      <c r="E15" s="3">
        <v>25.214556203141999</v>
      </c>
      <c r="F15" s="4">
        <v>3.7955551703555699</v>
      </c>
      <c r="G15" s="4">
        <v>3.7955551703555699</v>
      </c>
      <c r="H15" s="2">
        <v>91.535120058433805</v>
      </c>
      <c r="I15" s="2">
        <v>91.560280840275496</v>
      </c>
      <c r="J15" s="2">
        <v>79.431489742485397</v>
      </c>
      <c r="K15" s="2">
        <v>33.120655391504499</v>
      </c>
      <c r="L15" s="2">
        <v>757.39548421027405</v>
      </c>
      <c r="M15" s="3">
        <v>274143.878702202</v>
      </c>
      <c r="N15" s="7">
        <v>0.99931025504362103</v>
      </c>
      <c r="O15" s="7">
        <v>4.0987360788749799E-3</v>
      </c>
      <c r="P15" s="7">
        <v>0.29779204123505798</v>
      </c>
      <c r="Q15" s="7">
        <v>0.56770692301486902</v>
      </c>
      <c r="R15" s="7">
        <v>0</v>
      </c>
      <c r="S15" s="7">
        <v>0.62065396964668296</v>
      </c>
      <c r="T15" s="7">
        <v>0.99606576875447195</v>
      </c>
      <c r="U15" s="7">
        <v>0.71654250149351795</v>
      </c>
      <c r="V15" s="7">
        <v>7.6888101069763196E-2</v>
      </c>
      <c r="W15" s="7">
        <v>0.99833313405589197</v>
      </c>
      <c r="X15" s="7">
        <v>1.6668659441076001E-3</v>
      </c>
      <c r="Y15" s="7">
        <v>0.99761597253913803</v>
      </c>
      <c r="Z15" s="7">
        <v>7.1716151675393599E-4</v>
      </c>
      <c r="AA15" s="7">
        <v>1.6668659441076001E-3</v>
      </c>
      <c r="AB15" s="7">
        <v>0</v>
      </c>
      <c r="AC15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7"/>
  <sheetViews>
    <sheetView workbookViewId="0"/>
  </sheetViews>
  <sheetFormatPr defaultRowHeight="15" x14ac:dyDescent="0.25"/>
  <cols>
    <col min="1" max="1" width="11.140625" bestFit="1" customWidth="1"/>
    <col min="2" max="2" width="10.140625" bestFit="1" customWidth="1"/>
    <col min="3" max="3" width="11.5703125" style="3" bestFit="1" customWidth="1"/>
    <col min="4" max="4" width="18" style="3" bestFit="1" customWidth="1"/>
    <col min="5" max="5" width="19.140625" style="3" bestFit="1" customWidth="1"/>
    <col min="6" max="6" width="14.5703125" style="3" bestFit="1" customWidth="1"/>
    <col min="7" max="8" width="12.140625" style="5" bestFit="1" customWidth="1"/>
    <col min="9" max="9" width="8.140625" style="4" bestFit="1" customWidth="1"/>
    <col min="10" max="10" width="7.140625" style="4" bestFit="1" customWidth="1"/>
    <col min="11" max="11" width="12.140625" style="7" bestFit="1" customWidth="1"/>
    <col min="12" max="12" width="16.85546875" style="3" bestFit="1" customWidth="1"/>
    <col min="13" max="13" width="14.28515625" style="3" bestFit="1" customWidth="1"/>
    <col min="14" max="14" width="11.85546875" style="7" bestFit="1" customWidth="1"/>
    <col min="15" max="15" width="11.42578125" style="7" bestFit="1" customWidth="1"/>
    <col min="17" max="17" width="11.140625" bestFit="1" customWidth="1"/>
    <col min="18" max="18" width="14.28515625" style="3" bestFit="1" customWidth="1"/>
    <col min="19" max="19" width="16.85546875" style="3" bestFit="1" customWidth="1"/>
    <col min="22" max="23" width="9.140625" style="7"/>
  </cols>
  <sheetData>
    <row r="1" spans="1:23" x14ac:dyDescent="0.25">
      <c r="A1" t="s">
        <v>0</v>
      </c>
      <c r="B1" t="s">
        <v>19</v>
      </c>
      <c r="C1" s="3" t="s">
        <v>20</v>
      </c>
      <c r="D1" s="3" t="s">
        <v>21</v>
      </c>
      <c r="E1" s="3" t="s">
        <v>1</v>
      </c>
      <c r="F1" s="3" t="s">
        <v>22</v>
      </c>
      <c r="G1" s="5" t="s">
        <v>23</v>
      </c>
      <c r="H1" s="5" t="s">
        <v>24</v>
      </c>
      <c r="I1" s="4" t="s">
        <v>25</v>
      </c>
      <c r="J1" s="4" t="s">
        <v>26</v>
      </c>
      <c r="K1" s="7" t="s">
        <v>27</v>
      </c>
      <c r="L1" s="3" t="s">
        <v>18</v>
      </c>
      <c r="M1" s="3" t="s">
        <v>17</v>
      </c>
      <c r="N1" s="7" t="s">
        <v>28</v>
      </c>
      <c r="O1" s="7" t="s">
        <v>29</v>
      </c>
      <c r="Q1" t="s">
        <v>16</v>
      </c>
      <c r="R1" s="3" t="s">
        <v>17</v>
      </c>
      <c r="S1" s="3" t="s">
        <v>18</v>
      </c>
      <c r="T1" t="s">
        <v>30</v>
      </c>
      <c r="U1" t="s">
        <v>31</v>
      </c>
      <c r="V1" s="7" t="s">
        <v>61</v>
      </c>
      <c r="W1" s="7" t="s">
        <v>62</v>
      </c>
    </row>
    <row r="2" spans="1:23" x14ac:dyDescent="0.25">
      <c r="A2" t="s">
        <v>2</v>
      </c>
      <c r="B2" s="1">
        <v>41426</v>
      </c>
      <c r="C2" s="3">
        <v>96389</v>
      </c>
      <c r="D2" s="3">
        <v>22584361082.810001</v>
      </c>
      <c r="E2" s="3">
        <v>139983562.75</v>
      </c>
      <c r="F2" s="3">
        <v>0</v>
      </c>
      <c r="G2" s="5">
        <v>6.1982520664066003E-3</v>
      </c>
      <c r="H2" s="5">
        <v>0</v>
      </c>
      <c r="I2" s="4">
        <v>7.1894999999999998</v>
      </c>
      <c r="J2" s="4">
        <v>0</v>
      </c>
      <c r="K2" s="7">
        <v>0</v>
      </c>
      <c r="L2" s="3">
        <v>139983562.75</v>
      </c>
      <c r="M2" s="3">
        <v>0</v>
      </c>
      <c r="N2" s="7">
        <v>6.8999999999999999E-3</v>
      </c>
      <c r="O2" s="7">
        <v>0</v>
      </c>
      <c r="Q2" t="s">
        <v>2</v>
      </c>
      <c r="R2" s="3">
        <v>15916587.3007812</v>
      </c>
      <c r="S2" s="3">
        <v>2597990708.0352201</v>
      </c>
      <c r="T2">
        <v>18844871637.860001</v>
      </c>
      <c r="U2">
        <v>20248789000</v>
      </c>
      <c r="V2" s="7">
        <f>S2/U2</f>
        <v>0.12830351030055279</v>
      </c>
      <c r="W2" s="7">
        <f>R2/U2</f>
        <v>7.8605131895943012E-4</v>
      </c>
    </row>
    <row r="3" spans="1:23" x14ac:dyDescent="0.25">
      <c r="A3" t="s">
        <v>2</v>
      </c>
      <c r="B3" s="1">
        <v>41456</v>
      </c>
      <c r="C3" s="3">
        <v>95815</v>
      </c>
      <c r="D3" s="3">
        <v>22391372156.549999</v>
      </c>
      <c r="E3" s="3">
        <v>101319553.18000001</v>
      </c>
      <c r="F3" s="3">
        <v>0</v>
      </c>
      <c r="G3" s="5">
        <v>4.5249372156213096E-3</v>
      </c>
      <c r="H3" s="5">
        <v>0</v>
      </c>
      <c r="I3" s="4">
        <v>5.2968000000000002</v>
      </c>
      <c r="J3" s="4">
        <v>0</v>
      </c>
      <c r="K3" s="7">
        <v>1.2667221826199199E-3</v>
      </c>
      <c r="L3" s="3">
        <v>241303115.93000001</v>
      </c>
      <c r="M3" s="3">
        <v>0</v>
      </c>
      <c r="N3" s="7">
        <v>1.1900000000000001E-2</v>
      </c>
      <c r="O3" s="7">
        <v>0</v>
      </c>
      <c r="Q3" t="s">
        <v>3</v>
      </c>
      <c r="R3" s="3">
        <v>18206419.703125</v>
      </c>
      <c r="S3" s="3">
        <v>2923791942.1402402</v>
      </c>
      <c r="T3">
        <v>30868963894.860001</v>
      </c>
      <c r="U3">
        <v>32744707000</v>
      </c>
      <c r="V3" s="7">
        <f t="shared" ref="V3:V15" si="0">S3/U3</f>
        <v>8.9290520820364649E-2</v>
      </c>
      <c r="W3" s="7">
        <f t="shared" ref="W3:W15" si="1">R3/U3</f>
        <v>5.5601107388516255E-4</v>
      </c>
    </row>
    <row r="4" spans="1:23" x14ac:dyDescent="0.25">
      <c r="A4" t="s">
        <v>2</v>
      </c>
      <c r="B4" s="1">
        <v>41487</v>
      </c>
      <c r="C4" s="3">
        <v>95391</v>
      </c>
      <c r="D4" s="3">
        <v>22242256898.849998</v>
      </c>
      <c r="E4" s="3">
        <v>70147957.719999999</v>
      </c>
      <c r="F4" s="3">
        <v>0</v>
      </c>
      <c r="G4" s="5">
        <v>3.1538147427668099E-3</v>
      </c>
      <c r="H4" s="5">
        <v>0</v>
      </c>
      <c r="I4" s="4">
        <v>3.7195999999999998</v>
      </c>
      <c r="J4" s="4">
        <v>0</v>
      </c>
      <c r="K4" s="7">
        <v>1.0356345223757799E-3</v>
      </c>
      <c r="L4" s="3">
        <v>311451073.64999998</v>
      </c>
      <c r="M4" s="3">
        <v>0</v>
      </c>
      <c r="N4" s="7">
        <v>1.5299999999999999E-2</v>
      </c>
      <c r="O4" s="7">
        <v>0</v>
      </c>
      <c r="Q4" t="s">
        <v>4</v>
      </c>
      <c r="R4" s="3">
        <v>10514944.859375</v>
      </c>
      <c r="S4" s="3">
        <v>2518762000.68538</v>
      </c>
      <c r="T4">
        <v>28730000635.919998</v>
      </c>
      <c r="U4">
        <v>30261960000</v>
      </c>
      <c r="V4" s="7">
        <f t="shared" si="0"/>
        <v>8.3231951951736771E-2</v>
      </c>
      <c r="W4" s="7">
        <f t="shared" si="1"/>
        <v>3.4746410541072027E-4</v>
      </c>
    </row>
    <row r="5" spans="1:23" x14ac:dyDescent="0.25">
      <c r="A5" t="s">
        <v>2</v>
      </c>
      <c r="B5" s="1">
        <v>41518</v>
      </c>
      <c r="C5" s="3">
        <v>95074</v>
      </c>
      <c r="D5" s="3">
        <v>22126259871.459999</v>
      </c>
      <c r="E5" s="3">
        <v>73281124.489999995</v>
      </c>
      <c r="F5" s="3">
        <v>0</v>
      </c>
      <c r="G5" s="5">
        <v>3.3119526262331898E-3</v>
      </c>
      <c r="H5" s="5">
        <v>0</v>
      </c>
      <c r="I5" s="4">
        <v>3.9026999999999998</v>
      </c>
      <c r="J5" s="4">
        <v>0</v>
      </c>
      <c r="K5" s="7">
        <v>1.37402924202362E-3</v>
      </c>
      <c r="L5" s="3">
        <v>384732198.13999999</v>
      </c>
      <c r="M5" s="3">
        <v>0</v>
      </c>
      <c r="N5" s="7">
        <v>1.9E-2</v>
      </c>
      <c r="O5" s="7">
        <v>0</v>
      </c>
      <c r="Q5" t="s">
        <v>5</v>
      </c>
      <c r="R5" s="3">
        <v>7861253.09375</v>
      </c>
      <c r="S5" s="3">
        <v>3757874148.6001101</v>
      </c>
      <c r="T5">
        <v>23516001945.110001</v>
      </c>
      <c r="U5">
        <v>24605428000</v>
      </c>
      <c r="V5" s="7">
        <f t="shared" si="0"/>
        <v>0.15272541280729235</v>
      </c>
      <c r="W5" s="7">
        <f t="shared" si="1"/>
        <v>3.1949263771189024E-4</v>
      </c>
    </row>
    <row r="6" spans="1:23" x14ac:dyDescent="0.25">
      <c r="A6" t="s">
        <v>2</v>
      </c>
      <c r="B6" s="1">
        <v>41548</v>
      </c>
      <c r="C6" s="3">
        <v>94744</v>
      </c>
      <c r="D6" s="3">
        <v>22004407481.799999</v>
      </c>
      <c r="E6" s="3">
        <v>67109639.599999994</v>
      </c>
      <c r="F6" s="3">
        <v>0</v>
      </c>
      <c r="G6" s="5">
        <v>3.0498271610133899E-3</v>
      </c>
      <c r="H6" s="5">
        <v>0</v>
      </c>
      <c r="I6" s="4">
        <v>3.5990000000000002</v>
      </c>
      <c r="J6" s="4">
        <v>0</v>
      </c>
      <c r="K6" s="7">
        <v>1.5484221430720701E-3</v>
      </c>
      <c r="L6" s="3">
        <v>451841837.74000001</v>
      </c>
      <c r="M6" s="3">
        <v>0</v>
      </c>
      <c r="N6" s="7">
        <v>2.23E-2</v>
      </c>
      <c r="O6" s="7">
        <v>0</v>
      </c>
      <c r="Q6" t="s">
        <v>6</v>
      </c>
      <c r="R6" s="3">
        <v>5362009.58984375</v>
      </c>
      <c r="S6" s="3">
        <v>4417889897.5742798</v>
      </c>
      <c r="T6">
        <v>14903591509.59</v>
      </c>
      <c r="U6">
        <v>15465048000</v>
      </c>
      <c r="V6" s="7">
        <f t="shared" si="0"/>
        <v>0.28566932980578397</v>
      </c>
      <c r="W6" s="7">
        <f t="shared" si="1"/>
        <v>3.4671794034158511E-4</v>
      </c>
    </row>
    <row r="7" spans="1:23" x14ac:dyDescent="0.25">
      <c r="A7" t="s">
        <v>2</v>
      </c>
      <c r="B7" s="1">
        <v>41579</v>
      </c>
      <c r="C7" s="3">
        <v>94439</v>
      </c>
      <c r="D7" s="3">
        <v>21889515190.82</v>
      </c>
      <c r="E7" s="3">
        <v>69191334.689999998</v>
      </c>
      <c r="F7" s="3">
        <v>99020.6</v>
      </c>
      <c r="G7" s="5">
        <v>3.1609349995571101E-3</v>
      </c>
      <c r="H7" s="5">
        <v>4.5236543220256902E-6</v>
      </c>
      <c r="I7" s="4">
        <v>3.7277999999999998</v>
      </c>
      <c r="J7" s="4">
        <v>5.4000000000000003E-3</v>
      </c>
      <c r="K7" s="7">
        <v>1.5094332223427401E-3</v>
      </c>
      <c r="L7" s="3">
        <v>521033172.43000001</v>
      </c>
      <c r="M7" s="3">
        <v>99020.6</v>
      </c>
      <c r="N7" s="7">
        <v>2.5700000000000001E-2</v>
      </c>
      <c r="O7" s="7">
        <v>0</v>
      </c>
      <c r="Q7" t="s">
        <v>7</v>
      </c>
      <c r="R7" s="3">
        <v>1015635.2265625</v>
      </c>
      <c r="S7" s="3">
        <v>3130422907.4066401</v>
      </c>
      <c r="T7">
        <v>12356174994.129999</v>
      </c>
      <c r="U7">
        <v>12760098000</v>
      </c>
      <c r="V7" s="7">
        <f t="shared" si="0"/>
        <v>0.24532906466757859</v>
      </c>
      <c r="W7" s="7">
        <f t="shared" si="1"/>
        <v>7.9594625884730664E-5</v>
      </c>
    </row>
    <row r="8" spans="1:23" x14ac:dyDescent="0.25">
      <c r="A8" t="s">
        <v>2</v>
      </c>
      <c r="B8" s="1">
        <v>41609</v>
      </c>
      <c r="C8" s="3">
        <v>94127</v>
      </c>
      <c r="D8" s="3">
        <v>21778303317.84</v>
      </c>
      <c r="E8" s="3">
        <v>57817994.990000002</v>
      </c>
      <c r="F8" s="3">
        <v>302877.99</v>
      </c>
      <c r="G8" s="5">
        <v>2.6548438666770501E-3</v>
      </c>
      <c r="H8" s="5">
        <v>1.39073271953143E-5</v>
      </c>
      <c r="I8" s="4">
        <v>3.1396999999999999</v>
      </c>
      <c r="J8" s="4">
        <v>1.66E-2</v>
      </c>
      <c r="K8" s="7">
        <v>2.1700490437786399E-3</v>
      </c>
      <c r="L8" s="3">
        <v>578851167.41999996</v>
      </c>
      <c r="M8" s="3">
        <v>401898.59</v>
      </c>
      <c r="N8" s="7">
        <v>2.8500000000000001E-2</v>
      </c>
      <c r="O8" s="7">
        <v>0</v>
      </c>
      <c r="Q8" t="s">
        <v>8</v>
      </c>
      <c r="R8" s="3">
        <v>5924808.17578125</v>
      </c>
      <c r="S8" s="3">
        <v>1858716187.28356</v>
      </c>
      <c r="T8">
        <v>7919678628.1700001</v>
      </c>
      <c r="U8">
        <v>8182812000</v>
      </c>
      <c r="V8" s="7">
        <f t="shared" si="0"/>
        <v>0.22714883187876736</v>
      </c>
      <c r="W8" s="7">
        <f t="shared" si="1"/>
        <v>7.2405527290389298E-4</v>
      </c>
    </row>
    <row r="9" spans="1:23" x14ac:dyDescent="0.25">
      <c r="A9" t="s">
        <v>2</v>
      </c>
      <c r="B9" s="1">
        <v>41640</v>
      </c>
      <c r="C9" s="3">
        <v>93864</v>
      </c>
      <c r="D9" s="3">
        <v>21671804564.209999</v>
      </c>
      <c r="E9" s="3">
        <v>54493693.359999999</v>
      </c>
      <c r="F9" s="3">
        <v>543640.77</v>
      </c>
      <c r="G9" s="5">
        <v>2.5144972675692099E-3</v>
      </c>
      <c r="H9" s="5">
        <v>2.5085163922980199E-5</v>
      </c>
      <c r="I9" s="4">
        <v>2.976</v>
      </c>
      <c r="J9" s="4">
        <v>0.03</v>
      </c>
      <c r="K9" s="7">
        <v>2.1894667321964E-3</v>
      </c>
      <c r="L9" s="3">
        <v>633344860.77999997</v>
      </c>
      <c r="M9" s="3">
        <v>945539.36</v>
      </c>
      <c r="N9" s="7">
        <v>3.1199999999999999E-2</v>
      </c>
      <c r="O9" s="7">
        <v>0</v>
      </c>
      <c r="Q9" t="s">
        <v>9</v>
      </c>
      <c r="R9" s="3">
        <v>9278150.98046875</v>
      </c>
      <c r="S9" s="3">
        <v>2862504021.2224102</v>
      </c>
      <c r="T9">
        <v>29875609801.369999</v>
      </c>
      <c r="U9">
        <v>31361353000</v>
      </c>
      <c r="V9" s="7">
        <f t="shared" si="0"/>
        <v>9.1274889231418369E-2</v>
      </c>
      <c r="W9" s="7">
        <f t="shared" si="1"/>
        <v>2.9584664221817057E-4</v>
      </c>
    </row>
    <row r="10" spans="1:23" x14ac:dyDescent="0.25">
      <c r="A10" t="s">
        <v>2</v>
      </c>
      <c r="B10" s="1">
        <v>41671</v>
      </c>
      <c r="C10" s="3">
        <v>93598</v>
      </c>
      <c r="D10" s="3">
        <v>21571139506.34</v>
      </c>
      <c r="E10" s="3">
        <v>70113723.829999998</v>
      </c>
      <c r="F10" s="3">
        <v>342970.55</v>
      </c>
      <c r="G10" s="5">
        <v>3.25034863408086E-3</v>
      </c>
      <c r="H10" s="5">
        <v>1.5899510079159101E-5</v>
      </c>
      <c r="I10" s="4">
        <v>3.8313999999999999</v>
      </c>
      <c r="J10" s="4">
        <v>1.9E-2</v>
      </c>
      <c r="K10" s="7">
        <v>2.3021683029496001E-3</v>
      </c>
      <c r="L10" s="3">
        <v>703458584.61000001</v>
      </c>
      <c r="M10" s="3">
        <v>1288509.9099999999</v>
      </c>
      <c r="N10" s="7">
        <v>3.4700000000000002E-2</v>
      </c>
      <c r="O10" s="7">
        <v>0</v>
      </c>
      <c r="Q10" t="s">
        <v>10</v>
      </c>
      <c r="R10" s="3">
        <v>3302355.7421875</v>
      </c>
      <c r="S10" s="3">
        <v>1249858984.33358</v>
      </c>
      <c r="T10">
        <v>6632739546.4499998</v>
      </c>
      <c r="U10">
        <v>6823093000</v>
      </c>
      <c r="V10" s="7">
        <f t="shared" si="0"/>
        <v>0.18318070475275364</v>
      </c>
      <c r="W10" s="7">
        <f t="shared" si="1"/>
        <v>4.8399688267293148E-4</v>
      </c>
    </row>
    <row r="11" spans="1:23" x14ac:dyDescent="0.25">
      <c r="A11" t="s">
        <v>2</v>
      </c>
      <c r="B11" s="1">
        <v>41699</v>
      </c>
      <c r="C11" s="3">
        <v>93266</v>
      </c>
      <c r="D11" s="3">
        <v>21453636186.810001</v>
      </c>
      <c r="E11" s="3">
        <v>72437890.239999995</v>
      </c>
      <c r="F11" s="3">
        <v>1500559.89</v>
      </c>
      <c r="G11" s="5">
        <v>3.3764854409405799E-3</v>
      </c>
      <c r="H11" s="5">
        <v>6.9944315123725501E-5</v>
      </c>
      <c r="I11" s="4">
        <v>3.9773000000000001</v>
      </c>
      <c r="J11" s="4">
        <v>8.3900000000000002E-2</v>
      </c>
      <c r="K11" s="7">
        <v>2.8763854780915598E-3</v>
      </c>
      <c r="L11" s="3">
        <v>775896474.85000002</v>
      </c>
      <c r="M11" s="3">
        <v>2789069.8</v>
      </c>
      <c r="N11" s="7">
        <v>3.8300000000000001E-2</v>
      </c>
      <c r="O11" s="7">
        <v>1E-4</v>
      </c>
      <c r="Q11" t="s">
        <v>11</v>
      </c>
      <c r="R11" s="3">
        <v>551845.703125</v>
      </c>
      <c r="S11" s="3">
        <v>4127539702.85289</v>
      </c>
      <c r="T11">
        <v>23204440894.529999</v>
      </c>
      <c r="U11">
        <v>23801939000</v>
      </c>
      <c r="V11" s="7">
        <f t="shared" si="0"/>
        <v>0.17341190996468356</v>
      </c>
      <c r="W11" s="7">
        <f t="shared" si="1"/>
        <v>2.3184905361071635E-5</v>
      </c>
    </row>
    <row r="12" spans="1:23" x14ac:dyDescent="0.25">
      <c r="A12" t="s">
        <v>2</v>
      </c>
      <c r="B12" s="1">
        <v>41730</v>
      </c>
      <c r="C12" s="3">
        <v>92915</v>
      </c>
      <c r="D12" s="3">
        <v>21332337955.220001</v>
      </c>
      <c r="E12" s="3">
        <v>106211677.5</v>
      </c>
      <c r="F12" s="3">
        <v>989919.88</v>
      </c>
      <c r="G12" s="5">
        <v>4.97890469028548E-3</v>
      </c>
      <c r="H12" s="5">
        <v>4.6404659539802897E-5</v>
      </c>
      <c r="I12" s="4">
        <v>5.8136999999999999</v>
      </c>
      <c r="J12" s="4">
        <v>5.5599999999999997E-2</v>
      </c>
      <c r="K12" s="7">
        <v>1.7641106928362399E-3</v>
      </c>
      <c r="L12" s="3">
        <v>882108152.35000002</v>
      </c>
      <c r="M12" s="3">
        <v>3778989.68</v>
      </c>
      <c r="N12" s="7">
        <v>4.3499999999999997E-2</v>
      </c>
      <c r="O12" s="7">
        <v>1E-4</v>
      </c>
      <c r="Q12" t="s">
        <v>12</v>
      </c>
      <c r="R12" s="3">
        <v>0</v>
      </c>
      <c r="S12" s="3">
        <v>749120464.128034</v>
      </c>
      <c r="T12">
        <v>30902656949.099998</v>
      </c>
      <c r="U12">
        <v>33002088000</v>
      </c>
      <c r="V12" s="7">
        <f t="shared" si="0"/>
        <v>2.2699183885820619E-2</v>
      </c>
      <c r="W12" s="7">
        <f t="shared" si="1"/>
        <v>0</v>
      </c>
    </row>
    <row r="13" spans="1:23" x14ac:dyDescent="0.25">
      <c r="A13" t="s">
        <v>2</v>
      </c>
      <c r="B13" s="1">
        <v>41760</v>
      </c>
      <c r="C13" s="3">
        <v>92428</v>
      </c>
      <c r="D13" s="3">
        <v>21177637181.139999</v>
      </c>
      <c r="E13" s="3">
        <v>135194224.16</v>
      </c>
      <c r="F13" s="3">
        <v>890745.91</v>
      </c>
      <c r="G13" s="5">
        <v>6.3838200174851801E-3</v>
      </c>
      <c r="H13" s="5">
        <v>4.2060684219921498E-5</v>
      </c>
      <c r="I13" s="4">
        <v>7.3971999999999998</v>
      </c>
      <c r="J13" s="4">
        <v>5.04E-2</v>
      </c>
      <c r="K13" s="7">
        <v>1.74214917294252E-3</v>
      </c>
      <c r="L13" s="3">
        <v>1017302376.51</v>
      </c>
      <c r="M13" s="3">
        <v>4669735.59</v>
      </c>
      <c r="N13" s="7">
        <v>5.0200000000000002E-2</v>
      </c>
      <c r="O13" s="7">
        <v>2.0000000000000001E-4</v>
      </c>
      <c r="Q13" t="s">
        <v>13</v>
      </c>
      <c r="R13" s="3">
        <v>0</v>
      </c>
      <c r="S13" s="3">
        <v>447876178.38473499</v>
      </c>
      <c r="T13">
        <v>31928168573.73</v>
      </c>
      <c r="U13">
        <v>32518882000</v>
      </c>
      <c r="V13" s="7">
        <f t="shared" si="0"/>
        <v>1.3772803701699676E-2</v>
      </c>
      <c r="W13" s="7">
        <f t="shared" si="1"/>
        <v>0</v>
      </c>
    </row>
    <row r="14" spans="1:23" x14ac:dyDescent="0.25">
      <c r="A14" t="s">
        <v>2</v>
      </c>
      <c r="B14" s="1">
        <v>41791</v>
      </c>
      <c r="C14" s="3">
        <v>91814</v>
      </c>
      <c r="D14" s="3">
        <v>20996596520.740002</v>
      </c>
      <c r="E14" s="3">
        <v>125037203.51000001</v>
      </c>
      <c r="F14" s="3">
        <v>680997.81</v>
      </c>
      <c r="G14" s="5">
        <v>5.9551176966462496E-3</v>
      </c>
      <c r="H14" s="5">
        <v>3.2433723690757398E-5</v>
      </c>
      <c r="I14" s="4">
        <v>6.9165999999999999</v>
      </c>
      <c r="J14" s="4">
        <v>3.8899999999999997E-2</v>
      </c>
      <c r="K14" s="7">
        <v>1.8080148243312499E-3</v>
      </c>
      <c r="L14" s="3">
        <v>1142339580.02</v>
      </c>
      <c r="M14" s="3">
        <v>5350733.4000000004</v>
      </c>
      <c r="N14" s="7">
        <v>5.6399999999999999E-2</v>
      </c>
      <c r="O14" s="7">
        <v>2.0000000000000001E-4</v>
      </c>
      <c r="Q14" t="s">
        <v>14</v>
      </c>
      <c r="R14" s="3">
        <v>0</v>
      </c>
      <c r="S14" s="3">
        <v>1133437897.6049099</v>
      </c>
      <c r="T14">
        <v>15307704367.93</v>
      </c>
      <c r="U14">
        <v>15648312000</v>
      </c>
      <c r="V14" s="7">
        <f t="shared" si="0"/>
        <v>7.2431959281289246E-2</v>
      </c>
      <c r="W14" s="7">
        <f t="shared" si="1"/>
        <v>0</v>
      </c>
    </row>
    <row r="15" spans="1:23" x14ac:dyDescent="0.25">
      <c r="A15" t="s">
        <v>2</v>
      </c>
      <c r="B15" s="1">
        <v>41821</v>
      </c>
      <c r="C15" s="3">
        <v>91234</v>
      </c>
      <c r="D15" s="3">
        <v>20823941241.41</v>
      </c>
      <c r="E15" s="3">
        <v>115787279.48999999</v>
      </c>
      <c r="F15" s="3">
        <v>690804.79</v>
      </c>
      <c r="G15" s="5">
        <v>5.5602961105051503E-3</v>
      </c>
      <c r="H15" s="5">
        <v>3.3173585249380197E-5</v>
      </c>
      <c r="I15" s="4">
        <v>6.4720000000000004</v>
      </c>
      <c r="J15" s="4">
        <v>3.9800000000000002E-2</v>
      </c>
      <c r="K15" s="7">
        <v>2.2194793062559801E-3</v>
      </c>
      <c r="L15" s="3">
        <v>1258126859.51</v>
      </c>
      <c r="M15" s="3">
        <v>6041538.1900000004</v>
      </c>
      <c r="N15" s="7">
        <v>6.2100000000000002E-2</v>
      </c>
      <c r="O15" s="7">
        <v>2.0000000000000001E-4</v>
      </c>
      <c r="Q15" t="s">
        <v>15</v>
      </c>
      <c r="R15" s="3">
        <v>0</v>
      </c>
      <c r="S15" s="3">
        <v>672421599.16143799</v>
      </c>
      <c r="T15">
        <v>29531552788.639999</v>
      </c>
      <c r="U15">
        <v>31002448000</v>
      </c>
      <c r="V15" s="7">
        <f t="shared" si="0"/>
        <v>2.1689306572224166E-2</v>
      </c>
      <c r="W15" s="7">
        <f t="shared" si="1"/>
        <v>0</v>
      </c>
    </row>
    <row r="16" spans="1:23" x14ac:dyDescent="0.25">
      <c r="A16" t="s">
        <v>2</v>
      </c>
      <c r="B16" s="1">
        <v>41852</v>
      </c>
      <c r="C16" s="3">
        <v>90712</v>
      </c>
      <c r="D16" s="3">
        <v>20661068570</v>
      </c>
      <c r="E16" s="3">
        <v>88425641.75</v>
      </c>
      <c r="F16" s="3">
        <v>532919.80000000005</v>
      </c>
      <c r="G16" s="5">
        <v>4.2798193835140996E-3</v>
      </c>
      <c r="H16" s="5">
        <v>2.5793428747136601E-5</v>
      </c>
      <c r="I16" s="4">
        <v>5.0166000000000004</v>
      </c>
      <c r="J16" s="4">
        <v>3.09E-2</v>
      </c>
      <c r="K16" s="7">
        <v>2.1691470665304502E-3</v>
      </c>
      <c r="L16" s="3">
        <v>1346552501.26</v>
      </c>
      <c r="M16" s="3">
        <v>6574457.9900000002</v>
      </c>
      <c r="N16" s="7">
        <v>6.6500000000000004E-2</v>
      </c>
      <c r="O16" s="7">
        <v>2.9999999999999997E-4</v>
      </c>
    </row>
    <row r="17" spans="1:16" x14ac:dyDescent="0.25">
      <c r="A17" t="s">
        <v>2</v>
      </c>
      <c r="B17" s="1">
        <v>41883</v>
      </c>
      <c r="C17" s="3">
        <v>90301</v>
      </c>
      <c r="D17" s="3">
        <v>20526568204.119999</v>
      </c>
      <c r="E17" s="3">
        <v>114141076.26000001</v>
      </c>
      <c r="F17" s="3">
        <v>872088.56</v>
      </c>
      <c r="G17" s="5">
        <v>5.56065071983587E-3</v>
      </c>
      <c r="H17" s="5">
        <v>4.2485843289915197E-5</v>
      </c>
      <c r="I17" s="4">
        <v>6.4724000000000004</v>
      </c>
      <c r="J17" s="4">
        <v>5.0900000000000001E-2</v>
      </c>
      <c r="K17" s="7">
        <v>2.5668689206130601E-3</v>
      </c>
      <c r="L17" s="3">
        <v>1460693577.52</v>
      </c>
      <c r="M17" s="3">
        <v>7446546.5499999998</v>
      </c>
      <c r="N17" s="7">
        <v>7.2099999999999997E-2</v>
      </c>
      <c r="O17" s="7">
        <v>2.9999999999999997E-4</v>
      </c>
    </row>
    <row r="18" spans="1:16" x14ac:dyDescent="0.25">
      <c r="A18" t="s">
        <v>2</v>
      </c>
      <c r="B18" s="1">
        <v>41913</v>
      </c>
      <c r="C18" s="3">
        <v>89760</v>
      </c>
      <c r="D18" s="3">
        <v>20365001794.889999</v>
      </c>
      <c r="E18" s="3">
        <v>91879899.010000005</v>
      </c>
      <c r="F18" s="3">
        <v>994425.34</v>
      </c>
      <c r="G18" s="5">
        <v>4.5116568088422399E-3</v>
      </c>
      <c r="H18" s="5">
        <v>4.8830113054520903E-5</v>
      </c>
      <c r="I18" s="4">
        <v>5.2816000000000001</v>
      </c>
      <c r="J18" s="4">
        <v>5.8500000000000003E-2</v>
      </c>
      <c r="K18" s="7">
        <v>2.4419934930955201E-3</v>
      </c>
      <c r="L18" s="3">
        <v>1552573476.53</v>
      </c>
      <c r="M18" s="3">
        <v>8440971.8900000006</v>
      </c>
      <c r="N18" s="7">
        <v>7.6600000000000001E-2</v>
      </c>
      <c r="O18" s="7">
        <v>4.0000000000000002E-4</v>
      </c>
    </row>
    <row r="19" spans="1:16" x14ac:dyDescent="0.25">
      <c r="A19" t="s">
        <v>2</v>
      </c>
      <c r="B19" s="1">
        <v>41944</v>
      </c>
      <c r="C19" s="3">
        <v>89344</v>
      </c>
      <c r="D19" s="3">
        <v>20227022657.540001</v>
      </c>
      <c r="E19" s="3">
        <v>104073902.45999999</v>
      </c>
      <c r="F19" s="3">
        <v>401834.35</v>
      </c>
      <c r="G19" s="5">
        <v>5.1452902496850897E-3</v>
      </c>
      <c r="H19" s="5">
        <v>1.98662134711263E-5</v>
      </c>
      <c r="I19" s="4">
        <v>6.0025000000000004</v>
      </c>
      <c r="J19" s="4">
        <v>2.3800000000000002E-2</v>
      </c>
      <c r="K19" s="7">
        <v>2.26047138543922E-3</v>
      </c>
      <c r="L19" s="3">
        <v>1656647378.99</v>
      </c>
      <c r="M19" s="3">
        <v>8842806.2400000002</v>
      </c>
      <c r="N19" s="7">
        <v>8.1799999999999998E-2</v>
      </c>
      <c r="O19" s="7">
        <v>4.0000000000000002E-4</v>
      </c>
    </row>
    <row r="20" spans="1:16" x14ac:dyDescent="0.25">
      <c r="A20" t="s">
        <v>2</v>
      </c>
      <c r="B20" s="1">
        <v>41974</v>
      </c>
      <c r="C20" s="3">
        <v>88878</v>
      </c>
      <c r="D20" s="3">
        <v>20076676930.209999</v>
      </c>
      <c r="E20" s="3">
        <v>89278153.099999994</v>
      </c>
      <c r="F20" s="3">
        <v>1559635.07</v>
      </c>
      <c r="G20" s="5">
        <v>4.4468590798340899E-3</v>
      </c>
      <c r="H20" s="5">
        <v>7.7683925254242006E-5</v>
      </c>
      <c r="I20" s="4">
        <v>5.2076000000000002</v>
      </c>
      <c r="J20" s="4">
        <v>9.3100000000000002E-2</v>
      </c>
      <c r="K20" s="7">
        <v>3.1978297540562299E-3</v>
      </c>
      <c r="L20" s="3">
        <v>1745925532.0899999</v>
      </c>
      <c r="M20" s="3">
        <v>10402441.310000001</v>
      </c>
      <c r="N20" s="7">
        <v>8.6199999999999999E-2</v>
      </c>
      <c r="O20" s="7">
        <v>5.0000000000000001E-4</v>
      </c>
    </row>
    <row r="21" spans="1:16" x14ac:dyDescent="0.25">
      <c r="A21" t="s">
        <v>2</v>
      </c>
      <c r="B21" s="1">
        <v>42005</v>
      </c>
      <c r="C21" s="3">
        <v>88484</v>
      </c>
      <c r="D21" s="3">
        <v>19939199442.470001</v>
      </c>
      <c r="E21" s="3">
        <v>137881693.41</v>
      </c>
      <c r="F21" s="3">
        <v>515352.31</v>
      </c>
      <c r="G21" s="5">
        <v>6.9151067879042001E-3</v>
      </c>
      <c r="H21" s="5">
        <v>2.58461886339484E-5</v>
      </c>
      <c r="I21" s="4">
        <v>7.9896000000000003</v>
      </c>
      <c r="J21" s="4">
        <v>3.1E-2</v>
      </c>
      <c r="K21" s="7">
        <v>2.5090365666056301E-3</v>
      </c>
      <c r="L21" s="3">
        <v>1883807225.5</v>
      </c>
      <c r="M21" s="3">
        <v>10917793.619999999</v>
      </c>
      <c r="N21" s="7">
        <v>9.2999999999999999E-2</v>
      </c>
      <c r="O21" s="7">
        <v>5.0000000000000001E-4</v>
      </c>
    </row>
    <row r="22" spans="1:16" x14ac:dyDescent="0.25">
      <c r="A22" t="s">
        <v>2</v>
      </c>
      <c r="B22" s="1">
        <v>42036</v>
      </c>
      <c r="C22" s="3">
        <v>87925</v>
      </c>
      <c r="D22" s="3">
        <v>19755112263.799999</v>
      </c>
      <c r="E22" s="3">
        <v>191691686.44</v>
      </c>
      <c r="F22" s="3">
        <v>949391.26</v>
      </c>
      <c r="G22" s="5">
        <v>9.7033964616471905E-3</v>
      </c>
      <c r="H22" s="5">
        <v>4.8058003787692903E-5</v>
      </c>
      <c r="I22" s="4">
        <v>11.042299999999999</v>
      </c>
      <c r="J22" s="4">
        <v>5.7599999999999998E-2</v>
      </c>
      <c r="K22" s="7">
        <v>2.5015041079039799E-3</v>
      </c>
      <c r="L22" s="3">
        <v>2075498911.9400001</v>
      </c>
      <c r="M22" s="3">
        <v>11867184.880000001</v>
      </c>
      <c r="N22" s="7">
        <v>0.1024</v>
      </c>
      <c r="O22" s="7">
        <v>5.0000000000000001E-4</v>
      </c>
    </row>
    <row r="23" spans="1:16" x14ac:dyDescent="0.25">
      <c r="A23" t="s">
        <v>2</v>
      </c>
      <c r="B23" s="1">
        <v>42064</v>
      </c>
      <c r="C23" s="3">
        <v>87132</v>
      </c>
      <c r="D23" s="3">
        <v>19517918050.32</v>
      </c>
      <c r="E23" s="3">
        <v>170280413.18000001</v>
      </c>
      <c r="F23" s="3">
        <v>1177926.43</v>
      </c>
      <c r="G23" s="5">
        <v>8.7243123339790906E-3</v>
      </c>
      <c r="H23" s="5">
        <v>6.0351028576056898E-5</v>
      </c>
      <c r="I23" s="4">
        <v>9.9810999999999996</v>
      </c>
      <c r="J23" s="4">
        <v>7.2300000000000003E-2</v>
      </c>
      <c r="K23" s="7">
        <v>3.0000390932597401E-3</v>
      </c>
      <c r="L23" s="3">
        <v>2245779325.1199999</v>
      </c>
      <c r="M23" s="3">
        <v>13045111.310000001</v>
      </c>
      <c r="N23" s="7">
        <v>0.1109</v>
      </c>
      <c r="O23" s="7">
        <v>5.9999999999999995E-4</v>
      </c>
    </row>
    <row r="24" spans="1:16" x14ac:dyDescent="0.25">
      <c r="A24" t="s">
        <v>2</v>
      </c>
      <c r="B24" s="1">
        <v>42095</v>
      </c>
      <c r="C24" s="3">
        <v>86371</v>
      </c>
      <c r="D24" s="3">
        <v>19298303853.59</v>
      </c>
      <c r="E24" s="3">
        <v>168340551.69</v>
      </c>
      <c r="F24" s="3">
        <v>840844.9</v>
      </c>
      <c r="G24" s="5">
        <v>8.7230749897579205E-3</v>
      </c>
      <c r="H24" s="5">
        <v>4.35709224178051E-5</v>
      </c>
      <c r="I24" s="4">
        <v>9.9797999999999991</v>
      </c>
      <c r="J24" s="4">
        <v>5.2200000000000003E-2</v>
      </c>
      <c r="K24" s="7">
        <v>2.21292653406198E-3</v>
      </c>
      <c r="L24" s="3">
        <v>2414119876.8099999</v>
      </c>
      <c r="M24" s="3">
        <v>13885956.210000001</v>
      </c>
      <c r="N24" s="7">
        <v>0.1192</v>
      </c>
      <c r="O24" s="7">
        <v>5.9999999999999995E-4</v>
      </c>
    </row>
    <row r="25" spans="1:16" x14ac:dyDescent="0.25">
      <c r="A25" t="s">
        <v>2</v>
      </c>
      <c r="B25" s="1">
        <v>42125</v>
      </c>
      <c r="C25" s="3">
        <v>85631</v>
      </c>
      <c r="D25" s="3">
        <v>19082907230.220001</v>
      </c>
      <c r="E25" s="3">
        <v>191859748.56</v>
      </c>
      <c r="F25" s="3">
        <v>2030630.68</v>
      </c>
      <c r="G25" s="5">
        <v>1.00540104421913E-2</v>
      </c>
      <c r="H25" s="5">
        <v>1.0641097058755499E-4</v>
      </c>
      <c r="I25" s="4">
        <v>11.419499999999999</v>
      </c>
      <c r="J25" s="4">
        <v>0.12759999999999999</v>
      </c>
      <c r="K25" s="7">
        <v>2.29371262051119E-3</v>
      </c>
      <c r="L25" s="3">
        <v>2605979625.3699999</v>
      </c>
      <c r="M25" s="3">
        <v>15916586.890000001</v>
      </c>
      <c r="N25" s="7">
        <v>0.12859999999999999</v>
      </c>
      <c r="O25" s="7">
        <v>6.9999999999999999E-4</v>
      </c>
    </row>
    <row r="26" spans="1:16" x14ac:dyDescent="0.25">
      <c r="A26" t="s">
        <v>2</v>
      </c>
      <c r="B26" s="1">
        <v>42156</v>
      </c>
      <c r="C26" s="3">
        <v>84793</v>
      </c>
      <c r="D26" s="3">
        <v>18844871637.860001</v>
      </c>
      <c r="E26" s="3">
        <v>0</v>
      </c>
      <c r="F26" s="3">
        <v>0</v>
      </c>
      <c r="G26" s="5">
        <v>0</v>
      </c>
      <c r="H26" s="5">
        <v>0</v>
      </c>
      <c r="I26" s="4">
        <v>0</v>
      </c>
      <c r="J26" s="4">
        <v>0</v>
      </c>
      <c r="K26" s="7">
        <v>2.6052343270604001E-3</v>
      </c>
      <c r="L26" s="3">
        <v>2605979625.3699999</v>
      </c>
      <c r="M26" s="3">
        <v>15916586.890000001</v>
      </c>
      <c r="N26" s="8">
        <v>0.12859999999999999</v>
      </c>
      <c r="O26" s="8">
        <v>6.9999999999999999E-4</v>
      </c>
      <c r="P26" s="6"/>
    </row>
    <row r="27" spans="1:16" x14ac:dyDescent="0.25">
      <c r="A27" t="s">
        <v>3</v>
      </c>
      <c r="B27" s="1">
        <v>41579</v>
      </c>
      <c r="C27" s="3">
        <v>145598</v>
      </c>
      <c r="D27" s="3">
        <v>35184267786.93</v>
      </c>
      <c r="E27" s="3">
        <v>255323382.09999999</v>
      </c>
      <c r="F27" s="3">
        <v>0</v>
      </c>
      <c r="G27" s="5">
        <v>7.2567484890177399E-3</v>
      </c>
      <c r="H27" s="5">
        <v>0</v>
      </c>
      <c r="I27" s="4">
        <v>8.3688000000000002</v>
      </c>
      <c r="J27" s="4">
        <v>0</v>
      </c>
      <c r="K27" s="7">
        <v>1.11349989822876E-3</v>
      </c>
      <c r="L27" s="3">
        <v>255323382.09999999</v>
      </c>
      <c r="M27" s="3">
        <v>0</v>
      </c>
      <c r="N27" s="7">
        <v>7.7000000000000002E-3</v>
      </c>
      <c r="O27" s="7">
        <v>0</v>
      </c>
    </row>
    <row r="28" spans="1:16" x14ac:dyDescent="0.25">
      <c r="A28" t="s">
        <v>3</v>
      </c>
      <c r="B28" s="1">
        <v>41609</v>
      </c>
      <c r="C28" s="3">
        <v>144497</v>
      </c>
      <c r="D28" s="3">
        <v>34859342835.760002</v>
      </c>
      <c r="E28" s="3">
        <v>74914647.040000007</v>
      </c>
      <c r="F28" s="3">
        <v>0</v>
      </c>
      <c r="G28" s="5">
        <v>2.1490550580072799E-3</v>
      </c>
      <c r="H28" s="5">
        <v>0</v>
      </c>
      <c r="I28" s="4">
        <v>2.5486</v>
      </c>
      <c r="J28" s="4">
        <v>0</v>
      </c>
      <c r="K28" s="7">
        <v>1.75388312992754E-3</v>
      </c>
      <c r="L28" s="3">
        <v>330238029.13999999</v>
      </c>
      <c r="M28" s="3">
        <v>0</v>
      </c>
      <c r="N28" s="7">
        <v>0.01</v>
      </c>
      <c r="O28" s="7">
        <v>0</v>
      </c>
    </row>
    <row r="29" spans="1:16" x14ac:dyDescent="0.25">
      <c r="A29" t="s">
        <v>3</v>
      </c>
      <c r="B29" s="1">
        <v>41640</v>
      </c>
      <c r="C29" s="3">
        <v>144155</v>
      </c>
      <c r="D29" s="3">
        <v>34710539920.269997</v>
      </c>
      <c r="E29" s="3">
        <v>76909619.870000005</v>
      </c>
      <c r="F29" s="3">
        <v>0</v>
      </c>
      <c r="G29" s="5">
        <v>2.2157425394897599E-3</v>
      </c>
      <c r="H29" s="5">
        <v>0</v>
      </c>
      <c r="I29" s="4">
        <v>2.6267</v>
      </c>
      <c r="J29" s="4">
        <v>0</v>
      </c>
      <c r="K29" s="7">
        <v>1.8421270287605001E-3</v>
      </c>
      <c r="L29" s="3">
        <v>407147649.00999999</v>
      </c>
      <c r="M29" s="3">
        <v>0</v>
      </c>
      <c r="N29" s="7">
        <v>1.24E-2</v>
      </c>
      <c r="O29" s="7">
        <v>0</v>
      </c>
    </row>
    <row r="30" spans="1:16" x14ac:dyDescent="0.25">
      <c r="A30" t="s">
        <v>3</v>
      </c>
      <c r="B30" s="1">
        <v>41671</v>
      </c>
      <c r="C30" s="3">
        <v>143801</v>
      </c>
      <c r="D30" s="3">
        <v>34561418507.610001</v>
      </c>
      <c r="E30" s="3">
        <v>106255295.29000001</v>
      </c>
      <c r="F30" s="3">
        <v>260106.15</v>
      </c>
      <c r="G30" s="5">
        <v>3.0743904584415102E-3</v>
      </c>
      <c r="H30" s="5">
        <v>7.5259107187029301E-6</v>
      </c>
      <c r="I30" s="4">
        <v>3.6274999999999999</v>
      </c>
      <c r="J30" s="4">
        <v>8.9999999999999993E-3</v>
      </c>
      <c r="K30" s="7">
        <v>1.78254706433518E-3</v>
      </c>
      <c r="L30" s="3">
        <v>513402944.30000001</v>
      </c>
      <c r="M30" s="3">
        <v>260106.15</v>
      </c>
      <c r="N30" s="7">
        <v>1.5599999999999999E-2</v>
      </c>
      <c r="O30" s="7">
        <v>0</v>
      </c>
    </row>
    <row r="31" spans="1:16" x14ac:dyDescent="0.25">
      <c r="A31" t="s">
        <v>3</v>
      </c>
      <c r="B31" s="1">
        <v>41699</v>
      </c>
      <c r="C31" s="3">
        <v>143311</v>
      </c>
      <c r="D31" s="3">
        <v>34383902530.860001</v>
      </c>
      <c r="E31" s="3">
        <v>114846150.92</v>
      </c>
      <c r="F31" s="3">
        <v>1118824.01</v>
      </c>
      <c r="G31" s="5">
        <v>3.34011390408415E-3</v>
      </c>
      <c r="H31" s="5">
        <v>3.2539180478302003E-5</v>
      </c>
      <c r="I31" s="4">
        <v>3.9352999999999998</v>
      </c>
      <c r="J31" s="4">
        <v>3.9E-2</v>
      </c>
      <c r="K31" s="7">
        <v>2.4791712180864999E-3</v>
      </c>
      <c r="L31" s="3">
        <v>628249095.22000003</v>
      </c>
      <c r="M31" s="3">
        <v>1378930.16</v>
      </c>
      <c r="N31" s="7">
        <v>1.9099999999999999E-2</v>
      </c>
      <c r="O31" s="7">
        <v>0</v>
      </c>
    </row>
    <row r="32" spans="1:16" x14ac:dyDescent="0.25">
      <c r="A32" t="s">
        <v>3</v>
      </c>
      <c r="B32" s="1">
        <v>41730</v>
      </c>
      <c r="C32" s="3">
        <v>142808</v>
      </c>
      <c r="D32" s="3">
        <v>34194102666.93</v>
      </c>
      <c r="E32" s="3">
        <v>153343552.21000001</v>
      </c>
      <c r="F32" s="3">
        <v>495173.75</v>
      </c>
      <c r="G32" s="5">
        <v>4.4845028893915799E-3</v>
      </c>
      <c r="H32" s="5">
        <v>1.4481261719989299E-5</v>
      </c>
      <c r="I32" s="4">
        <v>5.2506000000000004</v>
      </c>
      <c r="J32" s="4">
        <v>1.7299999999999999E-2</v>
      </c>
      <c r="K32" s="7">
        <v>2.0046795170412402E-3</v>
      </c>
      <c r="L32" s="3">
        <v>781592647.42999995</v>
      </c>
      <c r="M32" s="3">
        <v>1874103.91</v>
      </c>
      <c r="N32" s="7">
        <v>2.3800000000000002E-2</v>
      </c>
      <c r="O32" s="7">
        <v>0</v>
      </c>
    </row>
    <row r="33" spans="1:15" x14ac:dyDescent="0.25">
      <c r="A33" t="s">
        <v>3</v>
      </c>
      <c r="B33" s="1">
        <v>41760</v>
      </c>
      <c r="C33" s="3">
        <v>142132</v>
      </c>
      <c r="D33" s="3">
        <v>33969478822.689999</v>
      </c>
      <c r="E33" s="3">
        <v>168089678.15000001</v>
      </c>
      <c r="F33" s="3">
        <v>600232.69999999995</v>
      </c>
      <c r="G33" s="5">
        <v>4.9482560220418803E-3</v>
      </c>
      <c r="H33" s="5">
        <v>1.7669764765395E-5</v>
      </c>
      <c r="I33" s="4">
        <v>5.7789000000000001</v>
      </c>
      <c r="J33" s="4">
        <v>2.12E-2</v>
      </c>
      <c r="K33" s="7">
        <v>2.0610782018602499E-3</v>
      </c>
      <c r="L33" s="3">
        <v>949682325.58000004</v>
      </c>
      <c r="M33" s="3">
        <v>2474336.61</v>
      </c>
      <c r="N33" s="7">
        <v>2.9000000000000001E-2</v>
      </c>
      <c r="O33" s="7">
        <v>0</v>
      </c>
    </row>
    <row r="34" spans="1:15" x14ac:dyDescent="0.25">
      <c r="A34" t="s">
        <v>3</v>
      </c>
      <c r="B34" s="1">
        <v>41791</v>
      </c>
      <c r="C34" s="3">
        <v>141415</v>
      </c>
      <c r="D34" s="3">
        <v>33733163472.400002</v>
      </c>
      <c r="E34" s="3">
        <v>170343588.58000001</v>
      </c>
      <c r="F34" s="3">
        <v>779358.81</v>
      </c>
      <c r="G34" s="5">
        <v>5.0497365513724399E-3</v>
      </c>
      <c r="H34" s="5">
        <v>2.31036383717068E-5</v>
      </c>
      <c r="I34" s="4">
        <v>5.8940999999999999</v>
      </c>
      <c r="J34" s="4">
        <v>2.7699999999999999E-2</v>
      </c>
      <c r="K34" s="7">
        <v>1.98259965255614E-3</v>
      </c>
      <c r="L34" s="3">
        <v>1120025914.1600001</v>
      </c>
      <c r="M34" s="3">
        <v>3253695.42</v>
      </c>
      <c r="N34" s="7">
        <v>3.4200000000000001E-2</v>
      </c>
      <c r="O34" s="7">
        <v>0</v>
      </c>
    </row>
    <row r="35" spans="1:15" x14ac:dyDescent="0.25">
      <c r="A35" t="s">
        <v>3</v>
      </c>
      <c r="B35" s="1">
        <v>41821</v>
      </c>
      <c r="C35" s="3">
        <v>140635</v>
      </c>
      <c r="D35" s="3">
        <v>33490133224.82</v>
      </c>
      <c r="E35" s="3">
        <v>157283570.87</v>
      </c>
      <c r="F35" s="3">
        <v>722780.87</v>
      </c>
      <c r="G35" s="5">
        <v>4.6964152042678299E-3</v>
      </c>
      <c r="H35" s="5">
        <v>2.1581904889656701E-5</v>
      </c>
      <c r="I35" s="4">
        <v>5.4923000000000002</v>
      </c>
      <c r="J35" s="4">
        <v>2.58E-2</v>
      </c>
      <c r="K35" s="7">
        <v>2.2383653709816698E-3</v>
      </c>
      <c r="L35" s="3">
        <v>1277309485.03</v>
      </c>
      <c r="M35" s="3">
        <v>3976476.29</v>
      </c>
      <c r="N35" s="7">
        <v>3.9E-2</v>
      </c>
      <c r="O35" s="7">
        <v>1E-4</v>
      </c>
    </row>
    <row r="36" spans="1:15" x14ac:dyDescent="0.25">
      <c r="A36" t="s">
        <v>3</v>
      </c>
      <c r="B36" s="1">
        <v>41852</v>
      </c>
      <c r="C36" s="3">
        <v>139941</v>
      </c>
      <c r="D36" s="3">
        <v>33260667256.009998</v>
      </c>
      <c r="E36" s="3">
        <v>132800769.36</v>
      </c>
      <c r="F36" s="3">
        <v>572154.51</v>
      </c>
      <c r="G36" s="5">
        <v>3.9927271554061703E-3</v>
      </c>
      <c r="H36" s="5">
        <v>1.7202135651581499E-5</v>
      </c>
      <c r="I36" s="4">
        <v>4.6874000000000002</v>
      </c>
      <c r="J36" s="4">
        <v>2.06E-2</v>
      </c>
      <c r="K36" s="7">
        <v>2.2145809990234099E-3</v>
      </c>
      <c r="L36" s="3">
        <v>1410110254.3900001</v>
      </c>
      <c r="M36" s="3">
        <v>4548630.8</v>
      </c>
      <c r="N36" s="7">
        <v>4.2999999999999997E-2</v>
      </c>
      <c r="O36" s="7">
        <v>1E-4</v>
      </c>
    </row>
    <row r="37" spans="1:15" x14ac:dyDescent="0.25">
      <c r="A37" t="s">
        <v>3</v>
      </c>
      <c r="B37" s="1">
        <v>41883</v>
      </c>
      <c r="C37" s="3">
        <v>139324</v>
      </c>
      <c r="D37" s="3">
        <v>33055593115.669998</v>
      </c>
      <c r="E37" s="3">
        <v>149898725.88999999</v>
      </c>
      <c r="F37" s="3">
        <v>1498860.31</v>
      </c>
      <c r="G37" s="5">
        <v>4.5347462187553499E-3</v>
      </c>
      <c r="H37" s="5">
        <v>4.5343621720992901E-5</v>
      </c>
      <c r="I37" s="4">
        <v>5.3079999999999998</v>
      </c>
      <c r="J37" s="4">
        <v>5.4300000000000001E-2</v>
      </c>
      <c r="K37" s="7">
        <v>2.5701887094479298E-3</v>
      </c>
      <c r="L37" s="3">
        <v>1560008980.28</v>
      </c>
      <c r="M37" s="3">
        <v>6047491.1100000003</v>
      </c>
      <c r="N37" s="7">
        <v>4.7600000000000003E-2</v>
      </c>
      <c r="O37" s="7">
        <v>1E-4</v>
      </c>
    </row>
    <row r="38" spans="1:15" x14ac:dyDescent="0.25">
      <c r="A38" t="s">
        <v>3</v>
      </c>
      <c r="B38" s="1">
        <v>41913</v>
      </c>
      <c r="C38" s="3">
        <v>138650</v>
      </c>
      <c r="D38" s="3">
        <v>32833580707.720001</v>
      </c>
      <c r="E38" s="3">
        <v>126407170.72</v>
      </c>
      <c r="F38" s="3">
        <v>1553912.54</v>
      </c>
      <c r="G38" s="5">
        <v>3.84993558409785E-3</v>
      </c>
      <c r="H38" s="5">
        <v>4.7326928909542697E-5</v>
      </c>
      <c r="I38" s="4">
        <v>4.5232999999999999</v>
      </c>
      <c r="J38" s="4">
        <v>5.67E-2</v>
      </c>
      <c r="K38" s="7">
        <v>2.5146402216979901E-3</v>
      </c>
      <c r="L38" s="3">
        <v>1686416151</v>
      </c>
      <c r="M38" s="3">
        <v>7601403.6500000004</v>
      </c>
      <c r="N38" s="7">
        <v>5.1499999999999997E-2</v>
      </c>
      <c r="O38" s="7">
        <v>2.0000000000000001E-4</v>
      </c>
    </row>
    <row r="39" spans="1:15" x14ac:dyDescent="0.25">
      <c r="A39" t="s">
        <v>3</v>
      </c>
      <c r="B39" s="1">
        <v>41944</v>
      </c>
      <c r="C39" s="3">
        <v>138086</v>
      </c>
      <c r="D39" s="3">
        <v>32634637088.779999</v>
      </c>
      <c r="E39" s="3">
        <v>142619560.99000001</v>
      </c>
      <c r="F39" s="3">
        <v>1328887.02</v>
      </c>
      <c r="G39" s="5">
        <v>4.3701898875729596E-3</v>
      </c>
      <c r="H39" s="5">
        <v>4.0720140885429899E-5</v>
      </c>
      <c r="I39" s="4">
        <v>5.1199000000000003</v>
      </c>
      <c r="J39" s="4">
        <v>4.8800000000000003E-2</v>
      </c>
      <c r="K39" s="7">
        <v>2.1534383388060198E-3</v>
      </c>
      <c r="L39" s="3">
        <v>1829035711.99</v>
      </c>
      <c r="M39" s="3">
        <v>8930290.6699999999</v>
      </c>
      <c r="N39" s="7">
        <v>5.5800000000000002E-2</v>
      </c>
      <c r="O39" s="7">
        <v>2.0000000000000001E-4</v>
      </c>
    </row>
    <row r="40" spans="1:15" x14ac:dyDescent="0.25">
      <c r="A40" t="s">
        <v>3</v>
      </c>
      <c r="B40" s="1">
        <v>41974</v>
      </c>
      <c r="C40" s="3">
        <v>137459</v>
      </c>
      <c r="D40" s="3">
        <v>32417706750.169998</v>
      </c>
      <c r="E40" s="3">
        <v>103510857.08</v>
      </c>
      <c r="F40" s="3">
        <v>753052.33</v>
      </c>
      <c r="G40" s="5">
        <v>3.19303453133547E-3</v>
      </c>
      <c r="H40" s="5">
        <v>2.32296607469327E-5</v>
      </c>
      <c r="I40" s="4">
        <v>3.7650000000000001</v>
      </c>
      <c r="J40" s="4">
        <v>2.7799999999999998E-2</v>
      </c>
      <c r="K40" s="7">
        <v>3.1372260189091402E-3</v>
      </c>
      <c r="L40" s="3">
        <v>1932546569.0699999</v>
      </c>
      <c r="M40" s="3">
        <v>9683343</v>
      </c>
      <c r="N40" s="7">
        <v>5.8999999999999997E-2</v>
      </c>
      <c r="O40" s="7">
        <v>2.0000000000000001E-4</v>
      </c>
    </row>
    <row r="41" spans="1:15" x14ac:dyDescent="0.25">
      <c r="A41" t="s">
        <v>3</v>
      </c>
      <c r="B41" s="1">
        <v>42005</v>
      </c>
      <c r="C41" s="3">
        <v>137023</v>
      </c>
      <c r="D41" s="3">
        <v>32239798911.360001</v>
      </c>
      <c r="E41" s="3">
        <v>129099715.43000001</v>
      </c>
      <c r="F41" s="3">
        <v>2259765.79</v>
      </c>
      <c r="G41" s="5">
        <v>4.0043585812971801E-3</v>
      </c>
      <c r="H41" s="5">
        <v>7.0092428188308194E-5</v>
      </c>
      <c r="I41" s="4">
        <v>4.7008000000000001</v>
      </c>
      <c r="J41" s="4">
        <v>8.4000000000000005E-2</v>
      </c>
      <c r="K41" s="7">
        <v>2.5071003222516702E-3</v>
      </c>
      <c r="L41" s="3">
        <v>2061646284.5</v>
      </c>
      <c r="M41" s="3">
        <v>11943108.789999999</v>
      </c>
      <c r="N41" s="7">
        <v>6.2899999999999998E-2</v>
      </c>
      <c r="O41" s="7">
        <v>2.9999999999999997E-4</v>
      </c>
    </row>
    <row r="42" spans="1:15" x14ac:dyDescent="0.25">
      <c r="A42" t="s">
        <v>3</v>
      </c>
      <c r="B42" s="1">
        <v>42036</v>
      </c>
      <c r="C42" s="3">
        <v>136465</v>
      </c>
      <c r="D42" s="3">
        <v>32038687612.509998</v>
      </c>
      <c r="E42" s="3">
        <v>202706002.22</v>
      </c>
      <c r="F42" s="3">
        <v>1168297.3</v>
      </c>
      <c r="G42" s="5">
        <v>6.3269134076780996E-3</v>
      </c>
      <c r="H42" s="5">
        <v>3.6465204634156697E-5</v>
      </c>
      <c r="I42" s="4">
        <v>7.3334999999999999</v>
      </c>
      <c r="J42" s="4">
        <v>4.3700000000000003E-2</v>
      </c>
      <c r="K42" s="7">
        <v>2.60061031892786E-3</v>
      </c>
      <c r="L42" s="3">
        <v>2264352286.7199998</v>
      </c>
      <c r="M42" s="3">
        <v>13111406.09</v>
      </c>
      <c r="N42" s="7">
        <v>6.9099999999999995E-2</v>
      </c>
      <c r="O42" s="7">
        <v>4.0000000000000002E-4</v>
      </c>
    </row>
    <row r="43" spans="1:15" x14ac:dyDescent="0.25">
      <c r="A43" t="s">
        <v>3</v>
      </c>
      <c r="B43" s="1">
        <v>42064</v>
      </c>
      <c r="C43" s="3">
        <v>135631</v>
      </c>
      <c r="D43" s="3">
        <v>31763545472.23</v>
      </c>
      <c r="E43" s="3">
        <v>204386465.34</v>
      </c>
      <c r="F43" s="3">
        <v>1673286.98</v>
      </c>
      <c r="G43" s="5">
        <v>6.4346237896738996E-3</v>
      </c>
      <c r="H43" s="5">
        <v>5.2679477530709103E-5</v>
      </c>
      <c r="I43" s="4">
        <v>7.4539999999999997</v>
      </c>
      <c r="J43" s="4">
        <v>6.3100000000000003E-2</v>
      </c>
      <c r="K43" s="7">
        <v>3.0653763936751102E-3</v>
      </c>
      <c r="L43" s="3">
        <v>2468738752.0599999</v>
      </c>
      <c r="M43" s="3">
        <v>14784693.07</v>
      </c>
      <c r="N43" s="7">
        <v>7.5300000000000006E-2</v>
      </c>
      <c r="O43" s="7">
        <v>4.0000000000000002E-4</v>
      </c>
    </row>
    <row r="44" spans="1:15" x14ac:dyDescent="0.25">
      <c r="A44" t="s">
        <v>3</v>
      </c>
      <c r="B44" s="1">
        <v>42095</v>
      </c>
      <c r="C44" s="3">
        <v>134755</v>
      </c>
      <c r="D44" s="3">
        <v>31481839071.779999</v>
      </c>
      <c r="E44" s="3">
        <v>220484533.44</v>
      </c>
      <c r="F44" s="3">
        <v>2931733.85</v>
      </c>
      <c r="G44" s="5">
        <v>7.0035468047875199E-3</v>
      </c>
      <c r="H44" s="5">
        <v>9.31246056914119E-5</v>
      </c>
      <c r="I44" s="4">
        <v>8.0878999999999994</v>
      </c>
      <c r="J44" s="4">
        <v>0.1116</v>
      </c>
      <c r="K44" s="7">
        <v>2.12804341599132E-3</v>
      </c>
      <c r="L44" s="3">
        <v>2689223285.5</v>
      </c>
      <c r="M44" s="3">
        <v>17716426.920000002</v>
      </c>
      <c r="N44" s="7">
        <v>8.2100000000000006E-2</v>
      </c>
      <c r="O44" s="7">
        <v>5.0000000000000001E-4</v>
      </c>
    </row>
    <row r="45" spans="1:15" x14ac:dyDescent="0.25">
      <c r="A45" t="s">
        <v>3</v>
      </c>
      <c r="B45" s="1">
        <v>42125</v>
      </c>
      <c r="C45" s="3">
        <v>133785</v>
      </c>
      <c r="D45" s="3">
        <v>31187038920.860001</v>
      </c>
      <c r="E45" s="3">
        <v>246981466.37</v>
      </c>
      <c r="F45" s="3">
        <v>577183.81000000006</v>
      </c>
      <c r="G45" s="5">
        <v>7.9193624953218002E-3</v>
      </c>
      <c r="H45" s="5">
        <v>1.8507169323277398E-5</v>
      </c>
      <c r="I45" s="4">
        <v>9.1</v>
      </c>
      <c r="J45" s="4">
        <v>2.2200000000000001E-2</v>
      </c>
      <c r="K45" s="7">
        <v>2.3137861072066801E-3</v>
      </c>
      <c r="L45" s="3">
        <v>2936204751.8699999</v>
      </c>
      <c r="M45" s="3">
        <v>18293610.73</v>
      </c>
      <c r="N45" s="7">
        <v>8.9599999999999999E-2</v>
      </c>
      <c r="O45" s="7">
        <v>5.0000000000000001E-4</v>
      </c>
    </row>
    <row r="46" spans="1:15" x14ac:dyDescent="0.25">
      <c r="A46" t="s">
        <v>3</v>
      </c>
      <c r="B46" s="1">
        <v>42156</v>
      </c>
      <c r="C46" s="3">
        <v>132693</v>
      </c>
      <c r="D46" s="3">
        <v>30868963894.860001</v>
      </c>
      <c r="E46" s="3">
        <v>0</v>
      </c>
      <c r="F46" s="3">
        <v>0</v>
      </c>
      <c r="G46" s="5">
        <v>0</v>
      </c>
      <c r="H46" s="5">
        <v>0</v>
      </c>
      <c r="I46" s="4">
        <v>0</v>
      </c>
      <c r="J46" s="4">
        <v>0</v>
      </c>
      <c r="K46" s="7">
        <v>3.2330500813024599E-3</v>
      </c>
      <c r="L46" s="3">
        <v>2936204751.8699999</v>
      </c>
      <c r="M46" s="3">
        <v>18293610.73</v>
      </c>
      <c r="N46" s="8">
        <v>8.9599999999999999E-2</v>
      </c>
      <c r="O46" s="8">
        <v>5.0000000000000001E-4</v>
      </c>
    </row>
    <row r="47" spans="1:15" x14ac:dyDescent="0.25">
      <c r="A47" t="s">
        <v>4</v>
      </c>
      <c r="B47" s="1">
        <v>41671</v>
      </c>
      <c r="C47" s="3">
        <v>139513</v>
      </c>
      <c r="D47" s="3">
        <v>32312170855.900002</v>
      </c>
      <c r="E47" s="3">
        <v>207134927.44999999</v>
      </c>
      <c r="F47" s="3">
        <v>0</v>
      </c>
      <c r="G47" s="5">
        <v>6.4104305580006604E-3</v>
      </c>
      <c r="H47" s="5">
        <v>0</v>
      </c>
      <c r="I47" s="4">
        <v>7.4269999999999996</v>
      </c>
      <c r="J47" s="4">
        <v>0</v>
      </c>
      <c r="K47" s="7">
        <v>8.3035215336207903E-4</v>
      </c>
      <c r="L47" s="3">
        <v>207134927.44999999</v>
      </c>
      <c r="M47" s="3">
        <v>0</v>
      </c>
      <c r="N47" s="7">
        <v>6.7999999999999996E-3</v>
      </c>
      <c r="O47" s="7">
        <v>0</v>
      </c>
    </row>
    <row r="48" spans="1:15" x14ac:dyDescent="0.25">
      <c r="A48" t="s">
        <v>4</v>
      </c>
      <c r="B48" s="1">
        <v>41699</v>
      </c>
      <c r="C48" s="3">
        <v>138574</v>
      </c>
      <c r="D48" s="3">
        <v>32038558514.889999</v>
      </c>
      <c r="E48" s="3">
        <v>105706737.76000001</v>
      </c>
      <c r="F48" s="3">
        <v>0</v>
      </c>
      <c r="G48" s="5">
        <v>3.2993599793471498E-3</v>
      </c>
      <c r="H48" s="5">
        <v>0</v>
      </c>
      <c r="I48" s="4">
        <v>3.8881000000000001</v>
      </c>
      <c r="J48" s="4">
        <v>0</v>
      </c>
      <c r="K48" s="7">
        <v>1.5226672684829901E-3</v>
      </c>
      <c r="L48" s="3">
        <v>312841665.20999998</v>
      </c>
      <c r="M48" s="3">
        <v>0</v>
      </c>
      <c r="N48" s="7">
        <v>1.03E-2</v>
      </c>
      <c r="O48" s="7">
        <v>0</v>
      </c>
    </row>
    <row r="49" spans="1:15" x14ac:dyDescent="0.25">
      <c r="A49" t="s">
        <v>4</v>
      </c>
      <c r="B49" s="1">
        <v>41730</v>
      </c>
      <c r="C49" s="3">
        <v>138094</v>
      </c>
      <c r="D49" s="3">
        <v>31865279462.52</v>
      </c>
      <c r="E49" s="3">
        <v>128322520.90000001</v>
      </c>
      <c r="F49" s="3">
        <v>0</v>
      </c>
      <c r="G49" s="5">
        <v>4.0270326532341602E-3</v>
      </c>
      <c r="H49" s="5">
        <v>0</v>
      </c>
      <c r="I49" s="4">
        <v>4.7267999999999999</v>
      </c>
      <c r="J49" s="4">
        <v>0</v>
      </c>
      <c r="K49" s="7">
        <v>1.1277179985904899E-3</v>
      </c>
      <c r="L49" s="3">
        <v>441164186.11000001</v>
      </c>
      <c r="M49" s="3">
        <v>0</v>
      </c>
      <c r="N49" s="7">
        <v>1.4500000000000001E-2</v>
      </c>
      <c r="O49" s="7">
        <v>0</v>
      </c>
    </row>
    <row r="50" spans="1:15" x14ac:dyDescent="0.25">
      <c r="A50" t="s">
        <v>4</v>
      </c>
      <c r="B50" s="1">
        <v>41760</v>
      </c>
      <c r="C50" s="3">
        <v>137486</v>
      </c>
      <c r="D50" s="3">
        <v>31667475693.279999</v>
      </c>
      <c r="E50" s="3">
        <v>150016275.28999999</v>
      </c>
      <c r="F50" s="3">
        <v>412038.9</v>
      </c>
      <c r="G50" s="5">
        <v>4.7372350339194898E-3</v>
      </c>
      <c r="H50" s="5">
        <v>1.30114223183073E-5</v>
      </c>
      <c r="I50" s="4">
        <v>5.5388000000000002</v>
      </c>
      <c r="J50" s="4">
        <v>1.5599999999999999E-2</v>
      </c>
      <c r="K50" s="7">
        <v>1.3793726491836899E-3</v>
      </c>
      <c r="L50" s="3">
        <v>591180461.39999998</v>
      </c>
      <c r="M50" s="3">
        <v>412038.9</v>
      </c>
      <c r="N50" s="7">
        <v>1.95E-2</v>
      </c>
      <c r="O50" s="7">
        <v>0</v>
      </c>
    </row>
    <row r="51" spans="1:15" x14ac:dyDescent="0.25">
      <c r="A51" t="s">
        <v>4</v>
      </c>
      <c r="B51" s="1">
        <v>41791</v>
      </c>
      <c r="C51" s="3">
        <v>136821</v>
      </c>
      <c r="D51" s="3">
        <v>31454431558.75</v>
      </c>
      <c r="E51" s="3">
        <v>143509133.41999999</v>
      </c>
      <c r="F51" s="3">
        <v>83561.429999999993</v>
      </c>
      <c r="G51" s="5">
        <v>4.56244561762167E-3</v>
      </c>
      <c r="H51" s="5">
        <v>2.65658687374227E-6</v>
      </c>
      <c r="I51" s="4">
        <v>5.3395999999999999</v>
      </c>
      <c r="J51" s="4">
        <v>3.0999999999999999E-3</v>
      </c>
      <c r="K51" s="7">
        <v>1.6926852605984801E-3</v>
      </c>
      <c r="L51" s="3">
        <v>734689594.82000005</v>
      </c>
      <c r="M51" s="3">
        <v>495600.33</v>
      </c>
      <c r="N51" s="7">
        <v>2.4199999999999999E-2</v>
      </c>
      <c r="O51" s="7">
        <v>0</v>
      </c>
    </row>
    <row r="52" spans="1:15" x14ac:dyDescent="0.25">
      <c r="A52" t="s">
        <v>4</v>
      </c>
      <c r="B52" s="1">
        <v>41821</v>
      </c>
      <c r="C52" s="3">
        <v>136164</v>
      </c>
      <c r="D52" s="3">
        <v>31244385455.200001</v>
      </c>
      <c r="E52" s="3">
        <v>128496974.15000001</v>
      </c>
      <c r="F52" s="3">
        <v>681878.67</v>
      </c>
      <c r="G52" s="5">
        <v>4.1126420724211799E-3</v>
      </c>
      <c r="H52" s="5">
        <v>2.1824038465333701E-5</v>
      </c>
      <c r="I52" s="4">
        <v>4.8250000000000002</v>
      </c>
      <c r="J52" s="4">
        <v>2.6100000000000002E-2</v>
      </c>
      <c r="K52" s="7">
        <v>2.0239341257222701E-3</v>
      </c>
      <c r="L52" s="3">
        <v>863186568.97000003</v>
      </c>
      <c r="M52" s="3">
        <v>1177479</v>
      </c>
      <c r="N52" s="7">
        <v>2.8500000000000001E-2</v>
      </c>
      <c r="O52" s="7">
        <v>0</v>
      </c>
    </row>
    <row r="53" spans="1:15" x14ac:dyDescent="0.25">
      <c r="A53" t="s">
        <v>4</v>
      </c>
      <c r="B53" s="1">
        <v>41852</v>
      </c>
      <c r="C53" s="3">
        <v>135572</v>
      </c>
      <c r="D53" s="3">
        <v>31050179453.919998</v>
      </c>
      <c r="E53" s="3">
        <v>120807217.7</v>
      </c>
      <c r="F53" s="3">
        <v>1164150.3500000001</v>
      </c>
      <c r="G53" s="5">
        <v>3.8907091625439301E-3</v>
      </c>
      <c r="H53" s="5">
        <v>3.7492548206610403E-5</v>
      </c>
      <c r="I53" s="4">
        <v>4.5701999999999998</v>
      </c>
      <c r="J53" s="4">
        <v>4.4900000000000002E-2</v>
      </c>
      <c r="K53" s="7">
        <v>2.1676206490169798E-3</v>
      </c>
      <c r="L53" s="3">
        <v>983993786.66999996</v>
      </c>
      <c r="M53" s="3">
        <v>2341629.35</v>
      </c>
      <c r="N53" s="7">
        <v>3.2500000000000001E-2</v>
      </c>
      <c r="O53" s="7">
        <v>0</v>
      </c>
    </row>
    <row r="54" spans="1:15" x14ac:dyDescent="0.25">
      <c r="A54" t="s">
        <v>4</v>
      </c>
      <c r="B54" s="1">
        <v>41883</v>
      </c>
      <c r="C54" s="3">
        <v>135011</v>
      </c>
      <c r="D54" s="3">
        <v>30864009327.299999</v>
      </c>
      <c r="E54" s="3">
        <v>134653590.77000001</v>
      </c>
      <c r="F54" s="3">
        <v>736099.11</v>
      </c>
      <c r="G54" s="5">
        <v>4.3628029444280703E-3</v>
      </c>
      <c r="H54" s="5">
        <v>2.38497565949379E-5</v>
      </c>
      <c r="I54" s="4">
        <v>5.1115000000000004</v>
      </c>
      <c r="J54" s="4">
        <v>2.86E-2</v>
      </c>
      <c r="K54" s="7">
        <v>2.5084879073542202E-3</v>
      </c>
      <c r="L54" s="3">
        <v>1118647377.4400001</v>
      </c>
      <c r="M54" s="3">
        <v>3077728.46</v>
      </c>
      <c r="N54" s="7">
        <v>3.6900000000000002E-2</v>
      </c>
      <c r="O54" s="7">
        <v>1E-4</v>
      </c>
    </row>
    <row r="55" spans="1:15" x14ac:dyDescent="0.25">
      <c r="A55" t="s">
        <v>4</v>
      </c>
      <c r="B55" s="1">
        <v>41913</v>
      </c>
      <c r="C55" s="3">
        <v>134366</v>
      </c>
      <c r="D55" s="3">
        <v>30665146300.130001</v>
      </c>
      <c r="E55" s="3">
        <v>124790143.37</v>
      </c>
      <c r="F55" s="3">
        <v>1092294.03</v>
      </c>
      <c r="G55" s="5">
        <v>4.0694455571363402E-3</v>
      </c>
      <c r="H55" s="5">
        <v>3.5620049528195701E-5</v>
      </c>
      <c r="I55" s="4">
        <v>4.7755000000000001</v>
      </c>
      <c r="J55" s="4">
        <v>4.2700000000000002E-2</v>
      </c>
      <c r="K55" s="7">
        <v>2.43580365405539E-3</v>
      </c>
      <c r="L55" s="3">
        <v>1243437520.8099999</v>
      </c>
      <c r="M55" s="3">
        <v>4170022.49</v>
      </c>
      <c r="N55" s="7">
        <v>4.1000000000000002E-2</v>
      </c>
      <c r="O55" s="7">
        <v>1E-4</v>
      </c>
    </row>
    <row r="56" spans="1:15" x14ac:dyDescent="0.25">
      <c r="A56" t="s">
        <v>4</v>
      </c>
      <c r="B56" s="1">
        <v>41944</v>
      </c>
      <c r="C56" s="3">
        <v>133821</v>
      </c>
      <c r="D56" s="3">
        <v>30475372228.66</v>
      </c>
      <c r="E56" s="3">
        <v>135091366.09</v>
      </c>
      <c r="F56" s="3">
        <v>543257.96</v>
      </c>
      <c r="G56" s="5">
        <v>4.4328044650741201E-3</v>
      </c>
      <c r="H56" s="5">
        <v>1.78261304217673E-5</v>
      </c>
      <c r="I56" s="4">
        <v>5.1914999999999996</v>
      </c>
      <c r="J56" s="4">
        <v>2.1299999999999999E-2</v>
      </c>
      <c r="K56" s="7">
        <v>1.9498019037850699E-3</v>
      </c>
      <c r="L56" s="3">
        <v>1378528886.9000001</v>
      </c>
      <c r="M56" s="3">
        <v>4713280.45</v>
      </c>
      <c r="N56" s="7">
        <v>4.5499999999999999E-2</v>
      </c>
      <c r="O56" s="7">
        <v>1E-4</v>
      </c>
    </row>
    <row r="57" spans="1:15" x14ac:dyDescent="0.25">
      <c r="A57" t="s">
        <v>4</v>
      </c>
      <c r="B57" s="1">
        <v>41974</v>
      </c>
      <c r="C57" s="3">
        <v>133208</v>
      </c>
      <c r="D57" s="3">
        <v>30274833486.439999</v>
      </c>
      <c r="E57" s="3">
        <v>108369472.09</v>
      </c>
      <c r="F57" s="3">
        <v>1663331.74</v>
      </c>
      <c r="G57" s="5">
        <v>3.5795233073218401E-3</v>
      </c>
      <c r="H57" s="5">
        <v>5.49410698078653E-5</v>
      </c>
      <c r="I57" s="4">
        <v>4.2118000000000002</v>
      </c>
      <c r="J57" s="4">
        <v>6.59E-2</v>
      </c>
      <c r="K57" s="7">
        <v>3.1639523448709602E-3</v>
      </c>
      <c r="L57" s="3">
        <v>1486898358.99</v>
      </c>
      <c r="M57" s="3">
        <v>6376612.1900000004</v>
      </c>
      <c r="N57" s="7">
        <v>4.9099999999999998E-2</v>
      </c>
      <c r="O57" s="7">
        <v>2.0000000000000001E-4</v>
      </c>
    </row>
    <row r="58" spans="1:15" x14ac:dyDescent="0.25">
      <c r="A58" t="s">
        <v>4</v>
      </c>
      <c r="B58" s="1">
        <v>42005</v>
      </c>
      <c r="C58" s="3">
        <v>132713</v>
      </c>
      <c r="D58" s="3">
        <v>30100359859.959999</v>
      </c>
      <c r="E58" s="3">
        <v>152940502</v>
      </c>
      <c r="F58" s="3">
        <v>589675.86</v>
      </c>
      <c r="G58" s="5">
        <v>5.0810190546407303E-3</v>
      </c>
      <c r="H58" s="5">
        <v>1.9590325921132798E-5</v>
      </c>
      <c r="I58" s="4">
        <v>5.9295999999999998</v>
      </c>
      <c r="J58" s="4">
        <v>2.35E-2</v>
      </c>
      <c r="K58" s="7">
        <v>2.4825080357062301E-3</v>
      </c>
      <c r="L58" s="3">
        <v>1639838860.99</v>
      </c>
      <c r="M58" s="3">
        <v>6966288.0499999998</v>
      </c>
      <c r="N58" s="7">
        <v>5.4100000000000002E-2</v>
      </c>
      <c r="O58" s="7">
        <v>2.0000000000000001E-4</v>
      </c>
    </row>
    <row r="59" spans="1:15" x14ac:dyDescent="0.25">
      <c r="A59" t="s">
        <v>4</v>
      </c>
      <c r="B59" s="1">
        <v>42036</v>
      </c>
      <c r="C59" s="3">
        <v>132085</v>
      </c>
      <c r="D59" s="3">
        <v>29884165860.82</v>
      </c>
      <c r="E59" s="3">
        <v>196999436.59</v>
      </c>
      <c r="F59" s="3">
        <v>776531.93</v>
      </c>
      <c r="G59" s="5">
        <v>6.5921008974280399E-3</v>
      </c>
      <c r="H59" s="5">
        <v>2.5984728287767899E-5</v>
      </c>
      <c r="I59" s="4">
        <v>7.6299000000000001</v>
      </c>
      <c r="J59" s="4">
        <v>3.1099999999999999E-2</v>
      </c>
      <c r="K59" s="7">
        <v>2.52494335767715E-3</v>
      </c>
      <c r="L59" s="3">
        <v>1836838297.5799999</v>
      </c>
      <c r="M59" s="3">
        <v>7742819.9800000004</v>
      </c>
      <c r="N59" s="7">
        <v>6.0600000000000001E-2</v>
      </c>
      <c r="O59" s="7">
        <v>2.0000000000000001E-4</v>
      </c>
    </row>
    <row r="60" spans="1:15" x14ac:dyDescent="0.25">
      <c r="A60" t="s">
        <v>4</v>
      </c>
      <c r="B60" s="1">
        <v>42064</v>
      </c>
      <c r="C60" s="3">
        <v>131250</v>
      </c>
      <c r="D60" s="3">
        <v>29622381783.93</v>
      </c>
      <c r="E60" s="3">
        <v>206483582.91999999</v>
      </c>
      <c r="F60" s="3">
        <v>564733.91</v>
      </c>
      <c r="G60" s="5">
        <v>6.9705260173243801E-3</v>
      </c>
      <c r="H60" s="5">
        <v>1.9064432904796499E-5</v>
      </c>
      <c r="I60" s="4">
        <v>8.0511999999999997</v>
      </c>
      <c r="J60" s="4">
        <v>2.2800000000000001E-2</v>
      </c>
      <c r="K60" s="7">
        <v>3.1499647857695201E-3</v>
      </c>
      <c r="L60" s="3">
        <v>2043321880.5</v>
      </c>
      <c r="M60" s="3">
        <v>8307553.8899999997</v>
      </c>
      <c r="N60" s="7">
        <v>6.7500000000000004E-2</v>
      </c>
      <c r="O60" s="7">
        <v>2.0000000000000001E-4</v>
      </c>
    </row>
    <row r="61" spans="1:15" x14ac:dyDescent="0.25">
      <c r="A61" t="s">
        <v>4</v>
      </c>
      <c r="B61" s="1">
        <v>42095</v>
      </c>
      <c r="C61" s="3">
        <v>130339</v>
      </c>
      <c r="D61" s="3">
        <v>29346853284.540001</v>
      </c>
      <c r="E61" s="3">
        <v>237340935.86000001</v>
      </c>
      <c r="F61" s="3">
        <v>1555789.72</v>
      </c>
      <c r="G61" s="5">
        <v>8.0874407064634706E-3</v>
      </c>
      <c r="H61" s="5">
        <v>5.3013851431205801E-5</v>
      </c>
      <c r="I61" s="4">
        <v>9.2845999999999993</v>
      </c>
      <c r="J61" s="4">
        <v>6.3500000000000001E-2</v>
      </c>
      <c r="K61" s="7">
        <v>2.35929860311377E-3</v>
      </c>
      <c r="L61" s="3">
        <v>2280662816.3600001</v>
      </c>
      <c r="M61" s="3">
        <v>9863343.6099999994</v>
      </c>
      <c r="N61" s="7">
        <v>7.5300000000000006E-2</v>
      </c>
      <c r="O61" s="7">
        <v>2.9999999999999997E-4</v>
      </c>
    </row>
    <row r="62" spans="1:15" x14ac:dyDescent="0.25">
      <c r="A62" t="s">
        <v>4</v>
      </c>
      <c r="B62" s="1">
        <v>42125</v>
      </c>
      <c r="C62" s="3">
        <v>129302</v>
      </c>
      <c r="D62" s="3">
        <v>29042673167.91</v>
      </c>
      <c r="E62" s="3">
        <v>248521555.47</v>
      </c>
      <c r="F62" s="3">
        <v>651600.99</v>
      </c>
      <c r="G62" s="5">
        <v>8.55711710947454E-3</v>
      </c>
      <c r="H62" s="5">
        <v>2.2435985359638601E-5</v>
      </c>
      <c r="I62" s="4">
        <v>9.7987000000000002</v>
      </c>
      <c r="J62" s="4">
        <v>2.69E-2</v>
      </c>
      <c r="K62" s="7">
        <v>2.45970523329553E-3</v>
      </c>
      <c r="L62" s="3">
        <v>2529184371.8299999</v>
      </c>
      <c r="M62" s="3">
        <v>10514944.6</v>
      </c>
      <c r="N62" s="7">
        <v>8.3500000000000005E-2</v>
      </c>
      <c r="O62" s="7">
        <v>2.9999999999999997E-4</v>
      </c>
    </row>
    <row r="63" spans="1:15" x14ac:dyDescent="0.25">
      <c r="A63" t="s">
        <v>4</v>
      </c>
      <c r="B63" s="1">
        <v>42156</v>
      </c>
      <c r="C63" s="3">
        <v>128194</v>
      </c>
      <c r="D63" s="3">
        <v>28730000635.919998</v>
      </c>
      <c r="E63" s="3">
        <v>0</v>
      </c>
      <c r="F63" s="3">
        <v>0</v>
      </c>
      <c r="G63" s="5">
        <v>0</v>
      </c>
      <c r="H63" s="5">
        <v>0</v>
      </c>
      <c r="I63" s="4">
        <v>0</v>
      </c>
      <c r="J63" s="4">
        <v>0</v>
      </c>
      <c r="K63" s="7">
        <v>2.8305324114169098E-3</v>
      </c>
      <c r="L63" s="3">
        <v>2529184371.8299999</v>
      </c>
      <c r="M63" s="3">
        <v>10514944.6</v>
      </c>
      <c r="N63" s="8">
        <v>8.3500000000000005E-2</v>
      </c>
      <c r="O63" s="8">
        <v>2.9999999999999997E-4</v>
      </c>
    </row>
    <row r="64" spans="1:15" x14ac:dyDescent="0.25">
      <c r="A64" t="s">
        <v>5</v>
      </c>
      <c r="B64" s="1">
        <v>41730</v>
      </c>
      <c r="C64" s="3">
        <v>116677</v>
      </c>
      <c r="D64" s="3">
        <v>28039544680.09</v>
      </c>
      <c r="E64" s="3">
        <v>369559914.37</v>
      </c>
      <c r="F64" s="3">
        <v>0</v>
      </c>
      <c r="G64" s="5">
        <v>1.31799541892138E-2</v>
      </c>
      <c r="H64" s="5">
        <v>0</v>
      </c>
      <c r="I64" s="4">
        <v>14.718299999999999</v>
      </c>
      <c r="J64" s="4">
        <v>0</v>
      </c>
      <c r="K64" s="7">
        <v>1.2582498026457499E-3</v>
      </c>
      <c r="L64" s="3">
        <v>369559914.37</v>
      </c>
      <c r="M64" s="3">
        <v>0</v>
      </c>
      <c r="N64" s="7">
        <v>1.4999999999999999E-2</v>
      </c>
      <c r="O64" s="7">
        <v>0</v>
      </c>
    </row>
    <row r="65" spans="1:15" x14ac:dyDescent="0.25">
      <c r="A65" t="s">
        <v>5</v>
      </c>
      <c r="B65" s="1">
        <v>41760</v>
      </c>
      <c r="C65" s="3">
        <v>115265</v>
      </c>
      <c r="D65" s="3">
        <v>27609728254.779999</v>
      </c>
      <c r="E65" s="3">
        <v>207436533.11000001</v>
      </c>
      <c r="F65" s="3">
        <v>0</v>
      </c>
      <c r="G65" s="5">
        <v>7.5131682280895704E-3</v>
      </c>
      <c r="H65" s="5">
        <v>0</v>
      </c>
      <c r="I65" s="4">
        <v>8.6524000000000001</v>
      </c>
      <c r="J65" s="4">
        <v>0</v>
      </c>
      <c r="K65" s="7">
        <v>1.5944404332331099E-3</v>
      </c>
      <c r="L65" s="3">
        <v>576996447.48000002</v>
      </c>
      <c r="M65" s="3">
        <v>0</v>
      </c>
      <c r="N65" s="7">
        <v>2.3400000000000001E-2</v>
      </c>
      <c r="O65" s="7">
        <v>0</v>
      </c>
    </row>
    <row r="66" spans="1:15" x14ac:dyDescent="0.25">
      <c r="A66" t="s">
        <v>5</v>
      </c>
      <c r="B66" s="1">
        <v>41791</v>
      </c>
      <c r="C66" s="3">
        <v>114528</v>
      </c>
      <c r="D66" s="3">
        <v>27348284475.400002</v>
      </c>
      <c r="E66" s="3">
        <v>202721399.50999999</v>
      </c>
      <c r="F66" s="3">
        <v>0</v>
      </c>
      <c r="G66" s="5">
        <v>7.4125819369894796E-3</v>
      </c>
      <c r="H66" s="5">
        <v>0</v>
      </c>
      <c r="I66" s="4">
        <v>8.5411999999999999</v>
      </c>
      <c r="J66" s="4">
        <v>0</v>
      </c>
      <c r="K66" s="7">
        <v>1.62206789496806E-3</v>
      </c>
      <c r="L66" s="3">
        <v>779717846.99000001</v>
      </c>
      <c r="M66" s="3">
        <v>0</v>
      </c>
      <c r="N66" s="7">
        <v>3.1600000000000003E-2</v>
      </c>
      <c r="O66" s="7">
        <v>0</v>
      </c>
    </row>
    <row r="67" spans="1:15" x14ac:dyDescent="0.25">
      <c r="A67" t="s">
        <v>5</v>
      </c>
      <c r="B67" s="1">
        <v>41821</v>
      </c>
      <c r="C67" s="3">
        <v>113774</v>
      </c>
      <c r="D67" s="3">
        <v>27089577370.52</v>
      </c>
      <c r="E67" s="3">
        <v>182482840.21000001</v>
      </c>
      <c r="F67" s="3">
        <v>968154.6</v>
      </c>
      <c r="G67" s="5">
        <v>6.7362749043322198E-3</v>
      </c>
      <c r="H67" s="5">
        <v>3.5739007174529997E-5</v>
      </c>
      <c r="I67" s="4">
        <v>7.7906000000000004</v>
      </c>
      <c r="J67" s="4">
        <v>4.2799999999999998E-2</v>
      </c>
      <c r="K67" s="7">
        <v>1.83497047924029E-3</v>
      </c>
      <c r="L67" s="3">
        <v>962200687.20000005</v>
      </c>
      <c r="M67" s="3">
        <v>968154.6</v>
      </c>
      <c r="N67" s="7">
        <v>3.9100000000000003E-2</v>
      </c>
      <c r="O67" s="7">
        <v>0</v>
      </c>
    </row>
    <row r="68" spans="1:15" x14ac:dyDescent="0.25">
      <c r="A68" t="s">
        <v>5</v>
      </c>
      <c r="B68" s="1">
        <v>41852</v>
      </c>
      <c r="C68" s="3">
        <v>113066</v>
      </c>
      <c r="D68" s="3">
        <v>26851958095.509998</v>
      </c>
      <c r="E68" s="3">
        <v>162436003.41999999</v>
      </c>
      <c r="F68" s="3">
        <v>77670.52</v>
      </c>
      <c r="G68" s="5">
        <v>6.0493168819283002E-3</v>
      </c>
      <c r="H68" s="5">
        <v>2.8925458517301702E-6</v>
      </c>
      <c r="I68" s="4">
        <v>7.0224000000000002</v>
      </c>
      <c r="J68" s="4">
        <v>3.3999999999999998E-3</v>
      </c>
      <c r="K68" s="7">
        <v>1.77433496993155E-3</v>
      </c>
      <c r="L68" s="3">
        <v>1124636690.6199999</v>
      </c>
      <c r="M68" s="3">
        <v>1045825.12</v>
      </c>
      <c r="N68" s="7">
        <v>4.5699999999999998E-2</v>
      </c>
      <c r="O68" s="7">
        <v>0</v>
      </c>
    </row>
    <row r="69" spans="1:15" x14ac:dyDescent="0.25">
      <c r="A69" t="s">
        <v>5</v>
      </c>
      <c r="B69" s="1">
        <v>41883</v>
      </c>
      <c r="C69" s="3">
        <v>112446</v>
      </c>
      <c r="D69" s="3">
        <v>26637069814.950001</v>
      </c>
      <c r="E69" s="3">
        <v>172597846.72</v>
      </c>
      <c r="F69" s="3">
        <v>867798.01</v>
      </c>
      <c r="G69" s="5">
        <v>6.4796108550622096E-3</v>
      </c>
      <c r="H69" s="5">
        <v>3.2578583756722003E-5</v>
      </c>
      <c r="I69" s="4">
        <v>7.5042999999999997</v>
      </c>
      <c r="J69" s="4">
        <v>3.9E-2</v>
      </c>
      <c r="K69" s="7">
        <v>2.2391729474885501E-3</v>
      </c>
      <c r="L69" s="3">
        <v>1297234537.3399999</v>
      </c>
      <c r="M69" s="3">
        <v>1913623.13</v>
      </c>
      <c r="N69" s="7">
        <v>5.2699999999999997E-2</v>
      </c>
      <c r="O69" s="7">
        <v>0</v>
      </c>
    </row>
    <row r="70" spans="1:15" x14ac:dyDescent="0.25">
      <c r="A70" t="s">
        <v>5</v>
      </c>
      <c r="B70" s="1">
        <v>41913</v>
      </c>
      <c r="C70" s="3">
        <v>111769</v>
      </c>
      <c r="D70" s="3">
        <v>26409684178.889999</v>
      </c>
      <c r="E70" s="3">
        <v>239512495.96000001</v>
      </c>
      <c r="F70" s="3">
        <v>552007.49</v>
      </c>
      <c r="G70" s="5">
        <v>9.0691162506005597E-3</v>
      </c>
      <c r="H70" s="5">
        <v>2.0901707353291001E-5</v>
      </c>
      <c r="I70" s="4">
        <v>10.3561</v>
      </c>
      <c r="J70" s="4">
        <v>2.5000000000000001E-2</v>
      </c>
      <c r="K70" s="7">
        <v>2.3875834479081602E-3</v>
      </c>
      <c r="L70" s="3">
        <v>1536747033.3</v>
      </c>
      <c r="M70" s="3">
        <v>2465630.62</v>
      </c>
      <c r="N70" s="7">
        <v>6.2399999999999997E-2</v>
      </c>
      <c r="O70" s="7">
        <v>1E-4</v>
      </c>
    </row>
    <row r="71" spans="1:15" x14ac:dyDescent="0.25">
      <c r="A71" t="s">
        <v>5</v>
      </c>
      <c r="B71" s="1">
        <v>41944</v>
      </c>
      <c r="C71" s="3">
        <v>110925</v>
      </c>
      <c r="D71" s="3">
        <v>26117688939.689999</v>
      </c>
      <c r="E71" s="3">
        <v>260286629.65000001</v>
      </c>
      <c r="F71" s="3">
        <v>491931.43</v>
      </c>
      <c r="G71" s="5">
        <v>9.9659135328184698E-3</v>
      </c>
      <c r="H71" s="5">
        <v>1.8835182206815799E-5</v>
      </c>
      <c r="I71" s="4">
        <v>11.3248</v>
      </c>
      <c r="J71" s="4">
        <v>2.2499999999999999E-2</v>
      </c>
      <c r="K71" s="7">
        <v>2.2911961585951198E-3</v>
      </c>
      <c r="L71" s="3">
        <v>1797033662.95</v>
      </c>
      <c r="M71" s="3">
        <v>2957562.05</v>
      </c>
      <c r="N71" s="7">
        <v>7.2999999999999995E-2</v>
      </c>
      <c r="O71" s="7">
        <v>1E-4</v>
      </c>
    </row>
    <row r="72" spans="1:15" x14ac:dyDescent="0.25">
      <c r="A72" t="s">
        <v>5</v>
      </c>
      <c r="B72" s="1">
        <v>41974</v>
      </c>
      <c r="C72" s="3">
        <v>110015</v>
      </c>
      <c r="D72" s="3">
        <v>25803566156.799999</v>
      </c>
      <c r="E72" s="3">
        <v>216937573.77000001</v>
      </c>
      <c r="F72" s="3">
        <v>701717.69</v>
      </c>
      <c r="G72" s="5">
        <v>8.4072710125313605E-3</v>
      </c>
      <c r="H72" s="5">
        <v>2.7194601154580201E-5</v>
      </c>
      <c r="I72" s="4">
        <v>9.6349999999999998</v>
      </c>
      <c r="J72" s="4">
        <v>3.2599999999999997E-2</v>
      </c>
      <c r="K72" s="7">
        <v>3.61345336157841E-3</v>
      </c>
      <c r="L72" s="3">
        <v>2013971236.72</v>
      </c>
      <c r="M72" s="3">
        <v>3659279.74</v>
      </c>
      <c r="N72" s="7">
        <v>8.1799999999999998E-2</v>
      </c>
      <c r="O72" s="7">
        <v>1E-4</v>
      </c>
    </row>
    <row r="73" spans="1:15" x14ac:dyDescent="0.25">
      <c r="A73" t="s">
        <v>5</v>
      </c>
      <c r="B73" s="1">
        <v>42005</v>
      </c>
      <c r="C73" s="3">
        <v>109248</v>
      </c>
      <c r="D73" s="3">
        <v>25533693163.25</v>
      </c>
      <c r="E73" s="3">
        <v>408537204.06999999</v>
      </c>
      <c r="F73" s="3">
        <v>773623.07</v>
      </c>
      <c r="G73" s="5">
        <v>1.59999261155843E-2</v>
      </c>
      <c r="H73" s="5">
        <v>3.0298126677321201E-5</v>
      </c>
      <c r="I73" s="4">
        <v>17.597200000000001</v>
      </c>
      <c r="J73" s="4">
        <v>3.6299999999999999E-2</v>
      </c>
      <c r="K73" s="7">
        <v>2.8897348095416799E-3</v>
      </c>
      <c r="L73" s="3">
        <v>2422508440.79</v>
      </c>
      <c r="M73" s="3">
        <v>4432902.8099999996</v>
      </c>
      <c r="N73" s="7">
        <v>9.8400000000000001E-2</v>
      </c>
      <c r="O73" s="7">
        <v>1E-4</v>
      </c>
    </row>
    <row r="74" spans="1:15" x14ac:dyDescent="0.25">
      <c r="A74" t="s">
        <v>5</v>
      </c>
      <c r="B74" s="1">
        <v>42036</v>
      </c>
      <c r="C74" s="3">
        <v>107817</v>
      </c>
      <c r="D74" s="3">
        <v>25073337969.040001</v>
      </c>
      <c r="E74" s="3">
        <v>459061248.75999999</v>
      </c>
      <c r="F74" s="3">
        <v>726228</v>
      </c>
      <c r="G74" s="5">
        <v>1.83087409154233E-2</v>
      </c>
      <c r="H74" s="5">
        <v>2.8964153113427901E-5</v>
      </c>
      <c r="I74" s="4">
        <v>19.887699999999999</v>
      </c>
      <c r="J74" s="4">
        <v>3.4700000000000002E-2</v>
      </c>
      <c r="K74" s="7">
        <v>2.89173380183875E-3</v>
      </c>
      <c r="L74" s="3">
        <v>2881569689.5500002</v>
      </c>
      <c r="M74" s="3">
        <v>5159130.8099999996</v>
      </c>
      <c r="N74" s="7">
        <v>0.1171</v>
      </c>
      <c r="O74" s="7">
        <v>2.0000000000000001E-4</v>
      </c>
    </row>
    <row r="75" spans="1:15" x14ac:dyDescent="0.25">
      <c r="A75" t="s">
        <v>5</v>
      </c>
      <c r="B75" s="1">
        <v>42064</v>
      </c>
      <c r="C75" s="3">
        <v>106156</v>
      </c>
      <c r="D75" s="3">
        <v>24561922452.779999</v>
      </c>
      <c r="E75" s="3">
        <v>305794241.72000003</v>
      </c>
      <c r="F75" s="3">
        <v>851866.76</v>
      </c>
      <c r="G75" s="5">
        <v>1.2449931079616601E-2</v>
      </c>
      <c r="H75" s="5">
        <v>3.4682413872028999E-5</v>
      </c>
      <c r="I75" s="4">
        <v>13.9582</v>
      </c>
      <c r="J75" s="4">
        <v>4.1599999999999998E-2</v>
      </c>
      <c r="K75" s="7">
        <v>3.4767765375114E-3</v>
      </c>
      <c r="L75" s="3">
        <v>3187363931.27</v>
      </c>
      <c r="M75" s="3">
        <v>6010997.5700000003</v>
      </c>
      <c r="N75" s="7">
        <v>0.1295</v>
      </c>
      <c r="O75" s="7">
        <v>2.0000000000000001E-4</v>
      </c>
    </row>
    <row r="76" spans="1:15" x14ac:dyDescent="0.25">
      <c r="A76" t="s">
        <v>5</v>
      </c>
      <c r="B76" s="1">
        <v>42095</v>
      </c>
      <c r="C76" s="3">
        <v>104991</v>
      </c>
      <c r="D76" s="3">
        <v>24201903933.830002</v>
      </c>
      <c r="E76" s="3">
        <v>296485141.12</v>
      </c>
      <c r="F76" s="3">
        <v>1062221.53</v>
      </c>
      <c r="G76" s="5">
        <v>1.22504883058215E-2</v>
      </c>
      <c r="H76" s="5">
        <v>4.3889998609373903E-5</v>
      </c>
      <c r="I76" s="4">
        <v>13.7494</v>
      </c>
      <c r="J76" s="4">
        <v>5.2600000000000001E-2</v>
      </c>
      <c r="K76" s="7">
        <v>2.63312904737718E-3</v>
      </c>
      <c r="L76" s="3">
        <v>3483849072.3899999</v>
      </c>
      <c r="M76" s="3">
        <v>7073219.0999999996</v>
      </c>
      <c r="N76" s="7">
        <v>0.14149999999999999</v>
      </c>
      <c r="O76" s="7">
        <v>2.0000000000000001E-4</v>
      </c>
    </row>
    <row r="77" spans="1:15" x14ac:dyDescent="0.25">
      <c r="A77" t="s">
        <v>5</v>
      </c>
      <c r="B77" s="1">
        <v>42125</v>
      </c>
      <c r="C77" s="3">
        <v>103861</v>
      </c>
      <c r="D77" s="3">
        <v>23852978020.849998</v>
      </c>
      <c r="E77" s="3">
        <v>286045284.57999998</v>
      </c>
      <c r="F77" s="3">
        <v>1003683.14</v>
      </c>
      <c r="G77" s="5">
        <v>1.19920156019917E-2</v>
      </c>
      <c r="H77" s="5">
        <v>4.2077896484148598E-5</v>
      </c>
      <c r="I77" s="4">
        <v>13.478199999999999</v>
      </c>
      <c r="J77" s="4">
        <v>5.04E-2</v>
      </c>
      <c r="K77" s="7">
        <v>2.8994875935216798E-3</v>
      </c>
      <c r="L77" s="3">
        <v>3769894356.9699998</v>
      </c>
      <c r="M77" s="3">
        <v>8076902.2400000002</v>
      </c>
      <c r="N77" s="7">
        <v>0.1532</v>
      </c>
      <c r="O77" s="7">
        <v>2.9999999999999997E-4</v>
      </c>
    </row>
    <row r="78" spans="1:15" x14ac:dyDescent="0.25">
      <c r="A78" t="s">
        <v>5</v>
      </c>
      <c r="B78" s="1">
        <v>42156</v>
      </c>
      <c r="C78" s="3">
        <v>102690</v>
      </c>
      <c r="D78" s="3">
        <v>23516001945.110001</v>
      </c>
      <c r="E78" s="3">
        <v>0</v>
      </c>
      <c r="F78" s="3">
        <v>0</v>
      </c>
      <c r="G78" s="5">
        <v>0</v>
      </c>
      <c r="H78" s="5">
        <v>0</v>
      </c>
      <c r="I78" s="4">
        <v>0</v>
      </c>
      <c r="J78" s="4">
        <v>0</v>
      </c>
      <c r="K78" s="7">
        <v>3.4288805643157899E-3</v>
      </c>
      <c r="L78" s="3">
        <v>3769894356.9699998</v>
      </c>
      <c r="M78" s="3">
        <v>8076902.2400000002</v>
      </c>
      <c r="N78" s="8">
        <v>0.1532</v>
      </c>
      <c r="O78" s="8">
        <v>2.9999999999999997E-4</v>
      </c>
    </row>
    <row r="79" spans="1:15" x14ac:dyDescent="0.25">
      <c r="A79" t="s">
        <v>6</v>
      </c>
      <c r="B79" s="1">
        <v>41852</v>
      </c>
      <c r="C79" s="3">
        <v>87222</v>
      </c>
      <c r="D79" s="3">
        <v>19673327276.75</v>
      </c>
      <c r="E79" s="3">
        <v>677671924.90999997</v>
      </c>
      <c r="F79" s="3">
        <v>0</v>
      </c>
      <c r="G79" s="5">
        <v>3.4446228407478102E-2</v>
      </c>
      <c r="H79" s="5">
        <v>0</v>
      </c>
      <c r="I79" s="4">
        <v>34.337400000000002</v>
      </c>
      <c r="J79" s="4">
        <v>0</v>
      </c>
      <c r="K79" s="7">
        <v>1.8750273449471E-3</v>
      </c>
      <c r="L79" s="3">
        <v>677671924.90999997</v>
      </c>
      <c r="M79" s="3">
        <v>0</v>
      </c>
      <c r="N79" s="7">
        <v>4.3799999999999999E-2</v>
      </c>
      <c r="O79" s="7">
        <v>0</v>
      </c>
    </row>
    <row r="80" spans="1:15" x14ac:dyDescent="0.25">
      <c r="A80" t="s">
        <v>6</v>
      </c>
      <c r="B80" s="1">
        <v>41883</v>
      </c>
      <c r="C80" s="3">
        <v>84869</v>
      </c>
      <c r="D80" s="3">
        <v>18959026495.110001</v>
      </c>
      <c r="E80" s="3">
        <v>222319195.37</v>
      </c>
      <c r="F80" s="3">
        <v>0</v>
      </c>
      <c r="G80" s="5">
        <v>1.17262980473887E-2</v>
      </c>
      <c r="H80" s="5">
        <v>0</v>
      </c>
      <c r="I80" s="4">
        <v>13.198499999999999</v>
      </c>
      <c r="J80" s="4">
        <v>0</v>
      </c>
      <c r="K80" s="7">
        <v>2.18480727059924E-3</v>
      </c>
      <c r="L80" s="3">
        <v>899991120.27999997</v>
      </c>
      <c r="M80" s="3">
        <v>0</v>
      </c>
      <c r="N80" s="7">
        <v>5.8099999999999999E-2</v>
      </c>
      <c r="O80" s="7">
        <v>0</v>
      </c>
    </row>
    <row r="81" spans="1:15" x14ac:dyDescent="0.25">
      <c r="A81" t="s">
        <v>6</v>
      </c>
      <c r="B81" s="1">
        <v>41913</v>
      </c>
      <c r="C81" s="3">
        <v>84088</v>
      </c>
      <c r="D81" s="3">
        <v>18700722950.959999</v>
      </c>
      <c r="E81" s="3">
        <v>393046541.18000001</v>
      </c>
      <c r="F81" s="3">
        <v>0</v>
      </c>
      <c r="G81" s="5">
        <v>2.1017719058814398E-2</v>
      </c>
      <c r="H81" s="5">
        <v>0</v>
      </c>
      <c r="I81" s="4">
        <v>22.500599999999999</v>
      </c>
      <c r="J81" s="4">
        <v>0</v>
      </c>
      <c r="K81" s="7">
        <v>2.5633474783678901E-3</v>
      </c>
      <c r="L81" s="3">
        <v>1293037661.46</v>
      </c>
      <c r="M81" s="3">
        <v>0</v>
      </c>
      <c r="N81" s="7">
        <v>8.3599999999999994E-2</v>
      </c>
      <c r="O81" s="7">
        <v>0</v>
      </c>
    </row>
    <row r="82" spans="1:15" x14ac:dyDescent="0.25">
      <c r="A82" t="s">
        <v>6</v>
      </c>
      <c r="B82" s="1">
        <v>41944</v>
      </c>
      <c r="C82" s="3">
        <v>82804</v>
      </c>
      <c r="D82" s="3">
        <v>18273757066.580002</v>
      </c>
      <c r="E82" s="3">
        <v>384470660.99000001</v>
      </c>
      <c r="F82" s="3">
        <v>651418.92000000004</v>
      </c>
      <c r="G82" s="5">
        <v>2.1039497219383502E-2</v>
      </c>
      <c r="H82" s="5">
        <v>3.5647782644070902E-5</v>
      </c>
      <c r="I82" s="4">
        <v>22.5213</v>
      </c>
      <c r="J82" s="4">
        <v>4.2700000000000002E-2</v>
      </c>
      <c r="K82" s="7">
        <v>2.5782310018865502E-3</v>
      </c>
      <c r="L82" s="3">
        <v>1677508322.45</v>
      </c>
      <c r="M82" s="3">
        <v>651418.92000000004</v>
      </c>
      <c r="N82" s="7">
        <v>0.1084</v>
      </c>
      <c r="O82" s="7">
        <v>0</v>
      </c>
    </row>
    <row r="83" spans="1:15" x14ac:dyDescent="0.25">
      <c r="A83" t="s">
        <v>6</v>
      </c>
      <c r="B83" s="1">
        <v>41974</v>
      </c>
      <c r="C83" s="3">
        <v>81501</v>
      </c>
      <c r="D83" s="3">
        <v>17854723101.439999</v>
      </c>
      <c r="E83" s="3">
        <v>318244031.63</v>
      </c>
      <c r="F83" s="3">
        <v>0</v>
      </c>
      <c r="G83" s="5">
        <v>1.7824081046898602E-2</v>
      </c>
      <c r="H83" s="5">
        <v>0</v>
      </c>
      <c r="I83" s="4">
        <v>19.411799999999999</v>
      </c>
      <c r="J83" s="4">
        <v>0</v>
      </c>
      <c r="K83" s="7">
        <v>4.1618114863963898E-3</v>
      </c>
      <c r="L83" s="3">
        <v>1995752354.0799999</v>
      </c>
      <c r="M83" s="3">
        <v>651418.92000000004</v>
      </c>
      <c r="N83" s="7">
        <v>0.129</v>
      </c>
      <c r="O83" s="7">
        <v>0</v>
      </c>
    </row>
    <row r="84" spans="1:15" x14ac:dyDescent="0.25">
      <c r="A84" t="s">
        <v>6</v>
      </c>
      <c r="B84" s="1">
        <v>42005</v>
      </c>
      <c r="C84" s="3">
        <v>80430</v>
      </c>
      <c r="D84" s="3">
        <v>17502640487.57</v>
      </c>
      <c r="E84" s="3">
        <v>664625808.39999998</v>
      </c>
      <c r="F84" s="3">
        <v>599297.27</v>
      </c>
      <c r="G84" s="5">
        <v>3.79728880834867E-2</v>
      </c>
      <c r="H84" s="5">
        <v>3.4240391924041802E-5</v>
      </c>
      <c r="I84" s="4">
        <v>37.158299999999997</v>
      </c>
      <c r="J84" s="4">
        <v>4.1000000000000002E-2</v>
      </c>
      <c r="K84" s="7">
        <v>3.69019871178118E-3</v>
      </c>
      <c r="L84" s="3">
        <v>2660378162.48</v>
      </c>
      <c r="M84" s="3">
        <v>1250716.19</v>
      </c>
      <c r="N84" s="7">
        <v>0.17199999999999999</v>
      </c>
      <c r="O84" s="7">
        <v>0</v>
      </c>
    </row>
    <row r="85" spans="1:15" x14ac:dyDescent="0.25">
      <c r="A85" t="s">
        <v>6</v>
      </c>
      <c r="B85" s="1">
        <v>42036</v>
      </c>
      <c r="C85" s="3">
        <v>78205</v>
      </c>
      <c r="D85" s="3">
        <v>16806094470.57</v>
      </c>
      <c r="E85" s="3">
        <v>674827471.32000005</v>
      </c>
      <c r="F85" s="3">
        <v>645947.04</v>
      </c>
      <c r="G85" s="5">
        <v>4.0153735450060901E-2</v>
      </c>
      <c r="H85" s="5">
        <v>3.84352855525803E-5</v>
      </c>
      <c r="I85" s="4">
        <v>38.846600000000002</v>
      </c>
      <c r="J85" s="4">
        <v>4.6100000000000002E-2</v>
      </c>
      <c r="K85" s="7">
        <v>3.9045994484270099E-3</v>
      </c>
      <c r="L85" s="3">
        <v>3335205633.8000002</v>
      </c>
      <c r="M85" s="3">
        <v>1896663.23</v>
      </c>
      <c r="N85" s="7">
        <v>0.21560000000000001</v>
      </c>
      <c r="O85" s="7">
        <v>1E-4</v>
      </c>
    </row>
    <row r="86" spans="1:15" x14ac:dyDescent="0.25">
      <c r="A86" t="s">
        <v>6</v>
      </c>
      <c r="B86" s="1">
        <v>42064</v>
      </c>
      <c r="C86" s="3">
        <v>75849</v>
      </c>
      <c r="D86" s="3">
        <v>16098208030.52</v>
      </c>
      <c r="E86" s="3">
        <v>424337416.35000002</v>
      </c>
      <c r="F86" s="3">
        <v>1299799</v>
      </c>
      <c r="G86" s="5">
        <v>2.63592951181593E-2</v>
      </c>
      <c r="H86" s="5">
        <v>8.0741843908077105E-5</v>
      </c>
      <c r="I86" s="4">
        <v>27.4253</v>
      </c>
      <c r="J86" s="4">
        <v>9.6799999999999997E-2</v>
      </c>
      <c r="K86" s="7">
        <v>4.9454945394582697E-3</v>
      </c>
      <c r="L86" s="3">
        <v>3759543050.1500001</v>
      </c>
      <c r="M86" s="3">
        <v>3196462.23</v>
      </c>
      <c r="N86" s="7">
        <v>0.24299999999999999</v>
      </c>
      <c r="O86" s="7">
        <v>2.0000000000000001E-4</v>
      </c>
    </row>
    <row r="87" spans="1:15" x14ac:dyDescent="0.25">
      <c r="A87" t="s">
        <v>6</v>
      </c>
      <c r="B87" s="1">
        <v>42095</v>
      </c>
      <c r="C87" s="3">
        <v>74283</v>
      </c>
      <c r="D87" s="3">
        <v>15638257078.51</v>
      </c>
      <c r="E87" s="3">
        <v>369147435.13</v>
      </c>
      <c r="F87" s="3">
        <v>778404.67</v>
      </c>
      <c r="G87" s="5">
        <v>2.3605407768700699E-2</v>
      </c>
      <c r="H87" s="5">
        <v>4.9775666565149299E-5</v>
      </c>
      <c r="I87" s="4">
        <v>24.923400000000001</v>
      </c>
      <c r="J87" s="4">
        <v>5.9700000000000003E-2</v>
      </c>
      <c r="K87" s="7">
        <v>4.09348673887507E-3</v>
      </c>
      <c r="L87" s="3">
        <v>4128690485.2800002</v>
      </c>
      <c r="M87" s="3">
        <v>3974866.9</v>
      </c>
      <c r="N87" s="7">
        <v>0.26690000000000003</v>
      </c>
      <c r="O87" s="7">
        <v>2.0000000000000001E-4</v>
      </c>
    </row>
    <row r="88" spans="1:15" x14ac:dyDescent="0.25">
      <c r="A88" t="s">
        <v>6</v>
      </c>
      <c r="B88" s="1">
        <v>42125</v>
      </c>
      <c r="C88" s="3">
        <v>72925</v>
      </c>
      <c r="D88" s="3">
        <v>15236316428.049999</v>
      </c>
      <c r="E88" s="3">
        <v>301958316.39999998</v>
      </c>
      <c r="F88" s="3">
        <v>1387142.57</v>
      </c>
      <c r="G88" s="5">
        <v>1.9818327994560101E-2</v>
      </c>
      <c r="H88" s="5">
        <v>9.1041858873859794E-5</v>
      </c>
      <c r="I88" s="4">
        <v>21.3535</v>
      </c>
      <c r="J88" s="4">
        <v>0.1091</v>
      </c>
      <c r="K88" s="7">
        <v>4.1318942079793201E-3</v>
      </c>
      <c r="L88" s="3">
        <v>4430648801.6800003</v>
      </c>
      <c r="M88" s="3">
        <v>5362009.47</v>
      </c>
      <c r="N88" s="7">
        <v>0.28639999999999999</v>
      </c>
      <c r="O88" s="7">
        <v>2.9999999999999997E-4</v>
      </c>
    </row>
    <row r="89" spans="1:15" x14ac:dyDescent="0.25">
      <c r="A89" t="s">
        <v>6</v>
      </c>
      <c r="B89" s="1">
        <v>42156</v>
      </c>
      <c r="C89" s="3">
        <v>71708</v>
      </c>
      <c r="D89" s="3">
        <v>14903591509.59</v>
      </c>
      <c r="E89" s="3">
        <v>0</v>
      </c>
      <c r="F89" s="3">
        <v>0</v>
      </c>
      <c r="G89" s="5">
        <v>0</v>
      </c>
      <c r="H89" s="5">
        <v>0</v>
      </c>
      <c r="I89" s="4">
        <v>0</v>
      </c>
      <c r="J89" s="4">
        <v>0</v>
      </c>
      <c r="K89" s="7">
        <v>5.3233273851439897E-3</v>
      </c>
      <c r="L89" s="3">
        <v>4430648801.6800003</v>
      </c>
      <c r="M89" s="3">
        <v>5362009.47</v>
      </c>
      <c r="N89" s="8">
        <v>0.28639999999999999</v>
      </c>
      <c r="O89" s="8">
        <v>2.9999999999999997E-4</v>
      </c>
    </row>
    <row r="90" spans="1:15" x14ac:dyDescent="0.25">
      <c r="A90" t="s">
        <v>7</v>
      </c>
      <c r="B90" s="1">
        <v>41883</v>
      </c>
      <c r="C90" s="3">
        <v>69780</v>
      </c>
      <c r="D90" s="3">
        <v>15740708858.99</v>
      </c>
      <c r="E90" s="3">
        <v>186342944.30000001</v>
      </c>
      <c r="F90" s="3">
        <v>0</v>
      </c>
      <c r="G90" s="5">
        <v>1.1838281615479699E-2</v>
      </c>
      <c r="H90" s="5">
        <v>0</v>
      </c>
      <c r="I90" s="4">
        <v>13.3165</v>
      </c>
      <c r="J90" s="4">
        <v>0</v>
      </c>
      <c r="K90" s="7">
        <v>0</v>
      </c>
      <c r="L90" s="3">
        <v>186342944.30000001</v>
      </c>
      <c r="M90" s="3">
        <v>0</v>
      </c>
      <c r="N90" s="7">
        <v>1.46E-2</v>
      </c>
      <c r="O90" s="7">
        <v>0</v>
      </c>
    </row>
    <row r="91" spans="1:15" x14ac:dyDescent="0.25">
      <c r="A91" t="s">
        <v>7</v>
      </c>
      <c r="B91" s="1">
        <v>41913</v>
      </c>
      <c r="C91" s="3">
        <v>69127</v>
      </c>
      <c r="D91" s="3">
        <v>15522385738.57</v>
      </c>
      <c r="E91" s="3">
        <v>322326176.44</v>
      </c>
      <c r="F91" s="3">
        <v>0</v>
      </c>
      <c r="G91" s="5">
        <v>2.07652471642348E-2</v>
      </c>
      <c r="H91" s="5">
        <v>0</v>
      </c>
      <c r="I91" s="4">
        <v>22.260400000000001</v>
      </c>
      <c r="J91" s="4">
        <v>0</v>
      </c>
      <c r="K91" s="7">
        <v>1.9170658184365799E-3</v>
      </c>
      <c r="L91" s="3">
        <v>508669120.74000001</v>
      </c>
      <c r="M91" s="3">
        <v>0</v>
      </c>
      <c r="N91" s="7">
        <v>3.9800000000000002E-2</v>
      </c>
      <c r="O91" s="7">
        <v>0</v>
      </c>
    </row>
    <row r="92" spans="1:15" x14ac:dyDescent="0.25">
      <c r="A92" t="s">
        <v>7</v>
      </c>
      <c r="B92" s="1">
        <v>41944</v>
      </c>
      <c r="C92" s="3">
        <v>68132</v>
      </c>
      <c r="D92" s="3">
        <v>15171194093.5</v>
      </c>
      <c r="E92" s="3">
        <v>305028267.93000001</v>
      </c>
      <c r="F92" s="3">
        <v>0</v>
      </c>
      <c r="G92" s="5">
        <v>2.0105752128020501E-2</v>
      </c>
      <c r="H92" s="5">
        <v>0</v>
      </c>
      <c r="I92" s="4">
        <v>21.629799999999999</v>
      </c>
      <c r="J92" s="4">
        <v>0</v>
      </c>
      <c r="K92" s="7">
        <v>1.7382168099278599E-3</v>
      </c>
      <c r="L92" s="3">
        <v>813697388.66999996</v>
      </c>
      <c r="M92" s="3">
        <v>0</v>
      </c>
      <c r="N92" s="7">
        <v>6.3700000000000007E-2</v>
      </c>
      <c r="O92" s="7">
        <v>0</v>
      </c>
    </row>
    <row r="93" spans="1:15" x14ac:dyDescent="0.25">
      <c r="A93" t="s">
        <v>7</v>
      </c>
      <c r="B93" s="1">
        <v>41974</v>
      </c>
      <c r="C93" s="3">
        <v>67165</v>
      </c>
      <c r="D93" s="3">
        <v>14838043875</v>
      </c>
      <c r="E93" s="3">
        <v>288666454.70999998</v>
      </c>
      <c r="F93" s="3">
        <v>0</v>
      </c>
      <c r="G93" s="5">
        <v>1.9454481813223502E-2</v>
      </c>
      <c r="H93" s="5">
        <v>0</v>
      </c>
      <c r="I93" s="4">
        <v>21.002500000000001</v>
      </c>
      <c r="J93" s="4">
        <v>0</v>
      </c>
      <c r="K93" s="7">
        <v>3.5413995458346702E-3</v>
      </c>
      <c r="L93" s="3">
        <v>1102363843.3800001</v>
      </c>
      <c r="M93" s="3">
        <v>0</v>
      </c>
      <c r="N93" s="7">
        <v>8.6300000000000002E-2</v>
      </c>
      <c r="O93" s="7">
        <v>0</v>
      </c>
    </row>
    <row r="94" spans="1:15" x14ac:dyDescent="0.25">
      <c r="A94" t="s">
        <v>7</v>
      </c>
      <c r="B94" s="1">
        <v>42005</v>
      </c>
      <c r="C94" s="3">
        <v>66213</v>
      </c>
      <c r="D94" s="3">
        <v>14519089510.52</v>
      </c>
      <c r="E94" s="3">
        <v>521738928.94999999</v>
      </c>
      <c r="F94" s="3">
        <v>0</v>
      </c>
      <c r="G94" s="5">
        <v>3.5934686439667303E-2</v>
      </c>
      <c r="H94" s="5">
        <v>0</v>
      </c>
      <c r="I94" s="4">
        <v>35.541899999999998</v>
      </c>
      <c r="J94" s="4">
        <v>0</v>
      </c>
      <c r="K94" s="7">
        <v>2.7748621000516899E-3</v>
      </c>
      <c r="L94" s="3">
        <v>1624102772.3299999</v>
      </c>
      <c r="M94" s="3">
        <v>0</v>
      </c>
      <c r="N94" s="7">
        <v>0.12720000000000001</v>
      </c>
      <c r="O94" s="7">
        <v>0</v>
      </c>
    </row>
    <row r="95" spans="1:15" x14ac:dyDescent="0.25">
      <c r="A95" t="s">
        <v>7</v>
      </c>
      <c r="B95" s="1">
        <v>42036</v>
      </c>
      <c r="C95" s="3">
        <v>64470</v>
      </c>
      <c r="D95" s="3">
        <v>13971658579.58</v>
      </c>
      <c r="E95" s="3">
        <v>610942869.85000002</v>
      </c>
      <c r="F95" s="3">
        <v>222479.34</v>
      </c>
      <c r="G95" s="5">
        <v>4.3727297397812899E-2</v>
      </c>
      <c r="H95" s="5">
        <v>1.5923616994560701E-5</v>
      </c>
      <c r="I95" s="4">
        <v>41.523499999999999</v>
      </c>
      <c r="J95" s="4">
        <v>1.9099999999999999E-2</v>
      </c>
      <c r="K95" s="7">
        <v>3.0916978033754998E-3</v>
      </c>
      <c r="L95" s="3">
        <v>2235045642.1799998</v>
      </c>
      <c r="M95" s="3">
        <v>222479.34</v>
      </c>
      <c r="N95" s="7">
        <v>0.17510000000000001</v>
      </c>
      <c r="O95" s="7">
        <v>0</v>
      </c>
    </row>
    <row r="96" spans="1:15" x14ac:dyDescent="0.25">
      <c r="A96" t="s">
        <v>7</v>
      </c>
      <c r="B96" s="1">
        <v>42064</v>
      </c>
      <c r="C96" s="3">
        <v>62417</v>
      </c>
      <c r="D96" s="3">
        <v>13334670468.51</v>
      </c>
      <c r="E96" s="3">
        <v>346591293.42000002</v>
      </c>
      <c r="F96" s="3">
        <v>0</v>
      </c>
      <c r="G96" s="5">
        <v>2.59917404212184E-2</v>
      </c>
      <c r="H96" s="5">
        <v>0</v>
      </c>
      <c r="I96" s="4">
        <v>27.0959</v>
      </c>
      <c r="J96" s="4">
        <v>0</v>
      </c>
      <c r="K96" s="7">
        <v>4.2376432266131598E-3</v>
      </c>
      <c r="L96" s="3">
        <v>2581636935.5999999</v>
      </c>
      <c r="M96" s="3">
        <v>222479.34</v>
      </c>
      <c r="N96" s="7">
        <v>0.20230000000000001</v>
      </c>
      <c r="O96" s="7">
        <v>0</v>
      </c>
    </row>
    <row r="97" spans="1:15" x14ac:dyDescent="0.25">
      <c r="A97" t="s">
        <v>7</v>
      </c>
      <c r="B97" s="1">
        <v>42095</v>
      </c>
      <c r="C97" s="3">
        <v>61190</v>
      </c>
      <c r="D97" s="3">
        <v>12960092254.6</v>
      </c>
      <c r="E97" s="3">
        <v>286518217.10000002</v>
      </c>
      <c r="F97" s="3">
        <v>738752.75</v>
      </c>
      <c r="G97" s="5">
        <v>2.2107729750018099E-2</v>
      </c>
      <c r="H97" s="5">
        <v>5.7002121241674802E-5</v>
      </c>
      <c r="I97" s="4">
        <v>23.529800000000002</v>
      </c>
      <c r="J97" s="4">
        <v>6.83E-2</v>
      </c>
      <c r="K97" s="7">
        <v>3.5782370579607601E-3</v>
      </c>
      <c r="L97" s="3">
        <v>2868155152.6999998</v>
      </c>
      <c r="M97" s="3">
        <v>961232.09</v>
      </c>
      <c r="N97" s="7">
        <v>0.22470000000000001</v>
      </c>
      <c r="O97" s="7">
        <v>0</v>
      </c>
    </row>
    <row r="98" spans="1:15" x14ac:dyDescent="0.25">
      <c r="A98" t="s">
        <v>7</v>
      </c>
      <c r="B98" s="1">
        <v>42125</v>
      </c>
      <c r="C98" s="3">
        <v>60127</v>
      </c>
      <c r="D98" s="3">
        <v>12647606750.530001</v>
      </c>
      <c r="E98" s="3">
        <v>267435898.34</v>
      </c>
      <c r="F98" s="3">
        <v>54403.1</v>
      </c>
      <c r="G98" s="5">
        <v>2.1145178183911501E-2</v>
      </c>
      <c r="H98" s="5">
        <v>4.3014541069376803E-6</v>
      </c>
      <c r="I98" s="4">
        <v>22.621600000000001</v>
      </c>
      <c r="J98" s="4">
        <v>5.1000000000000004E-3</v>
      </c>
      <c r="K98" s="7">
        <v>3.9062777689486301E-3</v>
      </c>
      <c r="L98" s="3">
        <v>3135591051.04</v>
      </c>
      <c r="M98" s="3">
        <v>1015635.19</v>
      </c>
      <c r="N98" s="7">
        <v>0.2457</v>
      </c>
      <c r="O98" s="7">
        <v>0</v>
      </c>
    </row>
    <row r="99" spans="1:15" x14ac:dyDescent="0.25">
      <c r="A99" t="s">
        <v>7</v>
      </c>
      <c r="B99" s="1">
        <v>42156</v>
      </c>
      <c r="C99" s="3">
        <v>59082</v>
      </c>
      <c r="D99" s="3">
        <v>12356174994.129999</v>
      </c>
      <c r="E99" s="3">
        <v>0</v>
      </c>
      <c r="F99" s="3">
        <v>0</v>
      </c>
      <c r="G99" s="5">
        <v>0</v>
      </c>
      <c r="H99" s="5">
        <v>0</v>
      </c>
      <c r="I99" s="4">
        <v>0</v>
      </c>
      <c r="J99" s="4">
        <v>0</v>
      </c>
      <c r="K99" s="7">
        <v>4.7030986431971997E-3</v>
      </c>
      <c r="L99" s="3">
        <v>3135591051.04</v>
      </c>
      <c r="M99" s="3">
        <v>1015635.19</v>
      </c>
      <c r="N99" s="8">
        <v>0.2457</v>
      </c>
      <c r="O99" s="8">
        <v>0</v>
      </c>
    </row>
    <row r="100" spans="1:15" x14ac:dyDescent="0.25">
      <c r="A100" t="s">
        <v>8</v>
      </c>
      <c r="B100" s="1">
        <v>41852</v>
      </c>
      <c r="C100" s="3">
        <v>45112</v>
      </c>
      <c r="D100" s="3">
        <v>9940429900.0400009</v>
      </c>
      <c r="E100" s="3">
        <v>255498541.15000001</v>
      </c>
      <c r="F100" s="3">
        <v>0</v>
      </c>
      <c r="G100" s="5">
        <v>2.5702966946024301E-2</v>
      </c>
      <c r="H100" s="5">
        <v>0</v>
      </c>
      <c r="I100" s="4">
        <v>26.836099999999998</v>
      </c>
      <c r="J100" s="4">
        <v>0</v>
      </c>
      <c r="K100" s="7">
        <v>1.77747015749579E-3</v>
      </c>
      <c r="L100" s="3">
        <v>255498541.15000001</v>
      </c>
      <c r="M100" s="3">
        <v>0</v>
      </c>
      <c r="N100" s="7">
        <v>3.1199999999999999E-2</v>
      </c>
      <c r="O100" s="7">
        <v>0</v>
      </c>
    </row>
    <row r="101" spans="1:15" x14ac:dyDescent="0.25">
      <c r="A101" t="s">
        <v>8</v>
      </c>
      <c r="B101" s="1">
        <v>41883</v>
      </c>
      <c r="C101" s="3">
        <v>44147</v>
      </c>
      <c r="D101" s="3">
        <v>9668617060.4899998</v>
      </c>
      <c r="E101" s="3">
        <v>96526009.129999995</v>
      </c>
      <c r="F101" s="3">
        <v>0</v>
      </c>
      <c r="G101" s="5">
        <v>9.9834349138146605E-3</v>
      </c>
      <c r="H101" s="5">
        <v>0</v>
      </c>
      <c r="I101" s="4">
        <v>11.3437</v>
      </c>
      <c r="J101" s="4">
        <v>0</v>
      </c>
      <c r="K101" s="7">
        <v>2.6546245827528099E-3</v>
      </c>
      <c r="L101" s="3">
        <v>352024550.27999997</v>
      </c>
      <c r="M101" s="3">
        <v>0</v>
      </c>
      <c r="N101" s="7">
        <v>4.2999999999999997E-2</v>
      </c>
      <c r="O101" s="7">
        <v>0</v>
      </c>
    </row>
    <row r="102" spans="1:15" x14ac:dyDescent="0.25">
      <c r="A102" t="s">
        <v>8</v>
      </c>
      <c r="B102" s="1">
        <v>41913</v>
      </c>
      <c r="C102" s="3">
        <v>43762</v>
      </c>
      <c r="D102" s="3">
        <v>9556067688.0200005</v>
      </c>
      <c r="E102" s="3">
        <v>153869136.05000001</v>
      </c>
      <c r="F102" s="3">
        <v>0</v>
      </c>
      <c r="G102" s="5">
        <v>1.6101721029341199E-2</v>
      </c>
      <c r="H102" s="5">
        <v>0</v>
      </c>
      <c r="I102" s="4">
        <v>17.6995</v>
      </c>
      <c r="J102" s="4">
        <v>0</v>
      </c>
      <c r="K102" s="7">
        <v>3.07291430520249E-3</v>
      </c>
      <c r="L102" s="3">
        <v>505893686.32999998</v>
      </c>
      <c r="M102" s="3">
        <v>0</v>
      </c>
      <c r="N102" s="7">
        <v>6.1800000000000001E-2</v>
      </c>
      <c r="O102" s="7">
        <v>0</v>
      </c>
    </row>
    <row r="103" spans="1:15" x14ac:dyDescent="0.25">
      <c r="A103" t="s">
        <v>8</v>
      </c>
      <c r="B103" s="1">
        <v>41944</v>
      </c>
      <c r="C103" s="3">
        <v>43202</v>
      </c>
      <c r="D103" s="3">
        <v>9385514861.4400005</v>
      </c>
      <c r="E103" s="3">
        <v>156498005.96000001</v>
      </c>
      <c r="F103" s="3">
        <v>337571.16</v>
      </c>
      <c r="G103" s="5">
        <v>1.6674418853990101E-2</v>
      </c>
      <c r="H103" s="5">
        <v>3.5967250063914599E-5</v>
      </c>
      <c r="I103" s="4">
        <v>18.272500000000001</v>
      </c>
      <c r="J103" s="4">
        <v>4.3099999999999999E-2</v>
      </c>
      <c r="K103" s="7">
        <v>3.5378818839678899E-3</v>
      </c>
      <c r="L103" s="3">
        <v>662391692.28999996</v>
      </c>
      <c r="M103" s="3">
        <v>337571.16</v>
      </c>
      <c r="N103" s="7">
        <v>8.09E-2</v>
      </c>
      <c r="O103" s="7">
        <v>0</v>
      </c>
    </row>
    <row r="104" spans="1:15" x14ac:dyDescent="0.25">
      <c r="A104" t="s">
        <v>8</v>
      </c>
      <c r="B104" s="1">
        <v>41974</v>
      </c>
      <c r="C104" s="3">
        <v>42618</v>
      </c>
      <c r="D104" s="3">
        <v>9212632603.0100002</v>
      </c>
      <c r="E104" s="3">
        <v>129260813.67</v>
      </c>
      <c r="F104" s="3">
        <v>1497510.51</v>
      </c>
      <c r="G104" s="5">
        <v>1.40308225932907E-2</v>
      </c>
      <c r="H104" s="5">
        <v>1.6254968308523701E-4</v>
      </c>
      <c r="I104" s="4">
        <v>15.596500000000001</v>
      </c>
      <c r="J104" s="4">
        <v>0.1948</v>
      </c>
      <c r="K104" s="7">
        <v>5.1635036194168701E-3</v>
      </c>
      <c r="L104" s="3">
        <v>791652505.96000004</v>
      </c>
      <c r="M104" s="3">
        <v>1835081.67</v>
      </c>
      <c r="N104" s="7">
        <v>9.6699999999999994E-2</v>
      </c>
      <c r="O104" s="7">
        <v>2.0000000000000001E-4</v>
      </c>
    </row>
    <row r="105" spans="1:15" x14ac:dyDescent="0.25">
      <c r="A105" t="s">
        <v>8</v>
      </c>
      <c r="B105" s="1">
        <v>42005</v>
      </c>
      <c r="C105" s="3">
        <v>42132</v>
      </c>
      <c r="D105" s="3">
        <v>9066975658.4200001</v>
      </c>
      <c r="E105" s="3">
        <v>269712527.51999998</v>
      </c>
      <c r="F105" s="3">
        <v>0</v>
      </c>
      <c r="G105" s="5">
        <v>2.9746691474740201E-2</v>
      </c>
      <c r="H105" s="5">
        <v>0</v>
      </c>
      <c r="I105" s="4">
        <v>30.398</v>
      </c>
      <c r="J105" s="4">
        <v>0</v>
      </c>
      <c r="K105" s="7">
        <v>4.2606312132453398E-3</v>
      </c>
      <c r="L105" s="3">
        <v>1061365033.48</v>
      </c>
      <c r="M105" s="3">
        <v>1835081.67</v>
      </c>
      <c r="N105" s="7">
        <v>0.12970000000000001</v>
      </c>
      <c r="O105" s="7">
        <v>2.0000000000000001E-4</v>
      </c>
    </row>
    <row r="106" spans="1:15" x14ac:dyDescent="0.25">
      <c r="A106" t="s">
        <v>8</v>
      </c>
      <c r="B106" s="1">
        <v>42036</v>
      </c>
      <c r="C106" s="3">
        <v>41141</v>
      </c>
      <c r="D106" s="3">
        <v>8782262327.0300007</v>
      </c>
      <c r="E106" s="3">
        <v>292801159.38</v>
      </c>
      <c r="F106" s="3">
        <v>793770.14</v>
      </c>
      <c r="G106" s="5">
        <v>3.3340060735696501E-2</v>
      </c>
      <c r="H106" s="5">
        <v>9.0383332954760203E-5</v>
      </c>
      <c r="I106" s="4">
        <v>33.429000000000002</v>
      </c>
      <c r="J106" s="4">
        <v>0.1084</v>
      </c>
      <c r="K106" s="7">
        <v>5.3237138676784897E-3</v>
      </c>
      <c r="L106" s="3">
        <v>1354166192.8599999</v>
      </c>
      <c r="M106" s="3">
        <v>2628851.81</v>
      </c>
      <c r="N106" s="7">
        <v>0.16539999999999999</v>
      </c>
      <c r="O106" s="7">
        <v>2.9999999999999997E-4</v>
      </c>
    </row>
    <row r="107" spans="1:15" x14ac:dyDescent="0.25">
      <c r="A107" t="s">
        <v>8</v>
      </c>
      <c r="B107" s="1">
        <v>42064</v>
      </c>
      <c r="C107" s="3">
        <v>40029</v>
      </c>
      <c r="D107" s="3">
        <v>8474595278.0200005</v>
      </c>
      <c r="E107" s="3">
        <v>176721009.63999999</v>
      </c>
      <c r="F107" s="3">
        <v>1277554.23</v>
      </c>
      <c r="G107" s="5">
        <v>2.0853032368206299E-2</v>
      </c>
      <c r="H107" s="5">
        <v>1.50751061034561E-4</v>
      </c>
      <c r="I107" s="4">
        <v>22.344000000000001</v>
      </c>
      <c r="J107" s="4">
        <v>0.1807</v>
      </c>
      <c r="K107" s="7">
        <v>5.8858695835742603E-3</v>
      </c>
      <c r="L107" s="3">
        <v>1530887202.5</v>
      </c>
      <c r="M107" s="3">
        <v>3906406.04</v>
      </c>
      <c r="N107" s="7">
        <v>0.187</v>
      </c>
      <c r="O107" s="7">
        <v>4.0000000000000002E-4</v>
      </c>
    </row>
    <row r="108" spans="1:15" x14ac:dyDescent="0.25">
      <c r="A108" t="s">
        <v>8</v>
      </c>
      <c r="B108" s="1">
        <v>42095</v>
      </c>
      <c r="C108" s="3">
        <v>39324</v>
      </c>
      <c r="D108" s="3">
        <v>8281394201.75</v>
      </c>
      <c r="E108" s="3">
        <v>169304692.94999999</v>
      </c>
      <c r="F108" s="3">
        <v>1580228.66</v>
      </c>
      <c r="G108" s="5">
        <v>2.0443984288807601E-2</v>
      </c>
      <c r="H108" s="5">
        <v>1.90816741903926E-4</v>
      </c>
      <c r="I108" s="4">
        <v>21.953800000000001</v>
      </c>
      <c r="J108" s="4">
        <v>0.22869999999999999</v>
      </c>
      <c r="K108" s="7">
        <v>4.2740795025214898E-3</v>
      </c>
      <c r="L108" s="3">
        <v>1700191895.45</v>
      </c>
      <c r="M108" s="3">
        <v>5486634.7000000002</v>
      </c>
      <c r="N108" s="7">
        <v>0.2077</v>
      </c>
      <c r="O108" s="7">
        <v>5.9999999999999995E-4</v>
      </c>
    </row>
    <row r="109" spans="1:15" x14ac:dyDescent="0.25">
      <c r="A109" t="s">
        <v>8</v>
      </c>
      <c r="B109" s="1">
        <v>42125</v>
      </c>
      <c r="C109" s="3">
        <v>38647</v>
      </c>
      <c r="D109" s="3">
        <v>8096216510.6300001</v>
      </c>
      <c r="E109" s="3">
        <v>162666105.31999999</v>
      </c>
      <c r="F109" s="3">
        <v>438173.31</v>
      </c>
      <c r="G109" s="5">
        <v>2.0091619969207299E-2</v>
      </c>
      <c r="H109" s="5">
        <v>5.4120750034870702E-5</v>
      </c>
      <c r="I109" s="4">
        <v>21.616299999999999</v>
      </c>
      <c r="J109" s="4">
        <v>6.4899999999999999E-2</v>
      </c>
      <c r="K109" s="7">
        <v>5.1322419447953497E-3</v>
      </c>
      <c r="L109" s="3">
        <v>1862858000.77</v>
      </c>
      <c r="M109" s="3">
        <v>5924808.0099999998</v>
      </c>
      <c r="N109" s="7">
        <v>0.2276</v>
      </c>
      <c r="O109" s="7">
        <v>6.9999999999999999E-4</v>
      </c>
    </row>
    <row r="110" spans="1:15" x14ac:dyDescent="0.25">
      <c r="A110" t="s">
        <v>8</v>
      </c>
      <c r="B110" s="1">
        <v>42156</v>
      </c>
      <c r="C110" s="3">
        <v>37981</v>
      </c>
      <c r="D110" s="3">
        <v>7919678628.1700001</v>
      </c>
      <c r="E110" s="3">
        <v>0</v>
      </c>
      <c r="F110" s="3">
        <v>0</v>
      </c>
      <c r="G110" s="5">
        <v>0</v>
      </c>
      <c r="H110" s="5">
        <v>0</v>
      </c>
      <c r="I110" s="4">
        <v>0</v>
      </c>
      <c r="J110" s="4">
        <v>0</v>
      </c>
      <c r="K110" s="7">
        <v>6.1644989212499097E-3</v>
      </c>
      <c r="L110" s="3">
        <v>1862858000.77</v>
      </c>
      <c r="M110" s="3">
        <v>5924808.0099999998</v>
      </c>
      <c r="N110" s="8">
        <v>0.2276</v>
      </c>
      <c r="O110" s="8">
        <v>6.9999999999999999E-4</v>
      </c>
    </row>
    <row r="111" spans="1:15" x14ac:dyDescent="0.25">
      <c r="A111" t="s">
        <v>9</v>
      </c>
      <c r="B111" s="1">
        <v>41883</v>
      </c>
      <c r="C111" s="3">
        <v>147771</v>
      </c>
      <c r="D111" s="3">
        <v>33311753569.889999</v>
      </c>
      <c r="E111" s="3">
        <v>545653163.55999994</v>
      </c>
      <c r="F111" s="3">
        <v>172175.28</v>
      </c>
      <c r="G111" s="5">
        <v>1.63801993316019E-2</v>
      </c>
      <c r="H111" s="5">
        <v>5.1686045178848404E-6</v>
      </c>
      <c r="I111" s="4">
        <v>17.9786</v>
      </c>
      <c r="J111" s="4">
        <v>6.1999999999999998E-3</v>
      </c>
      <c r="K111" s="7">
        <v>1.9867683813505799E-3</v>
      </c>
      <c r="L111" s="3">
        <v>545653163.55999994</v>
      </c>
      <c r="M111" s="3">
        <v>172175.28</v>
      </c>
      <c r="N111" s="7">
        <v>1.7299999999999999E-2</v>
      </c>
      <c r="O111" s="7">
        <v>0</v>
      </c>
    </row>
    <row r="112" spans="1:15" x14ac:dyDescent="0.25">
      <c r="A112" t="s">
        <v>9</v>
      </c>
      <c r="B112" s="1">
        <v>41913</v>
      </c>
      <c r="C112" s="3">
        <v>145469</v>
      </c>
      <c r="D112" s="3">
        <v>32702854732.900002</v>
      </c>
      <c r="E112" s="3">
        <v>200469688.75</v>
      </c>
      <c r="F112" s="3">
        <v>0</v>
      </c>
      <c r="G112" s="5">
        <v>6.1300363649391598E-3</v>
      </c>
      <c r="H112" s="5">
        <v>0</v>
      </c>
      <c r="I112" s="4">
        <v>7.1130000000000004</v>
      </c>
      <c r="J112" s="4">
        <v>0</v>
      </c>
      <c r="K112" s="7">
        <v>1.9704739462751298E-3</v>
      </c>
      <c r="L112" s="3">
        <v>746122852.30999994</v>
      </c>
      <c r="M112" s="3">
        <v>172175.28</v>
      </c>
      <c r="N112" s="7">
        <v>2.3699999999999999E-2</v>
      </c>
      <c r="O112" s="7">
        <v>0</v>
      </c>
    </row>
    <row r="113" spans="1:15" x14ac:dyDescent="0.25">
      <c r="A113" t="s">
        <v>9</v>
      </c>
      <c r="B113" s="1">
        <v>41944</v>
      </c>
      <c r="C113" s="3">
        <v>144665</v>
      </c>
      <c r="D113" s="3">
        <v>32439664423.18</v>
      </c>
      <c r="E113" s="3">
        <v>214390611.25999999</v>
      </c>
      <c r="F113" s="3">
        <v>0</v>
      </c>
      <c r="G113" s="5">
        <v>6.60890348504362E-3</v>
      </c>
      <c r="H113" s="5">
        <v>0</v>
      </c>
      <c r="I113" s="4">
        <v>7.6486000000000001</v>
      </c>
      <c r="J113" s="4">
        <v>0</v>
      </c>
      <c r="K113" s="7">
        <v>1.82791002941537E-3</v>
      </c>
      <c r="L113" s="3">
        <v>960513463.57000005</v>
      </c>
      <c r="M113" s="3">
        <v>172175.28</v>
      </c>
      <c r="N113" s="7">
        <v>3.0599999999999999E-2</v>
      </c>
      <c r="O113" s="7">
        <v>0</v>
      </c>
    </row>
    <row r="114" spans="1:15" x14ac:dyDescent="0.25">
      <c r="A114" t="s">
        <v>9</v>
      </c>
      <c r="B114" s="1">
        <v>41974</v>
      </c>
      <c r="C114" s="3">
        <v>143797</v>
      </c>
      <c r="D114" s="3">
        <v>32163282682.549999</v>
      </c>
      <c r="E114" s="3">
        <v>176728353.75999999</v>
      </c>
      <c r="F114" s="3">
        <v>697801.46</v>
      </c>
      <c r="G114" s="5">
        <v>5.4947237663611603E-3</v>
      </c>
      <c r="H114" s="5">
        <v>2.1695592047841099E-5</v>
      </c>
      <c r="I114" s="4">
        <v>6.3979999999999997</v>
      </c>
      <c r="J114" s="4">
        <v>2.5999999999999999E-2</v>
      </c>
      <c r="K114" s="7">
        <v>3.1173836097395098E-3</v>
      </c>
      <c r="L114" s="3">
        <v>1137241817.3299999</v>
      </c>
      <c r="M114" s="3">
        <v>869976.74</v>
      </c>
      <c r="N114" s="7">
        <v>3.6200000000000003E-2</v>
      </c>
      <c r="O114" s="7">
        <v>0</v>
      </c>
    </row>
    <row r="115" spans="1:15" x14ac:dyDescent="0.25">
      <c r="A115" t="s">
        <v>9</v>
      </c>
      <c r="B115" s="1">
        <v>42005</v>
      </c>
      <c r="C115" s="3">
        <v>143082</v>
      </c>
      <c r="D115" s="3">
        <v>31924370768.91</v>
      </c>
      <c r="E115" s="3">
        <v>320455389.75999999</v>
      </c>
      <c r="F115" s="3">
        <v>1736088.91</v>
      </c>
      <c r="G115" s="5">
        <v>1.0037954767524501E-2</v>
      </c>
      <c r="H115" s="5">
        <v>5.4381303943841998E-5</v>
      </c>
      <c r="I115" s="4">
        <v>11.402200000000001</v>
      </c>
      <c r="J115" s="4">
        <v>6.5199999999999994E-2</v>
      </c>
      <c r="K115" s="7">
        <v>2.5871680534557298E-3</v>
      </c>
      <c r="L115" s="3">
        <v>1457697207.0899999</v>
      </c>
      <c r="M115" s="3">
        <v>2606065.65</v>
      </c>
      <c r="N115" s="7">
        <v>4.6399999999999997E-2</v>
      </c>
      <c r="O115" s="7">
        <v>0</v>
      </c>
    </row>
    <row r="116" spans="1:15" x14ac:dyDescent="0.25">
      <c r="A116" t="s">
        <v>9</v>
      </c>
      <c r="B116" s="1">
        <v>42036</v>
      </c>
      <c r="C116" s="3">
        <v>141849</v>
      </c>
      <c r="D116" s="3">
        <v>31541680808.580002</v>
      </c>
      <c r="E116" s="3">
        <v>397132082.99000001</v>
      </c>
      <c r="F116" s="3">
        <v>2205360.34</v>
      </c>
      <c r="G116" s="5">
        <v>1.25907076861284E-2</v>
      </c>
      <c r="H116" s="5">
        <v>6.9918922627613906E-5</v>
      </c>
      <c r="I116" s="4">
        <v>14.1052</v>
      </c>
      <c r="J116" s="4">
        <v>8.3799999999999999E-2</v>
      </c>
      <c r="K116" s="7">
        <v>2.9512584597165201E-3</v>
      </c>
      <c r="L116" s="3">
        <v>1854829290.0799999</v>
      </c>
      <c r="M116" s="3">
        <v>4811425.99</v>
      </c>
      <c r="N116" s="7">
        <v>5.91E-2</v>
      </c>
      <c r="O116" s="7">
        <v>1E-4</v>
      </c>
    </row>
    <row r="117" spans="1:15" x14ac:dyDescent="0.25">
      <c r="A117" t="s">
        <v>9</v>
      </c>
      <c r="B117" s="1">
        <v>42064</v>
      </c>
      <c r="C117" s="3">
        <v>140266</v>
      </c>
      <c r="D117" s="3">
        <v>31080609964.099998</v>
      </c>
      <c r="E117" s="3">
        <v>333619868.43000001</v>
      </c>
      <c r="F117" s="3">
        <v>1554543.77</v>
      </c>
      <c r="G117" s="5">
        <v>1.07340193392392E-2</v>
      </c>
      <c r="H117" s="5">
        <v>5.0016514212417001E-5</v>
      </c>
      <c r="I117" s="4">
        <v>12.1469</v>
      </c>
      <c r="J117" s="4">
        <v>0.06</v>
      </c>
      <c r="K117" s="7">
        <v>3.4120372853844198E-3</v>
      </c>
      <c r="L117" s="3">
        <v>2188449158.5100002</v>
      </c>
      <c r="M117" s="3">
        <v>6365969.7599999998</v>
      </c>
      <c r="N117" s="7">
        <v>6.9699999999999998E-2</v>
      </c>
      <c r="O117" s="7">
        <v>2.0000000000000001E-4</v>
      </c>
    </row>
    <row r="118" spans="1:15" x14ac:dyDescent="0.25">
      <c r="A118" t="s">
        <v>9</v>
      </c>
      <c r="B118" s="1">
        <v>42095</v>
      </c>
      <c r="C118" s="3">
        <v>138896</v>
      </c>
      <c r="D118" s="3">
        <v>30681406216.549999</v>
      </c>
      <c r="E118" s="3">
        <v>336232647.26999998</v>
      </c>
      <c r="F118" s="3">
        <v>1547448.28</v>
      </c>
      <c r="G118" s="5">
        <v>1.09588408333328E-2</v>
      </c>
      <c r="H118" s="5">
        <v>5.0436028553517897E-5</v>
      </c>
      <c r="I118" s="4">
        <v>12.386200000000001</v>
      </c>
      <c r="J118" s="4">
        <v>6.0499999999999998E-2</v>
      </c>
      <c r="K118" s="7">
        <v>2.5385131985243702E-3</v>
      </c>
      <c r="L118" s="3">
        <v>2524681805.7800002</v>
      </c>
      <c r="M118" s="3">
        <v>7913418.04</v>
      </c>
      <c r="N118" s="7">
        <v>8.0500000000000002E-2</v>
      </c>
      <c r="O118" s="7">
        <v>2.0000000000000001E-4</v>
      </c>
    </row>
    <row r="119" spans="1:15" x14ac:dyDescent="0.25">
      <c r="A119" t="s">
        <v>9</v>
      </c>
      <c r="B119" s="1">
        <v>42125</v>
      </c>
      <c r="C119" s="3">
        <v>137461</v>
      </c>
      <c r="D119" s="3">
        <v>30281605272.830002</v>
      </c>
      <c r="E119" s="3">
        <v>345240389.32999998</v>
      </c>
      <c r="F119" s="3">
        <v>1536908.01</v>
      </c>
      <c r="G119" s="5">
        <v>1.1400993646785399E-2</v>
      </c>
      <c r="H119" s="5">
        <v>5.0753848620402601E-5</v>
      </c>
      <c r="I119" s="4">
        <v>12.855</v>
      </c>
      <c r="J119" s="4">
        <v>6.08E-2</v>
      </c>
      <c r="K119" s="7">
        <v>2.9648472609394602E-3</v>
      </c>
      <c r="L119" s="3">
        <v>2869922195.1100001</v>
      </c>
      <c r="M119" s="3">
        <v>9450326.0500000007</v>
      </c>
      <c r="N119" s="7">
        <v>9.1499999999999998E-2</v>
      </c>
      <c r="O119" s="7">
        <v>2.9999999999999997E-4</v>
      </c>
    </row>
    <row r="120" spans="1:15" x14ac:dyDescent="0.25">
      <c r="A120" t="s">
        <v>9</v>
      </c>
      <c r="B120" s="1">
        <v>42156</v>
      </c>
      <c r="C120" s="3">
        <v>135963</v>
      </c>
      <c r="D120" s="3">
        <v>29875609801.369999</v>
      </c>
      <c r="E120" s="3">
        <v>0</v>
      </c>
      <c r="F120" s="3">
        <v>0</v>
      </c>
      <c r="G120" s="5">
        <v>0</v>
      </c>
      <c r="H120" s="5">
        <v>0</v>
      </c>
      <c r="I120" s="4">
        <v>0</v>
      </c>
      <c r="J120" s="4">
        <v>0</v>
      </c>
      <c r="K120" s="7">
        <v>3.7651571127040799E-3</v>
      </c>
      <c r="L120" s="3">
        <v>2869922195.1100001</v>
      </c>
      <c r="M120" s="3">
        <v>9450326.0500000007</v>
      </c>
      <c r="N120" s="8">
        <v>9.1499999999999998E-2</v>
      </c>
      <c r="O120" s="8">
        <v>2.9999999999999997E-4</v>
      </c>
    </row>
    <row r="121" spans="1:15" x14ac:dyDescent="0.25">
      <c r="A121" t="s">
        <v>10</v>
      </c>
      <c r="B121" s="1">
        <v>41883</v>
      </c>
      <c r="C121" s="3">
        <v>36226</v>
      </c>
      <c r="D121" s="3">
        <v>8000610178.8900003</v>
      </c>
      <c r="E121" s="3">
        <v>54721277.009999998</v>
      </c>
      <c r="F121" s="3">
        <v>0</v>
      </c>
      <c r="G121" s="5">
        <v>6.8396379509133801E-3</v>
      </c>
      <c r="H121" s="5">
        <v>0</v>
      </c>
      <c r="I121" s="4">
        <v>7.9057000000000004</v>
      </c>
      <c r="J121" s="4">
        <v>0</v>
      </c>
      <c r="K121" s="7">
        <v>0</v>
      </c>
      <c r="L121" s="3">
        <v>54721277.009999998</v>
      </c>
      <c r="M121" s="3">
        <v>0</v>
      </c>
      <c r="N121" s="7">
        <v>8.0000000000000002E-3</v>
      </c>
      <c r="O121" s="7">
        <v>0</v>
      </c>
    </row>
    <row r="122" spans="1:15" x14ac:dyDescent="0.25">
      <c r="A122" t="s">
        <v>10</v>
      </c>
      <c r="B122" s="1">
        <v>41913</v>
      </c>
      <c r="C122" s="3">
        <v>36025</v>
      </c>
      <c r="D122" s="3">
        <v>7932337047.4300003</v>
      </c>
      <c r="E122" s="3">
        <v>118540857.56999999</v>
      </c>
      <c r="F122" s="3">
        <v>0</v>
      </c>
      <c r="G122" s="5">
        <v>1.49440016052275E-2</v>
      </c>
      <c r="H122" s="5">
        <v>0</v>
      </c>
      <c r="I122" s="4">
        <v>16.529800000000002</v>
      </c>
      <c r="J122" s="4">
        <v>0</v>
      </c>
      <c r="K122" s="7">
        <v>1.6623303474317399E-3</v>
      </c>
      <c r="L122" s="3">
        <v>173262134.58000001</v>
      </c>
      <c r="M122" s="3">
        <v>0</v>
      </c>
      <c r="N122" s="7">
        <v>2.53E-2</v>
      </c>
      <c r="O122" s="7">
        <v>0</v>
      </c>
    </row>
    <row r="123" spans="1:15" x14ac:dyDescent="0.25">
      <c r="A123" t="s">
        <v>10</v>
      </c>
      <c r="B123" s="1">
        <v>41944</v>
      </c>
      <c r="C123" s="3">
        <v>35630</v>
      </c>
      <c r="D123" s="3">
        <v>7800430279.4899998</v>
      </c>
      <c r="E123" s="3">
        <v>102951973.47</v>
      </c>
      <c r="F123" s="3">
        <v>0</v>
      </c>
      <c r="G123" s="5">
        <v>1.3198242889330801E-2</v>
      </c>
      <c r="H123" s="5">
        <v>0</v>
      </c>
      <c r="I123" s="4">
        <v>14.737299999999999</v>
      </c>
      <c r="J123" s="4">
        <v>0</v>
      </c>
      <c r="K123" s="7">
        <v>1.8127235784901399E-3</v>
      </c>
      <c r="L123" s="3">
        <v>276214108.05000001</v>
      </c>
      <c r="M123" s="3">
        <v>0</v>
      </c>
      <c r="N123" s="7">
        <v>4.0399999999999998E-2</v>
      </c>
      <c r="O123" s="7">
        <v>0</v>
      </c>
    </row>
    <row r="124" spans="1:15" x14ac:dyDescent="0.25">
      <c r="A124" t="s">
        <v>10</v>
      </c>
      <c r="B124" s="1">
        <v>41974</v>
      </c>
      <c r="C124" s="3">
        <v>35266</v>
      </c>
      <c r="D124" s="3">
        <v>7683642798.5</v>
      </c>
      <c r="E124" s="3">
        <v>110312012.93000001</v>
      </c>
      <c r="F124" s="3">
        <v>0</v>
      </c>
      <c r="G124" s="5">
        <v>1.43567336252975E-2</v>
      </c>
      <c r="H124" s="5">
        <v>0</v>
      </c>
      <c r="I124" s="4">
        <v>15.9307</v>
      </c>
      <c r="J124" s="4">
        <v>0</v>
      </c>
      <c r="K124" s="7">
        <v>3.2100016355282599E-3</v>
      </c>
      <c r="L124" s="3">
        <v>386526120.98000002</v>
      </c>
      <c r="M124" s="3">
        <v>0</v>
      </c>
      <c r="N124" s="7">
        <v>5.6599999999999998E-2</v>
      </c>
      <c r="O124" s="7">
        <v>0</v>
      </c>
    </row>
    <row r="125" spans="1:15" x14ac:dyDescent="0.25">
      <c r="A125" t="s">
        <v>10</v>
      </c>
      <c r="B125" s="1">
        <v>42005</v>
      </c>
      <c r="C125" s="3">
        <v>34867</v>
      </c>
      <c r="D125" s="3">
        <v>7560282083.3699999</v>
      </c>
      <c r="E125" s="3">
        <v>205572070.59</v>
      </c>
      <c r="F125" s="3">
        <v>0</v>
      </c>
      <c r="G125" s="5">
        <v>2.7191058259874602E-2</v>
      </c>
      <c r="H125" s="5">
        <v>0</v>
      </c>
      <c r="I125" s="4">
        <v>28.165900000000001</v>
      </c>
      <c r="J125" s="4">
        <v>0</v>
      </c>
      <c r="K125" s="7">
        <v>3.4388182085411199E-3</v>
      </c>
      <c r="L125" s="3">
        <v>592098191.57000005</v>
      </c>
      <c r="M125" s="3">
        <v>0</v>
      </c>
      <c r="N125" s="7">
        <v>8.6699999999999999E-2</v>
      </c>
      <c r="O125" s="7">
        <v>0</v>
      </c>
    </row>
    <row r="126" spans="1:15" x14ac:dyDescent="0.25">
      <c r="A126" t="s">
        <v>10</v>
      </c>
      <c r="B126" s="1">
        <v>42036</v>
      </c>
      <c r="C126" s="3">
        <v>34126</v>
      </c>
      <c r="D126" s="3">
        <v>7342769532.79</v>
      </c>
      <c r="E126" s="3">
        <v>256927354.15000001</v>
      </c>
      <c r="F126" s="3">
        <v>1143031.8799999999</v>
      </c>
      <c r="G126" s="5">
        <v>3.4990524079866601E-2</v>
      </c>
      <c r="H126" s="5">
        <v>1.5566767755622099E-4</v>
      </c>
      <c r="I126" s="4">
        <v>34.780200000000001</v>
      </c>
      <c r="J126" s="4">
        <v>0.18659999999999999</v>
      </c>
      <c r="K126" s="7">
        <v>4.1123124381280398E-3</v>
      </c>
      <c r="L126" s="3">
        <v>849025545.72000003</v>
      </c>
      <c r="M126" s="3">
        <v>1143031.8799999999</v>
      </c>
      <c r="N126" s="7">
        <v>0.1244</v>
      </c>
      <c r="O126" s="7">
        <v>1E-4</v>
      </c>
    </row>
    <row r="127" spans="1:15" x14ac:dyDescent="0.25">
      <c r="A127" t="s">
        <v>10</v>
      </c>
      <c r="B127" s="1">
        <v>42064</v>
      </c>
      <c r="C127" s="3">
        <v>33186</v>
      </c>
      <c r="D127" s="3">
        <v>7073056405.8999996</v>
      </c>
      <c r="E127" s="3">
        <v>146225708.41999999</v>
      </c>
      <c r="F127" s="3">
        <v>600270.37</v>
      </c>
      <c r="G127" s="5">
        <v>2.06736239651681E-2</v>
      </c>
      <c r="H127" s="5">
        <v>8.4867182665089894E-5</v>
      </c>
      <c r="I127" s="4">
        <v>22.173100000000002</v>
      </c>
      <c r="J127" s="4">
        <v>0.1017</v>
      </c>
      <c r="K127" s="7">
        <v>5.0680743447907902E-3</v>
      </c>
      <c r="L127" s="3">
        <v>995251254.13999999</v>
      </c>
      <c r="M127" s="3">
        <v>1743302.25</v>
      </c>
      <c r="N127" s="7">
        <v>0.14580000000000001</v>
      </c>
      <c r="O127" s="7">
        <v>2.0000000000000001E-4</v>
      </c>
    </row>
    <row r="128" spans="1:15" x14ac:dyDescent="0.25">
      <c r="A128" t="s">
        <v>10</v>
      </c>
      <c r="B128" s="1">
        <v>42095</v>
      </c>
      <c r="C128" s="3">
        <v>32636</v>
      </c>
      <c r="D128" s="3">
        <v>6913666895.29</v>
      </c>
      <c r="E128" s="3">
        <v>134198992.48</v>
      </c>
      <c r="F128" s="3">
        <v>631441.91</v>
      </c>
      <c r="G128" s="5">
        <v>1.9410682422582998E-2</v>
      </c>
      <c r="H128" s="5">
        <v>9.1332417306679202E-5</v>
      </c>
      <c r="I128" s="4">
        <v>20.960100000000001</v>
      </c>
      <c r="J128" s="4">
        <v>0.1095</v>
      </c>
      <c r="K128" s="7">
        <v>3.77482947982053E-3</v>
      </c>
      <c r="L128" s="3">
        <v>1129450246.6199999</v>
      </c>
      <c r="M128" s="3">
        <v>2374744.16</v>
      </c>
      <c r="N128" s="7">
        <v>0.16550000000000001</v>
      </c>
      <c r="O128" s="7">
        <v>2.9999999999999997E-4</v>
      </c>
    </row>
    <row r="129" spans="1:15" x14ac:dyDescent="0.25">
      <c r="A129" t="s">
        <v>10</v>
      </c>
      <c r="B129" s="1">
        <v>42125</v>
      </c>
      <c r="C129" s="3">
        <v>32117</v>
      </c>
      <c r="D129" s="3">
        <v>6767148341.4099998</v>
      </c>
      <c r="E129" s="3">
        <v>122353726.95</v>
      </c>
      <c r="F129" s="3">
        <v>927611.53</v>
      </c>
      <c r="G129" s="5">
        <v>1.8080544533254E-2</v>
      </c>
      <c r="H129" s="5">
        <v>1.3707569026139E-4</v>
      </c>
      <c r="I129" s="4">
        <v>19.663900000000002</v>
      </c>
      <c r="J129" s="4">
        <v>0.1643</v>
      </c>
      <c r="K129" s="7">
        <v>4.4673961711471696E-3</v>
      </c>
      <c r="L129" s="3">
        <v>1251803973.5699999</v>
      </c>
      <c r="M129" s="3">
        <v>3302355.69</v>
      </c>
      <c r="N129" s="7">
        <v>0.18340000000000001</v>
      </c>
      <c r="O129" s="7">
        <v>4.0000000000000002E-4</v>
      </c>
    </row>
    <row r="130" spans="1:15" x14ac:dyDescent="0.25">
      <c r="A130" t="s">
        <v>10</v>
      </c>
      <c r="B130" s="1">
        <v>42156</v>
      </c>
      <c r="C130" s="3">
        <v>31630</v>
      </c>
      <c r="D130" s="3">
        <v>6632739546.4499998</v>
      </c>
      <c r="E130" s="3">
        <v>0</v>
      </c>
      <c r="F130" s="3">
        <v>0</v>
      </c>
      <c r="G130" s="5">
        <v>0</v>
      </c>
      <c r="H130" s="5">
        <v>0</v>
      </c>
      <c r="I130" s="4">
        <v>0</v>
      </c>
      <c r="J130" s="4">
        <v>0</v>
      </c>
      <c r="K130" s="7">
        <v>5.9045563730843499E-3</v>
      </c>
      <c r="L130" s="3">
        <v>1251803973.5699999</v>
      </c>
      <c r="M130" s="3">
        <v>3302355.69</v>
      </c>
      <c r="N130" s="8">
        <v>0.18340000000000001</v>
      </c>
      <c r="O130" s="8">
        <v>4.0000000000000002E-4</v>
      </c>
    </row>
    <row r="131" spans="1:15" x14ac:dyDescent="0.25">
      <c r="A131" t="s">
        <v>11</v>
      </c>
      <c r="B131" s="1">
        <v>42005</v>
      </c>
      <c r="C131" s="3">
        <v>121129</v>
      </c>
      <c r="D131" s="3">
        <v>27594847322.099998</v>
      </c>
      <c r="E131" s="3">
        <v>1636253444.21</v>
      </c>
      <c r="F131" s="3">
        <v>0</v>
      </c>
      <c r="G131" s="5">
        <v>5.9295615051276798E-2</v>
      </c>
      <c r="H131" s="5">
        <v>0</v>
      </c>
      <c r="I131" s="4">
        <v>51.978200000000001</v>
      </c>
      <c r="J131" s="4">
        <v>0</v>
      </c>
      <c r="K131" s="7">
        <v>1.5922864086589899E-3</v>
      </c>
      <c r="L131" s="3">
        <v>1636253444.21</v>
      </c>
      <c r="M131" s="3">
        <v>0</v>
      </c>
      <c r="N131" s="7">
        <v>6.8699999999999997E-2</v>
      </c>
      <c r="O131" s="7">
        <v>0</v>
      </c>
    </row>
    <row r="132" spans="1:15" x14ac:dyDescent="0.25">
      <c r="A132" t="s">
        <v>11</v>
      </c>
      <c r="B132" s="1">
        <v>42036</v>
      </c>
      <c r="C132" s="3">
        <v>116083</v>
      </c>
      <c r="D132" s="3">
        <v>25907738596.080002</v>
      </c>
      <c r="E132" s="3">
        <v>1010110127.14</v>
      </c>
      <c r="F132" s="3">
        <v>0</v>
      </c>
      <c r="G132" s="5">
        <v>3.8988741660873301E-2</v>
      </c>
      <c r="H132" s="5">
        <v>0</v>
      </c>
      <c r="I132" s="4">
        <v>37.950000000000003</v>
      </c>
      <c r="J132" s="4">
        <v>0</v>
      </c>
      <c r="K132" s="7">
        <v>1.73183463286868E-3</v>
      </c>
      <c r="L132" s="3">
        <v>2646363571.3499999</v>
      </c>
      <c r="M132" s="3">
        <v>0</v>
      </c>
      <c r="N132" s="7">
        <v>0.1111</v>
      </c>
      <c r="O132" s="7">
        <v>0</v>
      </c>
    </row>
    <row r="133" spans="1:15" x14ac:dyDescent="0.25">
      <c r="A133" t="s">
        <v>11</v>
      </c>
      <c r="B133" s="1">
        <v>42064</v>
      </c>
      <c r="C133" s="3">
        <v>112863</v>
      </c>
      <c r="D133" s="3">
        <v>24847898745.950001</v>
      </c>
      <c r="E133" s="3">
        <v>560718993.75</v>
      </c>
      <c r="F133" s="3">
        <v>0</v>
      </c>
      <c r="G133" s="5">
        <v>2.2566052746870201E-2</v>
      </c>
      <c r="H133" s="5">
        <v>0</v>
      </c>
      <c r="I133" s="4">
        <v>23.9587</v>
      </c>
      <c r="J133" s="4">
        <v>0</v>
      </c>
      <c r="K133" s="7">
        <v>3.4222049864019101E-3</v>
      </c>
      <c r="L133" s="3">
        <v>3207082565.0999999</v>
      </c>
      <c r="M133" s="3">
        <v>0</v>
      </c>
      <c r="N133" s="7">
        <v>0.13469999999999999</v>
      </c>
      <c r="O133" s="7">
        <v>0</v>
      </c>
    </row>
    <row r="134" spans="1:15" x14ac:dyDescent="0.25">
      <c r="A134" t="s">
        <v>11</v>
      </c>
      <c r="B134" s="1">
        <v>42095</v>
      </c>
      <c r="C134" s="3">
        <v>110952</v>
      </c>
      <c r="D134" s="3">
        <v>24235181840.02</v>
      </c>
      <c r="E134" s="3">
        <v>514233892.95999998</v>
      </c>
      <c r="F134" s="3">
        <v>0</v>
      </c>
      <c r="G134" s="5">
        <v>2.1218487088503501E-2</v>
      </c>
      <c r="H134" s="5">
        <v>0</v>
      </c>
      <c r="I134" s="4">
        <v>22.691099999999999</v>
      </c>
      <c r="J134" s="4">
        <v>0</v>
      </c>
      <c r="K134" s="7">
        <v>2.11566290273635E-3</v>
      </c>
      <c r="L134" s="3">
        <v>3721316458.0599999</v>
      </c>
      <c r="M134" s="3">
        <v>0</v>
      </c>
      <c r="N134" s="7">
        <v>0.15629999999999999</v>
      </c>
      <c r="O134" s="7">
        <v>0</v>
      </c>
    </row>
    <row r="135" spans="1:15" x14ac:dyDescent="0.25">
      <c r="A135" t="s">
        <v>11</v>
      </c>
      <c r="B135" s="1">
        <v>42125</v>
      </c>
      <c r="C135" s="3">
        <v>109136</v>
      </c>
      <c r="D135" s="3">
        <v>23671232853.060001</v>
      </c>
      <c r="E135" s="3">
        <v>419212565.88</v>
      </c>
      <c r="F135" s="3">
        <v>551845.68999999994</v>
      </c>
      <c r="G135" s="5">
        <v>1.7709790127209499E-2</v>
      </c>
      <c r="H135" s="5">
        <v>2.3312925584636899E-5</v>
      </c>
      <c r="I135" s="4">
        <v>19.299199999999999</v>
      </c>
      <c r="J135" s="4">
        <v>2.7900000000000001E-2</v>
      </c>
      <c r="K135" s="7">
        <v>2.7772949574741499E-3</v>
      </c>
      <c r="L135" s="3">
        <v>4140529023.9400001</v>
      </c>
      <c r="M135" s="3">
        <v>551845.68999999994</v>
      </c>
      <c r="N135" s="7">
        <v>0.1739</v>
      </c>
      <c r="O135" s="7">
        <v>0</v>
      </c>
    </row>
    <row r="136" spans="1:15" x14ac:dyDescent="0.25">
      <c r="A136" t="s">
        <v>11</v>
      </c>
      <c r="B136" s="1">
        <v>42156</v>
      </c>
      <c r="C136" s="3">
        <v>107563</v>
      </c>
      <c r="D136" s="3">
        <v>23204440894.529999</v>
      </c>
      <c r="E136" s="3">
        <v>0</v>
      </c>
      <c r="F136" s="3">
        <v>0</v>
      </c>
      <c r="G136" s="5">
        <v>0</v>
      </c>
      <c r="H136" s="5">
        <v>0</v>
      </c>
      <c r="I136" s="4">
        <v>0</v>
      </c>
      <c r="J136" s="4">
        <v>0</v>
      </c>
      <c r="K136" s="7">
        <v>3.5491638964424998E-3</v>
      </c>
      <c r="L136" s="3">
        <v>4140529023.9400001</v>
      </c>
      <c r="M136" s="3">
        <v>551845.68999999994</v>
      </c>
      <c r="N136" s="8">
        <v>0.1739</v>
      </c>
      <c r="O136" s="8">
        <v>0</v>
      </c>
    </row>
    <row r="137" spans="1:15" x14ac:dyDescent="0.25">
      <c r="A137" t="s">
        <v>12</v>
      </c>
      <c r="B137" s="1">
        <v>42095</v>
      </c>
      <c r="C137" s="3">
        <v>135794</v>
      </c>
      <c r="D137" s="3">
        <v>31802513580.400002</v>
      </c>
      <c r="E137" s="3">
        <v>473778644.73000002</v>
      </c>
      <c r="F137" s="3">
        <v>0</v>
      </c>
      <c r="G137" s="5">
        <v>1.4897521968892101E-2</v>
      </c>
      <c r="H137" s="5">
        <v>0</v>
      </c>
      <c r="I137" s="4">
        <v>16.482600000000001</v>
      </c>
      <c r="J137" s="4">
        <v>0</v>
      </c>
      <c r="K137" s="7">
        <v>5.5999090056126305E-4</v>
      </c>
      <c r="L137" s="3">
        <v>473778644.73000002</v>
      </c>
      <c r="M137" s="3">
        <v>0</v>
      </c>
      <c r="N137" s="7">
        <v>1.43E-2</v>
      </c>
      <c r="O137" s="7">
        <v>0</v>
      </c>
    </row>
    <row r="138" spans="1:15" x14ac:dyDescent="0.25">
      <c r="A138" t="s">
        <v>12</v>
      </c>
      <c r="B138" s="1">
        <v>42125</v>
      </c>
      <c r="C138" s="3">
        <v>133819</v>
      </c>
      <c r="D138" s="3">
        <v>31255911118.709999</v>
      </c>
      <c r="E138" s="3">
        <v>281988775</v>
      </c>
      <c r="F138" s="3">
        <v>0</v>
      </c>
      <c r="G138" s="5">
        <v>9.0219342488211604E-3</v>
      </c>
      <c r="H138" s="5">
        <v>0</v>
      </c>
      <c r="I138" s="4">
        <v>10.3049</v>
      </c>
      <c r="J138" s="4">
        <v>0</v>
      </c>
      <c r="K138" s="7">
        <v>7.6209042857628502E-4</v>
      </c>
      <c r="L138" s="3">
        <v>755767419.73000002</v>
      </c>
      <c r="M138" s="3">
        <v>0</v>
      </c>
      <c r="N138" s="7">
        <v>2.29E-2</v>
      </c>
      <c r="O138" s="7">
        <v>0</v>
      </c>
    </row>
    <row r="139" spans="1:15" x14ac:dyDescent="0.25">
      <c r="A139" t="s">
        <v>12</v>
      </c>
      <c r="B139" s="1">
        <v>42156</v>
      </c>
      <c r="C139" s="3">
        <v>132605</v>
      </c>
      <c r="D139" s="3">
        <v>30902656949.099998</v>
      </c>
      <c r="E139" s="3">
        <v>0</v>
      </c>
      <c r="F139" s="3">
        <v>0</v>
      </c>
      <c r="G139" s="5">
        <v>0</v>
      </c>
      <c r="H139" s="5">
        <v>0</v>
      </c>
      <c r="I139" s="4">
        <v>0</v>
      </c>
      <c r="J139" s="4">
        <v>0</v>
      </c>
      <c r="K139" s="7">
        <v>1.1834858248674E-3</v>
      </c>
      <c r="L139" s="3">
        <v>755767419.73000002</v>
      </c>
      <c r="M139" s="3">
        <v>0</v>
      </c>
      <c r="N139" s="8">
        <v>2.29E-2</v>
      </c>
      <c r="O139" s="8">
        <v>0</v>
      </c>
    </row>
    <row r="140" spans="1:15" x14ac:dyDescent="0.25">
      <c r="A140" t="s">
        <v>13</v>
      </c>
      <c r="B140" s="1">
        <v>42156</v>
      </c>
      <c r="C140" s="3">
        <v>141967</v>
      </c>
      <c r="D140" s="3">
        <v>31928168573.73</v>
      </c>
      <c r="E140" s="3">
        <v>0</v>
      </c>
      <c r="F140" s="3">
        <v>0</v>
      </c>
      <c r="G140" s="5">
        <v>0</v>
      </c>
      <c r="H140" s="5">
        <v>0</v>
      </c>
      <c r="I140" s="4">
        <v>0</v>
      </c>
      <c r="J140" s="4">
        <v>0</v>
      </c>
      <c r="K140" s="7">
        <v>1.79269471932988E-3</v>
      </c>
      <c r="L140" s="3">
        <v>447876178.38</v>
      </c>
      <c r="M140" s="3">
        <v>0</v>
      </c>
      <c r="N140" s="8">
        <v>1.37E-2</v>
      </c>
      <c r="O140" s="8">
        <v>0</v>
      </c>
    </row>
    <row r="141" spans="1:15" x14ac:dyDescent="0.25">
      <c r="A141" t="s">
        <v>14</v>
      </c>
      <c r="B141" s="1">
        <v>42064</v>
      </c>
      <c r="C141" s="3">
        <v>75508</v>
      </c>
      <c r="D141" s="3">
        <v>16527604803.85</v>
      </c>
      <c r="E141" s="3">
        <v>677454078.88999999</v>
      </c>
      <c r="F141" s="3">
        <v>0</v>
      </c>
      <c r="G141" s="5">
        <v>4.09892471976454E-2</v>
      </c>
      <c r="H141" s="5">
        <v>0</v>
      </c>
      <c r="I141" s="4">
        <v>39.482300000000002</v>
      </c>
      <c r="J141" s="4">
        <v>0</v>
      </c>
      <c r="K141" s="7">
        <v>2.03240793500672E-3</v>
      </c>
      <c r="L141" s="3">
        <v>677454078.88999999</v>
      </c>
      <c r="M141" s="3">
        <v>0</v>
      </c>
      <c r="N141" s="7">
        <v>4.3200000000000002E-2</v>
      </c>
      <c r="O141" s="7">
        <v>0</v>
      </c>
    </row>
    <row r="142" spans="1:15" x14ac:dyDescent="0.25">
      <c r="A142" t="s">
        <v>14</v>
      </c>
      <c r="B142" s="1">
        <v>42095</v>
      </c>
      <c r="C142" s="3">
        <v>73077</v>
      </c>
      <c r="D142" s="3">
        <v>15821156242.959999</v>
      </c>
      <c r="E142" s="3">
        <v>245927412.13</v>
      </c>
      <c r="F142" s="3">
        <v>0</v>
      </c>
      <c r="G142" s="5">
        <v>1.55442123415873E-2</v>
      </c>
      <c r="H142" s="5">
        <v>0</v>
      </c>
      <c r="I142" s="4">
        <v>17.138100000000001</v>
      </c>
      <c r="J142" s="4">
        <v>0</v>
      </c>
      <c r="K142" s="7">
        <v>1.6889907033116099E-3</v>
      </c>
      <c r="L142" s="3">
        <v>923381491.01999998</v>
      </c>
      <c r="M142" s="3">
        <v>0</v>
      </c>
      <c r="N142" s="7">
        <v>5.8999999999999997E-2</v>
      </c>
      <c r="O142" s="7">
        <v>0</v>
      </c>
    </row>
    <row r="143" spans="1:15" x14ac:dyDescent="0.25">
      <c r="A143" t="s">
        <v>14</v>
      </c>
      <c r="B143" s="1">
        <v>42125</v>
      </c>
      <c r="C143" s="3">
        <v>72137</v>
      </c>
      <c r="D143" s="3">
        <v>15548062345.92</v>
      </c>
      <c r="E143" s="3">
        <v>214052134.74000001</v>
      </c>
      <c r="F143" s="3">
        <v>0</v>
      </c>
      <c r="G143" s="5">
        <v>1.37671260879764E-2</v>
      </c>
      <c r="H143" s="5">
        <v>0</v>
      </c>
      <c r="I143" s="4">
        <v>15.325200000000001</v>
      </c>
      <c r="J143" s="4">
        <v>0</v>
      </c>
      <c r="K143" s="7">
        <v>1.94430091270715E-3</v>
      </c>
      <c r="L143" s="3">
        <v>1137433625.76</v>
      </c>
      <c r="M143" s="3">
        <v>0</v>
      </c>
      <c r="N143" s="7">
        <v>7.2599999999999998E-2</v>
      </c>
      <c r="O143" s="7">
        <v>0</v>
      </c>
    </row>
    <row r="144" spans="1:15" x14ac:dyDescent="0.25">
      <c r="A144" t="s">
        <v>14</v>
      </c>
      <c r="B144" s="1">
        <v>42156</v>
      </c>
      <c r="C144" s="3">
        <v>71306</v>
      </c>
      <c r="D144" s="3">
        <v>15307704367.93</v>
      </c>
      <c r="E144" s="3">
        <v>0</v>
      </c>
      <c r="F144" s="3">
        <v>0</v>
      </c>
      <c r="G144" s="5">
        <v>0</v>
      </c>
      <c r="H144" s="5">
        <v>0</v>
      </c>
      <c r="I144" s="4">
        <v>0</v>
      </c>
      <c r="J144" s="4">
        <v>0</v>
      </c>
      <c r="K144" s="7">
        <v>2.6498330954822999E-3</v>
      </c>
      <c r="L144" s="3">
        <v>1137433625.76</v>
      </c>
      <c r="M144" s="3">
        <v>0</v>
      </c>
      <c r="N144" s="8">
        <v>7.2599999999999998E-2</v>
      </c>
      <c r="O144" s="8">
        <v>0</v>
      </c>
    </row>
    <row r="145" spans="1:15" x14ac:dyDescent="0.25">
      <c r="A145" t="s">
        <v>15</v>
      </c>
      <c r="B145" s="1">
        <v>42095</v>
      </c>
      <c r="C145" s="3">
        <v>137280</v>
      </c>
      <c r="D145" s="3">
        <v>30324752420.939999</v>
      </c>
      <c r="E145" s="3">
        <v>333520002.19999999</v>
      </c>
      <c r="F145" s="3">
        <v>0</v>
      </c>
      <c r="G145" s="5">
        <v>1.09982761794848E-2</v>
      </c>
      <c r="H145" s="5">
        <v>0</v>
      </c>
      <c r="I145" s="4">
        <v>12.428100000000001</v>
      </c>
      <c r="J145" s="4">
        <v>0</v>
      </c>
      <c r="K145" s="7">
        <v>0</v>
      </c>
      <c r="L145" s="3">
        <v>333520002.19999999</v>
      </c>
      <c r="M145" s="3">
        <v>0</v>
      </c>
      <c r="N145" s="7">
        <v>1.0699999999999999E-2</v>
      </c>
      <c r="O145" s="7">
        <v>0</v>
      </c>
    </row>
    <row r="146" spans="1:15" x14ac:dyDescent="0.25">
      <c r="A146" t="s">
        <v>15</v>
      </c>
      <c r="B146" s="1">
        <v>42125</v>
      </c>
      <c r="C146" s="3">
        <v>135863</v>
      </c>
      <c r="D146" s="3">
        <v>29929673811.75</v>
      </c>
      <c r="E146" s="3">
        <v>339697050.11000001</v>
      </c>
      <c r="F146" s="3">
        <v>0</v>
      </c>
      <c r="G146" s="5">
        <v>1.1349841373033499E-2</v>
      </c>
      <c r="H146" s="5">
        <v>0</v>
      </c>
      <c r="I146" s="4">
        <v>12.8009</v>
      </c>
      <c r="J146" s="4">
        <v>0</v>
      </c>
      <c r="K146" s="7">
        <v>1.0399318474289801E-3</v>
      </c>
      <c r="L146" s="3">
        <v>673217052.30999994</v>
      </c>
      <c r="M146" s="3">
        <v>0</v>
      </c>
      <c r="N146" s="7">
        <v>2.1700000000000001E-2</v>
      </c>
      <c r="O146" s="7">
        <v>0</v>
      </c>
    </row>
    <row r="147" spans="1:15" x14ac:dyDescent="0.25">
      <c r="A147" t="s">
        <v>15</v>
      </c>
      <c r="B147" s="1">
        <v>42156</v>
      </c>
      <c r="C147" s="3">
        <v>134396</v>
      </c>
      <c r="D147" s="3">
        <v>29531552788.639999</v>
      </c>
      <c r="E147" s="3">
        <v>0</v>
      </c>
      <c r="F147" s="3">
        <v>0</v>
      </c>
      <c r="G147" s="5">
        <v>0</v>
      </c>
      <c r="H147" s="5">
        <v>0</v>
      </c>
      <c r="I147" s="4">
        <v>0</v>
      </c>
      <c r="J147" s="4">
        <v>0</v>
      </c>
      <c r="K147" s="7">
        <v>1.6668659441076001E-3</v>
      </c>
      <c r="L147" s="3">
        <v>673217052.30999994</v>
      </c>
      <c r="M147" s="3">
        <v>0</v>
      </c>
      <c r="N147" s="8">
        <v>2.1700000000000001E-2</v>
      </c>
      <c r="O147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Views>
    <sheetView workbookViewId="0">
      <selection activeCell="C1" sqref="C1:D13"/>
    </sheetView>
  </sheetViews>
  <sheetFormatPr defaultRowHeight="15" x14ac:dyDescent="0.25"/>
  <cols>
    <col min="1" max="1" width="11.140625" bestFit="1" customWidth="1"/>
    <col min="2" max="2" width="17.5703125" style="3" bestFit="1" customWidth="1"/>
    <col min="3" max="4" width="18" style="3" bestFit="1" customWidth="1"/>
    <col min="5" max="5" width="14.140625" style="3" bestFit="1" customWidth="1"/>
    <col min="6" max="6" width="18.85546875" style="4" bestFit="1" customWidth="1"/>
    <col min="7" max="7" width="22" style="4" bestFit="1" customWidth="1"/>
    <col min="8" max="8" width="13.42578125" style="2" bestFit="1" customWidth="1"/>
    <col min="9" max="9" width="14.5703125" style="2" bestFit="1" customWidth="1"/>
    <col min="10" max="10" width="16.42578125" style="2" bestFit="1" customWidth="1"/>
    <col min="11" max="11" width="13" style="2" bestFit="1" customWidth="1"/>
    <col min="12" max="12" width="14.42578125" style="2" bestFit="1" customWidth="1"/>
    <col min="13" max="13" width="18.140625" style="3" bestFit="1" customWidth="1"/>
    <col min="14" max="15" width="12.140625" style="7" bestFit="1" customWidth="1"/>
    <col min="16" max="16" width="23.7109375" style="7" bestFit="1" customWidth="1"/>
    <col min="17" max="17" width="23" style="7" bestFit="1" customWidth="1"/>
    <col min="18" max="18" width="18.140625" style="7" bestFit="1" customWidth="1"/>
    <col min="19" max="20" width="12.140625" style="7" bestFit="1" customWidth="1"/>
    <col min="21" max="21" width="12.85546875" style="7" bestFit="1" customWidth="1"/>
    <col min="22" max="23" width="12.140625" style="7" bestFit="1" customWidth="1"/>
    <col min="24" max="24" width="14.85546875" style="7" bestFit="1" customWidth="1"/>
    <col min="25" max="26" width="12.140625" style="7" bestFit="1" customWidth="1"/>
    <col min="27" max="27" width="12.7109375" style="7" bestFit="1" customWidth="1"/>
    <col min="28" max="28" width="12.140625" style="7" bestFit="1" customWidth="1"/>
    <col min="29" max="29" width="13" style="7" bestFit="1" customWidth="1"/>
  </cols>
  <sheetData>
    <row r="1" spans="1:29" x14ac:dyDescent="0.25">
      <c r="A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4" t="s">
        <v>36</v>
      </c>
      <c r="G1" s="4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3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</row>
    <row r="2" spans="1:29" x14ac:dyDescent="0.25">
      <c r="A2">
        <v>1372</v>
      </c>
      <c r="B2" s="3">
        <v>100783</v>
      </c>
      <c r="C2" s="3">
        <v>22854846731.060001</v>
      </c>
      <c r="D2" s="3">
        <v>24501111000</v>
      </c>
      <c r="E2" s="3">
        <v>32.973163893245598</v>
      </c>
      <c r="F2" s="4">
        <v>3.8368233403223999</v>
      </c>
      <c r="G2" s="4">
        <v>3.8368251194171998</v>
      </c>
      <c r="H2" s="2">
        <v>74.929150298696598</v>
      </c>
      <c r="I2" s="2">
        <v>75.889939928972098</v>
      </c>
      <c r="J2" s="2">
        <v>60.356354955343399</v>
      </c>
      <c r="K2" s="2">
        <v>31.255500647235699</v>
      </c>
      <c r="L2" s="2">
        <v>765.86119798311995</v>
      </c>
      <c r="M2" s="3">
        <v>309689.23144459899</v>
      </c>
      <c r="N2" s="7">
        <v>0</v>
      </c>
      <c r="O2" s="7">
        <v>8.9249834761652505E-2</v>
      </c>
      <c r="P2" s="7">
        <v>0.122846453184233</v>
      </c>
      <c r="Q2" s="7">
        <v>0.59997443033055997</v>
      </c>
      <c r="R2" s="7">
        <v>2.7463393378481301E-2</v>
      </c>
      <c r="S2" s="7">
        <v>0.64000011193912698</v>
      </c>
      <c r="T2" s="7">
        <v>0.86815326842840501</v>
      </c>
      <c r="U2" s="7">
        <v>0.41264313941179498</v>
      </c>
      <c r="V2" s="7">
        <v>0.15237148222864</v>
      </c>
      <c r="W2" s="7">
        <v>0.99700030798732797</v>
      </c>
      <c r="X2" s="7">
        <v>2.9996920126718401E-3</v>
      </c>
      <c r="Y2" s="7">
        <v>0.97544714600306603</v>
      </c>
      <c r="Z2" s="7">
        <v>2.1553161984261202E-2</v>
      </c>
      <c r="AA2" s="7">
        <v>2.7556807460191101E-3</v>
      </c>
      <c r="AB2" s="7">
        <v>2.4401126665273099E-4</v>
      </c>
      <c r="AC2" s="7">
        <v>1.3265348289909001E-4</v>
      </c>
    </row>
    <row r="3" spans="1:29" x14ac:dyDescent="0.25">
      <c r="A3">
        <v>1378</v>
      </c>
      <c r="B3" s="3">
        <v>112111</v>
      </c>
      <c r="C3" s="3">
        <v>25905894716.189999</v>
      </c>
      <c r="D3" s="3">
        <v>27611457000</v>
      </c>
      <c r="E3" s="3">
        <v>30.018154824178499</v>
      </c>
      <c r="F3" s="4">
        <v>3.6319537076222401</v>
      </c>
      <c r="G3" s="4">
        <v>3.6319448848627802</v>
      </c>
      <c r="H3" s="2">
        <v>74.520234254819101</v>
      </c>
      <c r="I3" s="2">
        <v>75.495005702116302</v>
      </c>
      <c r="J3" s="2">
        <v>60.569679903644598</v>
      </c>
      <c r="K3" s="2">
        <v>31.0298143374626</v>
      </c>
      <c r="L3" s="2">
        <v>765.28393319481995</v>
      </c>
      <c r="M3" s="3">
        <v>312440.25330319401</v>
      </c>
      <c r="N3" s="7">
        <v>0</v>
      </c>
      <c r="O3" s="7">
        <v>9.2970198695156894E-2</v>
      </c>
      <c r="P3" s="7">
        <v>9.42936448422831E-2</v>
      </c>
      <c r="Q3" s="7">
        <v>0.59390034533317004</v>
      </c>
      <c r="R3" s="7">
        <v>2.85464253214089E-2</v>
      </c>
      <c r="S3" s="7">
        <v>0.62961620287742903</v>
      </c>
      <c r="T3" s="7">
        <v>0.87150465624375195</v>
      </c>
      <c r="U3" s="7">
        <v>0.31474859177221198</v>
      </c>
      <c r="V3" s="7">
        <v>0.177601840938719</v>
      </c>
      <c r="W3" s="7">
        <v>0.99696711655471604</v>
      </c>
      <c r="X3" s="7">
        <v>3.0328834452838802E-3</v>
      </c>
      <c r="Y3" s="7">
        <v>0.97747353718243501</v>
      </c>
      <c r="Z3" s="7">
        <v>1.94935793722808E-2</v>
      </c>
      <c r="AA3" s="7">
        <v>2.7789066715773101E-3</v>
      </c>
      <c r="AB3" s="7">
        <v>2.5397677370656902E-4</v>
      </c>
      <c r="AC3" s="7">
        <v>9.9257688189129302E-5</v>
      </c>
    </row>
    <row r="4" spans="1:29" x14ac:dyDescent="0.25">
      <c r="A4">
        <v>1383</v>
      </c>
      <c r="B4" s="3">
        <v>178974</v>
      </c>
      <c r="C4" s="3">
        <v>42347878129.330002</v>
      </c>
      <c r="D4" s="3">
        <v>44856629000</v>
      </c>
      <c r="E4" s="3">
        <v>27.305259481354899</v>
      </c>
      <c r="F4" s="4">
        <v>3.5838216612422702</v>
      </c>
      <c r="G4" s="4">
        <v>3.5838210121338898</v>
      </c>
      <c r="H4" s="2">
        <v>74.279249223552398</v>
      </c>
      <c r="I4" s="2">
        <v>75.351726496680897</v>
      </c>
      <c r="J4" s="2">
        <v>61.377535352388598</v>
      </c>
      <c r="K4" s="2">
        <v>31.233146006315501</v>
      </c>
      <c r="L4" s="2">
        <v>763.98075620070404</v>
      </c>
      <c r="M4" s="3">
        <v>315849.23723978701</v>
      </c>
      <c r="N4" s="7">
        <v>0</v>
      </c>
      <c r="O4" s="7">
        <v>0.101224966544689</v>
      </c>
      <c r="P4" s="7">
        <v>8.8800805324304302E-2</v>
      </c>
      <c r="Q4" s="7">
        <v>0.59024874674058303</v>
      </c>
      <c r="R4" s="7">
        <v>3.04895545700491E-2</v>
      </c>
      <c r="S4" s="7">
        <v>0.62501364840587703</v>
      </c>
      <c r="T4" s="7">
        <v>0.86655119228285604</v>
      </c>
      <c r="U4" s="7">
        <v>0.29358505861357698</v>
      </c>
      <c r="V4" s="7">
        <v>0.147224241258782</v>
      </c>
      <c r="W4" s="7">
        <v>0.99723700852017505</v>
      </c>
      <c r="X4" s="7">
        <v>2.7629914798248498E-3</v>
      </c>
      <c r="Y4" s="7">
        <v>0.98254927643994106</v>
      </c>
      <c r="Z4" s="7">
        <v>1.46877320802339E-2</v>
      </c>
      <c r="AA4" s="7">
        <v>2.59109317838532E-3</v>
      </c>
      <c r="AB4" s="7">
        <v>1.7189830143952799E-4</v>
      </c>
      <c r="AC4" s="7">
        <v>4.5972519191029402E-5</v>
      </c>
    </row>
    <row r="5" spans="1:29" x14ac:dyDescent="0.25">
      <c r="A5">
        <v>1384</v>
      </c>
      <c r="B5" s="3">
        <v>57358</v>
      </c>
      <c r="C5" s="3">
        <v>12403070778.74</v>
      </c>
      <c r="D5" s="3">
        <v>13086676000</v>
      </c>
      <c r="E5" s="3">
        <v>27.303327778522199</v>
      </c>
      <c r="F5" s="4">
        <v>3.5731708448059898</v>
      </c>
      <c r="G5" s="4">
        <v>3.57319684714713</v>
      </c>
      <c r="H5" s="2">
        <v>90.977240090273895</v>
      </c>
      <c r="I5" s="2">
        <v>91.028148425434907</v>
      </c>
      <c r="J5" s="2">
        <v>76.915173396630706</v>
      </c>
      <c r="K5" s="2">
        <v>32.348669466329397</v>
      </c>
      <c r="L5" s="2">
        <v>756.52841991503101</v>
      </c>
      <c r="M5" s="3">
        <v>274921.53157161397</v>
      </c>
      <c r="N5" s="7">
        <v>1</v>
      </c>
      <c r="O5" s="7">
        <v>7.71563353682012E-3</v>
      </c>
      <c r="P5" s="7">
        <v>0.26700679959647999</v>
      </c>
      <c r="Q5" s="7">
        <v>0.55570687375212902</v>
      </c>
      <c r="R5" s="7">
        <v>1.04995031571713E-3</v>
      </c>
      <c r="S5" s="7">
        <v>0.60074624371102203</v>
      </c>
      <c r="T5" s="7">
        <v>0.97008458066481296</v>
      </c>
      <c r="U5" s="7">
        <v>0.60614254080744101</v>
      </c>
      <c r="V5" s="7">
        <v>9.4060508960387895E-2</v>
      </c>
      <c r="W5" s="7">
        <v>0.99500762735336901</v>
      </c>
      <c r="X5" s="7">
        <v>4.9923726466302E-3</v>
      </c>
      <c r="Y5" s="7">
        <v>0.97847264414005597</v>
      </c>
      <c r="Z5" s="7">
        <v>1.6534983213312999E-2</v>
      </c>
      <c r="AA5" s="7">
        <v>4.56769682852324E-3</v>
      </c>
      <c r="AB5" s="7">
        <v>4.2467581810696402E-4</v>
      </c>
      <c r="AC5" s="7">
        <v>1.24871884360667E-4</v>
      </c>
    </row>
    <row r="6" spans="1:29" x14ac:dyDescent="0.25">
      <c r="A6">
        <v>1387</v>
      </c>
      <c r="B6" s="3">
        <v>230558</v>
      </c>
      <c r="C6" s="3">
        <v>53944428669.5</v>
      </c>
      <c r="D6" s="3">
        <v>56711581000</v>
      </c>
      <c r="E6" s="3">
        <v>24.15510004758</v>
      </c>
      <c r="F6" s="4">
        <v>3.7404749177170902</v>
      </c>
      <c r="G6" s="4">
        <v>3.7404785636712399</v>
      </c>
      <c r="H6" s="2">
        <v>74.781346697339302</v>
      </c>
      <c r="I6" s="2">
        <v>75.860761764237196</v>
      </c>
      <c r="J6" s="2">
        <v>63.066550752636701</v>
      </c>
      <c r="K6" s="2">
        <v>32.000581663350097</v>
      </c>
      <c r="L6" s="2">
        <v>761.32538182584506</v>
      </c>
      <c r="M6" s="3">
        <v>313911.88416923099</v>
      </c>
      <c r="N6" s="7">
        <v>0</v>
      </c>
      <c r="O6" s="7">
        <v>9.6605375677404501E-2</v>
      </c>
      <c r="P6" s="7">
        <v>0.121778369530202</v>
      </c>
      <c r="Q6" s="7">
        <v>0.567244494025959</v>
      </c>
      <c r="R6" s="7">
        <v>3.0733882594948699E-2</v>
      </c>
      <c r="S6" s="7">
        <v>0.609832495405774</v>
      </c>
      <c r="T6" s="7">
        <v>0.85923751134594395</v>
      </c>
      <c r="U6" s="7">
        <v>0.39393892172844702</v>
      </c>
      <c r="V6" s="7">
        <v>0.138102978327623</v>
      </c>
      <c r="W6" s="7">
        <v>0.99678110204069703</v>
      </c>
      <c r="X6" s="7">
        <v>3.21889795930263E-3</v>
      </c>
      <c r="Y6" s="7">
        <v>0.98205419407792605</v>
      </c>
      <c r="Z6" s="7">
        <v>1.47269079627711E-2</v>
      </c>
      <c r="AA6" s="7">
        <v>2.9790611124010501E-3</v>
      </c>
      <c r="AB6" s="7">
        <v>2.39836846901578E-4</v>
      </c>
      <c r="AC6" s="7">
        <v>1.61705664795223E-5</v>
      </c>
    </row>
    <row r="7" spans="1:29" x14ac:dyDescent="0.25">
      <c r="A7">
        <v>1388</v>
      </c>
      <c r="B7" s="3">
        <v>79578</v>
      </c>
      <c r="C7" s="3">
        <v>17076873749.98</v>
      </c>
      <c r="D7" s="3">
        <v>17919934000</v>
      </c>
      <c r="E7" s="3">
        <v>24.054456591047899</v>
      </c>
      <c r="F7" s="4">
        <v>3.73091919313481</v>
      </c>
      <c r="G7" s="4">
        <v>3.7309182328705299</v>
      </c>
      <c r="H7" s="2">
        <v>91.566649465009405</v>
      </c>
      <c r="I7" s="2">
        <v>91.603330838302995</v>
      </c>
      <c r="J7" s="2">
        <v>78.853060277343104</v>
      </c>
      <c r="K7" s="2">
        <v>32.838565106713702</v>
      </c>
      <c r="L7" s="2">
        <v>754.61412830066502</v>
      </c>
      <c r="M7" s="3">
        <v>270744.48787422403</v>
      </c>
      <c r="N7" s="7">
        <v>1</v>
      </c>
      <c r="O7" s="7">
        <v>5.8673510073889998E-3</v>
      </c>
      <c r="P7" s="7">
        <v>0.32486391187242297</v>
      </c>
      <c r="Q7" s="7">
        <v>0.53891285663751898</v>
      </c>
      <c r="R7" s="7">
        <v>1.0981944590427099E-3</v>
      </c>
      <c r="S7" s="7">
        <v>0.59260728557777398</v>
      </c>
      <c r="T7" s="7">
        <v>0.96945809953238005</v>
      </c>
      <c r="U7" s="7">
        <v>0.71902091026903403</v>
      </c>
      <c r="V7" s="7">
        <v>9.2057872487453396E-2</v>
      </c>
      <c r="W7" s="7">
        <v>0.99518239043196599</v>
      </c>
      <c r="X7" s="7">
        <v>4.8176095680332702E-3</v>
      </c>
      <c r="Y7" s="7">
        <v>0.97960161835298398</v>
      </c>
      <c r="Z7" s="7">
        <v>1.55807720789826E-2</v>
      </c>
      <c r="AA7" s="7">
        <v>4.2601495750992004E-3</v>
      </c>
      <c r="AB7" s="7">
        <v>5.5745999293407801E-4</v>
      </c>
      <c r="AC7" s="7">
        <v>1.6021756324123401E-5</v>
      </c>
    </row>
    <row r="8" spans="1:29" x14ac:dyDescent="0.25">
      <c r="A8">
        <v>1392</v>
      </c>
      <c r="B8" s="3">
        <v>143199</v>
      </c>
      <c r="C8" s="3">
        <v>32136335636.279999</v>
      </c>
      <c r="D8" s="3">
        <v>33581355000</v>
      </c>
      <c r="E8" s="3">
        <v>21.752533775103</v>
      </c>
      <c r="F8" s="4">
        <v>3.9795648009076601</v>
      </c>
      <c r="G8" s="4">
        <v>3.9795642197666798</v>
      </c>
      <c r="H8" s="2">
        <v>75.294704447497296</v>
      </c>
      <c r="I8" s="2">
        <v>76.335788074537206</v>
      </c>
      <c r="J8" s="2">
        <v>65.407812708045398</v>
      </c>
      <c r="K8" s="2">
        <v>32.575259805596403</v>
      </c>
      <c r="L8" s="2">
        <v>757.53083361946801</v>
      </c>
      <c r="M8" s="3">
        <v>301496.10100748501</v>
      </c>
      <c r="N8" s="7">
        <v>0</v>
      </c>
      <c r="O8" s="7">
        <v>9.1168823801503804E-2</v>
      </c>
      <c r="P8" s="7">
        <v>0.15312355619427401</v>
      </c>
      <c r="Q8" s="7">
        <v>0.55612439576352302</v>
      </c>
      <c r="R8" s="7">
        <v>3.2753913877526401E-2</v>
      </c>
      <c r="S8" s="7">
        <v>0.60401360337662102</v>
      </c>
      <c r="T8" s="7">
        <v>0.84726501419381495</v>
      </c>
      <c r="U8" s="7">
        <v>0.50852625277819896</v>
      </c>
      <c r="V8" s="7">
        <v>0.122750711337063</v>
      </c>
      <c r="W8" s="7">
        <v>0.99681686949321802</v>
      </c>
      <c r="X8" s="7">
        <v>3.1831305067811099E-3</v>
      </c>
      <c r="Y8" s="7">
        <v>0.98602086173344405</v>
      </c>
      <c r="Z8" s="7">
        <v>1.0796007759774601E-2</v>
      </c>
      <c r="AA8" s="7">
        <v>3.0454688788322899E-3</v>
      </c>
      <c r="AB8" s="7">
        <v>1.3766162794882E-4</v>
      </c>
      <c r="AC8" s="7">
        <v>1.00540694389324E-5</v>
      </c>
    </row>
    <row r="9" spans="1:29" x14ac:dyDescent="0.25">
      <c r="A9">
        <v>1393</v>
      </c>
      <c r="B9" s="3">
        <v>74636</v>
      </c>
      <c r="C9" s="3">
        <v>16210833900.969999</v>
      </c>
      <c r="D9" s="3">
        <v>16878588000</v>
      </c>
      <c r="E9" s="3">
        <v>21.70972145248</v>
      </c>
      <c r="F9" s="4">
        <v>4.0289984830016197</v>
      </c>
      <c r="G9" s="4">
        <v>4.0290015086528603</v>
      </c>
      <c r="H9" s="2">
        <v>92.241305971627099</v>
      </c>
      <c r="I9" s="2">
        <v>92.263841538776902</v>
      </c>
      <c r="J9" s="2">
        <v>81.437236718223502</v>
      </c>
      <c r="K9" s="2">
        <v>33.434469982605798</v>
      </c>
      <c r="L9" s="2">
        <v>752.90798863362704</v>
      </c>
      <c r="M9" s="3">
        <v>270334.18995615101</v>
      </c>
      <c r="N9" s="7">
        <v>0.99837945332544298</v>
      </c>
      <c r="O9" s="7">
        <v>3.6814002064649502E-3</v>
      </c>
      <c r="P9" s="7">
        <v>0.360469650150467</v>
      </c>
      <c r="Q9" s="7">
        <v>0.52926132400731096</v>
      </c>
      <c r="R9" s="7">
        <v>1.2787866501278199E-3</v>
      </c>
      <c r="S9" s="7">
        <v>0.59101100330974998</v>
      </c>
      <c r="T9" s="7">
        <v>0.97389601687272298</v>
      </c>
      <c r="U9" s="7">
        <v>0.81179310683163297</v>
      </c>
      <c r="V9" s="7">
        <v>9.2243015858087599E-2</v>
      </c>
      <c r="W9" s="7">
        <v>0.99529692506407996</v>
      </c>
      <c r="X9" s="7">
        <v>4.7030749359191198E-3</v>
      </c>
      <c r="Y9" s="7">
        <v>0.98493221122539598</v>
      </c>
      <c r="Z9" s="7">
        <v>1.03647138386845E-2</v>
      </c>
      <c r="AA9" s="7">
        <v>4.3317198923244898E-3</v>
      </c>
      <c r="AB9" s="7">
        <v>3.7135504359462799E-4</v>
      </c>
      <c r="AC9" s="7">
        <v>0</v>
      </c>
    </row>
    <row r="10" spans="1:29" x14ac:dyDescent="0.25">
      <c r="A10">
        <v>1397</v>
      </c>
      <c r="B10" s="3">
        <v>131082</v>
      </c>
      <c r="C10" s="3">
        <v>26905103057.73</v>
      </c>
      <c r="D10" s="3">
        <v>27945670000</v>
      </c>
      <c r="E10" s="3">
        <v>19.344654731542299</v>
      </c>
      <c r="F10" s="4">
        <v>4.5533943430156398</v>
      </c>
      <c r="G10" s="4">
        <v>4.5533949015289901</v>
      </c>
      <c r="H10" s="2">
        <v>75.872860512214302</v>
      </c>
      <c r="I10" s="2">
        <v>76.835617849467397</v>
      </c>
      <c r="J10" s="2">
        <v>67.634878778517802</v>
      </c>
      <c r="K10" s="2">
        <v>33.650691204330101</v>
      </c>
      <c r="L10" s="2">
        <v>757.272460454662</v>
      </c>
      <c r="M10" s="3">
        <v>277515.74420893099</v>
      </c>
      <c r="N10" s="7">
        <v>0</v>
      </c>
      <c r="O10" s="7">
        <v>7.9358962931998706E-2</v>
      </c>
      <c r="P10" s="7">
        <v>0.185791798184687</v>
      </c>
      <c r="Q10" s="7">
        <v>0.53121607670273097</v>
      </c>
      <c r="R10" s="7">
        <v>3.95005014832924E-2</v>
      </c>
      <c r="S10" s="7">
        <v>0.60198769533672603</v>
      </c>
      <c r="T10" s="7">
        <v>0.82158421741481302</v>
      </c>
      <c r="U10" s="7">
        <v>0.62612026226378203</v>
      </c>
      <c r="V10" s="7">
        <v>0.109312627979509</v>
      </c>
      <c r="W10" s="7">
        <v>0.995790820043431</v>
      </c>
      <c r="X10" s="7">
        <v>4.2091799565682399E-3</v>
      </c>
      <c r="Y10" s="7">
        <v>0.98701135986209798</v>
      </c>
      <c r="Z10" s="7">
        <v>8.7794601813329497E-3</v>
      </c>
      <c r="AA10" s="7">
        <v>4.0138358614825297E-3</v>
      </c>
      <c r="AB10" s="7">
        <v>1.9534409508570799E-4</v>
      </c>
      <c r="AC10" s="7">
        <v>0</v>
      </c>
    </row>
    <row r="11" spans="1:29" x14ac:dyDescent="0.25">
      <c r="A11">
        <v>1398</v>
      </c>
      <c r="B11" s="3">
        <v>79915</v>
      </c>
      <c r="C11" s="3">
        <v>16461150315.379999</v>
      </c>
      <c r="D11" s="3">
        <v>17011927000</v>
      </c>
      <c r="E11" s="3">
        <v>19.303459379312098</v>
      </c>
      <c r="F11" s="4">
        <v>4.5969196438696702</v>
      </c>
      <c r="G11" s="4">
        <v>4.5969214346990999</v>
      </c>
      <c r="H11" s="2">
        <v>92.6911320774703</v>
      </c>
      <c r="I11" s="2">
        <v>92.710565330422298</v>
      </c>
      <c r="J11" s="2">
        <v>83.518350282382102</v>
      </c>
      <c r="K11" s="2">
        <v>34.3038597617753</v>
      </c>
      <c r="L11" s="2">
        <v>754.69066873074098</v>
      </c>
      <c r="M11" s="3">
        <v>255894.93292117101</v>
      </c>
      <c r="N11" s="7">
        <v>0.99292524850519104</v>
      </c>
      <c r="O11" s="7">
        <v>3.0512687326031802E-3</v>
      </c>
      <c r="P11" s="7">
        <v>0.40990520365369898</v>
      </c>
      <c r="Q11" s="7">
        <v>0.51373300614591799</v>
      </c>
      <c r="R11" s="7">
        <v>1.42175474141278E-3</v>
      </c>
      <c r="S11" s="7">
        <v>0.59093896114607203</v>
      </c>
      <c r="T11" s="7">
        <v>0.970059078108927</v>
      </c>
      <c r="U11" s="7">
        <v>0.89055384648807201</v>
      </c>
      <c r="V11" s="7">
        <v>8.7347175690789897E-2</v>
      </c>
      <c r="W11" s="7">
        <v>0.99513244356045105</v>
      </c>
      <c r="X11" s="7">
        <v>4.8675564395482696E-3</v>
      </c>
      <c r="Y11" s="7">
        <v>0.987168366185038</v>
      </c>
      <c r="Z11" s="7">
        <v>7.9640773754135804E-3</v>
      </c>
      <c r="AA11" s="7">
        <v>4.56892282307451E-3</v>
      </c>
      <c r="AB11" s="7">
        <v>2.9863361647375298E-4</v>
      </c>
      <c r="AC11" s="7">
        <v>0</v>
      </c>
    </row>
    <row r="12" spans="1:29" x14ac:dyDescent="0.25">
      <c r="A12">
        <v>1399</v>
      </c>
      <c r="B12" s="3">
        <v>129578</v>
      </c>
      <c r="C12" s="3">
        <v>26524443952.279999</v>
      </c>
      <c r="D12" s="3">
        <v>27339314000</v>
      </c>
      <c r="E12" s="3">
        <v>15.32890716981</v>
      </c>
      <c r="F12" s="4">
        <v>4.6031513805262998</v>
      </c>
      <c r="G12" s="4">
        <v>4.60315332677468</v>
      </c>
      <c r="H12" s="2">
        <v>75.958169713069296</v>
      </c>
      <c r="I12" s="2">
        <v>76.920558376849598</v>
      </c>
      <c r="J12" s="2">
        <v>69.457645905629704</v>
      </c>
      <c r="K12" s="2">
        <v>34.158505789778403</v>
      </c>
      <c r="L12" s="2">
        <v>752.49466140269499</v>
      </c>
      <c r="M12" s="3">
        <v>274847.76600647799</v>
      </c>
      <c r="N12" s="7">
        <v>0</v>
      </c>
      <c r="O12" s="7">
        <v>7.8980928349298096E-2</v>
      </c>
      <c r="P12" s="7">
        <v>0.18237150554985301</v>
      </c>
      <c r="Q12" s="7">
        <v>0.51785255720164802</v>
      </c>
      <c r="R12" s="7">
        <v>4.33336579714124E-2</v>
      </c>
      <c r="S12" s="7">
        <v>0.59479099461438001</v>
      </c>
      <c r="T12" s="7">
        <v>0.80895855021630203</v>
      </c>
      <c r="U12" s="7">
        <v>0.61146320090551198</v>
      </c>
      <c r="V12" s="7">
        <v>0.11489798068087401</v>
      </c>
      <c r="W12" s="7">
        <v>0.99630538881205899</v>
      </c>
      <c r="X12" s="7">
        <v>3.6946111879407099E-3</v>
      </c>
      <c r="Y12" s="7">
        <v>0.99368056145412198</v>
      </c>
      <c r="Z12" s="7">
        <v>2.6248273579365699E-3</v>
      </c>
      <c r="AA12" s="7">
        <v>3.6946111879407099E-3</v>
      </c>
      <c r="AB12" s="7">
        <v>0</v>
      </c>
      <c r="AC12" s="7">
        <v>0</v>
      </c>
    </row>
    <row r="13" spans="1:29" x14ac:dyDescent="0.25">
      <c r="A13">
        <v>1400</v>
      </c>
      <c r="B13" s="3">
        <v>78787</v>
      </c>
      <c r="C13" s="3">
        <v>16269256589.57</v>
      </c>
      <c r="D13" s="3">
        <v>16707432000</v>
      </c>
      <c r="E13" s="3">
        <v>15.2850299637355</v>
      </c>
      <c r="F13" s="4">
        <v>4.6080825742289999</v>
      </c>
      <c r="G13" s="4">
        <v>4.6080843930222004</v>
      </c>
      <c r="H13" s="2">
        <v>92.481167909673701</v>
      </c>
      <c r="I13" s="2">
        <v>92.500070373776893</v>
      </c>
      <c r="J13" s="2">
        <v>85.049924287133507</v>
      </c>
      <c r="K13" s="2">
        <v>34.640794047327397</v>
      </c>
      <c r="L13" s="2">
        <v>750.70937195390695</v>
      </c>
      <c r="M13" s="3">
        <v>256738.880214604</v>
      </c>
      <c r="N13" s="7">
        <v>0.98774557769973204</v>
      </c>
      <c r="O13" s="7">
        <v>3.2088649449089398E-3</v>
      </c>
      <c r="P13" s="7">
        <v>0.42167444684153899</v>
      </c>
      <c r="Q13" s="7">
        <v>0.49911005659875801</v>
      </c>
      <c r="R13" s="7">
        <v>2.5771557120120398E-3</v>
      </c>
      <c r="S13" s="7">
        <v>0.57189539438727999</v>
      </c>
      <c r="T13" s="7">
        <v>0.96489147901962602</v>
      </c>
      <c r="U13" s="7">
        <v>0.88103468993286305</v>
      </c>
      <c r="V13" s="7">
        <v>9.2251030404928103E-2</v>
      </c>
      <c r="W13" s="7">
        <v>0.99640004098358403</v>
      </c>
      <c r="X13" s="7">
        <v>3.5999590164155098E-3</v>
      </c>
      <c r="Y13" s="7">
        <v>0.99425251607440002</v>
      </c>
      <c r="Z13" s="7">
        <v>2.1475249091835302E-3</v>
      </c>
      <c r="AA13" s="7">
        <v>3.5999590164155098E-3</v>
      </c>
      <c r="AB13" s="7">
        <v>0</v>
      </c>
      <c r="AC13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7"/>
  <sheetViews>
    <sheetView tabSelected="1" workbookViewId="0"/>
  </sheetViews>
  <sheetFormatPr defaultRowHeight="15" x14ac:dyDescent="0.25"/>
  <cols>
    <col min="1" max="1" width="11.140625" bestFit="1" customWidth="1"/>
    <col min="2" max="2" width="10.140625" bestFit="1" customWidth="1"/>
    <col min="3" max="3" width="11.5703125" style="3" bestFit="1" customWidth="1"/>
    <col min="4" max="4" width="18" style="3" bestFit="1" customWidth="1"/>
    <col min="5" max="5" width="19.140625" style="3" bestFit="1" customWidth="1"/>
    <col min="6" max="6" width="14.5703125" style="3" bestFit="1" customWidth="1"/>
    <col min="7" max="8" width="12.140625" style="5" bestFit="1" customWidth="1"/>
    <col min="9" max="9" width="8.140625" style="4" bestFit="1" customWidth="1"/>
    <col min="10" max="10" width="7.140625" style="4" bestFit="1" customWidth="1"/>
    <col min="11" max="11" width="12.140625" style="7" bestFit="1" customWidth="1"/>
    <col min="12" max="12" width="16.85546875" style="3" bestFit="1" customWidth="1"/>
    <col min="13" max="13" width="14.28515625" style="3" bestFit="1" customWidth="1"/>
    <col min="14" max="14" width="11.85546875" style="9" bestFit="1" customWidth="1"/>
    <col min="15" max="15" width="11.42578125" style="9" bestFit="1" customWidth="1"/>
    <col min="17" max="17" width="11.140625" bestFit="1" customWidth="1"/>
    <col min="18" max="18" width="14.28515625" style="3" bestFit="1" customWidth="1"/>
    <col min="19" max="19" width="16.85546875" style="3" bestFit="1" customWidth="1"/>
    <col min="20" max="20" width="16.140625" bestFit="1" customWidth="1"/>
    <col min="21" max="21" width="16.42578125" bestFit="1" customWidth="1"/>
  </cols>
  <sheetData>
    <row r="1" spans="1:23" x14ac:dyDescent="0.25">
      <c r="A1" t="s">
        <v>0</v>
      </c>
      <c r="B1" t="s">
        <v>19</v>
      </c>
      <c r="C1" s="3" t="s">
        <v>20</v>
      </c>
      <c r="D1" s="3" t="s">
        <v>21</v>
      </c>
      <c r="E1" s="3" t="s">
        <v>1</v>
      </c>
      <c r="F1" s="3" t="s">
        <v>22</v>
      </c>
      <c r="G1" s="5" t="s">
        <v>23</v>
      </c>
      <c r="H1" s="5" t="s">
        <v>24</v>
      </c>
      <c r="I1" s="4" t="s">
        <v>25</v>
      </c>
      <c r="J1" s="4" t="s">
        <v>26</v>
      </c>
      <c r="K1" s="7" t="s">
        <v>27</v>
      </c>
      <c r="L1" s="3" t="s">
        <v>18</v>
      </c>
      <c r="M1" s="3" t="s">
        <v>17</v>
      </c>
      <c r="N1" s="9" t="s">
        <v>28</v>
      </c>
      <c r="O1" s="9" t="s">
        <v>29</v>
      </c>
      <c r="Q1" t="s">
        <v>60</v>
      </c>
      <c r="R1" s="3" t="s">
        <v>17</v>
      </c>
      <c r="S1" s="3" t="s">
        <v>18</v>
      </c>
      <c r="T1" s="3" t="s">
        <v>33</v>
      </c>
      <c r="U1" s="3" t="s">
        <v>34</v>
      </c>
      <c r="V1" t="s">
        <v>61</v>
      </c>
      <c r="W1" t="s">
        <v>62</v>
      </c>
    </row>
    <row r="2" spans="1:23" x14ac:dyDescent="0.25">
      <c r="A2">
        <v>1372</v>
      </c>
      <c r="B2" s="1">
        <v>41487</v>
      </c>
      <c r="C2" s="3">
        <v>112871</v>
      </c>
      <c r="D2" s="3">
        <v>26756375869.560001</v>
      </c>
      <c r="E2" s="3">
        <v>88199050.409999996</v>
      </c>
      <c r="F2" s="3">
        <v>0</v>
      </c>
      <c r="G2" s="5">
        <v>3.2963750711224502E-3</v>
      </c>
      <c r="H2" s="5">
        <v>0</v>
      </c>
      <c r="I2" s="4">
        <v>3.8847</v>
      </c>
      <c r="J2" s="4">
        <v>0</v>
      </c>
      <c r="K2" s="7">
        <v>0</v>
      </c>
      <c r="L2" s="3">
        <v>88199050.409999996</v>
      </c>
      <c r="M2" s="3">
        <v>0</v>
      </c>
      <c r="N2" s="9">
        <v>3.5000000000000001E-3</v>
      </c>
      <c r="O2" s="9">
        <v>0</v>
      </c>
      <c r="Q2">
        <v>1372</v>
      </c>
      <c r="R2" s="3">
        <v>18406623.710000001</v>
      </c>
      <c r="S2" s="3">
        <v>2709030243.77</v>
      </c>
      <c r="T2" s="3">
        <v>22854846731.060001</v>
      </c>
      <c r="U2" s="3">
        <v>24501111000</v>
      </c>
      <c r="V2" s="7">
        <f>S2/U2</f>
        <v>0.11056764910660581</v>
      </c>
      <c r="W2" s="7">
        <f>R2/U2</f>
        <v>7.5125669648204939E-4</v>
      </c>
    </row>
    <row r="3" spans="1:23" x14ac:dyDescent="0.25">
      <c r="A3">
        <v>1372</v>
      </c>
      <c r="B3" s="1">
        <v>41518</v>
      </c>
      <c r="C3" s="3">
        <v>112464</v>
      </c>
      <c r="D3" s="3">
        <v>26615084296.130001</v>
      </c>
      <c r="E3" s="3">
        <v>103986117.13</v>
      </c>
      <c r="F3" s="3">
        <v>168768.63</v>
      </c>
      <c r="G3" s="5">
        <v>3.9070369258653896E-3</v>
      </c>
      <c r="H3" s="5">
        <v>6.3410894409430797E-6</v>
      </c>
      <c r="I3" s="4">
        <v>4.5888999999999998</v>
      </c>
      <c r="J3" s="4">
        <v>7.6E-3</v>
      </c>
      <c r="K3" s="7">
        <v>1.19693570892173E-3</v>
      </c>
      <c r="L3" s="3">
        <v>192185167.53999999</v>
      </c>
      <c r="M3" s="3">
        <v>168768.63</v>
      </c>
      <c r="N3" s="9">
        <v>7.7999999999999996E-3</v>
      </c>
      <c r="O3" s="9">
        <v>0</v>
      </c>
      <c r="Q3">
        <v>1378</v>
      </c>
      <c r="R3" s="3">
        <v>13125931.17</v>
      </c>
      <c r="S3" s="3">
        <v>2273411446.0300002</v>
      </c>
      <c r="T3" s="3">
        <v>25905894716.189999</v>
      </c>
      <c r="U3" s="3">
        <v>27611457000</v>
      </c>
      <c r="V3" s="7">
        <f>S3/U3</f>
        <v>8.2335801621406662E-2</v>
      </c>
      <c r="W3" s="7">
        <f t="shared" ref="W3:W13" si="0">R3/U3</f>
        <v>4.7537988198159914E-4</v>
      </c>
    </row>
    <row r="4" spans="1:23" x14ac:dyDescent="0.25">
      <c r="A4">
        <v>1372</v>
      </c>
      <c r="B4" s="1">
        <v>41548</v>
      </c>
      <c r="C4" s="3">
        <v>112005</v>
      </c>
      <c r="D4" s="3">
        <v>26457457865.02</v>
      </c>
      <c r="E4" s="3">
        <v>90371495.25</v>
      </c>
      <c r="F4" s="3">
        <v>0</v>
      </c>
      <c r="G4" s="5">
        <v>3.41572859006541E-3</v>
      </c>
      <c r="H4" s="5">
        <v>0</v>
      </c>
      <c r="I4" s="4">
        <v>4.0227000000000004</v>
      </c>
      <c r="J4" s="4">
        <v>0</v>
      </c>
      <c r="K4" s="7">
        <v>1.42030296454453E-3</v>
      </c>
      <c r="L4" s="3">
        <v>282556662.79000002</v>
      </c>
      <c r="M4" s="3">
        <v>168768.63</v>
      </c>
      <c r="N4" s="9">
        <v>1.15E-2</v>
      </c>
      <c r="O4" s="9">
        <v>0</v>
      </c>
      <c r="Q4">
        <v>1383</v>
      </c>
      <c r="R4" s="3">
        <v>10979119.75</v>
      </c>
      <c r="S4" s="3">
        <v>3097160547.7199998</v>
      </c>
      <c r="T4" s="3">
        <v>42347878129.330002</v>
      </c>
      <c r="U4" s="3">
        <v>44856629000</v>
      </c>
      <c r="V4" s="7">
        <f>S4/U4</f>
        <v>6.9045771311080903E-2</v>
      </c>
      <c r="W4" s="7">
        <f t="shared" si="0"/>
        <v>2.4476025048605416E-4</v>
      </c>
    </row>
    <row r="5" spans="1:23" x14ac:dyDescent="0.25">
      <c r="A5">
        <v>1372</v>
      </c>
      <c r="B5" s="1">
        <v>41579</v>
      </c>
      <c r="C5" s="3">
        <v>111601</v>
      </c>
      <c r="D5" s="3">
        <v>26312077411.34</v>
      </c>
      <c r="E5" s="3">
        <v>91876078.200000003</v>
      </c>
      <c r="F5" s="3">
        <v>0</v>
      </c>
      <c r="G5" s="5">
        <v>3.4917835168880701E-3</v>
      </c>
      <c r="H5" s="5">
        <v>0</v>
      </c>
      <c r="I5" s="4">
        <v>4.1105</v>
      </c>
      <c r="J5" s="4">
        <v>0</v>
      </c>
      <c r="K5" s="7">
        <v>2.0281627978564901E-3</v>
      </c>
      <c r="L5" s="3">
        <v>374432740.99000001</v>
      </c>
      <c r="M5" s="3">
        <v>168768.63</v>
      </c>
      <c r="N5" s="9">
        <v>1.52E-2</v>
      </c>
      <c r="O5" s="9">
        <v>0</v>
      </c>
      <c r="Q5">
        <v>1384</v>
      </c>
      <c r="R5" s="3">
        <v>7499696.2300000004</v>
      </c>
      <c r="S5" s="3">
        <v>1182850486.3299999</v>
      </c>
      <c r="T5" s="3">
        <v>12403070778.74</v>
      </c>
      <c r="U5" s="3">
        <v>13086676000</v>
      </c>
      <c r="V5" s="7">
        <f>S5/U5</f>
        <v>9.0385861645080834E-2</v>
      </c>
      <c r="W5" s="7">
        <f t="shared" si="0"/>
        <v>5.7307877340281063E-4</v>
      </c>
    </row>
    <row r="6" spans="1:23" x14ac:dyDescent="0.25">
      <c r="A6">
        <v>1372</v>
      </c>
      <c r="B6" s="1">
        <v>41609</v>
      </c>
      <c r="C6" s="3">
        <v>111178</v>
      </c>
      <c r="D6" s="3">
        <v>26161767480.869999</v>
      </c>
      <c r="E6" s="3">
        <v>68609285.680000007</v>
      </c>
      <c r="F6" s="3">
        <v>458106.25</v>
      </c>
      <c r="G6" s="5">
        <v>2.6225019288229801E-3</v>
      </c>
      <c r="H6" s="5">
        <v>1.7510523718818899E-5</v>
      </c>
      <c r="I6" s="4">
        <v>3.1019999999999999</v>
      </c>
      <c r="J6" s="4">
        <v>2.1000000000000001E-2</v>
      </c>
      <c r="K6" s="7">
        <v>1.84547209607699E-3</v>
      </c>
      <c r="L6" s="3">
        <v>443042026.67000002</v>
      </c>
      <c r="M6" s="3">
        <v>626874.88</v>
      </c>
      <c r="N6" s="9">
        <v>1.7999999999999999E-2</v>
      </c>
      <c r="O6" s="9">
        <v>0</v>
      </c>
      <c r="Q6">
        <v>1387</v>
      </c>
      <c r="R6" s="3">
        <v>11426675.25</v>
      </c>
      <c r="S6" s="3">
        <v>3806605739.9299998</v>
      </c>
      <c r="T6" s="3">
        <v>53944428669.5</v>
      </c>
      <c r="U6" s="3">
        <v>56711581000</v>
      </c>
      <c r="V6" s="7">
        <f>S6/U6</f>
        <v>6.7122193964756507E-2</v>
      </c>
      <c r="W6" s="7">
        <f t="shared" si="0"/>
        <v>2.0148751010838509E-4</v>
      </c>
    </row>
    <row r="7" spans="1:23" x14ac:dyDescent="0.25">
      <c r="A7">
        <v>1372</v>
      </c>
      <c r="B7" s="1">
        <v>41640</v>
      </c>
      <c r="C7" s="3">
        <v>110861</v>
      </c>
      <c r="D7" s="3">
        <v>26036545442.220001</v>
      </c>
      <c r="E7" s="3">
        <v>65888854.789999999</v>
      </c>
      <c r="F7" s="3">
        <v>1023311.22</v>
      </c>
      <c r="G7" s="5">
        <v>2.53062968496415E-3</v>
      </c>
      <c r="H7" s="5">
        <v>3.9302879956594797E-5</v>
      </c>
      <c r="I7" s="4">
        <v>2.9948000000000001</v>
      </c>
      <c r="J7" s="4">
        <v>4.7100000000000003E-2</v>
      </c>
      <c r="K7" s="7">
        <v>1.8508419827408199E-3</v>
      </c>
      <c r="L7" s="3">
        <v>508930881.45999998</v>
      </c>
      <c r="M7" s="3">
        <v>1650186.1</v>
      </c>
      <c r="N7" s="9">
        <v>2.07E-2</v>
      </c>
      <c r="O7" s="9">
        <v>0</v>
      </c>
      <c r="Q7">
        <v>1388</v>
      </c>
      <c r="R7" s="3">
        <v>8318848.7599999998</v>
      </c>
      <c r="S7" s="3">
        <v>1488043474.8699999</v>
      </c>
      <c r="T7" s="3">
        <v>17076873749.98</v>
      </c>
      <c r="U7" s="3">
        <v>17919934000</v>
      </c>
      <c r="V7" s="7">
        <f>S7/U7</f>
        <v>8.3038446172290586E-2</v>
      </c>
      <c r="W7" s="7">
        <f t="shared" si="0"/>
        <v>4.6422318073269687E-4</v>
      </c>
    </row>
    <row r="8" spans="1:23" x14ac:dyDescent="0.25">
      <c r="A8">
        <v>1372</v>
      </c>
      <c r="B8" s="1">
        <v>41671</v>
      </c>
      <c r="C8" s="3">
        <v>110552</v>
      </c>
      <c r="D8" s="3">
        <v>25916391802.970001</v>
      </c>
      <c r="E8" s="3">
        <v>91429386.430000007</v>
      </c>
      <c r="F8" s="3">
        <v>854011.18</v>
      </c>
      <c r="G8" s="5">
        <v>3.52785939976112E-3</v>
      </c>
      <c r="H8" s="5">
        <v>3.29525493553516E-5</v>
      </c>
      <c r="I8" s="4">
        <v>4.1521999999999997</v>
      </c>
      <c r="J8" s="4">
        <v>3.95E-2</v>
      </c>
      <c r="K8" s="7">
        <v>2.6172817649803598E-3</v>
      </c>
      <c r="L8" s="3">
        <v>600360267.88999999</v>
      </c>
      <c r="M8" s="3">
        <v>2504197.2799999998</v>
      </c>
      <c r="N8" s="9">
        <v>2.4500000000000001E-2</v>
      </c>
      <c r="O8" s="9">
        <v>1E-4</v>
      </c>
      <c r="Q8">
        <v>1392</v>
      </c>
      <c r="R8" s="3">
        <v>2540140.7400000002</v>
      </c>
      <c r="S8" s="3">
        <v>3135632949.1599998</v>
      </c>
      <c r="T8" s="3">
        <v>32136335636.279999</v>
      </c>
      <c r="U8" s="3">
        <v>33581355000</v>
      </c>
      <c r="V8" s="7">
        <f>S8/U8</f>
        <v>9.3374223558281066E-2</v>
      </c>
      <c r="W8" s="7">
        <f t="shared" si="0"/>
        <v>7.5641401009578086E-5</v>
      </c>
    </row>
    <row r="9" spans="1:23" x14ac:dyDescent="0.25">
      <c r="A9">
        <v>1372</v>
      </c>
      <c r="B9" s="1">
        <v>41699</v>
      </c>
      <c r="C9" s="3">
        <v>110126</v>
      </c>
      <c r="D9" s="3">
        <v>25765457636</v>
      </c>
      <c r="E9" s="3">
        <v>104346597.17</v>
      </c>
      <c r="F9" s="3">
        <v>351476.64</v>
      </c>
      <c r="G9" s="5">
        <v>4.0498639164167098E-3</v>
      </c>
      <c r="H9" s="5">
        <v>1.36413893735351E-5</v>
      </c>
      <c r="I9" s="4">
        <v>4.7530000000000001</v>
      </c>
      <c r="J9" s="4">
        <v>1.6299999999999999E-2</v>
      </c>
      <c r="K9" s="7">
        <v>1.8281475231469E-3</v>
      </c>
      <c r="L9" s="3">
        <v>704706865.05999994</v>
      </c>
      <c r="M9" s="3">
        <v>2855673.92</v>
      </c>
      <c r="N9" s="9">
        <v>2.87E-2</v>
      </c>
      <c r="O9" s="9">
        <v>1E-4</v>
      </c>
      <c r="Q9">
        <v>1393</v>
      </c>
      <c r="R9" s="3">
        <v>2214449.63</v>
      </c>
      <c r="S9" s="3">
        <v>1556432522.46</v>
      </c>
      <c r="T9" s="3">
        <v>16210833900.969999</v>
      </c>
      <c r="U9" s="3">
        <v>16878588000</v>
      </c>
      <c r="V9" s="7">
        <f>S9/U9</f>
        <v>9.2213431743224022E-2</v>
      </c>
      <c r="W9" s="7">
        <f t="shared" si="0"/>
        <v>1.3119874897118172E-4</v>
      </c>
    </row>
    <row r="10" spans="1:23" x14ac:dyDescent="0.25">
      <c r="A10">
        <v>1372</v>
      </c>
      <c r="B10" s="1">
        <v>41730</v>
      </c>
      <c r="C10" s="3">
        <v>109650</v>
      </c>
      <c r="D10" s="3">
        <v>25606443795.27</v>
      </c>
      <c r="E10" s="3">
        <v>124529392.61</v>
      </c>
      <c r="F10" s="3">
        <v>652988.27</v>
      </c>
      <c r="G10" s="5">
        <v>4.8632052777669499E-3</v>
      </c>
      <c r="H10" s="5">
        <v>2.55009354372206E-5</v>
      </c>
      <c r="I10" s="4">
        <v>5.6821999999999999</v>
      </c>
      <c r="J10" s="4">
        <v>3.0499999999999999E-2</v>
      </c>
      <c r="K10" s="7">
        <v>2.2190797439235201E-3</v>
      </c>
      <c r="L10" s="3">
        <v>829236257.66999996</v>
      </c>
      <c r="M10" s="3">
        <v>3508662.19</v>
      </c>
      <c r="N10" s="9">
        <v>3.3799999999999997E-2</v>
      </c>
      <c r="O10" s="9">
        <v>1E-4</v>
      </c>
      <c r="Q10">
        <v>1397</v>
      </c>
      <c r="R10" s="3">
        <v>0</v>
      </c>
      <c r="S10" s="3">
        <v>4191181559.1799998</v>
      </c>
      <c r="T10" s="3">
        <v>26905103057.73</v>
      </c>
      <c r="U10" s="3">
        <v>27945670000</v>
      </c>
      <c r="V10" s="7">
        <f>S10/U10</f>
        <v>0.14997606280973044</v>
      </c>
      <c r="W10" s="7">
        <f t="shared" si="0"/>
        <v>0</v>
      </c>
    </row>
    <row r="11" spans="1:23" x14ac:dyDescent="0.25">
      <c r="A11">
        <v>1372</v>
      </c>
      <c r="B11" s="1">
        <v>41760</v>
      </c>
      <c r="C11" s="3">
        <v>109069</v>
      </c>
      <c r="D11" s="3">
        <v>25423992398.689999</v>
      </c>
      <c r="E11" s="3">
        <v>151885909.13</v>
      </c>
      <c r="F11" s="3">
        <v>1557161.7</v>
      </c>
      <c r="G11" s="5">
        <v>5.9741171547009302E-3</v>
      </c>
      <c r="H11" s="5">
        <v>6.1247725203073704E-5</v>
      </c>
      <c r="I11" s="4">
        <v>6.9379999999999997</v>
      </c>
      <c r="J11" s="4">
        <v>7.3400000000000007E-2</v>
      </c>
      <c r="K11" s="7">
        <v>2.1605351818320298E-3</v>
      </c>
      <c r="L11" s="3">
        <v>981122166.79999995</v>
      </c>
      <c r="M11" s="3">
        <v>5065823.8899999997</v>
      </c>
      <c r="N11" s="9">
        <v>0.04</v>
      </c>
      <c r="O11" s="9">
        <v>2.0000000000000001E-4</v>
      </c>
      <c r="Q11">
        <v>1398</v>
      </c>
      <c r="R11" s="3">
        <v>0</v>
      </c>
      <c r="S11" s="3">
        <v>2192819041.29</v>
      </c>
      <c r="T11" s="3">
        <v>16461150315.379999</v>
      </c>
      <c r="U11" s="3">
        <v>17011927000</v>
      </c>
      <c r="V11" s="7">
        <f>S11/U11</f>
        <v>0.12889892140320142</v>
      </c>
      <c r="W11" s="7">
        <f t="shared" si="0"/>
        <v>0</v>
      </c>
    </row>
    <row r="12" spans="1:23" x14ac:dyDescent="0.25">
      <c r="A12">
        <v>1372</v>
      </c>
      <c r="B12" s="1">
        <v>41791</v>
      </c>
      <c r="C12" s="3">
        <v>108385</v>
      </c>
      <c r="D12" s="3">
        <v>25216280196.529999</v>
      </c>
      <c r="E12" s="3">
        <v>162116066.22</v>
      </c>
      <c r="F12" s="3">
        <v>1275959.04</v>
      </c>
      <c r="G12" s="5">
        <v>6.4290238273252004E-3</v>
      </c>
      <c r="H12" s="5">
        <v>5.0600605246113302E-5</v>
      </c>
      <c r="I12" s="4">
        <v>7.4477000000000002</v>
      </c>
      <c r="J12" s="4">
        <v>6.0699999999999997E-2</v>
      </c>
      <c r="K12" s="7">
        <v>2.7163199193600898E-3</v>
      </c>
      <c r="L12" s="3">
        <v>1143238233.02</v>
      </c>
      <c r="M12" s="3">
        <v>6341782.9299999997</v>
      </c>
      <c r="N12" s="9">
        <v>4.6600000000000003E-2</v>
      </c>
      <c r="O12" s="9">
        <v>2.0000000000000001E-4</v>
      </c>
      <c r="Q12">
        <v>1399</v>
      </c>
      <c r="R12" s="3">
        <v>0</v>
      </c>
      <c r="S12" s="3">
        <v>1372183796.3399999</v>
      </c>
      <c r="T12" s="3">
        <v>26524443952.279999</v>
      </c>
      <c r="U12" s="3">
        <v>27339314000</v>
      </c>
      <c r="V12" s="7">
        <f>S12/U12</f>
        <v>5.0190864201640172E-2</v>
      </c>
      <c r="W12" s="7">
        <f t="shared" si="0"/>
        <v>0</v>
      </c>
    </row>
    <row r="13" spans="1:23" x14ac:dyDescent="0.25">
      <c r="A13">
        <v>1372</v>
      </c>
      <c r="B13" s="1">
        <v>41821</v>
      </c>
      <c r="C13" s="3">
        <v>107665</v>
      </c>
      <c r="D13" s="3">
        <v>24996956176.130001</v>
      </c>
      <c r="E13" s="3">
        <v>135943341.05000001</v>
      </c>
      <c r="F13" s="3">
        <v>604755.53</v>
      </c>
      <c r="G13" s="5">
        <v>5.4383957827559204E-3</v>
      </c>
      <c r="H13" s="5">
        <v>2.4193166789542501E-5</v>
      </c>
      <c r="I13" s="4">
        <v>6.3342999999999998</v>
      </c>
      <c r="J13" s="4">
        <v>2.9000000000000001E-2</v>
      </c>
      <c r="K13" s="7">
        <v>2.3625151724029898E-3</v>
      </c>
      <c r="L13" s="3">
        <v>1279181574.0699999</v>
      </c>
      <c r="M13" s="3">
        <v>6946538.46</v>
      </c>
      <c r="N13" s="9">
        <v>5.2200000000000003E-2</v>
      </c>
      <c r="O13" s="9">
        <v>2.0000000000000001E-4</v>
      </c>
      <c r="Q13">
        <v>1400</v>
      </c>
      <c r="R13" s="3">
        <v>0</v>
      </c>
      <c r="S13" s="3">
        <v>682371859.72000003</v>
      </c>
      <c r="T13" s="3">
        <v>16269256589.57</v>
      </c>
      <c r="U13" s="3">
        <v>16707432000</v>
      </c>
      <c r="V13" s="7">
        <f>S13/U13</f>
        <v>4.0842414305202621E-2</v>
      </c>
      <c r="W13" s="7">
        <f t="shared" si="0"/>
        <v>0</v>
      </c>
    </row>
    <row r="14" spans="1:23" x14ac:dyDescent="0.25">
      <c r="A14">
        <v>1372</v>
      </c>
      <c r="B14" s="1">
        <v>41852</v>
      </c>
      <c r="C14" s="3">
        <v>107037</v>
      </c>
      <c r="D14" s="3">
        <v>24802641701.849998</v>
      </c>
      <c r="E14" s="3">
        <v>126700830.09999999</v>
      </c>
      <c r="F14" s="3">
        <v>1290509.6100000001</v>
      </c>
      <c r="G14" s="5">
        <v>5.1083602957724197E-3</v>
      </c>
      <c r="H14" s="5">
        <v>5.2031135453758599E-5</v>
      </c>
      <c r="I14" s="4">
        <v>5.9607000000000001</v>
      </c>
      <c r="J14" s="4">
        <v>6.2399999999999997E-2</v>
      </c>
      <c r="K14" s="7">
        <v>3.2399496487507599E-3</v>
      </c>
      <c r="L14" s="3">
        <v>1405882404.1700001</v>
      </c>
      <c r="M14" s="3">
        <v>8237048.0700000003</v>
      </c>
      <c r="N14" s="9">
        <v>5.7299999999999997E-2</v>
      </c>
      <c r="O14" s="9">
        <v>2.9999999999999997E-4</v>
      </c>
      <c r="V14" s="7"/>
      <c r="W14" s="6"/>
    </row>
    <row r="15" spans="1:23" x14ac:dyDescent="0.25">
      <c r="A15">
        <v>1372</v>
      </c>
      <c r="B15" s="1">
        <v>41883</v>
      </c>
      <c r="C15" s="3">
        <v>106428</v>
      </c>
      <c r="D15" s="3">
        <v>24620644680.27</v>
      </c>
      <c r="E15" s="3">
        <v>129185094.20999999</v>
      </c>
      <c r="F15" s="3">
        <v>1116616.01</v>
      </c>
      <c r="G15" s="5">
        <v>5.2470232151769604E-3</v>
      </c>
      <c r="H15" s="5">
        <v>4.5352833952995997E-5</v>
      </c>
      <c r="I15" s="4">
        <v>6.1177999999999999</v>
      </c>
      <c r="J15" s="4">
        <v>5.4399999999999997E-2</v>
      </c>
      <c r="K15" s="7">
        <v>2.84819350511137E-3</v>
      </c>
      <c r="L15" s="3">
        <v>1535067498.3800001</v>
      </c>
      <c r="M15" s="3">
        <v>9353664.0800000001</v>
      </c>
      <c r="N15" s="9">
        <v>6.2600000000000003E-2</v>
      </c>
      <c r="O15" s="9">
        <v>2.9999999999999997E-4</v>
      </c>
      <c r="V15" s="7"/>
      <c r="W15" s="6"/>
    </row>
    <row r="16" spans="1:23" x14ac:dyDescent="0.25">
      <c r="A16">
        <v>1372</v>
      </c>
      <c r="B16" s="1">
        <v>41913</v>
      </c>
      <c r="C16" s="3">
        <v>105824</v>
      </c>
      <c r="D16" s="3">
        <v>24432524690.669998</v>
      </c>
      <c r="E16" s="3">
        <v>118410766.45999999</v>
      </c>
      <c r="F16" s="3">
        <v>1223255.5900000001</v>
      </c>
      <c r="G16" s="5">
        <v>4.8464400613178202E-3</v>
      </c>
      <c r="H16" s="5">
        <v>5.0066687969709499E-5</v>
      </c>
      <c r="I16" s="4">
        <v>5.6631</v>
      </c>
      <c r="J16" s="4">
        <v>0.06</v>
      </c>
      <c r="K16" s="7">
        <v>2.2977720792578598E-3</v>
      </c>
      <c r="L16" s="3">
        <v>1653478264.8399999</v>
      </c>
      <c r="M16" s="3">
        <v>10576919.67</v>
      </c>
      <c r="N16" s="9">
        <v>6.7400000000000002E-2</v>
      </c>
      <c r="O16" s="9">
        <v>4.0000000000000002E-4</v>
      </c>
    </row>
    <row r="17" spans="1:16" x14ac:dyDescent="0.25">
      <c r="A17">
        <v>1372</v>
      </c>
      <c r="B17" s="1">
        <v>41944</v>
      </c>
      <c r="C17" s="3">
        <v>105250</v>
      </c>
      <c r="D17" s="3">
        <v>24250413543.919998</v>
      </c>
      <c r="E17" s="3">
        <v>148667416.90000001</v>
      </c>
      <c r="F17" s="3">
        <v>1370080.94</v>
      </c>
      <c r="G17" s="5">
        <v>6.1305105841081E-3</v>
      </c>
      <c r="H17" s="5">
        <v>5.6497219625498002E-5</v>
      </c>
      <c r="I17" s="4">
        <v>7.1135000000000002</v>
      </c>
      <c r="J17" s="4">
        <v>6.7699999999999996E-2</v>
      </c>
      <c r="K17" s="7">
        <v>3.8035222093408499E-3</v>
      </c>
      <c r="L17" s="3">
        <v>1802145681.74</v>
      </c>
      <c r="M17" s="3">
        <v>11947000.609999999</v>
      </c>
      <c r="N17" s="9">
        <v>7.3499999999999996E-2</v>
      </c>
      <c r="O17" s="9">
        <v>4.0000000000000002E-4</v>
      </c>
    </row>
    <row r="18" spans="1:16" x14ac:dyDescent="0.25">
      <c r="A18">
        <v>1372</v>
      </c>
      <c r="B18" s="1">
        <v>41974</v>
      </c>
      <c r="C18" s="3">
        <v>104594</v>
      </c>
      <c r="D18" s="3">
        <v>24040795038.360001</v>
      </c>
      <c r="E18" s="3">
        <v>108942534.83</v>
      </c>
      <c r="F18" s="3">
        <v>2150325.98</v>
      </c>
      <c r="G18" s="5">
        <v>4.53156955317696E-3</v>
      </c>
      <c r="H18" s="5">
        <v>8.9444878032065599E-5</v>
      </c>
      <c r="I18" s="4">
        <v>5.3042999999999996</v>
      </c>
      <c r="J18" s="4">
        <v>0.1072</v>
      </c>
      <c r="K18" s="7">
        <v>2.9290599444669399E-3</v>
      </c>
      <c r="L18" s="3">
        <v>1911088216.5699999</v>
      </c>
      <c r="M18" s="3">
        <v>14097326.59</v>
      </c>
      <c r="N18" s="9">
        <v>7.8E-2</v>
      </c>
      <c r="O18" s="9">
        <v>5.0000000000000001E-4</v>
      </c>
    </row>
    <row r="19" spans="1:16" x14ac:dyDescent="0.25">
      <c r="A19">
        <v>1372</v>
      </c>
      <c r="B19" s="1">
        <v>42005</v>
      </c>
      <c r="C19" s="3">
        <v>104108</v>
      </c>
      <c r="D19" s="3">
        <v>23875975738.029999</v>
      </c>
      <c r="E19" s="3">
        <v>175047012.88999999</v>
      </c>
      <c r="F19" s="3">
        <v>895695.95</v>
      </c>
      <c r="G19" s="5">
        <v>7.3315124295080603E-3</v>
      </c>
      <c r="H19" s="5">
        <v>3.7514527566440797E-5</v>
      </c>
      <c r="I19" s="4">
        <v>8.4514999999999993</v>
      </c>
      <c r="J19" s="4">
        <v>4.4999999999999998E-2</v>
      </c>
      <c r="K19" s="7">
        <v>3.1054690645333002E-3</v>
      </c>
      <c r="L19" s="3">
        <v>2086135229.46</v>
      </c>
      <c r="M19" s="3">
        <v>14993022.539999999</v>
      </c>
      <c r="N19" s="9">
        <v>8.5099999999999995E-2</v>
      </c>
      <c r="O19" s="9">
        <v>5.9999999999999995E-4</v>
      </c>
    </row>
    <row r="20" spans="1:16" x14ac:dyDescent="0.25">
      <c r="A20">
        <v>1372</v>
      </c>
      <c r="B20" s="1">
        <v>42036</v>
      </c>
      <c r="C20" s="3">
        <v>103403</v>
      </c>
      <c r="D20" s="3">
        <v>23646957349.279999</v>
      </c>
      <c r="E20" s="3">
        <v>213494396.22999999</v>
      </c>
      <c r="F20" s="3">
        <v>524174.41</v>
      </c>
      <c r="G20" s="5">
        <v>9.0284087325298301E-3</v>
      </c>
      <c r="H20" s="5">
        <v>2.2166674648988599E-5</v>
      </c>
      <c r="I20" s="4">
        <v>10.3119</v>
      </c>
      <c r="J20" s="4">
        <v>2.6499999999999999E-2</v>
      </c>
      <c r="K20" s="7">
        <v>3.7857489958523401E-3</v>
      </c>
      <c r="L20" s="3">
        <v>2299629625.6900001</v>
      </c>
      <c r="M20" s="3">
        <v>15517196.949999999</v>
      </c>
      <c r="N20" s="9">
        <v>9.3799999999999994E-2</v>
      </c>
      <c r="O20" s="9">
        <v>5.9999999999999995E-4</v>
      </c>
    </row>
    <row r="21" spans="1:16" x14ac:dyDescent="0.25">
      <c r="A21">
        <v>1372</v>
      </c>
      <c r="B21" s="1">
        <v>42064</v>
      </c>
      <c r="C21" s="3">
        <v>102545</v>
      </c>
      <c r="D21" s="3">
        <v>23375554328.130001</v>
      </c>
      <c r="E21" s="3">
        <v>192801615.09999999</v>
      </c>
      <c r="F21" s="3">
        <v>1986068.5</v>
      </c>
      <c r="G21" s="5">
        <v>8.2480018395963191E-3</v>
      </c>
      <c r="H21" s="5">
        <v>8.4963482453546602E-5</v>
      </c>
      <c r="I21" s="4">
        <v>9.4606999999999992</v>
      </c>
      <c r="J21" s="4">
        <v>0.1019</v>
      </c>
      <c r="K21" s="7">
        <v>2.4895222677123702E-3</v>
      </c>
      <c r="L21" s="3">
        <v>2492431240.79</v>
      </c>
      <c r="M21" s="3">
        <v>17503265.449999999</v>
      </c>
      <c r="N21" s="9">
        <v>0.1017</v>
      </c>
      <c r="O21" s="9">
        <v>6.9999999999999999E-4</v>
      </c>
    </row>
    <row r="22" spans="1:16" x14ac:dyDescent="0.25">
      <c r="A22">
        <v>1372</v>
      </c>
      <c r="B22" s="1">
        <v>42095</v>
      </c>
      <c r="C22" s="3">
        <v>101715</v>
      </c>
      <c r="D22" s="3">
        <v>23125464114.549999</v>
      </c>
      <c r="E22" s="3">
        <v>216427799.97999999</v>
      </c>
      <c r="F22" s="3">
        <v>1529355.92</v>
      </c>
      <c r="G22" s="5">
        <v>9.3588521686718707E-3</v>
      </c>
      <c r="H22" s="5">
        <v>6.6132982777100799E-5</v>
      </c>
      <c r="I22" s="4">
        <v>10.670199999999999</v>
      </c>
      <c r="J22" s="4">
        <v>7.9299999999999995E-2</v>
      </c>
      <c r="K22" s="7">
        <v>2.4180215792865998E-3</v>
      </c>
      <c r="L22" s="3">
        <v>2708859040.77</v>
      </c>
      <c r="M22" s="3">
        <v>19032621.370000001</v>
      </c>
      <c r="N22" s="9">
        <v>0.1105</v>
      </c>
      <c r="O22" s="9">
        <v>6.9999999999999999E-4</v>
      </c>
    </row>
    <row r="23" spans="1:16" x14ac:dyDescent="0.25">
      <c r="A23">
        <v>1372</v>
      </c>
      <c r="B23" s="1">
        <v>42125</v>
      </c>
      <c r="C23" s="3">
        <v>100783</v>
      </c>
      <c r="D23" s="3">
        <v>22854846731.060001</v>
      </c>
      <c r="E23" s="3">
        <v>0</v>
      </c>
      <c r="F23" s="3">
        <v>0</v>
      </c>
      <c r="G23" s="5">
        <v>0</v>
      </c>
      <c r="H23" s="5">
        <v>0</v>
      </c>
      <c r="I23" s="4">
        <v>0</v>
      </c>
      <c r="J23" s="4">
        <v>0</v>
      </c>
      <c r="K23" s="7">
        <v>2.9996920126718401E-3</v>
      </c>
      <c r="L23" s="3">
        <v>2708859040.77</v>
      </c>
      <c r="M23" s="3">
        <v>19032621.370000001</v>
      </c>
      <c r="N23" s="8">
        <v>0.1105</v>
      </c>
      <c r="O23" s="8">
        <v>6.9999999999999999E-4</v>
      </c>
    </row>
    <row r="24" spans="1:16" x14ac:dyDescent="0.25">
      <c r="A24">
        <v>1378</v>
      </c>
      <c r="B24" s="1">
        <v>41579</v>
      </c>
      <c r="C24" s="3">
        <v>122291</v>
      </c>
      <c r="D24" s="3">
        <v>29308718889.77</v>
      </c>
      <c r="E24" s="3">
        <v>81788706.739999995</v>
      </c>
      <c r="F24" s="3">
        <v>0</v>
      </c>
      <c r="G24" s="5">
        <v>2.7905930330017802E-3</v>
      </c>
      <c r="H24" s="5">
        <v>0</v>
      </c>
      <c r="I24" s="4">
        <v>3.2976999999999999</v>
      </c>
      <c r="J24" s="4">
        <v>0</v>
      </c>
      <c r="K24" s="7">
        <v>0</v>
      </c>
      <c r="L24" s="3">
        <v>81788706.739999995</v>
      </c>
      <c r="M24" s="3">
        <v>0</v>
      </c>
      <c r="N24" s="9">
        <v>2.8999999999999998E-3</v>
      </c>
      <c r="O24" s="9">
        <v>0</v>
      </c>
    </row>
    <row r="25" spans="1:16" x14ac:dyDescent="0.25">
      <c r="A25">
        <v>1378</v>
      </c>
      <c r="B25" s="1">
        <v>41609</v>
      </c>
      <c r="C25" s="3">
        <v>121923</v>
      </c>
      <c r="D25" s="3">
        <v>29163882168.77</v>
      </c>
      <c r="E25" s="3">
        <v>60596653.399999999</v>
      </c>
      <c r="F25" s="3">
        <v>0</v>
      </c>
      <c r="G25" s="5">
        <v>2.0777979093911398E-3</v>
      </c>
      <c r="H25" s="5">
        <v>0</v>
      </c>
      <c r="I25" s="4">
        <v>2.4649999999999999</v>
      </c>
      <c r="J25" s="4">
        <v>0</v>
      </c>
      <c r="K25" s="7">
        <v>1.4537815505715299E-3</v>
      </c>
      <c r="L25" s="3">
        <v>142385360.13999999</v>
      </c>
      <c r="M25" s="3">
        <v>0</v>
      </c>
      <c r="N25" s="9">
        <v>5.1000000000000004E-3</v>
      </c>
      <c r="O25" s="9">
        <v>0</v>
      </c>
    </row>
    <row r="26" spans="1:16" x14ac:dyDescent="0.25">
      <c r="A26">
        <v>1378</v>
      </c>
      <c r="B26" s="1">
        <v>41640</v>
      </c>
      <c r="C26" s="3">
        <v>121654</v>
      </c>
      <c r="D26" s="3">
        <v>29040913330.150002</v>
      </c>
      <c r="E26" s="3">
        <v>66415459.869999997</v>
      </c>
      <c r="F26" s="3">
        <v>0</v>
      </c>
      <c r="G26" s="5">
        <v>2.2869618153864299E-3</v>
      </c>
      <c r="H26" s="5">
        <v>0</v>
      </c>
      <c r="I26" s="4">
        <v>2.71</v>
      </c>
      <c r="J26" s="4">
        <v>0</v>
      </c>
      <c r="K26" s="7">
        <v>1.61045451354468E-3</v>
      </c>
      <c r="L26" s="3">
        <v>208800820.00999999</v>
      </c>
      <c r="M26" s="3">
        <v>0</v>
      </c>
      <c r="N26" s="9">
        <v>7.4999999999999997E-3</v>
      </c>
      <c r="O26" s="9">
        <v>0</v>
      </c>
      <c r="P26" s="6"/>
    </row>
    <row r="27" spans="1:16" x14ac:dyDescent="0.25">
      <c r="A27">
        <v>1378</v>
      </c>
      <c r="B27" s="1">
        <v>41671</v>
      </c>
      <c r="C27" s="3">
        <v>121357</v>
      </c>
      <c r="D27" s="3">
        <v>28914638991.330002</v>
      </c>
      <c r="E27" s="3">
        <v>89637199.939999998</v>
      </c>
      <c r="F27" s="3">
        <v>0</v>
      </c>
      <c r="G27" s="5">
        <v>3.10006291162333E-3</v>
      </c>
      <c r="H27" s="5">
        <v>0</v>
      </c>
      <c r="I27" s="4">
        <v>3.6572</v>
      </c>
      <c r="J27" s="4">
        <v>0</v>
      </c>
      <c r="K27" s="7">
        <v>2.65665421425573E-3</v>
      </c>
      <c r="L27" s="3">
        <v>298438019.94999999</v>
      </c>
      <c r="M27" s="3">
        <v>0</v>
      </c>
      <c r="N27" s="9">
        <v>1.0800000000000001E-2</v>
      </c>
      <c r="O27" s="9">
        <v>0</v>
      </c>
    </row>
    <row r="28" spans="1:16" x14ac:dyDescent="0.25">
      <c r="A28">
        <v>1378</v>
      </c>
      <c r="B28" s="1">
        <v>41699</v>
      </c>
      <c r="C28" s="3">
        <v>120935</v>
      </c>
      <c r="D28" s="3">
        <v>28762301298.98</v>
      </c>
      <c r="E28" s="3">
        <v>103088744.77</v>
      </c>
      <c r="F28" s="3">
        <v>0</v>
      </c>
      <c r="G28" s="5">
        <v>3.5841619103564502E-3</v>
      </c>
      <c r="H28" s="5">
        <v>0</v>
      </c>
      <c r="I28" s="4">
        <v>4.2172000000000001</v>
      </c>
      <c r="J28" s="4">
        <v>0</v>
      </c>
      <c r="K28" s="7">
        <v>1.75486871218437E-3</v>
      </c>
      <c r="L28" s="3">
        <v>401526764.72000003</v>
      </c>
      <c r="M28" s="3">
        <v>0</v>
      </c>
      <c r="N28" s="9">
        <v>1.4500000000000001E-2</v>
      </c>
      <c r="O28" s="9">
        <v>0</v>
      </c>
    </row>
    <row r="29" spans="1:16" x14ac:dyDescent="0.25">
      <c r="A29">
        <v>1378</v>
      </c>
      <c r="B29" s="1">
        <v>41730</v>
      </c>
      <c r="C29" s="3">
        <v>120457</v>
      </c>
      <c r="D29" s="3">
        <v>28595851604.799999</v>
      </c>
      <c r="E29" s="3">
        <v>118631691.34999999</v>
      </c>
      <c r="F29" s="3">
        <v>968222.55</v>
      </c>
      <c r="G29" s="5">
        <v>4.1485629800263298E-3</v>
      </c>
      <c r="H29" s="5">
        <v>3.3858846499171099E-5</v>
      </c>
      <c r="I29" s="4">
        <v>4.8662000000000001</v>
      </c>
      <c r="J29" s="4">
        <v>4.0599999999999997E-2</v>
      </c>
      <c r="K29" s="7">
        <v>1.9928239657823099E-3</v>
      </c>
      <c r="L29" s="3">
        <v>520158456.06999999</v>
      </c>
      <c r="M29" s="3">
        <v>968222.55</v>
      </c>
      <c r="N29" s="9">
        <v>1.8800000000000001E-2</v>
      </c>
      <c r="O29" s="9">
        <v>0</v>
      </c>
    </row>
    <row r="30" spans="1:16" x14ac:dyDescent="0.25">
      <c r="A30">
        <v>1378</v>
      </c>
      <c r="B30" s="1">
        <v>41760</v>
      </c>
      <c r="C30" s="3">
        <v>119901</v>
      </c>
      <c r="D30" s="3">
        <v>28414153891.810001</v>
      </c>
      <c r="E30" s="3">
        <v>143548976.56999999</v>
      </c>
      <c r="F30" s="3">
        <v>174305.64</v>
      </c>
      <c r="G30" s="5">
        <v>5.0520236188125898E-3</v>
      </c>
      <c r="H30" s="5">
        <v>6.1344652620552298E-6</v>
      </c>
      <c r="I30" s="4">
        <v>5.8967000000000001</v>
      </c>
      <c r="J30" s="4">
        <v>7.3000000000000001E-3</v>
      </c>
      <c r="K30" s="7">
        <v>2.4810393062705098E-3</v>
      </c>
      <c r="L30" s="3">
        <v>663707432.63999999</v>
      </c>
      <c r="M30" s="3">
        <v>1142528.19</v>
      </c>
      <c r="N30" s="9">
        <v>2.4E-2</v>
      </c>
      <c r="O30" s="9">
        <v>0</v>
      </c>
    </row>
    <row r="31" spans="1:16" x14ac:dyDescent="0.25">
      <c r="A31">
        <v>1378</v>
      </c>
      <c r="B31" s="1">
        <v>41791</v>
      </c>
      <c r="C31" s="3">
        <v>119270</v>
      </c>
      <c r="D31" s="3">
        <v>28210548350.849998</v>
      </c>
      <c r="E31" s="3">
        <v>144073902.74000001</v>
      </c>
      <c r="F31" s="3">
        <v>753455.6</v>
      </c>
      <c r="G31" s="5">
        <v>5.10709330950169E-3</v>
      </c>
      <c r="H31" s="5">
        <v>2.67082933174284E-5</v>
      </c>
      <c r="I31" s="4">
        <v>5.9592000000000001</v>
      </c>
      <c r="J31" s="4">
        <v>3.2000000000000001E-2</v>
      </c>
      <c r="K31" s="7">
        <v>2.58645580201214E-3</v>
      </c>
      <c r="L31" s="3">
        <v>807781335.38</v>
      </c>
      <c r="M31" s="3">
        <v>1895983.79</v>
      </c>
      <c r="N31" s="9">
        <v>2.92E-2</v>
      </c>
      <c r="O31" s="9">
        <v>0</v>
      </c>
    </row>
    <row r="32" spans="1:16" x14ac:dyDescent="0.25">
      <c r="A32">
        <v>1378</v>
      </c>
      <c r="B32" s="1">
        <v>41821</v>
      </c>
      <c r="C32" s="3">
        <v>118639</v>
      </c>
      <c r="D32" s="3">
        <v>28004523289.130001</v>
      </c>
      <c r="E32" s="3">
        <v>138027805.09</v>
      </c>
      <c r="F32" s="3">
        <v>650897.73</v>
      </c>
      <c r="G32" s="5">
        <v>4.9287682445062599E-3</v>
      </c>
      <c r="H32" s="5">
        <v>2.32425927511734E-5</v>
      </c>
      <c r="I32" s="4">
        <v>5.7567000000000004</v>
      </c>
      <c r="J32" s="4">
        <v>2.7799999999999998E-2</v>
      </c>
      <c r="K32" s="7">
        <v>2.1761305436559398E-3</v>
      </c>
      <c r="L32" s="3">
        <v>945809140.47000003</v>
      </c>
      <c r="M32" s="3">
        <v>2546881.52</v>
      </c>
      <c r="N32" s="9">
        <v>3.4200000000000001E-2</v>
      </c>
      <c r="O32" s="9">
        <v>0</v>
      </c>
    </row>
    <row r="33" spans="1:15" x14ac:dyDescent="0.25">
      <c r="A33">
        <v>1378</v>
      </c>
      <c r="B33" s="1">
        <v>41852</v>
      </c>
      <c r="C33" s="3">
        <v>118024</v>
      </c>
      <c r="D33" s="3">
        <v>27804202181.93</v>
      </c>
      <c r="E33" s="3">
        <v>136813172.68000001</v>
      </c>
      <c r="F33" s="3">
        <v>463429.48</v>
      </c>
      <c r="G33" s="5">
        <v>4.9205933615644303E-3</v>
      </c>
      <c r="H33" s="5">
        <v>1.6667605744184299E-5</v>
      </c>
      <c r="I33" s="4">
        <v>5.7474999999999996</v>
      </c>
      <c r="J33" s="4">
        <v>1.9900000000000001E-2</v>
      </c>
      <c r="K33" s="7">
        <v>2.5420432403536002E-3</v>
      </c>
      <c r="L33" s="3">
        <v>1082622313.1500001</v>
      </c>
      <c r="M33" s="3">
        <v>3010311</v>
      </c>
      <c r="N33" s="9">
        <v>3.9199999999999999E-2</v>
      </c>
      <c r="O33" s="9">
        <v>1E-4</v>
      </c>
    </row>
    <row r="34" spans="1:15" x14ac:dyDescent="0.25">
      <c r="A34">
        <v>1378</v>
      </c>
      <c r="B34" s="1">
        <v>41883</v>
      </c>
      <c r="C34" s="3">
        <v>117397</v>
      </c>
      <c r="D34" s="3">
        <v>27608267043.360001</v>
      </c>
      <c r="E34" s="3">
        <v>140168333.41999999</v>
      </c>
      <c r="F34" s="3">
        <v>1565411.17</v>
      </c>
      <c r="G34" s="5">
        <v>5.077042075834E-3</v>
      </c>
      <c r="H34" s="5">
        <v>5.6700812388602701E-5</v>
      </c>
      <c r="I34" s="4">
        <v>5.9250999999999996</v>
      </c>
      <c r="J34" s="4">
        <v>6.8000000000000005E-2</v>
      </c>
      <c r="K34" s="7">
        <v>2.3254960135370502E-3</v>
      </c>
      <c r="L34" s="3">
        <v>1222790646.5699999</v>
      </c>
      <c r="M34" s="3">
        <v>4575722.17</v>
      </c>
      <c r="N34" s="9">
        <v>4.4200000000000003E-2</v>
      </c>
      <c r="O34" s="9">
        <v>1E-4</v>
      </c>
    </row>
    <row r="35" spans="1:15" x14ac:dyDescent="0.25">
      <c r="A35">
        <v>1378</v>
      </c>
      <c r="B35" s="1">
        <v>41913</v>
      </c>
      <c r="C35" s="3">
        <v>116734</v>
      </c>
      <c r="D35" s="3">
        <v>27400500608.950001</v>
      </c>
      <c r="E35" s="3">
        <v>108389657.33</v>
      </c>
      <c r="F35" s="3">
        <v>1131561.0900000001</v>
      </c>
      <c r="G35" s="5">
        <v>3.9557546366359398E-3</v>
      </c>
      <c r="H35" s="5">
        <v>4.1297095485561699E-5</v>
      </c>
      <c r="I35" s="4">
        <v>4.6448999999999998</v>
      </c>
      <c r="J35" s="4">
        <v>4.9500000000000002E-2</v>
      </c>
      <c r="K35" s="7">
        <v>2.17876807989778E-3</v>
      </c>
      <c r="L35" s="3">
        <v>1331180303.9000001</v>
      </c>
      <c r="M35" s="3">
        <v>5707283.2599999998</v>
      </c>
      <c r="N35" s="9">
        <v>4.82E-2</v>
      </c>
      <c r="O35" s="9">
        <v>2.0000000000000001E-4</v>
      </c>
    </row>
    <row r="36" spans="1:15" x14ac:dyDescent="0.25">
      <c r="A36">
        <v>1378</v>
      </c>
      <c r="B36" s="1">
        <v>41944</v>
      </c>
      <c r="C36" s="3">
        <v>116183</v>
      </c>
      <c r="D36" s="3">
        <v>27225047202.509998</v>
      </c>
      <c r="E36" s="3">
        <v>137519381.90000001</v>
      </c>
      <c r="F36" s="3">
        <v>1455861.35</v>
      </c>
      <c r="G36" s="5">
        <v>5.0512082082752596E-3</v>
      </c>
      <c r="H36" s="5">
        <v>5.3475071656286297E-5</v>
      </c>
      <c r="I36" s="4">
        <v>5.8958000000000004</v>
      </c>
      <c r="J36" s="4">
        <v>6.4100000000000004E-2</v>
      </c>
      <c r="K36" s="7">
        <v>3.3330996018120299E-3</v>
      </c>
      <c r="L36" s="3">
        <v>1468699685.8</v>
      </c>
      <c r="M36" s="3">
        <v>7163144.6100000003</v>
      </c>
      <c r="N36" s="9">
        <v>5.3100000000000001E-2</v>
      </c>
      <c r="O36" s="9">
        <v>2.0000000000000001E-4</v>
      </c>
    </row>
    <row r="37" spans="1:15" x14ac:dyDescent="0.25">
      <c r="A37">
        <v>1378</v>
      </c>
      <c r="B37" s="1">
        <v>41974</v>
      </c>
      <c r="C37" s="3">
        <v>115569</v>
      </c>
      <c r="D37" s="3">
        <v>27019816709.34</v>
      </c>
      <c r="E37" s="3">
        <v>102937438.73999999</v>
      </c>
      <c r="F37" s="3">
        <v>854769.17</v>
      </c>
      <c r="G37" s="5">
        <v>3.80970159225459E-3</v>
      </c>
      <c r="H37" s="5">
        <v>3.1634898903830402E-5</v>
      </c>
      <c r="I37" s="4">
        <v>4.4770000000000003</v>
      </c>
      <c r="J37" s="4">
        <v>3.7900000000000003E-2</v>
      </c>
      <c r="K37" s="7">
        <v>2.5140590156749101E-3</v>
      </c>
      <c r="L37" s="3">
        <v>1571637124.54</v>
      </c>
      <c r="M37" s="3">
        <v>8017913.7800000003</v>
      </c>
      <c r="N37" s="9">
        <v>5.6899999999999999E-2</v>
      </c>
      <c r="O37" s="9">
        <v>2.0000000000000001E-4</v>
      </c>
    </row>
    <row r="38" spans="1:15" x14ac:dyDescent="0.25">
      <c r="A38">
        <v>1378</v>
      </c>
      <c r="B38" s="1">
        <v>42005</v>
      </c>
      <c r="C38" s="3">
        <v>115110</v>
      </c>
      <c r="D38" s="3">
        <v>26855044959.66</v>
      </c>
      <c r="E38" s="3">
        <v>137839100.97</v>
      </c>
      <c r="F38" s="3">
        <v>838883.82</v>
      </c>
      <c r="G38" s="5">
        <v>5.1327078832693598E-3</v>
      </c>
      <c r="H38" s="5">
        <v>3.1237475910396702E-5</v>
      </c>
      <c r="I38" s="4">
        <v>5.9882999999999997</v>
      </c>
      <c r="J38" s="4">
        <v>3.7400000000000003E-2</v>
      </c>
      <c r="K38" s="7">
        <v>2.7046618461859201E-3</v>
      </c>
      <c r="L38" s="3">
        <v>1709476225.51</v>
      </c>
      <c r="M38" s="3">
        <v>8856797.5999999996</v>
      </c>
      <c r="N38" s="9">
        <v>6.1899999999999997E-2</v>
      </c>
      <c r="O38" s="9">
        <v>2.9999999999999997E-4</v>
      </c>
    </row>
    <row r="39" spans="1:15" x14ac:dyDescent="0.25">
      <c r="A39">
        <v>1378</v>
      </c>
      <c r="B39" s="1">
        <v>42036</v>
      </c>
      <c r="C39" s="3">
        <v>114528</v>
      </c>
      <c r="D39" s="3">
        <v>26657506069.720001</v>
      </c>
      <c r="E39" s="3">
        <v>185573312.34</v>
      </c>
      <c r="F39" s="3">
        <v>1844251.32</v>
      </c>
      <c r="G39" s="5">
        <v>6.9613906062574501E-3</v>
      </c>
      <c r="H39" s="5">
        <v>6.9183190474628303E-5</v>
      </c>
      <c r="I39" s="4">
        <v>8.0411000000000001</v>
      </c>
      <c r="J39" s="4">
        <v>8.2900000000000001E-2</v>
      </c>
      <c r="K39" s="7">
        <v>3.3345895061418101E-3</v>
      </c>
      <c r="L39" s="3">
        <v>1895049537.8499999</v>
      </c>
      <c r="M39" s="3">
        <v>10701048.92</v>
      </c>
      <c r="N39" s="9">
        <v>6.8599999999999994E-2</v>
      </c>
      <c r="O39" s="9">
        <v>2.9999999999999997E-4</v>
      </c>
    </row>
    <row r="40" spans="1:15" x14ac:dyDescent="0.25">
      <c r="A40">
        <v>1378</v>
      </c>
      <c r="B40" s="1">
        <v>42064</v>
      </c>
      <c r="C40" s="3">
        <v>113768</v>
      </c>
      <c r="D40" s="3">
        <v>26406438875.57</v>
      </c>
      <c r="E40" s="3">
        <v>182480570.16</v>
      </c>
      <c r="F40" s="3">
        <v>1102391.71</v>
      </c>
      <c r="G40" s="5">
        <v>6.9104573706385798E-3</v>
      </c>
      <c r="H40" s="5">
        <v>4.1747079763181498E-5</v>
      </c>
      <c r="I40" s="4">
        <v>7.9844999999999997</v>
      </c>
      <c r="J40" s="4">
        <v>0.05</v>
      </c>
      <c r="K40" s="7">
        <v>2.3719124655595201E-3</v>
      </c>
      <c r="L40" s="3">
        <v>2077530108.01</v>
      </c>
      <c r="M40" s="3">
        <v>11803440.630000001</v>
      </c>
      <c r="N40" s="9">
        <v>7.5200000000000003E-2</v>
      </c>
      <c r="O40" s="9">
        <v>4.0000000000000002E-4</v>
      </c>
    </row>
    <row r="41" spans="1:15" x14ac:dyDescent="0.25">
      <c r="A41">
        <v>1378</v>
      </c>
      <c r="B41" s="1">
        <v>42095</v>
      </c>
      <c r="C41" s="3">
        <v>112982</v>
      </c>
      <c r="D41" s="3">
        <v>26162897601.029999</v>
      </c>
      <c r="E41" s="3">
        <v>195881338.02000001</v>
      </c>
      <c r="F41" s="3">
        <v>1322126.79</v>
      </c>
      <c r="G41" s="5">
        <v>7.4869894385203098E-3</v>
      </c>
      <c r="H41" s="5">
        <v>5.0534417485467998E-5</v>
      </c>
      <c r="I41" s="4">
        <v>8.6234999999999999</v>
      </c>
      <c r="J41" s="4">
        <v>6.0600000000000001E-2</v>
      </c>
      <c r="K41" s="7">
        <v>2.4619612036957299E-3</v>
      </c>
      <c r="L41" s="3">
        <v>2273411446.0300002</v>
      </c>
      <c r="M41" s="3">
        <v>13125567.42</v>
      </c>
      <c r="N41" s="9">
        <v>8.2299999999999998E-2</v>
      </c>
      <c r="O41" s="9">
        <v>4.0000000000000002E-4</v>
      </c>
    </row>
    <row r="42" spans="1:15" x14ac:dyDescent="0.25">
      <c r="A42">
        <v>1378</v>
      </c>
      <c r="B42" s="1">
        <v>42125</v>
      </c>
      <c r="C42" s="3">
        <v>112111</v>
      </c>
      <c r="D42" s="3">
        <v>25905894716.189999</v>
      </c>
      <c r="E42" s="3">
        <v>0</v>
      </c>
      <c r="F42" s="3">
        <v>0</v>
      </c>
      <c r="G42" s="5">
        <v>0</v>
      </c>
      <c r="H42" s="5">
        <v>0</v>
      </c>
      <c r="I42" s="4">
        <v>0</v>
      </c>
      <c r="J42" s="4">
        <v>0</v>
      </c>
      <c r="K42" s="7">
        <v>3.0328834452838802E-3</v>
      </c>
      <c r="L42" s="3">
        <v>2273411446.0300002</v>
      </c>
      <c r="M42" s="3">
        <v>13125567.42</v>
      </c>
      <c r="N42" s="8">
        <v>8.2299999999999998E-2</v>
      </c>
      <c r="O42" s="8">
        <v>4.0000000000000002E-4</v>
      </c>
    </row>
    <row r="43" spans="1:15" x14ac:dyDescent="0.25">
      <c r="A43">
        <v>1383</v>
      </c>
      <c r="B43" s="1">
        <v>41699</v>
      </c>
      <c r="C43" s="3">
        <v>192365</v>
      </c>
      <c r="D43" s="3">
        <v>46843320654.029999</v>
      </c>
      <c r="E43" s="3">
        <v>165807316.66</v>
      </c>
      <c r="F43" s="3">
        <v>0</v>
      </c>
      <c r="G43" s="5">
        <v>3.5396149193734601E-3</v>
      </c>
      <c r="H43" s="5">
        <v>0</v>
      </c>
      <c r="I43" s="4">
        <v>4.1657999999999999</v>
      </c>
      <c r="J43" s="4">
        <v>0</v>
      </c>
      <c r="K43" s="7">
        <v>0</v>
      </c>
      <c r="L43" s="3">
        <v>165807316.66</v>
      </c>
      <c r="M43" s="3">
        <v>0</v>
      </c>
      <c r="N43" s="9">
        <v>3.5999999999999999E-3</v>
      </c>
      <c r="O43" s="9">
        <v>0</v>
      </c>
    </row>
    <row r="44" spans="1:15" x14ac:dyDescent="0.25">
      <c r="A44">
        <v>1383</v>
      </c>
      <c r="B44" s="1">
        <v>41730</v>
      </c>
      <c r="C44" s="3">
        <v>191641</v>
      </c>
      <c r="D44" s="3">
        <v>46579971572.120003</v>
      </c>
      <c r="E44" s="3">
        <v>195256974.13</v>
      </c>
      <c r="F44" s="3">
        <v>0</v>
      </c>
      <c r="G44" s="5">
        <v>4.1918654636291996E-3</v>
      </c>
      <c r="H44" s="5">
        <v>0</v>
      </c>
      <c r="I44" s="4">
        <v>4.9157999999999999</v>
      </c>
      <c r="J44" s="4">
        <v>0</v>
      </c>
      <c r="K44" s="7">
        <v>1.35043164834497E-3</v>
      </c>
      <c r="L44" s="3">
        <v>361064290.79000002</v>
      </c>
      <c r="M44" s="3">
        <v>0</v>
      </c>
      <c r="N44" s="9">
        <v>8.0000000000000002E-3</v>
      </c>
      <c r="O44" s="9">
        <v>0</v>
      </c>
    </row>
    <row r="45" spans="1:15" x14ac:dyDescent="0.25">
      <c r="A45">
        <v>1383</v>
      </c>
      <c r="B45" s="1">
        <v>41760</v>
      </c>
      <c r="C45" s="3">
        <v>190795</v>
      </c>
      <c r="D45" s="3">
        <v>46283604208.870003</v>
      </c>
      <c r="E45" s="3">
        <v>238683649.77000001</v>
      </c>
      <c r="F45" s="3">
        <v>0</v>
      </c>
      <c r="G45" s="5">
        <v>5.1569806165669601E-3</v>
      </c>
      <c r="H45" s="5">
        <v>0</v>
      </c>
      <c r="I45" s="4">
        <v>6.0157999999999996</v>
      </c>
      <c r="J45" s="4">
        <v>0</v>
      </c>
      <c r="K45" s="7">
        <v>1.8851227937274301E-3</v>
      </c>
      <c r="L45" s="3">
        <v>599747940.55999994</v>
      </c>
      <c r="M45" s="3">
        <v>0</v>
      </c>
      <c r="N45" s="9">
        <v>1.3299999999999999E-2</v>
      </c>
      <c r="O45" s="9">
        <v>0</v>
      </c>
    </row>
    <row r="46" spans="1:15" x14ac:dyDescent="0.25">
      <c r="A46">
        <v>1383</v>
      </c>
      <c r="B46" s="1">
        <v>41791</v>
      </c>
      <c r="C46" s="3">
        <v>189785</v>
      </c>
      <c r="D46" s="3">
        <v>45948352311.720001</v>
      </c>
      <c r="E46" s="3">
        <v>228148991.03999999</v>
      </c>
      <c r="F46" s="3">
        <v>0</v>
      </c>
      <c r="G46" s="5">
        <v>4.9653356336306796E-3</v>
      </c>
      <c r="H46" s="5">
        <v>0</v>
      </c>
      <c r="I46" s="4">
        <v>5.7983000000000002</v>
      </c>
      <c r="J46" s="4">
        <v>0</v>
      </c>
      <c r="K46" s="7">
        <v>2.0255578347748598E-3</v>
      </c>
      <c r="L46" s="3">
        <v>827896931.60000002</v>
      </c>
      <c r="M46" s="3">
        <v>0</v>
      </c>
      <c r="N46" s="9">
        <v>1.84E-2</v>
      </c>
      <c r="O46" s="9">
        <v>0</v>
      </c>
    </row>
    <row r="47" spans="1:15" x14ac:dyDescent="0.25">
      <c r="A47">
        <v>1383</v>
      </c>
      <c r="B47" s="1">
        <v>41821</v>
      </c>
      <c r="C47" s="3">
        <v>188791</v>
      </c>
      <c r="D47" s="3">
        <v>45618170579.690002</v>
      </c>
      <c r="E47" s="3">
        <v>223950815.03</v>
      </c>
      <c r="F47" s="3">
        <v>0</v>
      </c>
      <c r="G47" s="5">
        <v>4.9092458593617203E-3</v>
      </c>
      <c r="H47" s="5">
        <v>0</v>
      </c>
      <c r="I47" s="4">
        <v>5.7346000000000004</v>
      </c>
      <c r="J47" s="4">
        <v>0</v>
      </c>
      <c r="K47" s="7">
        <v>1.9623886640437898E-3</v>
      </c>
      <c r="L47" s="3">
        <v>1051847746.63</v>
      </c>
      <c r="M47" s="3">
        <v>0</v>
      </c>
      <c r="N47" s="9">
        <v>2.3400000000000001E-2</v>
      </c>
      <c r="O47" s="9">
        <v>0</v>
      </c>
    </row>
    <row r="48" spans="1:15" x14ac:dyDescent="0.25">
      <c r="A48">
        <v>1383</v>
      </c>
      <c r="B48" s="1">
        <v>41852</v>
      </c>
      <c r="C48" s="3">
        <v>187832</v>
      </c>
      <c r="D48" s="3">
        <v>45293815126.349998</v>
      </c>
      <c r="E48" s="3">
        <v>203112565.75</v>
      </c>
      <c r="F48" s="3">
        <v>630479.42000000004</v>
      </c>
      <c r="G48" s="5">
        <v>4.4843333506661802E-3</v>
      </c>
      <c r="H48" s="5">
        <v>1.3919768477025701E-5</v>
      </c>
      <c r="I48" s="4">
        <v>5.2504</v>
      </c>
      <c r="J48" s="4">
        <v>1.67E-2</v>
      </c>
      <c r="K48" s="7">
        <v>2.1870267546169101E-3</v>
      </c>
      <c r="L48" s="3">
        <v>1254960312.3800001</v>
      </c>
      <c r="M48" s="3">
        <v>630479.42000000004</v>
      </c>
      <c r="N48" s="9">
        <v>2.7900000000000001E-2</v>
      </c>
      <c r="O48" s="9">
        <v>0</v>
      </c>
    </row>
    <row r="49" spans="1:15" x14ac:dyDescent="0.25">
      <c r="A49">
        <v>1383</v>
      </c>
      <c r="B49" s="1">
        <v>41883</v>
      </c>
      <c r="C49" s="3">
        <v>186906</v>
      </c>
      <c r="D49" s="3">
        <v>44992548281.370003</v>
      </c>
      <c r="E49" s="3">
        <v>195129035.28999999</v>
      </c>
      <c r="F49" s="3">
        <v>589314.56000000006</v>
      </c>
      <c r="G49" s="5">
        <v>4.3369189508831703E-3</v>
      </c>
      <c r="H49" s="5">
        <v>1.3098048065973099E-5</v>
      </c>
      <c r="I49" s="4">
        <v>5.0819000000000001</v>
      </c>
      <c r="J49" s="4">
        <v>1.5699999999999999E-2</v>
      </c>
      <c r="K49" s="7">
        <v>1.87560736507433E-3</v>
      </c>
      <c r="L49" s="3">
        <v>1450089347.6700001</v>
      </c>
      <c r="M49" s="3">
        <v>1219793.98</v>
      </c>
      <c r="N49" s="9">
        <v>3.2300000000000002E-2</v>
      </c>
      <c r="O49" s="9">
        <v>0</v>
      </c>
    </row>
    <row r="50" spans="1:15" x14ac:dyDescent="0.25">
      <c r="A50">
        <v>1383</v>
      </c>
      <c r="B50" s="1">
        <v>41913</v>
      </c>
      <c r="C50" s="3">
        <v>186013</v>
      </c>
      <c r="D50" s="3">
        <v>44692983979.010002</v>
      </c>
      <c r="E50" s="3">
        <v>168218044.28999999</v>
      </c>
      <c r="F50" s="3">
        <v>1279410.8799999999</v>
      </c>
      <c r="G50" s="5">
        <v>3.7638579775519801E-3</v>
      </c>
      <c r="H50" s="5">
        <v>2.8626660520158398E-5</v>
      </c>
      <c r="I50" s="4">
        <v>4.4241999999999999</v>
      </c>
      <c r="J50" s="4">
        <v>3.4299999999999997E-2</v>
      </c>
      <c r="K50" s="7">
        <v>1.9487413067094299E-3</v>
      </c>
      <c r="L50" s="3">
        <v>1618307391.96</v>
      </c>
      <c r="M50" s="3">
        <v>2499204.86</v>
      </c>
      <c r="N50" s="9">
        <v>3.5999999999999997E-2</v>
      </c>
      <c r="O50" s="9">
        <v>0</v>
      </c>
    </row>
    <row r="51" spans="1:15" x14ac:dyDescent="0.25">
      <c r="A51">
        <v>1383</v>
      </c>
      <c r="B51" s="1">
        <v>41944</v>
      </c>
      <c r="C51" s="3">
        <v>185262</v>
      </c>
      <c r="D51" s="3">
        <v>44430801216.199997</v>
      </c>
      <c r="E51" s="3">
        <v>210201779.44</v>
      </c>
      <c r="F51" s="3">
        <v>1058047.3700000001</v>
      </c>
      <c r="G51" s="5">
        <v>4.7309923225817901E-3</v>
      </c>
      <c r="H51" s="5">
        <v>2.3813375879753901E-5</v>
      </c>
      <c r="I51" s="4">
        <v>5.5316999999999998</v>
      </c>
      <c r="J51" s="4">
        <v>2.8500000000000001E-2</v>
      </c>
      <c r="K51" s="7">
        <v>2.97741008802168E-3</v>
      </c>
      <c r="L51" s="3">
        <v>1828509171.4000001</v>
      </c>
      <c r="M51" s="3">
        <v>3557252.23</v>
      </c>
      <c r="N51" s="9">
        <v>4.07E-2</v>
      </c>
      <c r="O51" s="9">
        <v>0</v>
      </c>
    </row>
    <row r="52" spans="1:15" x14ac:dyDescent="0.25">
      <c r="A52">
        <v>1383</v>
      </c>
      <c r="B52" s="1">
        <v>41974</v>
      </c>
      <c r="C52" s="3">
        <v>184331</v>
      </c>
      <c r="D52" s="3">
        <v>44111679844.889999</v>
      </c>
      <c r="E52" s="3">
        <v>142943567.43000001</v>
      </c>
      <c r="F52" s="3">
        <v>1328617.17</v>
      </c>
      <c r="G52" s="5">
        <v>3.2404924938844401E-3</v>
      </c>
      <c r="H52" s="5">
        <v>3.0119396374652201E-5</v>
      </c>
      <c r="I52" s="4">
        <v>3.82</v>
      </c>
      <c r="J52" s="4">
        <v>3.61E-2</v>
      </c>
      <c r="K52" s="7">
        <v>2.3138859480959801E-3</v>
      </c>
      <c r="L52" s="3">
        <v>1971452738.8299999</v>
      </c>
      <c r="M52" s="3">
        <v>4885869.4000000004</v>
      </c>
      <c r="N52" s="9">
        <v>4.3900000000000002E-2</v>
      </c>
      <c r="O52" s="9">
        <v>1E-4</v>
      </c>
    </row>
    <row r="53" spans="1:15" x14ac:dyDescent="0.25">
      <c r="A53">
        <v>1383</v>
      </c>
      <c r="B53" s="1">
        <v>42005</v>
      </c>
      <c r="C53" s="3">
        <v>183693</v>
      </c>
      <c r="D53" s="3">
        <v>43868030945.089996</v>
      </c>
      <c r="E53" s="3">
        <v>217961876.55000001</v>
      </c>
      <c r="F53" s="3">
        <v>1912262.85</v>
      </c>
      <c r="G53" s="5">
        <v>4.9685812618949004E-3</v>
      </c>
      <c r="H53" s="5">
        <v>4.3591262447899598E-5</v>
      </c>
      <c r="I53" s="4">
        <v>5.8019999999999996</v>
      </c>
      <c r="J53" s="4">
        <v>5.2200000000000003E-2</v>
      </c>
      <c r="K53" s="7">
        <v>2.3362766329376602E-3</v>
      </c>
      <c r="L53" s="3">
        <v>2189414615.3800001</v>
      </c>
      <c r="M53" s="3">
        <v>6798132.25</v>
      </c>
      <c r="N53" s="9">
        <v>4.8800000000000003E-2</v>
      </c>
      <c r="O53" s="9">
        <v>1E-4</v>
      </c>
    </row>
    <row r="54" spans="1:15" x14ac:dyDescent="0.25">
      <c r="A54">
        <v>1383</v>
      </c>
      <c r="B54" s="1">
        <v>42036</v>
      </c>
      <c r="C54" s="3">
        <v>182808</v>
      </c>
      <c r="D54" s="3">
        <v>43554150851.370003</v>
      </c>
      <c r="E54" s="3">
        <v>301601929.98000002</v>
      </c>
      <c r="F54" s="3">
        <v>1764565.8</v>
      </c>
      <c r="G54" s="5">
        <v>6.9247574360759897E-3</v>
      </c>
      <c r="H54" s="5">
        <v>4.0514296927097397E-5</v>
      </c>
      <c r="I54" s="4">
        <v>8.0004000000000008</v>
      </c>
      <c r="J54" s="4">
        <v>4.8599999999999997E-2</v>
      </c>
      <c r="K54" s="7">
        <v>2.98917775769022E-3</v>
      </c>
      <c r="L54" s="3">
        <v>2491016545.3600001</v>
      </c>
      <c r="M54" s="3">
        <v>8562698.0500000007</v>
      </c>
      <c r="N54" s="9">
        <v>5.5500000000000001E-2</v>
      </c>
      <c r="O54" s="9">
        <v>1E-4</v>
      </c>
    </row>
    <row r="55" spans="1:15" x14ac:dyDescent="0.25">
      <c r="A55">
        <v>1383</v>
      </c>
      <c r="B55" s="1">
        <v>42064</v>
      </c>
      <c r="C55" s="3">
        <v>181553</v>
      </c>
      <c r="D55" s="3">
        <v>43150144906.599998</v>
      </c>
      <c r="E55" s="3">
        <v>292448720.48000002</v>
      </c>
      <c r="F55" s="3">
        <v>1339386.98</v>
      </c>
      <c r="G55" s="5">
        <v>6.7774678651257199E-3</v>
      </c>
      <c r="H55" s="5">
        <v>3.1040150221955197E-5</v>
      </c>
      <c r="I55" s="4">
        <v>7.8365</v>
      </c>
      <c r="J55" s="4">
        <v>3.7199999999999997E-2</v>
      </c>
      <c r="K55" s="7">
        <v>2.03531324332973E-3</v>
      </c>
      <c r="L55" s="3">
        <v>2783465265.8400002</v>
      </c>
      <c r="M55" s="3">
        <v>9902085.0299999993</v>
      </c>
      <c r="N55" s="9">
        <v>6.2E-2</v>
      </c>
      <c r="O55" s="9">
        <v>2.0000000000000001E-4</v>
      </c>
    </row>
    <row r="56" spans="1:15" x14ac:dyDescent="0.25">
      <c r="A56">
        <v>1383</v>
      </c>
      <c r="B56" s="1">
        <v>42095</v>
      </c>
      <c r="C56" s="3">
        <v>180316</v>
      </c>
      <c r="D56" s="3">
        <v>42757567815.25</v>
      </c>
      <c r="E56" s="3">
        <v>313691639.17000002</v>
      </c>
      <c r="F56" s="3">
        <v>1075767.42</v>
      </c>
      <c r="G56" s="5">
        <v>7.3365173745480903E-3</v>
      </c>
      <c r="H56" s="5">
        <v>2.5159696282264E-5</v>
      </c>
      <c r="I56" s="4">
        <v>8.4571000000000005</v>
      </c>
      <c r="J56" s="4">
        <v>3.0099999999999998E-2</v>
      </c>
      <c r="K56" s="7">
        <v>2.1041517639343202E-3</v>
      </c>
      <c r="L56" s="3">
        <v>3097156905.0100002</v>
      </c>
      <c r="M56" s="3">
        <v>10977852.449999999</v>
      </c>
      <c r="N56" s="9">
        <v>6.9000000000000006E-2</v>
      </c>
      <c r="O56" s="9">
        <v>2.0000000000000001E-4</v>
      </c>
    </row>
    <row r="57" spans="1:15" x14ac:dyDescent="0.25">
      <c r="A57">
        <v>1383</v>
      </c>
      <c r="B57" s="1">
        <v>42125</v>
      </c>
      <c r="C57" s="3">
        <v>178974</v>
      </c>
      <c r="D57" s="3">
        <v>42347878129.330002</v>
      </c>
      <c r="E57" s="3">
        <v>0</v>
      </c>
      <c r="F57" s="3">
        <v>0</v>
      </c>
      <c r="G57" s="5">
        <v>0</v>
      </c>
      <c r="H57" s="5">
        <v>0</v>
      </c>
      <c r="I57" s="4">
        <v>0</v>
      </c>
      <c r="J57" s="4">
        <v>0</v>
      </c>
      <c r="K57" s="7">
        <v>2.7629914798248498E-3</v>
      </c>
      <c r="L57" s="3">
        <v>3097156905.0100002</v>
      </c>
      <c r="M57" s="3">
        <v>10977852.449999999</v>
      </c>
      <c r="N57" s="8">
        <v>6.9000000000000006E-2</v>
      </c>
      <c r="O57" s="8">
        <v>2.0000000000000001E-4</v>
      </c>
    </row>
    <row r="58" spans="1:15" x14ac:dyDescent="0.25">
      <c r="A58">
        <v>1384</v>
      </c>
      <c r="B58" s="1">
        <v>41699</v>
      </c>
      <c r="C58" s="3">
        <v>62584</v>
      </c>
      <c r="D58" s="3">
        <v>13975158090.879999</v>
      </c>
      <c r="E58" s="3">
        <v>56666823.07</v>
      </c>
      <c r="F58" s="3">
        <v>0</v>
      </c>
      <c r="G58" s="5">
        <v>4.0548251906345097E-3</v>
      </c>
      <c r="H58" s="5">
        <v>0</v>
      </c>
      <c r="I58" s="4">
        <v>4.7587000000000002</v>
      </c>
      <c r="J58" s="4">
        <v>0</v>
      </c>
      <c r="K58" s="7">
        <v>0</v>
      </c>
      <c r="L58" s="3">
        <v>56666823.07</v>
      </c>
      <c r="M58" s="3">
        <v>0</v>
      </c>
      <c r="N58" s="9">
        <v>4.3E-3</v>
      </c>
      <c r="O58" s="9">
        <v>0</v>
      </c>
    </row>
    <row r="59" spans="1:15" x14ac:dyDescent="0.25">
      <c r="A59">
        <v>1384</v>
      </c>
      <c r="B59" s="1">
        <v>41730</v>
      </c>
      <c r="C59" s="3">
        <v>62340</v>
      </c>
      <c r="D59" s="3">
        <v>13891379324.02</v>
      </c>
      <c r="E59" s="3">
        <v>70110171.659999996</v>
      </c>
      <c r="F59" s="3">
        <v>0</v>
      </c>
      <c r="G59" s="5">
        <v>5.0470273703324998E-3</v>
      </c>
      <c r="H59" s="5">
        <v>0</v>
      </c>
      <c r="I59" s="4">
        <v>5.8910999999999998</v>
      </c>
      <c r="J59" s="4">
        <v>0</v>
      </c>
      <c r="K59" s="7">
        <v>1.62835183622744E-3</v>
      </c>
      <c r="L59" s="3">
        <v>126776994.73</v>
      </c>
      <c r="M59" s="3">
        <v>0</v>
      </c>
      <c r="N59" s="9">
        <v>9.5999999999999992E-3</v>
      </c>
      <c r="O59" s="9">
        <v>0</v>
      </c>
    </row>
    <row r="60" spans="1:15" x14ac:dyDescent="0.25">
      <c r="A60">
        <v>1384</v>
      </c>
      <c r="B60" s="1">
        <v>41760</v>
      </c>
      <c r="C60" s="3">
        <v>62022</v>
      </c>
      <c r="D60" s="3">
        <v>13793286662.5</v>
      </c>
      <c r="E60" s="3">
        <v>79825075.650000006</v>
      </c>
      <c r="F60" s="3">
        <v>0</v>
      </c>
      <c r="G60" s="5">
        <v>5.7872411125204498E-3</v>
      </c>
      <c r="H60" s="5">
        <v>0</v>
      </c>
      <c r="I60" s="4">
        <v>6.7278000000000002</v>
      </c>
      <c r="J60" s="4">
        <v>0</v>
      </c>
      <c r="K60" s="7">
        <v>2.0663736546191699E-3</v>
      </c>
      <c r="L60" s="3">
        <v>206602070.38</v>
      </c>
      <c r="M60" s="3">
        <v>0</v>
      </c>
      <c r="N60" s="9">
        <v>1.5699999999999999E-2</v>
      </c>
      <c r="O60" s="9">
        <v>0</v>
      </c>
    </row>
    <row r="61" spans="1:15" x14ac:dyDescent="0.25">
      <c r="A61">
        <v>1384</v>
      </c>
      <c r="B61" s="1">
        <v>41791</v>
      </c>
      <c r="C61" s="3">
        <v>61667</v>
      </c>
      <c r="D61" s="3">
        <v>13686612088.84</v>
      </c>
      <c r="E61" s="3">
        <v>85075143.510000005</v>
      </c>
      <c r="F61" s="3">
        <v>0</v>
      </c>
      <c r="G61" s="5">
        <v>6.2159388282341799E-3</v>
      </c>
      <c r="H61" s="5">
        <v>0</v>
      </c>
      <c r="I61" s="4">
        <v>7.2092999999999998</v>
      </c>
      <c r="J61" s="4">
        <v>0</v>
      </c>
      <c r="K61" s="7">
        <v>2.5497768917156199E-3</v>
      </c>
      <c r="L61" s="3">
        <v>291677213.88999999</v>
      </c>
      <c r="M61" s="3">
        <v>0</v>
      </c>
      <c r="N61" s="9">
        <v>2.2200000000000001E-2</v>
      </c>
      <c r="O61" s="9">
        <v>0</v>
      </c>
    </row>
    <row r="62" spans="1:15" x14ac:dyDescent="0.25">
      <c r="A62">
        <v>1384</v>
      </c>
      <c r="B62" s="1">
        <v>41821</v>
      </c>
      <c r="C62" s="3">
        <v>61297</v>
      </c>
      <c r="D62" s="3">
        <v>13574009600.459999</v>
      </c>
      <c r="E62" s="3">
        <v>74278557.730000004</v>
      </c>
      <c r="F62" s="3">
        <v>0</v>
      </c>
      <c r="G62" s="5">
        <v>5.4721161923653502E-3</v>
      </c>
      <c r="H62" s="5">
        <v>0</v>
      </c>
      <c r="I62" s="4">
        <v>6.3723999999999998</v>
      </c>
      <c r="J62" s="4">
        <v>0</v>
      </c>
      <c r="K62" s="7">
        <v>2.5569212938249099E-3</v>
      </c>
      <c r="L62" s="3">
        <v>365955771.62</v>
      </c>
      <c r="M62" s="3">
        <v>0</v>
      </c>
      <c r="N62" s="9">
        <v>2.7900000000000001E-2</v>
      </c>
      <c r="O62" s="9">
        <v>0</v>
      </c>
    </row>
    <row r="63" spans="1:15" x14ac:dyDescent="0.25">
      <c r="A63">
        <v>1384</v>
      </c>
      <c r="B63" s="1">
        <v>41852</v>
      </c>
      <c r="C63" s="3">
        <v>60964</v>
      </c>
      <c r="D63" s="3">
        <v>13472080962.18</v>
      </c>
      <c r="E63" s="3">
        <v>67600876.5</v>
      </c>
      <c r="F63" s="3">
        <v>729572.15</v>
      </c>
      <c r="G63" s="5">
        <v>5.0178496321225396E-3</v>
      </c>
      <c r="H63" s="5">
        <v>5.4154376896050302E-5</v>
      </c>
      <c r="I63" s="4">
        <v>5.8578999999999999</v>
      </c>
      <c r="J63" s="4">
        <v>6.4899999999999999E-2</v>
      </c>
      <c r="K63" s="7">
        <v>3.7871743187434001E-3</v>
      </c>
      <c r="L63" s="3">
        <v>433556648.12</v>
      </c>
      <c r="M63" s="3">
        <v>729572.15</v>
      </c>
      <c r="N63" s="9">
        <v>3.3099999999999997E-2</v>
      </c>
      <c r="O63" s="9">
        <v>0</v>
      </c>
    </row>
    <row r="64" spans="1:15" x14ac:dyDescent="0.25">
      <c r="A64">
        <v>1384</v>
      </c>
      <c r="B64" s="1">
        <v>41883</v>
      </c>
      <c r="C64" s="3">
        <v>60637</v>
      </c>
      <c r="D64" s="3">
        <v>13376083076.65</v>
      </c>
      <c r="E64" s="3">
        <v>67743247.349999994</v>
      </c>
      <c r="F64" s="3">
        <v>0</v>
      </c>
      <c r="G64" s="5">
        <v>5.0645055777394296E-3</v>
      </c>
      <c r="H64" s="5">
        <v>0</v>
      </c>
      <c r="I64" s="4">
        <v>5.9108999999999998</v>
      </c>
      <c r="J64" s="4">
        <v>0</v>
      </c>
      <c r="K64" s="7">
        <v>2.35166618880465E-3</v>
      </c>
      <c r="L64" s="3">
        <v>501299895.47000003</v>
      </c>
      <c r="M64" s="3">
        <v>729572.15</v>
      </c>
      <c r="N64" s="9">
        <v>3.8300000000000001E-2</v>
      </c>
      <c r="O64" s="9">
        <v>0</v>
      </c>
    </row>
    <row r="65" spans="1:15" x14ac:dyDescent="0.25">
      <c r="A65">
        <v>1384</v>
      </c>
      <c r="B65" s="1">
        <v>41913</v>
      </c>
      <c r="C65" s="3">
        <v>60330</v>
      </c>
      <c r="D65" s="3">
        <v>13278993689.370001</v>
      </c>
      <c r="E65" s="3">
        <v>64996835.159999996</v>
      </c>
      <c r="F65" s="3">
        <v>1106164.8600000001</v>
      </c>
      <c r="G65" s="5">
        <v>4.8947109005730398E-3</v>
      </c>
      <c r="H65" s="5">
        <v>8.3301859001973794E-5</v>
      </c>
      <c r="I65" s="4">
        <v>5.718</v>
      </c>
      <c r="J65" s="4">
        <v>9.9900000000000003E-2</v>
      </c>
      <c r="K65" s="7">
        <v>2.86763498807013E-3</v>
      </c>
      <c r="L65" s="3">
        <v>566296730.63</v>
      </c>
      <c r="M65" s="3">
        <v>1835737.01</v>
      </c>
      <c r="N65" s="9">
        <v>4.3200000000000002E-2</v>
      </c>
      <c r="O65" s="9">
        <v>1E-4</v>
      </c>
    </row>
    <row r="66" spans="1:15" x14ac:dyDescent="0.25">
      <c r="A66">
        <v>1384</v>
      </c>
      <c r="B66" s="1">
        <v>41944</v>
      </c>
      <c r="C66" s="3">
        <v>60033</v>
      </c>
      <c r="D66" s="3">
        <v>13188223110.76</v>
      </c>
      <c r="E66" s="3">
        <v>79177605.450000003</v>
      </c>
      <c r="F66" s="3">
        <v>109743.21</v>
      </c>
      <c r="G66" s="5">
        <v>6.0036598399219199E-3</v>
      </c>
      <c r="H66" s="5">
        <v>8.3213037175920007E-6</v>
      </c>
      <c r="I66" s="4">
        <v>6.9710999999999999</v>
      </c>
      <c r="J66" s="4">
        <v>9.9000000000000008E-3</v>
      </c>
      <c r="K66" s="7">
        <v>4.3426454162178302E-3</v>
      </c>
      <c r="L66" s="3">
        <v>645474336.08000004</v>
      </c>
      <c r="M66" s="3">
        <v>1945480.22</v>
      </c>
      <c r="N66" s="9">
        <v>4.9299999999999997E-2</v>
      </c>
      <c r="O66" s="9">
        <v>1E-4</v>
      </c>
    </row>
    <row r="67" spans="1:15" x14ac:dyDescent="0.25">
      <c r="A67">
        <v>1384</v>
      </c>
      <c r="B67" s="1">
        <v>41974</v>
      </c>
      <c r="C67" s="3">
        <v>59682</v>
      </c>
      <c r="D67" s="3">
        <v>13079589990.01</v>
      </c>
      <c r="E67" s="3">
        <v>62545677.549999997</v>
      </c>
      <c r="F67" s="3">
        <v>728256.97</v>
      </c>
      <c r="G67" s="5">
        <v>4.7819295251434798E-3</v>
      </c>
      <c r="H67" s="5">
        <v>5.5678883707840301E-5</v>
      </c>
      <c r="I67" s="4">
        <v>5.5896999999999997</v>
      </c>
      <c r="J67" s="4">
        <v>6.6699999999999995E-2</v>
      </c>
      <c r="K67" s="7">
        <v>3.4913903398255501E-3</v>
      </c>
      <c r="L67" s="3">
        <v>708020013.63</v>
      </c>
      <c r="M67" s="3">
        <v>2673737.19</v>
      </c>
      <c r="N67" s="9">
        <v>5.4100000000000002E-2</v>
      </c>
      <c r="O67" s="9">
        <v>2.0000000000000001E-4</v>
      </c>
    </row>
    <row r="68" spans="1:15" x14ac:dyDescent="0.25">
      <c r="A68">
        <v>1384</v>
      </c>
      <c r="B68" s="1">
        <v>42005</v>
      </c>
      <c r="C68" s="3">
        <v>59403</v>
      </c>
      <c r="D68" s="3">
        <v>12989465528.1</v>
      </c>
      <c r="E68" s="3">
        <v>94297430.280000001</v>
      </c>
      <c r="F68" s="3">
        <v>954901.87</v>
      </c>
      <c r="G68" s="5">
        <v>7.2595312005722702E-3</v>
      </c>
      <c r="H68" s="5">
        <v>7.3513561272730494E-5</v>
      </c>
      <c r="I68" s="4">
        <v>8.3718000000000004</v>
      </c>
      <c r="J68" s="4">
        <v>8.8099999999999998E-2</v>
      </c>
      <c r="K68" s="7">
        <v>3.51815914913048E-3</v>
      </c>
      <c r="L68" s="3">
        <v>802317443.90999997</v>
      </c>
      <c r="M68" s="3">
        <v>3628639.06</v>
      </c>
      <c r="N68" s="9">
        <v>6.13E-2</v>
      </c>
      <c r="O68" s="9">
        <v>2.0000000000000001E-4</v>
      </c>
    </row>
    <row r="69" spans="1:15" x14ac:dyDescent="0.25">
      <c r="A69">
        <v>1384</v>
      </c>
      <c r="B69" s="1">
        <v>42036</v>
      </c>
      <c r="C69" s="3">
        <v>59011</v>
      </c>
      <c r="D69" s="3">
        <v>12868564575.280001</v>
      </c>
      <c r="E69" s="3">
        <v>129449554.43000001</v>
      </c>
      <c r="F69" s="3">
        <v>1661851.02</v>
      </c>
      <c r="G69" s="5">
        <v>1.0059362384416E-2</v>
      </c>
      <c r="H69" s="5">
        <v>1.2914035674129099E-4</v>
      </c>
      <c r="I69" s="4">
        <v>11.4252</v>
      </c>
      <c r="J69" s="4">
        <v>0.15479999999999999</v>
      </c>
      <c r="K69" s="7">
        <v>4.6700372740440099E-3</v>
      </c>
      <c r="L69" s="3">
        <v>931766998.34000003</v>
      </c>
      <c r="M69" s="3">
        <v>5290490.08</v>
      </c>
      <c r="N69" s="9">
        <v>7.1099999999999997E-2</v>
      </c>
      <c r="O69" s="9">
        <v>4.0000000000000002E-4</v>
      </c>
    </row>
    <row r="70" spans="1:15" x14ac:dyDescent="0.25">
      <c r="A70">
        <v>1384</v>
      </c>
      <c r="B70" s="1">
        <v>42064</v>
      </c>
      <c r="C70" s="3">
        <v>58463</v>
      </c>
      <c r="D70" s="3">
        <v>12709590708.01</v>
      </c>
      <c r="E70" s="3">
        <v>121973419.11</v>
      </c>
      <c r="F70" s="3">
        <v>1260591.1599999999</v>
      </c>
      <c r="G70" s="5">
        <v>9.5969588566788607E-3</v>
      </c>
      <c r="H70" s="5">
        <v>9.9184245107557505E-5</v>
      </c>
      <c r="I70" s="4">
        <v>10.9275</v>
      </c>
      <c r="J70" s="4">
        <v>0.11890000000000001</v>
      </c>
      <c r="K70" s="7">
        <v>3.11869772840279E-3</v>
      </c>
      <c r="L70" s="3">
        <v>1053740417.45</v>
      </c>
      <c r="M70" s="3">
        <v>6551081.2400000002</v>
      </c>
      <c r="N70" s="9">
        <v>8.0500000000000002E-2</v>
      </c>
      <c r="O70" s="9">
        <v>5.0000000000000001E-4</v>
      </c>
    </row>
    <row r="71" spans="1:15" x14ac:dyDescent="0.25">
      <c r="A71">
        <v>1384</v>
      </c>
      <c r="B71" s="1">
        <v>42095</v>
      </c>
      <c r="C71" s="3">
        <v>57929</v>
      </c>
      <c r="D71" s="3">
        <v>12559682919.58</v>
      </c>
      <c r="E71" s="3">
        <v>129110068.88</v>
      </c>
      <c r="F71" s="3">
        <v>948614.99</v>
      </c>
      <c r="G71" s="5">
        <v>1.02797235970601E-2</v>
      </c>
      <c r="H71" s="5">
        <v>7.55285779166566E-5</v>
      </c>
      <c r="I71" s="4">
        <v>11.6615</v>
      </c>
      <c r="J71" s="4">
        <v>9.0499999999999997E-2</v>
      </c>
      <c r="K71" s="7">
        <v>3.4374970583607401E-3</v>
      </c>
      <c r="L71" s="3">
        <v>1182850486.3299999</v>
      </c>
      <c r="M71" s="3">
        <v>7499696.2300000004</v>
      </c>
      <c r="N71" s="9">
        <v>9.0300000000000005E-2</v>
      </c>
      <c r="O71" s="9">
        <v>5.0000000000000001E-4</v>
      </c>
    </row>
    <row r="72" spans="1:15" x14ac:dyDescent="0.25">
      <c r="A72">
        <v>1384</v>
      </c>
      <c r="B72" s="1">
        <v>42125</v>
      </c>
      <c r="C72" s="3">
        <v>57358</v>
      </c>
      <c r="D72" s="3">
        <v>12403070778.74</v>
      </c>
      <c r="E72" s="3">
        <v>0</v>
      </c>
      <c r="F72" s="3">
        <v>0</v>
      </c>
      <c r="G72" s="5">
        <v>0</v>
      </c>
      <c r="H72" s="5">
        <v>0</v>
      </c>
      <c r="I72" s="4">
        <v>0</v>
      </c>
      <c r="J72" s="4">
        <v>0</v>
      </c>
      <c r="K72" s="7">
        <v>4.9923726466302E-3</v>
      </c>
      <c r="L72" s="3">
        <v>1182850486.3299999</v>
      </c>
      <c r="M72" s="3">
        <v>7499696.2300000004</v>
      </c>
      <c r="N72" s="8">
        <v>9.0300000000000005E-2</v>
      </c>
      <c r="O72" s="8">
        <v>5.0000000000000001E-4</v>
      </c>
    </row>
    <row r="73" spans="1:15" x14ac:dyDescent="0.25">
      <c r="A73">
        <v>1387</v>
      </c>
      <c r="B73" s="1">
        <v>41760</v>
      </c>
      <c r="C73" s="3">
        <v>522</v>
      </c>
      <c r="D73" s="3">
        <v>136083939.11000001</v>
      </c>
      <c r="E73" s="3">
        <v>854180.09</v>
      </c>
      <c r="F73" s="3">
        <v>0</v>
      </c>
      <c r="G73" s="5">
        <v>6.2768618808832699E-3</v>
      </c>
      <c r="H73" s="5">
        <v>0</v>
      </c>
      <c r="I73" s="4">
        <v>7.2774999999999999</v>
      </c>
      <c r="J73" s="4">
        <v>0</v>
      </c>
      <c r="K73" s="7">
        <v>0</v>
      </c>
      <c r="L73" s="3">
        <v>274119981.47000003</v>
      </c>
      <c r="M73" s="3">
        <v>0</v>
      </c>
      <c r="N73" s="9">
        <v>4.7999999999999996E-3</v>
      </c>
      <c r="O73" s="9">
        <v>0</v>
      </c>
    </row>
    <row r="74" spans="1:15" x14ac:dyDescent="0.25">
      <c r="A74">
        <v>1387</v>
      </c>
      <c r="B74" s="1">
        <v>41791</v>
      </c>
      <c r="C74" s="3">
        <v>245287</v>
      </c>
      <c r="D74" s="3">
        <v>58820797423.540001</v>
      </c>
      <c r="E74" s="3">
        <v>304590809.82999998</v>
      </c>
      <c r="F74" s="3">
        <v>0</v>
      </c>
      <c r="G74" s="5">
        <v>5.1782842663078699E-3</v>
      </c>
      <c r="H74" s="5">
        <v>0</v>
      </c>
      <c r="I74" s="4">
        <v>6.0399000000000003</v>
      </c>
      <c r="J74" s="4">
        <v>0</v>
      </c>
      <c r="K74" s="7">
        <v>1.5750085197403999E-3</v>
      </c>
      <c r="L74" s="3">
        <v>578710791.29999995</v>
      </c>
      <c r="M74" s="3">
        <v>0</v>
      </c>
      <c r="N74" s="9">
        <v>1.0200000000000001E-2</v>
      </c>
      <c r="O74" s="9">
        <v>0</v>
      </c>
    </row>
    <row r="75" spans="1:15" x14ac:dyDescent="0.25">
      <c r="A75">
        <v>1387</v>
      </c>
      <c r="B75" s="1">
        <v>41821</v>
      </c>
      <c r="C75" s="3">
        <v>243984</v>
      </c>
      <c r="D75" s="3">
        <v>58394790404</v>
      </c>
      <c r="E75" s="3">
        <v>281706789.07999998</v>
      </c>
      <c r="F75" s="3">
        <v>0</v>
      </c>
      <c r="G75" s="5">
        <v>4.8241767310239899E-3</v>
      </c>
      <c r="H75" s="5">
        <v>0</v>
      </c>
      <c r="I75" s="4">
        <v>5.6378000000000004</v>
      </c>
      <c r="J75" s="4">
        <v>0</v>
      </c>
      <c r="K75" s="7">
        <v>1.8474308569931899E-3</v>
      </c>
      <c r="L75" s="3">
        <v>860417580.38</v>
      </c>
      <c r="M75" s="3">
        <v>0</v>
      </c>
      <c r="N75" s="9">
        <v>1.5100000000000001E-2</v>
      </c>
      <c r="O75" s="9">
        <v>0</v>
      </c>
    </row>
    <row r="76" spans="1:15" x14ac:dyDescent="0.25">
      <c r="A76">
        <v>1387</v>
      </c>
      <c r="B76" s="1">
        <v>41852</v>
      </c>
      <c r="C76" s="3">
        <v>242780</v>
      </c>
      <c r="D76" s="3">
        <v>57990235747.93</v>
      </c>
      <c r="E76" s="3">
        <v>261324557.78999999</v>
      </c>
      <c r="F76" s="3">
        <v>0</v>
      </c>
      <c r="G76" s="5">
        <v>4.5063544650157401E-3</v>
      </c>
      <c r="H76" s="5">
        <v>0</v>
      </c>
      <c r="I76" s="4">
        <v>5.2755000000000001</v>
      </c>
      <c r="J76" s="4">
        <v>0</v>
      </c>
      <c r="K76" s="7">
        <v>2.47716620077937E-3</v>
      </c>
      <c r="L76" s="3">
        <v>1121742138.1700001</v>
      </c>
      <c r="M76" s="3">
        <v>0</v>
      </c>
      <c r="N76" s="9">
        <v>1.9699999999999999E-2</v>
      </c>
      <c r="O76" s="9">
        <v>0</v>
      </c>
    </row>
    <row r="77" spans="1:15" x14ac:dyDescent="0.25">
      <c r="A77">
        <v>1387</v>
      </c>
      <c r="B77" s="1">
        <v>41883</v>
      </c>
      <c r="C77" s="3">
        <v>241669</v>
      </c>
      <c r="D77" s="3">
        <v>57609407449.07</v>
      </c>
      <c r="E77" s="3">
        <v>261370643.83000001</v>
      </c>
      <c r="F77" s="3">
        <v>0</v>
      </c>
      <c r="G77" s="5">
        <v>4.5369437979563701E-3</v>
      </c>
      <c r="H77" s="5">
        <v>0</v>
      </c>
      <c r="I77" s="4">
        <v>5.3105000000000002</v>
      </c>
      <c r="J77" s="4">
        <v>0</v>
      </c>
      <c r="K77" s="7">
        <v>2.1700582845001599E-3</v>
      </c>
      <c r="L77" s="3">
        <v>1383112782</v>
      </c>
      <c r="M77" s="3">
        <v>0</v>
      </c>
      <c r="N77" s="9">
        <v>2.4299999999999999E-2</v>
      </c>
      <c r="O77" s="9">
        <v>0</v>
      </c>
    </row>
    <row r="78" spans="1:15" x14ac:dyDescent="0.25">
      <c r="A78">
        <v>1387</v>
      </c>
      <c r="B78" s="1">
        <v>41913</v>
      </c>
      <c r="C78" s="3">
        <v>240497</v>
      </c>
      <c r="D78" s="3">
        <v>57219331894.339996</v>
      </c>
      <c r="E78" s="3">
        <v>246878336.81</v>
      </c>
      <c r="F78" s="3">
        <v>988146.77</v>
      </c>
      <c r="G78" s="5">
        <v>4.3145966343312104E-3</v>
      </c>
      <c r="H78" s="5">
        <v>1.72694566204423E-5</v>
      </c>
      <c r="I78" s="4">
        <v>5.0564</v>
      </c>
      <c r="J78" s="4">
        <v>2.07E-2</v>
      </c>
      <c r="K78" s="7">
        <v>1.9485113062116699E-3</v>
      </c>
      <c r="L78" s="3">
        <v>1629991118.8099999</v>
      </c>
      <c r="M78" s="3">
        <v>988146.77</v>
      </c>
      <c r="N78" s="9">
        <v>2.87E-2</v>
      </c>
      <c r="O78" s="9">
        <v>0</v>
      </c>
    </row>
    <row r="79" spans="1:15" x14ac:dyDescent="0.25">
      <c r="A79">
        <v>1387</v>
      </c>
      <c r="B79" s="1">
        <v>41944</v>
      </c>
      <c r="C79" s="3">
        <v>239437</v>
      </c>
      <c r="D79" s="3">
        <v>56862214421.93</v>
      </c>
      <c r="E79" s="3">
        <v>286719558.75</v>
      </c>
      <c r="F79" s="3">
        <v>995162.46</v>
      </c>
      <c r="G79" s="5">
        <v>5.0423565396605597E-3</v>
      </c>
      <c r="H79" s="5">
        <v>1.7501296249486101E-5</v>
      </c>
      <c r="I79" s="4">
        <v>5.8857999999999997</v>
      </c>
      <c r="J79" s="4">
        <v>2.0899999999999998E-2</v>
      </c>
      <c r="K79" s="7">
        <v>3.5550725954850799E-3</v>
      </c>
      <c r="L79" s="3">
        <v>1916710677.5599999</v>
      </c>
      <c r="M79" s="3">
        <v>1983309.23</v>
      </c>
      <c r="N79" s="9">
        <v>3.3700000000000001E-2</v>
      </c>
      <c r="O79" s="9">
        <v>0</v>
      </c>
    </row>
    <row r="80" spans="1:15" x14ac:dyDescent="0.25">
      <c r="A80">
        <v>1387</v>
      </c>
      <c r="B80" s="1">
        <v>41974</v>
      </c>
      <c r="C80" s="3">
        <v>238200</v>
      </c>
      <c r="D80" s="3">
        <v>56443379084.279999</v>
      </c>
      <c r="E80" s="3">
        <v>221923606.05000001</v>
      </c>
      <c r="F80" s="3">
        <v>3152261.46</v>
      </c>
      <c r="G80" s="5">
        <v>3.9317916405860196E-3</v>
      </c>
      <c r="H80" s="5">
        <v>5.5848205956860098E-5</v>
      </c>
      <c r="I80" s="4">
        <v>4.6173999999999999</v>
      </c>
      <c r="J80" s="4">
        <v>6.6900000000000001E-2</v>
      </c>
      <c r="K80" s="7">
        <v>2.6851648903531101E-3</v>
      </c>
      <c r="L80" s="3">
        <v>2138634283.6099999</v>
      </c>
      <c r="M80" s="3">
        <v>5135570.6900000004</v>
      </c>
      <c r="N80" s="9">
        <v>3.7699999999999997E-2</v>
      </c>
      <c r="O80" s="9">
        <v>0</v>
      </c>
    </row>
    <row r="81" spans="1:15" x14ac:dyDescent="0.25">
      <c r="A81">
        <v>1387</v>
      </c>
      <c r="B81" s="1">
        <v>42005</v>
      </c>
      <c r="C81" s="3">
        <v>237262</v>
      </c>
      <c r="D81" s="3">
        <v>56099182833.809998</v>
      </c>
      <c r="E81" s="3">
        <v>327186283.49000001</v>
      </c>
      <c r="F81" s="3">
        <v>1565142.67</v>
      </c>
      <c r="G81" s="5">
        <v>5.8322825211067101E-3</v>
      </c>
      <c r="H81" s="5">
        <v>2.7899562719774801E-5</v>
      </c>
      <c r="I81" s="4">
        <v>6.7785000000000002</v>
      </c>
      <c r="J81" s="4">
        <v>3.3399999999999999E-2</v>
      </c>
      <c r="K81" s="7">
        <v>2.5401356604809202E-3</v>
      </c>
      <c r="L81" s="3">
        <v>2465820567.0999999</v>
      </c>
      <c r="M81" s="3">
        <v>6700713.3600000003</v>
      </c>
      <c r="N81" s="9">
        <v>4.3400000000000001E-2</v>
      </c>
      <c r="O81" s="9">
        <v>1E-4</v>
      </c>
    </row>
    <row r="82" spans="1:15" x14ac:dyDescent="0.25">
      <c r="A82">
        <v>1387</v>
      </c>
      <c r="B82" s="1">
        <v>42036</v>
      </c>
      <c r="C82" s="3">
        <v>236002</v>
      </c>
      <c r="D82" s="3">
        <v>55653432312.110001</v>
      </c>
      <c r="E82" s="3">
        <v>453794955.94999999</v>
      </c>
      <c r="F82" s="3">
        <v>1218933.53</v>
      </c>
      <c r="G82" s="5">
        <v>8.1539437389067503E-3</v>
      </c>
      <c r="H82" s="5">
        <v>2.19022166173705E-5</v>
      </c>
      <c r="I82" s="4">
        <v>9.3575999999999997</v>
      </c>
      <c r="J82" s="4">
        <v>2.6200000000000001E-2</v>
      </c>
      <c r="K82" s="7">
        <v>3.6881828904798001E-3</v>
      </c>
      <c r="L82" s="3">
        <v>2919615523.0500002</v>
      </c>
      <c r="M82" s="3">
        <v>7919646.8899999997</v>
      </c>
      <c r="N82" s="9">
        <v>5.1400000000000001E-2</v>
      </c>
      <c r="O82" s="9">
        <v>1E-4</v>
      </c>
    </row>
    <row r="83" spans="1:15" x14ac:dyDescent="0.25">
      <c r="A83">
        <v>1387</v>
      </c>
      <c r="B83" s="1">
        <v>42064</v>
      </c>
      <c r="C83" s="3">
        <v>234235</v>
      </c>
      <c r="D83" s="3">
        <v>55075070733.809998</v>
      </c>
      <c r="E83" s="3">
        <v>430616599.19999999</v>
      </c>
      <c r="F83" s="3">
        <v>1169883.44</v>
      </c>
      <c r="G83" s="5">
        <v>7.8187207653579796E-3</v>
      </c>
      <c r="H83" s="5">
        <v>2.1241614843389E-5</v>
      </c>
      <c r="I83" s="4">
        <v>8.9893000000000001</v>
      </c>
      <c r="J83" s="4">
        <v>2.5399999999999999E-2</v>
      </c>
      <c r="K83" s="7">
        <v>2.6064369582711401E-3</v>
      </c>
      <c r="L83" s="3">
        <v>3350232122.25</v>
      </c>
      <c r="M83" s="3">
        <v>9089530.3300000001</v>
      </c>
      <c r="N83" s="9">
        <v>5.8999999999999997E-2</v>
      </c>
      <c r="O83" s="9">
        <v>1E-4</v>
      </c>
    </row>
    <row r="84" spans="1:15" x14ac:dyDescent="0.25">
      <c r="A84">
        <v>1387</v>
      </c>
      <c r="B84" s="1">
        <v>42095</v>
      </c>
      <c r="C84" s="3">
        <v>232491</v>
      </c>
      <c r="D84" s="3">
        <v>54523128292.610001</v>
      </c>
      <c r="E84" s="3">
        <v>456373617.68000001</v>
      </c>
      <c r="F84" s="3">
        <v>2336918.65</v>
      </c>
      <c r="G84" s="5">
        <v>8.3702757338275507E-3</v>
      </c>
      <c r="H84" s="5">
        <v>4.2861052239306998E-5</v>
      </c>
      <c r="I84" s="4">
        <v>9.5945</v>
      </c>
      <c r="J84" s="4">
        <v>5.1400000000000001E-2</v>
      </c>
      <c r="K84" s="7">
        <v>2.5829076593737502E-3</v>
      </c>
      <c r="L84" s="3">
        <v>3806605739.9299998</v>
      </c>
      <c r="M84" s="3">
        <v>11426448.98</v>
      </c>
      <c r="N84" s="9">
        <v>6.7100000000000007E-2</v>
      </c>
      <c r="O84" s="9">
        <v>2.0000000000000001E-4</v>
      </c>
    </row>
    <row r="85" spans="1:15" x14ac:dyDescent="0.25">
      <c r="A85">
        <v>1387</v>
      </c>
      <c r="B85" s="1">
        <v>42125</v>
      </c>
      <c r="C85" s="3">
        <v>230558</v>
      </c>
      <c r="D85" s="3">
        <v>53944428669.5</v>
      </c>
      <c r="E85" s="3">
        <v>0</v>
      </c>
      <c r="F85" s="3">
        <v>0</v>
      </c>
      <c r="G85" s="5">
        <v>0</v>
      </c>
      <c r="H85" s="5">
        <v>0</v>
      </c>
      <c r="I85" s="4">
        <v>0</v>
      </c>
      <c r="J85" s="4">
        <v>0</v>
      </c>
      <c r="K85" s="7">
        <v>3.21889795930263E-3</v>
      </c>
      <c r="L85" s="3">
        <v>3806605739.9299998</v>
      </c>
      <c r="M85" s="3">
        <v>11426448.98</v>
      </c>
      <c r="N85" s="8">
        <v>6.7100000000000007E-2</v>
      </c>
      <c r="O85" s="8">
        <v>2.0000000000000001E-4</v>
      </c>
    </row>
    <row r="86" spans="1:15" x14ac:dyDescent="0.25">
      <c r="A86">
        <v>1388</v>
      </c>
      <c r="B86" s="1">
        <v>41760</v>
      </c>
      <c r="C86" s="3">
        <v>85810</v>
      </c>
      <c r="D86" s="3">
        <v>19009515994.049999</v>
      </c>
      <c r="E86" s="3">
        <v>100050239.39</v>
      </c>
      <c r="F86" s="3">
        <v>0</v>
      </c>
      <c r="G86" s="5">
        <v>5.26316605963643E-3</v>
      </c>
      <c r="H86" s="5">
        <v>0</v>
      </c>
      <c r="I86" s="4">
        <v>6.1360999999999999</v>
      </c>
      <c r="J86" s="4">
        <v>0</v>
      </c>
      <c r="K86" s="7">
        <v>0</v>
      </c>
      <c r="L86" s="3">
        <v>100050239.39</v>
      </c>
      <c r="M86" s="3">
        <v>0</v>
      </c>
      <c r="N86" s="9">
        <v>5.4999999999999997E-3</v>
      </c>
      <c r="O86" s="9">
        <v>0</v>
      </c>
    </row>
    <row r="87" spans="1:15" x14ac:dyDescent="0.25">
      <c r="A87">
        <v>1388</v>
      </c>
      <c r="B87" s="1">
        <v>41791</v>
      </c>
      <c r="C87" s="3">
        <v>85388</v>
      </c>
      <c r="D87" s="3">
        <v>18872505590.029999</v>
      </c>
      <c r="E87" s="3">
        <v>109861205.5</v>
      </c>
      <c r="F87" s="3">
        <v>0</v>
      </c>
      <c r="G87" s="5">
        <v>5.8212305184340502E-3</v>
      </c>
      <c r="H87" s="5">
        <v>0</v>
      </c>
      <c r="I87" s="4">
        <v>6.7660999999999998</v>
      </c>
      <c r="J87" s="4">
        <v>0</v>
      </c>
      <c r="K87" s="7">
        <v>2.0170913792236598E-3</v>
      </c>
      <c r="L87" s="3">
        <v>209911444.88999999</v>
      </c>
      <c r="M87" s="3">
        <v>0</v>
      </c>
      <c r="N87" s="9">
        <v>1.17E-2</v>
      </c>
      <c r="O87" s="9">
        <v>0</v>
      </c>
    </row>
    <row r="88" spans="1:15" x14ac:dyDescent="0.25">
      <c r="A88">
        <v>1388</v>
      </c>
      <c r="B88" s="1">
        <v>41821</v>
      </c>
      <c r="C88" s="3">
        <v>84916</v>
      </c>
      <c r="D88" s="3">
        <v>18726075279.77</v>
      </c>
      <c r="E88" s="3">
        <v>91362707.25</v>
      </c>
      <c r="F88" s="3">
        <v>0</v>
      </c>
      <c r="G88" s="5">
        <v>4.8789031275923598E-3</v>
      </c>
      <c r="H88" s="5">
        <v>0</v>
      </c>
      <c r="I88" s="4">
        <v>5.7000999999999999</v>
      </c>
      <c r="J88" s="4">
        <v>0</v>
      </c>
      <c r="K88" s="7">
        <v>2.3644451481957202E-3</v>
      </c>
      <c r="L88" s="3">
        <v>301274152.13999999</v>
      </c>
      <c r="M88" s="3">
        <v>0</v>
      </c>
      <c r="N88" s="9">
        <v>1.6799999999999999E-2</v>
      </c>
      <c r="O88" s="9">
        <v>0</v>
      </c>
    </row>
    <row r="89" spans="1:15" x14ac:dyDescent="0.25">
      <c r="A89">
        <v>1388</v>
      </c>
      <c r="B89" s="1">
        <v>41852</v>
      </c>
      <c r="C89" s="3">
        <v>84505</v>
      </c>
      <c r="D89" s="3">
        <v>18598755669.990002</v>
      </c>
      <c r="E89" s="3">
        <v>90937901.480000004</v>
      </c>
      <c r="F89" s="3">
        <v>0</v>
      </c>
      <c r="G89" s="5">
        <v>4.8894615905263304E-3</v>
      </c>
      <c r="H89" s="5">
        <v>0</v>
      </c>
      <c r="I89" s="4">
        <v>5.7121000000000004</v>
      </c>
      <c r="J89" s="4">
        <v>0</v>
      </c>
      <c r="K89" s="7">
        <v>3.18405847040367E-3</v>
      </c>
      <c r="L89" s="3">
        <v>392212053.62</v>
      </c>
      <c r="M89" s="3">
        <v>0</v>
      </c>
      <c r="N89" s="9">
        <v>2.18E-2</v>
      </c>
      <c r="O89" s="9">
        <v>0</v>
      </c>
    </row>
    <row r="90" spans="1:15" x14ac:dyDescent="0.25">
      <c r="A90">
        <v>1388</v>
      </c>
      <c r="B90" s="1">
        <v>41883</v>
      </c>
      <c r="C90" s="3">
        <v>84098</v>
      </c>
      <c r="D90" s="3">
        <v>18471604608.700001</v>
      </c>
      <c r="E90" s="3">
        <v>95617146.180000007</v>
      </c>
      <c r="F90" s="3">
        <v>0</v>
      </c>
      <c r="G90" s="5">
        <v>5.1764396329144497E-3</v>
      </c>
      <c r="H90" s="5">
        <v>0</v>
      </c>
      <c r="I90" s="4">
        <v>6.0377999999999998</v>
      </c>
      <c r="J90" s="4">
        <v>0</v>
      </c>
      <c r="K90" s="7">
        <v>2.8720660897544798E-3</v>
      </c>
      <c r="L90" s="3">
        <v>487829199.80000001</v>
      </c>
      <c r="M90" s="3">
        <v>0</v>
      </c>
      <c r="N90" s="9">
        <v>2.7199999999999998E-2</v>
      </c>
      <c r="O90" s="9">
        <v>0</v>
      </c>
    </row>
    <row r="91" spans="1:15" x14ac:dyDescent="0.25">
      <c r="A91">
        <v>1388</v>
      </c>
      <c r="B91" s="1">
        <v>41913</v>
      </c>
      <c r="C91" s="3">
        <v>83681</v>
      </c>
      <c r="D91" s="3">
        <v>18337431049.060001</v>
      </c>
      <c r="E91" s="3">
        <v>93803148.769999996</v>
      </c>
      <c r="F91" s="3">
        <v>1343350.28</v>
      </c>
      <c r="G91" s="5">
        <v>5.1153920371418901E-3</v>
      </c>
      <c r="H91" s="5">
        <v>7.3257277772769596E-5</v>
      </c>
      <c r="I91" s="4">
        <v>5.9686000000000003</v>
      </c>
      <c r="J91" s="4">
        <v>8.7800000000000003E-2</v>
      </c>
      <c r="K91" s="7">
        <v>2.9094737549257101E-3</v>
      </c>
      <c r="L91" s="3">
        <v>581632348.57000005</v>
      </c>
      <c r="M91" s="3">
        <v>1343350.28</v>
      </c>
      <c r="N91" s="9">
        <v>3.2399999999999998E-2</v>
      </c>
      <c r="O91" s="9">
        <v>0</v>
      </c>
    </row>
    <row r="92" spans="1:15" x14ac:dyDescent="0.25">
      <c r="A92">
        <v>1388</v>
      </c>
      <c r="B92" s="1">
        <v>41944</v>
      </c>
      <c r="C92" s="3">
        <v>83286</v>
      </c>
      <c r="D92" s="3">
        <v>18209432914.700001</v>
      </c>
      <c r="E92" s="3">
        <v>102259249.06999999</v>
      </c>
      <c r="F92" s="3">
        <v>668160.39</v>
      </c>
      <c r="G92" s="5">
        <v>5.6157294710396299E-3</v>
      </c>
      <c r="H92" s="5">
        <v>3.6693091604220699E-5</v>
      </c>
      <c r="I92" s="4">
        <v>6.5345000000000004</v>
      </c>
      <c r="J92" s="4">
        <v>4.3999999999999997E-2</v>
      </c>
      <c r="K92" s="7">
        <v>4.5386776061148697E-3</v>
      </c>
      <c r="L92" s="3">
        <v>683891597.63999999</v>
      </c>
      <c r="M92" s="3">
        <v>2011510.67</v>
      </c>
      <c r="N92" s="9">
        <v>3.8100000000000002E-2</v>
      </c>
      <c r="O92" s="9">
        <v>1E-4</v>
      </c>
    </row>
    <row r="93" spans="1:15" x14ac:dyDescent="0.25">
      <c r="A93">
        <v>1388</v>
      </c>
      <c r="B93" s="1">
        <v>41974</v>
      </c>
      <c r="C93" s="3">
        <v>82852</v>
      </c>
      <c r="D93" s="3">
        <v>18066921542.220001</v>
      </c>
      <c r="E93" s="3">
        <v>90600162.609999999</v>
      </c>
      <c r="F93" s="3">
        <v>1328824.8400000001</v>
      </c>
      <c r="G93" s="5">
        <v>5.0146984032824497E-3</v>
      </c>
      <c r="H93" s="5">
        <v>7.3550152796906298E-5</v>
      </c>
      <c r="I93" s="4">
        <v>5.8544</v>
      </c>
      <c r="J93" s="4">
        <v>8.8200000000000001E-2</v>
      </c>
      <c r="K93" s="7">
        <v>3.9271981402140702E-3</v>
      </c>
      <c r="L93" s="3">
        <v>774491760.25</v>
      </c>
      <c r="M93" s="3">
        <v>3340335.51</v>
      </c>
      <c r="N93" s="9">
        <v>4.3200000000000002E-2</v>
      </c>
      <c r="O93" s="9">
        <v>1E-4</v>
      </c>
    </row>
    <row r="94" spans="1:15" x14ac:dyDescent="0.25">
      <c r="A94">
        <v>1388</v>
      </c>
      <c r="B94" s="1">
        <v>42005</v>
      </c>
      <c r="C94" s="3">
        <v>82485</v>
      </c>
      <c r="D94" s="3">
        <v>17939471570.869999</v>
      </c>
      <c r="E94" s="3">
        <v>154577961.37</v>
      </c>
      <c r="F94" s="3">
        <v>1701390.72</v>
      </c>
      <c r="G94" s="5">
        <v>8.6166396127856197E-3</v>
      </c>
      <c r="H94" s="5">
        <v>9.4840626340561007E-5</v>
      </c>
      <c r="I94" s="4">
        <v>9.8636999999999997</v>
      </c>
      <c r="J94" s="4">
        <v>0.1137</v>
      </c>
      <c r="K94" s="7">
        <v>3.9074379004465001E-3</v>
      </c>
      <c r="L94" s="3">
        <v>929069721.62</v>
      </c>
      <c r="M94" s="3">
        <v>5041726.2300000004</v>
      </c>
      <c r="N94" s="9">
        <v>5.1799999999999999E-2</v>
      </c>
      <c r="O94" s="9">
        <v>2.0000000000000001E-4</v>
      </c>
    </row>
    <row r="95" spans="1:15" x14ac:dyDescent="0.25">
      <c r="A95">
        <v>1388</v>
      </c>
      <c r="B95" s="1">
        <v>42036</v>
      </c>
      <c r="C95" s="3">
        <v>81889</v>
      </c>
      <c r="D95" s="3">
        <v>17748114215.599998</v>
      </c>
      <c r="E95" s="3">
        <v>182922862.88</v>
      </c>
      <c r="F95" s="3">
        <v>1522877.3</v>
      </c>
      <c r="G95" s="5">
        <v>1.03066083899334E-2</v>
      </c>
      <c r="H95" s="5">
        <v>8.5805020268657096E-5</v>
      </c>
      <c r="I95" s="4">
        <v>11.690300000000001</v>
      </c>
      <c r="J95" s="4">
        <v>0.10290000000000001</v>
      </c>
      <c r="K95" s="7">
        <v>4.8390839154342502E-3</v>
      </c>
      <c r="L95" s="3">
        <v>1111992584.5</v>
      </c>
      <c r="M95" s="3">
        <v>6564603.5300000003</v>
      </c>
      <c r="N95" s="9">
        <v>6.2E-2</v>
      </c>
      <c r="O95" s="9">
        <v>2.9999999999999997E-4</v>
      </c>
    </row>
    <row r="96" spans="1:15" x14ac:dyDescent="0.25">
      <c r="A96">
        <v>1388</v>
      </c>
      <c r="B96" s="1">
        <v>42064</v>
      </c>
      <c r="C96" s="3">
        <v>81159</v>
      </c>
      <c r="D96" s="3">
        <v>17526098496.200001</v>
      </c>
      <c r="E96" s="3">
        <v>172691786.63</v>
      </c>
      <c r="F96" s="3">
        <v>578094.54</v>
      </c>
      <c r="G96" s="5">
        <v>9.8534072867068993E-3</v>
      </c>
      <c r="H96" s="5">
        <v>3.2984782102265398E-5</v>
      </c>
      <c r="I96" s="4">
        <v>11.203799999999999</v>
      </c>
      <c r="J96" s="4">
        <v>3.95E-2</v>
      </c>
      <c r="K96" s="7">
        <v>3.2299827318826202E-3</v>
      </c>
      <c r="L96" s="3">
        <v>1284684371.1300001</v>
      </c>
      <c r="M96" s="3">
        <v>7142698.0700000003</v>
      </c>
      <c r="N96" s="9">
        <v>7.1599999999999997E-2</v>
      </c>
      <c r="O96" s="9">
        <v>2.9999999999999997E-4</v>
      </c>
    </row>
    <row r="97" spans="1:15" x14ac:dyDescent="0.25">
      <c r="A97">
        <v>1388</v>
      </c>
      <c r="B97" s="1">
        <v>42095</v>
      </c>
      <c r="C97" s="3">
        <v>80447</v>
      </c>
      <c r="D97" s="3">
        <v>17316499356.259998</v>
      </c>
      <c r="E97" s="3">
        <v>203359103.74000001</v>
      </c>
      <c r="F97" s="3">
        <v>1176150.69</v>
      </c>
      <c r="G97" s="5">
        <v>1.1743661323007699E-2</v>
      </c>
      <c r="H97" s="5">
        <v>6.7920811579900194E-5</v>
      </c>
      <c r="I97" s="4">
        <v>13.216799999999999</v>
      </c>
      <c r="J97" s="4">
        <v>8.14E-2</v>
      </c>
      <c r="K97" s="7">
        <v>3.3434995017667698E-3</v>
      </c>
      <c r="L97" s="3">
        <v>1488043474.8699999</v>
      </c>
      <c r="M97" s="3">
        <v>8318848.7599999998</v>
      </c>
      <c r="N97" s="9">
        <v>8.3000000000000004E-2</v>
      </c>
      <c r="O97" s="9">
        <v>4.0000000000000002E-4</v>
      </c>
    </row>
    <row r="98" spans="1:15" x14ac:dyDescent="0.25">
      <c r="A98">
        <v>1388</v>
      </c>
      <c r="B98" s="1">
        <v>42125</v>
      </c>
      <c r="C98" s="3">
        <v>79578</v>
      </c>
      <c r="D98" s="3">
        <v>17076873749.98</v>
      </c>
      <c r="E98" s="3">
        <v>0</v>
      </c>
      <c r="F98" s="3">
        <v>0</v>
      </c>
      <c r="G98" s="5">
        <v>0</v>
      </c>
      <c r="H98" s="5">
        <v>0</v>
      </c>
      <c r="I98" s="4">
        <v>0</v>
      </c>
      <c r="J98" s="4">
        <v>0</v>
      </c>
      <c r="K98" s="7">
        <v>4.8176095680332702E-3</v>
      </c>
      <c r="L98" s="3">
        <v>1488043474.8699999</v>
      </c>
      <c r="M98" s="3">
        <v>8318848.7599999998</v>
      </c>
      <c r="N98" s="8">
        <v>8.3000000000000004E-2</v>
      </c>
      <c r="O98" s="8">
        <v>4.0000000000000002E-4</v>
      </c>
    </row>
    <row r="99" spans="1:15" x14ac:dyDescent="0.25">
      <c r="A99">
        <v>1392</v>
      </c>
      <c r="B99" s="1">
        <v>41913</v>
      </c>
      <c r="C99" s="3">
        <v>153851</v>
      </c>
      <c r="D99" s="3">
        <v>35527112178.290001</v>
      </c>
      <c r="E99" s="3">
        <v>290976942.33999997</v>
      </c>
      <c r="F99" s="3">
        <v>0</v>
      </c>
      <c r="G99" s="5">
        <v>8.1902784802703708E-3</v>
      </c>
      <c r="H99" s="5">
        <v>0</v>
      </c>
      <c r="I99" s="4">
        <v>9.3973999999999993</v>
      </c>
      <c r="J99" s="4">
        <v>0</v>
      </c>
      <c r="K99" s="7">
        <v>1.5465165497908001E-3</v>
      </c>
      <c r="L99" s="3">
        <v>532820777.5</v>
      </c>
      <c r="M99" s="3">
        <v>0</v>
      </c>
      <c r="N99" s="9">
        <v>1.5800000000000002E-2</v>
      </c>
      <c r="O99" s="9">
        <v>0</v>
      </c>
    </row>
    <row r="100" spans="1:15" x14ac:dyDescent="0.25">
      <c r="A100">
        <v>1392</v>
      </c>
      <c r="B100" s="1">
        <v>41944</v>
      </c>
      <c r="C100" s="3">
        <v>152774</v>
      </c>
      <c r="D100" s="3">
        <v>35170867236.010002</v>
      </c>
      <c r="E100" s="3">
        <v>341276516.49000001</v>
      </c>
      <c r="F100" s="3">
        <v>0</v>
      </c>
      <c r="G100" s="5">
        <v>9.7033864476500798E-3</v>
      </c>
      <c r="H100" s="5">
        <v>0</v>
      </c>
      <c r="I100" s="4">
        <v>11.042299999999999</v>
      </c>
      <c r="J100" s="4">
        <v>0</v>
      </c>
      <c r="K100" s="7">
        <v>3.03197827151724E-3</v>
      </c>
      <c r="L100" s="3">
        <v>874097293.99000001</v>
      </c>
      <c r="M100" s="3">
        <v>0</v>
      </c>
      <c r="N100" s="9">
        <v>2.5999999999999999E-2</v>
      </c>
      <c r="O100" s="9">
        <v>0</v>
      </c>
    </row>
    <row r="101" spans="1:15" x14ac:dyDescent="0.25">
      <c r="A101">
        <v>1392</v>
      </c>
      <c r="B101" s="1">
        <v>41974</v>
      </c>
      <c r="C101" s="3">
        <v>151519</v>
      </c>
      <c r="D101" s="3">
        <v>34751762988</v>
      </c>
      <c r="E101" s="3">
        <v>283053256.07999998</v>
      </c>
      <c r="F101" s="3">
        <v>0</v>
      </c>
      <c r="G101" s="5">
        <v>8.1450042168433306E-3</v>
      </c>
      <c r="H101" s="5">
        <v>0</v>
      </c>
      <c r="I101" s="4">
        <v>9.3477999999999994</v>
      </c>
      <c r="J101" s="4">
        <v>0</v>
      </c>
      <c r="K101" s="7">
        <v>2.1671784794344401E-3</v>
      </c>
      <c r="L101" s="3">
        <v>1157150550.0699999</v>
      </c>
      <c r="M101" s="3">
        <v>0</v>
      </c>
      <c r="N101" s="9">
        <v>3.44E-2</v>
      </c>
      <c r="O101" s="9">
        <v>0</v>
      </c>
    </row>
    <row r="102" spans="1:15" x14ac:dyDescent="0.25">
      <c r="A102">
        <v>1392</v>
      </c>
      <c r="B102" s="1">
        <v>42005</v>
      </c>
      <c r="C102" s="3">
        <v>150483</v>
      </c>
      <c r="D102" s="3">
        <v>34395371767.400002</v>
      </c>
      <c r="E102" s="3">
        <v>536975003.16999996</v>
      </c>
      <c r="F102" s="3">
        <v>0</v>
      </c>
      <c r="G102" s="5">
        <v>1.5611838906737599E-2</v>
      </c>
      <c r="H102" s="5">
        <v>0</v>
      </c>
      <c r="I102" s="4">
        <v>17.206399999999999</v>
      </c>
      <c r="J102" s="4">
        <v>0</v>
      </c>
      <c r="K102" s="7">
        <v>2.61360608101359E-3</v>
      </c>
      <c r="L102" s="3">
        <v>1694125553.24</v>
      </c>
      <c r="M102" s="3">
        <v>0</v>
      </c>
      <c r="N102" s="9">
        <v>5.04E-2</v>
      </c>
      <c r="O102" s="9">
        <v>0</v>
      </c>
    </row>
    <row r="103" spans="1:15" x14ac:dyDescent="0.25">
      <c r="A103">
        <v>1392</v>
      </c>
      <c r="B103" s="1">
        <v>42036</v>
      </c>
      <c r="C103" s="3">
        <v>148610</v>
      </c>
      <c r="D103" s="3">
        <v>33790068518.200001</v>
      </c>
      <c r="E103" s="3">
        <v>600482948.01999998</v>
      </c>
      <c r="F103" s="3">
        <v>460223.59</v>
      </c>
      <c r="G103" s="5">
        <v>1.7770989357318599E-2</v>
      </c>
      <c r="H103" s="5">
        <v>1.3620084545022799E-5</v>
      </c>
      <c r="I103" s="4">
        <v>19.359500000000001</v>
      </c>
      <c r="J103" s="4">
        <v>1.6299999999999999E-2</v>
      </c>
      <c r="K103" s="7">
        <v>3.7236609124432301E-3</v>
      </c>
      <c r="L103" s="3">
        <v>2294608501.2600002</v>
      </c>
      <c r="M103" s="3">
        <v>460223.59</v>
      </c>
      <c r="N103" s="9">
        <v>6.83E-2</v>
      </c>
      <c r="O103" s="9">
        <v>0</v>
      </c>
    </row>
    <row r="104" spans="1:15" x14ac:dyDescent="0.25">
      <c r="A104">
        <v>1392</v>
      </c>
      <c r="B104" s="1">
        <v>42064</v>
      </c>
      <c r="C104" s="3">
        <v>146454</v>
      </c>
      <c r="D104" s="3">
        <v>33116529300.200001</v>
      </c>
      <c r="E104" s="3">
        <v>454723533.64999998</v>
      </c>
      <c r="F104" s="3">
        <v>1134193.8700000001</v>
      </c>
      <c r="G104" s="5">
        <v>1.37310141871435E-2</v>
      </c>
      <c r="H104" s="5">
        <v>3.42485729624194E-5</v>
      </c>
      <c r="I104" s="4">
        <v>15.288</v>
      </c>
      <c r="J104" s="4">
        <v>4.1000000000000002E-2</v>
      </c>
      <c r="K104" s="7">
        <v>2.4593219335188E-3</v>
      </c>
      <c r="L104" s="3">
        <v>2749332034.9099998</v>
      </c>
      <c r="M104" s="3">
        <v>1594417.46</v>
      </c>
      <c r="N104" s="9">
        <v>8.1799999999999998E-2</v>
      </c>
      <c r="O104" s="9">
        <v>0</v>
      </c>
    </row>
    <row r="105" spans="1:15" x14ac:dyDescent="0.25">
      <c r="A105">
        <v>1392</v>
      </c>
      <c r="B105" s="1">
        <v>42095</v>
      </c>
      <c r="C105" s="3">
        <v>144746</v>
      </c>
      <c r="D105" s="3">
        <v>32591728032.889999</v>
      </c>
      <c r="E105" s="3">
        <v>386299077.5</v>
      </c>
      <c r="F105" s="3">
        <v>945723.28</v>
      </c>
      <c r="G105" s="5">
        <v>1.18526724667733E-2</v>
      </c>
      <c r="H105" s="5">
        <v>2.90172794472763E-5</v>
      </c>
      <c r="I105" s="4">
        <v>13.3316</v>
      </c>
      <c r="J105" s="4">
        <v>3.4799999999999998E-2</v>
      </c>
      <c r="K105" s="7">
        <v>2.68256302708989E-3</v>
      </c>
      <c r="L105" s="3">
        <v>3135631112.4099998</v>
      </c>
      <c r="M105" s="3">
        <v>2540140.7400000002</v>
      </c>
      <c r="N105" s="9">
        <v>9.3299999999999994E-2</v>
      </c>
      <c r="O105" s="9">
        <v>0</v>
      </c>
    </row>
    <row r="106" spans="1:15" x14ac:dyDescent="0.25">
      <c r="A106">
        <v>1392</v>
      </c>
      <c r="B106" s="1">
        <v>42125</v>
      </c>
      <c r="C106" s="3">
        <v>143199</v>
      </c>
      <c r="D106" s="3">
        <v>32136335636.279999</v>
      </c>
      <c r="E106" s="3">
        <v>0</v>
      </c>
      <c r="F106" s="3">
        <v>0</v>
      </c>
      <c r="G106" s="5">
        <v>0</v>
      </c>
      <c r="H106" s="5">
        <v>0</v>
      </c>
      <c r="I106" s="4">
        <v>0</v>
      </c>
      <c r="J106" s="4">
        <v>0</v>
      </c>
      <c r="K106" s="7">
        <v>3.1831305067811099E-3</v>
      </c>
      <c r="L106" s="3">
        <v>3135631112.4099998</v>
      </c>
      <c r="M106" s="3">
        <v>2540140.7400000002</v>
      </c>
      <c r="N106" s="8">
        <v>9.3299999999999994E-2</v>
      </c>
      <c r="O106" s="8">
        <v>0</v>
      </c>
    </row>
    <row r="107" spans="1:15" x14ac:dyDescent="0.25">
      <c r="A107">
        <v>1393</v>
      </c>
      <c r="B107" s="1">
        <v>41913</v>
      </c>
      <c r="C107" s="3">
        <v>80187</v>
      </c>
      <c r="D107" s="3">
        <v>17873514986.919998</v>
      </c>
      <c r="E107" s="3">
        <v>144439390.81</v>
      </c>
      <c r="F107" s="3">
        <v>0</v>
      </c>
      <c r="G107" s="5">
        <v>8.08119672687224E-3</v>
      </c>
      <c r="H107" s="5">
        <v>0</v>
      </c>
      <c r="I107" s="4">
        <v>9.2777999999999992</v>
      </c>
      <c r="J107" s="4">
        <v>0</v>
      </c>
      <c r="K107" s="7">
        <v>1.85852851463797E-3</v>
      </c>
      <c r="L107" s="3">
        <v>264231880.72</v>
      </c>
      <c r="M107" s="3">
        <v>0</v>
      </c>
      <c r="N107" s="9">
        <v>1.5599999999999999E-2</v>
      </c>
      <c r="O107" s="9">
        <v>0</v>
      </c>
    </row>
    <row r="108" spans="1:15" x14ac:dyDescent="0.25">
      <c r="A108">
        <v>1393</v>
      </c>
      <c r="B108" s="1">
        <v>41944</v>
      </c>
      <c r="C108" s="3">
        <v>79642</v>
      </c>
      <c r="D108" s="3">
        <v>17699821725.32</v>
      </c>
      <c r="E108" s="3">
        <v>150778485.43000001</v>
      </c>
      <c r="F108" s="3">
        <v>0</v>
      </c>
      <c r="G108" s="5">
        <v>8.5186442987901893E-3</v>
      </c>
      <c r="H108" s="5">
        <v>0</v>
      </c>
      <c r="I108" s="4">
        <v>9.7567000000000004</v>
      </c>
      <c r="J108" s="4">
        <v>0</v>
      </c>
      <c r="K108" s="7">
        <v>3.2475336634477099E-3</v>
      </c>
      <c r="L108" s="3">
        <v>415010366.14999998</v>
      </c>
      <c r="M108" s="3">
        <v>0</v>
      </c>
      <c r="N108" s="9">
        <v>2.4500000000000001E-2</v>
      </c>
      <c r="O108" s="9">
        <v>0</v>
      </c>
    </row>
    <row r="109" spans="1:15" x14ac:dyDescent="0.25">
      <c r="A109">
        <v>1393</v>
      </c>
      <c r="B109" s="1">
        <v>41974</v>
      </c>
      <c r="C109" s="3">
        <v>79070</v>
      </c>
      <c r="D109" s="3">
        <v>17513118566.099998</v>
      </c>
      <c r="E109" s="3">
        <v>132517253.79000001</v>
      </c>
      <c r="F109" s="3">
        <v>0</v>
      </c>
      <c r="G109" s="5">
        <v>7.5667422275386403E-3</v>
      </c>
      <c r="H109" s="5">
        <v>0</v>
      </c>
      <c r="I109" s="4">
        <v>8.7114999999999991</v>
      </c>
      <c r="J109" s="4">
        <v>0</v>
      </c>
      <c r="K109" s="7">
        <v>2.5975583930583999E-3</v>
      </c>
      <c r="L109" s="3">
        <v>547527619.94000006</v>
      </c>
      <c r="M109" s="3">
        <v>0</v>
      </c>
      <c r="N109" s="9">
        <v>3.2399999999999998E-2</v>
      </c>
      <c r="O109" s="9">
        <v>0</v>
      </c>
    </row>
    <row r="110" spans="1:15" x14ac:dyDescent="0.25">
      <c r="A110">
        <v>1393</v>
      </c>
      <c r="B110" s="1">
        <v>42005</v>
      </c>
      <c r="C110" s="3">
        <v>78570</v>
      </c>
      <c r="D110" s="3">
        <v>17348665474.91</v>
      </c>
      <c r="E110" s="3">
        <v>260342935.68000001</v>
      </c>
      <c r="F110" s="3">
        <v>0</v>
      </c>
      <c r="G110" s="5">
        <v>1.50065107922285E-2</v>
      </c>
      <c r="H110" s="5">
        <v>0</v>
      </c>
      <c r="I110" s="4">
        <v>16.593399999999999</v>
      </c>
      <c r="J110" s="4">
        <v>0</v>
      </c>
      <c r="K110" s="7">
        <v>3.2578666025775702E-3</v>
      </c>
      <c r="L110" s="3">
        <v>807870555.62</v>
      </c>
      <c r="M110" s="3">
        <v>0</v>
      </c>
      <c r="N110" s="9">
        <v>4.7800000000000002E-2</v>
      </c>
      <c r="O110" s="9">
        <v>0</v>
      </c>
    </row>
    <row r="111" spans="1:15" x14ac:dyDescent="0.25">
      <c r="A111">
        <v>1393</v>
      </c>
      <c r="B111" s="1">
        <v>42036</v>
      </c>
      <c r="C111" s="3">
        <v>77607</v>
      </c>
      <c r="D111" s="3">
        <v>17057041264.99</v>
      </c>
      <c r="E111" s="3">
        <v>291668217.42000002</v>
      </c>
      <c r="F111" s="3">
        <v>435292.85</v>
      </c>
      <c r="G111" s="5">
        <v>1.7099578578065301E-2</v>
      </c>
      <c r="H111" s="5">
        <v>2.5519833319126002E-5</v>
      </c>
      <c r="I111" s="4">
        <v>18.695499999999999</v>
      </c>
      <c r="J111" s="4">
        <v>3.0599999999999999E-2</v>
      </c>
      <c r="K111" s="7">
        <v>4.08154311104909E-3</v>
      </c>
      <c r="L111" s="3">
        <v>1099538773.04</v>
      </c>
      <c r="M111" s="3">
        <v>435292.85</v>
      </c>
      <c r="N111" s="9">
        <v>6.5100000000000005E-2</v>
      </c>
      <c r="O111" s="9">
        <v>0</v>
      </c>
    </row>
    <row r="112" spans="1:15" x14ac:dyDescent="0.25">
      <c r="A112">
        <v>1393</v>
      </c>
      <c r="B112" s="1">
        <v>42064</v>
      </c>
      <c r="C112" s="3">
        <v>76483</v>
      </c>
      <c r="D112" s="3">
        <v>16731906995.01</v>
      </c>
      <c r="E112" s="3">
        <v>223284442.75</v>
      </c>
      <c r="F112" s="3">
        <v>565654.87</v>
      </c>
      <c r="G112" s="5">
        <v>1.3344829302278E-2</v>
      </c>
      <c r="H112" s="5">
        <v>3.38069575792344E-5</v>
      </c>
      <c r="I112" s="4">
        <v>14.889099999999999</v>
      </c>
      <c r="J112" s="4">
        <v>4.0500000000000001E-2</v>
      </c>
      <c r="K112" s="7">
        <v>2.7381461906083502E-3</v>
      </c>
      <c r="L112" s="3">
        <v>1322823215.79</v>
      </c>
      <c r="M112" s="3">
        <v>1000947.72</v>
      </c>
      <c r="N112" s="9">
        <v>7.8299999999999995E-2</v>
      </c>
      <c r="O112" s="9">
        <v>0</v>
      </c>
    </row>
    <row r="113" spans="1:15" x14ac:dyDescent="0.25">
      <c r="A113">
        <v>1393</v>
      </c>
      <c r="B113" s="1">
        <v>42095</v>
      </c>
      <c r="C113" s="3">
        <v>75601</v>
      </c>
      <c r="D113" s="3">
        <v>16477130294.34</v>
      </c>
      <c r="E113" s="3">
        <v>233609306.66999999</v>
      </c>
      <c r="F113" s="3">
        <v>1213501.9099999999</v>
      </c>
      <c r="G113" s="5">
        <v>1.4177790822607301E-2</v>
      </c>
      <c r="H113" s="5">
        <v>7.3647649094384194E-5</v>
      </c>
      <c r="I113" s="4">
        <v>15.747400000000001</v>
      </c>
      <c r="J113" s="4">
        <v>8.8300000000000003E-2</v>
      </c>
      <c r="K113" s="7">
        <v>3.35284701298848E-3</v>
      </c>
      <c r="L113" s="3">
        <v>1556432522.46</v>
      </c>
      <c r="M113" s="3">
        <v>2214449.63</v>
      </c>
      <c r="N113" s="9">
        <v>9.2200000000000004E-2</v>
      </c>
      <c r="O113" s="9">
        <v>1E-4</v>
      </c>
    </row>
    <row r="114" spans="1:15" x14ac:dyDescent="0.25">
      <c r="A114">
        <v>1393</v>
      </c>
      <c r="B114" s="1">
        <v>42125</v>
      </c>
      <c r="C114" s="3">
        <v>74636</v>
      </c>
      <c r="D114" s="3">
        <v>16210833900.969999</v>
      </c>
      <c r="E114" s="3">
        <v>0</v>
      </c>
      <c r="F114" s="3">
        <v>0</v>
      </c>
      <c r="G114" s="5">
        <v>0</v>
      </c>
      <c r="H114" s="5">
        <v>0</v>
      </c>
      <c r="I114" s="4">
        <v>0</v>
      </c>
      <c r="J114" s="4">
        <v>0</v>
      </c>
      <c r="K114" s="7">
        <v>4.7030749359191198E-3</v>
      </c>
      <c r="L114" s="3">
        <v>1556432522.46</v>
      </c>
      <c r="M114" s="3">
        <v>2214449.63</v>
      </c>
      <c r="N114" s="8">
        <v>9.2200000000000004E-2</v>
      </c>
      <c r="O114" s="8">
        <v>1E-4</v>
      </c>
    </row>
    <row r="115" spans="1:15" x14ac:dyDescent="0.25">
      <c r="A115">
        <v>1397</v>
      </c>
      <c r="B115" s="1">
        <v>42005</v>
      </c>
      <c r="C115" s="3">
        <v>144212</v>
      </c>
      <c r="D115" s="3">
        <v>30759036044.639999</v>
      </c>
      <c r="E115" s="3">
        <v>1054593306.67</v>
      </c>
      <c r="F115" s="3">
        <v>0</v>
      </c>
      <c r="G115" s="5">
        <v>3.4285642278889597E-2</v>
      </c>
      <c r="H115" s="5">
        <v>0</v>
      </c>
      <c r="I115" s="4">
        <v>34.206299999999999</v>
      </c>
      <c r="J115" s="4">
        <v>0</v>
      </c>
      <c r="K115" s="7">
        <v>2.3508958009950602E-3</v>
      </c>
      <c r="L115" s="3">
        <v>1624232833.25</v>
      </c>
      <c r="M115" s="3">
        <v>0</v>
      </c>
      <c r="N115" s="9">
        <v>5.8099999999999999E-2</v>
      </c>
      <c r="O115" s="9">
        <v>0</v>
      </c>
    </row>
    <row r="116" spans="1:15" x14ac:dyDescent="0.25">
      <c r="A116">
        <v>1397</v>
      </c>
      <c r="B116" s="1">
        <v>42036</v>
      </c>
      <c r="C116" s="3">
        <v>140569</v>
      </c>
      <c r="D116" s="3">
        <v>29646838128.07</v>
      </c>
      <c r="E116" s="3">
        <v>1161068382.99</v>
      </c>
      <c r="F116" s="3">
        <v>0</v>
      </c>
      <c r="G116" s="5">
        <v>3.9163312390156198E-2</v>
      </c>
      <c r="H116" s="5">
        <v>0</v>
      </c>
      <c r="I116" s="4">
        <v>38.085099999999997</v>
      </c>
      <c r="J116" s="4">
        <v>0</v>
      </c>
      <c r="K116" s="7">
        <v>4.4260802822598403E-3</v>
      </c>
      <c r="L116" s="3">
        <v>2785301216.2399998</v>
      </c>
      <c r="M116" s="3">
        <v>0</v>
      </c>
      <c r="N116" s="9">
        <v>9.9599999999999994E-2</v>
      </c>
      <c r="O116" s="9">
        <v>0</v>
      </c>
    </row>
    <row r="117" spans="1:15" x14ac:dyDescent="0.25">
      <c r="A117">
        <v>1397</v>
      </c>
      <c r="B117" s="1">
        <v>42064</v>
      </c>
      <c r="C117" s="3">
        <v>136410</v>
      </c>
      <c r="D117" s="3">
        <v>28425220037.98</v>
      </c>
      <c r="E117" s="3">
        <v>761784011.45000005</v>
      </c>
      <c r="F117" s="3">
        <v>0</v>
      </c>
      <c r="G117" s="5">
        <v>2.6799581865405101E-2</v>
      </c>
      <c r="H117" s="5">
        <v>0</v>
      </c>
      <c r="I117" s="4">
        <v>27.818200000000001</v>
      </c>
      <c r="J117" s="4">
        <v>0</v>
      </c>
      <c r="K117" s="7">
        <v>2.5214380336980899E-3</v>
      </c>
      <c r="L117" s="3">
        <v>3547085227.6900001</v>
      </c>
      <c r="M117" s="3">
        <v>0</v>
      </c>
      <c r="N117" s="9">
        <v>0.12690000000000001</v>
      </c>
      <c r="O117" s="9">
        <v>0</v>
      </c>
    </row>
    <row r="118" spans="1:15" x14ac:dyDescent="0.25">
      <c r="A118">
        <v>1397</v>
      </c>
      <c r="B118" s="1">
        <v>42095</v>
      </c>
      <c r="C118" s="3">
        <v>133595</v>
      </c>
      <c r="D118" s="3">
        <v>27605940986.669998</v>
      </c>
      <c r="E118" s="3">
        <v>644096331.49000001</v>
      </c>
      <c r="F118" s="3">
        <v>0</v>
      </c>
      <c r="G118" s="5">
        <v>2.3331801361200201E-2</v>
      </c>
      <c r="H118" s="5">
        <v>0</v>
      </c>
      <c r="I118" s="4">
        <v>24.670500000000001</v>
      </c>
      <c r="J118" s="4">
        <v>0</v>
      </c>
      <c r="K118" s="7">
        <v>3.56500114658368E-3</v>
      </c>
      <c r="L118" s="3">
        <v>4191181559.1799998</v>
      </c>
      <c r="M118" s="3">
        <v>0</v>
      </c>
      <c r="N118" s="9">
        <v>0.14990000000000001</v>
      </c>
      <c r="O118" s="9">
        <v>0</v>
      </c>
    </row>
    <row r="119" spans="1:15" x14ac:dyDescent="0.25">
      <c r="A119">
        <v>1397</v>
      </c>
      <c r="B119" s="1">
        <v>42125</v>
      </c>
      <c r="C119" s="3">
        <v>131082</v>
      </c>
      <c r="D119" s="3">
        <v>26905103057.73</v>
      </c>
      <c r="E119" s="3">
        <v>0</v>
      </c>
      <c r="F119" s="3">
        <v>0</v>
      </c>
      <c r="G119" s="5">
        <v>0</v>
      </c>
      <c r="H119" s="5">
        <v>0</v>
      </c>
      <c r="I119" s="4">
        <v>0</v>
      </c>
      <c r="J119" s="4">
        <v>0</v>
      </c>
      <c r="K119" s="7">
        <v>4.2091799565682399E-3</v>
      </c>
      <c r="L119" s="3">
        <v>4191181559.1799998</v>
      </c>
      <c r="M119" s="3">
        <v>0</v>
      </c>
      <c r="N119" s="8">
        <v>0.14990000000000001</v>
      </c>
      <c r="O119" s="8">
        <v>0</v>
      </c>
    </row>
    <row r="120" spans="1:15" x14ac:dyDescent="0.25">
      <c r="A120">
        <v>1398</v>
      </c>
      <c r="B120" s="1">
        <v>42005</v>
      </c>
      <c r="C120" s="3">
        <v>87351</v>
      </c>
      <c r="D120" s="3">
        <v>18492658575.889999</v>
      </c>
      <c r="E120" s="3">
        <v>515466404.31</v>
      </c>
      <c r="F120" s="3">
        <v>0</v>
      </c>
      <c r="G120" s="5">
        <v>2.78741102689282E-2</v>
      </c>
      <c r="H120" s="5">
        <v>0</v>
      </c>
      <c r="I120" s="4">
        <v>28.768799999999999</v>
      </c>
      <c r="J120" s="4">
        <v>0</v>
      </c>
      <c r="K120" s="7">
        <v>2.1584159338798002E-3</v>
      </c>
      <c r="L120" s="3">
        <v>796130890.63999999</v>
      </c>
      <c r="M120" s="3">
        <v>0</v>
      </c>
      <c r="N120" s="9">
        <v>4.6699999999999998E-2</v>
      </c>
      <c r="O120" s="9">
        <v>0</v>
      </c>
    </row>
    <row r="121" spans="1:15" x14ac:dyDescent="0.25">
      <c r="A121">
        <v>1398</v>
      </c>
      <c r="B121" s="1">
        <v>42036</v>
      </c>
      <c r="C121" s="3">
        <v>85424</v>
      </c>
      <c r="D121" s="3">
        <v>17947022505.650002</v>
      </c>
      <c r="E121" s="3">
        <v>615267890.50999999</v>
      </c>
      <c r="F121" s="3">
        <v>0</v>
      </c>
      <c r="G121" s="5">
        <v>3.4282449376563898E-2</v>
      </c>
      <c r="H121" s="5">
        <v>0</v>
      </c>
      <c r="I121" s="4">
        <v>34.203600000000002</v>
      </c>
      <c r="J121" s="4">
        <v>0</v>
      </c>
      <c r="K121" s="7">
        <v>4.3765074733300496E-3</v>
      </c>
      <c r="L121" s="3">
        <v>1411398781.1500001</v>
      </c>
      <c r="M121" s="3">
        <v>0</v>
      </c>
      <c r="N121" s="9">
        <v>8.2900000000000001E-2</v>
      </c>
      <c r="O121" s="9">
        <v>0</v>
      </c>
    </row>
    <row r="122" spans="1:15" x14ac:dyDescent="0.25">
      <c r="A122">
        <v>1398</v>
      </c>
      <c r="B122" s="1">
        <v>42064</v>
      </c>
      <c r="C122" s="3">
        <v>83074</v>
      </c>
      <c r="D122" s="3">
        <v>17300263315.970001</v>
      </c>
      <c r="E122" s="3">
        <v>401816661</v>
      </c>
      <c r="F122" s="3">
        <v>0</v>
      </c>
      <c r="G122" s="5">
        <v>2.32260430758345E-2</v>
      </c>
      <c r="H122" s="5">
        <v>0</v>
      </c>
      <c r="I122" s="4">
        <v>24.572600000000001</v>
      </c>
      <c r="J122" s="4">
        <v>0</v>
      </c>
      <c r="K122" s="7">
        <v>2.3593048131424601E-3</v>
      </c>
      <c r="L122" s="3">
        <v>1813215442.1500001</v>
      </c>
      <c r="M122" s="3">
        <v>0</v>
      </c>
      <c r="N122" s="9">
        <v>0.1065</v>
      </c>
      <c r="O122" s="9">
        <v>0</v>
      </c>
    </row>
    <row r="123" spans="1:15" x14ac:dyDescent="0.25">
      <c r="A123">
        <v>1398</v>
      </c>
      <c r="B123" s="1">
        <v>42095</v>
      </c>
      <c r="C123" s="3">
        <v>81464</v>
      </c>
      <c r="D123" s="3">
        <v>16869979490.84</v>
      </c>
      <c r="E123" s="3">
        <v>379603599.13999999</v>
      </c>
      <c r="F123" s="3">
        <v>0</v>
      </c>
      <c r="G123" s="5">
        <v>2.25017226218986E-2</v>
      </c>
      <c r="H123" s="5">
        <v>0</v>
      </c>
      <c r="I123" s="4">
        <v>23.898700000000002</v>
      </c>
      <c r="J123" s="4">
        <v>0</v>
      </c>
      <c r="K123" s="7">
        <v>3.79561341522482E-3</v>
      </c>
      <c r="L123" s="3">
        <v>2192819041.29</v>
      </c>
      <c r="M123" s="3">
        <v>0</v>
      </c>
      <c r="N123" s="9">
        <v>0.1288</v>
      </c>
      <c r="O123" s="9">
        <v>0</v>
      </c>
    </row>
    <row r="124" spans="1:15" x14ac:dyDescent="0.25">
      <c r="A124">
        <v>1398</v>
      </c>
      <c r="B124" s="1">
        <v>42125</v>
      </c>
      <c r="C124" s="3">
        <v>79915</v>
      </c>
      <c r="D124" s="3">
        <v>16461150315.379999</v>
      </c>
      <c r="E124" s="3">
        <v>0</v>
      </c>
      <c r="F124" s="3">
        <v>0</v>
      </c>
      <c r="G124" s="5">
        <v>0</v>
      </c>
      <c r="H124" s="5">
        <v>0</v>
      </c>
      <c r="I124" s="4">
        <v>0</v>
      </c>
      <c r="J124" s="4">
        <v>0</v>
      </c>
      <c r="K124" s="7">
        <v>4.8675564395482696E-3</v>
      </c>
      <c r="L124" s="3">
        <v>2192819041.29</v>
      </c>
      <c r="M124" s="3">
        <v>0</v>
      </c>
      <c r="N124" s="8">
        <v>0.1288</v>
      </c>
      <c r="O124" s="8">
        <v>0</v>
      </c>
    </row>
    <row r="125" spans="1:15" x14ac:dyDescent="0.25">
      <c r="A125">
        <v>1399</v>
      </c>
      <c r="B125" s="1">
        <v>42095</v>
      </c>
      <c r="C125" s="3">
        <v>131933</v>
      </c>
      <c r="D125" s="3">
        <v>27206489792.02</v>
      </c>
      <c r="E125" s="3">
        <v>631099526.53999996</v>
      </c>
      <c r="F125" s="3">
        <v>0</v>
      </c>
      <c r="G125" s="5">
        <v>2.3196653863267101E-2</v>
      </c>
      <c r="H125" s="5">
        <v>0</v>
      </c>
      <c r="I125" s="4">
        <v>24.545400000000001</v>
      </c>
      <c r="J125" s="4">
        <v>0</v>
      </c>
      <c r="K125" s="7">
        <v>3.3725582675833798E-3</v>
      </c>
      <c r="L125" s="3">
        <v>1372183796.3399999</v>
      </c>
      <c r="M125" s="3">
        <v>0</v>
      </c>
      <c r="N125" s="9">
        <v>5.0099999999999999E-2</v>
      </c>
      <c r="O125" s="9">
        <v>0</v>
      </c>
    </row>
    <row r="126" spans="1:15" x14ac:dyDescent="0.25">
      <c r="A126">
        <v>1399</v>
      </c>
      <c r="B126" s="1">
        <v>42125</v>
      </c>
      <c r="C126" s="3">
        <v>129578</v>
      </c>
      <c r="D126" s="3">
        <v>26524443952.279999</v>
      </c>
      <c r="E126" s="3">
        <v>0</v>
      </c>
      <c r="F126" s="3">
        <v>0</v>
      </c>
      <c r="G126" s="5">
        <v>0</v>
      </c>
      <c r="H126" s="5">
        <v>0</v>
      </c>
      <c r="I126" s="4">
        <v>0</v>
      </c>
      <c r="J126" s="4">
        <v>0</v>
      </c>
      <c r="K126" s="7">
        <v>3.6946111879407099E-3</v>
      </c>
      <c r="L126" s="3">
        <v>1372183796.3399999</v>
      </c>
      <c r="M126" s="3">
        <v>0</v>
      </c>
      <c r="N126" s="8">
        <v>5.0099999999999999E-2</v>
      </c>
      <c r="O126" s="8">
        <v>0</v>
      </c>
    </row>
    <row r="127" spans="1:15" x14ac:dyDescent="0.25">
      <c r="A127">
        <v>1400</v>
      </c>
      <c r="B127" s="1">
        <v>42095</v>
      </c>
      <c r="C127" s="3">
        <v>80059</v>
      </c>
      <c r="D127" s="3">
        <v>16616937598.799999</v>
      </c>
      <c r="E127" s="3">
        <v>319851020.76999998</v>
      </c>
      <c r="F127" s="3">
        <v>0</v>
      </c>
      <c r="G127" s="5">
        <v>1.92484938255469E-2</v>
      </c>
      <c r="H127" s="5">
        <v>0</v>
      </c>
      <c r="I127" s="4">
        <v>20.803100000000001</v>
      </c>
      <c r="J127" s="4">
        <v>0</v>
      </c>
      <c r="K127" s="7">
        <v>2.9213370701654099E-3</v>
      </c>
      <c r="L127" s="3">
        <v>682371859.72000003</v>
      </c>
      <c r="M127" s="3">
        <v>0</v>
      </c>
      <c r="N127" s="9">
        <v>4.0800000000000003E-2</v>
      </c>
      <c r="O127" s="9">
        <v>0</v>
      </c>
    </row>
    <row r="128" spans="1:15" x14ac:dyDescent="0.25">
      <c r="A128">
        <v>1400</v>
      </c>
      <c r="B128" s="1">
        <v>42125</v>
      </c>
      <c r="C128" s="3">
        <v>78787</v>
      </c>
      <c r="D128" s="3">
        <v>16269256589.57</v>
      </c>
      <c r="E128" s="3">
        <v>0</v>
      </c>
      <c r="F128" s="3">
        <v>0</v>
      </c>
      <c r="G128" s="5">
        <v>0</v>
      </c>
      <c r="H128" s="5">
        <v>0</v>
      </c>
      <c r="I128" s="4">
        <v>0</v>
      </c>
      <c r="J128" s="4">
        <v>0</v>
      </c>
      <c r="K128" s="7">
        <v>3.5999590164155098E-3</v>
      </c>
      <c r="L128" s="3">
        <v>682371859.72000003</v>
      </c>
      <c r="M128" s="3">
        <v>0</v>
      </c>
      <c r="N128" s="8">
        <v>4.0800000000000003E-2</v>
      </c>
      <c r="O128" s="8">
        <v>0</v>
      </c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Freddie_orig</vt:lpstr>
      <vt:lpstr>Freddie_perf</vt:lpstr>
      <vt:lpstr>Fannie_orig</vt:lpstr>
      <vt:lpstr>Fannie_perf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Robert Morris</cp:lastModifiedBy>
  <dcterms:created xsi:type="dcterms:W3CDTF">2015-07-29T13:00:21Z</dcterms:created>
  <dcterms:modified xsi:type="dcterms:W3CDTF">2015-07-29T15:55:40Z</dcterms:modified>
</cp:coreProperties>
</file>