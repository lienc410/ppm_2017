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60" windowWidth="27795" windowHeight="17175" activeTab="1"/>
  </bookViews>
  <sheets>
    <sheet name="Collateral Report" sheetId="14" r:id="rId1"/>
    <sheet name="Performance Report" sheetId="17" r:id="rId2"/>
    <sheet name="Performance Pivot" sheetId="7" state="hidden" r:id="rId3"/>
    <sheet name="Colleteral Data" sheetId="15" state="hidden" r:id="rId4"/>
    <sheet name="Performance Data" sheetId="16" state="hidden" r:id="rId5"/>
    <sheet name="Deal Pool Mapping" sheetId="18" state="hidden" r:id="rId6"/>
  </sheets>
  <functionGroups builtInGroupCount="17"/>
  <definedNames>
    <definedName name="CurrentCloseDate" localSheetId="2">'Performance Pivot'!$AK$2</definedName>
    <definedName name="CurrentCloseDate" localSheetId="1">'Performance Report'!$AN$2</definedName>
    <definedName name="DatabaseEnv" localSheetId="2">'Performance Pivot'!$AK$1</definedName>
    <definedName name="DatabaseEnv" localSheetId="1">'Performance Report'!$AN$1</definedName>
    <definedName name="LatestUpdateDate">'Performance Report'!$AO$12</definedName>
    <definedName name="PDFReportDir" localSheetId="2">'Performance Pivot'!$AK$3</definedName>
    <definedName name="PDFReportDir" localSheetId="1">'Performance Report'!$AN$3</definedName>
    <definedName name="PDFReportName" localSheetId="2">'Performance Pivot'!$AK$4</definedName>
    <definedName name="PDFReportName" localSheetId="1">'Performance Report'!$AN$4</definedName>
    <definedName name="_xlnm.Print_Area" localSheetId="0">'Collateral Report'!$B$1:$S$51</definedName>
    <definedName name="_xlnm.Print_Area" localSheetId="2">'Performance Pivot'!$C$1:$AF$74</definedName>
    <definedName name="_xlnm.Print_Area" localSheetId="1">'Performance Report'!$C$1:$AJ$70</definedName>
    <definedName name="Query_from_Agency_11" localSheetId="3" hidden="1">'Colleteral Data'!$B$3:$AR$17</definedName>
    <definedName name="Query_from_Agency_11" localSheetId="5" hidden="1">'Deal Pool Mapping'!$B$3:$H$31</definedName>
    <definedName name="Query_from_Agency_11" localSheetId="4" hidden="1">'Performance Data'!$C$3:$U$158</definedName>
    <definedName name="SaveRatesToDB" localSheetId="2">'Performance Pivot'!$AM$1</definedName>
    <definedName name="SaveRatesToDB" localSheetId="1">'Performance Report'!$AP$1</definedName>
  </definedNames>
  <calcPr calcId="145621"/>
  <pivotCaches>
    <pivotCache cacheId="43" r:id="rId7"/>
  </pivotCaches>
</workbook>
</file>

<file path=xl/calcChain.xml><?xml version="1.0" encoding="utf-8"?>
<calcChain xmlns="http://schemas.openxmlformats.org/spreadsheetml/2006/main">
  <c r="AI68" i="17" l="1"/>
  <c r="AH68" i="17"/>
  <c r="AG68" i="17"/>
  <c r="AI67" i="17"/>
  <c r="AH67" i="17"/>
  <c r="AG67" i="17"/>
  <c r="AI66" i="17"/>
  <c r="AH66" i="17"/>
  <c r="AG66" i="17"/>
  <c r="AI65" i="17"/>
  <c r="AH65" i="17"/>
  <c r="AG65" i="17"/>
  <c r="AI64" i="17"/>
  <c r="AH64" i="17"/>
  <c r="AG64" i="17"/>
  <c r="AI63" i="17"/>
  <c r="AH63" i="17"/>
  <c r="AG63" i="17"/>
  <c r="AI62" i="17"/>
  <c r="AH62" i="17"/>
  <c r="AG62" i="17"/>
  <c r="AI61" i="17"/>
  <c r="AH61" i="17"/>
  <c r="AG61" i="17"/>
  <c r="AI60" i="17"/>
  <c r="AH60" i="17"/>
  <c r="AG60" i="17"/>
  <c r="AI59" i="17"/>
  <c r="AH59" i="17"/>
  <c r="AG59" i="17"/>
  <c r="AI58" i="17"/>
  <c r="AH58" i="17"/>
  <c r="AG58" i="17"/>
  <c r="AI57" i="17"/>
  <c r="AH57" i="17"/>
  <c r="AG57" i="17"/>
  <c r="AI56" i="17"/>
  <c r="AH56" i="17"/>
  <c r="AG56" i="17"/>
  <c r="AI55" i="17"/>
  <c r="AH55" i="17"/>
  <c r="AG55" i="17"/>
  <c r="AI54" i="17"/>
  <c r="AH54" i="17"/>
  <c r="AG54" i="17"/>
  <c r="AI53" i="17"/>
  <c r="AH53" i="17"/>
  <c r="AG53" i="17"/>
  <c r="AI52" i="17"/>
  <c r="AH52" i="17"/>
  <c r="AG52" i="17"/>
  <c r="AI51" i="17"/>
  <c r="AH51" i="17"/>
  <c r="AG51" i="17"/>
  <c r="AI50" i="17"/>
  <c r="AH50" i="17"/>
  <c r="AG50" i="17"/>
  <c r="AI49" i="17"/>
  <c r="AH49" i="17"/>
  <c r="AG49" i="17"/>
  <c r="AI48" i="17"/>
  <c r="AH48" i="17"/>
  <c r="AG48" i="17"/>
  <c r="AF48" i="17"/>
  <c r="AI39" i="17"/>
  <c r="AH39" i="17"/>
  <c r="AG39" i="17"/>
  <c r="AI38" i="17"/>
  <c r="AH38" i="17"/>
  <c r="AG38" i="17"/>
  <c r="AI37" i="17"/>
  <c r="AH37" i="17"/>
  <c r="AG37" i="17"/>
  <c r="AI36" i="17"/>
  <c r="AH36" i="17"/>
  <c r="AG36" i="17"/>
  <c r="AI35" i="17"/>
  <c r="AH35" i="17"/>
  <c r="AG35" i="17"/>
  <c r="AI34" i="17"/>
  <c r="AH34" i="17"/>
  <c r="AG34" i="17"/>
  <c r="AI33" i="17"/>
  <c r="AH33" i="17"/>
  <c r="AG33" i="17"/>
  <c r="AI32" i="17"/>
  <c r="AH32" i="17"/>
  <c r="AG32" i="17"/>
  <c r="AI31" i="17"/>
  <c r="AH31" i="17"/>
  <c r="AG31" i="17"/>
  <c r="AI30" i="17"/>
  <c r="AH30" i="17"/>
  <c r="AG30" i="17"/>
  <c r="AI29" i="17"/>
  <c r="AH29" i="17"/>
  <c r="AG29" i="17"/>
  <c r="AI28" i="17"/>
  <c r="AH28" i="17"/>
  <c r="AG28" i="17"/>
  <c r="AI27" i="17"/>
  <c r="AH27" i="17"/>
  <c r="AG27" i="17"/>
  <c r="AI26" i="17"/>
  <c r="AH26" i="17"/>
  <c r="AG26" i="17"/>
  <c r="AI25" i="17"/>
  <c r="AH25" i="17"/>
  <c r="AG25" i="17"/>
  <c r="AI24" i="17"/>
  <c r="AH24" i="17"/>
  <c r="AG24" i="17"/>
  <c r="AI23" i="17"/>
  <c r="AH23" i="17"/>
  <c r="AG23" i="17"/>
  <c r="AI22" i="17"/>
  <c r="AH22" i="17"/>
  <c r="AG22" i="17"/>
  <c r="AI21" i="17"/>
  <c r="AH21" i="17"/>
  <c r="AG21" i="17"/>
  <c r="AI20" i="17"/>
  <c r="AH20" i="17"/>
  <c r="AG20" i="17"/>
  <c r="AI19" i="17"/>
  <c r="AH19" i="17"/>
  <c r="AG19" i="17"/>
  <c r="Q68" i="17"/>
  <c r="P68" i="17"/>
  <c r="O68" i="17"/>
  <c r="Q67" i="17"/>
  <c r="P67" i="17"/>
  <c r="O67" i="17"/>
  <c r="Q66" i="17"/>
  <c r="P66" i="17"/>
  <c r="O66" i="17"/>
  <c r="Q65" i="17"/>
  <c r="P65" i="17"/>
  <c r="O65" i="17"/>
  <c r="Q64" i="17"/>
  <c r="P64" i="17"/>
  <c r="O64" i="17"/>
  <c r="Q63" i="17"/>
  <c r="P63" i="17"/>
  <c r="O63" i="17"/>
  <c r="Q62" i="17"/>
  <c r="P62" i="17"/>
  <c r="O62" i="17"/>
  <c r="Q61" i="17"/>
  <c r="P61" i="17"/>
  <c r="O61" i="17"/>
  <c r="Q60" i="17"/>
  <c r="P60" i="17"/>
  <c r="O60" i="17"/>
  <c r="Q59" i="17"/>
  <c r="P59" i="17"/>
  <c r="O59" i="17"/>
  <c r="Q58" i="17"/>
  <c r="P58" i="17"/>
  <c r="O58" i="17"/>
  <c r="Q57" i="17"/>
  <c r="P57" i="17"/>
  <c r="O57" i="17"/>
  <c r="Q56" i="17"/>
  <c r="P56" i="17"/>
  <c r="O56" i="17"/>
  <c r="Q55" i="17"/>
  <c r="P55" i="17"/>
  <c r="O55" i="17"/>
  <c r="Q54" i="17"/>
  <c r="P54" i="17"/>
  <c r="O54" i="17"/>
  <c r="Q53" i="17"/>
  <c r="P53" i="17"/>
  <c r="O53" i="17"/>
  <c r="Q52" i="17"/>
  <c r="P52" i="17"/>
  <c r="O52" i="17"/>
  <c r="Q51" i="17"/>
  <c r="P51" i="17"/>
  <c r="O51" i="17"/>
  <c r="Q50" i="17"/>
  <c r="P50" i="17"/>
  <c r="O50" i="17"/>
  <c r="Q49" i="17"/>
  <c r="P49" i="17"/>
  <c r="O49" i="17"/>
  <c r="Q48" i="17"/>
  <c r="P48" i="17"/>
  <c r="O48" i="17"/>
  <c r="Q39" i="17"/>
  <c r="P39" i="17"/>
  <c r="O39" i="17"/>
  <c r="Q38" i="17"/>
  <c r="P38" i="17"/>
  <c r="O38" i="17"/>
  <c r="Q37" i="17"/>
  <c r="P37" i="17"/>
  <c r="O37" i="17"/>
  <c r="Q36" i="17"/>
  <c r="P36" i="17"/>
  <c r="O36" i="17"/>
  <c r="Q35" i="17"/>
  <c r="P35" i="17"/>
  <c r="O35" i="17"/>
  <c r="Q34" i="17"/>
  <c r="P34" i="17"/>
  <c r="O34" i="17"/>
  <c r="Q33" i="17"/>
  <c r="P33" i="17"/>
  <c r="O33" i="17"/>
  <c r="Q32" i="17"/>
  <c r="P32" i="17"/>
  <c r="O32" i="17"/>
  <c r="Q31" i="17"/>
  <c r="P31" i="17"/>
  <c r="O31" i="17"/>
  <c r="Q30" i="17"/>
  <c r="P30" i="17"/>
  <c r="O30" i="17"/>
  <c r="Q29" i="17"/>
  <c r="P29" i="17"/>
  <c r="O29" i="17"/>
  <c r="Q28" i="17"/>
  <c r="P28" i="17"/>
  <c r="O28" i="17"/>
  <c r="Q27" i="17"/>
  <c r="P27" i="17"/>
  <c r="O27" i="17"/>
  <c r="Q26" i="17"/>
  <c r="P26" i="17"/>
  <c r="O26" i="17"/>
  <c r="Q25" i="17"/>
  <c r="P25" i="17"/>
  <c r="O25" i="17"/>
  <c r="Q24" i="17"/>
  <c r="P24" i="17"/>
  <c r="O24" i="17"/>
  <c r="Q23" i="17"/>
  <c r="P23" i="17"/>
  <c r="O23" i="17"/>
  <c r="Q22" i="17"/>
  <c r="P22" i="17"/>
  <c r="O22" i="17"/>
  <c r="Q21" i="17"/>
  <c r="P21" i="17"/>
  <c r="O21" i="17"/>
  <c r="Q20" i="17"/>
  <c r="P20" i="17"/>
  <c r="O20" i="17"/>
  <c r="Q19" i="17"/>
  <c r="O19" i="17"/>
  <c r="P19" i="17"/>
  <c r="W17" i="17"/>
  <c r="AC17" i="17"/>
  <c r="AD17" i="17"/>
  <c r="AE17" i="17"/>
  <c r="W18" i="17"/>
  <c r="X18" i="17"/>
  <c r="Y18" i="17"/>
  <c r="Z18" i="17"/>
  <c r="AA18" i="17"/>
  <c r="AB18" i="17"/>
  <c r="AC18" i="17"/>
  <c r="AD18" i="17"/>
  <c r="AE18" i="17"/>
  <c r="AF18" i="17"/>
  <c r="AG18" i="17"/>
  <c r="AH18" i="17"/>
  <c r="AI18" i="17"/>
  <c r="O17" i="17"/>
  <c r="AG17" i="17" s="1"/>
  <c r="E18" i="17"/>
  <c r="E17" i="17" s="1"/>
  <c r="F18" i="17"/>
  <c r="F17" i="17" s="1"/>
  <c r="X17" i="17" s="1"/>
  <c r="G18" i="17"/>
  <c r="G17" i="17" s="1"/>
  <c r="Y17" i="17" s="1"/>
  <c r="H18" i="17"/>
  <c r="H17" i="17" s="1"/>
  <c r="Z17" i="17" s="1"/>
  <c r="I18" i="17"/>
  <c r="I17" i="17" s="1"/>
  <c r="AA17" i="17" s="1"/>
  <c r="J18" i="17"/>
  <c r="J17" i="17" s="1"/>
  <c r="AB17" i="17" s="1"/>
  <c r="K18" i="17"/>
  <c r="K17" i="17" s="1"/>
  <c r="L18" i="17"/>
  <c r="L17" i="17" s="1"/>
  <c r="M18" i="17"/>
  <c r="M17" i="17" s="1"/>
  <c r="N18" i="17"/>
  <c r="N17" i="17" s="1"/>
  <c r="AF17" i="17" s="1"/>
  <c r="O18" i="17"/>
  <c r="P18" i="17"/>
  <c r="P17" i="17" s="1"/>
  <c r="P16" i="17" s="1"/>
  <c r="P45" i="17" s="1"/>
  <c r="Q18" i="17"/>
  <c r="Q17" i="17" s="1"/>
  <c r="AI17" i="17" s="1"/>
  <c r="S45" i="14"/>
  <c r="S44" i="14"/>
  <c r="S43" i="14"/>
  <c r="S41" i="14"/>
  <c r="R41" i="14"/>
  <c r="Q41" i="14"/>
  <c r="P41" i="14"/>
  <c r="O41" i="14"/>
  <c r="N41" i="14"/>
  <c r="M41" i="14"/>
  <c r="L41" i="14"/>
  <c r="K41" i="14"/>
  <c r="J41" i="14"/>
  <c r="I41" i="14"/>
  <c r="H41" i="14"/>
  <c r="G41" i="14"/>
  <c r="F41" i="14"/>
  <c r="S40" i="14"/>
  <c r="R40" i="14"/>
  <c r="Q40" i="14"/>
  <c r="P40" i="14"/>
  <c r="O40" i="14"/>
  <c r="N40" i="14"/>
  <c r="M40" i="14"/>
  <c r="L40" i="14"/>
  <c r="K40" i="14"/>
  <c r="J40" i="14"/>
  <c r="I40" i="14"/>
  <c r="H40" i="14"/>
  <c r="G40" i="14"/>
  <c r="F40" i="14"/>
  <c r="S39" i="14"/>
  <c r="R39" i="14"/>
  <c r="Q39" i="14"/>
  <c r="P39" i="14"/>
  <c r="O39" i="14"/>
  <c r="N39" i="14"/>
  <c r="M39" i="14"/>
  <c r="L39" i="14"/>
  <c r="K39" i="14"/>
  <c r="J39" i="14"/>
  <c r="I39" i="14"/>
  <c r="H39" i="14"/>
  <c r="G39" i="14"/>
  <c r="F39" i="14"/>
  <c r="S38" i="14"/>
  <c r="R38" i="14"/>
  <c r="Q38" i="14"/>
  <c r="P38" i="14"/>
  <c r="O38" i="14"/>
  <c r="N38" i="14"/>
  <c r="M38" i="14"/>
  <c r="L38" i="14"/>
  <c r="K38" i="14"/>
  <c r="J38" i="14"/>
  <c r="I38" i="14"/>
  <c r="H38" i="14"/>
  <c r="G38" i="14"/>
  <c r="F38" i="14"/>
  <c r="S37" i="14"/>
  <c r="R37" i="14"/>
  <c r="Q37" i="14"/>
  <c r="P37" i="14"/>
  <c r="O37" i="14"/>
  <c r="N37" i="14"/>
  <c r="M37" i="14"/>
  <c r="L37" i="14"/>
  <c r="K37" i="14"/>
  <c r="J37" i="14"/>
  <c r="I37" i="14"/>
  <c r="H37" i="14"/>
  <c r="G37" i="14"/>
  <c r="F37" i="14"/>
  <c r="S35" i="14"/>
  <c r="R35" i="14"/>
  <c r="Q35" i="14"/>
  <c r="P35" i="14"/>
  <c r="O35" i="14"/>
  <c r="N35" i="14"/>
  <c r="M35" i="14"/>
  <c r="L35" i="14"/>
  <c r="K35" i="14"/>
  <c r="J35" i="14"/>
  <c r="I35" i="14"/>
  <c r="H35" i="14"/>
  <c r="G35" i="14"/>
  <c r="F35" i="14"/>
  <c r="S34" i="14"/>
  <c r="R34" i="14"/>
  <c r="Q34" i="14"/>
  <c r="P34" i="14"/>
  <c r="O34" i="14"/>
  <c r="N34" i="14"/>
  <c r="M34" i="14"/>
  <c r="L34" i="14"/>
  <c r="K34" i="14"/>
  <c r="J34" i="14"/>
  <c r="I34" i="14"/>
  <c r="H34" i="14"/>
  <c r="G34" i="14"/>
  <c r="F34" i="14"/>
  <c r="S33" i="14"/>
  <c r="R33" i="14"/>
  <c r="Q33" i="14"/>
  <c r="P33" i="14"/>
  <c r="O33" i="14"/>
  <c r="N33" i="14"/>
  <c r="M33" i="14"/>
  <c r="L33" i="14"/>
  <c r="K33" i="14"/>
  <c r="J33" i="14"/>
  <c r="I33" i="14"/>
  <c r="H33" i="14"/>
  <c r="G33" i="14"/>
  <c r="F33" i="14"/>
  <c r="S32" i="14"/>
  <c r="R32" i="14"/>
  <c r="Q32" i="14"/>
  <c r="P32" i="14"/>
  <c r="O32" i="14"/>
  <c r="N32" i="14"/>
  <c r="M32" i="14"/>
  <c r="L32" i="14"/>
  <c r="K32" i="14"/>
  <c r="J32" i="14"/>
  <c r="I32" i="14"/>
  <c r="H32" i="14"/>
  <c r="G32" i="14"/>
  <c r="F32" i="14"/>
  <c r="S31" i="14"/>
  <c r="R31" i="14"/>
  <c r="Q31" i="14"/>
  <c r="P31" i="14"/>
  <c r="O31" i="14"/>
  <c r="N31" i="14"/>
  <c r="M31" i="14"/>
  <c r="L31" i="14"/>
  <c r="K31" i="14"/>
  <c r="J31" i="14"/>
  <c r="I31" i="14"/>
  <c r="H31" i="14"/>
  <c r="G31" i="14"/>
  <c r="F31" i="14"/>
  <c r="S30" i="14"/>
  <c r="R30" i="14"/>
  <c r="Q30" i="14"/>
  <c r="P30" i="14"/>
  <c r="O30" i="14"/>
  <c r="N30" i="14"/>
  <c r="M30" i="14"/>
  <c r="L30" i="14"/>
  <c r="K30" i="14"/>
  <c r="J30" i="14"/>
  <c r="I30" i="14"/>
  <c r="H30" i="14"/>
  <c r="G30" i="14"/>
  <c r="F30" i="14"/>
  <c r="S29" i="14"/>
  <c r="R29" i="14"/>
  <c r="Q29" i="14"/>
  <c r="P29" i="14"/>
  <c r="O29" i="14"/>
  <c r="N29" i="14"/>
  <c r="M29" i="14"/>
  <c r="L29" i="14"/>
  <c r="K29" i="14"/>
  <c r="J29" i="14"/>
  <c r="I29" i="14"/>
  <c r="H29" i="14"/>
  <c r="G29" i="14"/>
  <c r="F29" i="14"/>
  <c r="S28" i="14"/>
  <c r="R28" i="14"/>
  <c r="Q28" i="14"/>
  <c r="P28" i="14"/>
  <c r="O28" i="14"/>
  <c r="N28" i="14"/>
  <c r="M28" i="14"/>
  <c r="L28" i="14"/>
  <c r="K28" i="14"/>
  <c r="J28" i="14"/>
  <c r="I28" i="14"/>
  <c r="H28" i="14"/>
  <c r="G28" i="14"/>
  <c r="F28" i="14"/>
  <c r="S27" i="14"/>
  <c r="R27" i="14"/>
  <c r="Q27" i="14"/>
  <c r="P27" i="14"/>
  <c r="O27" i="14"/>
  <c r="N27" i="14"/>
  <c r="M27" i="14"/>
  <c r="L27" i="14"/>
  <c r="K27" i="14"/>
  <c r="J27" i="14"/>
  <c r="I27" i="14"/>
  <c r="H27" i="14"/>
  <c r="G27" i="14"/>
  <c r="F27" i="14"/>
  <c r="S25" i="14"/>
  <c r="R25" i="14"/>
  <c r="Q25" i="14"/>
  <c r="P25" i="14"/>
  <c r="O25" i="14"/>
  <c r="N25" i="14"/>
  <c r="M25" i="14"/>
  <c r="L25" i="14"/>
  <c r="K25" i="14"/>
  <c r="J25" i="14"/>
  <c r="I25" i="14"/>
  <c r="H25" i="14"/>
  <c r="G25" i="14"/>
  <c r="F25" i="14"/>
  <c r="S24" i="14"/>
  <c r="R24" i="14"/>
  <c r="Q24" i="14"/>
  <c r="P24" i="14"/>
  <c r="O24" i="14"/>
  <c r="N24" i="14"/>
  <c r="M24" i="14"/>
  <c r="L24" i="14"/>
  <c r="K24" i="14"/>
  <c r="J24" i="14"/>
  <c r="I24" i="14"/>
  <c r="H24" i="14"/>
  <c r="G24" i="14"/>
  <c r="F24" i="14"/>
  <c r="S23" i="14"/>
  <c r="R23" i="14"/>
  <c r="Q23" i="14"/>
  <c r="P23" i="14"/>
  <c r="O23" i="14"/>
  <c r="N23" i="14"/>
  <c r="M23" i="14"/>
  <c r="L23" i="14"/>
  <c r="K23" i="14"/>
  <c r="J23" i="14"/>
  <c r="I23" i="14"/>
  <c r="H23" i="14"/>
  <c r="G23" i="14"/>
  <c r="F23" i="14"/>
  <c r="S22" i="14"/>
  <c r="R22" i="14"/>
  <c r="Q22" i="14"/>
  <c r="P22" i="14"/>
  <c r="O22" i="14"/>
  <c r="N22" i="14"/>
  <c r="M22" i="14"/>
  <c r="L22" i="14"/>
  <c r="K22" i="14"/>
  <c r="J22" i="14"/>
  <c r="I22" i="14"/>
  <c r="H22" i="14"/>
  <c r="G22" i="14"/>
  <c r="F22" i="14"/>
  <c r="S21" i="14"/>
  <c r="R21" i="14"/>
  <c r="Q21" i="14"/>
  <c r="P21" i="14"/>
  <c r="O21" i="14"/>
  <c r="N21" i="14"/>
  <c r="M21" i="14"/>
  <c r="L21" i="14"/>
  <c r="K21" i="14"/>
  <c r="J21" i="14"/>
  <c r="I21" i="14"/>
  <c r="H21" i="14"/>
  <c r="G21" i="14"/>
  <c r="F21" i="14"/>
  <c r="S19" i="14"/>
  <c r="R19" i="14"/>
  <c r="Q19" i="14"/>
  <c r="P19" i="14"/>
  <c r="O19" i="14"/>
  <c r="N19" i="14"/>
  <c r="M19" i="14"/>
  <c r="L19" i="14"/>
  <c r="K19" i="14"/>
  <c r="J19" i="14"/>
  <c r="I19" i="14"/>
  <c r="H19" i="14"/>
  <c r="G19" i="14"/>
  <c r="F19" i="14"/>
  <c r="S18" i="14"/>
  <c r="R18" i="14"/>
  <c r="Q18" i="14"/>
  <c r="P18" i="14"/>
  <c r="O18" i="14"/>
  <c r="N18" i="14"/>
  <c r="M18" i="14"/>
  <c r="L18" i="14"/>
  <c r="K18" i="14"/>
  <c r="J18" i="14"/>
  <c r="I18" i="14"/>
  <c r="H18" i="14"/>
  <c r="G18" i="14"/>
  <c r="F18" i="14"/>
  <c r="R17" i="14"/>
  <c r="Q17" i="14"/>
  <c r="P17" i="14"/>
  <c r="O17" i="14"/>
  <c r="N17" i="14"/>
  <c r="M17" i="14"/>
  <c r="L17" i="14"/>
  <c r="K17" i="14"/>
  <c r="J17" i="14"/>
  <c r="I17" i="14"/>
  <c r="H17" i="14"/>
  <c r="G17" i="14"/>
  <c r="F17" i="14"/>
  <c r="S17" i="14"/>
  <c r="R16" i="14"/>
  <c r="Q16" i="14"/>
  <c r="P16" i="14"/>
  <c r="O16" i="14"/>
  <c r="N16" i="14"/>
  <c r="M16" i="14"/>
  <c r="L16" i="14"/>
  <c r="K16" i="14"/>
  <c r="J16" i="14"/>
  <c r="I16" i="14"/>
  <c r="H16" i="14"/>
  <c r="G16" i="14"/>
  <c r="F16" i="14"/>
  <c r="S16" i="14"/>
  <c r="R15" i="14"/>
  <c r="Q15" i="14"/>
  <c r="P15" i="14"/>
  <c r="O15" i="14"/>
  <c r="N15" i="14"/>
  <c r="M15" i="14"/>
  <c r="L15" i="14"/>
  <c r="K15" i="14"/>
  <c r="J15" i="14"/>
  <c r="I15" i="14"/>
  <c r="H15" i="14"/>
  <c r="G15" i="14"/>
  <c r="F15" i="14"/>
  <c r="S15" i="14"/>
  <c r="Y16" i="14"/>
  <c r="R12" i="14"/>
  <c r="S12" i="14"/>
  <c r="S9" i="14" s="1"/>
  <c r="S14" i="14" s="1"/>
  <c r="R9" i="14"/>
  <c r="R14" i="14" s="1"/>
  <c r="R11" i="14"/>
  <c r="Q12" i="14"/>
  <c r="P12" i="14"/>
  <c r="O12" i="14"/>
  <c r="N12" i="14"/>
  <c r="M12" i="14"/>
  <c r="L12" i="14"/>
  <c r="K12" i="14"/>
  <c r="J12" i="14"/>
  <c r="I12" i="14"/>
  <c r="H12" i="14"/>
  <c r="G12" i="14"/>
  <c r="F12" i="14"/>
  <c r="Q11" i="14"/>
  <c r="Q9" i="14"/>
  <c r="AH16" i="17" l="1"/>
  <c r="AH45" i="17"/>
  <c r="AH17" i="17"/>
  <c r="O16" i="17"/>
  <c r="Q14" i="14"/>
  <c r="I4" i="18"/>
  <c r="I5" i="18"/>
  <c r="I6" i="18"/>
  <c r="I7" i="18"/>
  <c r="I8" i="18"/>
  <c r="I9" i="18"/>
  <c r="I10" i="18"/>
  <c r="I11" i="18"/>
  <c r="I12" i="18"/>
  <c r="I13" i="18"/>
  <c r="I14" i="18"/>
  <c r="I15" i="18"/>
  <c r="I16" i="18"/>
  <c r="I17" i="18"/>
  <c r="I18" i="18"/>
  <c r="I19" i="18"/>
  <c r="I20" i="18"/>
  <c r="I21" i="18"/>
  <c r="I22" i="18"/>
  <c r="I23" i="18"/>
  <c r="I24" i="18"/>
  <c r="I25" i="18"/>
  <c r="I26" i="18"/>
  <c r="I27" i="18"/>
  <c r="I28" i="18"/>
  <c r="I29" i="18"/>
  <c r="I30" i="18"/>
  <c r="I31" i="18"/>
  <c r="V4" i="16"/>
  <c r="V5" i="16"/>
  <c r="V6" i="16"/>
  <c r="V7" i="16"/>
  <c r="V8" i="16"/>
  <c r="V9" i="16"/>
  <c r="V10" i="16"/>
  <c r="V11" i="16"/>
  <c r="V12" i="16"/>
  <c r="V13" i="16"/>
  <c r="V14" i="16"/>
  <c r="V15" i="16"/>
  <c r="V16" i="16"/>
  <c r="V17" i="16"/>
  <c r="V18" i="16"/>
  <c r="V19" i="16"/>
  <c r="V20" i="16"/>
  <c r="V21" i="16"/>
  <c r="V22" i="16"/>
  <c r="V23" i="16"/>
  <c r="V24" i="16"/>
  <c r="V25" i="16"/>
  <c r="V26" i="16"/>
  <c r="V27" i="16"/>
  <c r="V28" i="16"/>
  <c r="V29" i="16"/>
  <c r="V30" i="16"/>
  <c r="V31" i="16"/>
  <c r="V32" i="16"/>
  <c r="V33" i="16"/>
  <c r="V34" i="16"/>
  <c r="V35" i="16"/>
  <c r="V36" i="16"/>
  <c r="V37" i="16"/>
  <c r="V38" i="16"/>
  <c r="V39" i="16"/>
  <c r="V40" i="16"/>
  <c r="V41" i="16"/>
  <c r="V42" i="16"/>
  <c r="V43" i="16"/>
  <c r="V44" i="16"/>
  <c r="V45" i="16"/>
  <c r="V46" i="16"/>
  <c r="V47" i="16"/>
  <c r="V48" i="16"/>
  <c r="V49" i="16"/>
  <c r="V50" i="16"/>
  <c r="V51" i="16"/>
  <c r="V52" i="16"/>
  <c r="V53" i="16"/>
  <c r="V54" i="16"/>
  <c r="V55" i="16"/>
  <c r="V56" i="16"/>
  <c r="V57" i="16"/>
  <c r="V58" i="16"/>
  <c r="V59" i="16"/>
  <c r="V60" i="16"/>
  <c r="V61" i="16"/>
  <c r="V62" i="16"/>
  <c r="V63" i="16"/>
  <c r="V64" i="16"/>
  <c r="V65" i="16"/>
  <c r="V66" i="16"/>
  <c r="V67" i="16"/>
  <c r="V68" i="16"/>
  <c r="V69" i="16"/>
  <c r="V70" i="16"/>
  <c r="V71" i="16"/>
  <c r="V72" i="16"/>
  <c r="V73" i="16"/>
  <c r="V74" i="16"/>
  <c r="V75" i="16"/>
  <c r="V76" i="16"/>
  <c r="V77" i="16"/>
  <c r="V78" i="16"/>
  <c r="V79" i="16"/>
  <c r="V80" i="16"/>
  <c r="V81" i="16"/>
  <c r="V82" i="16"/>
  <c r="V83" i="16"/>
  <c r="V84" i="16"/>
  <c r="V85" i="16"/>
  <c r="V86" i="16"/>
  <c r="V87" i="16"/>
  <c r="V88" i="16"/>
  <c r="V89" i="16"/>
  <c r="V90" i="16"/>
  <c r="V91" i="16"/>
  <c r="V92" i="16"/>
  <c r="V93" i="16"/>
  <c r="V94" i="16"/>
  <c r="V95" i="16"/>
  <c r="V96" i="16"/>
  <c r="V97" i="16"/>
  <c r="V98" i="16"/>
  <c r="V99" i="16"/>
  <c r="V100" i="16"/>
  <c r="V101" i="16"/>
  <c r="V102" i="16"/>
  <c r="V103" i="16"/>
  <c r="V104" i="16"/>
  <c r="V105" i="16"/>
  <c r="V106" i="16"/>
  <c r="V107" i="16"/>
  <c r="V108" i="16"/>
  <c r="V109" i="16"/>
  <c r="V110" i="16"/>
  <c r="V111" i="16"/>
  <c r="V112" i="16"/>
  <c r="V113" i="16"/>
  <c r="V114" i="16"/>
  <c r="V115" i="16"/>
  <c r="V116" i="16"/>
  <c r="V117" i="16"/>
  <c r="V118" i="16"/>
  <c r="V119" i="16"/>
  <c r="V120" i="16"/>
  <c r="V121" i="16"/>
  <c r="V122" i="16"/>
  <c r="V123" i="16"/>
  <c r="V124" i="16"/>
  <c r="V125" i="16"/>
  <c r="V126" i="16"/>
  <c r="V127" i="16"/>
  <c r="V128" i="16"/>
  <c r="V129" i="16"/>
  <c r="V130" i="16"/>
  <c r="V131" i="16"/>
  <c r="V132" i="16"/>
  <c r="V133" i="16"/>
  <c r="V134" i="16"/>
  <c r="V135" i="16"/>
  <c r="V136" i="16"/>
  <c r="V137" i="16"/>
  <c r="V138" i="16"/>
  <c r="V139" i="16"/>
  <c r="V140" i="16"/>
  <c r="V141" i="16"/>
  <c r="V142" i="16"/>
  <c r="V143" i="16"/>
  <c r="V144" i="16"/>
  <c r="V145" i="16"/>
  <c r="V146" i="16"/>
  <c r="V147" i="16"/>
  <c r="V148" i="16"/>
  <c r="V149" i="16"/>
  <c r="V150" i="16"/>
  <c r="V151" i="16"/>
  <c r="V152" i="16"/>
  <c r="V153" i="16"/>
  <c r="V154" i="16"/>
  <c r="V155" i="16"/>
  <c r="V156" i="16"/>
  <c r="V157" i="16"/>
  <c r="V158" i="16"/>
  <c r="W4" i="16"/>
  <c r="W5" i="16"/>
  <c r="W6" i="16"/>
  <c r="W7" i="16"/>
  <c r="W8" i="16"/>
  <c r="W9" i="16"/>
  <c r="W10" i="16"/>
  <c r="W11" i="16"/>
  <c r="W12" i="16"/>
  <c r="W13" i="16"/>
  <c r="W14" i="16"/>
  <c r="W15" i="16"/>
  <c r="W16" i="16"/>
  <c r="W17" i="16"/>
  <c r="W18" i="16"/>
  <c r="W19" i="16"/>
  <c r="W20" i="16"/>
  <c r="W21" i="16"/>
  <c r="W22" i="16"/>
  <c r="W23" i="16"/>
  <c r="W24" i="16"/>
  <c r="W25" i="16"/>
  <c r="W26" i="16"/>
  <c r="W27" i="16"/>
  <c r="W28" i="16"/>
  <c r="W29" i="16"/>
  <c r="W30" i="16"/>
  <c r="W31" i="16"/>
  <c r="W32" i="16"/>
  <c r="W33" i="16"/>
  <c r="W34" i="16"/>
  <c r="W35" i="16"/>
  <c r="W36" i="16"/>
  <c r="W37" i="16"/>
  <c r="W38" i="16"/>
  <c r="W39" i="16"/>
  <c r="W40" i="16"/>
  <c r="W41" i="16"/>
  <c r="W42" i="16"/>
  <c r="W43" i="16"/>
  <c r="W44" i="16"/>
  <c r="W45" i="16"/>
  <c r="W46" i="16"/>
  <c r="W47" i="16"/>
  <c r="W48" i="16"/>
  <c r="W49" i="16"/>
  <c r="W50" i="16"/>
  <c r="W51" i="16"/>
  <c r="W52" i="16"/>
  <c r="W53" i="16"/>
  <c r="W54" i="16"/>
  <c r="W55" i="16"/>
  <c r="W56" i="16"/>
  <c r="W57" i="16"/>
  <c r="W58" i="16"/>
  <c r="W59" i="16"/>
  <c r="W60" i="16"/>
  <c r="W61" i="16"/>
  <c r="W62" i="16"/>
  <c r="W63" i="16"/>
  <c r="W64" i="16"/>
  <c r="W65" i="16"/>
  <c r="W66" i="16"/>
  <c r="W67" i="16"/>
  <c r="W68" i="16"/>
  <c r="W69" i="16"/>
  <c r="W70" i="16"/>
  <c r="W71" i="16"/>
  <c r="W72" i="16"/>
  <c r="W73" i="16"/>
  <c r="W74" i="16"/>
  <c r="W75" i="16"/>
  <c r="W76" i="16"/>
  <c r="W77" i="16"/>
  <c r="W78" i="16"/>
  <c r="W79" i="16"/>
  <c r="W80" i="16"/>
  <c r="W81" i="16"/>
  <c r="W82" i="16"/>
  <c r="W83" i="16"/>
  <c r="W84" i="16"/>
  <c r="W85" i="16"/>
  <c r="W86" i="16"/>
  <c r="W87" i="16"/>
  <c r="W88" i="16"/>
  <c r="W89" i="16"/>
  <c r="W90" i="16"/>
  <c r="W91" i="16"/>
  <c r="W92" i="16"/>
  <c r="W93" i="16"/>
  <c r="W94" i="16"/>
  <c r="W95" i="16"/>
  <c r="W96" i="16"/>
  <c r="W97" i="16"/>
  <c r="W98" i="16"/>
  <c r="W99" i="16"/>
  <c r="W100" i="16"/>
  <c r="W101" i="16"/>
  <c r="W102" i="16"/>
  <c r="W103" i="16"/>
  <c r="W104" i="16"/>
  <c r="W105" i="16"/>
  <c r="W106" i="16"/>
  <c r="W107" i="16"/>
  <c r="W108" i="16"/>
  <c r="W109" i="16"/>
  <c r="W110" i="16"/>
  <c r="W111" i="16"/>
  <c r="W112" i="16"/>
  <c r="W113" i="16"/>
  <c r="W114" i="16"/>
  <c r="W115" i="16"/>
  <c r="W116" i="16"/>
  <c r="W117" i="16"/>
  <c r="W118" i="16"/>
  <c r="W119" i="16"/>
  <c r="W120" i="16"/>
  <c r="W121" i="16"/>
  <c r="W122" i="16"/>
  <c r="W123" i="16"/>
  <c r="W124" i="16"/>
  <c r="W125" i="16"/>
  <c r="W126" i="16"/>
  <c r="W127" i="16"/>
  <c r="W128" i="16"/>
  <c r="W129" i="16"/>
  <c r="W130" i="16"/>
  <c r="W131" i="16"/>
  <c r="W132" i="16"/>
  <c r="W133" i="16"/>
  <c r="W134" i="16"/>
  <c r="W135" i="16"/>
  <c r="W136" i="16"/>
  <c r="W137" i="16"/>
  <c r="W138" i="16"/>
  <c r="W139" i="16"/>
  <c r="W140" i="16"/>
  <c r="W141" i="16"/>
  <c r="W142" i="16"/>
  <c r="W143" i="16"/>
  <c r="W144" i="16"/>
  <c r="W145" i="16"/>
  <c r="W146" i="16"/>
  <c r="W147" i="16"/>
  <c r="W148" i="16"/>
  <c r="W149" i="16"/>
  <c r="W150" i="16"/>
  <c r="W151" i="16"/>
  <c r="W152" i="16"/>
  <c r="W153" i="16"/>
  <c r="W154" i="16"/>
  <c r="W155" i="16"/>
  <c r="W156" i="16"/>
  <c r="W157" i="16"/>
  <c r="W158" i="16"/>
  <c r="O45" i="17" l="1"/>
  <c r="AG45" i="17"/>
  <c r="AG16" i="17"/>
  <c r="AN4" i="17"/>
  <c r="P9" i="14" l="1"/>
  <c r="O9" i="14"/>
  <c r="N9" i="14"/>
  <c r="M9" i="14"/>
  <c r="L9" i="14"/>
  <c r="K9" i="14"/>
  <c r="J9" i="14"/>
  <c r="I9" i="14"/>
  <c r="H9" i="14"/>
  <c r="G9" i="14"/>
  <c r="F9" i="14"/>
  <c r="F42" i="14" s="1"/>
  <c r="S11" i="14"/>
  <c r="P11" i="14"/>
  <c r="O11" i="14"/>
  <c r="N11" i="14"/>
  <c r="M11" i="14"/>
  <c r="L11" i="14"/>
  <c r="K11" i="14"/>
  <c r="J11" i="14"/>
  <c r="I11" i="14"/>
  <c r="H11" i="14"/>
  <c r="G11" i="14"/>
  <c r="F11" i="14"/>
  <c r="P14" i="14" l="1"/>
  <c r="O14" i="14"/>
  <c r="N14" i="14"/>
  <c r="M14" i="14"/>
  <c r="L14" i="14"/>
  <c r="K14" i="14"/>
  <c r="J14" i="14"/>
  <c r="I14" i="14"/>
  <c r="H14" i="14"/>
  <c r="G14" i="14"/>
  <c r="F14" i="14"/>
  <c r="C19" i="17" l="1"/>
  <c r="C20" i="17"/>
  <c r="C21" i="17"/>
  <c r="C22" i="17"/>
  <c r="C23" i="17"/>
  <c r="C24" i="17"/>
  <c r="C25" i="17"/>
  <c r="C26" i="17"/>
  <c r="C27" i="17"/>
  <c r="C28" i="17"/>
  <c r="C29" i="17"/>
  <c r="C30" i="17"/>
  <c r="C31" i="17"/>
  <c r="C32" i="17"/>
  <c r="C33" i="17"/>
  <c r="C34" i="17"/>
  <c r="C35" i="17"/>
  <c r="C36" i="17"/>
  <c r="C37" i="17"/>
  <c r="C38" i="17"/>
  <c r="C39" i="17"/>
  <c r="AO12" i="17" s="1"/>
  <c r="C47" i="17" l="1"/>
  <c r="U47" i="17"/>
  <c r="U18" i="17"/>
  <c r="AJ47" i="17"/>
  <c r="D18" i="17"/>
  <c r="V18" i="17" l="1"/>
  <c r="D17" i="17"/>
  <c r="D16" i="17" s="1"/>
  <c r="G47" i="17"/>
  <c r="G70" i="17" s="1"/>
  <c r="G16" i="17"/>
  <c r="X47" i="17"/>
  <c r="F16" i="17"/>
  <c r="AD47" i="17"/>
  <c r="L16" i="17"/>
  <c r="AC47" i="17"/>
  <c r="K16" i="17"/>
  <c r="Q47" i="17"/>
  <c r="Q16" i="17"/>
  <c r="M47" i="17"/>
  <c r="M70" i="17" s="1"/>
  <c r="M16" i="17"/>
  <c r="J16" i="17"/>
  <c r="H16" i="17"/>
  <c r="N47" i="17"/>
  <c r="N70" i="17" s="1"/>
  <c r="N16" i="17"/>
  <c r="E47" i="17"/>
  <c r="E70" i="17" s="1"/>
  <c r="E16" i="17"/>
  <c r="I16" i="17"/>
  <c r="L47" i="17"/>
  <c r="L70" i="17" s="1"/>
  <c r="K47" i="17"/>
  <c r="K70" i="17" s="1"/>
  <c r="H47" i="17"/>
  <c r="H70" i="17" s="1"/>
  <c r="V47" i="17"/>
  <c r="AA47" i="17"/>
  <c r="J47" i="17"/>
  <c r="J70" i="17" s="1"/>
  <c r="Z47" i="17"/>
  <c r="AB47" i="17"/>
  <c r="D47" i="17"/>
  <c r="D70" i="17" s="1"/>
  <c r="I47" i="17"/>
  <c r="I70" i="17" s="1"/>
  <c r="AI47" i="17"/>
  <c r="Y47" i="17"/>
  <c r="AE47" i="17"/>
  <c r="W47" i="17"/>
  <c r="AF47" i="17"/>
  <c r="F47" i="17"/>
  <c r="F70" i="17" s="1"/>
  <c r="AJ40" i="17"/>
  <c r="V69" i="17"/>
  <c r="W69" i="17"/>
  <c r="X69" i="17"/>
  <c r="Y69" i="17"/>
  <c r="Z69" i="17"/>
  <c r="AA69" i="17"/>
  <c r="AB69" i="17"/>
  <c r="AC69" i="17"/>
  <c r="AD69" i="17"/>
  <c r="AE69" i="17"/>
  <c r="AF69" i="17"/>
  <c r="AJ69" i="17"/>
  <c r="W40" i="17"/>
  <c r="X40" i="17"/>
  <c r="Y40" i="17"/>
  <c r="Z40" i="17"/>
  <c r="AA40" i="17"/>
  <c r="AB40" i="17"/>
  <c r="AC40" i="17"/>
  <c r="AD40" i="17"/>
  <c r="AE40" i="17"/>
  <c r="AF40" i="17"/>
  <c r="V40" i="17"/>
  <c r="D40" i="17"/>
  <c r="E40" i="17"/>
  <c r="F40" i="17"/>
  <c r="G40" i="17"/>
  <c r="H40" i="17"/>
  <c r="I40" i="17"/>
  <c r="J40" i="17"/>
  <c r="K40" i="17"/>
  <c r="L40" i="17"/>
  <c r="M40" i="17"/>
  <c r="N40" i="17"/>
  <c r="R40" i="17"/>
  <c r="J38" i="17"/>
  <c r="N36" i="17"/>
  <c r="E35" i="17"/>
  <c r="R34" i="17"/>
  <c r="G32" i="17"/>
  <c r="C60" i="17"/>
  <c r="M60" i="17" s="1"/>
  <c r="J30" i="17"/>
  <c r="C58" i="17"/>
  <c r="H58" i="17" s="1"/>
  <c r="N28" i="17"/>
  <c r="K27" i="17"/>
  <c r="D26" i="17"/>
  <c r="M24" i="17"/>
  <c r="L23" i="17"/>
  <c r="J22" i="17"/>
  <c r="C50" i="17"/>
  <c r="G50" i="17" s="1"/>
  <c r="U20" i="17"/>
  <c r="AJ20" i="17" s="1"/>
  <c r="M19" i="17"/>
  <c r="J45" i="17" l="1"/>
  <c r="AB16" i="17"/>
  <c r="AB45" i="17"/>
  <c r="M45" i="17"/>
  <c r="AE16" i="17"/>
  <c r="AE45" i="17"/>
  <c r="F45" i="17"/>
  <c r="X16" i="17"/>
  <c r="X45" i="17"/>
  <c r="I45" i="17"/>
  <c r="AA45" i="17"/>
  <c r="AA16" i="17"/>
  <c r="L45" i="17"/>
  <c r="AD16" i="17"/>
  <c r="AD45" i="17"/>
  <c r="Q45" i="17"/>
  <c r="AI16" i="17"/>
  <c r="N45" i="17"/>
  <c r="AF45" i="17"/>
  <c r="AF16" i="17"/>
  <c r="H45" i="17"/>
  <c r="Z45" i="17"/>
  <c r="Z16" i="17"/>
  <c r="E45" i="17"/>
  <c r="W16" i="17"/>
  <c r="W45" i="17"/>
  <c r="G45" i="17"/>
  <c r="Y45" i="17"/>
  <c r="Y16" i="17"/>
  <c r="K45" i="17"/>
  <c r="AC16" i="17"/>
  <c r="AC45" i="17"/>
  <c r="X46" i="17"/>
  <c r="F46" i="17"/>
  <c r="AB46" i="17"/>
  <c r="J46" i="17"/>
  <c r="AC46" i="17"/>
  <c r="K46" i="17"/>
  <c r="AF46" i="17"/>
  <c r="N46" i="17"/>
  <c r="AE46" i="17"/>
  <c r="M46" i="17"/>
  <c r="Y46" i="17"/>
  <c r="G46" i="17"/>
  <c r="AA46" i="17"/>
  <c r="I46" i="17"/>
  <c r="AD46" i="17"/>
  <c r="L46" i="17"/>
  <c r="V16" i="17"/>
  <c r="V45" i="17"/>
  <c r="D45" i="17"/>
  <c r="Z46" i="17"/>
  <c r="H46" i="17"/>
  <c r="AI45" i="17"/>
  <c r="V17" i="17"/>
  <c r="V46" i="17"/>
  <c r="D46" i="17"/>
  <c r="W46" i="17"/>
  <c r="E46" i="17"/>
  <c r="AI46" i="17"/>
  <c r="Q46" i="17"/>
  <c r="D39" i="17"/>
  <c r="F43" i="14" s="1"/>
  <c r="R29" i="17"/>
  <c r="D30" i="17"/>
  <c r="I30" i="17"/>
  <c r="K34" i="17"/>
  <c r="D38" i="17"/>
  <c r="E23" i="17"/>
  <c r="K38" i="17"/>
  <c r="R25" i="17"/>
  <c r="M36" i="17"/>
  <c r="F23" i="17"/>
  <c r="K23" i="17"/>
  <c r="K31" i="17"/>
  <c r="I38" i="17"/>
  <c r="M31" i="17"/>
  <c r="E20" i="17"/>
  <c r="L26" i="17"/>
  <c r="R33" i="17"/>
  <c r="R60" i="17"/>
  <c r="N31" i="17"/>
  <c r="J21" i="17"/>
  <c r="H28" i="17"/>
  <c r="I34" i="17"/>
  <c r="R21" i="17"/>
  <c r="M20" i="17"/>
  <c r="D22" i="17"/>
  <c r="M23" i="17"/>
  <c r="R26" i="17"/>
  <c r="K30" i="17"/>
  <c r="L34" i="17"/>
  <c r="G37" i="17"/>
  <c r="L38" i="17"/>
  <c r="G20" i="17"/>
  <c r="M28" i="17"/>
  <c r="H39" i="17"/>
  <c r="J43" i="14" s="1"/>
  <c r="E19" i="17"/>
  <c r="I22" i="17"/>
  <c r="N23" i="17"/>
  <c r="E27" i="17"/>
  <c r="G29" i="17"/>
  <c r="L30" i="17"/>
  <c r="G33" i="17"/>
  <c r="N35" i="17"/>
  <c r="I37" i="17"/>
  <c r="R38" i="17"/>
  <c r="N39" i="17"/>
  <c r="P43" i="14" s="1"/>
  <c r="F19" i="17"/>
  <c r="K22" i="17"/>
  <c r="G25" i="17"/>
  <c r="F27" i="17"/>
  <c r="I29" i="17"/>
  <c r="R30" i="17"/>
  <c r="I33" i="17"/>
  <c r="E36" i="17"/>
  <c r="J37" i="17"/>
  <c r="H20" i="17"/>
  <c r="K19" i="17"/>
  <c r="G21" i="17"/>
  <c r="L22" i="17"/>
  <c r="I25" i="17"/>
  <c r="E28" i="17"/>
  <c r="J29" i="17"/>
  <c r="E31" i="17"/>
  <c r="J33" i="17"/>
  <c r="G36" i="17"/>
  <c r="I21" i="17"/>
  <c r="R22" i="17"/>
  <c r="J25" i="17"/>
  <c r="G28" i="17"/>
  <c r="F31" i="17"/>
  <c r="H36" i="17"/>
  <c r="R37" i="17"/>
  <c r="E24" i="17"/>
  <c r="H24" i="17"/>
  <c r="E32" i="17"/>
  <c r="G24" i="17"/>
  <c r="U19" i="17"/>
  <c r="Y19" i="17" s="1"/>
  <c r="L19" i="17"/>
  <c r="D19" i="17"/>
  <c r="J19" i="17"/>
  <c r="R19" i="17"/>
  <c r="I19" i="17"/>
  <c r="H19" i="17"/>
  <c r="G19" i="17"/>
  <c r="L27" i="17"/>
  <c r="D27" i="17"/>
  <c r="J27" i="17"/>
  <c r="R27" i="17"/>
  <c r="I27" i="17"/>
  <c r="H27" i="17"/>
  <c r="G27" i="17"/>
  <c r="L35" i="17"/>
  <c r="D35" i="17"/>
  <c r="J35" i="17"/>
  <c r="R35" i="17"/>
  <c r="I35" i="17"/>
  <c r="H35" i="17"/>
  <c r="G35" i="17"/>
  <c r="N19" i="17"/>
  <c r="M27" i="17"/>
  <c r="F35" i="17"/>
  <c r="U53" i="17"/>
  <c r="AF53" i="17" s="1"/>
  <c r="N24" i="17"/>
  <c r="F24" i="17"/>
  <c r="L24" i="17"/>
  <c r="D24" i="17"/>
  <c r="K24" i="17"/>
  <c r="J24" i="17"/>
  <c r="R24" i="17"/>
  <c r="I24" i="17"/>
  <c r="N32" i="17"/>
  <c r="F32" i="17"/>
  <c r="L32" i="17"/>
  <c r="D32" i="17"/>
  <c r="K32" i="17"/>
  <c r="J32" i="17"/>
  <c r="R32" i="17"/>
  <c r="I32" i="17"/>
  <c r="C55" i="17"/>
  <c r="R55" i="17" s="1"/>
  <c r="J26" i="17"/>
  <c r="H26" i="17"/>
  <c r="G26" i="17"/>
  <c r="N26" i="17"/>
  <c r="F26" i="17"/>
  <c r="M26" i="17"/>
  <c r="E26" i="17"/>
  <c r="I26" i="17"/>
  <c r="N27" i="17"/>
  <c r="H32" i="17"/>
  <c r="K35" i="17"/>
  <c r="J34" i="17"/>
  <c r="H34" i="17"/>
  <c r="G34" i="17"/>
  <c r="N34" i="17"/>
  <c r="F34" i="17"/>
  <c r="M34" i="17"/>
  <c r="E34" i="17"/>
  <c r="K26" i="17"/>
  <c r="M32" i="17"/>
  <c r="D34" i="17"/>
  <c r="M35" i="17"/>
  <c r="E39" i="17"/>
  <c r="G43" i="14" s="1"/>
  <c r="I20" i="17"/>
  <c r="R20" i="17"/>
  <c r="K21" i="17"/>
  <c r="E22" i="17"/>
  <c r="M22" i="17"/>
  <c r="G23" i="17"/>
  <c r="K25" i="17"/>
  <c r="I28" i="17"/>
  <c r="R28" i="17"/>
  <c r="K29" i="17"/>
  <c r="E30" i="17"/>
  <c r="M30" i="17"/>
  <c r="G31" i="17"/>
  <c r="K33" i="17"/>
  <c r="I36" i="17"/>
  <c r="R36" i="17"/>
  <c r="K37" i="17"/>
  <c r="E38" i="17"/>
  <c r="M38" i="17"/>
  <c r="R39" i="17"/>
  <c r="R43" i="14" s="1"/>
  <c r="J20" i="17"/>
  <c r="D21" i="17"/>
  <c r="L21" i="17"/>
  <c r="F22" i="17"/>
  <c r="N22" i="17"/>
  <c r="H23" i="17"/>
  <c r="D25" i="17"/>
  <c r="L25" i="17"/>
  <c r="J28" i="17"/>
  <c r="D29" i="17"/>
  <c r="L29" i="17"/>
  <c r="F30" i="17"/>
  <c r="N30" i="17"/>
  <c r="H31" i="17"/>
  <c r="D33" i="17"/>
  <c r="L33" i="17"/>
  <c r="J36" i="17"/>
  <c r="D37" i="17"/>
  <c r="L37" i="17"/>
  <c r="F38" i="17"/>
  <c r="N38" i="17"/>
  <c r="K20" i="17"/>
  <c r="E21" i="17"/>
  <c r="M21" i="17"/>
  <c r="G22" i="17"/>
  <c r="I23" i="17"/>
  <c r="R23" i="17"/>
  <c r="E25" i="17"/>
  <c r="M25" i="17"/>
  <c r="K28" i="17"/>
  <c r="E29" i="17"/>
  <c r="M29" i="17"/>
  <c r="G30" i="17"/>
  <c r="I31" i="17"/>
  <c r="R31" i="17"/>
  <c r="E33" i="17"/>
  <c r="M33" i="17"/>
  <c r="K36" i="17"/>
  <c r="E37" i="17"/>
  <c r="M37" i="17"/>
  <c r="G38" i="17"/>
  <c r="F39" i="17"/>
  <c r="H43" i="14" s="1"/>
  <c r="D20" i="17"/>
  <c r="L20" i="17"/>
  <c r="F21" i="17"/>
  <c r="N21" i="17"/>
  <c r="H22" i="17"/>
  <c r="J23" i="17"/>
  <c r="F25" i="17"/>
  <c r="N25" i="17"/>
  <c r="D28" i="17"/>
  <c r="L28" i="17"/>
  <c r="F29" i="17"/>
  <c r="N29" i="17"/>
  <c r="H30" i="17"/>
  <c r="J31" i="17"/>
  <c r="F33" i="17"/>
  <c r="N33" i="17"/>
  <c r="D36" i="17"/>
  <c r="L36" i="17"/>
  <c r="F37" i="17"/>
  <c r="N37" i="17"/>
  <c r="H38" i="17"/>
  <c r="M39" i="17"/>
  <c r="O43" i="14" s="1"/>
  <c r="F20" i="17"/>
  <c r="N20" i="17"/>
  <c r="H21" i="17"/>
  <c r="D23" i="17"/>
  <c r="H25" i="17"/>
  <c r="F28" i="17"/>
  <c r="H29" i="17"/>
  <c r="D31" i="17"/>
  <c r="L31" i="17"/>
  <c r="H33" i="17"/>
  <c r="F36" i="17"/>
  <c r="H37" i="17"/>
  <c r="R50" i="17"/>
  <c r="R58" i="17"/>
  <c r="K50" i="17"/>
  <c r="K39" i="17"/>
  <c r="M43" i="14" s="1"/>
  <c r="J39" i="17"/>
  <c r="L43" i="14" s="1"/>
  <c r="L39" i="17"/>
  <c r="N43" i="14" s="1"/>
  <c r="G39" i="17"/>
  <c r="I43" i="14" s="1"/>
  <c r="Q43" i="14"/>
  <c r="I39" i="17"/>
  <c r="K43" i="14" s="1"/>
  <c r="U35" i="17"/>
  <c r="AA35" i="17" s="1"/>
  <c r="C64" i="17"/>
  <c r="M64" i="17" s="1"/>
  <c r="U21" i="17"/>
  <c r="U36" i="17"/>
  <c r="U29" i="17"/>
  <c r="U65" i="17"/>
  <c r="U28" i="17"/>
  <c r="U61" i="17"/>
  <c r="U32" i="17"/>
  <c r="U24" i="17"/>
  <c r="U49" i="17"/>
  <c r="U37" i="17"/>
  <c r="U54" i="17"/>
  <c r="U25" i="17"/>
  <c r="U62" i="17"/>
  <c r="U33" i="17"/>
  <c r="C48" i="17"/>
  <c r="R48" i="17" s="1"/>
  <c r="U55" i="17"/>
  <c r="U26" i="17"/>
  <c r="C56" i="17"/>
  <c r="R56" i="17" s="1"/>
  <c r="U56" i="17"/>
  <c r="U27" i="17"/>
  <c r="C62" i="17"/>
  <c r="R62" i="17" s="1"/>
  <c r="U48" i="17"/>
  <c r="J58" i="17"/>
  <c r="D58" i="17"/>
  <c r="L58" i="17"/>
  <c r="E58" i="17"/>
  <c r="M58" i="17"/>
  <c r="F58" i="17"/>
  <c r="N58" i="17"/>
  <c r="I58" i="17"/>
  <c r="K58" i="17"/>
  <c r="C54" i="17"/>
  <c r="R54" i="17" s="1"/>
  <c r="N60" i="17"/>
  <c r="U63" i="17"/>
  <c r="U34" i="17"/>
  <c r="C63" i="17"/>
  <c r="R63" i="17" s="1"/>
  <c r="U51" i="17"/>
  <c r="U22" i="17"/>
  <c r="U59" i="17"/>
  <c r="U30" i="17"/>
  <c r="C59" i="17"/>
  <c r="R59" i="17" s="1"/>
  <c r="U67" i="17"/>
  <c r="C67" i="17"/>
  <c r="U38" i="17"/>
  <c r="X20" i="17"/>
  <c r="AF20" i="17"/>
  <c r="AA20" i="17"/>
  <c r="AB20" i="17"/>
  <c r="W20" i="17"/>
  <c r="Y20" i="17"/>
  <c r="AC20" i="17"/>
  <c r="AD20" i="17"/>
  <c r="V20" i="17"/>
  <c r="Z20" i="17"/>
  <c r="AE20" i="17"/>
  <c r="C51" i="17"/>
  <c r="R51" i="17" s="1"/>
  <c r="H60" i="17"/>
  <c r="J60" i="17"/>
  <c r="K60" i="17"/>
  <c r="D60" i="17"/>
  <c r="L60" i="17"/>
  <c r="F60" i="17"/>
  <c r="G60" i="17"/>
  <c r="E60" i="17"/>
  <c r="I60" i="17"/>
  <c r="U64" i="17"/>
  <c r="G58" i="17"/>
  <c r="C49" i="17"/>
  <c r="R49" i="17" s="1"/>
  <c r="C57" i="17"/>
  <c r="R57" i="17" s="1"/>
  <c r="C61" i="17"/>
  <c r="R61" i="17" s="1"/>
  <c r="U58" i="17"/>
  <c r="J50" i="17"/>
  <c r="D50" i="17"/>
  <c r="L50" i="17"/>
  <c r="E50" i="17"/>
  <c r="M50" i="17"/>
  <c r="F50" i="17"/>
  <c r="N50" i="17"/>
  <c r="H50" i="17"/>
  <c r="I50" i="17"/>
  <c r="U57" i="17"/>
  <c r="U52" i="17"/>
  <c r="C52" i="17"/>
  <c r="R52" i="17" s="1"/>
  <c r="U60" i="17"/>
  <c r="U68" i="17"/>
  <c r="C68" i="17"/>
  <c r="U39" i="17"/>
  <c r="U31" i="17"/>
  <c r="U23" i="17"/>
  <c r="C66" i="17"/>
  <c r="C53" i="17"/>
  <c r="R53" i="17" s="1"/>
  <c r="C65" i="17"/>
  <c r="U66" i="17"/>
  <c r="U50" i="17"/>
  <c r="F64" i="17" l="1"/>
  <c r="V19" i="17"/>
  <c r="AB19" i="17"/>
  <c r="AF19" i="17"/>
  <c r="X19" i="17"/>
  <c r="V35" i="17"/>
  <c r="N64" i="17"/>
  <c r="AE19" i="17"/>
  <c r="AD19" i="17"/>
  <c r="W19" i="17"/>
  <c r="AC19" i="17"/>
  <c r="AA19" i="17"/>
  <c r="X35" i="17"/>
  <c r="W35" i="17"/>
  <c r="AB35" i="17"/>
  <c r="Y35" i="17"/>
  <c r="H64" i="17"/>
  <c r="AC53" i="17"/>
  <c r="F55" i="17"/>
  <c r="AA53" i="17"/>
  <c r="H55" i="17"/>
  <c r="V53" i="17"/>
  <c r="G55" i="17"/>
  <c r="Z53" i="17"/>
  <c r="I55" i="17"/>
  <c r="W53" i="17"/>
  <c r="AJ54" i="17"/>
  <c r="AJ58" i="17"/>
  <c r="Z36" i="17"/>
  <c r="AJ36" i="17"/>
  <c r="AJ68" i="17"/>
  <c r="AJ30" i="17"/>
  <c r="AJ48" i="17"/>
  <c r="V49" i="17"/>
  <c r="AJ49" i="17"/>
  <c r="AJ22" i="17"/>
  <c r="AJ27" i="17"/>
  <c r="AJ32" i="17"/>
  <c r="R66" i="17"/>
  <c r="AJ52" i="17"/>
  <c r="AB53" i="17"/>
  <c r="Y53" i="17"/>
  <c r="AJ51" i="17"/>
  <c r="AJ56" i="17"/>
  <c r="N55" i="17"/>
  <c r="L55" i="17"/>
  <c r="AD61" i="17"/>
  <c r="AJ61" i="17"/>
  <c r="G64" i="17"/>
  <c r="R64" i="17"/>
  <c r="AJ50" i="17"/>
  <c r="AJ55" i="17"/>
  <c r="AJ25" i="17"/>
  <c r="AJ66" i="17"/>
  <c r="Q45" i="14"/>
  <c r="R68" i="17"/>
  <c r="R45" i="14" s="1"/>
  <c r="AJ63" i="17"/>
  <c r="AD37" i="17"/>
  <c r="AJ37" i="17"/>
  <c r="R65" i="17"/>
  <c r="AJ60" i="17"/>
  <c r="AJ59" i="17"/>
  <c r="E55" i="17"/>
  <c r="AJ23" i="17"/>
  <c r="AJ57" i="17"/>
  <c r="AJ38" i="17"/>
  <c r="Y49" i="17"/>
  <c r="AJ33" i="17"/>
  <c r="D55" i="17"/>
  <c r="AJ28" i="17"/>
  <c r="Z19" i="17"/>
  <c r="AJ19" i="17"/>
  <c r="Q44" i="14"/>
  <c r="AJ39" i="17"/>
  <c r="R44" i="14" s="1"/>
  <c r="AJ67" i="17"/>
  <c r="AJ34" i="17"/>
  <c r="AC29" i="17"/>
  <c r="AJ29" i="17"/>
  <c r="M55" i="17"/>
  <c r="AJ24" i="17"/>
  <c r="AA21" i="17"/>
  <c r="AJ21" i="17"/>
  <c r="AD53" i="17"/>
  <c r="AJ53" i="17"/>
  <c r="AE53" i="17"/>
  <c r="AJ31" i="17"/>
  <c r="AJ64" i="17"/>
  <c r="X53" i="17"/>
  <c r="R67" i="17"/>
  <c r="AE21" i="17"/>
  <c r="AJ26" i="17"/>
  <c r="AJ62" i="17"/>
  <c r="J55" i="17"/>
  <c r="K55" i="17"/>
  <c r="Z65" i="17"/>
  <c r="AJ65" i="17"/>
  <c r="AF35" i="17"/>
  <c r="AJ35" i="17"/>
  <c r="AC35" i="17"/>
  <c r="L64" i="17"/>
  <c r="V36" i="17"/>
  <c r="AE35" i="17"/>
  <c r="I64" i="17"/>
  <c r="W49" i="17"/>
  <c r="AD35" i="17"/>
  <c r="Z35" i="17"/>
  <c r="E64" i="17"/>
  <c r="AE28" i="17"/>
  <c r="AB28" i="17"/>
  <c r="AF49" i="17"/>
  <c r="AA24" i="17"/>
  <c r="AE24" i="17"/>
  <c r="X49" i="17"/>
  <c r="Y24" i="17"/>
  <c r="AC49" i="17"/>
  <c r="AB49" i="17"/>
  <c r="AA61" i="17"/>
  <c r="AA49" i="17"/>
  <c r="AD28" i="17"/>
  <c r="X21" i="17"/>
  <c r="K64" i="17"/>
  <c r="D64" i="17"/>
  <c r="Y28" i="17"/>
  <c r="Y21" i="17"/>
  <c r="X32" i="17"/>
  <c r="AB61" i="17"/>
  <c r="AD49" i="17"/>
  <c r="AC28" i="17"/>
  <c r="W21" i="17"/>
  <c r="AD21" i="17"/>
  <c r="V32" i="17"/>
  <c r="AD32" i="17"/>
  <c r="AE49" i="17"/>
  <c r="AF21" i="17"/>
  <c r="Y61" i="17"/>
  <c r="V28" i="17"/>
  <c r="Z49" i="17"/>
  <c r="V21" i="17"/>
  <c r="J64" i="17"/>
  <c r="AF61" i="17"/>
  <c r="AF24" i="17"/>
  <c r="X37" i="17"/>
  <c r="AD36" i="17"/>
  <c r="V24" i="17"/>
  <c r="AF65" i="17"/>
  <c r="AC21" i="17"/>
  <c r="AF37" i="17"/>
  <c r="X61" i="17"/>
  <c r="X24" i="17"/>
  <c r="AD24" i="17"/>
  <c r="AB21" i="17"/>
  <c r="Y37" i="17"/>
  <c r="Z61" i="17"/>
  <c r="AB29" i="17"/>
  <c r="AC24" i="17"/>
  <c r="AB24" i="17"/>
  <c r="Z21" i="17"/>
  <c r="V61" i="17"/>
  <c r="AE61" i="17"/>
  <c r="Y65" i="17"/>
  <c r="V37" i="17"/>
  <c r="AE36" i="17"/>
  <c r="AE37" i="17"/>
  <c r="AA65" i="17"/>
  <c r="Z29" i="17"/>
  <c r="AA32" i="17"/>
  <c r="AC32" i="17"/>
  <c r="X29" i="17"/>
  <c r="V65" i="17"/>
  <c r="AA36" i="17"/>
  <c r="AA28" i="17"/>
  <c r="AC37" i="17"/>
  <c r="W61" i="17"/>
  <c r="AC61" i="17"/>
  <c r="AC36" i="17"/>
  <c r="AA37" i="17"/>
  <c r="AE32" i="17"/>
  <c r="W36" i="17"/>
  <c r="AE65" i="17"/>
  <c r="AB37" i="17"/>
  <c r="W29" i="17"/>
  <c r="Y29" i="17"/>
  <c r="AB36" i="17"/>
  <c r="Y36" i="17"/>
  <c r="AF29" i="17"/>
  <c r="AB32" i="17"/>
  <c r="W32" i="17"/>
  <c r="Z32" i="17"/>
  <c r="W28" i="17"/>
  <c r="Z28" i="17"/>
  <c r="Y32" i="17"/>
  <c r="V29" i="17"/>
  <c r="AC65" i="17"/>
  <c r="AF36" i="17"/>
  <c r="AF28" i="17"/>
  <c r="Z37" i="17"/>
  <c r="AE29" i="17"/>
  <c r="W65" i="17"/>
  <c r="AA29" i="17"/>
  <c r="AD65" i="17"/>
  <c r="AF32" i="17"/>
  <c r="X65" i="17"/>
  <c r="AB65" i="17"/>
  <c r="AD29" i="17"/>
  <c r="X36" i="17"/>
  <c r="X28" i="17"/>
  <c r="W37" i="17"/>
  <c r="W24" i="17"/>
  <c r="Z24" i="17"/>
  <c r="G65" i="17"/>
  <c r="I65" i="17"/>
  <c r="J65" i="17"/>
  <c r="K65" i="17"/>
  <c r="N65" i="17"/>
  <c r="E65" i="17"/>
  <c r="F65" i="17"/>
  <c r="D65" i="17"/>
  <c r="H65" i="17"/>
  <c r="M65" i="17"/>
  <c r="L65" i="17"/>
  <c r="F62" i="17"/>
  <c r="N62" i="17"/>
  <c r="H62" i="17"/>
  <c r="I62" i="17"/>
  <c r="J62" i="17"/>
  <c r="E62" i="17"/>
  <c r="G62" i="17"/>
  <c r="L62" i="17"/>
  <c r="M62" i="17"/>
  <c r="D62" i="17"/>
  <c r="K62" i="17"/>
  <c r="V56" i="17"/>
  <c r="AD56" i="17"/>
  <c r="Y56" i="17"/>
  <c r="Z56" i="17"/>
  <c r="AE56" i="17"/>
  <c r="AF56" i="17"/>
  <c r="W56" i="17"/>
  <c r="X56" i="17"/>
  <c r="AA56" i="17"/>
  <c r="AB56" i="17"/>
  <c r="AC56" i="17"/>
  <c r="Y27" i="17"/>
  <c r="Z27" i="17"/>
  <c r="AB27" i="17"/>
  <c r="AC27" i="17"/>
  <c r="V27" i="17"/>
  <c r="W27" i="17"/>
  <c r="X27" i="17"/>
  <c r="AA27" i="17"/>
  <c r="AD27" i="17"/>
  <c r="AE27" i="17"/>
  <c r="AF27" i="17"/>
  <c r="D56" i="17"/>
  <c r="L56" i="17"/>
  <c r="F56" i="17"/>
  <c r="N56" i="17"/>
  <c r="G56" i="17"/>
  <c r="H56" i="17"/>
  <c r="E56" i="17"/>
  <c r="J56" i="17"/>
  <c r="K56" i="17"/>
  <c r="I56" i="17"/>
  <c r="M56" i="17"/>
  <c r="Y31" i="17"/>
  <c r="V31" i="17"/>
  <c r="Z31" i="17"/>
  <c r="AB31" i="17"/>
  <c r="AC31" i="17"/>
  <c r="W31" i="17"/>
  <c r="X31" i="17"/>
  <c r="AA31" i="17"/>
  <c r="AD31" i="17"/>
  <c r="AE31" i="17"/>
  <c r="AF31" i="17"/>
  <c r="K53" i="17"/>
  <c r="E53" i="17"/>
  <c r="M53" i="17"/>
  <c r="F53" i="17"/>
  <c r="N53" i="17"/>
  <c r="G53" i="17"/>
  <c r="J53" i="17"/>
  <c r="L53" i="17"/>
  <c r="D53" i="17"/>
  <c r="I53" i="17"/>
  <c r="H53" i="17"/>
  <c r="Y39" i="17"/>
  <c r="I44" i="14" s="1"/>
  <c r="V39" i="17"/>
  <c r="F44" i="14" s="1"/>
  <c r="Z39" i="17"/>
  <c r="J44" i="14" s="1"/>
  <c r="AB39" i="17"/>
  <c r="L44" i="14" s="1"/>
  <c r="AC39" i="17"/>
  <c r="M44" i="14" s="1"/>
  <c r="W39" i="17"/>
  <c r="G44" i="14" s="1"/>
  <c r="AA39" i="17"/>
  <c r="K44" i="14" s="1"/>
  <c r="X39" i="17"/>
  <c r="H44" i="14" s="1"/>
  <c r="AD39" i="17"/>
  <c r="N44" i="14" s="1"/>
  <c r="AE39" i="17"/>
  <c r="O44" i="14" s="1"/>
  <c r="AF39" i="17"/>
  <c r="P44" i="14" s="1"/>
  <c r="Z52" i="17"/>
  <c r="AC52" i="17"/>
  <c r="V52" i="17"/>
  <c r="AD52" i="17"/>
  <c r="AF52" i="17"/>
  <c r="X52" i="17"/>
  <c r="Y52" i="17"/>
  <c r="W52" i="17"/>
  <c r="AA52" i="17"/>
  <c r="AB52" i="17"/>
  <c r="AE52" i="17"/>
  <c r="K61" i="17"/>
  <c r="E61" i="17"/>
  <c r="M61" i="17"/>
  <c r="F61" i="17"/>
  <c r="N61" i="17"/>
  <c r="G61" i="17"/>
  <c r="D61" i="17"/>
  <c r="I61" i="17"/>
  <c r="J61" i="17"/>
  <c r="H61" i="17"/>
  <c r="L61" i="17"/>
  <c r="E51" i="17"/>
  <c r="M51" i="17"/>
  <c r="G51" i="17"/>
  <c r="H51" i="17"/>
  <c r="I51" i="17"/>
  <c r="D51" i="17"/>
  <c r="F51" i="17"/>
  <c r="K51" i="17"/>
  <c r="L51" i="17"/>
  <c r="J51" i="17"/>
  <c r="N51" i="17"/>
  <c r="AC22" i="17"/>
  <c r="AD22" i="17"/>
  <c r="X22" i="17"/>
  <c r="AF22" i="17"/>
  <c r="Y22" i="17"/>
  <c r="W22" i="17"/>
  <c r="Z22" i="17"/>
  <c r="V22" i="17"/>
  <c r="AA22" i="17"/>
  <c r="AB22" i="17"/>
  <c r="AE22" i="17"/>
  <c r="AC26" i="17"/>
  <c r="AD26" i="17"/>
  <c r="X26" i="17"/>
  <c r="AF26" i="17"/>
  <c r="V26" i="17"/>
  <c r="Y26" i="17"/>
  <c r="W26" i="17"/>
  <c r="Z26" i="17"/>
  <c r="AA26" i="17"/>
  <c r="AB26" i="17"/>
  <c r="AE26" i="17"/>
  <c r="Y33" i="17"/>
  <c r="Z33" i="17"/>
  <c r="AB33" i="17"/>
  <c r="AC33" i="17"/>
  <c r="AE33" i="17"/>
  <c r="V33" i="17"/>
  <c r="AF33" i="17"/>
  <c r="W33" i="17"/>
  <c r="X33" i="17"/>
  <c r="AA33" i="17"/>
  <c r="AD33" i="17"/>
  <c r="X54" i="17"/>
  <c r="AF54" i="17"/>
  <c r="AA54" i="17"/>
  <c r="AB54" i="17"/>
  <c r="AE54" i="17"/>
  <c r="W54" i="17"/>
  <c r="Y54" i="17"/>
  <c r="V54" i="17"/>
  <c r="Z54" i="17"/>
  <c r="AC54" i="17"/>
  <c r="AD54" i="17"/>
  <c r="Y23" i="17"/>
  <c r="V23" i="17"/>
  <c r="Z23" i="17"/>
  <c r="AB23" i="17"/>
  <c r="AC23" i="17"/>
  <c r="W23" i="17"/>
  <c r="X23" i="17"/>
  <c r="AA23" i="17"/>
  <c r="AD23" i="17"/>
  <c r="AE23" i="17"/>
  <c r="AF23" i="17"/>
  <c r="H52" i="17"/>
  <c r="J52" i="17"/>
  <c r="K52" i="17"/>
  <c r="D52" i="17"/>
  <c r="L52" i="17"/>
  <c r="G52" i="17"/>
  <c r="I52" i="17"/>
  <c r="N52" i="17"/>
  <c r="E52" i="17"/>
  <c r="F52" i="17"/>
  <c r="M52" i="17"/>
  <c r="W67" i="17"/>
  <c r="AE67" i="17"/>
  <c r="Z67" i="17"/>
  <c r="AA67" i="17"/>
  <c r="AC67" i="17"/>
  <c r="AD67" i="17"/>
  <c r="V67" i="17"/>
  <c r="AF67" i="17"/>
  <c r="X67" i="17"/>
  <c r="AB67" i="17"/>
  <c r="Y67" i="17"/>
  <c r="E59" i="17"/>
  <c r="M59" i="17"/>
  <c r="G59" i="17"/>
  <c r="H59" i="17"/>
  <c r="I59" i="17"/>
  <c r="L59" i="17"/>
  <c r="N59" i="17"/>
  <c r="D59" i="17"/>
  <c r="J59" i="17"/>
  <c r="F59" i="17"/>
  <c r="K59" i="17"/>
  <c r="W51" i="17"/>
  <c r="AE51" i="17"/>
  <c r="Y51" i="17"/>
  <c r="Z51" i="17"/>
  <c r="AA51" i="17"/>
  <c r="AD51" i="17"/>
  <c r="AF51" i="17"/>
  <c r="V51" i="17"/>
  <c r="X51" i="17"/>
  <c r="AB51" i="17"/>
  <c r="AC51" i="17"/>
  <c r="AA55" i="17"/>
  <c r="V55" i="17"/>
  <c r="AD55" i="17"/>
  <c r="W55" i="17"/>
  <c r="AE55" i="17"/>
  <c r="AF55" i="17"/>
  <c r="X55" i="17"/>
  <c r="Y55" i="17"/>
  <c r="Z55" i="17"/>
  <c r="AB55" i="17"/>
  <c r="AC55" i="17"/>
  <c r="V64" i="17"/>
  <c r="AD64" i="17"/>
  <c r="Y64" i="17"/>
  <c r="Z64" i="17"/>
  <c r="AC64" i="17"/>
  <c r="AE64" i="17"/>
  <c r="W64" i="17"/>
  <c r="X64" i="17"/>
  <c r="AA64" i="17"/>
  <c r="AB64" i="17"/>
  <c r="AF64" i="17"/>
  <c r="AC38" i="17"/>
  <c r="AD38" i="17"/>
  <c r="X38" i="17"/>
  <c r="AF38" i="17"/>
  <c r="Y38" i="17"/>
  <c r="W38" i="17"/>
  <c r="Z38" i="17"/>
  <c r="V38" i="17"/>
  <c r="AA38" i="17"/>
  <c r="AB38" i="17"/>
  <c r="AE38" i="17"/>
  <c r="W59" i="17"/>
  <c r="AE59" i="17"/>
  <c r="Z59" i="17"/>
  <c r="AA59" i="17"/>
  <c r="AD59" i="17"/>
  <c r="AF59" i="17"/>
  <c r="V59" i="17"/>
  <c r="X59" i="17"/>
  <c r="Y59" i="17"/>
  <c r="AB59" i="17"/>
  <c r="AC59" i="17"/>
  <c r="Y25" i="17"/>
  <c r="Z25" i="17"/>
  <c r="AB25" i="17"/>
  <c r="AC25" i="17"/>
  <c r="AE25" i="17"/>
  <c r="AF25" i="17"/>
  <c r="W25" i="17"/>
  <c r="V25" i="17"/>
  <c r="AA25" i="17"/>
  <c r="AD25" i="17"/>
  <c r="X25" i="17"/>
  <c r="E67" i="17"/>
  <c r="M67" i="17"/>
  <c r="G67" i="17"/>
  <c r="H67" i="17"/>
  <c r="I67" i="17"/>
  <c r="D67" i="17"/>
  <c r="F67" i="17"/>
  <c r="K67" i="17"/>
  <c r="L67" i="17"/>
  <c r="J67" i="17"/>
  <c r="N67" i="17"/>
  <c r="I63" i="17"/>
  <c r="K63" i="17"/>
  <c r="D63" i="17"/>
  <c r="L63" i="17"/>
  <c r="E63" i="17"/>
  <c r="M63" i="17"/>
  <c r="H63" i="17"/>
  <c r="J63" i="17"/>
  <c r="N63" i="17"/>
  <c r="F63" i="17"/>
  <c r="G63" i="17"/>
  <c r="AB58" i="17"/>
  <c r="W58" i="17"/>
  <c r="AE58" i="17"/>
  <c r="X58" i="17"/>
  <c r="AF58" i="17"/>
  <c r="AD58" i="17"/>
  <c r="V58" i="17"/>
  <c r="Y58" i="17"/>
  <c r="Z58" i="17"/>
  <c r="AA58" i="17"/>
  <c r="AC58" i="17"/>
  <c r="H68" i="17"/>
  <c r="J45" i="14" s="1"/>
  <c r="J68" i="17"/>
  <c r="L45" i="14" s="1"/>
  <c r="K68" i="17"/>
  <c r="M45" i="14" s="1"/>
  <c r="D68" i="17"/>
  <c r="F45" i="14" s="1"/>
  <c r="L68" i="17"/>
  <c r="N45" i="14" s="1"/>
  <c r="G68" i="17"/>
  <c r="I45" i="14" s="1"/>
  <c r="I68" i="17"/>
  <c r="K45" i="14" s="1"/>
  <c r="N68" i="17"/>
  <c r="P45" i="14" s="1"/>
  <c r="M68" i="17"/>
  <c r="O45" i="14" s="1"/>
  <c r="E68" i="17"/>
  <c r="G45" i="14" s="1"/>
  <c r="F68" i="17"/>
  <c r="H45" i="14" s="1"/>
  <c r="G57" i="17"/>
  <c r="I57" i="17"/>
  <c r="J57" i="17"/>
  <c r="K57" i="17"/>
  <c r="F57" i="17"/>
  <c r="H57" i="17"/>
  <c r="M57" i="17"/>
  <c r="N57" i="17"/>
  <c r="D57" i="17"/>
  <c r="E57" i="17"/>
  <c r="L57" i="17"/>
  <c r="F54" i="17"/>
  <c r="N54" i="17"/>
  <c r="H54" i="17"/>
  <c r="I54" i="17"/>
  <c r="J54" i="17"/>
  <c r="M54" i="17"/>
  <c r="D54" i="17"/>
  <c r="E54" i="17"/>
  <c r="G54" i="17"/>
  <c r="K54" i="17"/>
  <c r="L54" i="17"/>
  <c r="X62" i="17"/>
  <c r="AF62" i="17"/>
  <c r="AA62" i="17"/>
  <c r="AB62" i="17"/>
  <c r="AD62" i="17"/>
  <c r="AE62" i="17"/>
  <c r="V62" i="17"/>
  <c r="W62" i="17"/>
  <c r="Y62" i="17"/>
  <c r="Z62" i="17"/>
  <c r="AC62" i="17"/>
  <c r="J66" i="17"/>
  <c r="D66" i="17"/>
  <c r="L66" i="17"/>
  <c r="E66" i="17"/>
  <c r="M66" i="17"/>
  <c r="F66" i="17"/>
  <c r="N66" i="17"/>
  <c r="H66" i="17"/>
  <c r="I66" i="17"/>
  <c r="G66" i="17"/>
  <c r="K66" i="17"/>
  <c r="Z60" i="17"/>
  <c r="AC60" i="17"/>
  <c r="V60" i="17"/>
  <c r="AD60" i="17"/>
  <c r="AE60" i="17"/>
  <c r="AF60" i="17"/>
  <c r="W60" i="17"/>
  <c r="X60" i="17"/>
  <c r="Y60" i="17"/>
  <c r="AA60" i="17"/>
  <c r="AB60" i="17"/>
  <c r="AB50" i="17"/>
  <c r="V50" i="17"/>
  <c r="AD50" i="17"/>
  <c r="W50" i="17"/>
  <c r="AE50" i="17"/>
  <c r="X50" i="17"/>
  <c r="AF50" i="17"/>
  <c r="AA50" i="17"/>
  <c r="AC50" i="17"/>
  <c r="Y50" i="17"/>
  <c r="Z50" i="17"/>
  <c r="Z68" i="17"/>
  <c r="AC68" i="17"/>
  <c r="V68" i="17"/>
  <c r="AD68" i="17"/>
  <c r="AB68" i="17"/>
  <c r="AE68" i="17"/>
  <c r="W68" i="17"/>
  <c r="X68" i="17"/>
  <c r="Y68" i="17"/>
  <c r="AA68" i="17"/>
  <c r="AF68" i="17"/>
  <c r="AC34" i="17"/>
  <c r="AD34" i="17"/>
  <c r="X34" i="17"/>
  <c r="AF34" i="17"/>
  <c r="V34" i="17"/>
  <c r="Y34" i="17"/>
  <c r="W34" i="17"/>
  <c r="Z34" i="17"/>
  <c r="AA34" i="17"/>
  <c r="AE34" i="17"/>
  <c r="AB34" i="17"/>
  <c r="D48" i="17"/>
  <c r="L48" i="17"/>
  <c r="F48" i="17"/>
  <c r="N48" i="17"/>
  <c r="G48" i="17"/>
  <c r="H48" i="17"/>
  <c r="K48" i="17"/>
  <c r="M48" i="17"/>
  <c r="E48" i="17"/>
  <c r="J48" i="17"/>
  <c r="I48" i="17"/>
  <c r="AB66" i="17"/>
  <c r="W66" i="17"/>
  <c r="AE66" i="17"/>
  <c r="X66" i="17"/>
  <c r="AF66" i="17"/>
  <c r="AC66" i="17"/>
  <c r="AD66" i="17"/>
  <c r="V66" i="17"/>
  <c r="Y66" i="17"/>
  <c r="Z66" i="17"/>
  <c r="AA66" i="17"/>
  <c r="Y57" i="17"/>
  <c r="AB57" i="17"/>
  <c r="AC57" i="17"/>
  <c r="AE57" i="17"/>
  <c r="AF57" i="17"/>
  <c r="W57" i="17"/>
  <c r="X57" i="17"/>
  <c r="V57" i="17"/>
  <c r="Z57" i="17"/>
  <c r="AA57" i="17"/>
  <c r="AD57" i="17"/>
  <c r="G49" i="17"/>
  <c r="I49" i="17"/>
  <c r="J49" i="17"/>
  <c r="K49" i="17"/>
  <c r="N49" i="17"/>
  <c r="E49" i="17"/>
  <c r="F49" i="17"/>
  <c r="D49" i="17"/>
  <c r="H49" i="17"/>
  <c r="L49" i="17"/>
  <c r="M49" i="17"/>
  <c r="AC30" i="17"/>
  <c r="AD30" i="17"/>
  <c r="X30" i="17"/>
  <c r="AF30" i="17"/>
  <c r="Y30" i="17"/>
  <c r="W30" i="17"/>
  <c r="Z30" i="17"/>
  <c r="AA30" i="17"/>
  <c r="V30" i="17"/>
  <c r="AB30" i="17"/>
  <c r="AE30" i="17"/>
  <c r="AA63" i="17"/>
  <c r="V63" i="17"/>
  <c r="AD63" i="17"/>
  <c r="W63" i="17"/>
  <c r="AE63" i="17"/>
  <c r="AC63" i="17"/>
  <c r="AF63" i="17"/>
  <c r="X63" i="17"/>
  <c r="Y63" i="17"/>
  <c r="Z63" i="17"/>
  <c r="AB63" i="17"/>
  <c r="V48" i="17"/>
  <c r="AD48" i="17"/>
  <c r="X48" i="17"/>
  <c r="Y48" i="17"/>
  <c r="Z48" i="17"/>
  <c r="W48" i="17"/>
  <c r="AB48" i="17"/>
  <c r="AC48" i="17"/>
  <c r="AA48" i="17"/>
  <c r="AE48" i="17"/>
</calcChain>
</file>

<file path=xl/connections.xml><?xml version="1.0" encoding="utf-8"?>
<connections xmlns="http://schemas.openxmlformats.org/spreadsheetml/2006/main">
  <connection id="1" name="LoanLevelQuery" type="1" refreshedVersion="4" savePassword="1" saveData="1">
    <dbPr connection="DSN=Agency" command="exec CRT_SurveillanceReports_CollateralSummary_FNMA"/>
  </connection>
  <connection id="2" name="LoanLevelQuery1" type="1" refreshedVersion="4" savePassword="1" saveData="1">
    <dbPr connection="DSN=Agency" command="exec CRT_SurveillanceReports_PerformanceSummary_FNMA"/>
  </connection>
  <connection id="3" name="LoanLevelQuery2" type="1" refreshedVersion="4" savePassword="1" saveData="1">
    <dbPr connection="DSN=Agency" command="select BloombergDealName,BloombergBondName,YBName,Cusip,PricingDate,RefPoolId, groupID FROM fnm.Cello_CRTDealPoolMapping"/>
  </connection>
</connections>
</file>

<file path=xl/sharedStrings.xml><?xml version="1.0" encoding="utf-8"?>
<sst xmlns="http://schemas.openxmlformats.org/spreadsheetml/2006/main" count="705" uniqueCount="233">
  <si>
    <t>Database Env</t>
  </si>
  <si>
    <t>Save Data to DB</t>
  </si>
  <si>
    <t>As of Date</t>
  </si>
  <si>
    <t>Report Name</t>
  </si>
  <si>
    <t>No</t>
  </si>
  <si>
    <t>Report Folder</t>
  </si>
  <si>
    <t>PROD</t>
  </si>
  <si>
    <t>CPR %</t>
  </si>
  <si>
    <t>CDR %</t>
  </si>
  <si>
    <t>Sum of CPR</t>
  </si>
  <si>
    <t>Column Labels</t>
  </si>
  <si>
    <t>Row Labels</t>
  </si>
  <si>
    <t>DealID</t>
  </si>
  <si>
    <t>beginDate</t>
  </si>
  <si>
    <t>CPR</t>
  </si>
  <si>
    <t>CDR</t>
  </si>
  <si>
    <t>pct_dq</t>
  </si>
  <si>
    <t>cum_pp_pct</t>
  </si>
  <si>
    <t>cum_df_pct</t>
  </si>
  <si>
    <t>Cumulative Default Rate %</t>
  </si>
  <si>
    <t>Delinquency %</t>
  </si>
  <si>
    <t>CurrentLoanCount</t>
  </si>
  <si>
    <t>CurrentBalance</t>
  </si>
  <si>
    <t>OriginalBalance</t>
  </si>
  <si>
    <t>loanCount</t>
  </si>
  <si>
    <t>currentBalance</t>
  </si>
  <si>
    <t>prepaymentBalance</t>
  </si>
  <si>
    <t>defaultBalance</t>
  </si>
  <si>
    <t>cum_prepayment</t>
  </si>
  <si>
    <t>cum_default</t>
  </si>
  <si>
    <t>lateNPL</t>
  </si>
  <si>
    <t xml:space="preserve"> CurrentLoanCount </t>
  </si>
  <si>
    <t>DealName</t>
  </si>
  <si>
    <t>RefPoolId</t>
  </si>
  <si>
    <t>wavg_loanAge</t>
  </si>
  <si>
    <t>wavg_origNoteRate</t>
  </si>
  <si>
    <t>wavg_currentNoteRate</t>
  </si>
  <si>
    <t>wavg_origLTV</t>
  </si>
  <si>
    <t>wavg_origCLTV</t>
  </si>
  <si>
    <t>wavg_currentLTV</t>
  </si>
  <si>
    <t>wavg_origDTI</t>
  </si>
  <si>
    <t>wavg_origFICO</t>
  </si>
  <si>
    <t>wavg_origLoanSize</t>
  </si>
  <si>
    <t>pct_mi</t>
  </si>
  <si>
    <t>pct_2nd</t>
  </si>
  <si>
    <t>pct_firstTimeHomeBuyer</t>
  </si>
  <si>
    <t>pct_multiple_borrowers</t>
  </si>
  <si>
    <t>pct_multiple_units</t>
  </si>
  <si>
    <t>pct_sfr</t>
  </si>
  <si>
    <t>pct_owner</t>
  </si>
  <si>
    <t>pct_purchase</t>
  </si>
  <si>
    <t>pct_broker</t>
  </si>
  <si>
    <t>pct_current</t>
  </si>
  <si>
    <t>pct_delinquent</t>
  </si>
  <si>
    <t>pct_APL</t>
  </si>
  <si>
    <t>pct_RPL</t>
  </si>
  <si>
    <t>pct_earlyNPL</t>
  </si>
  <si>
    <t>pct_lateNPL</t>
  </si>
  <si>
    <t>pct_modified</t>
  </si>
  <si>
    <t>STACR 2015-HQ2</t>
  </si>
  <si>
    <t>smm</t>
  </si>
  <si>
    <t>mdr</t>
  </si>
  <si>
    <t>Current Balance (M)</t>
  </si>
  <si>
    <t>Original Balance (M)</t>
  </si>
  <si>
    <t xml:space="preserve">Loan Age </t>
  </si>
  <si>
    <t xml:space="preserve">Orig Note Rate </t>
  </si>
  <si>
    <t xml:space="preserve">Current Note Rate </t>
  </si>
  <si>
    <t xml:space="preserve">Orig LTV </t>
  </si>
  <si>
    <t xml:space="preserve">Current LTV </t>
  </si>
  <si>
    <t xml:space="preserve">Orig DTI </t>
  </si>
  <si>
    <t xml:space="preserve">Orig FICO </t>
  </si>
  <si>
    <t xml:space="preserve">Orig Loan Size </t>
  </si>
  <si>
    <t>First Time Home Buyer</t>
  </si>
  <si>
    <t>Multiple Borrowers</t>
  </si>
  <si>
    <t>Multiple Units</t>
  </si>
  <si>
    <t>Single Family Residence</t>
  </si>
  <si>
    <t>Owner</t>
  </si>
  <si>
    <t>Purchase</t>
  </si>
  <si>
    <t>Broker</t>
  </si>
  <si>
    <t>Current</t>
  </si>
  <si>
    <t>Delinquent</t>
  </si>
  <si>
    <t>Current Month</t>
  </si>
  <si>
    <t>Cum_DF100</t>
  </si>
  <si>
    <t>DLQ100</t>
  </si>
  <si>
    <t>Sum of DLQ100</t>
  </si>
  <si>
    <t>Sum of Cum_DF100</t>
  </si>
  <si>
    <t>Cumulative Default</t>
  </si>
  <si>
    <t>Close Date:</t>
  </si>
  <si>
    <t>S:\IT\Production\Monthly Reports\CRT Surveillance Report\tmp</t>
  </si>
  <si>
    <t>Date</t>
  </si>
  <si>
    <t>Loan Characteristics</t>
  </si>
  <si>
    <t>Borrower Characteristics</t>
  </si>
  <si>
    <t>Property Characteristics</t>
  </si>
  <si>
    <t>Performance</t>
  </si>
  <si>
    <t>Mortgage Insurance</t>
  </si>
  <si>
    <t>Re-Performing Loan</t>
  </si>
  <si>
    <t>Early Non-Performing Loan</t>
  </si>
  <si>
    <t>1m CPR</t>
  </si>
  <si>
    <t>1m CDR</t>
  </si>
  <si>
    <t>* Always Performing Loan: Never missed a payment</t>
  </si>
  <si>
    <t xml:space="preserve">   Re-Performing Loan: Current, but has missed one or more payments in the past</t>
  </si>
  <si>
    <t xml:space="preserve">   Early Non-Performing Loan: Delinquent by one or two payments</t>
  </si>
  <si>
    <t>Always Performing Loan*</t>
  </si>
  <si>
    <t>2nd Lien Present</t>
  </si>
  <si>
    <t>BloombergDealName</t>
  </si>
  <si>
    <t>BloombergBondName</t>
  </si>
  <si>
    <t>YBName</t>
  </si>
  <si>
    <t>Cusip</t>
  </si>
  <si>
    <t>PricingDate</t>
  </si>
  <si>
    <t>Pricing Date</t>
  </si>
  <si>
    <t>groupID</t>
  </si>
  <si>
    <t>CAS 2013-C01</t>
  </si>
  <si>
    <t>CAS 2013-C01 M1</t>
  </si>
  <si>
    <t>CAS13.C01(M1)</t>
  </si>
  <si>
    <t>30711XAA2</t>
  </si>
  <si>
    <t>1372</t>
  </si>
  <si>
    <t>CAS 2013-C01 M2</t>
  </si>
  <si>
    <t>CAS13.C01(M2)</t>
  </si>
  <si>
    <t>30711XAB0</t>
  </si>
  <si>
    <t>CAS 2014-C01</t>
  </si>
  <si>
    <t>CAS 2014-C01 M1</t>
  </si>
  <si>
    <t>CAS14.C01(M1)</t>
  </si>
  <si>
    <t>30711XAC8</t>
  </si>
  <si>
    <t>1378</t>
  </si>
  <si>
    <t>CAS 2014-C01 M2</t>
  </si>
  <si>
    <t>CAS14.C01(M2)</t>
  </si>
  <si>
    <t>30711XAD6</t>
  </si>
  <si>
    <t>CAS 2014-C02</t>
  </si>
  <si>
    <t>CAS 2014-C02 1M1</t>
  </si>
  <si>
    <t>CAS14.C02(IM1)</t>
  </si>
  <si>
    <t>30711XAE4</t>
  </si>
  <si>
    <t>1383</t>
  </si>
  <si>
    <t>CAS 2014-C02 1M2</t>
  </si>
  <si>
    <t>CAS14.C02(IM2)</t>
  </si>
  <si>
    <t>30711XAF1</t>
  </si>
  <si>
    <t>CAS 2014-C02 2M1</t>
  </si>
  <si>
    <t>CAS14.C02(IIM1)</t>
  </si>
  <si>
    <t>30711XAG9</t>
  </si>
  <si>
    <t>1384</t>
  </si>
  <si>
    <t>CAS 2014-C02 2M2</t>
  </si>
  <si>
    <t>CAS14.C02(IIM2)</t>
  </si>
  <si>
    <t>30711XAH7</t>
  </si>
  <si>
    <t>CAS 2014-C03</t>
  </si>
  <si>
    <t>CAS 2014-C03 1M1</t>
  </si>
  <si>
    <t>CAS14.C03(IM1)</t>
  </si>
  <si>
    <t>30711XAJ3</t>
  </si>
  <si>
    <t>1387</t>
  </si>
  <si>
    <t>CAS 2014-C03 1M2</t>
  </si>
  <si>
    <t>CAS14.C03(IM2)</t>
  </si>
  <si>
    <t>30711XAK0</t>
  </si>
  <si>
    <t>CAS 2014-C03 2M1</t>
  </si>
  <si>
    <t>CAS14.C03(IIM1)</t>
  </si>
  <si>
    <t>30711XAL8</t>
  </si>
  <si>
    <t>1388</t>
  </si>
  <si>
    <t>CAS 2014-C03 2M2</t>
  </si>
  <si>
    <t>CAS14.C03(IIM2)</t>
  </si>
  <si>
    <t>30711XAM6</t>
  </si>
  <si>
    <t>CAS 2014-C04</t>
  </si>
  <si>
    <t>CAS 2014-C04 1M1</t>
  </si>
  <si>
    <t>CAS14.C04(IM1)</t>
  </si>
  <si>
    <t>30711XAN4</t>
  </si>
  <si>
    <t>1392</t>
  </si>
  <si>
    <t>CAS 2014-C04 1M2</t>
  </si>
  <si>
    <t>CAS14.C04(IM2)</t>
  </si>
  <si>
    <t>30711XAP9</t>
  </si>
  <si>
    <t>CAS 2014-C04 2M1</t>
  </si>
  <si>
    <t>CAS14.C04(IIM1)</t>
  </si>
  <si>
    <t>30711XAQ7</t>
  </si>
  <si>
    <t>1393</t>
  </si>
  <si>
    <t>CAS 2014-C04 2M2</t>
  </si>
  <si>
    <t>CAS14.C04(IIM2)</t>
  </si>
  <si>
    <t>30711XAR5</t>
  </si>
  <si>
    <t>CAS 2015-C01</t>
  </si>
  <si>
    <t>CAS 2015-C01 1M1</t>
  </si>
  <si>
    <t>CAS15.C01(IM1)</t>
  </si>
  <si>
    <t>30711XAS3</t>
  </si>
  <si>
    <t>1397</t>
  </si>
  <si>
    <t>CAS 2015-C01 1M2</t>
  </si>
  <si>
    <t>CAS15.C01(IM2)</t>
  </si>
  <si>
    <t>30711XAT1</t>
  </si>
  <si>
    <t>CAS 2015-C01 2M1</t>
  </si>
  <si>
    <t>CAS15.C01(IIM1)</t>
  </si>
  <si>
    <t>30711XAU8</t>
  </si>
  <si>
    <t>1398</t>
  </si>
  <si>
    <t>CAS 2015-C01 2M2</t>
  </si>
  <si>
    <t>CAS15.C01(IIM2)</t>
  </si>
  <si>
    <t>30711XAV6</t>
  </si>
  <si>
    <t>CAS 2015-C02</t>
  </si>
  <si>
    <t>CAS 2015-C02 1M1</t>
  </si>
  <si>
    <t>CAS15.C02(IM1)</t>
  </si>
  <si>
    <t>30711XAW4</t>
  </si>
  <si>
    <t>1399</t>
  </si>
  <si>
    <t>CAS 2015-C02 1M2</t>
  </si>
  <si>
    <t>CAS15.C02(IM2)</t>
  </si>
  <si>
    <t>30711XAX2</t>
  </si>
  <si>
    <t>CAS 2015-C02 2M1</t>
  </si>
  <si>
    <t>CAS15.C02(IIM1)</t>
  </si>
  <si>
    <t>30711XAY0</t>
  </si>
  <si>
    <t>1400</t>
  </si>
  <si>
    <t>CAS 2015-C02 2M2</t>
  </si>
  <si>
    <t>CAS15.C02(IIM2)</t>
  </si>
  <si>
    <t>30711XAZ7</t>
  </si>
  <si>
    <t>CAS 2015-C03</t>
  </si>
  <si>
    <t>CAS 2015-C03 1M1</t>
  </si>
  <si>
    <t>CAS15.C03(IM1)</t>
  </si>
  <si>
    <t>30711XBA1</t>
  </si>
  <si>
    <t>CAS 2015-C03 1M2</t>
  </si>
  <si>
    <t>CAS15.C03(IM2)</t>
  </si>
  <si>
    <t>30711XBB9</t>
  </si>
  <si>
    <t>CAS 2015-C03 2M1</t>
  </si>
  <si>
    <t>CAS15.C03(IIM1)</t>
  </si>
  <si>
    <t>30711XBC7</t>
  </si>
  <si>
    <t>CAS 2015-C03 2M2</t>
  </si>
  <si>
    <t>CAS15.C03(IIM2)</t>
  </si>
  <si>
    <t>30711XBD5</t>
  </si>
  <si>
    <t>BloombergDealName2</t>
  </si>
  <si>
    <t>Group Number</t>
  </si>
  <si>
    <t>GroupId</t>
  </si>
  <si>
    <t>factorDate</t>
  </si>
  <si>
    <t>wavg_currLoanSize</t>
  </si>
  <si>
    <t>pct_second</t>
  </si>
  <si>
    <t>pct_pud</t>
  </si>
  <si>
    <t>pct_condo</t>
  </si>
  <si>
    <t>pct_mh</t>
  </si>
  <si>
    <t>pct_coop</t>
  </si>
  <si>
    <t>pct_inv</t>
  </si>
  <si>
    <t>pct_refi_nco</t>
  </si>
  <si>
    <t>pct_refi_co</t>
  </si>
  <si>
    <t>pct_retail</t>
  </si>
  <si>
    <t>pct_corres</t>
  </si>
  <si>
    <t>1404</t>
  </si>
  <si>
    <t>1405</t>
  </si>
  <si>
    <t>partialCurtailment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</si>
</sst>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8">
    <numFmt numFmtId="5" formatCode="&quot;$&quot;#,##0_);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\£\ #,##0_);[Red]\(\£\ #,##0\)"/>
    <numFmt numFmtId="166" formatCode="\¥\ #,##0_);[Red]\(\¥\ #,##0\)"/>
    <numFmt numFmtId="167" formatCode="\•\ \ @"/>
    <numFmt numFmtId="168" formatCode="_(&quot;$&quot;* #,##0_);_(&quot;$&quot;* \(#,##0.0\);_(&quot;$&quot;* &quot;-&quot;??_);_(@_)"/>
    <numFmt numFmtId="169" formatCode="&quot;$&quot;#,##0.000"/>
    <numFmt numFmtId="170" formatCode="&quot;$&quot;#,##0.000000_);\(&quot;$&quot;#,##0.000000\)"/>
    <numFmt numFmtId="171" formatCode="#,##0.0_);[Red]\(&quot;$&quot;#,##0.0\)"/>
    <numFmt numFmtId="172" formatCode="0.000_)"/>
    <numFmt numFmtId="173" formatCode="\ \ _•\–\ \ \ \ @"/>
    <numFmt numFmtId="174" formatCode="0.00&quot;%&quot;"/>
    <numFmt numFmtId="175" formatCode="0&quot;%&quot;"/>
    <numFmt numFmtId="176" formatCode="mmmm\ d\,\ yyyy"/>
    <numFmt numFmtId="177" formatCode="0.000"/>
    <numFmt numFmtId="178" formatCode="0.0000000"/>
    <numFmt numFmtId="179" formatCode="_([$€-2]* #,##0.00_);_([$€-2]* \(#,##0.00\);_([$€-2]* &quot;-&quot;??_)"/>
    <numFmt numFmtId="180" formatCode="dd\-mmm\-yy\ hh:mm:ss"/>
    <numFmt numFmtId="181" formatCode="0.00_)"/>
    <numFmt numFmtId="182" formatCode="0.0#\%;\-0.0#\%"/>
    <numFmt numFmtId="183" formatCode="#,##0.0\ ;\(#,##0.0\)"/>
    <numFmt numFmtId="184" formatCode="#,##0\ \ \ ;\(#,##0\)\ \ "/>
    <numFmt numFmtId="185" formatCode="0.0000_)"/>
    <numFmt numFmtId="186" formatCode="0.000;\-0.000"/>
    <numFmt numFmtId="187" formatCode="0.00;\-0.00"/>
    <numFmt numFmtId="188" formatCode="#,##0.0_);\(#,##0.0\)"/>
    <numFmt numFmtId="189" formatCode="mm/dd/yy"/>
    <numFmt numFmtId="190" formatCode="#,###\ &quot;Months&quot;"/>
    <numFmt numFmtId="191" formatCode="##########.###"/>
    <numFmt numFmtId="192" formatCode="0.0#%"/>
    <numFmt numFmtId="193" formatCode="0.0;\-0.0"/>
    <numFmt numFmtId="194" formatCode="_(* #,##0_);_(* \(#,##0\);_(* &quot;-&quot;??_);_(@_)"/>
    <numFmt numFmtId="195" formatCode="_(* #,##0.0_);_(* \(#,##0.0\);_(* &quot;-&quot;??_);_(@_)"/>
    <numFmt numFmtId="196" formatCode="0.0%"/>
    <numFmt numFmtId="197" formatCode="m/yyyy"/>
  </numFmts>
  <fonts count="13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4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  <font>
      <sz val="12"/>
      <name val="Times New Roman"/>
      <family val="1"/>
    </font>
    <font>
      <sz val="10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indexed="9"/>
      <name val="Calibri"/>
      <family val="2"/>
    </font>
    <font>
      <sz val="10"/>
      <color indexed="9"/>
      <name val="Arial"/>
      <family val="2"/>
    </font>
    <font>
      <sz val="11"/>
      <color indexed="9"/>
      <name val="Calibri"/>
      <family val="2"/>
    </font>
    <font>
      <sz val="10"/>
      <color indexed="20"/>
      <name val="Calibri"/>
      <family val="2"/>
    </font>
    <font>
      <sz val="10"/>
      <color indexed="10"/>
      <name val="Arial"/>
      <family val="2"/>
    </font>
    <font>
      <sz val="11"/>
      <color indexed="20"/>
      <name val="Calibri"/>
      <family val="2"/>
    </font>
    <font>
      <b/>
      <sz val="10"/>
      <color indexed="8"/>
      <name val="Arial"/>
      <family val="2"/>
    </font>
    <font>
      <sz val="8"/>
      <color indexed="12"/>
      <name val="Tms Rmn"/>
    </font>
    <font>
      <b/>
      <sz val="8"/>
      <color indexed="9"/>
      <name val="Arial"/>
      <family val="2"/>
    </font>
    <font>
      <b/>
      <sz val="9"/>
      <color indexed="12"/>
      <name val="Arial"/>
      <family val="2"/>
    </font>
    <font>
      <sz val="12"/>
      <name val="Tms Rmn"/>
    </font>
    <font>
      <b/>
      <sz val="12"/>
      <name val="Times New Roman"/>
      <family val="1"/>
    </font>
    <font>
      <sz val="9"/>
      <name val="Arial"/>
      <family val="2"/>
    </font>
    <font>
      <sz val="10"/>
      <name val="Century Schoolbook"/>
      <family val="1"/>
    </font>
    <font>
      <b/>
      <sz val="10"/>
      <color indexed="52"/>
      <name val="Calibri"/>
      <family val="2"/>
    </font>
    <font>
      <b/>
      <sz val="10"/>
      <color indexed="52"/>
      <name val="Arial"/>
      <family val="2"/>
    </font>
    <font>
      <b/>
      <sz val="11"/>
      <color indexed="52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sz val="10"/>
      <color rgb="FFFA7D00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0"/>
      <color indexed="9"/>
      <name val="Calibri"/>
      <family val="2"/>
    </font>
    <font>
      <b/>
      <sz val="10"/>
      <color indexed="9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1"/>
      <name val="Tms Rmn"/>
      <family val="1"/>
    </font>
    <font>
      <sz val="11"/>
      <name val="Tms Rmn"/>
    </font>
    <font>
      <sz val="10"/>
      <name val="Helv"/>
    </font>
    <font>
      <sz val="10"/>
      <name val="MS Serif"/>
      <family val="1"/>
    </font>
    <font>
      <b/>
      <sz val="8"/>
      <name val="Arial"/>
      <family val="2"/>
    </font>
    <font>
      <sz val="11"/>
      <color indexed="12"/>
      <name val="Book Antiqua"/>
      <family val="1"/>
    </font>
    <font>
      <sz val="10"/>
      <name val="Times New Roman"/>
      <family val="1"/>
    </font>
    <font>
      <b/>
      <sz val="10"/>
      <name val="Arial"/>
      <family val="2"/>
    </font>
    <font>
      <b/>
      <i/>
      <sz val="10"/>
      <name val="Arial"/>
      <family val="2"/>
    </font>
    <font>
      <sz val="10"/>
      <name val="MS Sans Serif"/>
      <family val="2"/>
    </font>
    <font>
      <sz val="10"/>
      <color indexed="16"/>
      <name val="MS Serif"/>
      <family val="1"/>
    </font>
    <font>
      <b/>
      <sz val="9.5"/>
      <color indexed="10"/>
      <name val="Arial"/>
      <family val="2"/>
    </font>
    <font>
      <i/>
      <sz val="10"/>
      <color indexed="23"/>
      <name val="Calibri"/>
      <family val="2"/>
    </font>
    <font>
      <i/>
      <sz val="10"/>
      <color indexed="23"/>
      <name val="Arial"/>
      <family val="2"/>
    </font>
    <font>
      <i/>
      <sz val="11"/>
      <color indexed="23"/>
      <name val="Calibri"/>
      <family val="2"/>
    </font>
    <font>
      <sz val="10"/>
      <color indexed="17"/>
      <name val="Calibri"/>
      <family val="2"/>
    </font>
    <font>
      <sz val="10"/>
      <color indexed="17"/>
      <name val="Arial"/>
      <family val="2"/>
    </font>
    <font>
      <sz val="11"/>
      <color indexed="17"/>
      <name val="Calibri"/>
      <family val="2"/>
    </font>
    <font>
      <b/>
      <sz val="9"/>
      <color indexed="23"/>
      <name val="Arial"/>
      <family val="2"/>
    </font>
    <font>
      <b/>
      <sz val="12"/>
      <name val="Arial"/>
      <family val="2"/>
    </font>
    <font>
      <b/>
      <sz val="11"/>
      <name val="Book Antiqua"/>
      <family val="1"/>
    </font>
    <font>
      <b/>
      <sz val="15"/>
      <color indexed="62"/>
      <name val="Calibri"/>
      <family val="2"/>
    </font>
    <font>
      <b/>
      <sz val="15"/>
      <color indexed="56"/>
      <name val="Arial"/>
      <family val="2"/>
    </font>
    <font>
      <b/>
      <sz val="10"/>
      <name val="Times New Roman"/>
      <family val="1"/>
    </font>
    <font>
      <b/>
      <sz val="18"/>
      <name val="Arial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Arial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Arial"/>
      <family val="2"/>
    </font>
    <font>
      <b/>
      <sz val="11"/>
      <color indexed="56"/>
      <name val="Calibri"/>
      <family val="2"/>
    </font>
    <font>
      <b/>
      <sz val="16"/>
      <color indexed="8"/>
      <name val="Arial"/>
      <family val="2"/>
    </font>
    <font>
      <u/>
      <sz val="9"/>
      <color theme="10"/>
      <name val="Arial"/>
      <family val="2"/>
    </font>
    <font>
      <sz val="10"/>
      <color indexed="12"/>
      <name val="MS Sans Serif"/>
      <family val="2"/>
    </font>
    <font>
      <sz val="10"/>
      <color indexed="56"/>
      <name val="Arial"/>
      <family val="2"/>
    </font>
    <font>
      <sz val="10"/>
      <color indexed="12"/>
      <name val="Arial"/>
      <family val="2"/>
    </font>
    <font>
      <b/>
      <sz val="10"/>
      <name val="Book Antiqua"/>
      <family val="1"/>
    </font>
    <font>
      <sz val="10"/>
      <color indexed="52"/>
      <name val="Calibri"/>
      <family val="2"/>
    </font>
    <font>
      <sz val="10"/>
      <color indexed="52"/>
      <name val="Arial"/>
      <family val="2"/>
    </font>
    <font>
      <sz val="11"/>
      <color indexed="52"/>
      <name val="Calibri"/>
      <family val="2"/>
    </font>
    <font>
      <sz val="10"/>
      <color indexed="60"/>
      <name val="Calibri"/>
      <family val="2"/>
    </font>
    <font>
      <sz val="10"/>
      <color indexed="60"/>
      <name val="Arial"/>
      <family val="2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16"/>
      <name val="Helv"/>
    </font>
    <font>
      <sz val="9"/>
      <color theme="1"/>
      <name val="Arial"/>
      <family val="2"/>
    </font>
    <font>
      <b/>
      <sz val="11"/>
      <name val="Arial"/>
      <family val="2"/>
    </font>
    <font>
      <b/>
      <i/>
      <sz val="8"/>
      <name val="Book Antiqua"/>
      <family val="1"/>
    </font>
    <font>
      <sz val="10"/>
      <name val="Book Antiqua"/>
      <family val="1"/>
    </font>
    <font>
      <b/>
      <sz val="9"/>
      <color indexed="52"/>
      <name val="Arial"/>
      <family val="2"/>
    </font>
    <font>
      <b/>
      <sz val="10"/>
      <color indexed="63"/>
      <name val="Calibri"/>
      <family val="2"/>
    </font>
    <font>
      <b/>
      <sz val="10"/>
      <color indexed="63"/>
      <name val="Arial"/>
      <family val="2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9"/>
      <name val="Times New Roman"/>
      <family val="1"/>
    </font>
    <font>
      <b/>
      <sz val="9"/>
      <name val="Arial"/>
      <family val="2"/>
    </font>
    <font>
      <b/>
      <sz val="10"/>
      <color indexed="8"/>
      <name val="Arial Narrow"/>
      <family val="2"/>
    </font>
    <font>
      <b/>
      <sz val="10"/>
      <name val="MS Sans Serif"/>
      <family val="2"/>
    </font>
    <font>
      <sz val="8"/>
      <name val="Helv"/>
    </font>
    <font>
      <b/>
      <sz val="14"/>
      <name val="Arial Narrow"/>
      <family val="2"/>
    </font>
    <font>
      <sz val="9"/>
      <color indexed="10"/>
      <name val="Arial"/>
      <family val="2"/>
    </font>
    <font>
      <sz val="9"/>
      <color indexed="8"/>
      <name val="Times New Roman"/>
      <family val="1"/>
    </font>
    <font>
      <b/>
      <sz val="8"/>
      <color indexed="12"/>
      <name val="Arial"/>
      <family val="2"/>
    </font>
    <font>
      <b/>
      <sz val="8"/>
      <color indexed="8"/>
      <name val="Helv"/>
    </font>
    <font>
      <b/>
      <i/>
      <sz val="9"/>
      <name val="Arial"/>
      <family val="2"/>
    </font>
    <font>
      <sz val="9"/>
      <color indexed="9"/>
      <name val="Arial"/>
      <family val="2"/>
    </font>
    <font>
      <b/>
      <u/>
      <sz val="8"/>
      <name val="Arial"/>
      <family val="2"/>
    </font>
    <font>
      <sz val="8"/>
      <name val="Book Antiqua"/>
      <family val="1"/>
    </font>
    <font>
      <sz val="10"/>
      <name val="Courier New"/>
      <family val="3"/>
    </font>
    <font>
      <sz val="10"/>
      <color indexed="12"/>
      <name val="Courier New"/>
      <family val="3"/>
    </font>
    <font>
      <b/>
      <u/>
      <sz val="9"/>
      <name val="Arial"/>
      <family val="2"/>
    </font>
    <font>
      <b/>
      <sz val="18"/>
      <color indexed="62"/>
      <name val="Cambria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10"/>
      <name val="Arial"/>
      <family val="2"/>
    </font>
    <font>
      <sz val="10"/>
      <color indexed="10"/>
      <name val="Calibri"/>
      <family val="2"/>
    </font>
    <font>
      <sz val="10"/>
      <color indexed="53"/>
      <name val="Arial"/>
      <family val="2"/>
    </font>
    <font>
      <sz val="11"/>
      <color indexed="10"/>
      <name val="Calibri"/>
      <family val="2"/>
    </font>
    <font>
      <sz val="10"/>
      <color theme="6" tint="-0.24994659260841701"/>
      <name val="Calibri"/>
      <family val="2"/>
      <scheme val="minor"/>
    </font>
    <font>
      <sz val="11"/>
      <color theme="5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7" tint="-0.24994659260841701"/>
      <name val="Calibri"/>
      <family val="2"/>
      <scheme val="minor"/>
    </font>
    <font>
      <sz val="11"/>
      <color theme="6" tint="-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C00000"/>
      <name val="Calibri"/>
      <family val="2"/>
      <scheme val="minor"/>
    </font>
  </fonts>
  <fills count="63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6F9FC"/>
        <bgColor indexed="64"/>
      </patternFill>
    </fill>
    <fill>
      <patternFill patternType="solid">
        <fgColor rgb="FFEFEBE4"/>
        <bgColor indexed="64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13"/>
      </patternFill>
    </fill>
    <fill>
      <patternFill patternType="solid">
        <fgColor indexed="22"/>
      </patternFill>
    </fill>
    <fill>
      <patternFill patternType="solid">
        <fgColor indexed="40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15"/>
      </patternFill>
    </fill>
    <fill>
      <patternFill patternType="solid">
        <fgColor indexed="30"/>
      </patternFill>
    </fill>
    <fill>
      <patternFill patternType="solid">
        <fgColor indexed="18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19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8"/>
      </patternFill>
    </fill>
    <fill>
      <patternFill patternType="solid">
        <fgColor rgb="FFEFF3E5"/>
        <bgColor indexed="64"/>
      </patternFill>
    </fill>
    <fill>
      <patternFill patternType="solid">
        <fgColor rgb="FFF2F1EA"/>
        <bgColor indexed="64"/>
      </patternFill>
    </fill>
    <fill>
      <patternFill patternType="solid">
        <fgColor rgb="FFE5F4F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2E398A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ACEEE"/>
        <bgColor indexed="64"/>
      </patternFill>
    </fill>
  </fills>
  <borders count="4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rgb="FF7F7F7F"/>
      </top>
      <bottom style="hair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hair">
        <color rgb="FF3F3F3F"/>
      </top>
      <bottom style="hair">
        <color rgb="FF3F3F3F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15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15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auto="1"/>
      </bottom>
      <diagonal/>
    </border>
  </borders>
  <cellStyleXfs count="527">
    <xf numFmtId="0" fontId="0" fillId="0" borderId="0"/>
    <xf numFmtId="0" fontId="6" fillId="5" borderId="4" applyNumberFormat="0"/>
    <xf numFmtId="0" fontId="8" fillId="0" borderId="0" applyNumberFormat="0" applyFill="0" applyBorder="0" applyAlignment="0" applyProtection="0">
      <alignment horizontal="left" wrapText="1"/>
    </xf>
    <xf numFmtId="0" fontId="8" fillId="0" borderId="0" applyNumberFormat="0" applyFill="0" applyBorder="0" applyAlignment="0" applyProtection="0">
      <alignment horizontal="left" wrapText="1"/>
    </xf>
    <xf numFmtId="0" fontId="8" fillId="0" borderId="0" applyNumberFormat="0" applyFill="0" applyBorder="0" applyAlignment="0" applyProtection="0">
      <alignment horizontal="left" wrapText="1"/>
    </xf>
    <xf numFmtId="0" fontId="8" fillId="0" borderId="0" applyNumberFormat="0" applyFill="0" applyBorder="0" applyAlignment="0" applyProtection="0">
      <alignment horizontal="left" wrapText="1"/>
    </xf>
    <xf numFmtId="165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10" fillId="7" borderId="0" applyNumberFormat="0" applyBorder="0" applyAlignment="0" applyProtection="0"/>
    <xf numFmtId="0" fontId="11" fillId="7" borderId="0" applyNumberFormat="0" applyBorder="0" applyAlignment="0" applyProtection="0"/>
    <xf numFmtId="0" fontId="12" fillId="8" borderId="0" applyNumberFormat="0" applyBorder="0" applyAlignment="0" applyProtection="0"/>
    <xf numFmtId="0" fontId="10" fillId="9" borderId="0" applyNumberFormat="0" applyBorder="0" applyAlignment="0" applyProtection="0"/>
    <xf numFmtId="0" fontId="11" fillId="9" borderId="0" applyNumberFormat="0" applyBorder="0" applyAlignment="0" applyProtection="0"/>
    <xf numFmtId="0" fontId="12" fillId="10" borderId="0" applyNumberFormat="0" applyBorder="0" applyAlignment="0" applyProtection="0"/>
    <xf numFmtId="0" fontId="10" fillId="11" borderId="0" applyNumberFormat="0" applyBorder="0" applyAlignment="0" applyProtection="0"/>
    <xf numFmtId="0" fontId="11" fillId="10" borderId="0" applyNumberFormat="0" applyBorder="0" applyAlignment="0" applyProtection="0"/>
    <xf numFmtId="0" fontId="12" fillId="12" borderId="0" applyNumberFormat="0" applyBorder="0" applyAlignment="0" applyProtection="0"/>
    <xf numFmtId="0" fontId="10" fillId="13" borderId="0" applyNumberFormat="0" applyBorder="0" applyAlignment="0" applyProtection="0"/>
    <xf numFmtId="0" fontId="11" fillId="14" borderId="0" applyNumberFormat="0" applyBorder="0" applyAlignment="0" applyProtection="0"/>
    <xf numFmtId="0" fontId="12" fillId="13" borderId="0" applyNumberFormat="0" applyBorder="0" applyAlignment="0" applyProtection="0"/>
    <xf numFmtId="0" fontId="10" fillId="7" borderId="0" applyNumberFormat="0" applyBorder="0" applyAlignment="0" applyProtection="0"/>
    <xf numFmtId="0" fontId="11" fillId="7" borderId="0" applyNumberFormat="0" applyBorder="0" applyAlignment="0" applyProtection="0"/>
    <xf numFmtId="0" fontId="12" fillId="7" borderId="0" applyNumberFormat="0" applyBorder="0" applyAlignment="0" applyProtection="0"/>
    <xf numFmtId="0" fontId="10" fillId="15" borderId="0" applyNumberFormat="0" applyBorder="0" applyAlignment="0" applyProtection="0"/>
    <xf numFmtId="0" fontId="11" fillId="16" borderId="0" applyNumberFormat="0" applyBorder="0" applyAlignment="0" applyProtection="0"/>
    <xf numFmtId="0" fontId="12" fillId="17" borderId="0" applyNumberFormat="0" applyBorder="0" applyAlignment="0" applyProtection="0"/>
    <xf numFmtId="0" fontId="10" fillId="18" borderId="0" applyNumberFormat="0" applyBorder="0" applyAlignment="0" applyProtection="0"/>
    <xf numFmtId="0" fontId="11" fillId="18" borderId="0" applyNumberFormat="0" applyBorder="0" applyAlignment="0" applyProtection="0"/>
    <xf numFmtId="0" fontId="12" fillId="18" borderId="0" applyNumberFormat="0" applyBorder="0" applyAlignment="0" applyProtection="0"/>
    <xf numFmtId="0" fontId="10" fillId="9" borderId="0" applyNumberFormat="0" applyBorder="0" applyAlignment="0" applyProtection="0"/>
    <xf numFmtId="0" fontId="11" fillId="12" borderId="0" applyNumberFormat="0" applyBorder="0" applyAlignment="0" applyProtection="0"/>
    <xf numFmtId="0" fontId="12" fillId="19" borderId="0" applyNumberFormat="0" applyBorder="0" applyAlignment="0" applyProtection="0"/>
    <xf numFmtId="0" fontId="10" fillId="15" borderId="0" applyNumberFormat="0" applyBorder="0" applyAlignment="0" applyProtection="0"/>
    <xf numFmtId="0" fontId="11" fillId="20" borderId="0" applyNumberFormat="0" applyBorder="0" applyAlignment="0" applyProtection="0"/>
    <xf numFmtId="0" fontId="12" fillId="12" borderId="0" applyNumberFormat="0" applyBorder="0" applyAlignment="0" applyProtection="0"/>
    <xf numFmtId="0" fontId="10" fillId="17" borderId="0" applyNumberFormat="0" applyBorder="0" applyAlignment="0" applyProtection="0"/>
    <xf numFmtId="0" fontId="11" fillId="14" borderId="0" applyNumberFormat="0" applyBorder="0" applyAlignment="0" applyProtection="0"/>
    <xf numFmtId="0" fontId="12" fillId="17" borderId="0" applyNumberFormat="0" applyBorder="0" applyAlignment="0" applyProtection="0"/>
    <xf numFmtId="0" fontId="10" fillId="7" borderId="0" applyNumberFormat="0" applyBorder="0" applyAlignment="0" applyProtection="0"/>
    <xf numFmtId="0" fontId="11" fillId="7" borderId="0" applyNumberFormat="0" applyBorder="0" applyAlignment="0" applyProtection="0"/>
    <xf numFmtId="0" fontId="12" fillId="21" borderId="0" applyNumberFormat="0" applyBorder="0" applyAlignment="0" applyProtection="0"/>
    <xf numFmtId="0" fontId="13" fillId="22" borderId="0" applyNumberFormat="0" applyBorder="0" applyAlignment="0" applyProtection="0"/>
    <xf numFmtId="0" fontId="14" fillId="23" borderId="0" applyNumberFormat="0" applyBorder="0" applyAlignment="0" applyProtection="0"/>
    <xf numFmtId="0" fontId="15" fillId="24" borderId="0" applyNumberFormat="0" applyBorder="0" applyAlignment="0" applyProtection="0"/>
    <xf numFmtId="0" fontId="13" fillId="18" borderId="0" applyNumberFormat="0" applyBorder="0" applyAlignment="0" applyProtection="0"/>
    <xf numFmtId="0" fontId="14" fillId="18" borderId="0" applyNumberFormat="0" applyBorder="0" applyAlignment="0" applyProtection="0"/>
    <xf numFmtId="0" fontId="15" fillId="18" borderId="0" applyNumberFormat="0" applyBorder="0" applyAlignment="0" applyProtection="0"/>
    <xf numFmtId="0" fontId="13" fillId="9" borderId="0" applyNumberFormat="0" applyBorder="0" applyAlignment="0" applyProtection="0"/>
    <xf numFmtId="0" fontId="14" fillId="12" borderId="0" applyNumberFormat="0" applyBorder="0" applyAlignment="0" applyProtection="0"/>
    <xf numFmtId="0" fontId="15" fillId="19" borderId="0" applyNumberFormat="0" applyBorder="0" applyAlignment="0" applyProtection="0"/>
    <xf numFmtId="0" fontId="13" fillId="15" borderId="0" applyNumberFormat="0" applyBorder="0" applyAlignment="0" applyProtection="0"/>
    <xf numFmtId="0" fontId="14" fillId="25" borderId="0" applyNumberFormat="0" applyBorder="0" applyAlignment="0" applyProtection="0"/>
    <xf numFmtId="0" fontId="15" fillId="26" borderId="0" applyNumberFormat="0" applyBorder="0" applyAlignment="0" applyProtection="0"/>
    <xf numFmtId="0" fontId="13" fillId="22" borderId="0" applyNumberFormat="0" applyBorder="0" applyAlignment="0" applyProtection="0"/>
    <xf numFmtId="0" fontId="14" fillId="23" borderId="0" applyNumberFormat="0" applyBorder="0" applyAlignment="0" applyProtection="0"/>
    <xf numFmtId="0" fontId="15" fillId="22" borderId="0" applyNumberFormat="0" applyBorder="0" applyAlignment="0" applyProtection="0"/>
    <xf numFmtId="0" fontId="13" fillId="7" borderId="0" applyNumberFormat="0" applyBorder="0" applyAlignment="0" applyProtection="0"/>
    <xf numFmtId="0" fontId="14" fillId="7" borderId="0" applyNumberFormat="0" applyBorder="0" applyAlignment="0" applyProtection="0"/>
    <xf numFmtId="0" fontId="15" fillId="27" borderId="0" applyNumberFormat="0" applyBorder="0" applyAlignment="0" applyProtection="0"/>
    <xf numFmtId="0" fontId="13" fillId="22" borderId="0" applyNumberFormat="0" applyBorder="0" applyAlignment="0" applyProtection="0"/>
    <xf numFmtId="0" fontId="14" fillId="28" borderId="0" applyNumberFormat="0" applyBorder="0" applyAlignment="0" applyProtection="0"/>
    <xf numFmtId="0" fontId="15" fillId="29" borderId="0" applyNumberFormat="0" applyBorder="0" applyAlignment="0" applyProtection="0"/>
    <xf numFmtId="0" fontId="13" fillId="30" borderId="0" applyNumberFormat="0" applyBorder="0" applyAlignment="0" applyProtection="0"/>
    <xf numFmtId="0" fontId="14" fillId="31" borderId="0" applyNumberFormat="0" applyBorder="0" applyAlignment="0" applyProtection="0"/>
    <xf numFmtId="0" fontId="15" fillId="30" borderId="0" applyNumberFormat="0" applyBorder="0" applyAlignment="0" applyProtection="0"/>
    <xf numFmtId="0" fontId="13" fillId="32" borderId="0" applyNumberFormat="0" applyBorder="0" applyAlignment="0" applyProtection="0"/>
    <xf numFmtId="0" fontId="14" fillId="31" borderId="0" applyNumberFormat="0" applyBorder="0" applyAlignment="0" applyProtection="0"/>
    <xf numFmtId="0" fontId="15" fillId="32" borderId="0" applyNumberFormat="0" applyBorder="0" applyAlignment="0" applyProtection="0"/>
    <xf numFmtId="0" fontId="13" fillId="28" borderId="0" applyNumberFormat="0" applyBorder="0" applyAlignment="0" applyProtection="0"/>
    <xf numFmtId="0" fontId="14" fillId="28" borderId="0" applyNumberFormat="0" applyBorder="0" applyAlignment="0" applyProtection="0"/>
    <xf numFmtId="0" fontId="15" fillId="26" borderId="0" applyNumberFormat="0" applyBorder="0" applyAlignment="0" applyProtection="0"/>
    <xf numFmtId="0" fontId="13" fillId="22" borderId="0" applyNumberFormat="0" applyBorder="0" applyAlignment="0" applyProtection="0"/>
    <xf numFmtId="0" fontId="14" fillId="32" borderId="0" applyNumberFormat="0" applyBorder="0" applyAlignment="0" applyProtection="0"/>
    <xf numFmtId="0" fontId="15" fillId="22" borderId="0" applyNumberFormat="0" applyBorder="0" applyAlignment="0" applyProtection="0"/>
    <xf numFmtId="0" fontId="13" fillId="33" borderId="0" applyNumberFormat="0" applyBorder="0" applyAlignment="0" applyProtection="0"/>
    <xf numFmtId="0" fontId="14" fillId="33" borderId="0" applyNumberFormat="0" applyBorder="0" applyAlignment="0" applyProtection="0"/>
    <xf numFmtId="0" fontId="15" fillId="33" borderId="0" applyNumberFormat="0" applyBorder="0" applyAlignment="0" applyProtection="0"/>
    <xf numFmtId="0" fontId="8" fillId="0" borderId="0"/>
    <xf numFmtId="17" fontId="8" fillId="0" borderId="0" applyFont="0" applyFill="0" applyBorder="0" applyProtection="0">
      <alignment horizontal="left"/>
    </xf>
    <xf numFmtId="0" fontId="8" fillId="0" borderId="0" applyFont="0" applyFill="0" applyBorder="0" applyProtection="0">
      <alignment horizontal="left"/>
    </xf>
    <xf numFmtId="0" fontId="16" fillId="8" borderId="0" applyNumberFormat="0" applyBorder="0" applyAlignment="0" applyProtection="0"/>
    <xf numFmtId="0" fontId="17" fillId="8" borderId="0" applyNumberFormat="0" applyBorder="0" applyAlignment="0" applyProtection="0"/>
    <xf numFmtId="0" fontId="18" fillId="8" borderId="0" applyNumberFormat="0" applyBorder="0" applyAlignment="0" applyProtection="0"/>
    <xf numFmtId="38" fontId="19" fillId="11" borderId="0"/>
    <xf numFmtId="0" fontId="20" fillId="0" borderId="0" applyNumberFormat="0" applyFill="0" applyBorder="0" applyAlignment="0" applyProtection="0"/>
    <xf numFmtId="0" fontId="21" fillId="34" borderId="0">
      <alignment horizontal="left"/>
    </xf>
    <xf numFmtId="2" fontId="22" fillId="35" borderId="6" applyProtection="0">
      <alignment horizontal="left"/>
      <protection locked="0"/>
    </xf>
    <xf numFmtId="0" fontId="23" fillId="0" borderId="0" applyNumberFormat="0" applyFill="0" applyBorder="0" applyAlignment="0" applyProtection="0"/>
    <xf numFmtId="0" fontId="24" fillId="0" borderId="5" applyNumberFormat="0" applyFill="0" applyAlignment="0" applyProtection="0"/>
    <xf numFmtId="0" fontId="8" fillId="36" borderId="0"/>
    <xf numFmtId="167" fontId="9" fillId="0" borderId="0" applyFont="0" applyFill="0" applyBorder="0" applyAlignment="0" applyProtection="0"/>
    <xf numFmtId="0" fontId="25" fillId="0" borderId="0" applyFill="0" applyBorder="0" applyAlignment="0"/>
    <xf numFmtId="168" fontId="8" fillId="0" borderId="0" applyFill="0" applyBorder="0" applyAlignment="0"/>
    <xf numFmtId="0" fontId="25" fillId="0" borderId="0" applyFill="0" applyBorder="0" applyAlignment="0"/>
    <xf numFmtId="169" fontId="8" fillId="0" borderId="0" applyFill="0" applyBorder="0" applyAlignment="0"/>
    <xf numFmtId="0" fontId="8" fillId="0" borderId="0" applyFill="0" applyBorder="0" applyAlignment="0"/>
    <xf numFmtId="170" fontId="8" fillId="0" borderId="0" applyFill="0" applyBorder="0" applyAlignment="0"/>
    <xf numFmtId="0" fontId="8" fillId="0" borderId="0" applyFill="0" applyBorder="0" applyAlignment="0"/>
    <xf numFmtId="168" fontId="26" fillId="0" borderId="0" applyFill="0" applyBorder="0" applyAlignment="0"/>
    <xf numFmtId="0" fontId="8" fillId="0" borderId="0" applyFill="0" applyBorder="0" applyAlignment="0"/>
    <xf numFmtId="171" fontId="8" fillId="0" borderId="0" applyFill="0" applyBorder="0" applyAlignment="0"/>
    <xf numFmtId="0" fontId="25" fillId="0" borderId="0" applyFill="0" applyBorder="0" applyAlignment="0"/>
    <xf numFmtId="168" fontId="8" fillId="0" borderId="0" applyFill="0" applyBorder="0" applyAlignment="0"/>
    <xf numFmtId="0" fontId="25" fillId="0" borderId="0" applyFill="0" applyBorder="0" applyAlignment="0"/>
    <xf numFmtId="168" fontId="8" fillId="0" borderId="0" applyFill="0" applyBorder="0" applyAlignment="0"/>
    <xf numFmtId="0" fontId="25" fillId="0" borderId="0" applyFill="0" applyBorder="0" applyAlignment="0"/>
    <xf numFmtId="169" fontId="8" fillId="0" borderId="0" applyFill="0" applyBorder="0" applyAlignment="0"/>
    <xf numFmtId="0" fontId="27" fillId="11" borderId="7" applyNumberFormat="0" applyAlignment="0" applyProtection="0"/>
    <xf numFmtId="0" fontId="28" fillId="13" borderId="7" applyNumberFormat="0" applyAlignment="0" applyProtection="0"/>
    <xf numFmtId="0" fontId="29" fillId="15" borderId="7" applyNumberFormat="0" applyAlignment="0" applyProtection="0"/>
    <xf numFmtId="0" fontId="30" fillId="37" borderId="8" applyNumberFormat="0"/>
    <xf numFmtId="0" fontId="31" fillId="38" borderId="9" applyBorder="0">
      <alignment horizontal="center" wrapText="1"/>
    </xf>
    <xf numFmtId="0" fontId="31" fillId="39" borderId="9" applyBorder="0">
      <alignment horizontal="center" wrapText="1"/>
    </xf>
    <xf numFmtId="0" fontId="32" fillId="40" borderId="8" applyNumberFormat="0"/>
    <xf numFmtId="0" fontId="33" fillId="41" borderId="8" applyNumberFormat="0"/>
    <xf numFmtId="0" fontId="3" fillId="41" borderId="8" applyNumberFormat="0"/>
    <xf numFmtId="0" fontId="32" fillId="40" borderId="8" applyNumberFormat="0"/>
    <xf numFmtId="0" fontId="33" fillId="40" borderId="8" applyNumberFormat="0"/>
    <xf numFmtId="0" fontId="32" fillId="37" borderId="8" applyNumberFormat="0"/>
    <xf numFmtId="0" fontId="30" fillId="37" borderId="8" applyNumberFormat="0"/>
    <xf numFmtId="0" fontId="6" fillId="5" borderId="4" applyNumberFormat="0" applyBorder="0"/>
    <xf numFmtId="0" fontId="6" fillId="5" borderId="4" applyNumberFormat="0" applyBorder="0"/>
    <xf numFmtId="0" fontId="6" fillId="5" borderId="4" applyNumberFormat="0"/>
    <xf numFmtId="0" fontId="6" fillId="5" borderId="4" applyNumberFormat="0" applyBorder="0"/>
    <xf numFmtId="14" fontId="34" fillId="40" borderId="10" applyNumberFormat="0" applyAlignment="0"/>
    <xf numFmtId="14" fontId="34" fillId="41" borderId="10" applyNumberFormat="0" applyAlignment="0"/>
    <xf numFmtId="14" fontId="35" fillId="41" borderId="10" applyNumberFormat="0" applyAlignment="0"/>
    <xf numFmtId="0" fontId="36" fillId="42" borderId="11" applyNumberFormat="0" applyAlignment="0" applyProtection="0"/>
    <xf numFmtId="0" fontId="37" fillId="42" borderId="11" applyNumberFormat="0" applyAlignment="0" applyProtection="0"/>
    <xf numFmtId="0" fontId="38" fillId="42" borderId="11" applyNumberFormat="0" applyAlignment="0" applyProtection="0"/>
    <xf numFmtId="0" fontId="39" fillId="0" borderId="0" applyNumberFormat="0" applyFill="0" applyBorder="0" applyAlignment="0" applyProtection="0"/>
    <xf numFmtId="172" fontId="40" fillId="0" borderId="0"/>
    <xf numFmtId="172" fontId="41" fillId="0" borderId="0"/>
    <xf numFmtId="172" fontId="40" fillId="0" borderId="0"/>
    <xf numFmtId="172" fontId="41" fillId="0" borderId="0"/>
    <xf numFmtId="172" fontId="40" fillId="0" borderId="0"/>
    <xf numFmtId="172" fontId="41" fillId="0" borderId="0"/>
    <xf numFmtId="172" fontId="40" fillId="0" borderId="0"/>
    <xf numFmtId="172" fontId="41" fillId="0" borderId="0"/>
    <xf numFmtId="172" fontId="40" fillId="0" borderId="0"/>
    <xf numFmtId="172" fontId="41" fillId="0" borderId="0"/>
    <xf numFmtId="172" fontId="40" fillId="0" borderId="0"/>
    <xf numFmtId="172" fontId="41" fillId="0" borderId="0"/>
    <xf numFmtId="172" fontId="40" fillId="0" borderId="0"/>
    <xf numFmtId="172" fontId="41" fillId="0" borderId="0"/>
    <xf numFmtId="172" fontId="40" fillId="0" borderId="0"/>
    <xf numFmtId="172" fontId="41" fillId="0" borderId="0"/>
    <xf numFmtId="0" fontId="25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3" fontId="8" fillId="0" borderId="0" applyFill="0" applyBorder="0" applyAlignment="0" applyProtection="0"/>
    <xf numFmtId="0" fontId="42" fillId="0" borderId="0"/>
    <xf numFmtId="0" fontId="43" fillId="0" borderId="0" applyNumberFormat="0" applyAlignment="0">
      <alignment horizontal="left"/>
    </xf>
    <xf numFmtId="0" fontId="44" fillId="0" borderId="0">
      <alignment horizontal="center"/>
    </xf>
    <xf numFmtId="0" fontId="42" fillId="0" borderId="0"/>
    <xf numFmtId="0" fontId="25" fillId="0" borderId="0" applyFont="0" applyFill="0" applyBorder="0" applyAlignment="0" applyProtection="0"/>
    <xf numFmtId="169" fontId="8" fillId="0" borderId="0" applyFont="0" applyFill="0" applyBorder="0" applyAlignment="0" applyProtection="0"/>
    <xf numFmtId="8" fontId="45" fillId="0" borderId="12">
      <protection locked="0"/>
    </xf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5" fontId="8" fillId="0" borderId="0" applyFill="0" applyBorder="0" applyAlignment="0" applyProtection="0"/>
    <xf numFmtId="173" fontId="9" fillId="0" borderId="0" applyFont="0" applyFill="0" applyBorder="0" applyAlignment="0" applyProtection="0"/>
    <xf numFmtId="10" fontId="8" fillId="0" borderId="0" applyFont="0" applyFill="0" applyBorder="0" applyProtection="0">
      <alignment horizontal="center"/>
    </xf>
    <xf numFmtId="174" fontId="8" fillId="0" borderId="0" applyFont="0" applyFill="0" applyBorder="0" applyProtection="0"/>
    <xf numFmtId="175" fontId="8" fillId="0" borderId="0" applyFont="0" applyFill="0" applyBorder="0" applyProtection="0"/>
    <xf numFmtId="15" fontId="46" fillId="0" borderId="0" applyFont="0" applyFill="0" applyBorder="0" applyAlignment="0" applyProtection="0"/>
    <xf numFmtId="0" fontId="42" fillId="0" borderId="0"/>
    <xf numFmtId="176" fontId="8" fillId="0" borderId="0" applyFill="0" applyBorder="0" applyAlignment="0" applyProtection="0"/>
    <xf numFmtId="176" fontId="8" fillId="0" borderId="0" applyFill="0" applyBorder="0" applyAlignment="0" applyProtection="0"/>
    <xf numFmtId="176" fontId="8" fillId="0" borderId="0" applyFill="0" applyBorder="0" applyAlignment="0" applyProtection="0"/>
    <xf numFmtId="176" fontId="8" fillId="0" borderId="0" applyFill="0" applyBorder="0" applyAlignment="0" applyProtection="0"/>
    <xf numFmtId="176" fontId="8" fillId="0" borderId="0" applyFill="0" applyBorder="0" applyAlignment="0" applyProtection="0"/>
    <xf numFmtId="15" fontId="11" fillId="11" borderId="0"/>
    <xf numFmtId="14" fontId="11" fillId="0" borderId="0" applyFill="0" applyBorder="0" applyAlignment="0"/>
    <xf numFmtId="0" fontId="44" fillId="35" borderId="0">
      <alignment horizontal="left"/>
    </xf>
    <xf numFmtId="176" fontId="8" fillId="0" borderId="0" applyFill="0" applyBorder="0" applyAlignment="0" applyProtection="0"/>
    <xf numFmtId="14" fontId="8" fillId="0" borderId="0"/>
    <xf numFmtId="0" fontId="47" fillId="18" borderId="0">
      <alignment horizontal="left"/>
    </xf>
    <xf numFmtId="0" fontId="48" fillId="0" borderId="0">
      <alignment horizontal="left"/>
    </xf>
    <xf numFmtId="38" fontId="49" fillId="0" borderId="13">
      <alignment vertical="center"/>
    </xf>
    <xf numFmtId="177" fontId="8" fillId="0" borderId="0">
      <alignment horizontal="right"/>
    </xf>
    <xf numFmtId="1" fontId="8" fillId="0" borderId="0">
      <alignment horizontal="right"/>
    </xf>
    <xf numFmtId="1" fontId="8" fillId="0" borderId="0">
      <alignment horizontal="right"/>
    </xf>
    <xf numFmtId="178" fontId="8" fillId="0" borderId="0">
      <alignment horizontal="right"/>
    </xf>
    <xf numFmtId="49" fontId="8" fillId="0" borderId="0">
      <alignment horizontal="left"/>
    </xf>
    <xf numFmtId="49" fontId="8" fillId="0" borderId="0">
      <alignment horizontal="left"/>
    </xf>
    <xf numFmtId="49" fontId="8" fillId="0" borderId="0">
      <alignment horizontal="right"/>
    </xf>
    <xf numFmtId="14" fontId="8" fillId="0" borderId="0">
      <alignment horizontal="left"/>
    </xf>
    <xf numFmtId="0" fontId="25" fillId="0" borderId="0" applyFill="0" applyBorder="0" applyAlignment="0"/>
    <xf numFmtId="168" fontId="8" fillId="0" borderId="0" applyFill="0" applyBorder="0" applyAlignment="0"/>
    <xf numFmtId="0" fontId="25" fillId="0" borderId="0" applyFill="0" applyBorder="0" applyAlignment="0"/>
    <xf numFmtId="169" fontId="8" fillId="0" borderId="0" applyFill="0" applyBorder="0" applyAlignment="0"/>
    <xf numFmtId="0" fontId="25" fillId="0" borderId="0" applyFill="0" applyBorder="0" applyAlignment="0"/>
    <xf numFmtId="168" fontId="8" fillId="0" borderId="0" applyFill="0" applyBorder="0" applyAlignment="0"/>
    <xf numFmtId="0" fontId="25" fillId="0" borderId="0" applyFill="0" applyBorder="0" applyAlignment="0"/>
    <xf numFmtId="168" fontId="8" fillId="0" borderId="0" applyFill="0" applyBorder="0" applyAlignment="0"/>
    <xf numFmtId="0" fontId="25" fillId="0" borderId="0" applyFill="0" applyBorder="0" applyAlignment="0"/>
    <xf numFmtId="169" fontId="8" fillId="0" borderId="0" applyFill="0" applyBorder="0" applyAlignment="0"/>
    <xf numFmtId="0" fontId="50" fillId="0" borderId="0" applyNumberFormat="0" applyAlignment="0">
      <alignment horizontal="left"/>
    </xf>
    <xf numFmtId="9" fontId="51" fillId="0" borderId="3" applyNumberFormat="0" applyBorder="0" applyAlignment="0">
      <protection locked="0"/>
    </xf>
    <xf numFmtId="179" fontId="8" fillId="0" borderId="0" applyFont="0" applyFill="0" applyBorder="0" applyAlignment="0" applyProtection="0"/>
    <xf numFmtId="0" fontId="52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2" fontId="8" fillId="0" borderId="0" applyFill="0" applyBorder="0" applyAlignment="0" applyProtection="0"/>
    <xf numFmtId="180" fontId="8" fillId="0" borderId="0" applyFont="0" applyFill="0" applyBorder="0" applyAlignment="0" applyProtection="0"/>
    <xf numFmtId="0" fontId="11" fillId="11" borderId="0"/>
    <xf numFmtId="0" fontId="55" fillId="10" borderId="0" applyNumberFormat="0" applyBorder="0" applyAlignment="0" applyProtection="0"/>
    <xf numFmtId="0" fontId="56" fillId="14" borderId="0" applyNumberFormat="0" applyBorder="0" applyAlignment="0" applyProtection="0"/>
    <xf numFmtId="0" fontId="57" fillId="10" borderId="0" applyNumberFormat="0" applyBorder="0" applyAlignment="0" applyProtection="0"/>
    <xf numFmtId="2" fontId="58" fillId="35" borderId="6" applyProtection="0">
      <alignment horizontal="left"/>
      <protection locked="0"/>
    </xf>
    <xf numFmtId="38" fontId="39" fillId="43" borderId="0" applyNumberFormat="0" applyBorder="0" applyAlignment="0" applyProtection="0"/>
    <xf numFmtId="0" fontId="59" fillId="0" borderId="14" applyNumberFormat="0" applyAlignment="0" applyProtection="0">
      <alignment horizontal="left" vertical="center"/>
    </xf>
    <xf numFmtId="0" fontId="59" fillId="0" borderId="15">
      <alignment horizontal="left" vertical="center"/>
    </xf>
    <xf numFmtId="0" fontId="60" fillId="15" borderId="3">
      <alignment horizontal="centerContinuous"/>
    </xf>
    <xf numFmtId="0" fontId="61" fillId="0" borderId="16" applyNumberFormat="0" applyFill="0" applyAlignment="0" applyProtection="0"/>
    <xf numFmtId="0" fontId="62" fillId="0" borderId="17" applyNumberFormat="0" applyFill="0" applyAlignment="0" applyProtection="0"/>
    <xf numFmtId="0" fontId="63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65" fillId="0" borderId="18" applyNumberFormat="0" applyFill="0" applyAlignment="0" applyProtection="0"/>
    <xf numFmtId="0" fontId="66" fillId="0" borderId="19" applyNumberFormat="0" applyFill="0" applyAlignment="0" applyProtection="0"/>
    <xf numFmtId="0" fontId="67" fillId="0" borderId="20" applyNumberFormat="0" applyFill="0" applyAlignment="0" applyProtection="0"/>
    <xf numFmtId="0" fontId="47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68" fillId="0" borderId="19" applyNumberFormat="0" applyFill="0" applyAlignment="0" applyProtection="0"/>
    <xf numFmtId="0" fontId="69" fillId="0" borderId="21" applyNumberFormat="0" applyFill="0" applyAlignment="0" applyProtection="0"/>
    <xf numFmtId="0" fontId="70" fillId="0" borderId="22" applyNumberFormat="0" applyFill="0" applyAlignment="0" applyProtection="0"/>
    <xf numFmtId="0" fontId="71" fillId="0" borderId="23" applyNumberFormat="0" applyFill="0" applyAlignment="0" applyProtection="0"/>
    <xf numFmtId="0" fontId="69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71" fillId="0" borderId="0" applyNumberFormat="0" applyFill="0" applyBorder="0" applyAlignment="0" applyProtection="0"/>
    <xf numFmtId="0" fontId="72" fillId="11" borderId="0"/>
    <xf numFmtId="0" fontId="64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73" fillId="0" borderId="0" applyNumberFormat="0" applyFill="0" applyBorder="0" applyAlignment="0" applyProtection="0">
      <alignment vertical="top"/>
      <protection locked="0"/>
    </xf>
    <xf numFmtId="10" fontId="39" fillId="44" borderId="3" applyNumberFormat="0" applyBorder="0" applyAlignment="0" applyProtection="0"/>
    <xf numFmtId="2" fontId="74" fillId="0" borderId="24" applyNumberFormat="0" applyFill="0" applyBorder="0" applyAlignment="0">
      <alignment horizontal="center"/>
      <protection locked="0"/>
    </xf>
    <xf numFmtId="2" fontId="74" fillId="0" borderId="24" applyNumberFormat="0" applyFill="0" applyBorder="0" applyAlignment="0">
      <alignment horizontal="center"/>
      <protection locked="0"/>
    </xf>
    <xf numFmtId="0" fontId="2" fillId="2" borderId="1" applyNumberFormat="0" applyAlignment="0" applyProtection="0"/>
    <xf numFmtId="0" fontId="75" fillId="7" borderId="7" applyNumberFormat="0" applyAlignment="0" applyProtection="0"/>
    <xf numFmtId="0" fontId="75" fillId="7" borderId="7" applyNumberFormat="0" applyAlignment="0" applyProtection="0"/>
    <xf numFmtId="0" fontId="75" fillId="7" borderId="7" applyNumberFormat="0" applyAlignment="0" applyProtection="0"/>
    <xf numFmtId="0" fontId="75" fillId="7" borderId="7" applyNumberFormat="0" applyAlignment="0" applyProtection="0"/>
    <xf numFmtId="37" fontId="76" fillId="0" borderId="0" applyNumberFormat="0" applyAlignment="0">
      <protection locked="0"/>
    </xf>
    <xf numFmtId="0" fontId="77" fillId="0" borderId="0"/>
    <xf numFmtId="0" fontId="25" fillId="0" borderId="0" applyFill="0" applyBorder="0" applyAlignment="0"/>
    <xf numFmtId="168" fontId="8" fillId="0" borderId="0" applyFill="0" applyBorder="0" applyAlignment="0"/>
    <xf numFmtId="0" fontId="25" fillId="0" borderId="0" applyFill="0" applyBorder="0" applyAlignment="0"/>
    <xf numFmtId="169" fontId="8" fillId="0" borderId="0" applyFill="0" applyBorder="0" applyAlignment="0"/>
    <xf numFmtId="0" fontId="25" fillId="0" borderId="0" applyFill="0" applyBorder="0" applyAlignment="0"/>
    <xf numFmtId="168" fontId="8" fillId="0" borderId="0" applyFill="0" applyBorder="0" applyAlignment="0"/>
    <xf numFmtId="0" fontId="25" fillId="0" borderId="0" applyFill="0" applyBorder="0" applyAlignment="0"/>
    <xf numFmtId="168" fontId="8" fillId="0" borderId="0" applyFill="0" applyBorder="0" applyAlignment="0"/>
    <xf numFmtId="0" fontId="25" fillId="0" borderId="0" applyFill="0" applyBorder="0" applyAlignment="0"/>
    <xf numFmtId="169" fontId="8" fillId="0" borderId="0" applyFill="0" applyBorder="0" applyAlignment="0"/>
    <xf numFmtId="0" fontId="78" fillId="0" borderId="25" applyNumberFormat="0" applyFill="0" applyAlignment="0" applyProtection="0"/>
    <xf numFmtId="0" fontId="79" fillId="0" borderId="25" applyNumberFormat="0" applyFill="0" applyAlignment="0" applyProtection="0"/>
    <xf numFmtId="0" fontId="80" fillId="0" borderId="25" applyNumberFormat="0" applyFill="0" applyAlignment="0" applyProtection="0"/>
    <xf numFmtId="0" fontId="8" fillId="43" borderId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38" fontId="11" fillId="11" borderId="0"/>
    <xf numFmtId="0" fontId="81" fillId="7" borderId="0" applyNumberFormat="0" applyBorder="0" applyAlignment="0" applyProtection="0"/>
    <xf numFmtId="0" fontId="82" fillId="12" borderId="0" applyNumberFormat="0" applyBorder="0" applyAlignment="0" applyProtection="0"/>
    <xf numFmtId="0" fontId="83" fillId="36" borderId="0" applyNumberFormat="0" applyBorder="0" applyAlignment="0" applyProtection="0"/>
    <xf numFmtId="37" fontId="84" fillId="0" borderId="0"/>
    <xf numFmtId="0" fontId="47" fillId="11" borderId="0" applyNumberFormat="0" applyFont="0" applyFill="0" applyBorder="0" applyAlignment="0"/>
    <xf numFmtId="10" fontId="11" fillId="11" borderId="0"/>
    <xf numFmtId="181" fontId="85" fillId="0" borderId="0"/>
    <xf numFmtId="0" fontId="8" fillId="0" borderId="0"/>
    <xf numFmtId="0" fontId="8" fillId="0" borderId="0"/>
    <xf numFmtId="0" fontId="1" fillId="0" borderId="0"/>
    <xf numFmtId="0" fontId="8" fillId="0" borderId="0"/>
    <xf numFmtId="0" fontId="8" fillId="0" borderId="0"/>
    <xf numFmtId="0" fontId="9" fillId="0" borderId="0"/>
    <xf numFmtId="0" fontId="9" fillId="0" borderId="0"/>
    <xf numFmtId="0" fontId="9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1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2" fillId="40" borderId="0"/>
    <xf numFmtId="0" fontId="8" fillId="0" borderId="0"/>
    <xf numFmtId="0" fontId="8" fillId="0" borderId="0"/>
    <xf numFmtId="0" fontId="8" fillId="0" borderId="0"/>
    <xf numFmtId="0" fontId="9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/>
    <xf numFmtId="0" fontId="8" fillId="0" borderId="0"/>
    <xf numFmtId="0" fontId="8" fillId="0" borderId="0"/>
    <xf numFmtId="0" fontId="8" fillId="41" borderId="0"/>
    <xf numFmtId="0" fontId="8" fillId="41" borderId="0"/>
    <xf numFmtId="0" fontId="8" fillId="0" borderId="0"/>
    <xf numFmtId="0" fontId="8" fillId="0" borderId="0"/>
    <xf numFmtId="0" fontId="32" fillId="40" borderId="0"/>
    <xf numFmtId="0" fontId="32" fillId="40" borderId="0"/>
    <xf numFmtId="0" fontId="32" fillId="4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2" fillId="40" borderId="0"/>
    <xf numFmtId="0" fontId="8" fillId="0" borderId="0"/>
    <xf numFmtId="0" fontId="8" fillId="0" borderId="0"/>
    <xf numFmtId="0" fontId="32" fillId="40" borderId="0"/>
    <xf numFmtId="0" fontId="1" fillId="0" borderId="0"/>
    <xf numFmtId="0" fontId="1" fillId="0" borderId="0"/>
    <xf numFmtId="0" fontId="8" fillId="0" borderId="0">
      <alignment vertical="top"/>
    </xf>
    <xf numFmtId="0" fontId="8" fillId="0" borderId="0">
      <alignment vertical="top"/>
    </xf>
    <xf numFmtId="0" fontId="12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6" fillId="0" borderId="0"/>
    <xf numFmtId="0" fontId="8" fillId="0" borderId="0"/>
    <xf numFmtId="0" fontId="8" fillId="0" borderId="0"/>
    <xf numFmtId="0" fontId="32" fillId="3" borderId="2" applyNumberFormat="0" applyFont="0" applyAlignment="0" applyProtection="0"/>
    <xf numFmtId="0" fontId="11" fillId="9" borderId="26" applyNumberFormat="0" applyFont="0" applyAlignment="0" applyProtection="0"/>
    <xf numFmtId="0" fontId="87" fillId="9" borderId="26" applyNumberFormat="0" applyFont="0" applyAlignment="0" applyProtection="0"/>
    <xf numFmtId="0" fontId="32" fillId="3" borderId="2" applyNumberFormat="0" applyFont="0" applyAlignment="0" applyProtection="0"/>
    <xf numFmtId="0" fontId="88" fillId="0" borderId="0"/>
    <xf numFmtId="0" fontId="12" fillId="9" borderId="26" applyNumberFormat="0" applyFont="0" applyAlignment="0" applyProtection="0"/>
    <xf numFmtId="0" fontId="32" fillId="3" borderId="2" applyNumberFormat="0" applyFont="0" applyAlignment="0" applyProtection="0"/>
    <xf numFmtId="0" fontId="32" fillId="3" borderId="2" applyNumberFormat="0" applyFont="0" applyAlignment="0" applyProtection="0"/>
    <xf numFmtId="0" fontId="1" fillId="3" borderId="2" applyNumberFormat="0" applyFont="0" applyAlignment="0" applyProtection="0"/>
    <xf numFmtId="0" fontId="1" fillId="3" borderId="2" applyNumberFormat="0" applyFont="0" applyAlignment="0" applyProtection="0"/>
    <xf numFmtId="0" fontId="1" fillId="3" borderId="2" applyNumberFormat="0" applyFont="0" applyAlignment="0" applyProtection="0"/>
    <xf numFmtId="182" fontId="25" fillId="0" borderId="0">
      <alignment horizontal="center"/>
    </xf>
    <xf numFmtId="37" fontId="8" fillId="0" borderId="0"/>
    <xf numFmtId="183" fontId="39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184" fontId="89" fillId="0" borderId="0" applyNumberFormat="0" applyFill="0" applyBorder="0" applyAlignment="0" applyProtection="0"/>
    <xf numFmtId="164" fontId="25" fillId="0" borderId="0">
      <alignment horizontal="center"/>
    </xf>
    <xf numFmtId="0" fontId="32" fillId="6" borderId="0" applyNumberFormat="0" applyFont="0" applyBorder="0" applyAlignment="0" applyProtection="0"/>
    <xf numFmtId="0" fontId="89" fillId="0" borderId="27"/>
    <xf numFmtId="2" fontId="90" fillId="35" borderId="6">
      <alignment horizontal="left"/>
    </xf>
    <xf numFmtId="0" fontId="91" fillId="11" borderId="28" applyNumberFormat="0" applyAlignment="0" applyProtection="0"/>
    <xf numFmtId="0" fontId="92" fillId="13" borderId="28" applyNumberFormat="0" applyAlignment="0" applyProtection="0"/>
    <xf numFmtId="0" fontId="93" fillId="15" borderId="28" applyNumberFormat="0" applyAlignment="0" applyProtection="0"/>
    <xf numFmtId="40" fontId="11" fillId="35" borderId="0">
      <alignment horizontal="right"/>
    </xf>
    <xf numFmtId="0" fontId="94" fillId="44" borderId="0">
      <alignment horizontal="center"/>
    </xf>
    <xf numFmtId="0" fontId="37" fillId="45" borderId="6"/>
    <xf numFmtId="0" fontId="95" fillId="0" borderId="0" applyBorder="0">
      <alignment horizontal="centerContinuous"/>
    </xf>
    <xf numFmtId="0" fontId="96" fillId="0" borderId="0" applyBorder="0">
      <alignment horizontal="centerContinuous"/>
    </xf>
    <xf numFmtId="0" fontId="59" fillId="0" borderId="0"/>
    <xf numFmtId="0" fontId="8" fillId="0" borderId="0" applyFont="0" applyFill="0" applyBorder="0" applyAlignment="0" applyProtection="0"/>
    <xf numFmtId="171" fontId="8" fillId="0" borderId="0" applyFont="0" applyFill="0" applyBorder="0" applyAlignment="0" applyProtection="0"/>
    <xf numFmtId="0" fontId="97" fillId="0" borderId="0" applyFont="0" applyFill="0" applyBorder="0" applyAlignment="0" applyProtection="0"/>
    <xf numFmtId="185" fontId="26" fillId="0" borderId="0" applyFont="0" applyFill="0" applyBorder="0" applyAlignment="0" applyProtection="0"/>
    <xf numFmtId="10" fontId="8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89" fillId="0" borderId="0"/>
    <xf numFmtId="0" fontId="25" fillId="0" borderId="0" applyFill="0" applyBorder="0" applyAlignment="0"/>
    <xf numFmtId="168" fontId="8" fillId="0" borderId="0" applyFill="0" applyBorder="0" applyAlignment="0"/>
    <xf numFmtId="0" fontId="25" fillId="0" borderId="0" applyFill="0" applyBorder="0" applyAlignment="0"/>
    <xf numFmtId="169" fontId="8" fillId="0" borderId="0" applyFill="0" applyBorder="0" applyAlignment="0"/>
    <xf numFmtId="0" fontId="25" fillId="0" borderId="0" applyFill="0" applyBorder="0" applyAlignment="0"/>
    <xf numFmtId="168" fontId="8" fillId="0" borderId="0" applyFill="0" applyBorder="0" applyAlignment="0"/>
    <xf numFmtId="0" fontId="25" fillId="0" borderId="0" applyFill="0" applyBorder="0" applyAlignment="0"/>
    <xf numFmtId="168" fontId="8" fillId="0" borderId="0" applyFill="0" applyBorder="0" applyAlignment="0"/>
    <xf numFmtId="0" fontId="25" fillId="0" borderId="0" applyFill="0" applyBorder="0" applyAlignment="0"/>
    <xf numFmtId="169" fontId="8" fillId="0" borderId="0" applyFill="0" applyBorder="0" applyAlignment="0"/>
    <xf numFmtId="186" fontId="25" fillId="0" borderId="0">
      <alignment horizontal="center"/>
    </xf>
    <xf numFmtId="187" fontId="25" fillId="0" borderId="3">
      <alignment horizontal="center"/>
    </xf>
    <xf numFmtId="0" fontId="98" fillId="0" borderId="29" applyAlignment="0">
      <alignment horizontal="center"/>
    </xf>
    <xf numFmtId="0" fontId="99" fillId="43" borderId="0"/>
    <xf numFmtId="0" fontId="49" fillId="0" borderId="0" applyNumberFormat="0" applyFont="0" applyFill="0" applyBorder="0" applyAlignment="0" applyProtection="0">
      <alignment horizontal="left"/>
    </xf>
    <xf numFmtId="0" fontId="100" fillId="0" borderId="30">
      <alignment horizontal="center"/>
    </xf>
    <xf numFmtId="0" fontId="46" fillId="0" borderId="0">
      <alignment vertical="top"/>
    </xf>
    <xf numFmtId="188" fontId="46" fillId="0" borderId="0">
      <alignment vertical="top"/>
    </xf>
    <xf numFmtId="0" fontId="98" fillId="0" borderId="0">
      <alignment horizontal="left"/>
    </xf>
    <xf numFmtId="0" fontId="98" fillId="0" borderId="0">
      <alignment horizontal="right"/>
    </xf>
    <xf numFmtId="0" fontId="11" fillId="0" borderId="6" applyNumberFormat="0" applyBorder="0" applyAlignment="0"/>
    <xf numFmtId="189" fontId="101" fillId="0" borderId="0" applyNumberFormat="0" applyFill="0" applyBorder="0" applyAlignment="0" applyProtection="0">
      <alignment horizontal="left"/>
    </xf>
    <xf numFmtId="0" fontId="47" fillId="32" borderId="0">
      <alignment horizontal="left"/>
    </xf>
    <xf numFmtId="0" fontId="102" fillId="0" borderId="31"/>
    <xf numFmtId="187" fontId="22" fillId="9" borderId="0">
      <alignment horizontal="center"/>
    </xf>
    <xf numFmtId="187" fontId="103" fillId="9" borderId="0">
      <alignment horizontal="center"/>
    </xf>
    <xf numFmtId="187" fontId="22" fillId="10" borderId="0">
      <alignment horizontal="center"/>
    </xf>
    <xf numFmtId="0" fontId="22" fillId="9" borderId="0">
      <alignment horizontal="left"/>
    </xf>
    <xf numFmtId="0" fontId="104" fillId="0" borderId="0" applyFont="0" applyFill="0" applyBorder="0" applyAlignment="0" applyProtection="0"/>
    <xf numFmtId="190" fontId="26" fillId="0" borderId="0" applyFont="0" applyFill="0" applyBorder="0" applyAlignment="0" applyProtection="0"/>
    <xf numFmtId="191" fontId="8" fillId="0" borderId="0"/>
    <xf numFmtId="0" fontId="8" fillId="0" borderId="0"/>
    <xf numFmtId="0" fontId="8" fillId="0" borderId="0">
      <alignment horizontal="left" wrapText="1"/>
    </xf>
    <xf numFmtId="0" fontId="22" fillId="9" borderId="0">
      <alignment horizontal="center"/>
    </xf>
    <xf numFmtId="0" fontId="98" fillId="0" borderId="0"/>
    <xf numFmtId="0" fontId="105" fillId="0" borderId="0"/>
    <xf numFmtId="40" fontId="106" fillId="0" borderId="0" applyBorder="0">
      <alignment horizontal="right"/>
    </xf>
    <xf numFmtId="0" fontId="8" fillId="35" borderId="26"/>
    <xf numFmtId="0" fontId="25" fillId="0" borderId="0">
      <alignment horizontal="center"/>
    </xf>
    <xf numFmtId="15" fontId="25" fillId="0" borderId="0">
      <alignment horizontal="center"/>
    </xf>
    <xf numFmtId="0" fontId="107" fillId="0" borderId="0">
      <alignment horizontal="center"/>
    </xf>
    <xf numFmtId="3" fontId="25" fillId="0" borderId="0">
      <alignment horizontal="center"/>
    </xf>
    <xf numFmtId="192" fontId="25" fillId="0" borderId="0">
      <alignment horizontal="center"/>
    </xf>
    <xf numFmtId="187" fontId="25" fillId="0" borderId="0">
      <alignment horizontal="center"/>
    </xf>
    <xf numFmtId="0" fontId="108" fillId="46" borderId="0"/>
    <xf numFmtId="193" fontId="25" fillId="0" borderId="0">
      <alignment horizontal="center"/>
    </xf>
    <xf numFmtId="193" fontId="25" fillId="0" borderId="32">
      <alignment horizontal="center"/>
    </xf>
    <xf numFmtId="0" fontId="25" fillId="0" borderId="0">
      <alignment horizontal="left"/>
    </xf>
    <xf numFmtId="0" fontId="109" fillId="0" borderId="0">
      <alignment horizontal="center"/>
    </xf>
    <xf numFmtId="0" fontId="110" fillId="0" borderId="0" applyNumberFormat="0" applyFill="0" applyBorder="0"/>
    <xf numFmtId="0" fontId="11" fillId="11" borderId="0"/>
    <xf numFmtId="49" fontId="11" fillId="0" borderId="0" applyFill="0" applyBorder="0" applyAlignment="0"/>
    <xf numFmtId="0" fontId="25" fillId="0" borderId="0" applyFill="0" applyBorder="0" applyAlignment="0"/>
    <xf numFmtId="169" fontId="8" fillId="0" borderId="0" applyFill="0" applyBorder="0" applyAlignment="0"/>
    <xf numFmtId="0" fontId="8" fillId="0" borderId="0" applyFill="0" applyBorder="0" applyAlignment="0"/>
    <xf numFmtId="171" fontId="8" fillId="0" borderId="0" applyFill="0" applyBorder="0" applyAlignment="0"/>
    <xf numFmtId="49" fontId="8" fillId="0" borderId="0"/>
    <xf numFmtId="0" fontId="111" fillId="0" borderId="0">
      <alignment horizontal="right"/>
    </xf>
    <xf numFmtId="0" fontId="112" fillId="0" borderId="0">
      <alignment horizontal="right"/>
      <protection locked="0"/>
    </xf>
    <xf numFmtId="0" fontId="113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15" fillId="0" borderId="0" applyNumberFormat="0" applyFill="0" applyBorder="0" applyAlignment="0" applyProtection="0"/>
    <xf numFmtId="0" fontId="115" fillId="0" borderId="0" applyNumberFormat="0" applyFill="0" applyBorder="0" applyAlignment="0" applyProtection="0"/>
    <xf numFmtId="0" fontId="115" fillId="0" borderId="0" applyNumberFormat="0" applyFill="0" applyBorder="0" applyAlignment="0" applyProtection="0"/>
    <xf numFmtId="0" fontId="115" fillId="0" borderId="0" applyNumberFormat="0" applyFill="0" applyBorder="0" applyAlignment="0" applyProtection="0"/>
    <xf numFmtId="0" fontId="19" fillId="11" borderId="0"/>
    <xf numFmtId="0" fontId="32" fillId="47" borderId="33" applyBorder="0">
      <alignment horizontal="center" wrapText="1"/>
    </xf>
    <xf numFmtId="0" fontId="31" fillId="38" borderId="9" applyBorder="0">
      <alignment horizontal="center" wrapText="1"/>
    </xf>
    <xf numFmtId="0" fontId="32" fillId="48" borderId="9" applyBorder="0">
      <alignment horizontal="center" wrapText="1"/>
    </xf>
    <xf numFmtId="0" fontId="31" fillId="39" borderId="9" applyBorder="0">
      <alignment horizontal="center" wrapText="1"/>
    </xf>
    <xf numFmtId="0" fontId="7" fillId="49" borderId="9" applyBorder="0">
      <alignment horizontal="center" wrapText="1"/>
    </xf>
    <xf numFmtId="0" fontId="31" fillId="50" borderId="9" applyBorder="0">
      <alignment horizontal="center" wrapText="1"/>
    </xf>
    <xf numFmtId="0" fontId="31" fillId="50" borderId="9" applyBorder="0">
      <alignment horizontal="center" wrapText="1"/>
    </xf>
    <xf numFmtId="0" fontId="7" fillId="49" borderId="9" applyBorder="0">
      <alignment horizontal="center" wrapText="1"/>
    </xf>
    <xf numFmtId="0" fontId="7" fillId="49" borderId="9" applyBorder="0">
      <alignment horizontal="center" wrapText="1"/>
    </xf>
    <xf numFmtId="0" fontId="7" fillId="49" borderId="9" applyBorder="0">
      <alignment horizontal="center" wrapText="1"/>
    </xf>
    <xf numFmtId="0" fontId="7" fillId="49" borderId="9" applyBorder="0">
      <alignment horizontal="center" wrapText="1"/>
    </xf>
    <xf numFmtId="0" fontId="98" fillId="0" borderId="0" applyNumberFormat="0" applyFill="0" applyBorder="0" applyAlignment="0" applyProtection="0"/>
    <xf numFmtId="0" fontId="116" fillId="0" borderId="34" applyNumberFormat="0" applyFill="0" applyAlignment="0" applyProtection="0"/>
    <xf numFmtId="0" fontId="19" fillId="0" borderId="35" applyNumberFormat="0" applyFill="0" applyAlignment="0" applyProtection="0"/>
    <xf numFmtId="0" fontId="8" fillId="0" borderId="36" applyNumberFormat="0" applyFill="0" applyAlignment="0" applyProtection="0"/>
    <xf numFmtId="0" fontId="117" fillId="0" borderId="37" applyNumberFormat="0" applyFill="0" applyAlignment="0" applyProtection="0"/>
    <xf numFmtId="0" fontId="118" fillId="11" borderId="0"/>
    <xf numFmtId="0" fontId="119" fillId="0" borderId="0" applyNumberFormat="0" applyFill="0" applyBorder="0" applyAlignment="0" applyProtection="0"/>
    <xf numFmtId="0" fontId="120" fillId="0" borderId="0" applyNumberFormat="0" applyFill="0" applyBorder="0" applyAlignment="0" applyProtection="0"/>
    <xf numFmtId="0" fontId="121" fillId="0" borderId="0" applyNumberFormat="0" applyFill="0" applyBorder="0" applyAlignment="0" applyProtection="0"/>
    <xf numFmtId="1" fontId="122" fillId="40" borderId="10"/>
    <xf numFmtId="1" fontId="122" fillId="41" borderId="10"/>
    <xf numFmtId="2" fontId="123" fillId="41" borderId="10"/>
    <xf numFmtId="0" fontId="124" fillId="40" borderId="4" applyNumberFormat="0" applyAlignment="0"/>
    <xf numFmtId="0" fontId="125" fillId="41" borderId="4" applyNumberFormat="0" applyAlignment="0"/>
    <xf numFmtId="1" fontId="126" fillId="41" borderId="10" applyNumberFormat="0"/>
    <xf numFmtId="177" fontId="127" fillId="41" borderId="10" applyNumberFormat="0"/>
    <xf numFmtId="0" fontId="8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07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/>
    <xf numFmtId="0" fontId="7" fillId="0" borderId="0" xfId="0" applyFont="1"/>
    <xf numFmtId="0" fontId="0" fillId="0" borderId="0" xfId="0" applyAlignment="1">
      <alignment horizontal="center"/>
    </xf>
    <xf numFmtId="14" fontId="7" fillId="0" borderId="0" xfId="0" applyNumberFormat="1" applyFont="1" applyAlignment="1">
      <alignment horizontal="center"/>
    </xf>
    <xf numFmtId="164" fontId="7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center"/>
    </xf>
    <xf numFmtId="0" fontId="7" fillId="0" borderId="0" xfId="0" applyFont="1" applyAlignment="1">
      <alignment horizontal="center"/>
    </xf>
    <xf numFmtId="0" fontId="0" fillId="0" borderId="0" xfId="0" applyFont="1"/>
    <xf numFmtId="0" fontId="0" fillId="0" borderId="0" xfId="0" applyFont="1" applyAlignment="1">
      <alignment horizontal="center"/>
    </xf>
    <xf numFmtId="0" fontId="0" fillId="0" borderId="0" xfId="0" applyFont="1" applyAlignment="1"/>
    <xf numFmtId="14" fontId="0" fillId="0" borderId="39" xfId="0" applyNumberFormat="1" applyFont="1" applyBorder="1" applyAlignment="1">
      <alignment horizontal="center"/>
    </xf>
    <xf numFmtId="164" fontId="0" fillId="0" borderId="39" xfId="0" applyNumberFormat="1" applyFont="1" applyBorder="1" applyAlignment="1">
      <alignment horizontal="center"/>
    </xf>
    <xf numFmtId="2" fontId="0" fillId="0" borderId="39" xfId="0" applyNumberFormat="1" applyFont="1" applyBorder="1" applyAlignment="1">
      <alignment horizontal="center"/>
    </xf>
    <xf numFmtId="14" fontId="0" fillId="0" borderId="40" xfId="0" applyNumberFormat="1" applyFont="1" applyBorder="1" applyAlignment="1">
      <alignment horizontal="center"/>
    </xf>
    <xf numFmtId="164" fontId="0" fillId="0" borderId="40" xfId="0" applyNumberFormat="1" applyFont="1" applyBorder="1" applyAlignment="1">
      <alignment horizontal="center"/>
    </xf>
    <xf numFmtId="2" fontId="0" fillId="0" borderId="40" xfId="0" applyNumberFormat="1" applyFont="1" applyBorder="1" applyAlignment="1">
      <alignment horizontal="center"/>
    </xf>
    <xf numFmtId="0" fontId="7" fillId="0" borderId="0" xfId="0" applyFont="1" applyAlignment="1"/>
    <xf numFmtId="0" fontId="7" fillId="0" borderId="38" xfId="0" pivotButton="1" applyFont="1" applyBorder="1" applyAlignment="1">
      <alignment horizontal="center"/>
    </xf>
    <xf numFmtId="0" fontId="7" fillId="0" borderId="38" xfId="0" applyFont="1" applyBorder="1" applyAlignment="1">
      <alignment horizontal="center"/>
    </xf>
    <xf numFmtId="0" fontId="0" fillId="58" borderId="0" xfId="0" applyFont="1" applyFill="1"/>
    <xf numFmtId="0" fontId="4" fillId="0" borderId="0" xfId="0" applyFont="1" applyAlignment="1">
      <alignment horizontal="right"/>
    </xf>
    <xf numFmtId="0" fontId="0" fillId="0" borderId="0" xfId="0" applyFill="1" applyAlignment="1"/>
    <xf numFmtId="0" fontId="7" fillId="0" borderId="0" xfId="0" applyFont="1" applyFill="1" applyAlignment="1"/>
    <xf numFmtId="0" fontId="0" fillId="0" borderId="0" xfId="0" applyFont="1" applyFill="1" applyAlignment="1"/>
    <xf numFmtId="0" fontId="0" fillId="0" borderId="0" xfId="0" applyFont="1" applyFill="1"/>
    <xf numFmtId="0" fontId="0" fillId="0" borderId="0" xfId="0" applyFill="1"/>
    <xf numFmtId="0" fontId="7" fillId="0" borderId="0" xfId="0" applyFont="1" applyFill="1"/>
    <xf numFmtId="0" fontId="129" fillId="60" borderId="3" xfId="0" applyFont="1" applyFill="1" applyBorder="1" applyAlignment="1">
      <alignment horizontal="center" vertical="center"/>
    </xf>
    <xf numFmtId="194" fontId="7" fillId="0" borderId="39" xfId="525" applyNumberFormat="1" applyFont="1" applyBorder="1" applyAlignment="1">
      <alignment horizontal="center" vertical="center"/>
    </xf>
    <xf numFmtId="194" fontId="7" fillId="0" borderId="39" xfId="525" applyNumberFormat="1" applyFont="1" applyBorder="1" applyAlignment="1">
      <alignment horizontal="left" vertical="center"/>
    </xf>
    <xf numFmtId="43" fontId="7" fillId="0" borderId="39" xfId="525" applyNumberFormat="1" applyFont="1" applyBorder="1" applyAlignment="1">
      <alignment horizontal="left" vertical="center"/>
    </xf>
    <xf numFmtId="195" fontId="7" fillId="0" borderId="39" xfId="525" applyNumberFormat="1" applyFont="1" applyBorder="1" applyAlignment="1">
      <alignment horizontal="left" vertical="center"/>
    </xf>
    <xf numFmtId="0" fontId="0" fillId="0" borderId="0" xfId="0" applyAlignment="1">
      <alignment horizontal="right"/>
    </xf>
    <xf numFmtId="194" fontId="7" fillId="0" borderId="39" xfId="525" applyNumberFormat="1" applyFont="1" applyBorder="1" applyAlignment="1">
      <alignment horizontal="right" vertical="center"/>
    </xf>
    <xf numFmtId="10" fontId="7" fillId="0" borderId="0" xfId="0" applyNumberFormat="1" applyFont="1" applyAlignment="1">
      <alignment horizontal="right"/>
    </xf>
    <xf numFmtId="195" fontId="7" fillId="0" borderId="39" xfId="525" applyNumberFormat="1" applyFont="1" applyBorder="1" applyAlignment="1">
      <alignment horizontal="right" vertical="center"/>
    </xf>
    <xf numFmtId="196" fontId="7" fillId="0" borderId="39" xfId="526" applyNumberFormat="1" applyFont="1" applyBorder="1" applyAlignment="1">
      <alignment horizontal="right" vertical="center"/>
    </xf>
    <xf numFmtId="196" fontId="7" fillId="0" borderId="40" xfId="526" applyNumberFormat="1" applyFont="1" applyBorder="1" applyAlignment="1">
      <alignment horizontal="right" vertical="center"/>
    </xf>
    <xf numFmtId="0" fontId="130" fillId="0" borderId="0" xfId="0" applyFont="1"/>
    <xf numFmtId="14" fontId="130" fillId="0" borderId="0" xfId="0" applyNumberFormat="1" applyFont="1"/>
    <xf numFmtId="0" fontId="129" fillId="60" borderId="3" xfId="0" applyFont="1" applyFill="1" applyBorder="1" applyAlignment="1">
      <alignment horizontal="center" vertical="center" wrapText="1"/>
    </xf>
    <xf numFmtId="9" fontId="7" fillId="0" borderId="39" xfId="526" applyFont="1" applyBorder="1" applyAlignment="1">
      <alignment horizontal="right" vertical="center"/>
    </xf>
    <xf numFmtId="9" fontId="7" fillId="0" borderId="39" xfId="526" applyNumberFormat="1" applyFont="1" applyBorder="1" applyAlignment="1">
      <alignment horizontal="right"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horizontal="center" vertical="center"/>
    </xf>
    <xf numFmtId="0" fontId="7" fillId="52" borderId="39" xfId="0" applyFont="1" applyFill="1" applyBorder="1" applyAlignment="1">
      <alignment horizontal="center" vertical="center"/>
    </xf>
    <xf numFmtId="0" fontId="5" fillId="61" borderId="41" xfId="0" applyFont="1" applyFill="1" applyBorder="1" applyAlignment="1">
      <alignment horizontal="center" vertical="center" wrapText="1"/>
    </xf>
    <xf numFmtId="0" fontId="7" fillId="55" borderId="39" xfId="0" applyFont="1" applyFill="1" applyBorder="1" applyAlignment="1">
      <alignment horizontal="center" vertical="center"/>
    </xf>
    <xf numFmtId="0" fontId="7" fillId="56" borderId="39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5" fillId="55" borderId="41" xfId="0" applyFont="1" applyFill="1" applyBorder="1" applyAlignment="1">
      <alignment horizontal="center" vertical="center" wrapText="1"/>
    </xf>
    <xf numFmtId="0" fontId="5" fillId="52" borderId="41" xfId="0" applyFont="1" applyFill="1" applyBorder="1" applyAlignment="1">
      <alignment horizontal="center" vertical="center" wrapText="1"/>
    </xf>
    <xf numFmtId="0" fontId="32" fillId="0" borderId="39" xfId="0" applyFont="1" applyFill="1" applyBorder="1" applyAlignment="1">
      <alignment horizontal="center" vertical="center" wrapText="1"/>
    </xf>
    <xf numFmtId="0" fontId="5" fillId="59" borderId="40" xfId="0" applyFont="1" applyFill="1" applyBorder="1" applyAlignment="1">
      <alignment horizontal="center" vertical="center" wrapText="1"/>
    </xf>
    <xf numFmtId="0" fontId="5" fillId="52" borderId="40" xfId="0" applyFont="1" applyFill="1" applyBorder="1" applyAlignment="1">
      <alignment horizontal="center" vertical="center" wrapText="1"/>
    </xf>
    <xf numFmtId="0" fontId="5" fillId="55" borderId="40" xfId="0" applyFont="1" applyFill="1" applyBorder="1" applyAlignment="1">
      <alignment horizontal="center" vertical="center" wrapText="1"/>
    </xf>
    <xf numFmtId="0" fontId="131" fillId="61" borderId="40" xfId="0" applyFont="1" applyFill="1" applyBorder="1" applyAlignment="1">
      <alignment horizontal="center" vertical="center" wrapText="1"/>
    </xf>
    <xf numFmtId="0" fontId="5" fillId="61" borderId="40" xfId="0" applyFont="1" applyFill="1" applyBorder="1" applyAlignment="1">
      <alignment horizontal="center" vertical="center" wrapText="1"/>
    </xf>
    <xf numFmtId="0" fontId="5" fillId="0" borderId="3" xfId="0" applyFont="1" applyBorder="1" applyAlignment="1">
      <alignment vertical="center"/>
    </xf>
    <xf numFmtId="0" fontId="6" fillId="5" borderId="3" xfId="1" applyFont="1" applyBorder="1" applyAlignment="1">
      <alignment horizontal="left" vertical="center"/>
    </xf>
    <xf numFmtId="0" fontId="6" fillId="5" borderId="3" xfId="1" applyFont="1" applyBorder="1" applyAlignment="1">
      <alignment horizontal="center" vertical="center"/>
    </xf>
    <xf numFmtId="14" fontId="6" fillId="5" borderId="3" xfId="1" applyNumberFormat="1" applyFont="1" applyBorder="1" applyAlignment="1">
      <alignment vertical="center"/>
    </xf>
    <xf numFmtId="0" fontId="4" fillId="0" borderId="0" xfId="0" applyFont="1" applyBorder="1" applyAlignment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14" fontId="0" fillId="0" borderId="39" xfId="0" applyNumberFormat="1" applyFont="1" applyBorder="1" applyAlignment="1">
      <alignment horizontal="center" vertical="center"/>
    </xf>
    <xf numFmtId="164" fontId="0" fillId="0" borderId="39" xfId="0" applyNumberFormat="1" applyFont="1" applyBorder="1" applyAlignment="1">
      <alignment horizontal="center" vertical="center"/>
    </xf>
    <xf numFmtId="2" fontId="0" fillId="0" borderId="39" xfId="0" applyNumberFormat="1" applyFont="1" applyBorder="1" applyAlignment="1">
      <alignment horizontal="center" vertical="center"/>
    </xf>
    <xf numFmtId="0" fontId="0" fillId="0" borderId="0" xfId="0" applyFont="1" applyAlignment="1">
      <alignment vertical="center"/>
    </xf>
    <xf numFmtId="0" fontId="0" fillId="0" borderId="0" xfId="0" applyFont="1" applyAlignment="1">
      <alignment horizontal="center" vertical="center"/>
    </xf>
    <xf numFmtId="14" fontId="0" fillId="0" borderId="40" xfId="0" applyNumberFormat="1" applyFont="1" applyBorder="1" applyAlignment="1">
      <alignment horizontal="center" vertical="center"/>
    </xf>
    <xf numFmtId="164" fontId="0" fillId="0" borderId="40" xfId="0" applyNumberFormat="1" applyFont="1" applyBorder="1" applyAlignment="1">
      <alignment horizontal="center" vertical="center"/>
    </xf>
    <xf numFmtId="2" fontId="0" fillId="0" borderId="40" xfId="0" applyNumberFormat="1" applyFont="1" applyBorder="1" applyAlignment="1">
      <alignment horizontal="center" vertical="center"/>
    </xf>
    <xf numFmtId="14" fontId="7" fillId="0" borderId="0" xfId="0" applyNumberFormat="1" applyFont="1" applyAlignment="1">
      <alignment horizontal="center" vertical="center"/>
    </xf>
    <xf numFmtId="164" fontId="7" fillId="0" borderId="0" xfId="0" applyNumberFormat="1" applyFont="1" applyAlignment="1">
      <alignment horizontal="center" vertical="center"/>
    </xf>
    <xf numFmtId="2" fontId="7" fillId="0" borderId="0" xfId="0" applyNumberFormat="1" applyFont="1" applyAlignment="1">
      <alignment horizontal="center" vertical="center"/>
    </xf>
    <xf numFmtId="10" fontId="7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vertical="center"/>
    </xf>
    <xf numFmtId="0" fontId="7" fillId="0" borderId="0" xfId="0" applyNumberFormat="1" applyFont="1" applyAlignment="1">
      <alignment horizontal="center" vertical="center"/>
    </xf>
    <xf numFmtId="194" fontId="7" fillId="0" borderId="40" xfId="525" applyNumberFormat="1" applyFont="1" applyBorder="1" applyAlignment="1">
      <alignment horizontal="left" vertical="center"/>
    </xf>
    <xf numFmtId="194" fontId="7" fillId="0" borderId="40" xfId="525" applyNumberFormat="1" applyFont="1" applyBorder="1" applyAlignment="1">
      <alignment horizontal="right" vertical="center"/>
    </xf>
    <xf numFmtId="9" fontId="7" fillId="0" borderId="40" xfId="526" applyNumberFormat="1" applyFont="1" applyBorder="1" applyAlignment="1">
      <alignment horizontal="right" vertical="center"/>
    </xf>
    <xf numFmtId="43" fontId="7" fillId="0" borderId="40" xfId="525" applyNumberFormat="1" applyFont="1" applyBorder="1" applyAlignment="1">
      <alignment horizontal="left" vertical="center"/>
    </xf>
    <xf numFmtId="195" fontId="7" fillId="0" borderId="40" xfId="525" applyNumberFormat="1" applyFont="1" applyBorder="1" applyAlignment="1">
      <alignment horizontal="right" vertical="center"/>
    </xf>
    <xf numFmtId="194" fontId="132" fillId="0" borderId="39" xfId="525" applyNumberFormat="1" applyFont="1" applyBorder="1" applyAlignment="1">
      <alignment horizontal="left" vertical="center"/>
    </xf>
    <xf numFmtId="195" fontId="7" fillId="0" borderId="0" xfId="525" applyNumberFormat="1" applyFont="1" applyBorder="1" applyAlignment="1">
      <alignment horizontal="left" vertical="center"/>
    </xf>
    <xf numFmtId="197" fontId="0" fillId="0" borderId="39" xfId="0" applyNumberFormat="1" applyFont="1" applyBorder="1" applyAlignment="1">
      <alignment horizontal="center" vertical="center"/>
    </xf>
    <xf numFmtId="197" fontId="0" fillId="0" borderId="40" xfId="0" applyNumberFormat="1" applyFont="1" applyBorder="1" applyAlignment="1">
      <alignment horizontal="center" vertical="center"/>
    </xf>
    <xf numFmtId="0" fontId="0" fillId="0" borderId="0" xfId="0" applyBorder="1" applyAlignment="1">
      <alignment vertical="center"/>
    </xf>
    <xf numFmtId="197" fontId="0" fillId="0" borderId="0" xfId="0" applyNumberFormat="1" applyFont="1" applyBorder="1" applyAlignment="1">
      <alignment horizontal="center" vertical="center"/>
    </xf>
    <xf numFmtId="0" fontId="0" fillId="0" borderId="0" xfId="0"/>
    <xf numFmtId="14" fontId="0" fillId="0" borderId="0" xfId="0" applyNumberFormat="1"/>
    <xf numFmtId="14" fontId="7" fillId="0" borderId="39" xfId="525" applyNumberFormat="1" applyFont="1" applyBorder="1" applyAlignment="1">
      <alignment horizontal="right" vertical="center"/>
    </xf>
    <xf numFmtId="0" fontId="7" fillId="0" borderId="0" xfId="0" applyNumberFormat="1" applyFont="1"/>
    <xf numFmtId="194" fontId="7" fillId="62" borderId="40" xfId="525" applyNumberFormat="1" applyFont="1" applyFill="1" applyBorder="1" applyAlignment="1">
      <alignment horizontal="center" vertical="center"/>
    </xf>
    <xf numFmtId="0" fontId="7" fillId="62" borderId="40" xfId="525" applyNumberFormat="1" applyFont="1" applyFill="1" applyBorder="1" applyAlignment="1">
      <alignment horizontal="center" vertical="center"/>
    </xf>
    <xf numFmtId="0" fontId="7" fillId="0" borderId="39" xfId="0" applyFont="1" applyBorder="1" applyAlignment="1">
      <alignment horizontal="center"/>
    </xf>
    <xf numFmtId="14" fontId="7" fillId="0" borderId="0" xfId="0" applyNumberFormat="1" applyFont="1"/>
    <xf numFmtId="0" fontId="128" fillId="57" borderId="38" xfId="0" applyFont="1" applyFill="1" applyBorder="1" applyAlignment="1">
      <alignment horizontal="center" vertical="center"/>
    </xf>
    <xf numFmtId="0" fontId="128" fillId="51" borderId="38" xfId="0" applyFont="1" applyFill="1" applyBorder="1" applyAlignment="1">
      <alignment horizontal="center" vertical="center"/>
    </xf>
    <xf numFmtId="0" fontId="128" fillId="53" borderId="38" xfId="0" applyFont="1" applyFill="1" applyBorder="1" applyAlignment="1">
      <alignment horizontal="center" vertical="center"/>
    </xf>
    <xf numFmtId="0" fontId="128" fillId="54" borderId="38" xfId="0" applyFont="1" applyFill="1" applyBorder="1" applyAlignment="1">
      <alignment horizontal="center" vertical="center"/>
    </xf>
    <xf numFmtId="0" fontId="128" fillId="57" borderId="42" xfId="0" applyFont="1" applyFill="1" applyBorder="1" applyAlignment="1">
      <alignment horizontal="center" vertical="center"/>
    </xf>
    <xf numFmtId="0" fontId="128" fillId="57" borderId="5" xfId="0" applyFont="1" applyFill="1" applyBorder="1" applyAlignment="1">
      <alignment horizontal="center" vertical="center"/>
    </xf>
  </cellXfs>
  <cellStyles count="527">
    <cellStyle name="_Bonds" xfId="2"/>
    <cellStyle name="_Bonds 2" xfId="3"/>
    <cellStyle name="_Offering" xfId="4"/>
    <cellStyle name="_Offering 2" xfId="5"/>
    <cellStyle name="£ BP" xfId="6"/>
    <cellStyle name="¥ JY" xfId="7"/>
    <cellStyle name="20% - Accent1 2" xfId="8"/>
    <cellStyle name="20% - Accent1 2 2" xfId="9"/>
    <cellStyle name="20% - Accent1 2 3" xfId="10"/>
    <cellStyle name="20% - Accent1 3" xfId="11"/>
    <cellStyle name="20% - Accent1 3 2" xfId="12"/>
    <cellStyle name="20% - Accent1 3 3" xfId="13"/>
    <cellStyle name="20% - Accent1 4" xfId="14"/>
    <cellStyle name="20% - Accent1 5" xfId="15"/>
    <cellStyle name="20% - Accent2 2" xfId="16"/>
    <cellStyle name="20% - Accent2 3" xfId="17"/>
    <cellStyle name="20% - Accent2 4" xfId="18"/>
    <cellStyle name="20% - Accent3 2" xfId="19"/>
    <cellStyle name="20% - Accent3 3" xfId="20"/>
    <cellStyle name="20% - Accent3 4" xfId="21"/>
    <cellStyle name="20% - Accent4 2" xfId="22"/>
    <cellStyle name="20% - Accent4 3" xfId="23"/>
    <cellStyle name="20% - Accent4 4" xfId="24"/>
    <cellStyle name="20% - Accent5 2" xfId="25"/>
    <cellStyle name="20% - Accent5 3" xfId="26"/>
    <cellStyle name="20% - Accent5 4" xfId="27"/>
    <cellStyle name="20% - Accent6 2" xfId="28"/>
    <cellStyle name="20% - Accent6 3" xfId="29"/>
    <cellStyle name="20% - Accent6 4" xfId="30"/>
    <cellStyle name="40% - Accent1 2" xfId="31"/>
    <cellStyle name="40% - Accent1 3" xfId="32"/>
    <cellStyle name="40% - Accent1 4" xfId="33"/>
    <cellStyle name="40% - Accent2 2" xfId="34"/>
    <cellStyle name="40% - Accent2 3" xfId="35"/>
    <cellStyle name="40% - Accent2 4" xfId="36"/>
    <cellStyle name="40% - Accent3 2" xfId="37"/>
    <cellStyle name="40% - Accent3 3" xfId="38"/>
    <cellStyle name="40% - Accent3 4" xfId="39"/>
    <cellStyle name="40% - Accent4 2" xfId="40"/>
    <cellStyle name="40% - Accent4 3" xfId="41"/>
    <cellStyle name="40% - Accent4 4" xfId="42"/>
    <cellStyle name="40% - Accent5 2" xfId="43"/>
    <cellStyle name="40% - Accent5 3" xfId="44"/>
    <cellStyle name="40% - Accent5 4" xfId="45"/>
    <cellStyle name="40% - Accent6 2" xfId="46"/>
    <cellStyle name="40% - Accent6 3" xfId="47"/>
    <cellStyle name="40% - Accent6 4" xfId="48"/>
    <cellStyle name="60% - Accent1 2" xfId="49"/>
    <cellStyle name="60% - Accent1 3" xfId="50"/>
    <cellStyle name="60% - Accent1 4" xfId="51"/>
    <cellStyle name="60% - Accent2 2" xfId="52"/>
    <cellStyle name="60% - Accent2 3" xfId="53"/>
    <cellStyle name="60% - Accent2 4" xfId="54"/>
    <cellStyle name="60% - Accent3 2" xfId="55"/>
    <cellStyle name="60% - Accent3 3" xfId="56"/>
    <cellStyle name="60% - Accent3 4" xfId="57"/>
    <cellStyle name="60% - Accent4 2" xfId="58"/>
    <cellStyle name="60% - Accent4 3" xfId="59"/>
    <cellStyle name="60% - Accent4 4" xfId="60"/>
    <cellStyle name="60% - Accent5 2" xfId="61"/>
    <cellStyle name="60% - Accent5 3" xfId="62"/>
    <cellStyle name="60% - Accent5 4" xfId="63"/>
    <cellStyle name="60% - Accent6 2" xfId="64"/>
    <cellStyle name="60% - Accent6 3" xfId="65"/>
    <cellStyle name="60% - Accent6 4" xfId="66"/>
    <cellStyle name="Accent1 2" xfId="67"/>
    <cellStyle name="Accent1 3" xfId="68"/>
    <cellStyle name="Accent1 4" xfId="69"/>
    <cellStyle name="Accent2 2" xfId="70"/>
    <cellStyle name="Accent2 3" xfId="71"/>
    <cellStyle name="Accent2 4" xfId="72"/>
    <cellStyle name="Accent3 2" xfId="73"/>
    <cellStyle name="Accent3 3" xfId="74"/>
    <cellStyle name="Accent3 4" xfId="75"/>
    <cellStyle name="Accent4 2" xfId="76"/>
    <cellStyle name="Accent4 3" xfId="77"/>
    <cellStyle name="Accent4 4" xfId="78"/>
    <cellStyle name="Accent5 2" xfId="79"/>
    <cellStyle name="Accent5 3" xfId="80"/>
    <cellStyle name="Accent5 4" xfId="81"/>
    <cellStyle name="Accent6 2" xfId="82"/>
    <cellStyle name="Accent6 3" xfId="83"/>
    <cellStyle name="Accent6 4" xfId="84"/>
    <cellStyle name="Auto_OpenAuto_CloseExtractD_Sheet1" xfId="85"/>
    <cellStyle name="Axis.EffectiveDate" xfId="86"/>
    <cellStyle name="Axis.Seasoning" xfId="87"/>
    <cellStyle name="Bad 2" xfId="88"/>
    <cellStyle name="Bad 3" xfId="89"/>
    <cellStyle name="Bad 4" xfId="90"/>
    <cellStyle name="Big Money" xfId="91"/>
    <cellStyle name="Blue" xfId="92"/>
    <cellStyle name="blue axis cells" xfId="93"/>
    <cellStyle name="blue text cells" xfId="94"/>
    <cellStyle name="Body" xfId="95"/>
    <cellStyle name="Bold/Border" xfId="96"/>
    <cellStyle name="Border" xfId="97"/>
    <cellStyle name="Bullet" xfId="98"/>
    <cellStyle name="Calc Currency (0)" xfId="99"/>
    <cellStyle name="Calc Currency (0) 2" xfId="100"/>
    <cellStyle name="Calc Currency (2)" xfId="101"/>
    <cellStyle name="Calc Currency (2) 2" xfId="102"/>
    <cellStyle name="Calc Percent (0)" xfId="103"/>
    <cellStyle name="Calc Percent (0) 2" xfId="104"/>
    <cellStyle name="Calc Percent (1)" xfId="105"/>
    <cellStyle name="Calc Percent (1) 2" xfId="106"/>
    <cellStyle name="Calc Percent (2)" xfId="107"/>
    <cellStyle name="Calc Percent (2) 2" xfId="108"/>
    <cellStyle name="Calc Units (0)" xfId="109"/>
    <cellStyle name="Calc Units (0) 2" xfId="110"/>
    <cellStyle name="Calc Units (1)" xfId="111"/>
    <cellStyle name="Calc Units (1) 2" xfId="112"/>
    <cellStyle name="Calc Units (2)" xfId="113"/>
    <cellStyle name="Calc Units (2) 2" xfId="114"/>
    <cellStyle name="Calculation 2" xfId="115"/>
    <cellStyle name="Calculation 3" xfId="116"/>
    <cellStyle name="Calculation 4" xfId="117"/>
    <cellStyle name="CCM Input" xfId="118"/>
    <cellStyle name="CCM Title Calculations" xfId="119"/>
    <cellStyle name="CCM Title Indicative" xfId="120"/>
    <cellStyle name="Cello Calculation" xfId="121"/>
    <cellStyle name="Cello Calculation 2" xfId="122"/>
    <cellStyle name="Cello Calculation 2 2" xfId="123"/>
    <cellStyle name="Cello Calculation 3" xfId="124"/>
    <cellStyle name="Cello Calculation 4" xfId="125"/>
    <cellStyle name="Cello Input" xfId="1"/>
    <cellStyle name="Cello Input 2" xfId="126"/>
    <cellStyle name="Cello Input 2 2" xfId="127"/>
    <cellStyle name="Cello Input 2 3" xfId="128"/>
    <cellStyle name="Cello Input 2 5" xfId="129"/>
    <cellStyle name="Cello Input 3" xfId="130"/>
    <cellStyle name="Cello Input 4" xfId="131"/>
    <cellStyle name="Cello Linked Cell" xfId="132"/>
    <cellStyle name="Cello Linked Cell 2" xfId="133"/>
    <cellStyle name="Cello Linked Cell 2 2" xfId="134"/>
    <cellStyle name="Check Cell 2" xfId="135"/>
    <cellStyle name="Check Cell 3" xfId="136"/>
    <cellStyle name="Check Cell 4" xfId="137"/>
    <cellStyle name="Co. Names" xfId="138"/>
    <cellStyle name="Comma" xfId="525" builtinId="3"/>
    <cellStyle name="Comma  - Style1" xfId="139"/>
    <cellStyle name="Comma  - Style1 2" xfId="140"/>
    <cellStyle name="Comma  - Style2" xfId="141"/>
    <cellStyle name="Comma  - Style2 2" xfId="142"/>
    <cellStyle name="Comma  - Style3" xfId="143"/>
    <cellStyle name="Comma  - Style3 2" xfId="144"/>
    <cellStyle name="Comma  - Style4" xfId="145"/>
    <cellStyle name="Comma  - Style4 2" xfId="146"/>
    <cellStyle name="Comma  - Style5" xfId="147"/>
    <cellStyle name="Comma  - Style5 2" xfId="148"/>
    <cellStyle name="Comma  - Style6" xfId="149"/>
    <cellStyle name="Comma  - Style6 2" xfId="150"/>
    <cellStyle name="Comma  - Style7" xfId="151"/>
    <cellStyle name="Comma  - Style7 2" xfId="152"/>
    <cellStyle name="Comma  - Style8" xfId="153"/>
    <cellStyle name="Comma  - Style8 2" xfId="154"/>
    <cellStyle name="Comma [00]" xfId="155"/>
    <cellStyle name="Comma [00] 2" xfId="156"/>
    <cellStyle name="Comma 10" xfId="157"/>
    <cellStyle name="Comma 11" xfId="158"/>
    <cellStyle name="Comma 12" xfId="159"/>
    <cellStyle name="Comma 13" xfId="160"/>
    <cellStyle name="Comma 14" xfId="161"/>
    <cellStyle name="Comma 15" xfId="162"/>
    <cellStyle name="Comma 16" xfId="163"/>
    <cellStyle name="Comma 16 2" xfId="164"/>
    <cellStyle name="Comma 17" xfId="165"/>
    <cellStyle name="Comma 18" xfId="166"/>
    <cellStyle name="Comma 19" xfId="167"/>
    <cellStyle name="Comma 2" xfId="168"/>
    <cellStyle name="Comma 20" xfId="169"/>
    <cellStyle name="Comma 21" xfId="170"/>
    <cellStyle name="Comma 22" xfId="171"/>
    <cellStyle name="Comma 23" xfId="172"/>
    <cellStyle name="Comma 24" xfId="173"/>
    <cellStyle name="Comma 25" xfId="174"/>
    <cellStyle name="Comma 26" xfId="175"/>
    <cellStyle name="Comma 27" xfId="176"/>
    <cellStyle name="Comma 28" xfId="177"/>
    <cellStyle name="Comma 29" xfId="178"/>
    <cellStyle name="Comma 29 2" xfId="179"/>
    <cellStyle name="Comma 3" xfId="180"/>
    <cellStyle name="Comma 30" xfId="181"/>
    <cellStyle name="Comma 4" xfId="182"/>
    <cellStyle name="Comma 4 2" xfId="183"/>
    <cellStyle name="Comma 5" xfId="184"/>
    <cellStyle name="Comma 6" xfId="185"/>
    <cellStyle name="Comma 7" xfId="186"/>
    <cellStyle name="Comma 8" xfId="187"/>
    <cellStyle name="Comma 9" xfId="188"/>
    <cellStyle name="Comma0" xfId="189"/>
    <cellStyle name="Comma1 - Style1" xfId="190"/>
    <cellStyle name="Copied" xfId="191"/>
    <cellStyle name="CTDSwitchAnalysisHeader" xfId="192"/>
    <cellStyle name="Curren - Style2" xfId="193"/>
    <cellStyle name="Currency [00]" xfId="194"/>
    <cellStyle name="Currency [00] 2" xfId="195"/>
    <cellStyle name="Currency [2]" xfId="196"/>
    <cellStyle name="Currency 10" xfId="197"/>
    <cellStyle name="Currency 11" xfId="198"/>
    <cellStyle name="Currency 12" xfId="199"/>
    <cellStyle name="Currency 13" xfId="200"/>
    <cellStyle name="Currency 14" xfId="201"/>
    <cellStyle name="Currency 15" xfId="202"/>
    <cellStyle name="Currency 2" xfId="203"/>
    <cellStyle name="Currency 3" xfId="204"/>
    <cellStyle name="Currency 4" xfId="205"/>
    <cellStyle name="Currency 5" xfId="206"/>
    <cellStyle name="Currency 6" xfId="207"/>
    <cellStyle name="Currency 7" xfId="208"/>
    <cellStyle name="Currency 8" xfId="209"/>
    <cellStyle name="Currency 9" xfId="210"/>
    <cellStyle name="Currency0" xfId="211"/>
    <cellStyle name="Dash" xfId="212"/>
    <cellStyle name="Data.LongPercent" xfId="213"/>
    <cellStyle name="Data.NumPercent" xfId="214"/>
    <cellStyle name="Data.NumShortPercent" xfId="215"/>
    <cellStyle name="date" xfId="216"/>
    <cellStyle name="Date - Style3" xfId="217"/>
    <cellStyle name="Date 2" xfId="218"/>
    <cellStyle name="Date 3" xfId="219"/>
    <cellStyle name="Date 4" xfId="220"/>
    <cellStyle name="Date 5" xfId="221"/>
    <cellStyle name="Date 6" xfId="222"/>
    <cellStyle name="Date 7" xfId="223"/>
    <cellStyle name="Date Short" xfId="224"/>
    <cellStyle name="date title" xfId="225"/>
    <cellStyle name="Date_DV01" xfId="226"/>
    <cellStyle name="DateFormat" xfId="227"/>
    <cellStyle name="DBAHandle" xfId="228"/>
    <cellStyle name="DBAParameter" xfId="229"/>
    <cellStyle name="DELTA" xfId="230"/>
    <cellStyle name="DS 0" xfId="231"/>
    <cellStyle name="DS 1" xfId="232"/>
    <cellStyle name="DS 2" xfId="233"/>
    <cellStyle name="DS 3" xfId="234"/>
    <cellStyle name="DS 4" xfId="235"/>
    <cellStyle name="DS 5" xfId="236"/>
    <cellStyle name="DS 5 2" xfId="237"/>
    <cellStyle name="DS 6" xfId="238"/>
    <cellStyle name="Enter Currency (0)" xfId="239"/>
    <cellStyle name="Enter Currency (0) 2" xfId="240"/>
    <cellStyle name="Enter Currency (2)" xfId="241"/>
    <cellStyle name="Enter Currency (2) 2" xfId="242"/>
    <cellStyle name="Enter Units (0)" xfId="243"/>
    <cellStyle name="Enter Units (0) 2" xfId="244"/>
    <cellStyle name="Enter Units (1)" xfId="245"/>
    <cellStyle name="Enter Units (1) 2" xfId="246"/>
    <cellStyle name="Enter Units (2)" xfId="247"/>
    <cellStyle name="Enter Units (2) 2" xfId="248"/>
    <cellStyle name="Entered" xfId="249"/>
    <cellStyle name="Entries" xfId="250"/>
    <cellStyle name="Euro" xfId="251"/>
    <cellStyle name="Explanatory Text 2" xfId="252"/>
    <cellStyle name="Explanatory Text 3" xfId="253"/>
    <cellStyle name="Explanatory Text 4" xfId="254"/>
    <cellStyle name="Fixed" xfId="255"/>
    <cellStyle name="FullTime" xfId="256"/>
    <cellStyle name="General" xfId="257"/>
    <cellStyle name="Good 2" xfId="258"/>
    <cellStyle name="Good 3" xfId="259"/>
    <cellStyle name="Good 4" xfId="260"/>
    <cellStyle name="gray text cells" xfId="261"/>
    <cellStyle name="Grey" xfId="262"/>
    <cellStyle name="Header1" xfId="263"/>
    <cellStyle name="Header2" xfId="264"/>
    <cellStyle name="Heading" xfId="265"/>
    <cellStyle name="Heading 1 2" xfId="266"/>
    <cellStyle name="Heading 1 2 2" xfId="267"/>
    <cellStyle name="Heading 1 3" xfId="268"/>
    <cellStyle name="Heading 1 4" xfId="269"/>
    <cellStyle name="Heading 1 5" xfId="270"/>
    <cellStyle name="Heading 2 2" xfId="271"/>
    <cellStyle name="Heading 2 2 2" xfId="272"/>
    <cellStyle name="Heading 2 3" xfId="273"/>
    <cellStyle name="Heading 2 4" xfId="274"/>
    <cellStyle name="Heading 2 5" xfId="275"/>
    <cellStyle name="Heading 3 2" xfId="276"/>
    <cellStyle name="Heading 3 3" xfId="277"/>
    <cellStyle name="Heading 3 4" xfId="278"/>
    <cellStyle name="Heading 4 2" xfId="279"/>
    <cellStyle name="Heading 4 3" xfId="280"/>
    <cellStyle name="Heading 4 4" xfId="281"/>
    <cellStyle name="Heading 5" xfId="282"/>
    <cellStyle name="HEADING1" xfId="283"/>
    <cellStyle name="HEADING2" xfId="284"/>
    <cellStyle name="Hyperlink 2" xfId="285"/>
    <cellStyle name="Input [yellow]" xfId="286"/>
    <cellStyle name="Input 2" xfId="287"/>
    <cellStyle name="Input 2 2" xfId="288"/>
    <cellStyle name="Input 2 3" xfId="289"/>
    <cellStyle name="Input 3" xfId="290"/>
    <cellStyle name="Input 4" xfId="291"/>
    <cellStyle name="Input 5" xfId="292"/>
    <cellStyle name="Input 6" xfId="293"/>
    <cellStyle name="Input 7" xfId="294"/>
    <cellStyle name="Item" xfId="295"/>
    <cellStyle name="Link Currency (0)" xfId="296"/>
    <cellStyle name="Link Currency (0) 2" xfId="297"/>
    <cellStyle name="Link Currency (2)" xfId="298"/>
    <cellStyle name="Link Currency (2) 2" xfId="299"/>
    <cellStyle name="Link Units (0)" xfId="300"/>
    <cellStyle name="Link Units (0) 2" xfId="301"/>
    <cellStyle name="Link Units (1)" xfId="302"/>
    <cellStyle name="Link Units (1) 2" xfId="303"/>
    <cellStyle name="Link Units (2)" xfId="304"/>
    <cellStyle name="Link Units (2) 2" xfId="305"/>
    <cellStyle name="Linked Cell 2" xfId="306"/>
    <cellStyle name="Linked Cell 3" xfId="307"/>
    <cellStyle name="Linked Cell 4" xfId="308"/>
    <cellStyle name="Lookup" xfId="309"/>
    <cellStyle name="Milliers [0]_Basis" xfId="310"/>
    <cellStyle name="Milliers_Basis" xfId="311"/>
    <cellStyle name="Monétaire [0]_Basis" xfId="312"/>
    <cellStyle name="Monétaire_Basis" xfId="313"/>
    <cellStyle name="Money" xfId="314"/>
    <cellStyle name="Neutral 2" xfId="315"/>
    <cellStyle name="Neutral 3" xfId="316"/>
    <cellStyle name="Neutral 4" xfId="317"/>
    <cellStyle name="no dec" xfId="318"/>
    <cellStyle name="NoChange" xfId="319"/>
    <cellStyle name="Non Zero" xfId="320"/>
    <cellStyle name="Normal" xfId="0" builtinId="0"/>
    <cellStyle name="Normal - Style1" xfId="321"/>
    <cellStyle name="Normal 10" xfId="322"/>
    <cellStyle name="Normal 10 2" xfId="323"/>
    <cellStyle name="Normal 107" xfId="324"/>
    <cellStyle name="Normal 11" xfId="325"/>
    <cellStyle name="Normal 11 2" xfId="326"/>
    <cellStyle name="Normal 12" xfId="327"/>
    <cellStyle name="Normal 13" xfId="328"/>
    <cellStyle name="Normal 14" xfId="329"/>
    <cellStyle name="Normal 15" xfId="330"/>
    <cellStyle name="Normal 16" xfId="331"/>
    <cellStyle name="Normal 17" xfId="332"/>
    <cellStyle name="Normal 18" xfId="333"/>
    <cellStyle name="Normal 19" xfId="334"/>
    <cellStyle name="Normal 2" xfId="335"/>
    <cellStyle name="Normal 2 2" xfId="336"/>
    <cellStyle name="Normal 2 2 2" xfId="337"/>
    <cellStyle name="Normal 2 3" xfId="338"/>
    <cellStyle name="Normal 2 3 2" xfId="339"/>
    <cellStyle name="Normal 2 3 2 2" xfId="340"/>
    <cellStyle name="Normal 2 3 3" xfId="341"/>
    <cellStyle name="Normal 2 4" xfId="342"/>
    <cellStyle name="Normal 2 4 2" xfId="343"/>
    <cellStyle name="Normal 2 4 2 2" xfId="344"/>
    <cellStyle name="Normal 2 4 3" xfId="345"/>
    <cellStyle name="Normal 2 5" xfId="346"/>
    <cellStyle name="Normal 2 5 2" xfId="347"/>
    <cellStyle name="Normal 2 6" xfId="348"/>
    <cellStyle name="Normal 2 7" xfId="349"/>
    <cellStyle name="Normal 20" xfId="350"/>
    <cellStyle name="Normal 21" xfId="351"/>
    <cellStyle name="Normal 22" xfId="352"/>
    <cellStyle name="Normal 23" xfId="353"/>
    <cellStyle name="Normal 24" xfId="354"/>
    <cellStyle name="Normal 25" xfId="355"/>
    <cellStyle name="Normal 26" xfId="356"/>
    <cellStyle name="Normal 27" xfId="357"/>
    <cellStyle name="Normal 28" xfId="358"/>
    <cellStyle name="Normal 28 2" xfId="359"/>
    <cellStyle name="Normal 29" xfId="360"/>
    <cellStyle name="Normal 3" xfId="361"/>
    <cellStyle name="Normal 3 2" xfId="362"/>
    <cellStyle name="Normal 30" xfId="363"/>
    <cellStyle name="Normal 31" xfId="364"/>
    <cellStyle name="Normal 32" xfId="365"/>
    <cellStyle name="Normal 33" xfId="366"/>
    <cellStyle name="Normal 34" xfId="367"/>
    <cellStyle name="Normal 35" xfId="368"/>
    <cellStyle name="Normal 36" xfId="369"/>
    <cellStyle name="Normal 37" xfId="370"/>
    <cellStyle name="Normal 38" xfId="371"/>
    <cellStyle name="Normal 38 2" xfId="372"/>
    <cellStyle name="Normal 38 2 2" xfId="373"/>
    <cellStyle name="Normal 38 3" xfId="374"/>
    <cellStyle name="Normal 39" xfId="375"/>
    <cellStyle name="Normal 4" xfId="376"/>
    <cellStyle name="Normal 4 2" xfId="377"/>
    <cellStyle name="Normal 4 3" xfId="378"/>
    <cellStyle name="Normal 4 4" xfId="379"/>
    <cellStyle name="Normal 40" xfId="380"/>
    <cellStyle name="Normal 41" xfId="381"/>
    <cellStyle name="Normal 42" xfId="382"/>
    <cellStyle name="Normal 42 2" xfId="383"/>
    <cellStyle name="Normal 5" xfId="384"/>
    <cellStyle name="Normal 6" xfId="385"/>
    <cellStyle name="Normal 6 2" xfId="386"/>
    <cellStyle name="Normal 7" xfId="387"/>
    <cellStyle name="Normal 7 2" xfId="388"/>
    <cellStyle name="Normal 8" xfId="389"/>
    <cellStyle name="Normal 88" xfId="390"/>
    <cellStyle name="Normal 9" xfId="391"/>
    <cellStyle name="Normal 9 2" xfId="392"/>
    <cellStyle name="Note 2" xfId="393"/>
    <cellStyle name="Note 2 2" xfId="394"/>
    <cellStyle name="Note 2 3" xfId="395"/>
    <cellStyle name="Note 2 4" xfId="396"/>
    <cellStyle name="Note 3" xfId="397"/>
    <cellStyle name="Note 4" xfId="398"/>
    <cellStyle name="Note 5" xfId="399"/>
    <cellStyle name="Note 6" xfId="400"/>
    <cellStyle name="Note 7" xfId="401"/>
    <cellStyle name="Note 7 2" xfId="402"/>
    <cellStyle name="Note 8" xfId="403"/>
    <cellStyle name="NumberAsPercent" xfId="404"/>
    <cellStyle name="NumberFormat" xfId="405"/>
    <cellStyle name="Numbers" xfId="406"/>
    <cellStyle name="Numbers - Bold" xfId="407"/>
    <cellStyle name="Numbers_increm pf" xfId="408"/>
    <cellStyle name="NumberTo1DecPlace" xfId="409"/>
    <cellStyle name="OffWhite" xfId="410"/>
    <cellStyle name="Option" xfId="411"/>
    <cellStyle name="orange text cell" xfId="412"/>
    <cellStyle name="Output 2" xfId="413"/>
    <cellStyle name="Output 3" xfId="414"/>
    <cellStyle name="Output 4" xfId="415"/>
    <cellStyle name="Output Amounts" xfId="416"/>
    <cellStyle name="Output Column Headings" xfId="417"/>
    <cellStyle name="Output Line Items" xfId="418"/>
    <cellStyle name="Output Report Heading" xfId="419"/>
    <cellStyle name="Output Report Title" xfId="420"/>
    <cellStyle name="Pageheading" xfId="421"/>
    <cellStyle name="Percent" xfId="526" builtinId="5"/>
    <cellStyle name="Percent [0]" xfId="422"/>
    <cellStyle name="Percent [0] 2" xfId="423"/>
    <cellStyle name="Percent [00]" xfId="424"/>
    <cellStyle name="Percent [00] 2" xfId="425"/>
    <cellStyle name="Percent [2]" xfId="426"/>
    <cellStyle name="Percent 2" xfId="427"/>
    <cellStyle name="Percent 2 2" xfId="428"/>
    <cellStyle name="Percent 3" xfId="429"/>
    <cellStyle name="Percentage" xfId="430"/>
    <cellStyle name="PrePop Currency (0)" xfId="431"/>
    <cellStyle name="PrePop Currency (0) 2" xfId="432"/>
    <cellStyle name="PrePop Currency (2)" xfId="433"/>
    <cellStyle name="PrePop Currency (2) 2" xfId="434"/>
    <cellStyle name="PrePop Units (0)" xfId="435"/>
    <cellStyle name="PrePop Units (0) 2" xfId="436"/>
    <cellStyle name="PrePop Units (1)" xfId="437"/>
    <cellStyle name="PrePop Units (1) 2" xfId="438"/>
    <cellStyle name="PrePop Units (2)" xfId="439"/>
    <cellStyle name="PrePop Units (2) 2" xfId="440"/>
    <cellStyle name="PriceTo3DecPlaces" xfId="441"/>
    <cellStyle name="PriceWithBorderAround" xfId="442"/>
    <cellStyle name="PRICING" xfId="443"/>
    <cellStyle name="Product Header" xfId="444"/>
    <cellStyle name="PSChar" xfId="445"/>
    <cellStyle name="PSHeading" xfId="446"/>
    <cellStyle name="r" xfId="447"/>
    <cellStyle name="r_pldt" xfId="448"/>
    <cellStyle name="ReportLeftHeader" xfId="449"/>
    <cellStyle name="ReportRightHeader" xfId="450"/>
    <cellStyle name="results" xfId="451"/>
    <cellStyle name="RevList" xfId="452"/>
    <cellStyle name="RVRQueryHandle" xfId="453"/>
    <cellStyle name="Section" xfId="454"/>
    <cellStyle name="SecuritiesPricingTable" xfId="455"/>
    <cellStyle name="SecuritiesPricingTableFinalData" xfId="456"/>
    <cellStyle name="SecuritiesPricingTableManualData" xfId="457"/>
    <cellStyle name="SecuritiesPricingTableText" xfId="458"/>
    <cellStyle name="Short $" xfId="459"/>
    <cellStyle name="Short $ 2" xfId="460"/>
    <cellStyle name="SIZE" xfId="461"/>
    <cellStyle name="Standard_Swaps-Bonds-Blending" xfId="462"/>
    <cellStyle name="Style 1" xfId="463"/>
    <cellStyle name="StyleSecuritiesPricingTableInteger" xfId="464"/>
    <cellStyle name="Subheading" xfId="465"/>
    <cellStyle name="subtitle" xfId="466"/>
    <cellStyle name="Subtotal" xfId="467"/>
    <cellStyle name="Table" xfId="468"/>
    <cellStyle name="Tablebody" xfId="469"/>
    <cellStyle name="TablebodyDate" xfId="470"/>
    <cellStyle name="TablebodyHeading" xfId="471"/>
    <cellStyle name="TablebodyOutstandingAmount" xfId="472"/>
    <cellStyle name="TablebodyPercent" xfId="473"/>
    <cellStyle name="TablebodyPrice" xfId="474"/>
    <cellStyle name="TablebodyReverse" xfId="475"/>
    <cellStyle name="TablebodySpread" xfId="476"/>
    <cellStyle name="TablebodySpreadBorder" xfId="477"/>
    <cellStyle name="TablebodyText" xfId="478"/>
    <cellStyle name="Tableheading" xfId="479"/>
    <cellStyle name="Text" xfId="480"/>
    <cellStyle name="Text 2" xfId="481"/>
    <cellStyle name="Text Indent A" xfId="482"/>
    <cellStyle name="Text Indent B" xfId="483"/>
    <cellStyle name="Text Indent B 2" xfId="484"/>
    <cellStyle name="Text Indent C" xfId="485"/>
    <cellStyle name="Text Indent C 2" xfId="486"/>
    <cellStyle name="TextStyle" xfId="487"/>
    <cellStyle name="tic display" xfId="488"/>
    <cellStyle name="tic input" xfId="489"/>
    <cellStyle name="Title - Underline" xfId="490"/>
    <cellStyle name="Title 2" xfId="491"/>
    <cellStyle name="Title 3" xfId="492"/>
    <cellStyle name="Title 4" xfId="493"/>
    <cellStyle name="Title 5" xfId="494"/>
    <cellStyle name="Title 6" xfId="495"/>
    <cellStyle name="Title 7" xfId="496"/>
    <cellStyle name="Title Calculations" xfId="497"/>
    <cellStyle name="Title Calculations 2" xfId="498"/>
    <cellStyle name="Title Indicative" xfId="499"/>
    <cellStyle name="Title Indicative 2" xfId="500"/>
    <cellStyle name="Title Pricing Assumptions" xfId="501"/>
    <cellStyle name="Title Pricing Assumptions 2" xfId="502"/>
    <cellStyle name="Title Pricing Assumptions 2 2" xfId="503"/>
    <cellStyle name="Title Pricing Assumptions 2 3" xfId="504"/>
    <cellStyle name="Title Pricing Assumptions 3" xfId="505"/>
    <cellStyle name="Title Pricing Assumptions 3 12 8" xfId="506"/>
    <cellStyle name="Title Pricing Assumptions 3 6 4 2 8" xfId="507"/>
    <cellStyle name="Titles - Other" xfId="508"/>
    <cellStyle name="Total 2" xfId="509"/>
    <cellStyle name="Total 2 2" xfId="510"/>
    <cellStyle name="Total 3" xfId="511"/>
    <cellStyle name="Total 4" xfId="512"/>
    <cellStyle name="Warning" xfId="513"/>
    <cellStyle name="Warning Text 2" xfId="514"/>
    <cellStyle name="Warning Text 3" xfId="515"/>
    <cellStyle name="Warning Text 4" xfId="516"/>
    <cellStyle name="YB Calculations" xfId="517"/>
    <cellStyle name="YB Calculations 2" xfId="518"/>
    <cellStyle name="YB Curve" xfId="519"/>
    <cellStyle name="YB Indicative" xfId="520"/>
    <cellStyle name="YBINDIC" xfId="521"/>
    <cellStyle name="YBIOPOBE" xfId="522"/>
    <cellStyle name="YBPRICE" xfId="523"/>
    <cellStyle name="一般_原始檔案" xfId="524"/>
  </cellStyles>
  <dxfs count="121"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alignment vertical="center" readingOrder="0"/>
    </dxf>
    <dxf>
      <numFmt numFmtId="2" formatCode="0.00"/>
    </dxf>
    <dxf>
      <font>
        <sz val="10"/>
      </font>
    </dxf>
    <dxf>
      <font>
        <sz val="11"/>
      </font>
    </dxf>
    <dxf>
      <font>
        <sz val="11"/>
      </font>
    </dxf>
    <dxf>
      <alignment horizontal="center" readingOrder="0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</border>
    </dxf>
    <dxf>
      <fill>
        <patternFill patternType="solid">
          <bgColor theme="5" tint="0.79998168889431442"/>
        </patternFill>
      </fill>
    </dxf>
    <dxf>
      <font>
        <sz val="10"/>
      </font>
    </dxf>
    <dxf>
      <numFmt numFmtId="14" formatCode="0.00%"/>
    </dxf>
    <dxf>
      <alignment vertical="center" readingOrder="0"/>
    </dxf>
    <dxf>
      <numFmt numFmtId="2" formatCode="0.00"/>
    </dxf>
    <dxf>
      <font>
        <sz val="10"/>
      </font>
    </dxf>
    <dxf>
      <font>
        <sz val="11"/>
      </font>
    </dxf>
    <dxf>
      <font>
        <sz val="11"/>
      </font>
    </dxf>
    <dxf>
      <alignment horizontal="center" readingOrder="0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</border>
    </dxf>
    <dxf>
      <fill>
        <patternFill>
          <bgColor theme="7" tint="0.59999389629810485"/>
        </patternFill>
      </fill>
    </dxf>
    <dxf>
      <fill>
        <patternFill patternType="solid">
          <bgColor theme="5" tint="0.79998168889431442"/>
        </patternFill>
      </fill>
    </dxf>
    <dxf>
      <font>
        <sz val="10"/>
      </font>
    </dxf>
    <dxf>
      <numFmt numFmtId="14" formatCode="0.00%"/>
    </dxf>
    <dxf>
      <font>
        <color auto="1"/>
      </font>
    </dxf>
    <dxf>
      <fill>
        <patternFill patternType="none">
          <fgColor indexed="64"/>
          <bgColor indexed="65"/>
        </patternFill>
      </fill>
      <alignment wrapText="1" readingOrder="0"/>
    </dxf>
    <dxf>
      <alignment vertical="center" readingOrder="0"/>
    </dxf>
    <dxf>
      <font>
        <sz val="10"/>
      </font>
    </dxf>
    <dxf>
      <font>
        <sz val="11"/>
      </font>
    </dxf>
    <dxf>
      <font>
        <sz val="11"/>
      </font>
    </dxf>
    <dxf>
      <alignment horizontal="center" readingOrder="0"/>
    </dxf>
    <dxf>
      <font>
        <sz val="1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</border>
    </dxf>
    <dxf>
      <alignment horizontal="center" readingOrder="0"/>
    </dxf>
    <dxf>
      <font>
        <color theme="0"/>
      </font>
    </dxf>
    <dxf>
      <numFmt numFmtId="164" formatCode="0.0"/>
    </dxf>
    <dxf>
      <alignment vertical="center" readingOrder="0"/>
    </dxf>
    <dxf>
      <font>
        <sz val="10"/>
      </font>
    </dxf>
    <dxf>
      <font>
        <sz val="11"/>
      </font>
    </dxf>
    <dxf>
      <font>
        <sz val="11"/>
      </font>
    </dxf>
    <dxf>
      <alignment horizontal="center" readingOrder="0"/>
    </dxf>
    <dxf>
      <font>
        <sz val="1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</border>
    </dxf>
    <dxf>
      <fill>
        <patternFill patternType="solid">
          <bgColor theme="9" tint="0.79998168889431442"/>
        </patternFill>
      </fill>
    </dxf>
    <dxf>
      <numFmt numFmtId="2" formatCode="0.00"/>
    </dxf>
    <dxf>
      <font>
        <color theme="0"/>
      </font>
    </dxf>
  </dxfs>
  <tableStyles count="0" defaultTableStyle="TableStyleMedium2" defaultPivotStyle="PivotStyleLight16"/>
  <colors>
    <mruColors>
      <color rgb="FFCACEEE"/>
      <color rgb="FF2E398A"/>
      <color rgb="FFC7732D"/>
      <color rgb="FFB3275C"/>
      <color rgb="FF1B7A76"/>
      <color rgb="FFFFFFFF"/>
      <color rgb="FFF6F4F0"/>
      <color rgb="FF74B629"/>
      <color rgb="FFEFEBE4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291353</xdr:colOff>
      <xdr:row>5</xdr:row>
      <xdr:rowOff>28576</xdr:rowOff>
    </xdr:from>
    <xdr:to>
      <xdr:col>40</xdr:col>
      <xdr:colOff>0</xdr:colOff>
      <xdr:row>7</xdr:row>
      <xdr:rowOff>13336</xdr:rowOff>
    </xdr:to>
    <xdr:sp macro="[0]!SummaryReport" textlink="">
      <xdr:nvSpPr>
        <xdr:cNvPr id="2" name="Rounded Rectangle 1"/>
        <xdr:cNvSpPr/>
      </xdr:nvSpPr>
      <xdr:spPr>
        <a:xfrm>
          <a:off x="24787412" y="981076"/>
          <a:ext cx="1568823" cy="3657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Run</a:t>
          </a:r>
          <a:r>
            <a:rPr lang="en-US" sz="1100" b="1" baseline="0"/>
            <a:t> The Report</a:t>
          </a:r>
          <a:endParaRPr lang="en-US" sz="1100" b="1"/>
        </a:p>
      </xdr:txBody>
    </xdr:sp>
    <xdr:clientData/>
  </xdr:twoCellAnchor>
  <xdr:twoCellAnchor>
    <xdr:from>
      <xdr:col>40</xdr:col>
      <xdr:colOff>276226</xdr:colOff>
      <xdr:row>5</xdr:row>
      <xdr:rowOff>28576</xdr:rowOff>
    </xdr:from>
    <xdr:to>
      <xdr:col>42</xdr:col>
      <xdr:colOff>47626</xdr:colOff>
      <xdr:row>7</xdr:row>
      <xdr:rowOff>13336</xdr:rowOff>
    </xdr:to>
    <xdr:sp macro="[0]!CreatePDFReport" textlink="">
      <xdr:nvSpPr>
        <xdr:cNvPr id="3" name="Rounded Rectangle 2"/>
        <xdr:cNvSpPr/>
      </xdr:nvSpPr>
      <xdr:spPr>
        <a:xfrm>
          <a:off x="27451051" y="981076"/>
          <a:ext cx="1619250" cy="36576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Create Report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Lien Chen" refreshedDate="42332.484824074076" createdVersion="4" refreshedVersion="4" minRefreshableVersion="3" recordCount="155">
  <cacheSource type="worksheet">
    <worksheetSource name="CurrentMtgRatesDataTable82523"/>
  </cacheSource>
  <cacheFields count="21">
    <cacheField name="DealName" numFmtId="0">
      <sharedItems/>
    </cacheField>
    <cacheField name="RefPoolId" numFmtId="0">
      <sharedItems count="14">
        <s v="1372"/>
        <s v="1378"/>
        <s v="1383"/>
        <s v="1384"/>
        <s v="1387"/>
        <s v="1388"/>
        <s v="1392"/>
        <s v="1393"/>
        <s v="1397"/>
        <s v="1398"/>
        <s v="1399"/>
        <s v="1400"/>
        <s v="1404"/>
        <s v="1405"/>
      </sharedItems>
    </cacheField>
    <cacheField name="currentBalance" numFmtId="0">
      <sharedItems containsSemiMixedTypes="0" containsString="0" containsNumber="1" minValue="136083939.11000001" maxValue="58820797423.540001"/>
    </cacheField>
    <cacheField name="beginDate" numFmtId="14">
      <sharedItems containsSemiMixedTypes="0" containsNonDate="0" containsDate="1" containsString="0" minDate="2013-06-01T00:00:00" maxDate="2015-08-02T00:00:00" count="27">
        <d v="2013-09-01T00:00:00"/>
        <d v="2013-10-01T00:00:00"/>
        <d v="2013-11-01T00:00:00"/>
        <d v="2013-12-01T00:00:00"/>
        <d v="2014-01-01T00:00:00"/>
        <d v="2014-02-01T00:00:00"/>
        <d v="2014-03-01T00:00:00"/>
        <d v="2014-04-01T00:00:00"/>
        <d v="2014-05-01T00:00:00"/>
        <d v="2014-06-01T00:00:00"/>
        <d v="2014-07-01T00:00:00"/>
        <d v="2014-08-01T00:00:00"/>
        <d v="2014-09-01T00:00:00"/>
        <d v="2014-10-01T00:00:00"/>
        <d v="2014-11-01T00:00:00"/>
        <d v="2014-12-01T00:00:00"/>
        <d v="2015-01-01T00:00:00"/>
        <d v="2015-02-01T00:00:00"/>
        <d v="2015-03-01T00:00:00"/>
        <d v="2015-04-01T00:00:00"/>
        <d v="2015-05-01T00:00:00"/>
        <d v="2015-06-01T00:00:00"/>
        <d v="2015-07-01T00:00:00"/>
        <d v="2015-08-01T00:00:00"/>
        <d v="2013-07-01T00:00:00" u="1"/>
        <d v="2013-06-01T00:00:00" u="1"/>
        <d v="2013-08-01T00:00:00" u="1"/>
      </sharedItems>
    </cacheField>
    <cacheField name="loanCount" numFmtId="0">
      <sharedItems containsSemiMixedTypes="0" containsString="0" containsNumber="1" containsInteger="1" minValue="1669" maxValue="245287"/>
    </cacheField>
    <cacheField name="prepaymentBalance" numFmtId="0">
      <sharedItems containsSemiMixedTypes="0" containsString="0" containsNumber="1" minValue="885612.07960020751" maxValue="1180390010.9542236"/>
    </cacheField>
    <cacheField name="defaultBalance" numFmtId="0">
      <sharedItems containsSemiMixedTypes="0" containsString="0" containsNumber="1" minValue="0" maxValue="3152261.46"/>
    </cacheField>
    <cacheField name="smm" numFmtId="0">
      <sharedItems containsSemiMixedTypes="0" containsString="0" containsNumber="1" minValue="2.6644542129275902E-3" maxValue="3.9815038819826648E-2"/>
    </cacheField>
    <cacheField name="mdr" numFmtId="0">
      <sharedItems containsSemiMixedTypes="0" containsString="0" containsNumber="1" minValue="0" maxValue="1.2914035674129108E-4"/>
    </cacheField>
    <cacheField name="CPR" numFmtId="0">
      <sharedItems containsSemiMixedTypes="0" containsString="0" containsNumber="1" minValue="3.1509" maxValue="38.587200000000003"/>
    </cacheField>
    <cacheField name="CDR" numFmtId="0">
      <sharedItems containsSemiMixedTypes="0" containsString="0" containsNumber="1" minValue="0" maxValue="0.15479999999999999"/>
    </cacheField>
    <cacheField name="pct_dq" numFmtId="0">
      <sharedItems containsSemiMixedTypes="0" containsString="0" containsNumber="1" minValue="1.1906152793376749E-3" maxValue="5.0769512388135866E-3"/>
    </cacheField>
    <cacheField name="cum_prepayment" numFmtId="0">
      <sharedItems containsSemiMixedTypes="0" containsString="0" containsNumber="1" minValue="885612.07960000006" maxValue="5313563994.0928001"/>
    </cacheField>
    <cacheField name="cum_default" numFmtId="0">
      <sharedItems containsSemiMixedTypes="0" containsString="0" containsNumber="1" minValue="0" maxValue="21709172.760000002"/>
    </cacheField>
    <cacheField name="cum_pp_pct" numFmtId="0">
      <sharedItems containsSemiMixedTypes="0" containsString="0" containsNumber="1" minValue="0" maxValue="0.19189999999999999"/>
    </cacheField>
    <cacheField name="cum_df_pct" numFmtId="0">
      <sharedItems containsSemiMixedTypes="0" containsString="0" containsNumber="1" minValue="0" maxValue="8.9999999999999998E-4"/>
    </cacheField>
    <cacheField name="GroupId" numFmtId="0">
      <sharedItems containsSemiMixedTypes="0" containsString="0" containsNumber="1" containsInteger="1" minValue="1" maxValue="2"/>
    </cacheField>
    <cacheField name="factorDate" numFmtId="14">
      <sharedItems containsSemiMixedTypes="0" containsNonDate="0" containsDate="1" containsString="0" minDate="2013-10-01T00:00:00" maxDate="2015-09-02T00:00:00"/>
    </cacheField>
    <cacheField name="partialCurtailment" numFmtId="0">
      <sharedItems containsSemiMixedTypes="0" containsString="0" containsNumber="1" minValue="31431.9896002075" maxValue="37648906.186377287"/>
    </cacheField>
    <cacheField name="Cum_DF100" numFmtId="0">
      <sharedItems containsSemiMixedTypes="0" containsString="0" containsNumber="1" minValue="0" maxValue="0.09"/>
    </cacheField>
    <cacheField name="DLQ100" numFmtId="0">
      <sharedItems containsSemiMixedTypes="0" containsString="0" containsNumber="1" minValue="0.11906152793376748" maxValue="0.5076951238813586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55">
  <r>
    <s v="CAS 2013-C01"/>
    <x v="0"/>
    <n v="26756375869.560001"/>
    <x v="0"/>
    <n v="112871"/>
    <n v="102529958.98505369"/>
    <n v="0"/>
    <n v="3.8319823089979547E-3"/>
    <n v="0"/>
    <n v="4.5026000000000002"/>
    <n v="0"/>
    <n v="1.1906152793376749E-3"/>
    <n v="102529958.985"/>
    <n v="0"/>
    <n v="4.3E-3"/>
    <n v="0"/>
    <n v="1"/>
    <d v="2013-10-01T00:00:00"/>
    <n v="14330908.575053684"/>
    <n v="0"/>
    <n v="0.11906152793376748"/>
  </r>
  <r>
    <s v="CAS 2013-C01"/>
    <x v="0"/>
    <n v="26615084296.130001"/>
    <x v="1"/>
    <n v="112464"/>
    <n v="117139290.44490892"/>
    <n v="0"/>
    <n v="4.4012368753587492E-3"/>
    <n v="0"/>
    <n v="5.1554000000000002"/>
    <n v="0"/>
    <n v="1.4121100647975355E-3"/>
    <n v="219669249.42989999"/>
    <n v="0"/>
    <n v="9.1999999999999998E-3"/>
    <n v="0"/>
    <n v="1"/>
    <d v="2013-11-01T00:00:00"/>
    <n v="12984404.684908912"/>
    <n v="0"/>
    <n v="0.14121100647975354"/>
  </r>
  <r>
    <s v="CAS 2013-C01"/>
    <x v="0"/>
    <n v="26457457865.02"/>
    <x v="2"/>
    <n v="112005"/>
    <n v="105184908.45883162"/>
    <n v="0"/>
    <n v="3.9756241508712353E-3"/>
    <n v="0"/>
    <n v="4.6677999999999997"/>
    <n v="0"/>
    <n v="2.0171887598680167E-3"/>
    <n v="324854157.88870001"/>
    <n v="0"/>
    <n v="1.3599999999999999E-2"/>
    <n v="0"/>
    <n v="1"/>
    <d v="2013-12-01T00:00:00"/>
    <n v="14813413.208831629"/>
    <n v="0"/>
    <n v="0.20171887598680166"/>
  </r>
  <r>
    <s v="CAS 2013-C01"/>
    <x v="0"/>
    <n v="26312077411.34"/>
    <x v="3"/>
    <n v="111601"/>
    <n v="109030755.35409714"/>
    <n v="0"/>
    <n v="4.143753214526002E-3"/>
    <n v="0"/>
    <n v="4.8606999999999996"/>
    <n v="0"/>
    <n v="1.8353268613137857E-3"/>
    <n v="433884913.2428"/>
    <n v="0"/>
    <n v="1.8200000000000001E-2"/>
    <n v="0"/>
    <n v="1"/>
    <d v="2014-01-01T00:00:00"/>
    <n v="17154677.15409714"/>
    <n v="0"/>
    <n v="0.18353268613137858"/>
  </r>
  <r>
    <s v="CAS 2013-C01"/>
    <x v="0"/>
    <n v="26161767480.869999"/>
    <x v="4"/>
    <n v="111178"/>
    <n v="84196863.64304617"/>
    <n v="0"/>
    <n v="3.2183170997377216E-3"/>
    <n v="0"/>
    <n v="3.7942999999999998"/>
    <n v="0"/>
    <n v="1.8425246220557345E-3"/>
    <n v="518081776.88590002"/>
    <n v="0"/>
    <n v="2.1700000000000001E-2"/>
    <n v="0"/>
    <n v="1"/>
    <d v="2014-02-01T00:00:00"/>
    <n v="15587577.963046174"/>
    <n v="0"/>
    <n v="0.18425246220557345"/>
  </r>
  <r>
    <s v="CAS 2013-C01"/>
    <x v="0"/>
    <n v="26036545442.220001"/>
    <x v="5"/>
    <n v="110861"/>
    <n v="79439105.558957279"/>
    <n v="1023311.22"/>
    <n v="3.051061660051931E-3"/>
    <n v="3.9302879956594872E-5"/>
    <n v="3.6004"/>
    <n v="4.7100000000000003E-2"/>
    <n v="2.6057928890974693E-3"/>
    <n v="597520882.44480002"/>
    <n v="1023311.22"/>
    <n v="2.5100000000000001E-2"/>
    <n v="0"/>
    <n v="1"/>
    <d v="2014-03-01T00:00:00"/>
    <n v="13550250.768957287"/>
    <n v="0"/>
    <n v="0.26057928890974691"/>
  </r>
  <r>
    <s v="CAS 2013-C01"/>
    <x v="0"/>
    <n v="25916391802.970001"/>
    <x v="6"/>
    <n v="110552"/>
    <n v="109662144.85530658"/>
    <n v="854011.18"/>
    <n v="4.2313816556338443E-3"/>
    <n v="3.2952549355351654E-5"/>
    <n v="4.9611000000000001"/>
    <n v="3.95E-2"/>
    <n v="1.818213058293088E-3"/>
    <n v="707183027.30019999"/>
    <n v="1877322.4"/>
    <n v="2.9700000000000001E-2"/>
    <n v="0"/>
    <n v="1"/>
    <d v="2014-04-01T00:00:00"/>
    <n v="18232758.425306581"/>
    <n v="0"/>
    <n v="0.1818213058293088"/>
  </r>
  <r>
    <s v="CAS 2013-C01"/>
    <x v="0"/>
    <n v="25765457636"/>
    <x v="7"/>
    <n v="110126"/>
    <n v="117701978.29599017"/>
    <n v="351476.64"/>
    <n v="4.5682083337629008E-3"/>
    <n v="1.3641389373535131E-5"/>
    <n v="5.3460999999999999"/>
    <n v="1.6299999999999999E-2"/>
    <n v="2.2061685064183735E-3"/>
    <n v="824885005.59609997"/>
    <n v="2228799.04"/>
    <n v="3.4599999999999999E-2"/>
    <n v="0"/>
    <n v="1"/>
    <d v="2014-05-01T00:00:00"/>
    <n v="13355381.125990165"/>
    <n v="0"/>
    <n v="0.22061685064183734"/>
  </r>
  <r>
    <s v="CAS 2013-C01"/>
    <x v="0"/>
    <n v="25606443795.27"/>
    <x v="8"/>
    <n v="109650"/>
    <n v="140827388.83010486"/>
    <n v="652988.27"/>
    <n v="5.4996855461873382E-3"/>
    <n v="2.5500935437220668E-5"/>
    <n v="6.4036"/>
    <n v="3.0499999999999999E-2"/>
    <n v="2.1460464627325875E-3"/>
    <n v="965712394.42620003"/>
    <n v="2881787.31"/>
    <n v="4.0500000000000001E-2"/>
    <n v="1E-4"/>
    <n v="1"/>
    <d v="2014-06-01T00:00:00"/>
    <n v="16297996.220104869"/>
    <n v="0.01"/>
    <n v="0.21460464627325876"/>
  </r>
  <r>
    <s v="CAS 2013-C01"/>
    <x v="0"/>
    <n v="25423992398.689999"/>
    <x v="9"/>
    <n v="109069"/>
    <n v="166667796.41990432"/>
    <n v="1557161.7"/>
    <n v="6.5555320268461089E-3"/>
    <n v="6.1247725203073718E-5"/>
    <n v="7.5891000000000002"/>
    <n v="7.3400000000000007E-2"/>
    <n v="2.6951858298042402E-3"/>
    <n v="1132380190.8462"/>
    <n v="4438949.01"/>
    <n v="4.7500000000000001E-2"/>
    <n v="1E-4"/>
    <n v="1"/>
    <d v="2014-07-01T00:00:00"/>
    <n v="14781887.289904319"/>
    <n v="0.01"/>
    <n v="0.26951858298042403"/>
  </r>
  <r>
    <s v="CAS 2013-C01"/>
    <x v="0"/>
    <n v="25216280196.529999"/>
    <x v="10"/>
    <n v="108385"/>
    <n v="177131466.90127379"/>
    <n v="1275959.04"/>
    <n v="7.0244883670688568E-3"/>
    <n v="5.0600605246113349E-5"/>
    <n v="8.1112000000000002"/>
    <n v="6.0699999999999997E-2"/>
    <n v="2.3431652666252804E-3"/>
    <n v="1309511657.7474"/>
    <n v="5714908.0499999998"/>
    <n v="5.5E-2"/>
    <n v="2.0000000000000001E-4"/>
    <n v="1"/>
    <d v="2014-08-01T00:00:00"/>
    <n v="15015400.681273781"/>
    <n v="0.02"/>
    <n v="0.23431652666252803"/>
  </r>
  <r>
    <s v="CAS 2013-C01"/>
    <x v="0"/>
    <n v="24996956176.130001"/>
    <x v="11"/>
    <n v="107665"/>
    <n v="153284298.18179268"/>
    <n v="604755.53"/>
    <n v="6.1321185308220181E-3"/>
    <n v="2.4193166789542596E-5"/>
    <n v="7.1153000000000004"/>
    <n v="2.9000000000000001E-2"/>
    <n v="3.2159122504188662E-3"/>
    <n v="1462795955.9291999"/>
    <n v="6319663.5800000001"/>
    <n v="6.1400000000000003E-2"/>
    <n v="2.0000000000000001E-4"/>
    <n v="1"/>
    <d v="2014-09-01T00:00:00"/>
    <n v="17340957.131792668"/>
    <n v="0.02"/>
    <n v="0.32159122504188664"/>
  </r>
  <r>
    <s v="CAS 2013-C01"/>
    <x v="0"/>
    <n v="24802641701.849998"/>
    <x v="12"/>
    <n v="107037"/>
    <n v="141182342.8772285"/>
    <n v="1290509.6100000001"/>
    <n v="5.6922300686502222E-3"/>
    <n v="5.2031135453758639E-5"/>
    <n v="6.6208"/>
    <n v="6.2399999999999997E-2"/>
    <n v="2.8280316807853634E-3"/>
    <n v="1603978298.8064001"/>
    <n v="7610173.1900000004"/>
    <n v="6.7299999999999999E-2"/>
    <n v="2.9999999999999997E-4"/>
    <n v="1"/>
    <d v="2014-10-01T00:00:00"/>
    <n v="14481512.77722849"/>
    <n v="0.03"/>
    <n v="0.28280316807853634"/>
  </r>
  <r>
    <s v="CAS 2013-C01"/>
    <x v="0"/>
    <n v="24620644680.27"/>
    <x v="13"/>
    <n v="106428"/>
    <n v="146164416.08151674"/>
    <n v="1116616.01"/>
    <n v="5.9366607974586086E-3"/>
    <n v="4.5352833952996018E-5"/>
    <n v="6.8959000000000001"/>
    <n v="5.4399999999999997E-2"/>
    <n v="2.2773411382250256E-3"/>
    <n v="1750142714.888"/>
    <n v="8726789.1999999993"/>
    <n v="7.3499999999999996E-2"/>
    <n v="2.9999999999999997E-4"/>
    <n v="1"/>
    <d v="2014-11-01T00:00:00"/>
    <n v="16979321.871516746"/>
    <n v="0.03"/>
    <n v="0.22773411382250255"/>
  </r>
  <r>
    <s v="CAS 2013-C01"/>
    <x v="0"/>
    <n v="24432524690.669998"/>
    <x v="14"/>
    <n v="105824"/>
    <n v="130465324.00191189"/>
    <n v="1223255.5900000001"/>
    <n v="5.3398216374966941E-3"/>
    <n v="5.006668796970958E-5"/>
    <n v="6.2229000000000001"/>
    <n v="0.06"/>
    <n v="3.7766798780822035E-3"/>
    <n v="1880608038.8899"/>
    <n v="9950044.7899999991"/>
    <n v="7.9000000000000001E-2"/>
    <n v="4.0000000000000002E-4"/>
    <n v="1"/>
    <d v="2014-12-01T00:00:00"/>
    <n v="12054557.541911893"/>
    <n v="0.04"/>
    <n v="0.37766798780822036"/>
  </r>
  <r>
    <s v="CAS 2013-C01"/>
    <x v="0"/>
    <n v="24250413543.919998"/>
    <x v="15"/>
    <n v="105250"/>
    <n v="167068001.12957242"/>
    <n v="1370080.94"/>
    <n v="6.8892846230022026E-3"/>
    <n v="5.6497219625498016E-5"/>
    <n v="7.9608999999999996"/>
    <n v="6.7699999999999996E-2"/>
    <n v="2.9056197549944944E-3"/>
    <n v="2047676040.0193999"/>
    <n v="11320125.73"/>
    <n v="8.5999999999999993E-2"/>
    <n v="4.0000000000000002E-4"/>
    <n v="1"/>
    <d v="2015-01-01T00:00:00"/>
    <n v="18400584.229572415"/>
    <n v="0.04"/>
    <n v="0.29056197549944945"/>
  </r>
  <r>
    <s v="CAS 2013-C01"/>
    <x v="0"/>
    <n v="24040795038.360001"/>
    <x v="16"/>
    <n v="104594"/>
    <n v="123226193.35452217"/>
    <n v="2150325.98"/>
    <n v="5.1257120722463575E-3"/>
    <n v="8.944487803206568E-5"/>
    <n v="5.9802999999999997"/>
    <n v="0.1072"/>
    <n v="3.088926895783137E-3"/>
    <n v="2170902233.3740001"/>
    <n v="13470451.710000001"/>
    <n v="9.1200000000000003E-2"/>
    <n v="5.0000000000000001E-4"/>
    <n v="1"/>
    <d v="2015-02-01T00:00:00"/>
    <n v="14283658.524522176"/>
    <n v="0.05"/>
    <n v="0.30889268957831367"/>
  </r>
  <r>
    <s v="CAS 2013-C01"/>
    <x v="0"/>
    <n v="23875975738.029999"/>
    <x v="17"/>
    <n v="104108"/>
    <n v="188500693.34794134"/>
    <n v="895695.95"/>
    <n v="7.894994341433122E-3"/>
    <n v="3.7514527566440878E-5"/>
    <n v="9.0731999999999999"/>
    <n v="4.4999999999999998E-2"/>
    <n v="3.7509790134922223E-3"/>
    <n v="2359402926.7219"/>
    <n v="14366147.66"/>
    <n v="9.9099999999999994E-2"/>
    <n v="5.9999999999999995E-4"/>
    <n v="1"/>
    <d v="2015-03-01T00:00:00"/>
    <n v="13453680.45794135"/>
    <n v="0.06"/>
    <n v="0.37509790134922222"/>
  </r>
  <r>
    <s v="CAS 2013-C01"/>
    <x v="0"/>
    <n v="23646957349.279999"/>
    <x v="18"/>
    <n v="103403"/>
    <n v="231466582.66674614"/>
    <n v="524174.41"/>
    <n v="9.7884298283218169E-3"/>
    <n v="2.2166674648988616E-5"/>
    <n v="11.133900000000001"/>
    <n v="2.6499999999999999E-2"/>
    <n v="2.4624736620406252E-3"/>
    <n v="2590869509.3887"/>
    <n v="14890322.07"/>
    <n v="0.10879999999999999"/>
    <n v="5.9999999999999995E-4"/>
    <n v="1"/>
    <d v="2015-04-01T00:00:00"/>
    <n v="17972186.436746147"/>
    <n v="0.06"/>
    <n v="0.24624736620406251"/>
  </r>
  <r>
    <s v="CAS 2013-C01"/>
    <x v="0"/>
    <n v="23375554328.130001"/>
    <x v="19"/>
    <n v="102545"/>
    <n v="208464582.27247635"/>
    <n v="1986068.5"/>
    <n v="8.9180594113916403E-3"/>
    <n v="8.4963482453546656E-5"/>
    <n v="10.192"/>
    <n v="0.1019"/>
    <n v="2.3933989322629107E-3"/>
    <n v="2799334091.6610999"/>
    <n v="16876390.57"/>
    <n v="0.1176"/>
    <n v="6.9999999999999999E-4"/>
    <n v="1"/>
    <d v="2015-05-01T00:00:00"/>
    <n v="15662967.172476333"/>
    <n v="6.9999999999999993E-2"/>
    <n v="0.23933989322629107"/>
  </r>
  <r>
    <s v="CAS 2013-C01"/>
    <x v="0"/>
    <n v="23125464114.549999"/>
    <x v="20"/>
    <n v="101715"/>
    <n v="229769524.20539668"/>
    <n v="1529355.92"/>
    <n v="9.9357800157978717E-3"/>
    <n v="6.6132982777100893E-5"/>
    <n v="11.292400000000001"/>
    <n v="7.9299999999999995E-2"/>
    <n v="2.9658425275385929E-3"/>
    <n v="3029103615.8664999"/>
    <n v="18405746.489999998"/>
    <n v="0.12720000000000001"/>
    <n v="6.9999999999999999E-4"/>
    <n v="1"/>
    <d v="2015-06-01T00:00:00"/>
    <n v="13341724.225396693"/>
    <n v="6.9999999999999993E-2"/>
    <n v="0.2965842527538593"/>
  </r>
  <r>
    <s v="CAS 2013-C01"/>
    <x v="0"/>
    <n v="22854846731.060001"/>
    <x v="21"/>
    <n v="100783"/>
    <n v="262368240.05812284"/>
    <n v="1964314.41"/>
    <n v="1.1479763708131167E-2"/>
    <n v="8.5947389326854429E-5"/>
    <n v="12.9383"/>
    <n v="0.10299999999999999"/>
    <n v="3.0338535723264557E-3"/>
    <n v="3291471855.9246998"/>
    <n v="20370060.899999999"/>
    <n v="0.13819999999999999"/>
    <n v="8.0000000000000004E-4"/>
    <n v="1"/>
    <d v="2015-07-01T00:00:00"/>
    <n v="14947598.088122845"/>
    <n v="0.08"/>
    <n v="0.30338535723264559"/>
  </r>
  <r>
    <s v="CAS 2013-C01"/>
    <x v="0"/>
    <n v="22550892718.18"/>
    <x v="22"/>
    <n v="99701"/>
    <n v="222766426.69571179"/>
    <n v="1274175.8600000001"/>
    <n v="9.8783861676625655E-3"/>
    <n v="5.6502235894758583E-5"/>
    <n v="11.230700000000001"/>
    <n v="6.7699999999999996E-2"/>
    <n v="2.5658093354926736E-3"/>
    <n v="3514238282.6204"/>
    <n v="21644236.760000002"/>
    <n v="0.14760000000000001"/>
    <n v="8.9999999999999998E-4"/>
    <n v="1"/>
    <d v="2015-08-01T00:00:00"/>
    <n v="18465113.545711786"/>
    <n v="0.09"/>
    <n v="0.25658093354926736"/>
  </r>
  <r>
    <s v="CAS 2013-C01"/>
    <x v="0"/>
    <n v="22287252889.32"/>
    <x v="23"/>
    <n v="98781"/>
    <n v="199971365.03574207"/>
    <n v="64936"/>
    <n v="8.9724546146989648E-3"/>
    <n v="2.9135937175602821E-6"/>
    <n v="10.251099999999999"/>
    <n v="3.3999999999999998E-3"/>
    <n v="3.046347121252211E-3"/>
    <n v="3714209647.6560998"/>
    <n v="21709172.760000002"/>
    <n v="0.156"/>
    <n v="8.9999999999999998E-4"/>
    <n v="1"/>
    <d v="2015-09-01T00:00:00"/>
    <n v="13992497.345742071"/>
    <n v="0.09"/>
    <n v="0.30463471212522109"/>
  </r>
  <r>
    <s v="CAS 2014-C01"/>
    <x v="1"/>
    <n v="29308718889.77"/>
    <x v="3"/>
    <n v="122291"/>
    <n v="98105555.343635857"/>
    <n v="0"/>
    <n v="3.3473163979841811E-3"/>
    <n v="0"/>
    <n v="3.9436"/>
    <n v="0"/>
    <n v="1.4466061276666303E-3"/>
    <n v="98105555.343600005"/>
    <n v="0"/>
    <n v="3.5999999999999999E-3"/>
    <n v="0"/>
    <n v="1"/>
    <d v="2014-01-01T00:00:00"/>
    <n v="16316848.603635851"/>
    <n v="0"/>
    <n v="0.14466061276666303"/>
  </r>
  <r>
    <s v="CAS 2014-C01"/>
    <x v="1"/>
    <n v="29163882168.77"/>
    <x v="4"/>
    <n v="121923"/>
    <n v="77705828.709903061"/>
    <n v="0"/>
    <n v="2.6644542129275902E-3"/>
    <n v="0"/>
    <n v="3.1509"/>
    <n v="0"/>
    <n v="1.6038141677889206E-3"/>
    <n v="175811384.0535"/>
    <n v="0"/>
    <n v="6.4999999999999997E-3"/>
    <n v="0"/>
    <n v="1"/>
    <d v="2014-02-01T00:00:00"/>
    <n v="17109175.309903055"/>
    <n v="0"/>
    <n v="0.16038141677889206"/>
  </r>
  <r>
    <s v="CAS 2014-C01"/>
    <x v="1"/>
    <n v="29040913330.150002"/>
    <x v="5"/>
    <n v="121654"/>
    <n v="81029983.144586861"/>
    <n v="0"/>
    <n v="2.7902009218305924E-3"/>
    <n v="0"/>
    <n v="3.2972999999999999"/>
    <n v="0"/>
    <n v="2.6455428789919247E-3"/>
    <n v="256841367.1981"/>
    <n v="0"/>
    <n v="9.4999999999999998E-3"/>
    <n v="0"/>
    <n v="1"/>
    <d v="2014-03-01T00:00:00"/>
    <n v="14614523.274586868"/>
    <n v="0"/>
    <n v="0.26455428789919244"/>
  </r>
  <r>
    <s v="CAS 2014-C01"/>
    <x v="1"/>
    <n v="28914638991.330002"/>
    <x v="6"/>
    <n v="121357"/>
    <n v="106750893.06477638"/>
    <n v="0"/>
    <n v="3.6919324186196973E-3"/>
    <n v="0"/>
    <n v="4.3414000000000001"/>
    <n v="0"/>
    <n v="1.7458782720799926E-3"/>
    <n v="363592260.26289999"/>
    <n v="0"/>
    <n v="1.34E-2"/>
    <n v="0"/>
    <n v="1"/>
    <d v="2014-04-01T00:00:00"/>
    <n v="17113693.124776371"/>
    <n v="0"/>
    <n v="0.17458782720799926"/>
  </r>
  <r>
    <s v="CAS 2014-C01"/>
    <x v="1"/>
    <n v="28762301298.98"/>
    <x v="7"/>
    <n v="120935"/>
    <n v="119764760.77562627"/>
    <n v="0"/>
    <n v="4.1639491753698273E-3"/>
    <n v="0"/>
    <n v="4.8837999999999999"/>
    <n v="0"/>
    <n v="1.9816911841480963E-3"/>
    <n v="483357021.03850001"/>
    <n v="0"/>
    <n v="1.7899999999999999E-2"/>
    <n v="0"/>
    <n v="1"/>
    <d v="2014-05-01T00:00:00"/>
    <n v="16676016.005626274"/>
    <n v="0"/>
    <n v="0.19816911841480964"/>
  </r>
  <r>
    <s v="CAS 2014-C01"/>
    <x v="1"/>
    <n v="28595851604.799999"/>
    <x v="8"/>
    <n v="120457"/>
    <n v="134245375.79486835"/>
    <n v="968222.55"/>
    <n v="4.6945752009824523E-3"/>
    <n v="3.385884649917114E-5"/>
    <n v="5.4901999999999997"/>
    <n v="4.0599999999999997E-2"/>
    <n v="2.4658054991502382E-3"/>
    <n v="617602396.83329999"/>
    <n v="968222.55"/>
    <n v="2.29E-2"/>
    <n v="0"/>
    <n v="1"/>
    <d v="2014-06-01T00:00:00"/>
    <n v="15613684.444868337"/>
    <n v="0"/>
    <n v="0.24658054991502382"/>
  </r>
  <r>
    <s v="CAS 2014-C01"/>
    <x v="1"/>
    <n v="28414153891.810001"/>
    <x v="9"/>
    <n v="119901"/>
    <n v="158579119.94993708"/>
    <n v="174305.64"/>
    <n v="5.5809903949188295E-3"/>
    <n v="6.1344652620552349E-6"/>
    <n v="6.4953000000000003"/>
    <n v="7.3000000000000001E-3"/>
    <n v="2.5690980279740412E-3"/>
    <n v="776181516.78330004"/>
    <n v="1142528.19"/>
    <n v="2.8799999999999999E-2"/>
    <n v="0"/>
    <n v="1"/>
    <d v="2014-07-01T00:00:00"/>
    <n v="15030143.379937077"/>
    <n v="0"/>
    <n v="0.25690980279740411"/>
  </r>
  <r>
    <s v="CAS 2014-C01"/>
    <x v="1"/>
    <n v="28210548350.849998"/>
    <x v="10"/>
    <n v="119270"/>
    <n v="159003200.94288641"/>
    <n v="753455.6"/>
    <n v="5.6363030936297112E-3"/>
    <n v="2.6708293317428477E-5"/>
    <n v="6.5576999999999996"/>
    <n v="3.2000000000000001E-2"/>
    <n v="2.1615506360110393E-3"/>
    <n v="935184717.72619998"/>
    <n v="1895983.79"/>
    <n v="3.4700000000000002E-2"/>
    <n v="0"/>
    <n v="1"/>
    <d v="2014-08-01T00:00:00"/>
    <n v="14929298.202886403"/>
    <n v="0"/>
    <n v="0.21615506360110393"/>
  </r>
  <r>
    <s v="CAS 2014-C01"/>
    <x v="1"/>
    <n v="28004523289.130001"/>
    <x v="11"/>
    <n v="118639"/>
    <n v="154033119.23516107"/>
    <n v="650897.73"/>
    <n v="5.5002942790655989E-3"/>
    <n v="2.3242592751173414E-5"/>
    <n v="6.4042000000000003"/>
    <n v="2.7799999999999998E-2"/>
    <n v="2.5246221912101838E-3"/>
    <n v="1089217836.9612999"/>
    <n v="2546881.52"/>
    <n v="4.0399999999999998E-2"/>
    <n v="0"/>
    <n v="1"/>
    <d v="2014-09-01T00:00:00"/>
    <n v="16005314.145161074"/>
    <n v="0"/>
    <n v="0.25246221912101841"/>
  </r>
  <r>
    <s v="CAS 2014-C01"/>
    <x v="1"/>
    <n v="27804202181.93"/>
    <x v="12"/>
    <n v="118024"/>
    <n v="149781551.8991248"/>
    <n v="463429.48"/>
    <n v="5.3870113200539197E-3"/>
    <n v="1.6667605744184367E-5"/>
    <n v="6.2762000000000002"/>
    <n v="1.9900000000000001E-2"/>
    <n v="2.3100353414111747E-3"/>
    <n v="1238999388.8605001"/>
    <n v="3010311"/>
    <n v="4.5900000000000003E-2"/>
    <n v="1E-4"/>
    <n v="1"/>
    <d v="2014-10-01T00:00:00"/>
    <n v="12968379.219124794"/>
    <n v="0.01"/>
    <n v="0.23100353414111746"/>
  </r>
  <r>
    <s v="CAS 2014-C01"/>
    <x v="1"/>
    <n v="27608267043.360001"/>
    <x v="13"/>
    <n v="117397"/>
    <n v="159048046.77324229"/>
    <n v="1565411.17"/>
    <n v="5.7608848292958897E-3"/>
    <n v="5.6700812388602762E-5"/>
    <n v="6.6981000000000002"/>
    <n v="6.8000000000000005E-2"/>
    <n v="2.1632208706255538E-3"/>
    <n v="1398047435.6336999"/>
    <n v="4575722.17"/>
    <n v="5.1900000000000002E-2"/>
    <n v="1E-4"/>
    <n v="1"/>
    <d v="2014-11-01T00:00:00"/>
    <n v="18879713.353242304"/>
    <n v="0.01"/>
    <n v="0.21632208706255537"/>
  </r>
  <r>
    <s v="CAS 2014-C01"/>
    <x v="1"/>
    <n v="27400500608.950001"/>
    <x v="14"/>
    <n v="116734"/>
    <n v="120007661.26926655"/>
    <n v="1131561.0900000001"/>
    <n v="4.3797616321676865E-3"/>
    <n v="4.1297095485561713E-5"/>
    <n v="5.1308999999999996"/>
    <n v="4.9500000000000002E-2"/>
    <n v="3.3128638894411246E-3"/>
    <n v="1518055096.9030001"/>
    <n v="5707283.2599999998"/>
    <n v="5.6300000000000003E-2"/>
    <n v="2.0000000000000001E-4"/>
    <n v="1"/>
    <d v="2014-12-01T00:00:00"/>
    <n v="11618003.93926654"/>
    <n v="0.02"/>
    <n v="0.33128638894411244"/>
  </r>
  <r>
    <s v="CAS 2014-C01"/>
    <x v="1"/>
    <n v="27225047202.509998"/>
    <x v="15"/>
    <n v="116183"/>
    <n v="156534603.800221"/>
    <n v="1455861.35"/>
    <n v="5.7496540827223748E-3"/>
    <n v="5.3475071656286331E-5"/>
    <n v="6.6855000000000002"/>
    <n v="6.4100000000000004E-2"/>
    <n v="2.4964216199314425E-3"/>
    <n v="1674589700.7032001"/>
    <n v="7163144.6100000003"/>
    <n v="6.2100000000000002E-2"/>
    <n v="2.0000000000000001E-4"/>
    <n v="1"/>
    <d v="2015-01-01T00:00:00"/>
    <n v="19015221.900220994"/>
    <n v="0.02"/>
    <n v="0.24964216199314426"/>
  </r>
  <r>
    <s v="CAS 2014-C01"/>
    <x v="1"/>
    <n v="27019816709.34"/>
    <x v="16"/>
    <n v="115569"/>
    <n v="118252138.15482891"/>
    <n v="854769.17"/>
    <n v="4.3764966811914909E-3"/>
    <n v="3.1634898903830463E-5"/>
    <n v="5.1272000000000002"/>
    <n v="3.7900000000000003E-2"/>
    <n v="2.6893458242772429E-3"/>
    <n v="1792841838.858"/>
    <n v="8017913.7800000003"/>
    <n v="6.6500000000000004E-2"/>
    <n v="2.0000000000000001E-4"/>
    <n v="1"/>
    <d v="2015-02-01T00:00:00"/>
    <n v="15314699.414828898"/>
    <n v="0.02"/>
    <n v="0.26893458242772428"/>
  </r>
  <r>
    <s v="CAS 2014-C01"/>
    <x v="1"/>
    <n v="26855044959.66"/>
    <x v="17"/>
    <n v="115110"/>
    <n v="151630303.01090521"/>
    <n v="838883.82"/>
    <n v="5.6462502013560189E-3"/>
    <n v="3.1237475910396716E-5"/>
    <n v="6.569"/>
    <n v="3.7400000000000003E-2"/>
    <n v="3.3109033726646834E-3"/>
    <n v="1944472141.8689001"/>
    <n v="8856797.5999999996"/>
    <n v="7.2099999999999997E-2"/>
    <n v="2.9999999999999997E-4"/>
    <n v="1"/>
    <d v="2015-03-01T00:00:00"/>
    <n v="13791202.040905206"/>
    <n v="0.03"/>
    <n v="0.33109033726646836"/>
  </r>
  <r>
    <s v="CAS 2014-C01"/>
    <x v="1"/>
    <n v="26657506069.720001"/>
    <x v="18"/>
    <n v="114528"/>
    <n v="203971998.20594758"/>
    <n v="1844251.32"/>
    <n v="7.6515784211951239E-3"/>
    <n v="6.9183190474628344E-5"/>
    <n v="8.8050999999999995"/>
    <n v="8.2900000000000001E-2"/>
    <n v="2.3504121228043341E-3"/>
    <n v="2148444140.0749002"/>
    <n v="10701048.92"/>
    <n v="7.9699999999999993E-2"/>
    <n v="2.9999999999999997E-4"/>
    <n v="1"/>
    <d v="2015-04-01T00:00:00"/>
    <n v="18398685.865947589"/>
    <n v="0.03"/>
    <n v="0.2350412122804334"/>
  </r>
  <r>
    <s v="CAS 2014-C01"/>
    <x v="1"/>
    <n v="26406438875.57"/>
    <x v="19"/>
    <n v="113768"/>
    <n v="197087543.79730409"/>
    <n v="1102391.71"/>
    <n v="7.4636169127538154E-3"/>
    <n v="4.1747079763181593E-5"/>
    <n v="8.5975999999999999"/>
    <n v="0.05"/>
    <n v="2.440380175973614E-3"/>
    <n v="2345531683.8722"/>
    <n v="11803440.630000001"/>
    <n v="8.6999999999999994E-2"/>
    <n v="4.0000000000000002E-4"/>
    <n v="1"/>
    <d v="2015-05-01T00:00:00"/>
    <n v="14606973.637304107"/>
    <n v="0.04"/>
    <n v="0.24403801759736141"/>
  </r>
  <r>
    <s v="CAS 2014-C01"/>
    <x v="1"/>
    <n v="26162897601.029999"/>
    <x v="20"/>
    <n v="112982"/>
    <n v="210593396.12625891"/>
    <n v="1322126.79"/>
    <n v="8.049314695095856E-3"/>
    <n v="5.0534417485468031E-5"/>
    <n v="9.2428000000000008"/>
    <n v="6.0600000000000001E-2"/>
    <n v="3.0042836867161683E-3"/>
    <n v="2556125079.9984002"/>
    <n v="13125567.42"/>
    <n v="9.4799999999999995E-2"/>
    <n v="4.0000000000000002E-4"/>
    <n v="1"/>
    <d v="2015-06-01T00:00:00"/>
    <n v="14712058.106258901"/>
    <n v="0.04"/>
    <n v="0.30042836867161682"/>
  </r>
  <r>
    <s v="CAS 2014-C01"/>
    <x v="1"/>
    <n v="25905894716.189999"/>
    <x v="21"/>
    <n v="112111"/>
    <n v="263097448.18951866"/>
    <n v="910535.11"/>
    <n v="1.0155891200511009E-2"/>
    <n v="3.5147796282479184E-5"/>
    <n v="11.5288"/>
    <n v="4.2099999999999999E-2"/>
    <n v="2.4921569749780533E-3"/>
    <n v="2819222528.1879001"/>
    <n v="14036102.529999999"/>
    <n v="0.1046"/>
    <n v="5.0000000000000001E-4"/>
    <n v="1"/>
    <d v="2015-07-01T00:00:00"/>
    <n v="15642684.409518648"/>
    <n v="0.05"/>
    <n v="0.24921569749780534"/>
  </r>
  <r>
    <s v="CAS 2014-C01"/>
    <x v="1"/>
    <n v="25596405582.549999"/>
    <x v="22"/>
    <n v="111023"/>
    <n v="213566636.27537459"/>
    <n v="487606.48"/>
    <n v="8.3436182313414622E-3"/>
    <n v="1.9049802849366439E-5"/>
    <n v="9.5654000000000003"/>
    <n v="2.2800000000000001E-2"/>
    <n v="2.3781506709480617E-3"/>
    <n v="3032789164.4633002"/>
    <n v="14523709.01"/>
    <n v="0.1125"/>
    <n v="5.0000000000000001E-4"/>
    <n v="1"/>
    <d v="2015-08-01T00:00:00"/>
    <n v="17743947.61537458"/>
    <n v="0.05"/>
    <n v="0.23781506709480618"/>
  </r>
  <r>
    <s v="CAS 2014-C01"/>
    <x v="1"/>
    <n v="25336974824.919998"/>
    <x v="23"/>
    <n v="110128"/>
    <n v="193875942.33242217"/>
    <n v="1127551.3799999999"/>
    <n v="7.6518978162198308E-3"/>
    <n v="4.4502210220101135E-5"/>
    <n v="8.8055000000000003"/>
    <n v="5.33E-2"/>
    <n v="2.6327520854775377E-3"/>
    <n v="3226665106.7957001"/>
    <n v="15651260.390000001"/>
    <n v="0.1197"/>
    <n v="5.0000000000000001E-4"/>
    <n v="1"/>
    <d v="2015-09-01T00:00:00"/>
    <n v="13908933.942422178"/>
    <n v="0.05"/>
    <n v="0.26327520854775377"/>
  </r>
  <r>
    <s v="CAS 2014-C02"/>
    <x v="2"/>
    <n v="46843320654.029999"/>
    <x v="7"/>
    <n v="192365"/>
    <n v="189045589.95623809"/>
    <n v="0"/>
    <n v="4.0357000169238474E-3"/>
    <n v="0"/>
    <n v="4.7366999999999999"/>
    <n v="0"/>
    <n v="1.3427046482151752E-3"/>
    <n v="189045589.9562"/>
    <n v="0"/>
    <n v="4.3E-3"/>
    <n v="0"/>
    <n v="1"/>
    <d v="2014-05-01T00:00:00"/>
    <n v="23238273.296238098"/>
    <n v="0"/>
    <n v="0.13427046482151753"/>
  </r>
  <r>
    <s v="CAS 2014-C02"/>
    <x v="2"/>
    <n v="46579971572.120003"/>
    <x v="8"/>
    <n v="191641"/>
    <n v="221238820.44516179"/>
    <n v="0"/>
    <n v="4.7496555489008113E-3"/>
    <n v="0"/>
    <n v="5.5529999999999999"/>
    <n v="0"/>
    <n v="1.8740335147015858E-3"/>
    <n v="410284410.40130001"/>
    <n v="0"/>
    <n v="9.2999999999999992E-3"/>
    <n v="0"/>
    <n v="1"/>
    <d v="2014-06-01T00:00:00"/>
    <n v="25981846.315161791"/>
    <n v="0"/>
    <n v="0.18740335147015857"/>
  </r>
  <r>
    <s v="CAS 2014-C02"/>
    <x v="2"/>
    <n v="46283604208.870003"/>
    <x v="9"/>
    <n v="190795"/>
    <n v="262311059.2349849"/>
    <n v="0"/>
    <n v="5.667472611925811E-3"/>
    <n v="0"/>
    <n v="6.5929000000000002"/>
    <n v="0"/>
    <n v="2.0110733018964366E-3"/>
    <n v="672595469.63629997"/>
    <n v="0"/>
    <n v="1.5299999999999999E-2"/>
    <n v="0"/>
    <n v="1"/>
    <d v="2014-07-01T00:00:00"/>
    <n v="23627409.464984909"/>
    <n v="0"/>
    <n v="0.20110733018964366"/>
  </r>
  <r>
    <s v="CAS 2014-C02"/>
    <x v="2"/>
    <n v="45948352311.720001"/>
    <x v="10"/>
    <n v="189785"/>
    <n v="253090590.81425351"/>
    <n v="0"/>
    <n v="5.508153787479729E-3"/>
    <n v="0"/>
    <n v="6.4131"/>
    <n v="0"/>
    <n v="1.949034500790082E-3"/>
    <n v="925686060.45060003"/>
    <n v="0"/>
    <n v="2.1100000000000001E-2"/>
    <n v="0"/>
    <n v="1"/>
    <d v="2014-08-01T00:00:00"/>
    <n v="24941599.774253499"/>
    <n v="0"/>
    <n v="0.19490345007900819"/>
  </r>
  <r>
    <s v="CAS 2014-C02"/>
    <x v="2"/>
    <n v="45618170579.690002"/>
    <x v="11"/>
    <n v="188791"/>
    <n v="249850227.96812096"/>
    <n v="0"/>
    <n v="5.4769892083168853E-3"/>
    <n v="0"/>
    <n v="6.3779000000000003"/>
    <n v="0"/>
    <n v="2.1721218690018184E-3"/>
    <n v="1175536288.4187"/>
    <n v="0"/>
    <n v="2.6800000000000001E-2"/>
    <n v="0"/>
    <n v="1"/>
    <d v="2014-09-01T00:00:00"/>
    <n v="25899412.938120969"/>
    <n v="0"/>
    <n v="0.21721218690018185"/>
  </r>
  <r>
    <s v="CAS 2014-C02"/>
    <x v="2"/>
    <n v="45293815126.349998"/>
    <x v="12"/>
    <n v="187832"/>
    <n v="224815805.15957615"/>
    <n v="630479.42000000004"/>
    <n v="4.9634989795502554E-3"/>
    <n v="1.3919768477025777E-5"/>
    <n v="5.7961999999999998"/>
    <n v="1.67E-2"/>
    <n v="1.8639041304976344E-3"/>
    <n v="1400352093.5783"/>
    <n v="630479.42000000004"/>
    <n v="3.1899999999999998E-2"/>
    <n v="0"/>
    <n v="1"/>
    <d v="2014-10-01T00:00:00"/>
    <n v="21703239.409576144"/>
    <n v="0"/>
    <n v="0.18639041304976345"/>
  </r>
  <r>
    <s v="CAS 2014-C02"/>
    <x v="2"/>
    <n v="44992548281.370003"/>
    <x v="13"/>
    <n v="186906"/>
    <n v="221575846.1038112"/>
    <n v="589314.56000000006"/>
    <n v="4.9247231945641718E-3"/>
    <n v="1.3098048065973108E-5"/>
    <n v="5.7521000000000004"/>
    <n v="1.5699999999999999E-2"/>
    <n v="1.9366292779215487E-3"/>
    <n v="1621927939.6821001"/>
    <n v="1219793.98"/>
    <n v="3.6999999999999998E-2"/>
    <n v="0"/>
    <n v="1"/>
    <d v="2014-11-01T00:00:00"/>
    <n v="26446810.813811209"/>
    <n v="0"/>
    <n v="0.19366292779215485"/>
  </r>
  <r>
    <s v="CAS 2014-C02"/>
    <x v="2"/>
    <n v="44692983979.010002"/>
    <x v="14"/>
    <n v="186013"/>
    <n v="188682089.18745494"/>
    <n v="1279410.8799999999"/>
    <n v="4.2217384562209855E-3"/>
    <n v="2.8626660520158456E-5"/>
    <n v="4.95"/>
    <n v="3.4299999999999997E-2"/>
    <n v="2.9608005950586607E-3"/>
    <n v="1810610028.8696001"/>
    <n v="2499204.86"/>
    <n v="4.1300000000000003E-2"/>
    <n v="0"/>
    <n v="1"/>
    <d v="2014-12-01T00:00:00"/>
    <n v="20464044.897454932"/>
    <n v="0"/>
    <n v="0.29608005950586608"/>
  </r>
  <r>
    <s v="CAS 2014-C02"/>
    <x v="2"/>
    <n v="44430801216.199997"/>
    <x v="15"/>
    <n v="185262"/>
    <n v="240831712.80334321"/>
    <n v="1058047.3700000001"/>
    <n v="5.4203774456251103E-3"/>
    <n v="2.3813375879753962E-5"/>
    <n v="6.3140000000000001"/>
    <n v="2.8500000000000001E-2"/>
    <n v="2.2982648546695148E-3"/>
    <n v="2051441741.6729"/>
    <n v="3557252.23"/>
    <n v="4.6800000000000001E-2"/>
    <n v="0"/>
    <n v="1"/>
    <d v="2015-01-01T00:00:00"/>
    <n v="30629933.363343202"/>
    <n v="0"/>
    <n v="0.22982648546695147"/>
  </r>
  <r>
    <s v="CAS 2014-C02"/>
    <x v="2"/>
    <n v="44111679844.889999"/>
    <x v="16"/>
    <n v="184331"/>
    <n v="168327350.7422705"/>
    <n v="1328617.17"/>
    <n v="3.8159360816491313E-3"/>
    <n v="3.0119396374652238E-5"/>
    <n v="4.4842000000000004"/>
    <n v="3.61E-2"/>
    <n v="2.3242529568249242E-3"/>
    <n v="2219769092.4152002"/>
    <n v="4885869.4000000004"/>
    <n v="5.0700000000000002E-2"/>
    <n v="1E-4"/>
    <n v="1"/>
    <d v="2015-02-01T00:00:00"/>
    <n v="25383783.312270511"/>
    <n v="0.01"/>
    <n v="0.23242529568249243"/>
  </r>
  <r>
    <s v="CAS 2014-C02"/>
    <x v="2"/>
    <n v="43868030945.089996"/>
    <x v="17"/>
    <n v="183693"/>
    <n v="238450021.49468789"/>
    <n v="1912262.85"/>
    <n v="5.4356217126124914E-3"/>
    <n v="4.3591262447899618E-5"/>
    <n v="6.3311999999999999"/>
    <n v="5.2200000000000003E-2"/>
    <n v="2.968619476288026E-3"/>
    <n v="2458219113.9099002"/>
    <n v="6798132.25"/>
    <n v="5.6099999999999997E-2"/>
    <n v="1E-4"/>
    <n v="1"/>
    <d v="2015-03-01T00:00:00"/>
    <n v="20488144.944687895"/>
    <n v="0.01"/>
    <n v="0.29686194762880258"/>
  </r>
  <r>
    <s v="CAS 2014-C02"/>
    <x v="2"/>
    <n v="43554150851.370003"/>
    <x v="18"/>
    <n v="182808"/>
    <n v="328343818.68155468"/>
    <n v="1764565.8"/>
    <n v="7.5387491723128523E-3"/>
    <n v="4.0514296927097485E-5"/>
    <n v="8.6806000000000001"/>
    <n v="4.8599999999999997E-2"/>
    <n v="2.0174474924296703E-3"/>
    <n v="2786562932.5914001"/>
    <n v="8562698.0500000007"/>
    <n v="6.3600000000000004E-2"/>
    <n v="1E-4"/>
    <n v="1"/>
    <d v="2015-04-01T00:00:00"/>
    <n v="26741888.701554693"/>
    <n v="0.01"/>
    <n v="0.20174474924296704"/>
  </r>
  <r>
    <s v="CAS 2014-C02"/>
    <x v="2"/>
    <n v="43150144906.599998"/>
    <x v="19"/>
    <n v="181553"/>
    <n v="317025931.1331144"/>
    <n v="1339386.98"/>
    <n v="7.3470420972937198E-3"/>
    <n v="3.1040150221955224E-5"/>
    <n v="8.4687000000000001"/>
    <n v="3.7199999999999997E-2"/>
    <n v="2.08585835956795E-3"/>
    <n v="3103588863.7245002"/>
    <n v="9902085.0299999993"/>
    <n v="7.0900000000000005E-2"/>
    <n v="2.0000000000000001E-4"/>
    <n v="1"/>
    <d v="2015-05-01T00:00:00"/>
    <n v="24577210.653114386"/>
    <n v="0.02"/>
    <n v="0.208585835956795"/>
  </r>
  <r>
    <s v="CAS 2014-C02"/>
    <x v="2"/>
    <n v="42757567815.25"/>
    <x v="20"/>
    <n v="180316"/>
    <n v="335145017.96223652"/>
    <n v="1075767.42"/>
    <n v="7.8382619752918447E-3"/>
    <n v="2.5159696282264085E-5"/>
    <n v="9.0107999999999997"/>
    <n v="3.0099999999999998E-2"/>
    <n v="2.7374010076002177E-3"/>
    <n v="3438733881.6868"/>
    <n v="10977852.449999999"/>
    <n v="7.85E-2"/>
    <n v="2.0000000000000001E-4"/>
    <n v="1"/>
    <d v="2015-06-01T00:00:00"/>
    <n v="21453378.792236499"/>
    <n v="0.02"/>
    <n v="0.27374010076002175"/>
  </r>
  <r>
    <s v="CAS 2014-C02"/>
    <x v="2"/>
    <n v="42347878129.330002"/>
    <x v="21"/>
    <n v="178974"/>
    <n v="408575961.05314469"/>
    <n v="1365228.41"/>
    <n v="9.6480857861486642E-3"/>
    <n v="3.2238413594905651E-5"/>
    <n v="10.9826"/>
    <n v="3.8600000000000002E-2"/>
    <n v="2.4754173630578201E-3"/>
    <n v="3847309842.7399001"/>
    <n v="12343080.859999999"/>
    <n v="8.7800000000000003E-2"/>
    <n v="2.0000000000000001E-4"/>
    <n v="1"/>
    <d v="2015-07-01T00:00:00"/>
    <n v="25857410.633144666"/>
    <n v="0.02"/>
    <n v="0.247541736305782"/>
  </r>
  <r>
    <s v="CAS 2014-C02"/>
    <x v="2"/>
    <n v="41864144489.480003"/>
    <x v="22"/>
    <n v="177344"/>
    <n v="367761006.76005304"/>
    <n v="1266510.4099999999"/>
    <n v="8.7846296931367446E-3"/>
    <n v="3.0252867350920311E-5"/>
    <n v="10.046799999999999"/>
    <n v="3.6200000000000003E-2"/>
    <n v="2.2513608262957415E-3"/>
    <n v="4215070849.5"/>
    <n v="13609591.27"/>
    <n v="9.6199999999999994E-2"/>
    <n v="2.9999999999999997E-4"/>
    <n v="1"/>
    <d v="2015-08-01T00:00:00"/>
    <n v="27233452.450053036"/>
    <n v="0.03"/>
    <n v="0.22513608262957416"/>
  </r>
  <r>
    <s v="CAS 2014-C02"/>
    <x v="2"/>
    <n v="41419615589.410004"/>
    <x v="23"/>
    <n v="175822"/>
    <n v="301317100.81402081"/>
    <n v="1120425.67"/>
    <n v="7.2747440198614576E-3"/>
    <n v="2.7050605227887867E-5"/>
    <n v="8.3887"/>
    <n v="3.2399999999999998E-2"/>
    <n v="2.4640160198901974E-3"/>
    <n v="4516387950.3140001"/>
    <n v="14730016.939999999"/>
    <n v="0.1031"/>
    <n v="2.9999999999999997E-4"/>
    <n v="1"/>
    <d v="2015-09-01T00:00:00"/>
    <n v="22326337.214020815"/>
    <n v="0.03"/>
    <n v="0.24640160198901975"/>
  </r>
  <r>
    <s v="CAS 2014-C02"/>
    <x v="3"/>
    <n v="13975158090.879999"/>
    <x v="7"/>
    <n v="62584"/>
    <n v="61980179.561385565"/>
    <n v="0"/>
    <n v="4.4350252897556123E-3"/>
    <n v="0"/>
    <n v="5.1940999999999997"/>
    <n v="0"/>
    <n v="1.6185182924521539E-3"/>
    <n v="61980179.561300002"/>
    <n v="0"/>
    <n v="4.7999999999999996E-3"/>
    <n v="0"/>
    <n v="2"/>
    <d v="2014-05-01T00:00:00"/>
    <n v="5313356.4913855633"/>
    <n v="0"/>
    <n v="0.16185182924521538"/>
  </r>
  <r>
    <s v="CAS 2014-C02"/>
    <x v="3"/>
    <n v="13891379324.02"/>
    <x v="8"/>
    <n v="62340"/>
    <n v="76066183.705455422"/>
    <n v="0"/>
    <n v="5.475783356799358E-3"/>
    <n v="0"/>
    <n v="6.3765999999999998"/>
    <n v="0"/>
    <n v="2.0520279264644578E-3"/>
    <n v="138046363.26679999"/>
    <n v="0"/>
    <n v="1.0800000000000001E-2"/>
    <n v="0"/>
    <n v="2"/>
    <d v="2014-06-01T00:00:00"/>
    <n v="5956012.0454554278"/>
    <n v="0"/>
    <n v="0.20520279264644578"/>
  </r>
  <r>
    <s v="CAS 2014-C02"/>
    <x v="3"/>
    <n v="13793286662.5"/>
    <x v="9"/>
    <n v="62022"/>
    <n v="85020599.411476418"/>
    <n v="0"/>
    <n v="6.1639115819018759E-3"/>
    <n v="0"/>
    <n v="7.1509999999999998"/>
    <n v="0"/>
    <n v="2.5308105873638803E-3"/>
    <n v="223066962.67829999"/>
    <n v="0"/>
    <n v="1.7500000000000002E-2"/>
    <n v="0"/>
    <n v="2"/>
    <d v="2014-07-01T00:00:00"/>
    <n v="5195523.7614764161"/>
    <n v="0"/>
    <n v="0.25308105873638803"/>
  </r>
  <r>
    <s v="CAS 2014-C02"/>
    <x v="3"/>
    <n v="13686612088.84"/>
    <x v="10"/>
    <n v="61667"/>
    <n v="90556916.337019905"/>
    <n v="0"/>
    <n v="6.6164596285197266E-3"/>
    <n v="0"/>
    <n v="7.657"/>
    <n v="0"/>
    <n v="2.5368214160399073E-3"/>
    <n v="313623879.01529998"/>
    <n v="0"/>
    <n v="2.47E-2"/>
    <n v="0"/>
    <n v="2"/>
    <d v="2014-08-01T00:00:00"/>
    <n v="5481772.8270199057"/>
    <n v="0"/>
    <n v="0.25368214160399072"/>
  </r>
  <r>
    <s v="CAS 2014-C02"/>
    <x v="3"/>
    <n v="13574009600.459999"/>
    <x v="11"/>
    <n v="61297"/>
    <n v="79791644.284615993"/>
    <n v="0"/>
    <n v="5.8782663806213886E-3"/>
    <n v="0"/>
    <n v="6.8301999999999996"/>
    <n v="0"/>
    <n v="3.7599228880956762E-3"/>
    <n v="393415523.2999"/>
    <n v="0"/>
    <n v="3.1E-2"/>
    <n v="0"/>
    <n v="2"/>
    <d v="2014-09-01T00:00:00"/>
    <n v="5513086.5546159893"/>
    <n v="0"/>
    <n v="0.37599228880956764"/>
  </r>
  <r>
    <s v="CAS 2014-C02"/>
    <x v="3"/>
    <n v="13472080962.18"/>
    <x v="12"/>
    <n v="60964"/>
    <n v="72601387.95771192"/>
    <n v="729572.15"/>
    <n v="5.3890255084960426E-3"/>
    <n v="5.4154376896050323E-5"/>
    <n v="6.2785000000000002"/>
    <n v="6.4899999999999999E-2"/>
    <n v="2.3360284100391463E-3"/>
    <n v="466016911.25760001"/>
    <n v="729572.15"/>
    <n v="3.6700000000000003E-2"/>
    <n v="0"/>
    <n v="2"/>
    <d v="2014-10-01T00:00:00"/>
    <n v="5000511.4577119248"/>
    <n v="0"/>
    <n v="0.23360284100391462"/>
  </r>
  <r>
    <s v="CAS 2014-C02"/>
    <x v="3"/>
    <n v="13376083076.65"/>
    <x v="13"/>
    <n v="60637"/>
    <n v="73756732.122647971"/>
    <n v="0"/>
    <n v="5.5140755107451183E-3"/>
    <n v="0"/>
    <n v="6.4198000000000004"/>
    <n v="0"/>
    <n v="2.8481514043901487E-3"/>
    <n v="539773643.38030005"/>
    <n v="729572.15"/>
    <n v="4.2500000000000003E-2"/>
    <n v="0"/>
    <n v="2"/>
    <d v="2014-11-01T00:00:00"/>
    <n v="6013484.7726479778"/>
    <n v="0"/>
    <n v="0.28481514043901485"/>
  </r>
  <r>
    <s v="CAS 2014-C02"/>
    <x v="3"/>
    <n v="13278993689.370001"/>
    <x v="14"/>
    <n v="60330"/>
    <n v="68981589.486341402"/>
    <n v="1106164.8600000001"/>
    <n v="5.1947904412035402E-3"/>
    <n v="8.3301859001973835E-5"/>
    <n v="6.0586000000000002"/>
    <n v="9.9900000000000003E-2"/>
    <n v="4.3145607777390375E-3"/>
    <n v="608755232.86660004"/>
    <n v="1835737.01"/>
    <n v="4.7899999999999998E-2"/>
    <n v="1E-4"/>
    <n v="2"/>
    <d v="2014-12-01T00:00:00"/>
    <n v="3984754.3263414055"/>
    <n v="0.01"/>
    <n v="0.43145607777390377"/>
  </r>
  <r>
    <s v="CAS 2014-C02"/>
    <x v="3"/>
    <n v="13188223110.76"/>
    <x v="15"/>
    <n v="60033"/>
    <n v="85889374.26822345"/>
    <n v="109743.21"/>
    <n v="6.5125812284861995E-3"/>
    <n v="8.3213037175920058E-6"/>
    <n v="7.5411000000000001"/>
    <n v="9.9000000000000008E-3"/>
    <n v="3.4645197943854746E-3"/>
    <n v="694644607.13479996"/>
    <n v="1945480.22"/>
    <n v="5.4699999999999999E-2"/>
    <n v="1E-4"/>
    <n v="2"/>
    <d v="2015-01-01T00:00:00"/>
    <n v="6711768.8182234447"/>
    <n v="0.01"/>
    <n v="0.34645197943854744"/>
  </r>
  <r>
    <s v="CAS 2014-C02"/>
    <x v="3"/>
    <n v="13079589990.01"/>
    <x v="16"/>
    <n v="59682"/>
    <n v="67555962.401873916"/>
    <n v="728256.97"/>
    <n v="5.1649908333114549E-3"/>
    <n v="5.5678883707840389E-5"/>
    <n v="6.0248999999999997"/>
    <n v="6.6699999999999995E-2"/>
    <n v="3.4958263106812451E-3"/>
    <n v="762200569.53670001"/>
    <n v="2673737.19"/>
    <n v="0.06"/>
    <n v="2.0000000000000001E-4"/>
    <n v="2"/>
    <d v="2015-02-01T00:00:00"/>
    <n v="5010284.8518739175"/>
    <n v="0.02"/>
    <n v="0.34958263106812448"/>
  </r>
  <r>
    <s v="CAS 2014-C02"/>
    <x v="3"/>
    <n v="12989465528.1"/>
    <x v="17"/>
    <n v="59403"/>
    <n v="98632277.958345905"/>
    <n v="954901.87"/>
    <n v="7.5932514501828845E-3"/>
    <n v="7.3513561272730494E-5"/>
    <n v="8.7408000000000001"/>
    <n v="8.8099999999999998E-2"/>
    <n v="4.628878881115509E-3"/>
    <n v="860832847.495"/>
    <n v="3628639.06"/>
    <n v="6.7799999999999999E-2"/>
    <n v="2.0000000000000001E-4"/>
    <n v="2"/>
    <d v="2015-03-01T00:00:00"/>
    <n v="4334847.6783459103"/>
    <n v="0.02"/>
    <n v="0.4628878881115509"/>
  </r>
  <r>
    <s v="CAS 2014-C02"/>
    <x v="3"/>
    <n v="12868564575.280001"/>
    <x v="18"/>
    <n v="59011"/>
    <n v="135982103.65013644"/>
    <n v="1661851.02"/>
    <n v="1.0566998584391661E-2"/>
    <n v="1.2914035674129108E-4"/>
    <n v="11.9687"/>
    <n v="0.15479999999999999"/>
    <n v="3.0818659251385136E-3"/>
    <n v="996814951.14520001"/>
    <n v="5290490.08"/>
    <n v="7.85E-2"/>
    <n v="4.0000000000000002E-4"/>
    <n v="2"/>
    <d v="2015-04-01T00:00:00"/>
    <n v="6532549.2201364404"/>
    <n v="0.04"/>
    <n v="0.30818659251385133"/>
  </r>
  <r>
    <s v="CAS 2014-C02"/>
    <x v="3"/>
    <n v="12709590708.01"/>
    <x v="19"/>
    <n v="58463"/>
    <n v="127438582.87746523"/>
    <n v="1260591.1599999999"/>
    <n v="1.0026961985262772E-2"/>
    <n v="9.9184245107557573E-5"/>
    <n v="11.3904"/>
    <n v="0.11890000000000001"/>
    <n v="3.3989189299994263E-3"/>
    <n v="1124253534.0225999"/>
    <n v="6551081.2400000002"/>
    <n v="8.8499999999999995E-2"/>
    <n v="5.0000000000000001E-4"/>
    <n v="2"/>
    <d v="2015-05-01T00:00:00"/>
    <n v="5465163.7674652264"/>
    <n v="0.05"/>
    <n v="0.33989189299994266"/>
  </r>
  <r>
    <s v="CAS 2014-C02"/>
    <x v="3"/>
    <n v="12559682919.58"/>
    <x v="20"/>
    <n v="57929"/>
    <n v="134322126.6737633"/>
    <n v="948614.99"/>
    <n v="1.0694706827698727E-2"/>
    <n v="7.5528577916656668E-5"/>
    <n v="12.105"/>
    <n v="9.0499999999999997E-2"/>
    <n v="4.9327434288501731E-3"/>
    <n v="1258575660.6963999"/>
    <n v="7499696.2300000004"/>
    <n v="9.9099999999999994E-2"/>
    <n v="5.0000000000000001E-4"/>
    <n v="2"/>
    <d v="2015-06-01T00:00:00"/>
    <n v="5212057.7937633023"/>
    <n v="0.05"/>
    <n v="0.49327434288501731"/>
  </r>
  <r>
    <s v="CAS 2014-C02"/>
    <x v="3"/>
    <n v="12403070778.74"/>
    <x v="21"/>
    <n v="57358"/>
    <n v="144397403.13509718"/>
    <n v="1228539.8600000001"/>
    <n v="1.1642068783692467E-2"/>
    <n v="9.905126576442907E-5"/>
    <n v="13.1097"/>
    <n v="0.1187"/>
    <n v="3.7744523114586152E-3"/>
    <n v="1402973063.8315001"/>
    <n v="8728236.0899999999"/>
    <n v="0.1105"/>
    <n v="5.9999999999999995E-4"/>
    <n v="2"/>
    <d v="2015-07-01T00:00:00"/>
    <n v="5156681.7750971764"/>
    <n v="0.06"/>
    <n v="0.37744523114586154"/>
  </r>
  <r>
    <s v="CAS 2014-C02"/>
    <x v="3"/>
    <n v="12236122551.93"/>
    <x v="22"/>
    <n v="56742"/>
    <n v="138350690.77781704"/>
    <n v="476096.87"/>
    <n v="1.130674281747816E-2"/>
    <n v="3.8909128931934847E-5"/>
    <n v="12.7553"/>
    <n v="4.6600000000000003E-2"/>
    <n v="3.8141332200566039E-3"/>
    <n v="1541323754.6092999"/>
    <n v="9204332.9600000009"/>
    <n v="0.12139999999999999"/>
    <n v="6.9999999999999999E-4"/>
    <n v="2"/>
    <d v="2015-08-01T00:00:00"/>
    <n v="6003853.3678170517"/>
    <n v="6.9999999999999993E-2"/>
    <n v="0.38141332200566042"/>
  </r>
  <r>
    <s v="CAS 2014-C02"/>
    <x v="3"/>
    <n v="12076103034.459999"/>
    <x v="23"/>
    <n v="56145"/>
    <n v="105581475.98017268"/>
    <n v="520800.05"/>
    <n v="8.7430088728862772E-3"/>
    <n v="4.3126499377643668E-5"/>
    <n v="10.0015"/>
    <n v="5.1700000000000003E-2"/>
    <n v="4.1811443721470219E-3"/>
    <n v="1646905230.5895"/>
    <n v="9725133.0099999998"/>
    <n v="0.12970000000000001"/>
    <n v="6.9999999999999999E-4"/>
    <n v="2"/>
    <d v="2015-09-01T00:00:00"/>
    <n v="4818314.5701726815"/>
    <n v="6.9999999999999993E-2"/>
    <n v="0.41811443721470221"/>
  </r>
  <r>
    <s v="CAS 2014-C03"/>
    <x v="4"/>
    <n v="136083939.11000001"/>
    <x v="9"/>
    <n v="1669"/>
    <n v="885612.07960020751"/>
    <n v="0"/>
    <n v="6.5078368938478875E-3"/>
    <n v="0"/>
    <n v="7.5358000000000001"/>
    <n v="0"/>
    <n v="1.3289279483144438E-3"/>
    <n v="885612.07960000006"/>
    <n v="0"/>
    <n v="0"/>
    <n v="0"/>
    <n v="1"/>
    <d v="2014-07-01T00:00:00"/>
    <n v="31431.9896002075"/>
    <n v="0"/>
    <n v="0.13289279483144439"/>
  </r>
  <r>
    <s v="CAS 2014-C03"/>
    <x v="4"/>
    <n v="58820797423.540001"/>
    <x v="10"/>
    <n v="245287"/>
    <n v="333902812.31825882"/>
    <n v="0"/>
    <n v="5.6766114528163701E-3"/>
    <n v="0"/>
    <n v="6.6032000000000002"/>
    <n v="0"/>
    <n v="1.8344708362762955E-3"/>
    <n v="334788424.39780003"/>
    <n v="0"/>
    <n v="6.0000000000000001E-3"/>
    <n v="0"/>
    <n v="1"/>
    <d v="2014-08-01T00:00:00"/>
    <n v="29312002.488258824"/>
    <n v="0"/>
    <n v="0.18344708362762954"/>
  </r>
  <r>
    <s v="CAS 2014-C03"/>
    <x v="4"/>
    <n v="58394790404"/>
    <x v="11"/>
    <n v="243984"/>
    <n v="313708618.26945579"/>
    <n v="0"/>
    <n v="5.3722021450729783E-3"/>
    <n v="0"/>
    <n v="6.2595000000000001"/>
    <n v="0"/>
    <n v="2.4604233501993749E-3"/>
    <n v="648497042.66729999"/>
    <n v="0"/>
    <n v="1.17E-2"/>
    <n v="0"/>
    <n v="1"/>
    <d v="2014-09-01T00:00:00"/>
    <n v="32001829.189455777"/>
    <n v="0"/>
    <n v="0.2460423350199375"/>
  </r>
  <r>
    <s v="CAS 2014-C03"/>
    <x v="4"/>
    <n v="57990235747.93"/>
    <x v="12"/>
    <n v="242780"/>
    <n v="290380813.61701071"/>
    <n v="0"/>
    <n v="5.007408745141652E-3"/>
    <n v="0"/>
    <n v="5.8460999999999999"/>
    <n v="0"/>
    <n v="2.1564241889543241E-3"/>
    <n v="938877856.28429997"/>
    <n v="0"/>
    <n v="1.6899999999999998E-2"/>
    <n v="0"/>
    <n v="1"/>
    <d v="2014-10-01T00:00:00"/>
    <n v="29056255.82701071"/>
    <n v="0"/>
    <n v="0.2156424188954324"/>
  </r>
  <r>
    <s v="CAS 2014-C03"/>
    <x v="4"/>
    <n v="57609407449.07"/>
    <x v="13"/>
    <n v="241669"/>
    <n v="295501177.88760555"/>
    <n v="0"/>
    <n v="5.1293910312971962E-3"/>
    <n v="0"/>
    <n v="5.9844999999999997"/>
    <n v="0"/>
    <n v="1.9359806845539852E-3"/>
    <n v="1234379034.1719"/>
    <n v="0"/>
    <n v="2.23E-2"/>
    <n v="0"/>
    <n v="1"/>
    <d v="2014-11-01T00:00:00"/>
    <n v="34130534.057605527"/>
    <n v="0"/>
    <n v="0.19359806845539854"/>
  </r>
  <r>
    <s v="CAS 2014-C03"/>
    <x v="4"/>
    <n v="57219331894.339996"/>
    <x v="14"/>
    <n v="240497"/>
    <n v="269632560.53948385"/>
    <n v="988146.77"/>
    <n v="4.7122633489915886E-3"/>
    <n v="1.7269456620442385E-5"/>
    <n v="5.5103999999999997"/>
    <n v="2.07E-2"/>
    <n v="3.5336973541279801E-3"/>
    <n v="1504011594.7114"/>
    <n v="988146.77"/>
    <n v="2.7199999999999998E-2"/>
    <n v="0"/>
    <n v="1"/>
    <d v="2014-12-01T00:00:00"/>
    <n v="22754223.729483817"/>
    <n v="0"/>
    <n v="0.35336973541279804"/>
  </r>
  <r>
    <s v="CAS 2014-C03"/>
    <x v="4"/>
    <n v="56862214421.93"/>
    <x v="15"/>
    <n v="239437"/>
    <n v="324368464.93637729"/>
    <n v="995162.46"/>
    <n v="5.7044641724554148E-3"/>
    <n v="1.7501296249486135E-5"/>
    <n v="6.6345999999999998"/>
    <n v="2.0899999999999998E-2"/>
    <n v="2.6664097193781753E-3"/>
    <n v="1828380059.6477001"/>
    <n v="1983309.23"/>
    <n v="3.3000000000000002E-2"/>
    <n v="0"/>
    <n v="1"/>
    <d v="2015-01-01T00:00:00"/>
    <n v="37648906.186377287"/>
    <n v="0"/>
    <n v="0.26664097193781755"/>
  </r>
  <r>
    <s v="CAS 2014-C03"/>
    <x v="4"/>
    <n v="56443379084.279999"/>
    <x v="16"/>
    <n v="238200"/>
    <n v="250732312.68293372"/>
    <n v="3152261.46"/>
    <n v="4.442191745971583E-3"/>
    <n v="5.5848205956860119E-5"/>
    <n v="5.2023000000000001"/>
    <n v="6.6900000000000001E-2"/>
    <n v="2.5259221838422408E-3"/>
    <n v="2079112372.3306999"/>
    <n v="5135570.6900000004"/>
    <n v="3.7600000000000001E-2"/>
    <n v="0"/>
    <n v="1"/>
    <d v="2015-02-01T00:00:00"/>
    <n v="28808706.632933713"/>
    <n v="0"/>
    <n v="0.25259221838422408"/>
  </r>
  <r>
    <s v="CAS 2014-C03"/>
    <x v="4"/>
    <n v="56099182833.809998"/>
    <x v="17"/>
    <n v="237262"/>
    <n v="354119922.58969641"/>
    <n v="1565142.67"/>
    <n v="6.3123900331802062E-3"/>
    <n v="2.7899562719774872E-5"/>
    <n v="7.3173000000000004"/>
    <n v="3.3399999999999999E-2"/>
    <n v="3.6601522768750609E-3"/>
    <n v="2433232294.9204001"/>
    <n v="6700713.3600000003"/>
    <n v="4.3999999999999997E-2"/>
    <n v="1E-4"/>
    <n v="1"/>
    <d v="2015-03-01T00:00:00"/>
    <n v="26933639.099696379"/>
    <n v="0.01"/>
    <n v="0.36601522768750611"/>
  </r>
  <r>
    <s v="CAS 2014-C03"/>
    <x v="4"/>
    <n v="55653432312.110001"/>
    <x v="18"/>
    <n v="236002"/>
    <n v="487814450.29419518"/>
    <n v="1218933.53"/>
    <n v="8.7652177058637291E-3"/>
    <n v="2.19022166173705E-5"/>
    <n v="10.025700000000001"/>
    <n v="2.6200000000000001E-2"/>
    <n v="2.5815532457058787E-3"/>
    <n v="2921046745.2146001"/>
    <n v="7919646.8899999997"/>
    <n v="5.28E-2"/>
    <n v="1E-4"/>
    <n v="1"/>
    <d v="2015-04-01T00:00:00"/>
    <n v="34019494.344195195"/>
    <n v="0.01"/>
    <n v="0.25815532457058787"/>
  </r>
  <r>
    <s v="CAS 2014-C03"/>
    <x v="4"/>
    <n v="55075070733.809998"/>
    <x v="19"/>
    <n v="234235"/>
    <n v="460755768.29040724"/>
    <n v="1169883.44"/>
    <n v="8.3659587205496613E-3"/>
    <n v="2.1241614843389044E-5"/>
    <n v="9.5898000000000003"/>
    <n v="2.5399999999999999E-2"/>
    <n v="2.5583556738584812E-3"/>
    <n v="3381802513.5050001"/>
    <n v="9089530.3300000001"/>
    <n v="6.1100000000000002E-2"/>
    <n v="1E-4"/>
    <n v="1"/>
    <d v="2015-05-01T00:00:00"/>
    <n v="30139169.090407223"/>
    <n v="0.01"/>
    <n v="0.25583556738584812"/>
  </r>
  <r>
    <s v="CAS 2014-C03"/>
    <x v="4"/>
    <n v="54523128292.610001"/>
    <x v="20"/>
    <n v="232491"/>
    <n v="486527986.37828553"/>
    <n v="2336918.65"/>
    <n v="8.9233322007356078E-3"/>
    <n v="4.28610522393071E-5"/>
    <n v="10.197699999999999"/>
    <n v="5.1400000000000001E-2"/>
    <n v="3.1863415284545779E-3"/>
    <n v="3868330499.8832998"/>
    <n v="11426448.98"/>
    <n v="6.9900000000000004E-2"/>
    <n v="2.0000000000000001E-4"/>
    <n v="1"/>
    <d v="2015-06-01T00:00:00"/>
    <n v="30154368.698285509"/>
    <n v="0.02"/>
    <n v="0.31863415284545782"/>
  </r>
  <r>
    <s v="CAS 2014-C03"/>
    <x v="4"/>
    <n v="53944428669.5"/>
    <x v="21"/>
    <n v="230558"/>
    <n v="543575357.90156722"/>
    <n v="1629666.04"/>
    <n v="1.0076580127150422E-2"/>
    <n v="3.0210089905380863E-5"/>
    <n v="11.4437"/>
    <n v="3.6200000000000003E-2"/>
    <n v="3.0187975234238292E-3"/>
    <n v="4411905857.7847996"/>
    <n v="13056115.02"/>
    <n v="7.9799999999999996E-2"/>
    <n v="2.0000000000000001E-4"/>
    <n v="1"/>
    <d v="2015-07-01T00:00:00"/>
    <n v="29573374.981567167"/>
    <n v="0.02"/>
    <n v="0.3018797523423829"/>
  </r>
  <r>
    <s v="CAS 2014-C03"/>
    <x v="4"/>
    <n v="53309345633.239998"/>
    <x v="22"/>
    <n v="228450"/>
    <n v="474078009.18819487"/>
    <n v="2119204.48"/>
    <n v="8.8929624544592575E-3"/>
    <n v="3.9752963665691883E-5"/>
    <n v="10.1647"/>
    <n v="4.7600000000000003E-2"/>
    <n v="2.6982672873086177E-3"/>
    <n v="4885983866.9729996"/>
    <n v="15175319.5"/>
    <n v="8.8400000000000006E-2"/>
    <n v="2.0000000000000001E-4"/>
    <n v="1"/>
    <d v="2015-08-01T00:00:00"/>
    <n v="35315384.418194883"/>
    <n v="0.02"/>
    <n v="0.26982672873086178"/>
  </r>
  <r>
    <s v="CAS 2014-C03"/>
    <x v="4"/>
    <n v="52743247301.639999"/>
    <x v="23"/>
    <n v="226514"/>
    <n v="427580127.11973941"/>
    <n v="2472881.38"/>
    <n v="8.1068221809400074E-3"/>
    <n v="4.6885269802549838E-5"/>
    <n v="9.3058999999999994"/>
    <n v="5.62E-2"/>
    <n v="2.9095237460896417E-3"/>
    <n v="5313563994.0928001"/>
    <n v="17648200.879999999"/>
    <n v="9.6100000000000005E-2"/>
    <n v="2.9999999999999997E-4"/>
    <n v="1"/>
    <d v="2015-09-01T00:00:00"/>
    <n v="29471969.609739389"/>
    <n v="0.03"/>
    <n v="0.29095237460896417"/>
  </r>
  <r>
    <s v="CAS 2014-C03"/>
    <x v="5"/>
    <n v="19009515994.049999"/>
    <x v="9"/>
    <n v="85810"/>
    <n v="108338671.97970842"/>
    <n v="0"/>
    <n v="5.6991809793378503E-3"/>
    <n v="0"/>
    <n v="6.6285999999999996"/>
    <n v="0"/>
    <n v="2.0278039552435439E-3"/>
    <n v="108338671.9797"/>
    <n v="0"/>
    <n v="6.1999999999999998E-3"/>
    <n v="0"/>
    <n v="2"/>
    <d v="2014-07-01T00:00:00"/>
    <n v="8288432.589708413"/>
    <n v="0"/>
    <n v="0.2027803955243544"/>
  </r>
  <r>
    <s v="CAS 2014-C03"/>
    <x v="5"/>
    <n v="18872505590.029999"/>
    <x v="10"/>
    <n v="85388"/>
    <n v="117449134.02124524"/>
    <n v="0"/>
    <n v="6.2232931107616936E-3"/>
    <n v="0"/>
    <n v="7.2175000000000002"/>
    <n v="0"/>
    <n v="2.346565165856687E-3"/>
    <n v="225787806.0009"/>
    <n v="0"/>
    <n v="1.2999999999999999E-2"/>
    <n v="0"/>
    <n v="2"/>
    <d v="2014-08-01T00:00:00"/>
    <n v="7587928.521245244"/>
    <n v="0"/>
    <n v="0.23465651658566869"/>
  </r>
  <r>
    <s v="CAS 2014-C03"/>
    <x v="5"/>
    <n v="18726075279.77"/>
    <x v="11"/>
    <n v="84916"/>
    <n v="98563995.121998608"/>
    <n v="0"/>
    <n v="5.2634625061279364E-3"/>
    <n v="0"/>
    <n v="6.1364000000000001"/>
    <n v="0"/>
    <n v="3.163206766235297E-3"/>
    <n v="324351801.12290001"/>
    <n v="0"/>
    <n v="1.8700000000000001E-2"/>
    <n v="0"/>
    <n v="2"/>
    <d v="2014-09-01T00:00:00"/>
    <n v="7201287.8719986016"/>
    <n v="0"/>
    <n v="0.3163206766235297"/>
  </r>
  <r>
    <s v="CAS 2014-C03"/>
    <x v="5"/>
    <n v="18598755669.990002"/>
    <x v="12"/>
    <n v="84505"/>
    <n v="98506658.585874498"/>
    <n v="0"/>
    <n v="5.296411240286349E-3"/>
    <n v="0"/>
    <n v="6.1737000000000002"/>
    <n v="0"/>
    <n v="2.8536687287977333E-3"/>
    <n v="422858459.70880002"/>
    <n v="0"/>
    <n v="2.4299999999999999E-2"/>
    <n v="0"/>
    <n v="2"/>
    <d v="2014-10-01T00:00:00"/>
    <n v="7568757.105874503"/>
    <n v="0"/>
    <n v="0.2853668728797733"/>
  </r>
  <r>
    <s v="CAS 2014-C03"/>
    <x v="5"/>
    <n v="18471604608.700001"/>
    <x v="13"/>
    <n v="84098"/>
    <n v="104378210.04342352"/>
    <n v="0"/>
    <n v="5.6507386474839386E-3"/>
    <n v="0"/>
    <n v="6.5739999999999998"/>
    <n v="0"/>
    <n v="2.8893045623585431E-3"/>
    <n v="527236669.75220001"/>
    <n v="0"/>
    <n v="3.04E-2"/>
    <n v="0"/>
    <n v="2"/>
    <d v="2014-11-01T00:00:00"/>
    <n v="8761063.8634235244"/>
    <n v="0"/>
    <n v="0.28893045623585428"/>
  </r>
  <r>
    <s v="CAS 2014-C03"/>
    <x v="5"/>
    <n v="18337431049.060001"/>
    <x v="14"/>
    <n v="83681"/>
    <n v="98888606.233000815"/>
    <n v="1343350.28"/>
    <n v="5.3927186402737675E-3"/>
    <n v="7.3257277772769691E-5"/>
    <n v="6.2827000000000002"/>
    <n v="8.7800000000000003E-2"/>
    <n v="4.5080761464805939E-3"/>
    <n v="626125275.98520005"/>
    <n v="1343350.28"/>
    <n v="3.61E-2"/>
    <n v="0"/>
    <n v="2"/>
    <d v="2014-12-01T00:00:00"/>
    <n v="5085457.4630008116"/>
    <n v="0"/>
    <n v="0.45080761464805941"/>
  </r>
  <r>
    <s v="CAS 2014-C03"/>
    <x v="5"/>
    <n v="18209432914.700001"/>
    <x v="15"/>
    <n v="83286"/>
    <n v="111818922.12520769"/>
    <n v="668160.39"/>
    <n v="6.1407141369536657E-3"/>
    <n v="3.6693091604220773E-5"/>
    <n v="7.125"/>
    <n v="4.3999999999999997E-2"/>
    <n v="3.8986259606519761E-3"/>
    <n v="737944198.11039996"/>
    <n v="2011510.67"/>
    <n v="4.2500000000000003E-2"/>
    <n v="1E-4"/>
    <n v="2"/>
    <d v="2015-01-01T00:00:00"/>
    <n v="9559673.0552076902"/>
    <n v="0.01"/>
    <n v="0.38986259606519763"/>
  </r>
  <r>
    <s v="CAS 2014-C03"/>
    <x v="5"/>
    <n v="18066921542.220001"/>
    <x v="16"/>
    <n v="82852"/>
    <n v="97814919.138011202"/>
    <n v="1328824.8400000001"/>
    <n v="5.4140335368939698E-3"/>
    <n v="7.3550152796906352E-5"/>
    <n v="6.3068"/>
    <n v="8.8200000000000001E-2"/>
    <n v="3.8818321099202786E-3"/>
    <n v="835759117.24839997"/>
    <n v="3340335.51"/>
    <n v="4.8099999999999997E-2"/>
    <n v="1E-4"/>
    <n v="2"/>
    <d v="2015-02-01T00:00:00"/>
    <n v="7214756.5280112056"/>
    <n v="0.01"/>
    <n v="0.38818321099202785"/>
  </r>
  <r>
    <s v="CAS 2014-C03"/>
    <x v="5"/>
    <n v="17939471570.869999"/>
    <x v="17"/>
    <n v="82485"/>
    <n v="161109887.67789453"/>
    <n v="1701390.72"/>
    <n v="8.9807487941564422E-3"/>
    <n v="9.4840626340561074E-5"/>
    <n v="10.260199999999999"/>
    <n v="0.1137"/>
    <n v="4.7895038457831862E-3"/>
    <n v="996869004.92630005"/>
    <n v="5041726.2300000004"/>
    <n v="5.74E-2"/>
    <n v="2.0000000000000001E-4"/>
    <n v="2"/>
    <d v="2015-03-01T00:00:00"/>
    <n v="6531926.307894541"/>
    <n v="0.02"/>
    <n v="0.47895038457831862"/>
  </r>
  <r>
    <s v="CAS 2014-C03"/>
    <x v="5"/>
    <n v="17748114215.599998"/>
    <x v="18"/>
    <n v="81889"/>
    <n v="191804093.71033198"/>
    <n v="1522877.3"/>
    <n v="1.0807012586257901E-2"/>
    <n v="8.5805020268657151E-5"/>
    <n v="12.224600000000001"/>
    <n v="0.10290000000000001"/>
    <n v="3.1914942045061152E-3"/>
    <n v="1188673098.6366"/>
    <n v="6564603.5300000003"/>
    <n v="6.8500000000000005E-2"/>
    <n v="2.9999999999999997E-4"/>
    <n v="2"/>
    <d v="2015-04-01T00:00:00"/>
    <n v="8881230.8303319626"/>
    <n v="0.03"/>
    <n v="0.31914942045061151"/>
  </r>
  <r>
    <s v="CAS 2014-C03"/>
    <x v="5"/>
    <n v="17526098496.200001"/>
    <x v="19"/>
    <n v="81159"/>
    <n v="180978186.43728969"/>
    <n v="578094.54"/>
    <n v="1.032621073518041E-2"/>
    <n v="3.29847821022655E-5"/>
    <n v="11.7113"/>
    <n v="3.95E-2"/>
    <n v="3.304409769382316E-3"/>
    <n v="1369651285.0739"/>
    <n v="7142698.0700000003"/>
    <n v="7.8899999999999998E-2"/>
    <n v="4.0000000000000002E-4"/>
    <n v="2"/>
    <d v="2015-05-01T00:00:00"/>
    <n v="8286399.8072896907"/>
    <n v="0.04"/>
    <n v="0.3304409769382316"/>
  </r>
  <r>
    <s v="CAS 2014-C03"/>
    <x v="5"/>
    <n v="17316499356.259998"/>
    <x v="20"/>
    <n v="80447"/>
    <n v="210310858.19399664"/>
    <n v="1176150.69"/>
    <n v="1.2145113967158047E-2"/>
    <n v="6.7920811579900289E-5"/>
    <n v="13.6389"/>
    <n v="8.14E-2"/>
    <n v="4.7528073068791137E-3"/>
    <n v="1579962143.2679"/>
    <n v="8318848.7599999998"/>
    <n v="9.11E-2"/>
    <n v="4.0000000000000002E-4"/>
    <n v="2"/>
    <d v="2015-06-01T00:00:00"/>
    <n v="6951754.4539966509"/>
    <n v="0.04"/>
    <n v="0.47528073068791138"/>
  </r>
  <r>
    <s v="CAS 2014-C03"/>
    <x v="5"/>
    <n v="17076873749.98"/>
    <x v="21"/>
    <n v="79578"/>
    <n v="207515090.5588398"/>
    <n v="1925334.44"/>
    <n v="1.2151819682984002E-2"/>
    <n v="1.1274513521552825E-4"/>
    <n v="13.646000000000001"/>
    <n v="0.13519999999999999"/>
    <n v="4.5705999571550044E-3"/>
    <n v="1787477233.8268001"/>
    <n v="10244183.199999999"/>
    <n v="0.10299999999999999"/>
    <n v="5.0000000000000001E-4"/>
    <n v="2"/>
    <d v="2015-07-01T00:00:00"/>
    <n v="7467619.9788397979"/>
    <n v="0.05"/>
    <n v="0.45705999571550043"/>
  </r>
  <r>
    <s v="CAS 2014-C03"/>
    <x v="5"/>
    <n v="16839120604.129999"/>
    <x v="22"/>
    <n v="78672"/>
    <n v="200022739.30610654"/>
    <n v="1239809.68"/>
    <n v="1.1878455176397306E-2"/>
    <n v="7.3626747449977972E-5"/>
    <n v="13.3588"/>
    <n v="8.8300000000000003E-2"/>
    <n v="4.4455584243300594E-3"/>
    <n v="1987499973.1329"/>
    <n v="11483992.880000001"/>
    <n v="0.11459999999999999"/>
    <n v="5.9999999999999995E-4"/>
    <n v="2"/>
    <d v="2015-08-01T00:00:00"/>
    <n v="8003529.6561065409"/>
    <n v="0.06"/>
    <n v="0.44455584243300594"/>
  </r>
  <r>
    <s v="CAS 2014-C03"/>
    <x v="5"/>
    <n v="16609979568.030001"/>
    <x v="23"/>
    <n v="77805"/>
    <n v="158414515.28774077"/>
    <n v="1665513.43"/>
    <n v="9.5373094613944356E-3"/>
    <n v="1.0027185302537584E-4"/>
    <n v="10.863099999999999"/>
    <n v="0.1202"/>
    <n v="4.5551493733097734E-3"/>
    <n v="2145914488.4205999"/>
    <n v="13149506.310000001"/>
    <n v="0.1237"/>
    <n v="6.9999999999999999E-4"/>
    <n v="2"/>
    <d v="2015-09-01T00:00:00"/>
    <n v="6639093.7377407728"/>
    <n v="6.9999999999999993E-2"/>
    <n v="0.45551493733097737"/>
  </r>
  <r>
    <s v="CAS 2014-C04"/>
    <x v="6"/>
    <n v="35527112178.290001"/>
    <x v="14"/>
    <n v="153851"/>
    <n v="306544686.31436342"/>
    <n v="0"/>
    <n v="8.6284718210698687E-3"/>
    <n v="0"/>
    <n v="9.8765999999999998"/>
    <n v="0"/>
    <n v="3.0018273591955404E-3"/>
    <n v="306544686.3143"/>
    <n v="0"/>
    <n v="9.4000000000000004E-3"/>
    <n v="0"/>
    <n v="1"/>
    <d v="2014-12-01T00:00:00"/>
    <n v="15567743.974363448"/>
    <n v="0"/>
    <n v="0.30018273591955402"/>
  </r>
  <r>
    <s v="CAS 2014-C04"/>
    <x v="6"/>
    <n v="35170867236.010002"/>
    <x v="15"/>
    <n v="152774"/>
    <n v="365006129.36474377"/>
    <n v="0"/>
    <n v="1.0378081578580724E-2"/>
    <n v="0"/>
    <n v="11.7668"/>
    <n v="0"/>
    <n v="2.1421870499928942E-3"/>
    <n v="671550815.67910004"/>
    <n v="0"/>
    <n v="2.06E-2"/>
    <n v="0"/>
    <n v="1"/>
    <d v="2015-01-01T00:00:00"/>
    <n v="23729612.874743756"/>
    <n v="0"/>
    <n v="0.21421870499928941"/>
  </r>
  <r>
    <s v="CAS 2014-C04"/>
    <x v="6"/>
    <n v="34751762988"/>
    <x v="16"/>
    <n v="151519"/>
    <n v="302914339.08878326"/>
    <n v="0"/>
    <n v="8.7165171790962517E-3"/>
    <n v="0"/>
    <n v="9.9725999999999999"/>
    <n v="0"/>
    <n v="2.587940120363254E-3"/>
    <n v="974465154.76779997"/>
    <n v="0"/>
    <n v="2.9899999999999999E-2"/>
    <n v="0"/>
    <n v="1"/>
    <d v="2015-02-01T00:00:00"/>
    <n v="19861083.008783266"/>
    <n v="0"/>
    <n v="0.2587940120363254"/>
  </r>
  <r>
    <s v="CAS 2014-C04"/>
    <x v="6"/>
    <n v="34395371767.400002"/>
    <x v="17"/>
    <n v="150483"/>
    <n v="553509051.64551353"/>
    <n v="0"/>
    <n v="1.609254452571815E-2"/>
    <n v="0"/>
    <n v="17.690300000000001"/>
    <n v="0"/>
    <n v="3.6591657761725024E-3"/>
    <n v="1527974206.4133999"/>
    <n v="0"/>
    <n v="4.7E-2"/>
    <n v="0"/>
    <n v="1"/>
    <d v="2015-03-01T00:00:00"/>
    <n v="16534048.475513533"/>
    <n v="0"/>
    <n v="0.36591657761725022"/>
  </r>
  <r>
    <s v="CAS 2014-C04"/>
    <x v="6"/>
    <n v="33790068518.200001"/>
    <x v="18"/>
    <n v="148610"/>
    <n v="621169553.59032929"/>
    <n v="460223.59"/>
    <n v="1.8383198993981179E-2"/>
    <n v="1.362008454502288E-5"/>
    <n v="19.960599999999999"/>
    <n v="1.6299999999999999E-2"/>
    <n v="2.411435640508153E-3"/>
    <n v="2149143760.0036998"/>
    <n v="460223.59"/>
    <n v="6.6100000000000006E-2"/>
    <n v="0"/>
    <n v="1"/>
    <d v="2015-04-01T00:00:00"/>
    <n v="20686605.570329297"/>
    <n v="0"/>
    <n v="0.2411435640508153"/>
  </r>
  <r>
    <s v="CAS 2014-C04"/>
    <x v="6"/>
    <n v="33116529300.200001"/>
    <x v="19"/>
    <n v="146454"/>
    <n v="472872041.15099728"/>
    <n v="1134193.8700000001"/>
    <n v="1.4279033798029719E-2"/>
    <n v="3.4248572962419414E-5"/>
    <n v="15.851100000000001"/>
    <n v="4.1000000000000002E-2"/>
    <n v="2.6410684425034778E-3"/>
    <n v="2622015801.1546998"/>
    <n v="1594417.46"/>
    <n v="8.0600000000000005E-2"/>
    <n v="0"/>
    <n v="1"/>
    <d v="2015-05-01T00:00:00"/>
    <n v="18148507.500997275"/>
    <n v="0"/>
    <n v="0.26410684425034775"/>
  </r>
  <r>
    <s v="CAS 2014-C04"/>
    <x v="6"/>
    <n v="32591728032.889999"/>
    <x v="20"/>
    <n v="144746"/>
    <n v="403583037.64766067"/>
    <n v="945723.28"/>
    <n v="1.2382989856824534E-2"/>
    <n v="2.9017279447276368E-5"/>
    <n v="13.8881"/>
    <n v="3.4799999999999998E-2"/>
    <n v="3.1398920811050259E-3"/>
    <n v="3025598838.8023"/>
    <n v="2540140.7400000002"/>
    <n v="9.3100000000000002E-2"/>
    <n v="0"/>
    <n v="1"/>
    <d v="2015-06-01T00:00:00"/>
    <n v="17283960.147660669"/>
    <n v="0"/>
    <n v="0.31398920811050257"/>
  </r>
  <r>
    <s v="CAS 2014-C04"/>
    <x v="6"/>
    <n v="32136335636.279999"/>
    <x v="21"/>
    <n v="143199"/>
    <n v="422292042.13783801"/>
    <n v="433689.45"/>
    <n v="1.3140640766182925E-2"/>
    <n v="1.3495298745585374E-5"/>
    <n v="14.6775"/>
    <n v="1.61E-2"/>
    <n v="2.931828874217795E-3"/>
    <n v="3447890880.9401999"/>
    <n v="2973830.19"/>
    <n v="0.106"/>
    <n v="0"/>
    <n v="1"/>
    <d v="2015-07-01T00:00:00"/>
    <n v="20864405.317838024"/>
    <n v="0"/>
    <n v="0.2931828874217795"/>
  </r>
  <r>
    <s v="CAS 2014-C04"/>
    <x v="6"/>
    <n v="31662447939.110001"/>
    <x v="22"/>
    <n v="141560"/>
    <n v="363989634.88820261"/>
    <n v="855982.24"/>
    <n v="1.1495941046257398E-2"/>
    <n v="2.7034619737745421E-5"/>
    <n v="12.955399999999999"/>
    <n v="3.2399999999999998E-2"/>
    <n v="2.9470062295702216E-3"/>
    <n v="3811880515.8284001"/>
    <n v="3829812.43"/>
    <n v="0.1173"/>
    <n v="1E-4"/>
    <n v="1"/>
    <d v="2015-08-01T00:00:00"/>
    <n v="21048220.438202631"/>
    <n v="0.01"/>
    <n v="0.29470062295702215"/>
  </r>
  <r>
    <s v="CAS 2014-C04"/>
    <x v="6"/>
    <n v="31247000290.34"/>
    <x v="23"/>
    <n v="140101"/>
    <n v="297010875.89867163"/>
    <n v="977651.24"/>
    <n v="9.5052604454480202E-3"/>
    <n v="3.1287843022238538E-5"/>
    <n v="10.8284"/>
    <n v="3.7499999999999999E-2"/>
    <n v="3.3519594689663678E-3"/>
    <n v="4108891391.7270999"/>
    <n v="4807463.67"/>
    <n v="0.12640000000000001"/>
    <n v="1E-4"/>
    <n v="1"/>
    <d v="2015-09-01T00:00:00"/>
    <n v="16885692.598671608"/>
    <n v="0.01"/>
    <n v="0.33519594689663679"/>
  </r>
  <r>
    <s v="CAS 2014-C04"/>
    <x v="7"/>
    <n v="17873514986.919998"/>
    <x v="14"/>
    <n v="80187"/>
    <n v="149128192.89470837"/>
    <n v="0"/>
    <n v="8.3435291269703653E-3"/>
    <n v="0"/>
    <n v="9.5653000000000006"/>
    <n v="0"/>
    <n v="3.2164451056253401E-3"/>
    <n v="149128192.89469999"/>
    <n v="0"/>
    <n v="9.1000000000000004E-3"/>
    <n v="0"/>
    <n v="2"/>
    <d v="2014-12-01T00:00:00"/>
    <n v="4688802.0847083759"/>
    <n v="0"/>
    <n v="0.32164451056253401"/>
  </r>
  <r>
    <s v="CAS 2014-C04"/>
    <x v="7"/>
    <n v="17699821725.32"/>
    <x v="15"/>
    <n v="79642"/>
    <n v="159460049.24966848"/>
    <n v="0"/>
    <n v="9.0091330706205484E-3"/>
    <n v="0"/>
    <n v="10.291"/>
    <n v="0"/>
    <n v="2.5712173148555941E-3"/>
    <n v="308588242.14429998"/>
    <n v="0"/>
    <n v="1.89E-2"/>
    <n v="0"/>
    <n v="2"/>
    <d v="2015-01-01T00:00:00"/>
    <n v="8681563.81966847"/>
    <n v="0"/>
    <n v="0.25712173148555939"/>
  </r>
  <r>
    <s v="CAS 2014-C04"/>
    <x v="7"/>
    <n v="17513118566.099998"/>
    <x v="16"/>
    <n v="79070"/>
    <n v="139034276.73565033"/>
    <n v="0"/>
    <n v="7.9388645837628162E-3"/>
    <n v="0"/>
    <n v="9.1213999999999995"/>
    <n v="0"/>
    <n v="3.2286578182284167E-3"/>
    <n v="447622518.88"/>
    <n v="0"/>
    <n v="2.75E-2"/>
    <n v="0"/>
    <n v="2"/>
    <d v="2015-02-01T00:00:00"/>
    <n v="6517022.9456503196"/>
    <n v="0"/>
    <n v="0.32286578182284165"/>
  </r>
  <r>
    <s v="CAS 2014-C04"/>
    <x v="7"/>
    <n v="17348665474.91"/>
    <x v="17"/>
    <n v="78570"/>
    <n v="266067199.79801279"/>
    <n v="0"/>
    <n v="1.5336464939208419E-2"/>
    <n v="0"/>
    <n v="16.928000000000001"/>
    <n v="0"/>
    <n v="4.014035593153384E-3"/>
    <n v="713689718.67799997"/>
    <n v="0"/>
    <n v="4.3900000000000002E-2"/>
    <n v="0"/>
    <n v="2"/>
    <d v="2015-03-01T00:00:00"/>
    <n v="5724264.1180127878"/>
    <n v="0"/>
    <n v="0.40140355931533839"/>
  </r>
  <r>
    <s v="CAS 2014-C04"/>
    <x v="7"/>
    <n v="17057041264.99"/>
    <x v="18"/>
    <n v="77607"/>
    <n v="299313898.82639503"/>
    <n v="435292.85"/>
    <n v="1.7547820526221287E-2"/>
    <n v="2.5519833319126066E-5"/>
    <n v="19.139299999999999"/>
    <n v="3.0599999999999999E-2"/>
    <n v="2.6875394845934245E-3"/>
    <n v="1013003617.5044"/>
    <n v="435292.85"/>
    <n v="6.2300000000000001E-2"/>
    <n v="0"/>
    <n v="2"/>
    <d v="2015-04-01T00:00:00"/>
    <n v="7645681.4063950609"/>
    <n v="0"/>
    <n v="0.26875394845934247"/>
  </r>
  <r>
    <s v="CAS 2014-C04"/>
    <x v="7"/>
    <n v="16731906995.01"/>
    <x v="19"/>
    <n v="76483"/>
    <n v="228978475.54796386"/>
    <n v="565654.87"/>
    <n v="1.3685139154565746E-2"/>
    <n v="3.3806957579234495E-5"/>
    <n v="15.2407"/>
    <n v="4.0500000000000001E-2"/>
    <n v="3.3032725000493564E-3"/>
    <n v="1241982093.0523"/>
    <n v="1000947.72"/>
    <n v="7.6399999999999996E-2"/>
    <n v="0"/>
    <n v="2"/>
    <d v="2015-05-01T00:00:00"/>
    <n v="5694032.7979638474"/>
    <n v="0"/>
    <n v="0.33032725000493562"/>
  </r>
  <r>
    <s v="CAS 2014-C04"/>
    <x v="7"/>
    <n v="16477130294.34"/>
    <x v="20"/>
    <n v="75601"/>
    <n v="240286301.17953798"/>
    <n v="1213501.9099999999"/>
    <n v="1.4583018819853471E-2"/>
    <n v="7.3647649094384221E-5"/>
    <n v="16.161999999999999"/>
    <n v="8.8300000000000003E-2"/>
    <n v="4.6288452854074515E-3"/>
    <n v="1482268394.2319"/>
    <n v="2214449.63"/>
    <n v="9.1200000000000003E-2"/>
    <n v="1E-4"/>
    <n v="2"/>
    <d v="2015-06-01T00:00:00"/>
    <n v="6676994.5095379911"/>
    <n v="0.01"/>
    <n v="0.46288452854074513"/>
  </r>
  <r>
    <s v="CAS 2014-C04"/>
    <x v="7"/>
    <n v="16210833900.969999"/>
    <x v="21"/>
    <n v="74636"/>
    <n v="235366996.54717857"/>
    <n v="599196.77"/>
    <n v="1.4519117152455373E-2"/>
    <n v="3.6962735764268497E-5"/>
    <n v="16.096800000000002"/>
    <n v="4.4299999999999999E-2"/>
    <n v="4.0175027730129922E-3"/>
    <n v="1717635390.7790999"/>
    <n v="2813646.4"/>
    <n v="0.1057"/>
    <n v="1E-4"/>
    <n v="2"/>
    <d v="2015-07-01T00:00:00"/>
    <n v="5835329.8871785635"/>
    <n v="0.01"/>
    <n v="0.4017502773012992"/>
  </r>
  <r>
    <s v="CAS 2014-C04"/>
    <x v="7"/>
    <n v="15949926047.98"/>
    <x v="22"/>
    <n v="73679"/>
    <n v="204142521.71796325"/>
    <n v="1399255.62"/>
    <n v="1.2798963525214412E-2"/>
    <n v="8.7728031828536955E-5"/>
    <n v="14.3224"/>
    <n v="0.1052"/>
    <n v="4.3853310823882075E-3"/>
    <n v="1921777912.497"/>
    <n v="4212902.0199999996"/>
    <n v="0.1182"/>
    <n v="2.0000000000000001E-4"/>
    <n v="2"/>
    <d v="2015-08-01T00:00:00"/>
    <n v="7296272.8579632631"/>
    <n v="0.02"/>
    <n v="0.43853310823882075"/>
  </r>
  <r>
    <s v="CAS 2014-C04"/>
    <x v="7"/>
    <n v="15719664578.120001"/>
    <x v="23"/>
    <n v="72806"/>
    <n v="181483280.15656433"/>
    <n v="536098.79"/>
    <n v="1.1544984261888679E-2"/>
    <n v="3.4103704143038082E-5"/>
    <n v="13.007199999999999"/>
    <n v="4.0899999999999999E-2"/>
    <n v="4.6300077840913077E-3"/>
    <n v="2103261192.6536"/>
    <n v="4749000.8099999996"/>
    <n v="0.12939999999999999"/>
    <n v="2.0000000000000001E-4"/>
    <n v="2"/>
    <d v="2015-09-01T00:00:00"/>
    <n v="6027517.1165643213"/>
    <n v="0.02"/>
    <n v="0.46300077840913079"/>
  </r>
  <r>
    <s v="CAS 2015-C01"/>
    <x v="8"/>
    <n v="30759036044.639999"/>
    <x v="17"/>
    <n v="144212"/>
    <n v="1070031450.4169977"/>
    <n v="0"/>
    <n v="3.4787548246443145E-2"/>
    <n v="0"/>
    <n v="34.615400000000001"/>
    <n v="0"/>
    <n v="4.2664858111790003E-3"/>
    <n v="1070031450.4169"/>
    <n v="0"/>
    <n v="4.0300000000000002E-2"/>
    <n v="0"/>
    <n v="1"/>
    <d v="2015-03-01T00:00:00"/>
    <n v="15438143.746997638"/>
    <n v="0"/>
    <n v="0.42664858111790005"/>
  </r>
  <r>
    <s v="CAS 2015-C01"/>
    <x v="8"/>
    <n v="29646838128.07"/>
    <x v="18"/>
    <n v="140569"/>
    <n v="1180390010.9542236"/>
    <n v="0"/>
    <n v="3.9815038819826648E-2"/>
    <n v="0"/>
    <n v="38.587200000000003"/>
    <n v="0"/>
    <n v="2.4192243628197358E-3"/>
    <n v="2250421461.3712001"/>
    <n v="0"/>
    <n v="8.48E-2"/>
    <n v="0"/>
    <n v="1"/>
    <d v="2015-04-01T00:00:00"/>
    <n v="19321627.964223746"/>
    <n v="0"/>
    <n v="0.24192243628197357"/>
  </r>
  <r>
    <s v="CAS 2015-C01"/>
    <x v="8"/>
    <n v="28425220037.98"/>
    <x v="19"/>
    <n v="136410"/>
    <n v="779950732.87219262"/>
    <n v="0"/>
    <n v="2.7438687610159967E-2"/>
    <n v="0"/>
    <n v="28.385000000000002"/>
    <n v="0"/>
    <n v="3.4634807051082453E-3"/>
    <n v="3030372194.2434001"/>
    <n v="0"/>
    <n v="0.1142"/>
    <n v="0"/>
    <n v="1"/>
    <d v="2015-05-01T00:00:00"/>
    <n v="18166721.422192656"/>
    <n v="0"/>
    <n v="0.34634807051082456"/>
  </r>
  <r>
    <s v="CAS 2015-C01"/>
    <x v="8"/>
    <n v="27605940986.669998"/>
    <x v="20"/>
    <n v="133595"/>
    <n v="661745303.59997869"/>
    <n v="0"/>
    <n v="2.3971119257246608E-2"/>
    <n v="0"/>
    <n v="25.260100000000001"/>
    <n v="0"/>
    <n v="4.1035236326376259E-3"/>
    <n v="3692117497.8432999"/>
    <n v="0"/>
    <n v="0.1391"/>
    <n v="0"/>
    <n v="1"/>
    <d v="2015-06-01T00:00:00"/>
    <n v="17648972.109978672"/>
    <n v="0"/>
    <n v="0.41035236326376257"/>
  </r>
  <r>
    <s v="CAS 2015-C01"/>
    <x v="8"/>
    <n v="26905103057.73"/>
    <x v="21"/>
    <n v="131082"/>
    <n v="589952550.43391192"/>
    <n v="914789.29"/>
    <n v="2.1927161890740832E-2"/>
    <n v="3.4000586730225345E-5"/>
    <n v="23.360099999999999"/>
    <n v="4.07E-2"/>
    <n v="3.7794974169699188E-3"/>
    <n v="4282070048.2772999"/>
    <n v="914789.29"/>
    <n v="0.16139999999999999"/>
    <n v="0"/>
    <n v="1"/>
    <d v="2015-07-01T00:00:00"/>
    <n v="18430000.373911891"/>
    <n v="0"/>
    <n v="0.37794974169699186"/>
  </r>
  <r>
    <s v="CAS 2015-C01"/>
    <x v="8"/>
    <n v="26275202203.860001"/>
    <x v="22"/>
    <n v="128738"/>
    <n v="442260275.5130083"/>
    <n v="906830.68"/>
    <n v="1.6831850506103332E-2"/>
    <n v="3.4512795485424681E-5"/>
    <n v="18.429400000000001"/>
    <n v="4.1399999999999999E-2"/>
    <n v="3.4430094036235421E-3"/>
    <n v="4724330323.7903004"/>
    <n v="1821619.97"/>
    <n v="0.17810000000000001"/>
    <n v="0"/>
    <n v="1"/>
    <d v="2015-08-01T00:00:00"/>
    <n v="18375367.483008299"/>
    <n v="0"/>
    <n v="0.3443009403623542"/>
  </r>
  <r>
    <s v="CAS 2015-C01"/>
    <x v="8"/>
    <n v="25791849501.52"/>
    <x v="23"/>
    <n v="126905"/>
    <n v="368049642.8583833"/>
    <n v="1462382.01"/>
    <n v="1.4269998079691528E-2"/>
    <n v="5.6699385203601506E-5"/>
    <n v="15.841900000000001"/>
    <n v="6.8000000000000005E-2"/>
    <n v="3.6927772909184733E-3"/>
    <n v="5092379966.6485996"/>
    <n v="3284001.98"/>
    <n v="0.19189999999999999"/>
    <n v="1E-4"/>
    <n v="1"/>
    <d v="2015-09-01T00:00:00"/>
    <n v="14417440.248383313"/>
    <n v="0.01"/>
    <n v="0.36927772909184731"/>
  </r>
  <r>
    <s v="CAS 2015-C01"/>
    <x v="9"/>
    <n v="18492658575.889999"/>
    <x v="17"/>
    <n v="87351"/>
    <n v="521274231.01928973"/>
    <n v="0"/>
    <n v="2.8188171477891585E-2"/>
    <n v="0"/>
    <n v="29.0444"/>
    <n v="0"/>
    <n v="4.2477568878286336E-3"/>
    <n v="521274231.01920003"/>
    <n v="0"/>
    <n v="3.2300000000000002E-2"/>
    <n v="0"/>
    <n v="2"/>
    <d v="2015-03-01T00:00:00"/>
    <n v="5807826.7092897436"/>
    <n v="0"/>
    <n v="0.42477568878286337"/>
  </r>
  <r>
    <s v="CAS 2015-C01"/>
    <x v="9"/>
    <n v="17947022505.650002"/>
    <x v="18"/>
    <n v="85424"/>
    <n v="622493468.15151644"/>
    <n v="0"/>
    <n v="3.4685055304050902E-2"/>
    <n v="0"/>
    <n v="34.5321"/>
    <n v="0"/>
    <n v="2.2750364322074064E-3"/>
    <n v="1143767699.1708"/>
    <n v="0"/>
    <n v="7.0999999999999994E-2"/>
    <n v="0"/>
    <n v="2"/>
    <d v="2015-04-01T00:00:00"/>
    <n v="7225577.6415164731"/>
    <n v="0"/>
    <n v="0.22750364322074063"/>
  </r>
  <r>
    <s v="CAS 2015-C01"/>
    <x v="9"/>
    <n v="17300263315.970001"/>
    <x v="19"/>
    <n v="83074"/>
    <n v="407486011.29891062"/>
    <n v="0"/>
    <n v="2.3553746197767827E-2"/>
    <n v="0"/>
    <n v="24.875699999999998"/>
    <n v="0"/>
    <n v="3.7018386836275281E-3"/>
    <n v="1551253710.4697001"/>
    <n v="0"/>
    <n v="9.6299999999999997E-2"/>
    <n v="0"/>
    <n v="2"/>
    <d v="2015-05-01T00:00:00"/>
    <n v="5669350.2989106057"/>
    <n v="0"/>
    <n v="0.3701838683627528"/>
  </r>
  <r>
    <s v="CAS 2015-C01"/>
    <x v="9"/>
    <n v="16869979490.84"/>
    <x v="20"/>
    <n v="81464"/>
    <n v="385631632.21185124"/>
    <n v="0"/>
    <n v="2.2859045704308061E-2"/>
    <n v="0"/>
    <n v="24.2318"/>
    <n v="0"/>
    <n v="4.7509371557635021E-3"/>
    <n v="1936885342.6815"/>
    <n v="0"/>
    <n v="0.1203"/>
    <n v="0"/>
    <n v="2"/>
    <d v="2015-06-01T00:00:00"/>
    <n v="6028033.0718512246"/>
    <n v="0"/>
    <n v="0.47509371557635022"/>
  </r>
  <r>
    <s v="CAS 2015-C01"/>
    <x v="9"/>
    <n v="16461150315.379999"/>
    <x v="21"/>
    <n v="79915"/>
    <n v="360080016.27246946"/>
    <n v="861420.51"/>
    <n v="2.1874535459167704E-2"/>
    <n v="5.2330517217569943E-5"/>
    <n v="23.310600000000001"/>
    <n v="6.2700000000000006E-2"/>
    <n v="4.0573108482946391E-3"/>
    <n v="2296965358.954"/>
    <n v="861420.51"/>
    <n v="0.1426"/>
    <n v="0"/>
    <n v="2"/>
    <d v="2015-07-01T00:00:00"/>
    <n v="5297119.0824694568"/>
    <n v="0"/>
    <n v="0.40573108482946391"/>
  </r>
  <r>
    <s v="CAS 2015-C01"/>
    <x v="9"/>
    <n v="16077376892.59"/>
    <x v="22"/>
    <n v="78442"/>
    <n v="289039416.80191743"/>
    <n v="1012999.14"/>
    <n v="1.7978020838407698E-2"/>
    <n v="6.3007737317328626E-5"/>
    <n v="19.563199999999998"/>
    <n v="7.5499999999999998E-2"/>
    <n v="4.6581296171838045E-3"/>
    <n v="2586004775.7558999"/>
    <n v="1874419.65"/>
    <n v="0.16059999999999999"/>
    <n v="1E-4"/>
    <n v="2"/>
    <d v="2015-08-01T00:00:00"/>
    <n v="6818295.0419174414"/>
    <n v="0.01"/>
    <n v="0.46581296171838044"/>
  </r>
  <r>
    <s v="CAS 2015-C01"/>
    <x v="9"/>
    <n v="15764100282.889999"/>
    <x v="23"/>
    <n v="77214"/>
    <n v="243441553.06967899"/>
    <n v="817214.08"/>
    <n v="1.5442781300617898E-2"/>
    <n v="5.1840198002735733E-5"/>
    <n v="17.035599999999999"/>
    <n v="6.2100000000000002E-2"/>
    <n v="5.0769512388135866E-3"/>
    <n v="2829446328.8256001"/>
    <n v="2691633.73"/>
    <n v="0.1757"/>
    <n v="1E-4"/>
    <n v="2"/>
    <d v="2015-09-01T00:00:00"/>
    <n v="5422864.9196790066"/>
    <n v="0.01"/>
    <n v="0.50769512388135862"/>
  </r>
  <r>
    <s v="CAS 2015-C02"/>
    <x v="10"/>
    <n v="27206489792.02"/>
    <x v="20"/>
    <n v="131933"/>
    <n v="645945079.91746867"/>
    <n v="0"/>
    <n v="2.3742316074414432E-2"/>
    <n v="0"/>
    <n v="25.049600000000002"/>
    <n v="0"/>
    <n v="3.6024783872981576E-3"/>
    <n v="645945079.9174"/>
    <n v="0"/>
    <n v="2.4799999999999999E-2"/>
    <n v="0"/>
    <n v="1"/>
    <d v="2015-06-01T00:00:00"/>
    <n v="14845553.377468619"/>
    <n v="0"/>
    <n v="0.36024783872981575"/>
  </r>
  <r>
    <s v="CAS 2015-C02"/>
    <x v="10"/>
    <n v="26524443952.279999"/>
    <x v="21"/>
    <n v="129578"/>
    <n v="562577571.46067512"/>
    <n v="0"/>
    <n v="2.1209778137962317E-2"/>
    <n v="0"/>
    <n v="22.6829"/>
    <n v="0"/>
    <n v="2.9730011879559705E-3"/>
    <n v="1208522651.3780999"/>
    <n v="0"/>
    <n v="4.6399999999999997E-2"/>
    <n v="0"/>
    <n v="1"/>
    <d v="2015-07-01T00:00:00"/>
    <n v="16154781.08067511"/>
    <n v="0"/>
    <n v="0.29730011879559703"/>
  </r>
  <r>
    <s v="CAS 2015-C02"/>
    <x v="10"/>
    <n v="25924742487.139999"/>
    <x v="22"/>
    <n v="127405"/>
    <n v="415706926.18089086"/>
    <n v="0"/>
    <n v="1.6035141964750577E-2"/>
    <n v="0"/>
    <n v="17.6326"/>
    <n v="0"/>
    <n v="3.2688664827447223E-3"/>
    <n v="1624229577.559"/>
    <n v="0"/>
    <n v="6.2399999999999997E-2"/>
    <n v="0"/>
    <n v="1"/>
    <d v="2015-08-01T00:00:00"/>
    <n v="17486807.800890859"/>
    <n v="0"/>
    <n v="0.32688664827447222"/>
  </r>
  <r>
    <s v="CAS 2015-C02"/>
    <x v="10"/>
    <n v="25472222636.240002"/>
    <x v="23"/>
    <n v="125731"/>
    <n v="361029665.53430843"/>
    <n v="0"/>
    <n v="1.4173465374029122E-2"/>
    <n v="0"/>
    <n v="15.742900000000001"/>
    <n v="0"/>
    <n v="4.0300187186630551E-3"/>
    <n v="1985259243.0933001"/>
    <n v="0"/>
    <n v="7.6300000000000007E-2"/>
    <n v="0"/>
    <n v="1"/>
    <d v="2015-09-01T00:00:00"/>
    <n v="14109303.204308441"/>
    <n v="0"/>
    <n v="0.40300187186630548"/>
  </r>
  <r>
    <s v="CAS 2015-C02"/>
    <x v="11"/>
    <n v="16616937598.799999"/>
    <x v="20"/>
    <n v="80059"/>
    <n v="326072768.59389263"/>
    <n v="0"/>
    <n v="1.9622915874549601E-2"/>
    <n v="0"/>
    <n v="21.165199999999999"/>
    <n v="0"/>
    <n v="3.5251960285528324E-3"/>
    <n v="326072768.59380001"/>
    <n v="0"/>
    <n v="2.0400000000000001E-2"/>
    <n v="0"/>
    <n v="2"/>
    <d v="2015-06-01T00:00:00"/>
    <n v="6221747.8238926344"/>
    <n v="0"/>
    <n v="0.35251960285528322"/>
  </r>
  <r>
    <s v="CAS 2015-C02"/>
    <x v="11"/>
    <n v="16269256589.57"/>
    <x v="21"/>
    <n v="78787"/>
    <n v="305332182.37665015"/>
    <n v="0"/>
    <n v="1.8767432961404918E-2"/>
    <n v="0"/>
    <n v="20.335699999999999"/>
    <n v="0"/>
    <n v="3.4817721656879444E-3"/>
    <n v="631404950.97049999"/>
    <n v="0"/>
    <n v="3.9600000000000003E-2"/>
    <n v="0"/>
    <n v="2"/>
    <d v="2015-07-01T00:00:00"/>
    <n v="6056168.7066501584"/>
    <n v="0"/>
    <n v="0.34817721656879447"/>
  </r>
  <r>
    <s v="CAS 2015-C02"/>
    <x v="11"/>
    <n v="15941708275.5"/>
    <x v="22"/>
    <n v="77574"/>
    <n v="242422740.89808458"/>
    <n v="0"/>
    <n v="1.5206823303287501E-2"/>
    <n v="0"/>
    <n v="16.796700000000001"/>
    <n v="0"/>
    <n v="3.9151815653233318E-3"/>
    <n v="873827691.86860001"/>
    <n v="0"/>
    <n v="5.4800000000000001E-2"/>
    <n v="0"/>
    <n v="2"/>
    <d v="2015-08-01T00:00:00"/>
    <n v="7474765.5780845908"/>
    <n v="0"/>
    <n v="0.39151815653233318"/>
  </r>
  <r>
    <s v="CAS 2015-C02"/>
    <x v="11"/>
    <n v="15676855463.42"/>
    <x v="23"/>
    <n v="76585"/>
    <n v="210289040.87036365"/>
    <n v="0"/>
    <n v="1.3413980970931771E-2"/>
    <n v="0"/>
    <n v="14.960699999999999"/>
    <n v="0"/>
    <n v="4.9237611700963359E-3"/>
    <n v="1084116732.7388999"/>
    <n v="0"/>
    <n v="6.7900000000000002E-2"/>
    <n v="0"/>
    <n v="2"/>
    <d v="2015-09-01T00:00:00"/>
    <n v="5748710.1503636558"/>
    <n v="0"/>
    <n v="0.49237611700963357"/>
  </r>
  <r>
    <s v="CAS 2015-C03"/>
    <x v="12"/>
    <n v="27745977471.580002"/>
    <x v="22"/>
    <n v="130771"/>
    <n v="353484815.65770537"/>
    <n v="0"/>
    <n v="1.2740038299958156E-2"/>
    <n v="0"/>
    <n v="14.260999999999999"/>
    <n v="0"/>
    <n v="2.7854082307664707E-3"/>
    <n v="353484815.6577"/>
    <n v="0"/>
    <n v="1.2699999999999999E-2"/>
    <n v="0"/>
    <n v="1"/>
    <d v="2015-08-01T00:00:00"/>
    <n v="18590470.36770536"/>
    <n v="0"/>
    <n v="0.27854082307664707"/>
  </r>
  <r>
    <s v="CAS 2015-C03"/>
    <x v="12"/>
    <n v="27354849593.349998"/>
    <x v="23"/>
    <n v="129402"/>
    <n v="314038419.34265858"/>
    <n v="0"/>
    <n v="1.1480173497974623E-2"/>
    <n v="0"/>
    <n v="12.938800000000001"/>
    <n v="0"/>
    <n v="3.1858315423231491E-3"/>
    <n v="667523235.00030005"/>
    <n v="0"/>
    <n v="2.4E-2"/>
    <n v="0"/>
    <n v="1"/>
    <d v="2015-09-01T00:00:00"/>
    <n v="16828863.042658556"/>
    <n v="0"/>
    <n v="0.31858315423231492"/>
  </r>
  <r>
    <s v="CAS 2015-C03"/>
    <x v="13"/>
    <n v="19775051818.029999"/>
    <x v="22"/>
    <n v="92475"/>
    <n v="221497233.62201992"/>
    <n v="0"/>
    <n v="1.1200842134839248E-2"/>
    <n v="0"/>
    <n v="12.6431"/>
    <n v="0"/>
    <n v="2.9994536957885414E-3"/>
    <n v="221497233.62200001"/>
    <n v="0"/>
    <n v="1.12E-2"/>
    <n v="0"/>
    <n v="2"/>
    <d v="2015-08-01T00:00:00"/>
    <n v="9013228.6220199019"/>
    <n v="0"/>
    <n v="0.29994536957885415"/>
  </r>
  <r>
    <s v="CAS 2015-C03"/>
    <x v="13"/>
    <n v="19527197471.060001"/>
    <x v="23"/>
    <n v="91612"/>
    <n v="206417327.02674514"/>
    <n v="0"/>
    <n v="1.0570760465379784E-2"/>
    <n v="0"/>
    <n v="11.972799999999999"/>
    <n v="0"/>
    <n v="4.4362147772809722E-3"/>
    <n v="427914560.6487"/>
    <n v="0"/>
    <n v="2.1600000000000001E-2"/>
    <n v="0"/>
    <n v="2"/>
    <d v="2015-09-01T00:00:00"/>
    <n v="6014386.8667451544"/>
    <n v="0"/>
    <n v="0.4436214777280972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6" cacheId="43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>
  <location ref="AI16:AW41" firstHeaderRow="1" firstDataRow="2" firstDataCol="1"/>
  <pivotFields count="21"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/>
    <pivotField axis="axisRow" numFmtId="14" showAll="0" sortType="descending">
      <items count="28"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m="1" x="26"/>
        <item m="1" x="24"/>
        <item m="1" x="25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10" showAll="0"/>
    <pivotField showAll="0" defaultSubtotal="0"/>
    <pivotField showAll="0" defaultSubtotal="0"/>
    <pivotField numFmtId="10" showAll="0"/>
    <pivotField numFmtId="10" showAll="0"/>
    <pivotField showAll="0" defaultSubtotal="0"/>
    <pivotField numFmtId="14" showAll="0" defaultSubtotal="0"/>
    <pivotField showAll="0" defaultSubtotal="0"/>
    <pivotField dataField="1" showAll="0" defaultSubtotal="0"/>
    <pivotField showAll="0" defaultSubtotal="0"/>
  </pivotFields>
  <rowFields count="1">
    <field x="3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</rowItems>
  <colFields count="1">
    <field x="1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</colItems>
  <dataFields count="1">
    <dataField name="Sum of Cum_DF100" fld="19" baseField="0" baseItem="0"/>
  </dataFields>
  <formats count="10">
    <format dxfId="87">
      <pivotArea outline="0" collapsedLevelsAreSubtotals="1" fieldPosition="0"/>
    </format>
    <format dxfId="86">
      <pivotArea type="all" dataOnly="0" outline="0" fieldPosition="0"/>
    </format>
    <format dxfId="85">
      <pivotArea field="3" type="button" dataOnly="0" labelOnly="1" outline="0" axis="axisRow" fieldPosition="0"/>
    </format>
    <format dxfId="84">
      <pivotArea type="all" dataOnly="0" outline="0" fieldPosition="0"/>
    </format>
    <format dxfId="83">
      <pivotArea type="all" dataOnly="0" outline="0" fieldPosition="0"/>
    </format>
    <format dxfId="82">
      <pivotArea outline="0" collapsedLevelsAreSubtotals="1" fieldPosition="0"/>
    </format>
    <format dxfId="81">
      <pivotArea dataOnly="0" labelOnly="1" fieldPosition="0">
        <references count="1">
          <reference field="3" count="0"/>
        </references>
      </pivotArea>
    </format>
    <format dxfId="80">
      <pivotArea field="3" type="button" dataOnly="0" labelOnly="1" outline="0" axis="axisRow" fieldPosition="0"/>
    </format>
    <format dxfId="79">
      <pivotArea outline="0" collapsedLevelsAreSubtotals="1" fieldPosition="0"/>
    </format>
    <format dxfId="78">
      <pivotArea field="3" type="button" dataOnly="0" labelOnly="1" outline="0" axis="axisRow" fieldPosition="0"/>
    </format>
  </formats>
  <conditionalFormats count="1">
    <conditionalFormat priority="1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5" cacheId="43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>
  <location ref="AZ16:BN41" firstHeaderRow="1" firstDataRow="2" firstDataCol="1"/>
  <pivotFields count="21"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/>
    <pivotField axis="axisRow" numFmtId="14" showAll="0" sortType="descending">
      <items count="28"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m="1" x="26"/>
        <item m="1" x="24"/>
        <item m="1" x="25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10" showAll="0"/>
    <pivotField showAll="0" defaultSubtotal="0"/>
    <pivotField showAll="0" defaultSubtotal="0"/>
    <pivotField numFmtId="10" showAll="0"/>
    <pivotField numFmtId="10" showAll="0"/>
    <pivotField showAll="0" defaultSubtotal="0"/>
    <pivotField numFmtId="14" showAll="0" defaultSubtotal="0"/>
    <pivotField showAll="0" defaultSubtotal="0"/>
    <pivotField showAll="0" defaultSubtotal="0"/>
    <pivotField dataField="1" showAll="0" defaultSubtotal="0"/>
  </pivotFields>
  <rowFields count="1">
    <field x="3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</rowItems>
  <colFields count="1">
    <field x="1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</colItems>
  <dataFields count="1">
    <dataField name="Sum of DLQ100" fld="20" baseField="0" baseItem="0"/>
  </dataFields>
  <formats count="11">
    <format dxfId="98">
      <pivotArea outline="0" collapsedLevelsAreSubtotals="1" fieldPosition="0"/>
    </format>
    <format dxfId="97">
      <pivotArea type="all" dataOnly="0" outline="0" fieldPosition="0"/>
    </format>
    <format dxfId="96">
      <pivotArea field="3" type="button" dataOnly="0" labelOnly="1" outline="0" axis="axisRow" fieldPosition="0"/>
    </format>
    <format dxfId="95">
      <pivotArea field="3" type="button" dataOnly="0" labelOnly="1" outline="0" axis="axisRow" fieldPosition="0"/>
    </format>
    <format dxfId="94">
      <pivotArea type="all" dataOnly="0" outline="0" fieldPosition="0"/>
    </format>
    <format dxfId="93">
      <pivotArea type="all" dataOnly="0" outline="0" fieldPosition="0"/>
    </format>
    <format dxfId="92">
      <pivotArea outline="0" collapsedLevelsAreSubtotals="1" fieldPosition="0"/>
    </format>
    <format dxfId="91">
      <pivotArea dataOnly="0" labelOnly="1" fieldPosition="0">
        <references count="1">
          <reference field="3" count="0"/>
        </references>
      </pivotArea>
    </format>
    <format dxfId="90">
      <pivotArea field="3" type="button" dataOnly="0" labelOnly="1" outline="0" axis="axisRow" fieldPosition="0"/>
    </format>
    <format dxfId="89">
      <pivotArea outline="0" collapsedLevelsAreSubtotals="1" fieldPosition="0"/>
    </format>
    <format dxfId="88">
      <pivotArea field="3" type="button" dataOnly="0" labelOnly="1" outline="0" axis="axisRow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18" cacheId="43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>
  <location ref="C16:Q41" firstHeaderRow="1" firstDataRow="2" firstDataCol="1"/>
  <pivotFields count="21"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/>
    <pivotField axis="axisRow" numFmtId="14" showAll="0" sortType="descending">
      <items count="28"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m="1" x="26"/>
        <item m="1" x="24"/>
        <item m="1" x="25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numFmtId="43" showAll="0"/>
    <pivotField numFmtId="10" showAll="0"/>
    <pivotField showAll="0" defaultSubtotal="0"/>
    <pivotField showAll="0" defaultSubtotal="0"/>
    <pivotField numFmtId="10" showAll="0"/>
    <pivotField numFmtId="10" showAll="0"/>
    <pivotField showAll="0" defaultSubtotal="0"/>
    <pivotField numFmtId="14" showAll="0" defaultSubtotal="0"/>
    <pivotField showAll="0" defaultSubtotal="0"/>
    <pivotField showAll="0" defaultSubtotal="0"/>
    <pivotField showAll="0" defaultSubtotal="0"/>
  </pivotFields>
  <rowFields count="1">
    <field x="3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</rowItems>
  <colFields count="1">
    <field x="1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</colItems>
  <dataFields count="1">
    <dataField name="Sum of CPR" fld="9" baseField="0" baseItem="0" numFmtId="164"/>
  </dataFields>
  <formats count="12">
    <format dxfId="110">
      <pivotArea outline="0" collapsedLevelsAreSubtotals="1" fieldPosition="0"/>
    </format>
    <format dxfId="109">
      <pivotArea field="3" type="button" dataOnly="0" labelOnly="1" outline="0" axis="axisRow" fieldPosition="0"/>
    </format>
    <format dxfId="108">
      <pivotArea field="3" type="button" dataOnly="0" labelOnly="1" outline="0" axis="axisRow" fieldPosition="0"/>
    </format>
    <format dxfId="107">
      <pivotArea type="all" dataOnly="0" outline="0" fieldPosition="0"/>
    </format>
    <format dxfId="106">
      <pivotArea type="all" dataOnly="0" outline="0" fieldPosition="0"/>
    </format>
    <format dxfId="105">
      <pivotArea type="all" dataOnly="0" outline="0" fieldPosition="0"/>
    </format>
    <format dxfId="104">
      <pivotArea outline="0" collapsedLevelsAreSubtotals="1" fieldPosition="0"/>
    </format>
    <format dxfId="103">
      <pivotArea dataOnly="0" labelOnly="1" fieldPosition="0">
        <references count="1">
          <reference field="3" count="0"/>
        </references>
      </pivotArea>
    </format>
    <format dxfId="102">
      <pivotArea field="3" type="button" dataOnly="0" labelOnly="1" outline="0" axis="axisRow" fieldPosition="0"/>
    </format>
    <format dxfId="101">
      <pivotArea field="3" type="button" dataOnly="0" labelOnly="1" outline="0" axis="axisRow" fieldPosition="0"/>
    </format>
    <format dxfId="100">
      <pivotArea field="3" type="button" dataOnly="0" labelOnly="1" outline="0" axis="axisRow" fieldPosition="0"/>
    </format>
    <format dxfId="99">
      <pivotArea field="3" type="button" dataOnly="0" labelOnly="1" outline="0" axis="axisRow" fieldPosition="0"/>
    </format>
  </formats>
  <conditionalFormats count="1">
    <conditionalFormat priority="3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17" cacheId="43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>
  <location ref="S16:AG41" firstHeaderRow="1" firstDataRow="2" firstDataCol="1"/>
  <pivotFields count="21"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/>
    <pivotField axis="axisRow" numFmtId="14" showAll="0" sortType="descending">
      <items count="28"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m="1" x="26"/>
        <item m="1" x="24"/>
        <item m="1" x="25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dataField="1" numFmtId="43" showAll="0"/>
    <pivotField numFmtId="10" showAll="0"/>
    <pivotField showAll="0" defaultSubtotal="0"/>
    <pivotField showAll="0" defaultSubtotal="0"/>
    <pivotField numFmtId="10" showAll="0"/>
    <pivotField numFmtId="10" showAll="0"/>
    <pivotField showAll="0" defaultSubtotal="0"/>
    <pivotField numFmtId="14" showAll="0" defaultSubtotal="0"/>
    <pivotField showAll="0" defaultSubtotal="0"/>
    <pivotField showAll="0" defaultSubtotal="0"/>
    <pivotField showAll="0" defaultSubtotal="0"/>
  </pivotFields>
  <rowFields count="1">
    <field x="3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</rowItems>
  <colFields count="1">
    <field x="1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</colItems>
  <dataFields count="1">
    <dataField name="CDR %" fld="10" baseField="0" baseItem="0" numFmtId="2"/>
  </dataFields>
  <formats count="9">
    <format dxfId="119">
      <pivotArea outline="0" collapsedLevelsAreSubtotals="1" fieldPosition="0"/>
    </format>
    <format dxfId="118">
      <pivotArea field="3" type="button" dataOnly="0" labelOnly="1" outline="0" axis="axisRow" fieldPosition="0"/>
    </format>
    <format dxfId="117">
      <pivotArea type="all" dataOnly="0" outline="0" fieldPosition="0"/>
    </format>
    <format dxfId="116">
      <pivotArea type="all" dataOnly="0" outline="0" fieldPosition="0"/>
    </format>
    <format dxfId="115">
      <pivotArea type="all" dataOnly="0" outline="0" fieldPosition="0"/>
    </format>
    <format dxfId="114">
      <pivotArea outline="0" collapsedLevelsAreSubtotals="1" fieldPosition="0"/>
    </format>
    <format dxfId="113">
      <pivotArea dataOnly="0" labelOnly="1" fieldPosition="0">
        <references count="1">
          <reference field="3" count="0"/>
        </references>
      </pivotArea>
    </format>
    <format dxfId="112">
      <pivotArea field="3" type="button" dataOnly="0" labelOnly="1" outline="0" axis="axisRow" fieldPosition="0"/>
    </format>
    <format dxfId="111">
      <pivotArea field="3" type="button" dataOnly="0" labelOnly="1" outline="0" axis="axisRow" fieldPosition="0"/>
    </format>
  </formats>
  <conditionalFormats count="1">
    <conditionalFormat priority="2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Query from Agency_11" backgroundRefresh="0" adjustColumnWidth="0" connectionId="1" autoFormatId="16" applyNumberFormats="0" applyBorderFormats="0" applyFontFormats="0" applyPatternFormats="0" applyAlignmentFormats="0" applyWidthHeightFormats="0">
  <queryTableRefresh nextId="120">
    <queryTableFields count="43">
      <queryTableField id="77" name="DealName" tableColumnId="1"/>
      <queryTableField id="78" name="RefPoolId" tableColumnId="2"/>
      <queryTableField id="79" name="CurrentLoanCount" tableColumnId="3"/>
      <queryTableField id="80" name="CurrentBalance" tableColumnId="4"/>
      <queryTableField id="81" name="OriginalBalance" tableColumnId="5"/>
      <queryTableField id="82" name="wavg_loanAge" tableColumnId="6"/>
      <queryTableField id="83" name="wavg_origNoteRate" tableColumnId="7"/>
      <queryTableField id="84" name="wavg_currentNoteRate" tableColumnId="8"/>
      <queryTableField id="85" name="wavg_origLTV" tableColumnId="9"/>
      <queryTableField id="86" name="wavg_origCLTV" tableColumnId="10"/>
      <queryTableField id="87" name="wavg_currentLTV" tableColumnId="11"/>
      <queryTableField id="88" name="wavg_origDTI" tableColumnId="12"/>
      <queryTableField id="89" name="wavg_origFICO" tableColumnId="13"/>
      <queryTableField id="90" name="wavg_origLoanSize" tableColumnId="14"/>
      <queryTableField id="91" name="pct_mi" tableColumnId="15"/>
      <queryTableField id="92" name="pct_2nd" tableColumnId="16"/>
      <queryTableField id="93" name="pct_firstTimeHomeBuyer" tableColumnId="17"/>
      <queryTableField id="94" name="pct_multiple_borrowers" tableColumnId="18"/>
      <queryTableField id="95" name="pct_multiple_units" tableColumnId="19"/>
      <queryTableField id="96" name="pct_sfr" tableColumnId="20"/>
      <queryTableField id="97" name="pct_owner" tableColumnId="21"/>
      <queryTableField id="98" name="pct_purchase" tableColumnId="22"/>
      <queryTableField id="99" name="pct_broker" tableColumnId="23"/>
      <queryTableField id="100" name="pct_current" tableColumnId="24"/>
      <queryTableField id="101" name="pct_delinquent" tableColumnId="25"/>
      <queryTableField id="102" name="pct_APL" tableColumnId="26"/>
      <queryTableField id="103" name="pct_RPL" tableColumnId="27"/>
      <queryTableField id="104" name="pct_earlyNPL" tableColumnId="28"/>
      <queryTableField id="105" name="pct_lateNPL" tableColumnId="29"/>
      <queryTableField id="106" name="pct_modified" tableColumnId="30"/>
      <queryTableField id="107" name="GroupId" tableColumnId="31"/>
      <queryTableField id="108" name="factorDate" tableColumnId="32"/>
      <queryTableField id="109" name="wavg_currLoanSize" tableColumnId="33"/>
      <queryTableField id="110" name="pct_second" tableColumnId="34"/>
      <queryTableField id="111" name="pct_pud" tableColumnId="35"/>
      <queryTableField id="112" name="pct_condo" tableColumnId="36"/>
      <queryTableField id="113" name="pct_mh" tableColumnId="37"/>
      <queryTableField id="114" name="pct_coop" tableColumnId="38"/>
      <queryTableField id="115" name="pct_inv" tableColumnId="39"/>
      <queryTableField id="116" name="pct_refi_nco" tableColumnId="40"/>
      <queryTableField id="117" name="pct_refi_co" tableColumnId="41"/>
      <queryTableField id="118" name="pct_retail" tableColumnId="42"/>
      <queryTableField id="119" name="pct_corres" tableColumnId="43"/>
    </queryTableFields>
    <queryTableDeletedFields count="1">
      <deletedField name="refinancible_satoAdj"/>
    </queryTableDeletedFields>
  </queryTableRefresh>
</queryTable>
</file>

<file path=xl/queryTables/queryTable2.xml><?xml version="1.0" encoding="utf-8"?>
<queryTable xmlns="http://schemas.openxmlformats.org/spreadsheetml/2006/main" name="Query from Agency_11" backgroundRefresh="0" adjustColumnWidth="0" connectionId="2" autoFormatId="16" applyNumberFormats="0" applyBorderFormats="0" applyFontFormats="0" applyPatternFormats="0" applyAlignmentFormats="0" applyWidthHeightFormats="0">
  <queryTableRefresh nextId="128" unboundColumnsRight="2">
    <queryTableFields count="21">
      <queryTableField id="77" name="DealName" tableColumnId="1"/>
      <queryTableField id="78" name="RefPoolId" tableColumnId="2"/>
      <queryTableField id="80" name="CurrentBalance" tableColumnId="4"/>
      <queryTableField id="107" name="beginDate" tableColumnId="31"/>
      <queryTableField id="108" name="loanCount" tableColumnId="32"/>
      <queryTableField id="109" name="prepaymentBalance" tableColumnId="33"/>
      <queryTableField id="110" name="defaultBalance" tableColumnId="34"/>
      <queryTableField id="111" name="smm" tableColumnId="35"/>
      <queryTableField id="112" name="mdr" tableColumnId="36"/>
      <queryTableField id="113" name="CPR" tableColumnId="37"/>
      <queryTableField id="114" name="CDR" tableColumnId="38"/>
      <queryTableField id="115" name="pct_dq" tableColumnId="39"/>
      <queryTableField id="116" name="cum_prepayment" tableColumnId="40"/>
      <queryTableField id="117" name="cum_default" tableColumnId="41"/>
      <queryTableField id="118" name="cum_pp_pct" tableColumnId="42"/>
      <queryTableField id="119" name="cum_df_pct" tableColumnId="43"/>
      <queryTableField id="125" name="GroupId" tableColumnId="3"/>
      <queryTableField id="126" name="factorDate" tableColumnId="5"/>
      <queryTableField id="127" name="partialCurtailment" tableColumnId="6"/>
      <queryTableField id="120" dataBound="0" tableColumnId="44"/>
      <queryTableField id="121" dataBound="0" tableColumnId="45"/>
    </queryTableFields>
    <queryTableDeletedFields count="1">
      <deletedField name="refinancible_satoAdj"/>
    </queryTableDeletedFields>
  </queryTableRefresh>
</queryTable>
</file>

<file path=xl/queryTables/queryTable3.xml><?xml version="1.0" encoding="utf-8"?>
<queryTable xmlns="http://schemas.openxmlformats.org/spreadsheetml/2006/main" name="Query from Agency_11" backgroundRefresh="0" adjustColumnWidth="0" connectionId="3" autoFormatId="16" applyNumberFormats="0" applyBorderFormats="0" applyFontFormats="0" applyPatternFormats="0" applyAlignmentFormats="0" applyWidthHeightFormats="0">
  <queryTableRefresh nextId="115" unboundColumnsRight="1">
    <queryTableFields count="8">
      <queryTableField id="107" name="BloombergDealName" tableColumnId="1"/>
      <queryTableField id="108" name="BloombergBondName" tableColumnId="3"/>
      <queryTableField id="109" name="YBName" tableColumnId="4"/>
      <queryTableField id="110" name="Cusip" tableColumnId="5"/>
      <queryTableField id="111" name="PricingDate" tableColumnId="6"/>
      <queryTableField id="112" name="RefPoolId" tableColumnId="2"/>
      <queryTableField id="113" name="groupID" tableColumnId="7"/>
      <queryTableField id="114" dataBound="0" tableColumnId="8"/>
    </queryTableFields>
    <queryTableDeletedFields count="1">
      <deletedField name="refinancible_satoAdj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id="1" name="CurrentMtgRatesDataTable8252" displayName="CurrentMtgRatesDataTable8252" ref="B3:AR17" tableType="queryTable" totalsRowShown="0" headerRowDxfId="77" dataDxfId="76">
  <tableColumns count="43">
    <tableColumn id="1" uniqueName="1" name="DealName" queryTableFieldId="77" dataDxfId="75"/>
    <tableColumn id="2" uniqueName="2" name="RefPoolId" queryTableFieldId="78" dataDxfId="74"/>
    <tableColumn id="3" uniqueName="3" name="CurrentLoanCount" queryTableFieldId="79" dataDxfId="73"/>
    <tableColumn id="4" uniqueName="4" name="CurrentBalance" queryTableFieldId="80" dataDxfId="72"/>
    <tableColumn id="5" uniqueName="5" name="OriginalBalance" queryTableFieldId="81" dataDxfId="71"/>
    <tableColumn id="6" uniqueName="6" name="wavg_loanAge" queryTableFieldId="82" dataDxfId="70"/>
    <tableColumn id="7" uniqueName="7" name="wavg_origNoteRate" queryTableFieldId="83" dataDxfId="69"/>
    <tableColumn id="8" uniqueName="8" name="wavg_currentNoteRate" queryTableFieldId="84" dataDxfId="68"/>
    <tableColumn id="9" uniqueName="9" name="wavg_origLTV" queryTableFieldId="85" dataDxfId="67"/>
    <tableColumn id="10" uniqueName="10" name="wavg_origCLTV" queryTableFieldId="86" dataDxfId="66"/>
    <tableColumn id="11" uniqueName="11" name="wavg_currentLTV" queryTableFieldId="87" dataDxfId="65"/>
    <tableColumn id="12" uniqueName="12" name="wavg_origDTI" queryTableFieldId="88" dataDxfId="64"/>
    <tableColumn id="13" uniqueName="13" name="wavg_origFICO" queryTableFieldId="89" dataDxfId="63"/>
    <tableColumn id="14" uniqueName="14" name="wavg_origLoanSize" queryTableFieldId="90" dataDxfId="62"/>
    <tableColumn id="15" uniqueName="15" name="pct_mi" queryTableFieldId="91" dataDxfId="61"/>
    <tableColumn id="16" uniqueName="16" name="pct_2nd" queryTableFieldId="92" dataDxfId="60"/>
    <tableColumn id="17" uniqueName="17" name="pct_firstTimeHomeBuyer" queryTableFieldId="93" dataDxfId="59"/>
    <tableColumn id="18" uniqueName="18" name="pct_multiple_borrowers" queryTableFieldId="94" dataDxfId="58"/>
    <tableColumn id="19" uniqueName="19" name="pct_multiple_units" queryTableFieldId="95" dataDxfId="57"/>
    <tableColumn id="20" uniqueName="20" name="pct_sfr" queryTableFieldId="96" dataDxfId="56"/>
    <tableColumn id="21" uniqueName="21" name="pct_owner" queryTableFieldId="97" dataDxfId="55"/>
    <tableColumn id="22" uniqueName="22" name="pct_purchase" queryTableFieldId="98" dataDxfId="54"/>
    <tableColumn id="23" uniqueName="23" name="pct_broker" queryTableFieldId="99" dataDxfId="53"/>
    <tableColumn id="24" uniqueName="24" name="pct_current" queryTableFieldId="100" dataDxfId="52"/>
    <tableColumn id="25" uniqueName="25" name="pct_delinquent" queryTableFieldId="101" dataDxfId="51"/>
    <tableColumn id="26" uniqueName="26" name="pct_APL" queryTableFieldId="102" dataDxfId="50"/>
    <tableColumn id="27" uniqueName="27" name="pct_RPL" queryTableFieldId="103" dataDxfId="49"/>
    <tableColumn id="28" uniqueName="28" name="pct_earlyNPL" queryTableFieldId="104" dataDxfId="48"/>
    <tableColumn id="29" uniqueName="29" name="pct_lateNPL" queryTableFieldId="105" dataDxfId="47"/>
    <tableColumn id="30" uniqueName="30" name="pct_modified" queryTableFieldId="106" dataDxfId="46"/>
    <tableColumn id="31" uniqueName="31" name="GroupId" queryTableFieldId="107" dataDxfId="45"/>
    <tableColumn id="32" uniqueName="32" name="factorDate" queryTableFieldId="108" dataDxfId="44"/>
    <tableColumn id="33" uniqueName="33" name="wavg_currLoanSize" queryTableFieldId="109" dataDxfId="43"/>
    <tableColumn id="34" uniqueName="34" name="pct_second" queryTableFieldId="110" dataDxfId="42"/>
    <tableColumn id="35" uniqueName="35" name="pct_pud" queryTableFieldId="111" dataDxfId="41"/>
    <tableColumn id="36" uniqueName="36" name="pct_condo" queryTableFieldId="112" dataDxfId="40"/>
    <tableColumn id="37" uniqueName="37" name="pct_mh" queryTableFieldId="113" dataDxfId="39"/>
    <tableColumn id="38" uniqueName="38" name="pct_coop" queryTableFieldId="114" dataDxfId="38"/>
    <tableColumn id="39" uniqueName="39" name="pct_inv" queryTableFieldId="115" dataDxfId="37"/>
    <tableColumn id="40" uniqueName="40" name="pct_refi_nco" queryTableFieldId="116" dataDxfId="36"/>
    <tableColumn id="41" uniqueName="41" name="pct_refi_co" queryTableFieldId="117" dataDxfId="35"/>
    <tableColumn id="42" uniqueName="42" name="pct_retail" queryTableFieldId="118" dataDxfId="34"/>
    <tableColumn id="43" uniqueName="43" name="pct_corres" queryTableFieldId="119" dataDxfId="33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2" name="CurrentMtgRatesDataTable82523" displayName="CurrentMtgRatesDataTable82523" ref="C3:W158" tableType="queryTable" totalsRowShown="0" headerRowDxfId="32" dataDxfId="31">
  <tableColumns count="21">
    <tableColumn id="1" uniqueName="1" name="DealName" queryTableFieldId="77" dataDxfId="30"/>
    <tableColumn id="2" uniqueName="2" name="RefPoolId" queryTableFieldId="78" dataDxfId="29"/>
    <tableColumn id="4" uniqueName="4" name="currentBalance" queryTableFieldId="80" dataDxfId="28"/>
    <tableColumn id="31" uniqueName="31" name="beginDate" queryTableFieldId="107" dataDxfId="27"/>
    <tableColumn id="32" uniqueName="32" name="loanCount" queryTableFieldId="108" dataDxfId="26"/>
    <tableColumn id="33" uniqueName="33" name="prepaymentBalance" queryTableFieldId="109" dataDxfId="25"/>
    <tableColumn id="34" uniqueName="34" name="defaultBalance" queryTableFieldId="110" dataDxfId="24"/>
    <tableColumn id="35" uniqueName="35" name="smm" queryTableFieldId="111" dataDxfId="23"/>
    <tableColumn id="36" uniqueName="36" name="mdr" queryTableFieldId="112" dataDxfId="22"/>
    <tableColumn id="37" uniqueName="37" name="CPR" queryTableFieldId="113" dataDxfId="21"/>
    <tableColumn id="38" uniqueName="38" name="CDR" queryTableFieldId="114" dataDxfId="20"/>
    <tableColumn id="39" uniqueName="39" name="pct_dq" queryTableFieldId="115" dataDxfId="19"/>
    <tableColumn id="40" uniqueName="40" name="cum_prepayment" queryTableFieldId="116" dataDxfId="18"/>
    <tableColumn id="41" uniqueName="41" name="cum_default" queryTableFieldId="117" dataDxfId="17"/>
    <tableColumn id="42" uniqueName="42" name="cum_pp_pct" queryTableFieldId="118" dataDxfId="16"/>
    <tableColumn id="43" uniqueName="43" name="cum_df_pct" queryTableFieldId="119" dataDxfId="15"/>
    <tableColumn id="3" uniqueName="3" name="GroupId" queryTableFieldId="125" dataDxfId="14"/>
    <tableColumn id="5" uniqueName="5" name="factorDate" queryTableFieldId="126" dataDxfId="13"/>
    <tableColumn id="6" uniqueName="6" name="partialCurtailment" queryTableFieldId="127" dataDxfId="12"/>
    <tableColumn id="44" uniqueName="44" name="Cum_DF100" queryTableFieldId="120" dataDxfId="11">
      <calculatedColumnFormula>CurrentMtgRatesDataTable82523[[#This Row],[cum_df_pct]]*100</calculatedColumnFormula>
    </tableColumn>
    <tableColumn id="45" uniqueName="45" name="DLQ100" queryTableFieldId="121" dataDxfId="10">
      <calculatedColumnFormula>CurrentMtgRatesDataTable82523[[#This Row],[pct_dq]]*100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3" name="CurrentMtgRatesDataTable82524" displayName="CurrentMtgRatesDataTable82524" ref="B3:I31" tableType="queryTable" totalsRowShown="0" headerRowDxfId="9" dataDxfId="8">
  <tableColumns count="8">
    <tableColumn id="1" uniqueName="1" name="BloombergDealName" queryTableFieldId="107" dataDxfId="7"/>
    <tableColumn id="3" uniqueName="3" name="BloombergBondName" queryTableFieldId="108" dataDxfId="6"/>
    <tableColumn id="4" uniqueName="4" name="YBName" queryTableFieldId="109" dataDxfId="5"/>
    <tableColumn id="5" uniqueName="5" name="Cusip" queryTableFieldId="110" dataDxfId="4"/>
    <tableColumn id="6" uniqueName="6" name="PricingDate" queryTableFieldId="111" dataDxfId="3"/>
    <tableColumn id="2" uniqueName="2" name="RefPoolId" queryTableFieldId="112" dataDxfId="2"/>
    <tableColumn id="7" uniqueName="7" name="groupID" queryTableFieldId="113" dataDxfId="1"/>
    <tableColumn id="8" uniqueName="8" name="BloombergDealName2" queryTableFieldId="114" dataDxfId="0">
      <calculatedColumnFormula>CurrentMtgRatesDataTable82524[[#This Row],[BloombergDealName]]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vmlDrawing" Target="../drawings/vmlDrawing3.vml"/><Relationship Id="rId5" Type="http://schemas.openxmlformats.org/officeDocument/2006/relationships/printerSettings" Target="../printerSettings/printerSettings3.bin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9" tint="0.59999389629810485"/>
    <pageSetUpPr fitToPage="1"/>
  </sheetPr>
  <dimension ref="A4:AB76"/>
  <sheetViews>
    <sheetView showGridLines="0" zoomScale="85" zoomScaleNormal="85" workbookViewId="0">
      <selection activeCell="F45" sqref="F45:S45"/>
    </sheetView>
  </sheetViews>
  <sheetFormatPr defaultRowHeight="15"/>
  <cols>
    <col min="1" max="1" width="12.28515625" customWidth="1"/>
    <col min="2" max="2" width="5.5703125" style="93" customWidth="1"/>
    <col min="3" max="3" width="6" customWidth="1"/>
    <col min="4" max="4" width="24" hidden="1" customWidth="1"/>
    <col min="5" max="5" width="23.5703125" bestFit="1" customWidth="1"/>
    <col min="6" max="19" width="10.7109375" style="35" customWidth="1"/>
    <col min="20" max="20" width="6.140625" customWidth="1"/>
    <col min="21" max="24" width="10.42578125" customWidth="1"/>
    <col min="25" max="25" width="14.85546875" bestFit="1" customWidth="1"/>
  </cols>
  <sheetData>
    <row r="4" spans="1:28">
      <c r="Y4" t="s">
        <v>81</v>
      </c>
    </row>
    <row r="9" spans="1:28" s="2" customFormat="1" ht="30" customHeight="1">
      <c r="A9" s="24"/>
      <c r="B9" s="24"/>
      <c r="C9"/>
      <c r="D9"/>
      <c r="E9" s="30" t="s">
        <v>12</v>
      </c>
      <c r="F9" s="43" t="str">
        <f>VLOOKUP(F12,'Deal Pool Mapping'!$G:$I,3,0)</f>
        <v>CAS 2013-C01</v>
      </c>
      <c r="G9" s="43" t="str">
        <f>VLOOKUP(G12,'Deal Pool Mapping'!$G:$I,3,0)</f>
        <v>CAS 2014-C01</v>
      </c>
      <c r="H9" s="43" t="str">
        <f>VLOOKUP(H12,'Deal Pool Mapping'!$G:$I,3,0)</f>
        <v>CAS 2014-C02</v>
      </c>
      <c r="I9" s="43" t="str">
        <f>VLOOKUP(I12,'Deal Pool Mapping'!$G:$I,3,0)</f>
        <v>CAS 2014-C02</v>
      </c>
      <c r="J9" s="43" t="str">
        <f>VLOOKUP(J12,'Deal Pool Mapping'!$G:$I,3,0)</f>
        <v>CAS 2014-C03</v>
      </c>
      <c r="K9" s="43" t="str">
        <f>VLOOKUP(K12,'Deal Pool Mapping'!$G:$I,3,0)</f>
        <v>CAS 2014-C03</v>
      </c>
      <c r="L9" s="43" t="str">
        <f>VLOOKUP(L12,'Deal Pool Mapping'!$G:$I,3,0)</f>
        <v>CAS 2014-C04</v>
      </c>
      <c r="M9" s="43" t="str">
        <f>VLOOKUP(M12,'Deal Pool Mapping'!$G:$I,3,0)</f>
        <v>CAS 2014-C04</v>
      </c>
      <c r="N9" s="43" t="str">
        <f>VLOOKUP(N12,'Deal Pool Mapping'!$G:$I,3,0)</f>
        <v>CAS 2015-C01</v>
      </c>
      <c r="O9" s="43" t="str">
        <f>VLOOKUP(O12,'Deal Pool Mapping'!$G:$I,3,0)</f>
        <v>CAS 2015-C01</v>
      </c>
      <c r="P9" s="43" t="str">
        <f>VLOOKUP(P12,'Deal Pool Mapping'!$G:$I,3,0)</f>
        <v>CAS 2015-C02</v>
      </c>
      <c r="Q9" s="43" t="str">
        <f>VLOOKUP(Q12,'Deal Pool Mapping'!$G:$I,3,0)</f>
        <v>CAS 2015-C02</v>
      </c>
      <c r="R9" s="43" t="str">
        <f>VLOOKUP(R12,'Deal Pool Mapping'!$G:$J,3,0)</f>
        <v>CAS 2015-C03</v>
      </c>
      <c r="S9" s="43" t="str">
        <f>VLOOKUP(S12,'Deal Pool Mapping'!$G:$J,3,0)</f>
        <v>CAS 2015-C03</v>
      </c>
      <c r="T9"/>
      <c r="U9"/>
      <c r="V9"/>
      <c r="W9"/>
      <c r="X9"/>
      <c r="Y9"/>
      <c r="Z9"/>
      <c r="AA9"/>
      <c r="AB9"/>
    </row>
    <row r="10" spans="1:28" s="2" customFormat="1" hidden="1">
      <c r="A10" s="24"/>
      <c r="B10" s="24"/>
      <c r="C10"/>
      <c r="D10"/>
      <c r="E10" s="31" t="s">
        <v>31</v>
      </c>
      <c r="F10" s="36">
        <v>84793</v>
      </c>
      <c r="G10" s="36">
        <v>132693</v>
      </c>
      <c r="H10" s="36">
        <v>128194</v>
      </c>
      <c r="I10" s="36">
        <v>102690</v>
      </c>
      <c r="J10" s="36">
        <v>71708</v>
      </c>
      <c r="K10" s="36">
        <v>59082</v>
      </c>
      <c r="L10" s="36">
        <v>37981</v>
      </c>
      <c r="M10" s="36">
        <v>135963</v>
      </c>
      <c r="N10" s="36">
        <v>31630</v>
      </c>
      <c r="O10" s="36">
        <v>107563</v>
      </c>
      <c r="P10" s="36">
        <v>132605</v>
      </c>
      <c r="Q10" s="36">
        <v>141967</v>
      </c>
      <c r="R10" s="36">
        <v>141967</v>
      </c>
      <c r="S10" s="36">
        <v>141967</v>
      </c>
      <c r="T10"/>
      <c r="U10"/>
      <c r="V10"/>
      <c r="W10"/>
      <c r="X10"/>
      <c r="Y10"/>
      <c r="Z10"/>
      <c r="AA10"/>
      <c r="AB10"/>
    </row>
    <row r="11" spans="1:28" s="2" customFormat="1">
      <c r="A11" s="24"/>
      <c r="B11" s="24"/>
      <c r="C11" s="93"/>
      <c r="D11" s="93"/>
      <c r="E11" s="97" t="s">
        <v>216</v>
      </c>
      <c r="F11" s="98">
        <f>VLOOKUP(F12,'Deal Pool Mapping'!$G:$H,2,0)</f>
        <v>1</v>
      </c>
      <c r="G11" s="98">
        <f>VLOOKUP(G12,'Deal Pool Mapping'!$G:$H,2,0)</f>
        <v>1</v>
      </c>
      <c r="H11" s="98">
        <f>VLOOKUP(H12,'Deal Pool Mapping'!$G:$H,2,0)</f>
        <v>1</v>
      </c>
      <c r="I11" s="98">
        <f>VLOOKUP(I12,'Deal Pool Mapping'!$G:$H,2,0)</f>
        <v>2</v>
      </c>
      <c r="J11" s="98">
        <f>VLOOKUP(J12,'Deal Pool Mapping'!$G:$H,2,0)</f>
        <v>1</v>
      </c>
      <c r="K11" s="98">
        <f>VLOOKUP(K12,'Deal Pool Mapping'!$G:$H,2,0)</f>
        <v>2</v>
      </c>
      <c r="L11" s="98">
        <f>VLOOKUP(L12,'Deal Pool Mapping'!$G:$H,2,0)</f>
        <v>1</v>
      </c>
      <c r="M11" s="98">
        <f>VLOOKUP(M12,'Deal Pool Mapping'!$G:$H,2,0)</f>
        <v>2</v>
      </c>
      <c r="N11" s="98">
        <f>VLOOKUP(N12,'Deal Pool Mapping'!$G:$H,2,0)</f>
        <v>1</v>
      </c>
      <c r="O11" s="98">
        <f>VLOOKUP(O12,'Deal Pool Mapping'!$G:$H,2,0)</f>
        <v>2</v>
      </c>
      <c r="P11" s="98">
        <f>VLOOKUP(P12,'Deal Pool Mapping'!$G:$H,2,0)</f>
        <v>1</v>
      </c>
      <c r="Q11" s="98">
        <f>VLOOKUP(Q12,'Deal Pool Mapping'!$G:$H,2,0)</f>
        <v>2</v>
      </c>
      <c r="R11" s="98">
        <f>VLOOKUP(R12,'Deal Pool Mapping'!$G:$H,2,0)</f>
        <v>1</v>
      </c>
      <c r="S11" s="98">
        <f>VLOOKUP(S12,'Deal Pool Mapping'!$G:$H,2,0)</f>
        <v>2</v>
      </c>
      <c r="T11" s="93"/>
      <c r="U11" s="93"/>
      <c r="V11" s="93"/>
      <c r="W11" s="93"/>
      <c r="X11" s="93"/>
      <c r="Y11" s="93"/>
      <c r="Z11" s="93"/>
      <c r="AA11" s="93"/>
      <c r="AB11" s="93"/>
    </row>
    <row r="12" spans="1:28" s="2" customFormat="1" hidden="1">
      <c r="A12" s="24"/>
      <c r="B12" s="24"/>
      <c r="C12" s="93"/>
      <c r="D12" s="93"/>
      <c r="E12" s="31"/>
      <c r="F12" s="36" t="str">
        <f>'Performance Pivot'!D17</f>
        <v>1372</v>
      </c>
      <c r="G12" s="36" t="str">
        <f>'Performance Pivot'!E17</f>
        <v>1378</v>
      </c>
      <c r="H12" s="36" t="str">
        <f>'Performance Pivot'!F17</f>
        <v>1383</v>
      </c>
      <c r="I12" s="36" t="str">
        <f>'Performance Pivot'!G17</f>
        <v>1384</v>
      </c>
      <c r="J12" s="36" t="str">
        <f>'Performance Pivot'!H17</f>
        <v>1387</v>
      </c>
      <c r="K12" s="36" t="str">
        <f>'Performance Pivot'!I17</f>
        <v>1388</v>
      </c>
      <c r="L12" s="36" t="str">
        <f>'Performance Pivot'!J17</f>
        <v>1392</v>
      </c>
      <c r="M12" s="36" t="str">
        <f>'Performance Pivot'!K17</f>
        <v>1393</v>
      </c>
      <c r="N12" s="36" t="str">
        <f>'Performance Pivot'!L17</f>
        <v>1397</v>
      </c>
      <c r="O12" s="36" t="str">
        <f>'Performance Pivot'!M17</f>
        <v>1398</v>
      </c>
      <c r="P12" s="36" t="str">
        <f>'Performance Pivot'!N17</f>
        <v>1399</v>
      </c>
      <c r="Q12" s="36" t="str">
        <f>'Performance Pivot'!O17</f>
        <v>1400</v>
      </c>
      <c r="R12" s="36" t="str">
        <f>'Performance Pivot'!P17</f>
        <v>1404</v>
      </c>
      <c r="S12" s="36" t="str">
        <f>'Performance Pivot'!Q17</f>
        <v>1405</v>
      </c>
      <c r="T12" s="93"/>
      <c r="U12" s="93"/>
      <c r="V12" s="93"/>
      <c r="W12" s="93"/>
      <c r="X12" s="93"/>
      <c r="Y12" s="93"/>
      <c r="Z12" s="93"/>
      <c r="AA12" s="93"/>
      <c r="AB12" s="93"/>
    </row>
    <row r="13" spans="1:28" s="2" customFormat="1">
      <c r="A13" s="24"/>
      <c r="B13" s="24"/>
      <c r="C13"/>
      <c r="D13"/>
      <c r="E13" s="87" t="s">
        <v>90</v>
      </c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6"/>
      <c r="Q13" s="36"/>
      <c r="R13" s="36"/>
      <c r="S13" s="36"/>
      <c r="T13"/>
      <c r="U13"/>
      <c r="V13"/>
      <c r="W13"/>
      <c r="X13"/>
      <c r="Y13"/>
      <c r="Z13"/>
      <c r="AA13"/>
      <c r="AB13"/>
    </row>
    <row r="14" spans="1:28" s="2" customFormat="1">
      <c r="A14" s="24"/>
      <c r="B14" s="24"/>
      <c r="C14" s="93"/>
      <c r="D14" s="93" t="s">
        <v>108</v>
      </c>
      <c r="E14" s="32" t="s">
        <v>109</v>
      </c>
      <c r="F14" s="94">
        <f>VLOOKUP(F$9,CurrentMtgRatesDataTable82524[#All],MATCH($D14,CurrentMtgRatesDataTable82524[#Headers],0),FALSE)</f>
        <v>41569</v>
      </c>
      <c r="G14" s="95">
        <f>VLOOKUP(G$9,CurrentMtgRatesDataTable82524[#All],MATCH($D14,CurrentMtgRatesDataTable82524[#Headers],0),FALSE)</f>
        <v>41653</v>
      </c>
      <c r="H14" s="95">
        <f>VLOOKUP(H$9,CurrentMtgRatesDataTable82524[#All],MATCH($D14,CurrentMtgRatesDataTable82524[#Headers],0),FALSE)</f>
        <v>41780</v>
      </c>
      <c r="I14" s="95">
        <f>VLOOKUP(I$9,CurrentMtgRatesDataTable82524[#All],MATCH($D14,CurrentMtgRatesDataTable82524[#Headers],0),FALSE)</f>
        <v>41780</v>
      </c>
      <c r="J14" s="95">
        <f>VLOOKUP(J$9,CurrentMtgRatesDataTable82524[#All],MATCH($D14,CurrentMtgRatesDataTable82524[#Headers],0),FALSE)</f>
        <v>41843</v>
      </c>
      <c r="K14" s="95">
        <f>VLOOKUP(K$9,CurrentMtgRatesDataTable82524[#All],MATCH($D14,CurrentMtgRatesDataTable82524[#Headers],0),FALSE)</f>
        <v>41843</v>
      </c>
      <c r="L14" s="95">
        <f>VLOOKUP(L$9,CurrentMtgRatesDataTable82524[#All],MATCH($D14,CurrentMtgRatesDataTable82524[#Headers],0),FALSE)</f>
        <v>41962</v>
      </c>
      <c r="M14" s="95">
        <f>VLOOKUP(M$9,CurrentMtgRatesDataTable82524[#All],MATCH($D14,CurrentMtgRatesDataTable82524[#Headers],0),FALSE)</f>
        <v>41962</v>
      </c>
      <c r="N14" s="95">
        <f>VLOOKUP(N$9,CurrentMtgRatesDataTable82524[#All],MATCH($D14,CurrentMtgRatesDataTable82524[#Headers],0),FALSE)</f>
        <v>42054</v>
      </c>
      <c r="O14" s="95">
        <f>VLOOKUP(O$9,CurrentMtgRatesDataTable82524[#All],MATCH($D14,CurrentMtgRatesDataTable82524[#Headers],0),FALSE)</f>
        <v>42054</v>
      </c>
      <c r="P14" s="95">
        <f>VLOOKUP(P$9,CurrentMtgRatesDataTable82524[#All],MATCH($D14,CurrentMtgRatesDataTable82524[#Headers],0),FALSE)</f>
        <v>42143</v>
      </c>
      <c r="Q14" s="95">
        <f>VLOOKUP(Q$9,CurrentMtgRatesDataTable82524[#All],MATCH($D14,CurrentMtgRatesDataTable82524[#Headers],0),FALSE)</f>
        <v>42143</v>
      </c>
      <c r="R14" s="95" t="str">
        <f>IF((VLOOKUP(R$9,CurrentMtgRatesDataTable82524[#All],MATCH($D14,CurrentMtgRatesDataTable82524[#Headers],0),FALSE) )="","-",VLOOKUP(R$9,CurrentMtgRatesDataTable82524[#All],MATCH($D14,CurrentMtgRatesDataTable82524[#Headers],0),FALSE))</f>
        <v>-</v>
      </c>
      <c r="S14" s="95" t="str">
        <f>IF((VLOOKUP(S$9,CurrentMtgRatesDataTable82524[#All],MATCH($D14,CurrentMtgRatesDataTable82524[#Headers],0),FALSE) )="","-",VLOOKUP(S$9,CurrentMtgRatesDataTable82524[#All],MATCH($D14,CurrentMtgRatesDataTable82524[#Headers],0),FALSE))</f>
        <v>-</v>
      </c>
      <c r="T14" s="93"/>
      <c r="U14" s="93"/>
      <c r="V14" s="93"/>
      <c r="W14" s="93"/>
      <c r="X14" s="93"/>
      <c r="Y14" s="93"/>
      <c r="Z14" s="93"/>
      <c r="AA14" s="93"/>
      <c r="AB14" s="93"/>
    </row>
    <row r="15" spans="1:28" s="19" customFormat="1" ht="16.5" customHeight="1">
      <c r="A15" s="25"/>
      <c r="B15" s="25"/>
      <c r="C15" s="3"/>
      <c r="D15" t="s">
        <v>22</v>
      </c>
      <c r="E15" s="32" t="s">
        <v>62</v>
      </c>
      <c r="F15" s="36">
        <f>VLOOKUP(F$12,'Colleteral Data'!$C:$AR,MATCH($D15,CurrentMtgRatesDataTable8252[#Headers],0)-1,FALSE)/1000000</f>
        <v>22049.871215430001</v>
      </c>
      <c r="G15" s="36">
        <f>VLOOKUP(G$12,'Colleteral Data'!$C:$AR,MATCH($D15,CurrentMtgRatesDataTable8252[#Headers],0)-1,FALSE)/1000000</f>
        <v>25099.031172810002</v>
      </c>
      <c r="H15" s="36">
        <f>VLOOKUP(H$12,'Colleteral Data'!$C:$AR,MATCH($D15,CurrentMtgRatesDataTable8252[#Headers],0)-1,FALSE)/1000000</f>
        <v>41047.667635149999</v>
      </c>
      <c r="I15" s="36">
        <f>VLOOKUP(I$12,'Colleteral Data'!$C:$AR,MATCH($D15,CurrentMtgRatesDataTable8252[#Headers],0)-1,FALSE)/1000000</f>
        <v>11949.725238950001</v>
      </c>
      <c r="J15" s="36">
        <f>VLOOKUP(J$12,'Colleteral Data'!$C:$AR,MATCH($D15,CurrentMtgRatesDataTable8252[#Headers],0)-1,FALSE)/1000000</f>
        <v>52227.696428360003</v>
      </c>
      <c r="K15" s="36">
        <f>VLOOKUP(K$12,'Colleteral Data'!$C:$AR,MATCH($D15,CurrentMtgRatesDataTable8252[#Headers],0)-1,FALSE)/1000000</f>
        <v>16423.147542499999</v>
      </c>
      <c r="L15" s="36">
        <f>VLOOKUP(L$12,'Colleteral Data'!$C:$AR,MATCH($D15,CurrentMtgRatesDataTable8252[#Headers],0)-1,FALSE)/1000000</f>
        <v>30899.933980279999</v>
      </c>
      <c r="M15" s="36">
        <f>VLOOKUP(M$12,'Colleteral Data'!$C:$AR,MATCH($D15,CurrentMtgRatesDataTable8252[#Headers],0)-1,FALSE)/1000000</f>
        <v>15513.82694332</v>
      </c>
      <c r="N15" s="36">
        <f>VLOOKUP(N$12,'Colleteral Data'!$C:$AR,MATCH($D15,CurrentMtgRatesDataTable8252[#Headers],0)-1,FALSE)/1000000</f>
        <v>25385.515450669998</v>
      </c>
      <c r="O15" s="36">
        <f>VLOOKUP(O$12,'Colleteral Data'!$C:$AR,MATCH($D15,CurrentMtgRatesDataTable8252[#Headers],0)-1,FALSE)/1000000</f>
        <v>15498.37660666</v>
      </c>
      <c r="P15" s="36">
        <f>VLOOKUP(P$12,'Colleteral Data'!$C:$AR,MATCH($D15,CurrentMtgRatesDataTable8252[#Headers],0)-1,FALSE)/1000000</f>
        <v>25077.095986700002</v>
      </c>
      <c r="Q15" s="36">
        <f>VLOOKUP(Q$12,'Colleteral Data'!$C:$AR,MATCH($D15,CurrentMtgRatesDataTable8252[#Headers],0)-1,FALSE)/1000000</f>
        <v>15445.914409610001</v>
      </c>
      <c r="R15" s="36">
        <f>VLOOKUP(R$12,'Colleteral Data'!$C:$AR,MATCH($D15,CurrentMtgRatesDataTable8252[#Headers],0)-1,FALSE)/1000000</f>
        <v>27004.849282900002</v>
      </c>
      <c r="S15" s="36">
        <f>VLOOKUP(S$12,'Colleteral Data'!$C:$AR,MATCH($D15,CurrentMtgRatesDataTable8252[#Headers],0)-1,FALSE)/1000000</f>
        <v>19295.600157880002</v>
      </c>
      <c r="T15"/>
      <c r="U15"/>
      <c r="V15"/>
      <c r="W15"/>
      <c r="X15"/>
      <c r="Y15"/>
      <c r="Z15"/>
      <c r="AA15"/>
      <c r="AB15"/>
    </row>
    <row r="16" spans="1:28" s="12" customFormat="1" ht="16.5" customHeight="1">
      <c r="A16" s="26"/>
      <c r="B16" s="26"/>
      <c r="C16" s="10"/>
      <c r="D16" t="s">
        <v>23</v>
      </c>
      <c r="E16" s="32" t="s">
        <v>63</v>
      </c>
      <c r="F16" s="36">
        <f>VLOOKUP(F$12,'Colleteral Data'!$C:$AR,MATCH($D16,CurrentMtgRatesDataTable8252[#Headers],0)-1,FALSE)/1000000</f>
        <v>23800.655999999999</v>
      </c>
      <c r="G16" s="36">
        <f>VLOOKUP(G$12,'Colleteral Data'!$C:$AR,MATCH($D16,CurrentMtgRatesDataTable8252[#Headers],0)-1,FALSE)/1000000</f>
        <v>26935.008000000002</v>
      </c>
      <c r="H16" s="36">
        <f>VLOOKUP(H$12,'Colleteral Data'!$C:$AR,MATCH($D16,CurrentMtgRatesDataTable8252[#Headers],0)-1,FALSE)/1000000</f>
        <v>43772.262000000002</v>
      </c>
      <c r="I16" s="36">
        <f>VLOOKUP(I$12,'Colleteral Data'!$C:$AR,MATCH($D16,CurrentMtgRatesDataTable8252[#Headers],0)-1,FALSE)/1000000</f>
        <v>12689.732</v>
      </c>
      <c r="J16" s="36">
        <f>VLOOKUP(J$12,'Colleteral Data'!$C:$AR,MATCH($D16,CurrentMtgRatesDataTable8252[#Headers],0)-1,FALSE)/1000000</f>
        <v>55266.192000000003</v>
      </c>
      <c r="K16" s="36">
        <f>VLOOKUP(K$12,'Colleteral Data'!$C:$AR,MATCH($D16,CurrentMtgRatesDataTable8252[#Headers],0)-1,FALSE)/1000000</f>
        <v>17341.117999999999</v>
      </c>
      <c r="L16" s="36">
        <f>VLOOKUP(L$12,'Colleteral Data'!$C:$AR,MATCH($D16,CurrentMtgRatesDataTable8252[#Headers],0)-1,FALSE)/1000000</f>
        <v>32496.797999999999</v>
      </c>
      <c r="M16" s="36">
        <f>VLOOKUP(M$12,'Colleteral Data'!$C:$AR,MATCH($D16,CurrentMtgRatesDataTable8252[#Headers],0)-1,FALSE)/1000000</f>
        <v>16247.678</v>
      </c>
      <c r="N16" s="36">
        <f>VLOOKUP(N$12,'Colleteral Data'!$C:$AR,MATCH($D16,CurrentMtgRatesDataTable8252[#Headers],0)-1,FALSE)/1000000</f>
        <v>26524.79</v>
      </c>
      <c r="O16" s="36">
        <f>VLOOKUP(O$12,'Colleteral Data'!$C:$AR,MATCH($D16,CurrentMtgRatesDataTable8252[#Headers],0)-1,FALSE)/1000000</f>
        <v>16099.755999999999</v>
      </c>
      <c r="P16" s="36">
        <f>VLOOKUP(P$12,'Colleteral Data'!$C:$AR,MATCH($D16,CurrentMtgRatesDataTable8252[#Headers],0)-1,FALSE)/1000000</f>
        <v>25995.304</v>
      </c>
      <c r="Q16" s="36">
        <f>VLOOKUP(Q$12,'Colleteral Data'!$C:$AR,MATCH($D16,CurrentMtgRatesDataTable8252[#Headers],0)-1,FALSE)/1000000</f>
        <v>15944.123</v>
      </c>
      <c r="R16" s="36">
        <f>VLOOKUP(R$12,'Colleteral Data'!$C:$AR,MATCH($D16,CurrentMtgRatesDataTable8252[#Headers],0)-1,FALSE)/1000000</f>
        <v>27767.705000000002</v>
      </c>
      <c r="S16" s="36">
        <f>VLOOKUP(S$12,'Colleteral Data'!$C:$AR,MATCH($D16,CurrentMtgRatesDataTable8252[#Headers],0)-1,FALSE)/1000000</f>
        <v>19766.593000000001</v>
      </c>
      <c r="T16"/>
      <c r="U16"/>
      <c r="V16"/>
      <c r="W16"/>
      <c r="X16"/>
      <c r="Y16">
        <f>MATCH($D16,CurrentMtgRatesDataTable8252[#Headers],0)</f>
        <v>5</v>
      </c>
      <c r="Z16"/>
      <c r="AA16"/>
      <c r="AB16"/>
    </row>
    <row r="17" spans="1:28" s="12" customFormat="1" ht="16.5" customHeight="1">
      <c r="A17" s="26"/>
      <c r="B17" s="26"/>
      <c r="C17" s="10"/>
      <c r="D17" t="s">
        <v>34</v>
      </c>
      <c r="E17" s="32" t="s">
        <v>64</v>
      </c>
      <c r="F17" s="38">
        <f>VLOOKUP(F$12,'Colleteral Data'!$C:$AR,MATCH($D17,CurrentMtgRatesDataTable8252[#Headers],0)-1,FALSE)</f>
        <v>35.971044789556267</v>
      </c>
      <c r="G17" s="38">
        <f>VLOOKUP(G$12,'Colleteral Data'!$C:$AR,MATCH($D17,CurrentMtgRatesDataTable8252[#Headers],0)-1,FALSE)</f>
        <v>33.016286881625248</v>
      </c>
      <c r="H17" s="38">
        <f>VLOOKUP(H$12,'Colleteral Data'!$C:$AR,MATCH($D17,CurrentMtgRatesDataTable8252[#Headers],0)-1,FALSE)</f>
        <v>30.306173059595913</v>
      </c>
      <c r="I17" s="38">
        <f>VLOOKUP(I$12,'Colleteral Data'!$C:$AR,MATCH($D17,CurrentMtgRatesDataTable8252[#Headers],0)-1,FALSE)</f>
        <v>30.304590006036811</v>
      </c>
      <c r="J17" s="38">
        <f>VLOOKUP(J$12,'Colleteral Data'!$C:$AR,MATCH($D17,CurrentMtgRatesDataTable8252[#Headers],0)-1,FALSE)</f>
        <v>27.15489251097981</v>
      </c>
      <c r="K17" s="38">
        <f>VLOOKUP(K$12,'Colleteral Data'!$C:$AR,MATCH($D17,CurrentMtgRatesDataTable8252[#Headers],0)-1,FALSE)</f>
        <v>27.0533315378458</v>
      </c>
      <c r="L17" s="38">
        <f>VLOOKUP(L$12,'Colleteral Data'!$C:$AR,MATCH($D17,CurrentMtgRatesDataTable8252[#Headers],0)-1,FALSE)</f>
        <v>24.75852430980332</v>
      </c>
      <c r="M17" s="38">
        <f>VLOOKUP(M$12,'Colleteral Data'!$C:$AR,MATCH($D17,CurrentMtgRatesDataTable8252[#Headers],0)-1,FALSE)</f>
        <v>24.715515316963725</v>
      </c>
      <c r="N17" s="38">
        <f>VLOOKUP(N$12,'Colleteral Data'!$C:$AR,MATCH($D17,CurrentMtgRatesDataTable8252[#Headers],0)-1,FALSE)</f>
        <v>22.34876106969206</v>
      </c>
      <c r="O17" s="38">
        <f>VLOOKUP(O$12,'Colleteral Data'!$C:$AR,MATCH($D17,CurrentMtgRatesDataTable8252[#Headers],0)-1,FALSE)</f>
        <v>22.304010982795791</v>
      </c>
      <c r="P17" s="38">
        <f>VLOOKUP(P$12,'Colleteral Data'!$C:$AR,MATCH($D17,CurrentMtgRatesDataTable8252[#Headers],0)-1,FALSE)</f>
        <v>18.329315505174517</v>
      </c>
      <c r="Q17" s="38">
        <f>VLOOKUP(Q$12,'Colleteral Data'!$C:$AR,MATCH($D17,CurrentMtgRatesDataTable8252[#Headers],0)-1,FALSE)</f>
        <v>18.284470491615973</v>
      </c>
      <c r="R17" s="38">
        <f>VLOOKUP(R$12,'Colleteral Data'!$C:$AR,MATCH($D17,CurrentMtgRatesDataTable8252[#Headers],0)-1,FALSE)</f>
        <v>13.467984070443693</v>
      </c>
      <c r="S17" s="38">
        <f>VLOOKUP(S$12,'Colleteral Data'!$C:$AR,MATCH($D17,CurrentMtgRatesDataTable8252[#Headers],0)-1,FALSE)</f>
        <v>13.459874445923683</v>
      </c>
      <c r="T17"/>
      <c r="U17"/>
      <c r="V17"/>
      <c r="W17"/>
      <c r="X17"/>
      <c r="Y17"/>
      <c r="Z17"/>
      <c r="AA17"/>
      <c r="AB17"/>
    </row>
    <row r="18" spans="1:28" s="12" customFormat="1" ht="16.5" customHeight="1">
      <c r="A18" s="26"/>
      <c r="B18" s="26"/>
      <c r="C18" s="10"/>
      <c r="D18" t="s">
        <v>35</v>
      </c>
      <c r="E18" s="33" t="s">
        <v>65</v>
      </c>
      <c r="F18" s="38">
        <f>VLOOKUP(F$12,'Colleteral Data'!$C:$AR,MATCH($D18,CurrentMtgRatesDataTable8252[#Headers],0)-1,FALSE)</f>
        <v>3.8348936129034348</v>
      </c>
      <c r="G18" s="38">
        <f>VLOOKUP(G$12,'Colleteral Data'!$C:$AR,MATCH($D18,CurrentMtgRatesDataTable8252[#Headers],0)-1,FALSE)</f>
        <v>3.6302615512711949</v>
      </c>
      <c r="H18" s="38">
        <f>VLOOKUP(H$12,'Colleteral Data'!$C:$AR,MATCH($D18,CurrentMtgRatesDataTable8252[#Headers],0)-1,FALSE)</f>
        <v>3.5825467872210557</v>
      </c>
      <c r="I18" s="38">
        <f>VLOOKUP(I$12,'Colleteral Data'!$C:$AR,MATCH($D18,CurrentMtgRatesDataTable8252[#Headers],0)-1,FALSE)</f>
        <v>3.5717853785308833</v>
      </c>
      <c r="J18" s="38">
        <f>VLOOKUP(J$12,'Colleteral Data'!$C:$AR,MATCH($D18,CurrentMtgRatesDataTable8252[#Headers],0)-1,FALSE)</f>
        <v>3.7389846359927912</v>
      </c>
      <c r="K18" s="38">
        <f>VLOOKUP(K$12,'Colleteral Data'!$C:$AR,MATCH($D18,CurrentMtgRatesDataTable8252[#Headers],0)-1,FALSE)</f>
        <v>3.7292222940455417</v>
      </c>
      <c r="L18" s="38">
        <f>VLOOKUP(L$12,'Colleteral Data'!$C:$AR,MATCH($D18,CurrentMtgRatesDataTable8252[#Headers],0)-1,FALSE)</f>
        <v>3.9738132848566825</v>
      </c>
      <c r="M18" s="38">
        <f>VLOOKUP(M$12,'Colleteral Data'!$C:$AR,MATCH($D18,CurrentMtgRatesDataTable8252[#Headers],0)-1,FALSE)</f>
        <v>4.0229632732653657</v>
      </c>
      <c r="N18" s="38">
        <f>VLOOKUP(N$12,'Colleteral Data'!$C:$AR,MATCH($D18,CurrentMtgRatesDataTable8252[#Headers],0)-1,FALSE)</f>
        <v>4.5485417168687423</v>
      </c>
      <c r="O18" s="38">
        <f>VLOOKUP(O$12,'Colleteral Data'!$C:$AR,MATCH($D18,CurrentMtgRatesDataTable8252[#Headers],0)-1,FALSE)</f>
        <v>4.5928298103764567</v>
      </c>
      <c r="P18" s="38">
        <f>VLOOKUP(P$12,'Colleteral Data'!$C:$AR,MATCH($D18,CurrentMtgRatesDataTable8252[#Headers],0)-1,FALSE)</f>
        <v>4.6007696001453757</v>
      </c>
      <c r="Q18" s="38">
        <f>VLOOKUP(Q$12,'Colleteral Data'!$C:$AR,MATCH($D18,CurrentMtgRatesDataTable8252[#Headers],0)-1,FALSE)</f>
        <v>4.6058934765627475</v>
      </c>
      <c r="R18" s="38">
        <f>VLOOKUP(R$12,'Colleteral Data'!$C:$AR,MATCH($D18,CurrentMtgRatesDataTable8252[#Headers],0)-1,FALSE)</f>
        <v>4.5111837437185196</v>
      </c>
      <c r="S18" s="38">
        <f>VLOOKUP(S$12,'Colleteral Data'!$C:$AR,MATCH($D18,CurrentMtgRatesDataTable8252[#Headers],0)-1,FALSE)</f>
        <v>4.5258598948069517</v>
      </c>
      <c r="T18"/>
      <c r="U18"/>
      <c r="V18"/>
      <c r="W18"/>
      <c r="X18"/>
      <c r="Y18"/>
      <c r="Z18"/>
      <c r="AA18"/>
      <c r="AB18"/>
    </row>
    <row r="19" spans="1:28" s="12" customFormat="1" ht="16.5" customHeight="1">
      <c r="A19" s="26"/>
      <c r="B19" s="26"/>
      <c r="C19" s="10"/>
      <c r="D19" t="s">
        <v>36</v>
      </c>
      <c r="E19" s="85" t="s">
        <v>66</v>
      </c>
      <c r="F19" s="86">
        <f>VLOOKUP(F$12,'Colleteral Data'!$C:$AR,MATCH($D19,CurrentMtgRatesDataTable8252[#Headers],0)-1,FALSE)</f>
        <v>3.834893893451174</v>
      </c>
      <c r="G19" s="86">
        <f>VLOOKUP(G$12,'Colleteral Data'!$C:$AR,MATCH($D19,CurrentMtgRatesDataTable8252[#Headers],0)-1,FALSE)</f>
        <v>3.630252488769611</v>
      </c>
      <c r="H19" s="86">
        <f>VLOOKUP(H$12,'Colleteral Data'!$C:$AR,MATCH($D19,CurrentMtgRatesDataTable8252[#Headers],0)-1,FALSE)</f>
        <v>3.5825461018561722</v>
      </c>
      <c r="I19" s="86">
        <f>VLOOKUP(I$12,'Colleteral Data'!$C:$AR,MATCH($D19,CurrentMtgRatesDataTable8252[#Headers],0)-1,FALSE)</f>
        <v>3.5718180658070202</v>
      </c>
      <c r="J19" s="86">
        <f>VLOOKUP(J$12,'Colleteral Data'!$C:$AR,MATCH($D19,CurrentMtgRatesDataTable8252[#Headers],0)-1,FALSE)</f>
        <v>3.7389897092783677</v>
      </c>
      <c r="K19" s="86">
        <f>VLOOKUP(K$12,'Colleteral Data'!$C:$AR,MATCH($D19,CurrentMtgRatesDataTable8252[#Headers],0)-1,FALSE)</f>
        <v>3.7292280214066951</v>
      </c>
      <c r="L19" s="86">
        <f>VLOOKUP(L$12,'Colleteral Data'!$C:$AR,MATCH($D19,CurrentMtgRatesDataTable8252[#Headers],0)-1,FALSE)</f>
        <v>3.9738126423096025</v>
      </c>
      <c r="M19" s="86">
        <f>VLOOKUP(M$12,'Colleteral Data'!$C:$AR,MATCH($D19,CurrentMtgRatesDataTable8252[#Headers],0)-1,FALSE)</f>
        <v>4.022959529369694</v>
      </c>
      <c r="N19" s="86">
        <f>VLOOKUP(N$12,'Colleteral Data'!$C:$AR,MATCH($D19,CurrentMtgRatesDataTable8252[#Headers],0)-1,FALSE)</f>
        <v>4.5485422114007559</v>
      </c>
      <c r="O19" s="86">
        <f>VLOOKUP(O$12,'Colleteral Data'!$C:$AR,MATCH($D19,CurrentMtgRatesDataTable8252[#Headers],0)-1,FALSE)</f>
        <v>4.5928176283752888</v>
      </c>
      <c r="P19" s="86">
        <f>VLOOKUP(P$12,'Colleteral Data'!$C:$AR,MATCH($D19,CurrentMtgRatesDataTable8252[#Headers],0)-1,FALSE)</f>
        <v>4.6007715660606259</v>
      </c>
      <c r="Q19" s="86">
        <f>VLOOKUP(Q$12,'Colleteral Data'!$C:$AR,MATCH($D19,CurrentMtgRatesDataTable8252[#Headers],0)-1,FALSE)</f>
        <v>4.6058953069887414</v>
      </c>
      <c r="R19" s="86">
        <f>VLOOKUP(R$12,'Colleteral Data'!$C:$AR,MATCH($D19,CurrentMtgRatesDataTable8252[#Headers],0)-1,FALSE)</f>
        <v>4.5111858176710973</v>
      </c>
      <c r="S19" s="86">
        <f>VLOOKUP(S$12,'Colleteral Data'!$C:$AR,MATCH($D19,CurrentMtgRatesDataTable8252[#Headers],0)-1,FALSE)</f>
        <v>4.5258618174866507</v>
      </c>
      <c r="T19"/>
      <c r="U19"/>
      <c r="V19"/>
      <c r="W19"/>
      <c r="X19"/>
      <c r="Y19"/>
      <c r="Z19"/>
      <c r="AA19"/>
      <c r="AB19"/>
    </row>
    <row r="20" spans="1:28" s="12" customFormat="1" ht="16.5" customHeight="1">
      <c r="A20" s="26"/>
      <c r="B20" s="26"/>
      <c r="C20" s="10"/>
      <c r="E20" s="87" t="s">
        <v>91</v>
      </c>
      <c r="F20" s="38"/>
      <c r="G20" s="38"/>
      <c r="H20" s="38"/>
      <c r="I20" s="38"/>
      <c r="J20" s="38"/>
      <c r="K20" s="38"/>
      <c r="L20" s="38"/>
      <c r="M20" s="38"/>
      <c r="N20" s="38"/>
      <c r="O20" s="38"/>
      <c r="P20" s="38"/>
      <c r="Q20" s="38"/>
      <c r="R20" s="38"/>
      <c r="S20" s="38"/>
      <c r="T20"/>
      <c r="U20"/>
      <c r="V20"/>
      <c r="W20"/>
      <c r="X20"/>
      <c r="Y20"/>
      <c r="Z20"/>
      <c r="AA20"/>
      <c r="AB20"/>
    </row>
    <row r="21" spans="1:28" s="12" customFormat="1" ht="16.5" customHeight="1">
      <c r="A21" s="26"/>
      <c r="B21" s="26"/>
      <c r="C21" s="10"/>
      <c r="D21" t="s">
        <v>37</v>
      </c>
      <c r="E21" s="34" t="s">
        <v>67</v>
      </c>
      <c r="F21" s="38">
        <f>VLOOKUP(F$12,'Colleteral Data'!$C:$AR,MATCH($D21,CurrentMtgRatesDataTable8252[#Headers],0)-1,FALSE)</f>
        <v>74.920563656330373</v>
      </c>
      <c r="G21" s="38">
        <f>VLOOKUP(G$12,'Colleteral Data'!$C:$AR,MATCH($D21,CurrentMtgRatesDataTable8252[#Headers],0)-1,FALSE)</f>
        <v>74.515388406618001</v>
      </c>
      <c r="H21" s="38">
        <f>VLOOKUP(H$12,'Colleteral Data'!$C:$AR,MATCH($D21,CurrentMtgRatesDataTable8252[#Headers],0)-1,FALSE)</f>
        <v>74.270552970785602</v>
      </c>
      <c r="I21" s="38">
        <f>VLOOKUP(I$12,'Colleteral Data'!$C:$AR,MATCH($D21,CurrentMtgRatesDataTable8252[#Headers],0)-1,FALSE)</f>
        <v>90.973001051220962</v>
      </c>
      <c r="J21" s="38">
        <f>VLOOKUP(J$12,'Colleteral Data'!$C:$AR,MATCH($D21,CurrentMtgRatesDataTable8252[#Headers],0)-1,FALSE)</f>
        <v>74.774460273484635</v>
      </c>
      <c r="K21" s="38">
        <f>VLOOKUP(K$12,'Colleteral Data'!$C:$AR,MATCH($D21,CurrentMtgRatesDataTable8252[#Headers],0)-1,FALSE)</f>
        <v>91.559479781910383</v>
      </c>
      <c r="L21" s="38">
        <f>VLOOKUP(L$12,'Colleteral Data'!$C:$AR,MATCH($D21,CurrentMtgRatesDataTable8252[#Headers],0)-1,FALSE)</f>
        <v>75.286713497072</v>
      </c>
      <c r="M21" s="38">
        <f>VLOOKUP(M$12,'Colleteral Data'!$C:$AR,MATCH($D21,CurrentMtgRatesDataTable8252[#Headers],0)-1,FALSE)</f>
        <v>92.243347536514548</v>
      </c>
      <c r="N21" s="38">
        <f>VLOOKUP(N$12,'Colleteral Data'!$C:$AR,MATCH($D21,CurrentMtgRatesDataTable8252[#Headers],0)-1,FALSE)</f>
        <v>75.866243821881497</v>
      </c>
      <c r="O21" s="38">
        <f>VLOOKUP(O$12,'Colleteral Data'!$C:$AR,MATCH($D21,CurrentMtgRatesDataTable8252[#Headers],0)-1,FALSE)</f>
        <v>92.704446467176339</v>
      </c>
      <c r="P21" s="38">
        <f>VLOOKUP(P$12,'Colleteral Data'!$C:$AR,MATCH($D21,CurrentMtgRatesDataTable8252[#Headers],0)-1,FALSE)</f>
        <v>75.965416773657125</v>
      </c>
      <c r="Q21" s="38">
        <f>VLOOKUP(Q$12,'Colleteral Data'!$C:$AR,MATCH($D21,CurrentMtgRatesDataTable8252[#Headers],0)-1,FALSE)</f>
        <v>92.501065050479284</v>
      </c>
      <c r="R21" s="38">
        <f>VLOOKUP(R$12,'Colleteral Data'!$C:$AR,MATCH($D21,CurrentMtgRatesDataTable8252[#Headers],0)-1,FALSE)</f>
        <v>76.241996207910631</v>
      </c>
      <c r="S21" s="38">
        <f>VLOOKUP(S$12,'Colleteral Data'!$C:$AR,MATCH($D21,CurrentMtgRatesDataTable8252[#Headers],0)-1,FALSE)</f>
        <v>92.280813910139884</v>
      </c>
      <c r="T21"/>
      <c r="U21"/>
      <c r="V21"/>
      <c r="W21"/>
      <c r="X21"/>
      <c r="Y21"/>
      <c r="Z21"/>
      <c r="AA21"/>
      <c r="AB21"/>
    </row>
    <row r="22" spans="1:28" s="12" customFormat="1" ht="16.5" customHeight="1">
      <c r="A22" s="26"/>
      <c r="B22" s="26"/>
      <c r="C22" s="10"/>
      <c r="D22" t="s">
        <v>39</v>
      </c>
      <c r="E22" s="34" t="s">
        <v>68</v>
      </c>
      <c r="F22" s="38">
        <f>VLOOKUP(F$12,'Colleteral Data'!$C:$AR,MATCH($D22,CurrentMtgRatesDataTable8252[#Headers],0)-1,FALSE)</f>
        <v>58.840441557854206</v>
      </c>
      <c r="G22" s="38">
        <f>VLOOKUP(G$12,'Colleteral Data'!$C:$AR,MATCH($D22,CurrentMtgRatesDataTable8252[#Headers],0)-1,FALSE)</f>
        <v>58.988454423678107</v>
      </c>
      <c r="H22" s="38">
        <f>VLOOKUP(H$12,'Colleteral Data'!$C:$AR,MATCH($D22,CurrentMtgRatesDataTable8252[#Headers],0)-1,FALSE)</f>
        <v>59.806272665299822</v>
      </c>
      <c r="I22" s="38">
        <f>VLOOKUP(I$12,'Colleteral Data'!$C:$AR,MATCH($D22,CurrentMtgRatesDataTable8252[#Headers],0)-1,FALSE)</f>
        <v>75.001888679712934</v>
      </c>
      <c r="J22" s="38">
        <f>VLOOKUP(J$12,'Colleteral Data'!$C:$AR,MATCH($D22,CurrentMtgRatesDataTable8252[#Headers],0)-1,FALSE)</f>
        <v>61.418152927301811</v>
      </c>
      <c r="K22" s="38">
        <f>VLOOKUP(K$12,'Colleteral Data'!$C:$AR,MATCH($D22,CurrentMtgRatesDataTable8252[#Headers],0)-1,FALSE)</f>
        <v>76.821497855845934</v>
      </c>
      <c r="L22" s="38">
        <f>VLOOKUP(L$12,'Colleteral Data'!$C:$AR,MATCH($D22,CurrentMtgRatesDataTable8252[#Headers],0)-1,FALSE)</f>
        <v>63.724154758516633</v>
      </c>
      <c r="M22" s="38">
        <f>VLOOKUP(M$12,'Colleteral Data'!$C:$AR,MATCH($D22,CurrentMtgRatesDataTable8252[#Headers],0)-1,FALSE)</f>
        <v>79.422087020795189</v>
      </c>
      <c r="N22" s="38">
        <f>VLOOKUP(N$12,'Colleteral Data'!$C:$AR,MATCH($D22,CurrentMtgRatesDataTable8252[#Headers],0)-1,FALSE)</f>
        <v>65.924927149680684</v>
      </c>
      <c r="O22" s="38">
        <f>VLOOKUP(O$12,'Colleteral Data'!$C:$AR,MATCH($D22,CurrentMtgRatesDataTable8252[#Headers],0)-1,FALSE)</f>
        <v>81.510276819323082</v>
      </c>
      <c r="P22" s="38">
        <f>VLOOKUP(P$12,'Colleteral Data'!$C:$AR,MATCH($D22,CurrentMtgRatesDataTable8252[#Headers],0)-1,FALSE)</f>
        <v>67.673099285371308</v>
      </c>
      <c r="Q22" s="38">
        <f>VLOOKUP(Q$12,'Colleteral Data'!$C:$AR,MATCH($D22,CurrentMtgRatesDataTable8252[#Headers],0)-1,FALSE)</f>
        <v>82.931328768315481</v>
      </c>
      <c r="R22" s="38">
        <f>VLOOKUP(R$12,'Colleteral Data'!$C:$AR,MATCH($D22,CurrentMtgRatesDataTable8252[#Headers],0)-1,FALSE)</f>
        <v>70.500307057248932</v>
      </c>
      <c r="S22" s="38">
        <f>VLOOKUP(S$12,'Colleteral Data'!$C:$AR,MATCH($D22,CurrentMtgRatesDataTable8252[#Headers],0)-1,FALSE)</f>
        <v>85.685029410296664</v>
      </c>
      <c r="T22"/>
      <c r="U22"/>
      <c r="V22"/>
      <c r="W22"/>
      <c r="X22"/>
      <c r="Y22"/>
      <c r="Z22"/>
      <c r="AA22"/>
      <c r="AB22"/>
    </row>
    <row r="23" spans="1:28" s="12" customFormat="1" ht="16.5" customHeight="1">
      <c r="A23" s="26"/>
      <c r="B23" s="26"/>
      <c r="C23" s="10"/>
      <c r="D23" t="s">
        <v>40</v>
      </c>
      <c r="E23" s="34" t="s">
        <v>69</v>
      </c>
      <c r="F23" s="38">
        <f>VLOOKUP(F$12,'Colleteral Data'!$C:$AR,MATCH($D23,CurrentMtgRatesDataTable8252[#Headers],0)-1,FALSE)</f>
        <v>31.250599887198128</v>
      </c>
      <c r="G23" s="38">
        <f>VLOOKUP(G$12,'Colleteral Data'!$C:$AR,MATCH($D23,CurrentMtgRatesDataTable8252[#Headers],0)-1,FALSE)</f>
        <v>31.034593230174181</v>
      </c>
      <c r="H23" s="38">
        <f>VLOOKUP(H$12,'Colleteral Data'!$C:$AR,MATCH($D23,CurrentMtgRatesDataTable8252[#Headers],0)-1,FALSE)</f>
        <v>31.232919399160036</v>
      </c>
      <c r="I23" s="38">
        <f>VLOOKUP(I$12,'Colleteral Data'!$C:$AR,MATCH($D23,CurrentMtgRatesDataTable8252[#Headers],0)-1,FALSE)</f>
        <v>32.352937906579065</v>
      </c>
      <c r="J23" s="38">
        <f>VLOOKUP(J$12,'Colleteral Data'!$C:$AR,MATCH($D23,CurrentMtgRatesDataTable8252[#Headers],0)-1,FALSE)</f>
        <v>32.008462118192142</v>
      </c>
      <c r="K23" s="38">
        <f>VLOOKUP(K$12,'Colleteral Data'!$C:$AR,MATCH($D23,CurrentMtgRatesDataTable8252[#Headers],0)-1,FALSE)</f>
        <v>32.824756041056553</v>
      </c>
      <c r="L23" s="38">
        <f>VLOOKUP(L$12,'Colleteral Data'!$C:$AR,MATCH($D23,CurrentMtgRatesDataTable8252[#Headers],0)-1,FALSE)</f>
        <v>32.556840044595916</v>
      </c>
      <c r="M23" s="38">
        <f>VLOOKUP(M$12,'Colleteral Data'!$C:$AR,MATCH($D23,CurrentMtgRatesDataTable8252[#Headers],0)-1,FALSE)</f>
        <v>33.418647108958282</v>
      </c>
      <c r="N23" s="38">
        <f>VLOOKUP(N$12,'Colleteral Data'!$C:$AR,MATCH($D23,CurrentMtgRatesDataTable8252[#Headers],0)-1,FALSE)</f>
        <v>33.637502099246632</v>
      </c>
      <c r="O23" s="38">
        <f>VLOOKUP(O$12,'Colleteral Data'!$C:$AR,MATCH($D23,CurrentMtgRatesDataTable8252[#Headers],0)-1,FALSE)</f>
        <v>34.271279857774473</v>
      </c>
      <c r="P23" s="38">
        <f>VLOOKUP(P$12,'Colleteral Data'!$C:$AR,MATCH($D23,CurrentMtgRatesDataTable8252[#Headers],0)-1,FALSE)</f>
        <v>34.123652581008763</v>
      </c>
      <c r="Q23" s="38">
        <f>VLOOKUP(Q$12,'Colleteral Data'!$C:$AR,MATCH($D23,CurrentMtgRatesDataTable8252[#Headers],0)-1,FALSE)</f>
        <v>34.61401210119741</v>
      </c>
      <c r="R23" s="38">
        <f>VLOOKUP(R$12,'Colleteral Data'!$C:$AR,MATCH($D23,CurrentMtgRatesDataTable8252[#Headers],0)-1,FALSE)</f>
        <v>33.74330087982792</v>
      </c>
      <c r="S23" s="38">
        <f>VLOOKUP(S$12,'Colleteral Data'!$C:$AR,MATCH($D23,CurrentMtgRatesDataTable8252[#Headers],0)-1,FALSE)</f>
        <v>34.375991562762934</v>
      </c>
      <c r="T23"/>
      <c r="U23"/>
      <c r="V23"/>
      <c r="W23"/>
      <c r="X23"/>
      <c r="Y23"/>
      <c r="Z23"/>
      <c r="AA23"/>
      <c r="AB23"/>
    </row>
    <row r="24" spans="1:28" s="10" customFormat="1" ht="16.5" customHeight="1">
      <c r="A24" s="27"/>
      <c r="B24" s="27"/>
      <c r="D24" t="s">
        <v>41</v>
      </c>
      <c r="E24" s="34" t="s">
        <v>70</v>
      </c>
      <c r="F24" s="38">
        <f>VLOOKUP(F$12,'Colleteral Data'!$C:$AR,MATCH($D24,CurrentMtgRatesDataTable8252[#Headers],0)-1,FALSE)</f>
        <v>765.95339379673737</v>
      </c>
      <c r="G24" s="38">
        <f>VLOOKUP(G$12,'Colleteral Data'!$C:$AR,MATCH($D24,CurrentMtgRatesDataTable8252[#Headers],0)-1,FALSE)</f>
        <v>765.39190346573719</v>
      </c>
      <c r="H24" s="38">
        <f>VLOOKUP(H$12,'Colleteral Data'!$C:$AR,MATCH($D24,CurrentMtgRatesDataTable8252[#Headers],0)-1,FALSE)</f>
        <v>764.09964165821441</v>
      </c>
      <c r="I24" s="38">
        <f>VLOOKUP(I$12,'Colleteral Data'!$C:$AR,MATCH($D24,CurrentMtgRatesDataTable8252[#Headers],0)-1,FALSE)</f>
        <v>756.64079306877716</v>
      </c>
      <c r="J24" s="38">
        <f>VLOOKUP(J$12,'Colleteral Data'!$C:$AR,MATCH($D24,CurrentMtgRatesDataTable8252[#Headers],0)-1,FALSE)</f>
        <v>761.42843330226333</v>
      </c>
      <c r="K24" s="38">
        <f>VLOOKUP(K$12,'Colleteral Data'!$C:$AR,MATCH($D24,CurrentMtgRatesDataTable8252[#Headers],0)-1,FALSE)</f>
        <v>754.8016578396863</v>
      </c>
      <c r="L24" s="38">
        <f>VLOOKUP(L$12,'Colleteral Data'!$C:$AR,MATCH($D24,CurrentMtgRatesDataTable8252[#Headers],0)-1,FALSE)</f>
        <v>757.71151768126947</v>
      </c>
      <c r="M24" s="38">
        <f>VLOOKUP(M$12,'Colleteral Data'!$C:$AR,MATCH($D24,CurrentMtgRatesDataTable8252[#Headers],0)-1,FALSE)</f>
        <v>753.05810507013996</v>
      </c>
      <c r="N24" s="38">
        <f>VLOOKUP(N$12,'Colleteral Data'!$C:$AR,MATCH($D24,CurrentMtgRatesDataTable8252[#Headers],0)-1,FALSE)</f>
        <v>757.3830603998523</v>
      </c>
      <c r="O24" s="38">
        <f>VLOOKUP(O$12,'Colleteral Data'!$C:$AR,MATCH($D24,CurrentMtgRatesDataTable8252[#Headers],0)-1,FALSE)</f>
        <v>754.7892842268792</v>
      </c>
      <c r="P24" s="38">
        <f>VLOOKUP(P$12,'Colleteral Data'!$C:$AR,MATCH($D24,CurrentMtgRatesDataTable8252[#Headers],0)-1,FALSE)</f>
        <v>752.6990685474733</v>
      </c>
      <c r="Q24" s="38">
        <f>VLOOKUP(Q$12,'Colleteral Data'!$C:$AR,MATCH($D24,CurrentMtgRatesDataTable8252[#Headers],0)-1,FALSE)</f>
        <v>750.75722540692914</v>
      </c>
      <c r="R24" s="38">
        <f>VLOOKUP(R$12,'Colleteral Data'!$C:$AR,MATCH($D24,CurrentMtgRatesDataTable8252[#Headers],0)-1,FALSE)</f>
        <v>752.90691443952062</v>
      </c>
      <c r="S24" s="38">
        <f>VLOOKUP(S$12,'Colleteral Data'!$C:$AR,MATCH($D24,CurrentMtgRatesDataTable8252[#Headers],0)-1,FALSE)</f>
        <v>750.01920733323902</v>
      </c>
      <c r="T24"/>
      <c r="U24"/>
      <c r="V24"/>
      <c r="W24"/>
      <c r="X24"/>
      <c r="Y24"/>
      <c r="Z24"/>
      <c r="AA24"/>
      <c r="AB24"/>
    </row>
    <row r="25" spans="1:28" s="10" customFormat="1" ht="16.5" customHeight="1">
      <c r="A25" s="27"/>
      <c r="B25" s="27"/>
      <c r="D25" t="s">
        <v>42</v>
      </c>
      <c r="E25" s="82" t="s">
        <v>71</v>
      </c>
      <c r="F25" s="83">
        <f>VLOOKUP(F$12,'Colleteral Data'!$C:$AR,MATCH($D25,CurrentMtgRatesDataTable8252[#Headers],0)-1,FALSE)</f>
        <v>309648.58855799859</v>
      </c>
      <c r="G25" s="83">
        <f>VLOOKUP(G$12,'Colleteral Data'!$C:$AR,MATCH($D25,CurrentMtgRatesDataTable8252[#Headers],0)-1,FALSE)</f>
        <v>312673.09541640879</v>
      </c>
      <c r="H25" s="83">
        <f>VLOOKUP(H$12,'Colleteral Data'!$C:$AR,MATCH($D25,CurrentMtgRatesDataTable8252[#Headers],0)-1,FALSE)</f>
        <v>316077.97178742575</v>
      </c>
      <c r="I25" s="83">
        <f>VLOOKUP(I$12,'Colleteral Data'!$C:$AR,MATCH($D25,CurrentMtgRatesDataTable8252[#Headers],0)-1,FALSE)</f>
        <v>274790.02621540107</v>
      </c>
      <c r="J25" s="83">
        <f>VLOOKUP(J$12,'Colleteral Data'!$C:$AR,MATCH($D25,CurrentMtgRatesDataTable8252[#Headers],0)-1,FALSE)</f>
        <v>313796.68615252338</v>
      </c>
      <c r="K25" s="83">
        <f>VLOOKUP(K$12,'Colleteral Data'!$C:$AR,MATCH($D25,CurrentMtgRatesDataTable8252[#Headers],0)-1,FALSE)</f>
        <v>270485.83413948404</v>
      </c>
      <c r="L25" s="83">
        <f>VLOOKUP(L$12,'Colleteral Data'!$C:$AR,MATCH($D25,CurrentMtgRatesDataTable8252[#Headers],0)-1,FALSE)</f>
        <v>301051.61301040504</v>
      </c>
      <c r="M25" s="83">
        <f>VLOOKUP(M$12,'Colleteral Data'!$C:$AR,MATCH($D25,CurrentMtgRatesDataTable8252[#Headers],0)-1,FALSE)</f>
        <v>269739.69842189719</v>
      </c>
      <c r="N25" s="83">
        <f>VLOOKUP(N$12,'Colleteral Data'!$C:$AR,MATCH($D25,CurrentMtgRatesDataTable8252[#Headers],0)-1,FALSE)</f>
        <v>275705.34273008496</v>
      </c>
      <c r="O25" s="83">
        <f>VLOOKUP(O$12,'Colleteral Data'!$C:$AR,MATCH($D25,CurrentMtgRatesDataTable8252[#Headers],0)-1,FALSE)</f>
        <v>254123.63639120219</v>
      </c>
      <c r="P25" s="83">
        <f>VLOOKUP(P$12,'Colleteral Data'!$C:$AR,MATCH($D25,CurrentMtgRatesDataTable8252[#Headers],0)-1,FALSE)</f>
        <v>272728.72964343807</v>
      </c>
      <c r="Q25" s="83">
        <f>VLOOKUP(Q$12,'Colleteral Data'!$C:$AR,MATCH($D25,CurrentMtgRatesDataTable8252[#Headers],0)-1,FALSE)</f>
        <v>255018.4567066656</v>
      </c>
      <c r="R25" s="83">
        <f>VLOOKUP(R$12,'Colleteral Data'!$C:$AR,MATCH($D25,CurrentMtgRatesDataTable8252[#Headers],0)-1,FALSE)</f>
        <v>278469.02417252929</v>
      </c>
      <c r="S25" s="83">
        <f>VLOOKUP(S$12,'Colleteral Data'!$C:$AR,MATCH($D25,CurrentMtgRatesDataTable8252[#Headers],0)-1,FALSE)</f>
        <v>261190.82416074091</v>
      </c>
      <c r="T25"/>
      <c r="U25"/>
      <c r="V25"/>
      <c r="W25"/>
      <c r="X25"/>
      <c r="Y25"/>
      <c r="Z25"/>
      <c r="AA25"/>
      <c r="AB25"/>
    </row>
    <row r="26" spans="1:28" s="10" customFormat="1" ht="16.5" customHeight="1">
      <c r="A26" s="27"/>
      <c r="B26" s="27"/>
      <c r="E26" s="87" t="s">
        <v>92</v>
      </c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  <c r="T26"/>
      <c r="U26"/>
      <c r="V26"/>
      <c r="W26"/>
      <c r="X26"/>
      <c r="Y26"/>
      <c r="Z26"/>
      <c r="AA26"/>
      <c r="AB26"/>
    </row>
    <row r="27" spans="1:28" s="10" customFormat="1" ht="16.5" customHeight="1">
      <c r="A27" s="27"/>
      <c r="B27" s="27"/>
      <c r="D27" t="s">
        <v>43</v>
      </c>
      <c r="E27" s="34" t="s">
        <v>94</v>
      </c>
      <c r="F27" s="44">
        <f>VLOOKUP(F$12,'Colleteral Data'!$C:$AR,MATCH($D27,CurrentMtgRatesDataTable8252[#Headers],0)-1,FALSE)</f>
        <v>0</v>
      </c>
      <c r="G27" s="44">
        <f>VLOOKUP(G$12,'Colleteral Data'!$C:$AR,MATCH($D27,CurrentMtgRatesDataTable8252[#Headers],0)-1,FALSE)</f>
        <v>0</v>
      </c>
      <c r="H27" s="44">
        <f>VLOOKUP(H$12,'Colleteral Data'!$C:$AR,MATCH($D27,CurrentMtgRatesDataTable8252[#Headers],0)-1,FALSE)</f>
        <v>0</v>
      </c>
      <c r="I27" s="44">
        <f>VLOOKUP(I$12,'Colleteral Data'!$C:$AR,MATCH($D27,CurrentMtgRatesDataTable8252[#Headers],0)-1,FALSE)</f>
        <v>1</v>
      </c>
      <c r="J27" s="44">
        <f>VLOOKUP(J$12,'Colleteral Data'!$C:$AR,MATCH($D27,CurrentMtgRatesDataTable8252[#Headers],0)-1,FALSE)</f>
        <v>0</v>
      </c>
      <c r="K27" s="44">
        <f>VLOOKUP(K$12,'Colleteral Data'!$C:$AR,MATCH($D27,CurrentMtgRatesDataTable8252[#Headers],0)-1,FALSE)</f>
        <v>1</v>
      </c>
      <c r="L27" s="44">
        <f>VLOOKUP(L$12,'Colleteral Data'!$C:$AR,MATCH($D27,CurrentMtgRatesDataTable8252[#Headers],0)-1,FALSE)</f>
        <v>0</v>
      </c>
      <c r="M27" s="44">
        <f>VLOOKUP(M$12,'Colleteral Data'!$C:$AR,MATCH($D27,CurrentMtgRatesDataTable8252[#Headers],0)-1,FALSE)</f>
        <v>0.99837565834709463</v>
      </c>
      <c r="N27" s="44">
        <f>VLOOKUP(N$12,'Colleteral Data'!$C:$AR,MATCH($D27,CurrentMtgRatesDataTable8252[#Headers],0)-1,FALSE)</f>
        <v>0</v>
      </c>
      <c r="O27" s="44">
        <f>VLOOKUP(O$12,'Colleteral Data'!$C:$AR,MATCH($D27,CurrentMtgRatesDataTable8252[#Headers],0)-1,FALSE)</f>
        <v>0.99288530122486407</v>
      </c>
      <c r="P27" s="44">
        <f>VLOOKUP(P$12,'Colleteral Data'!$C:$AR,MATCH($D27,CurrentMtgRatesDataTable8252[#Headers],0)-1,FALSE)</f>
        <v>0</v>
      </c>
      <c r="Q27" s="44">
        <f>VLOOKUP(Q$12,'Colleteral Data'!$C:$AR,MATCH($D27,CurrentMtgRatesDataTable8252[#Headers],0)-1,FALSE)</f>
        <v>0.98763103557137844</v>
      </c>
      <c r="R27" s="44">
        <f>VLOOKUP(R$12,'Colleteral Data'!$C:$AR,MATCH($D27,CurrentMtgRatesDataTable8252[#Headers],0)-1,FALSE)</f>
        <v>0</v>
      </c>
      <c r="S27" s="44">
        <f>VLOOKUP(S$12,'Colleteral Data'!$C:$AR,MATCH($D27,CurrentMtgRatesDataTable8252[#Headers],0)-1,FALSE)</f>
        <v>1</v>
      </c>
      <c r="T27"/>
      <c r="U27"/>
      <c r="V27"/>
      <c r="W27"/>
      <c r="X27"/>
      <c r="Y27"/>
      <c r="Z27"/>
      <c r="AA27"/>
      <c r="AB27"/>
    </row>
    <row r="28" spans="1:28" s="10" customFormat="1" ht="16.5" customHeight="1">
      <c r="A28" s="27"/>
      <c r="B28" s="27"/>
      <c r="D28" t="s">
        <v>44</v>
      </c>
      <c r="E28" s="34" t="s">
        <v>103</v>
      </c>
      <c r="F28" s="45">
        <f>VLOOKUP(F$12,'Colleteral Data'!$C:$AR,MATCH($D28,CurrentMtgRatesDataTable8252[#Headers],0)-1,FALSE)</f>
        <v>4.9584989438165229E-2</v>
      </c>
      <c r="G28" s="45">
        <f>VLOOKUP(G$12,'Colleteral Data'!$C:$AR,MATCH($D28,CurrentMtgRatesDataTable8252[#Headers],0)-1,FALSE)</f>
        <v>4.2482713754907996E-2</v>
      </c>
      <c r="H28" s="45">
        <f>VLOOKUP(H$12,'Colleteral Data'!$C:$AR,MATCH($D28,CurrentMtgRatesDataTable8252[#Headers],0)-1,FALSE)</f>
        <v>4.2215121896624852E-2</v>
      </c>
      <c r="I28" s="45">
        <f>VLOOKUP(I$12,'Colleteral Data'!$C:$AR,MATCH($D28,CurrentMtgRatesDataTable8252[#Headers],0)-1,FALSE)</f>
        <v>2.9540782866654246E-2</v>
      </c>
      <c r="J28" s="45">
        <f>VLOOKUP(J$12,'Colleteral Data'!$C:$AR,MATCH($D28,CurrentMtgRatesDataTable8252[#Headers],0)-1,FALSE)</f>
        <v>4.7210334348407428E-2</v>
      </c>
      <c r="K28" s="45">
        <f>VLOOKUP(K$12,'Colleteral Data'!$C:$AR,MATCH($D28,CurrentMtgRatesDataTable8252[#Headers],0)-1,FALSE)</f>
        <v>3.0108410652123326E-2</v>
      </c>
      <c r="L28" s="45">
        <f>VLOOKUP(L$12,'Colleteral Data'!$C:$AR,MATCH($D28,CurrentMtgRatesDataTable8252[#Headers],0)-1,FALSE)</f>
        <v>5.1244803669177663E-2</v>
      </c>
      <c r="M28" s="45">
        <f>VLOOKUP(M$12,'Colleteral Data'!$C:$AR,MATCH($D28,CurrentMtgRatesDataTable8252[#Headers],0)-1,FALSE)</f>
        <v>2.5737181808124034E-2</v>
      </c>
      <c r="N28" s="45">
        <f>VLOOKUP(N$12,'Colleteral Data'!$C:$AR,MATCH($D28,CurrentMtgRatesDataTable8252[#Headers],0)-1,FALSE)</f>
        <v>6.1241256457881706E-2</v>
      </c>
      <c r="O28" s="45">
        <f>VLOOKUP(O$12,'Colleteral Data'!$C:$AR,MATCH($D28,CurrentMtgRatesDataTable8252[#Headers],0)-1,FALSE)</f>
        <v>2.9391068619680816E-2</v>
      </c>
      <c r="P28" s="45">
        <f>VLOOKUP(P$12,'Colleteral Data'!$C:$AR,MATCH($D28,CurrentMtgRatesDataTable8252[#Headers],0)-1,FALSE)</f>
        <v>5.5669999422995831E-2</v>
      </c>
      <c r="Q28" s="45">
        <f>VLOOKUP(Q$12,'Colleteral Data'!$C:$AR,MATCH($D28,CurrentMtgRatesDataTable8252[#Headers],0)-1,FALSE)</f>
        <v>3.4390947567306408E-2</v>
      </c>
      <c r="R28" s="45">
        <f>VLOOKUP(R$12,'Colleteral Data'!$C:$AR,MATCH($D28,CurrentMtgRatesDataTable8252[#Headers],0)-1,FALSE)</f>
        <v>5.2962976583086019E-2</v>
      </c>
      <c r="S28" s="45">
        <f>VLOOKUP(S$12,'Colleteral Data'!$C:$AR,MATCH($D28,CurrentMtgRatesDataTable8252[#Headers],0)-1,FALSE)</f>
        <v>3.3894921926691565E-2</v>
      </c>
      <c r="T28"/>
      <c r="U28"/>
      <c r="V28"/>
      <c r="W28"/>
      <c r="X28"/>
      <c r="Y28"/>
      <c r="Z28"/>
      <c r="AA28"/>
      <c r="AB28"/>
    </row>
    <row r="29" spans="1:28" s="10" customFormat="1" ht="16.5" customHeight="1">
      <c r="A29" s="27"/>
      <c r="B29" s="27"/>
      <c r="D29" t="s">
        <v>45</v>
      </c>
      <c r="E29" s="34" t="s">
        <v>72</v>
      </c>
      <c r="F29" s="45">
        <f>VLOOKUP(F$12,'Colleteral Data'!$C:$AR,MATCH($D29,CurrentMtgRatesDataTable8252[#Headers],0)-1,FALSE)</f>
        <v>0.12314603893649305</v>
      </c>
      <c r="G29" s="45">
        <f>VLOOKUP(G$12,'Colleteral Data'!$C:$AR,MATCH($D29,CurrentMtgRatesDataTable8252[#Headers],0)-1,FALSE)</f>
        <v>9.466527391041088E-2</v>
      </c>
      <c r="H29" s="45">
        <f>VLOOKUP(H$12,'Colleteral Data'!$C:$AR,MATCH($D29,CurrentMtgRatesDataTable8252[#Headers],0)-1,FALSE)</f>
        <v>8.9112118788637562E-2</v>
      </c>
      <c r="I29" s="45">
        <f>VLOOKUP(I$12,'Colleteral Data'!$C:$AR,MATCH($D29,CurrentMtgRatesDataTable8252[#Headers],0)-1,FALSE)</f>
        <v>0.26766798813284276</v>
      </c>
      <c r="J29" s="45">
        <f>VLOOKUP(J$12,'Colleteral Data'!$C:$AR,MATCH($D29,CurrentMtgRatesDataTable8252[#Headers],0)-1,FALSE)</f>
        <v>0.12207657410997565</v>
      </c>
      <c r="K29" s="45">
        <f>VLOOKUP(K$12,'Colleteral Data'!$C:$AR,MATCH($D29,CurrentMtgRatesDataTable8252[#Headers],0)-1,FALSE)</f>
        <v>0.32607407731385546</v>
      </c>
      <c r="L29" s="45">
        <f>VLOOKUP(L$12,'Colleteral Data'!$C:$AR,MATCH($D29,CurrentMtgRatesDataTable8252[#Headers],0)-1,FALSE)</f>
        <v>0.15369574398252372</v>
      </c>
      <c r="M29" s="45">
        <f>VLOOKUP(M$12,'Colleteral Data'!$C:$AR,MATCH($D29,CurrentMtgRatesDataTable8252[#Headers],0)-1,FALSE)</f>
        <v>0.36062091374230182</v>
      </c>
      <c r="N29" s="45">
        <f>VLOOKUP(N$12,'Colleteral Data'!$C:$AR,MATCH($D29,CurrentMtgRatesDataTable8252[#Headers],0)-1,FALSE)</f>
        <v>0.18625828729923255</v>
      </c>
      <c r="O29" s="45">
        <f>VLOOKUP(O$12,'Colleteral Data'!$C:$AR,MATCH($D29,CurrentMtgRatesDataTable8252[#Headers],0)-1,FALSE)</f>
        <v>0.41170841182475987</v>
      </c>
      <c r="P29" s="45">
        <f>VLOOKUP(P$12,'Colleteral Data'!$C:$AR,MATCH($D29,CurrentMtgRatesDataTable8252[#Headers],0)-1,FALSE)</f>
        <v>0.18354725269868483</v>
      </c>
      <c r="Q29" s="45">
        <f>VLOOKUP(Q$12,'Colleteral Data'!$C:$AR,MATCH($D29,CurrentMtgRatesDataTable8252[#Headers],0)-1,FALSE)</f>
        <v>0.42393453408468901</v>
      </c>
      <c r="R29" s="45">
        <f>VLOOKUP(R$12,'Colleteral Data'!$C:$AR,MATCH($D29,CurrentMtgRatesDataTable8252[#Headers],0)-1,FALSE)</f>
        <v>0.1938258377647907</v>
      </c>
      <c r="S29" s="45">
        <f>VLOOKUP(S$12,'Colleteral Data'!$C:$AR,MATCH($D29,CurrentMtgRatesDataTable8252[#Headers],0)-1,FALSE)</f>
        <v>0.42067963074084763</v>
      </c>
      <c r="T29"/>
      <c r="U29"/>
      <c r="V29"/>
      <c r="W29"/>
      <c r="X29"/>
      <c r="Y29"/>
      <c r="Z29"/>
      <c r="AA29"/>
      <c r="AB29"/>
    </row>
    <row r="30" spans="1:28" s="10" customFormat="1" ht="16.5" customHeight="1">
      <c r="A30" s="27"/>
      <c r="B30" s="27"/>
      <c r="D30" t="s">
        <v>46</v>
      </c>
      <c r="E30" s="34" t="s">
        <v>73</v>
      </c>
      <c r="F30" s="45">
        <f>VLOOKUP(F$12,'Colleteral Data'!$C:$AR,MATCH($D30,CurrentMtgRatesDataTable8252[#Headers],0)-1,FALSE)</f>
        <v>0.5999043757055359</v>
      </c>
      <c r="G30" s="45">
        <f>VLOOKUP(G$12,'Colleteral Data'!$C:$AR,MATCH($D30,CurrentMtgRatesDataTable8252[#Headers],0)-1,FALSE)</f>
        <v>0.59451716522050146</v>
      </c>
      <c r="H30" s="45">
        <f>VLOOKUP(H$12,'Colleteral Data'!$C:$AR,MATCH($D30,CurrentMtgRatesDataTable8252[#Headers],0)-1,FALSE)</f>
        <v>0.59030589303010117</v>
      </c>
      <c r="I30" s="45">
        <f>VLOOKUP(I$12,'Colleteral Data'!$C:$AR,MATCH($D30,CurrentMtgRatesDataTable8252[#Headers],0)-1,FALSE)</f>
        <v>0.55602153446616176</v>
      </c>
      <c r="J30" s="45">
        <f>VLOOKUP(J$12,'Colleteral Data'!$C:$AR,MATCH($D30,CurrentMtgRatesDataTable8252[#Headers],0)-1,FALSE)</f>
        <v>0.56767829749984233</v>
      </c>
      <c r="K30" s="45">
        <f>VLOOKUP(K$12,'Colleteral Data'!$C:$AR,MATCH($D30,CurrentMtgRatesDataTable8252[#Headers],0)-1,FALSE)</f>
        <v>0.53952018660493628</v>
      </c>
      <c r="L30" s="45">
        <f>VLOOKUP(L$12,'Colleteral Data'!$C:$AR,MATCH($D30,CurrentMtgRatesDataTable8252[#Headers],0)-1,FALSE)</f>
        <v>0.5568428982599426</v>
      </c>
      <c r="M30" s="45">
        <f>VLOOKUP(M$12,'Colleteral Data'!$C:$AR,MATCH($D30,CurrentMtgRatesDataTable8252[#Headers],0)-1,FALSE)</f>
        <v>0.5298199342386759</v>
      </c>
      <c r="N30" s="45">
        <f>VLOOKUP(N$12,'Colleteral Data'!$C:$AR,MATCH($D30,CurrentMtgRatesDataTable8252[#Headers],0)-1,FALSE)</f>
        <v>0.5305110292335844</v>
      </c>
      <c r="O30" s="45">
        <f>VLOOKUP(O$12,'Colleteral Data'!$C:$AR,MATCH($D30,CurrentMtgRatesDataTable8252[#Headers],0)-1,FALSE)</f>
        <v>0.51276439163473353</v>
      </c>
      <c r="P30" s="45">
        <f>VLOOKUP(P$12,'Colleteral Data'!$C:$AR,MATCH($D30,CurrentMtgRatesDataTable8252[#Headers],0)-1,FALSE)</f>
        <v>0.51718202232541288</v>
      </c>
      <c r="Q30" s="45">
        <f>VLOOKUP(Q$12,'Colleteral Data'!$C:$AR,MATCH($D30,CurrentMtgRatesDataTable8252[#Headers],0)-1,FALSE)</f>
        <v>0.4989710015772772</v>
      </c>
      <c r="R30" s="45">
        <f>VLOOKUP(R$12,'Colleteral Data'!$C:$AR,MATCH($D30,CurrentMtgRatesDataTable8252[#Headers],0)-1,FALSE)</f>
        <v>0.5283613627943845</v>
      </c>
      <c r="S30" s="45">
        <f>VLOOKUP(S$12,'Colleteral Data'!$C:$AR,MATCH($D30,CurrentMtgRatesDataTable8252[#Headers],0)-1,FALSE)</f>
        <v>0.51706333471185351</v>
      </c>
      <c r="T30"/>
      <c r="U30"/>
      <c r="V30"/>
      <c r="W30"/>
      <c r="X30"/>
      <c r="Y30"/>
      <c r="Z30"/>
      <c r="AA30"/>
      <c r="AB30"/>
    </row>
    <row r="31" spans="1:28" s="10" customFormat="1" ht="16.5" customHeight="1">
      <c r="A31" s="27"/>
      <c r="B31" s="27"/>
      <c r="D31" t="s">
        <v>47</v>
      </c>
      <c r="E31" s="34" t="s">
        <v>74</v>
      </c>
      <c r="F31" s="45">
        <f>VLOOKUP(F$12,'Colleteral Data'!$C:$AR,MATCH($D31,CurrentMtgRatesDataTable8252[#Headers],0)-1,FALSE)</f>
        <v>2.7690936682783381E-2</v>
      </c>
      <c r="G31" s="45">
        <f>VLOOKUP(G$12,'Colleteral Data'!$C:$AR,MATCH($D31,CurrentMtgRatesDataTable8252[#Headers],0)-1,FALSE)</f>
        <v>2.8773694078772123E-2</v>
      </c>
      <c r="H31" s="45">
        <f>VLOOKUP(H$12,'Colleteral Data'!$C:$AR,MATCH($D31,CurrentMtgRatesDataTable8252[#Headers],0)-1,FALSE)</f>
        <v>3.0759540333268585E-2</v>
      </c>
      <c r="I31" s="45">
        <f>VLOOKUP(I$12,'Colleteral Data'!$C:$AR,MATCH($D31,CurrentMtgRatesDataTable8252[#Headers],0)-1,FALSE)</f>
        <v>1.0163823667185172E-3</v>
      </c>
      <c r="J31" s="45">
        <f>VLOOKUP(J$12,'Colleteral Data'!$C:$AR,MATCH($D31,CurrentMtgRatesDataTable8252[#Headers],0)-1,FALSE)</f>
        <v>3.089787175495139E-2</v>
      </c>
      <c r="K31" s="45">
        <f>VLOOKUP(K$12,'Colleteral Data'!$C:$AR,MATCH($D31,CurrentMtgRatesDataTable8252[#Headers],0)-1,FALSE)</f>
        <v>1.0963635541484692E-3</v>
      </c>
      <c r="L31" s="45">
        <f>VLOOKUP(L$12,'Colleteral Data'!$C:$AR,MATCH($D31,CurrentMtgRatesDataTable8252[#Headers],0)-1,FALSE)</f>
        <v>3.3202303428050993E-2</v>
      </c>
      <c r="M31" s="45">
        <f>VLOOKUP(M$12,'Colleteral Data'!$C:$AR,MATCH($D31,CurrentMtgRatesDataTable8252[#Headers],0)-1,FALSE)</f>
        <v>1.2985887849338536E-3</v>
      </c>
      <c r="N31" s="45">
        <f>VLOOKUP(N$12,'Colleteral Data'!$C:$AR,MATCH($D31,CurrentMtgRatesDataTable8252[#Headers],0)-1,FALSE)</f>
        <v>4.0241114583042213E-2</v>
      </c>
      <c r="O31" s="45">
        <f>VLOOKUP(O$12,'Colleteral Data'!$C:$AR,MATCH($D31,CurrentMtgRatesDataTable8252[#Headers],0)-1,FALSE)</f>
        <v>1.3363905843596314E-3</v>
      </c>
      <c r="P31" s="45">
        <f>VLOOKUP(P$12,'Colleteral Data'!$C:$AR,MATCH($D31,CurrentMtgRatesDataTable8252[#Headers],0)-1,FALSE)</f>
        <v>4.3833639990969744E-2</v>
      </c>
      <c r="Q31" s="45">
        <f>VLOOKUP(Q$12,'Colleteral Data'!$C:$AR,MATCH($D31,CurrentMtgRatesDataTable8252[#Headers],0)-1,FALSE)</f>
        <v>2.5555462197460578E-3</v>
      </c>
      <c r="R31" s="45">
        <f>VLOOKUP(R$12,'Colleteral Data'!$C:$AR,MATCH($D31,CurrentMtgRatesDataTable8252[#Headers],0)-1,FALSE)</f>
        <v>3.5757572780509998E-2</v>
      </c>
      <c r="S31" s="45">
        <f>VLOOKUP(S$12,'Colleteral Data'!$C:$AR,MATCH($D31,CurrentMtgRatesDataTable8252[#Headers],0)-1,FALSE)</f>
        <v>2.3768536031396979E-3</v>
      </c>
      <c r="T31"/>
      <c r="U31"/>
      <c r="V31"/>
      <c r="W31"/>
      <c r="X31"/>
      <c r="Y31"/>
      <c r="Z31"/>
      <c r="AA31"/>
      <c r="AB31"/>
    </row>
    <row r="32" spans="1:28" s="10" customFormat="1" ht="16.5" customHeight="1">
      <c r="A32" s="27"/>
      <c r="B32" s="27"/>
      <c r="D32" t="s">
        <v>48</v>
      </c>
      <c r="E32" s="34" t="s">
        <v>75</v>
      </c>
      <c r="F32" s="45">
        <f>VLOOKUP(F$12,'Colleteral Data'!$C:$AR,MATCH($D32,CurrentMtgRatesDataTable8252[#Headers],0)-1,FALSE)</f>
        <v>0.64156843909276884</v>
      </c>
      <c r="G32" s="45">
        <f>VLOOKUP(G$12,'Colleteral Data'!$C:$AR,MATCH($D32,CurrentMtgRatesDataTable8252[#Headers],0)-1,FALSE)</f>
        <v>0.63053277207146485</v>
      </c>
      <c r="H32" s="45">
        <f>VLOOKUP(H$12,'Colleteral Data'!$C:$AR,MATCH($D32,CurrentMtgRatesDataTable8252[#Headers],0)-1,FALSE)</f>
        <v>0.62637721155715165</v>
      </c>
      <c r="I32" s="45">
        <f>VLOOKUP(I$12,'Colleteral Data'!$C:$AR,MATCH($D32,CurrentMtgRatesDataTable8252[#Headers],0)-1,FALSE)</f>
        <v>0.6029647652855249</v>
      </c>
      <c r="J32" s="45">
        <f>VLOOKUP(J$12,'Colleteral Data'!$C:$AR,MATCH($D32,CurrentMtgRatesDataTable8252[#Headers],0)-1,FALSE)</f>
        <v>0.61120744486800982</v>
      </c>
      <c r="K32" s="45">
        <f>VLOOKUP(K$12,'Colleteral Data'!$C:$AR,MATCH($D32,CurrentMtgRatesDataTable8252[#Headers],0)-1,FALSE)</f>
        <v>0.59467392489937498</v>
      </c>
      <c r="L32" s="45">
        <f>VLOOKUP(L$12,'Colleteral Data'!$C:$AR,MATCH($D32,CurrentMtgRatesDataTable8252[#Headers],0)-1,FALSE)</f>
        <v>0.60526889424896191</v>
      </c>
      <c r="M32" s="45">
        <f>VLOOKUP(M$12,'Colleteral Data'!$C:$AR,MATCH($D32,CurrentMtgRatesDataTable8252[#Headers],0)-1,FALSE)</f>
        <v>0.59334637295174641</v>
      </c>
      <c r="N32" s="45">
        <f>VLOOKUP(N$12,'Colleteral Data'!$C:$AR,MATCH($D32,CurrentMtgRatesDataTable8252[#Headers],0)-1,FALSE)</f>
        <v>0.60384142167558097</v>
      </c>
      <c r="O32" s="45">
        <f>VLOOKUP(O$12,'Colleteral Data'!$C:$AR,MATCH($D32,CurrentMtgRatesDataTable8252[#Headers],0)-1,FALSE)</f>
        <v>0.59365659310835484</v>
      </c>
      <c r="P32" s="45">
        <f>VLOOKUP(P$12,'Colleteral Data'!$C:$AR,MATCH($D32,CurrentMtgRatesDataTable8252[#Headers],0)-1,FALSE)</f>
        <v>0.5958857597791738</v>
      </c>
      <c r="Q32" s="45">
        <f>VLOOKUP(Q$12,'Colleteral Data'!$C:$AR,MATCH($D32,CurrentMtgRatesDataTable8252[#Headers],0)-1,FALSE)</f>
        <v>0.57250380794148636</v>
      </c>
      <c r="R32" s="45">
        <f>VLOOKUP(R$12,'Colleteral Data'!$C:$AR,MATCH($D32,CurrentMtgRatesDataTable8252[#Headers],0)-1,FALSE)</f>
        <v>0.58781887143883094</v>
      </c>
      <c r="S32" s="45">
        <f>VLOOKUP(S$12,'Colleteral Data'!$C:$AR,MATCH($D32,CurrentMtgRatesDataTable8252[#Headers],0)-1,FALSE)</f>
        <v>0.5747874875071286</v>
      </c>
      <c r="T32"/>
      <c r="U32"/>
      <c r="V32"/>
      <c r="W32"/>
      <c r="X32"/>
      <c r="Y32"/>
      <c r="Z32"/>
      <c r="AA32"/>
      <c r="AB32"/>
    </row>
    <row r="33" spans="1:28" s="10" customFormat="1" ht="16.5" customHeight="1">
      <c r="A33" s="27"/>
      <c r="B33" s="27"/>
      <c r="D33" t="s">
        <v>49</v>
      </c>
      <c r="E33" s="34" t="s">
        <v>76</v>
      </c>
      <c r="F33" s="45">
        <f>VLOOKUP(F$12,'Colleteral Data'!$C:$AR,MATCH($D33,CurrentMtgRatesDataTable8252[#Headers],0)-1,FALSE)</f>
        <v>0.86827260738704692</v>
      </c>
      <c r="G33" s="45">
        <f>VLOOKUP(G$12,'Colleteral Data'!$C:$AR,MATCH($D33,CurrentMtgRatesDataTable8252[#Headers],0)-1,FALSE)</f>
        <v>0.87162585394290071</v>
      </c>
      <c r="H33" s="45">
        <f>VLOOKUP(H$12,'Colleteral Data'!$C:$AR,MATCH($D33,CurrentMtgRatesDataTable8252[#Headers],0)-1,FALSE)</f>
        <v>0.86661166537117928</v>
      </c>
      <c r="I33" s="45">
        <f>VLOOKUP(I$12,'Colleteral Data'!$C:$AR,MATCH($D33,CurrentMtgRatesDataTable8252[#Headers],0)-1,FALSE)</f>
        <v>0.97002881940392882</v>
      </c>
      <c r="J33" s="45">
        <f>VLOOKUP(J$12,'Colleteral Data'!$C:$AR,MATCH($D33,CurrentMtgRatesDataTable8252[#Headers],0)-1,FALSE)</f>
        <v>0.85918212949735984</v>
      </c>
      <c r="K33" s="45">
        <f>VLOOKUP(K$12,'Colleteral Data'!$C:$AR,MATCH($D33,CurrentMtgRatesDataTable8252[#Headers],0)-1,FALSE)</f>
        <v>0.96941031807453848</v>
      </c>
      <c r="L33" s="45">
        <f>VLOOKUP(L$12,'Colleteral Data'!$C:$AR,MATCH($D33,CurrentMtgRatesDataTable8252[#Headers],0)-1,FALSE)</f>
        <v>0.84702434872687171</v>
      </c>
      <c r="M33" s="45">
        <f>VLOOKUP(M$12,'Colleteral Data'!$C:$AR,MATCH($D33,CurrentMtgRatesDataTable8252[#Headers],0)-1,FALSE)</f>
        <v>0.97376892564247508</v>
      </c>
      <c r="N33" s="45">
        <f>VLOOKUP(N$12,'Colleteral Data'!$C:$AR,MATCH($D33,CurrentMtgRatesDataTable8252[#Headers],0)-1,FALSE)</f>
        <v>0.81974350817567387</v>
      </c>
      <c r="O33" s="45">
        <f>VLOOKUP(O$12,'Colleteral Data'!$C:$AR,MATCH($D33,CurrentMtgRatesDataTable8252[#Headers],0)-1,FALSE)</f>
        <v>0.97006808137049316</v>
      </c>
      <c r="P33" s="45">
        <f>VLOOKUP(P$12,'Colleteral Data'!$C:$AR,MATCH($D33,CurrentMtgRatesDataTable8252[#Headers],0)-1,FALSE)</f>
        <v>0.80752571097786174</v>
      </c>
      <c r="Q33" s="45">
        <f>VLOOKUP(Q$12,'Colleteral Data'!$C:$AR,MATCH($D33,CurrentMtgRatesDataTable8252[#Headers],0)-1,FALSE)</f>
        <v>0.96462683513900194</v>
      </c>
      <c r="R33" s="45">
        <f>VLOOKUP(R$12,'Colleteral Data'!$C:$AR,MATCH($D33,CurrentMtgRatesDataTable8252[#Headers],0)-1,FALSE)</f>
        <v>0.83155871261720593</v>
      </c>
      <c r="S33" s="45">
        <f>VLOOKUP(S$12,'Colleteral Data'!$C:$AR,MATCH($D33,CurrentMtgRatesDataTable8252[#Headers],0)-1,FALSE)</f>
        <v>0.96468553416921199</v>
      </c>
      <c r="T33"/>
      <c r="U33"/>
      <c r="V33"/>
      <c r="W33"/>
      <c r="X33"/>
      <c r="Y33"/>
      <c r="Z33"/>
      <c r="AA33"/>
      <c r="AB33"/>
    </row>
    <row r="34" spans="1:28" s="10" customFormat="1" ht="16.5" customHeight="1">
      <c r="A34" s="27"/>
      <c r="B34" s="27"/>
      <c r="D34" t="s">
        <v>50</v>
      </c>
      <c r="E34" s="34" t="s">
        <v>77</v>
      </c>
      <c r="F34" s="45">
        <f>VLOOKUP(F$12,'Colleteral Data'!$C:$AR,MATCH($D34,CurrentMtgRatesDataTable8252[#Headers],0)-1,FALSE)</f>
        <v>0.41273557722375676</v>
      </c>
      <c r="G34" s="45">
        <f>VLOOKUP(G$12,'Colleteral Data'!$C:$AR,MATCH($D34,CurrentMtgRatesDataTable8252[#Headers],0)-1,FALSE)</f>
        <v>0.31507449956701417</v>
      </c>
      <c r="H34" s="45">
        <f>VLOOKUP(H$12,'Colleteral Data'!$C:$AR,MATCH($D34,CurrentMtgRatesDataTable8252[#Headers],0)-1,FALSE)</f>
        <v>0.29344646287540482</v>
      </c>
      <c r="I34" s="45">
        <f>VLOOKUP(I$12,'Colleteral Data'!$C:$AR,MATCH($D34,CurrentMtgRatesDataTable8252[#Headers],0)-1,FALSE)</f>
        <v>0.60673616511847706</v>
      </c>
      <c r="J34" s="45">
        <f>VLOOKUP(J$12,'Colleteral Data'!$C:$AR,MATCH($D34,CurrentMtgRatesDataTable8252[#Headers],0)-1,FALSE)</f>
        <v>0.39416333469077774</v>
      </c>
      <c r="K34" s="45">
        <f>VLOOKUP(K$12,'Colleteral Data'!$C:$AR,MATCH($D34,CurrentMtgRatesDataTable8252[#Headers],0)-1,FALSE)</f>
        <v>0.71942633189675609</v>
      </c>
      <c r="L34" s="45">
        <f>VLOOKUP(L$12,'Colleteral Data'!$C:$AR,MATCH($D34,CurrentMtgRatesDataTable8252[#Headers],0)-1,FALSE)</f>
        <v>0.50836769029393436</v>
      </c>
      <c r="M34" s="45">
        <f>VLOOKUP(M$12,'Colleteral Data'!$C:$AR,MATCH($D34,CurrentMtgRatesDataTable8252[#Headers],0)-1,FALSE)</f>
        <v>0.81214803762492327</v>
      </c>
      <c r="N34" s="45">
        <f>VLOOKUP(N$12,'Colleteral Data'!$C:$AR,MATCH($D34,CurrentMtgRatesDataTable8252[#Headers],0)-1,FALSE)</f>
        <v>0.62566336417292667</v>
      </c>
      <c r="O34" s="45">
        <f>VLOOKUP(O$12,'Colleteral Data'!$C:$AR,MATCH($D34,CurrentMtgRatesDataTable8252[#Headers],0)-1,FALSE)</f>
        <v>0.89054298113513286</v>
      </c>
      <c r="P34" s="45">
        <f>VLOOKUP(P$12,'Colleteral Data'!$C:$AR,MATCH($D34,CurrentMtgRatesDataTable8252[#Headers],0)-1,FALSE)</f>
        <v>0.61377470297969128</v>
      </c>
      <c r="Q34" s="45">
        <f>VLOOKUP(Q$12,'Colleteral Data'!$C:$AR,MATCH($D34,CurrentMtgRatesDataTable8252[#Headers],0)-1,FALSE)</f>
        <v>0.88239248155552441</v>
      </c>
      <c r="R34" s="45">
        <f>VLOOKUP(R$12,'Colleteral Data'!$C:$AR,MATCH($D34,CurrentMtgRatesDataTable8252[#Headers],0)-1,FALSE)</f>
        <v>0.66707707159162033</v>
      </c>
      <c r="S34" s="45">
        <f>VLOOKUP(S$12,'Colleteral Data'!$C:$AR,MATCH($D34,CurrentMtgRatesDataTable8252[#Headers],0)-1,FALSE)</f>
        <v>0.90415299830076934</v>
      </c>
      <c r="T34"/>
      <c r="U34"/>
      <c r="V34"/>
      <c r="W34"/>
      <c r="X34"/>
      <c r="Y34"/>
      <c r="Z34"/>
      <c r="AA34"/>
      <c r="AB34"/>
    </row>
    <row r="35" spans="1:28" s="10" customFormat="1" ht="16.5" customHeight="1">
      <c r="A35" s="27"/>
      <c r="B35" s="27"/>
      <c r="D35" t="s">
        <v>51</v>
      </c>
      <c r="E35" s="85" t="s">
        <v>78</v>
      </c>
      <c r="F35" s="84">
        <f>VLOOKUP(F$12,'Colleteral Data'!$C:$AR,MATCH($D35,CurrentMtgRatesDataTable8252[#Headers],0)-1,FALSE)</f>
        <v>0.15275458574030112</v>
      </c>
      <c r="G35" s="84">
        <f>VLOOKUP(G$12,'Colleteral Data'!$C:$AR,MATCH($D35,CurrentMtgRatesDataTable8252[#Headers],0)-1,FALSE)</f>
        <v>0.17793624149318107</v>
      </c>
      <c r="H35" s="84">
        <f>VLOOKUP(H$12,'Colleteral Data'!$C:$AR,MATCH($D35,CurrentMtgRatesDataTable8252[#Headers],0)-1,FALSE)</f>
        <v>0.14760638634536291</v>
      </c>
      <c r="I35" s="84">
        <f>VLOOKUP(I$12,'Colleteral Data'!$C:$AR,MATCH($D35,CurrentMtgRatesDataTable8252[#Headers],0)-1,FALSE)</f>
        <v>9.3982824322133285E-2</v>
      </c>
      <c r="J35" s="84">
        <f>VLOOKUP(J$12,'Colleteral Data'!$C:$AR,MATCH($D35,CurrentMtgRatesDataTable8252[#Headers],0)-1,FALSE)</f>
        <v>0.13825543442863922</v>
      </c>
      <c r="K35" s="84">
        <f>VLOOKUP(K$12,'Colleteral Data'!$C:$AR,MATCH($D35,CurrentMtgRatesDataTable8252[#Headers],0)-1,FALSE)</f>
        <v>9.1722898698424093E-2</v>
      </c>
      <c r="L35" s="84">
        <f>VLOOKUP(L$12,'Colleteral Data'!$C:$AR,MATCH($D35,CurrentMtgRatesDataTable8252[#Headers],0)-1,FALSE)</f>
        <v>0.12143325239415281</v>
      </c>
      <c r="M35" s="84">
        <f>VLOOKUP(M$12,'Colleteral Data'!$C:$AR,MATCH($D35,CurrentMtgRatesDataTable8252[#Headers],0)-1,FALSE)</f>
        <v>9.0356186620579731E-2</v>
      </c>
      <c r="N35" s="84">
        <f>VLOOKUP(N$12,'Colleteral Data'!$C:$AR,MATCH($D35,CurrentMtgRatesDataTable8252[#Headers],0)-1,FALSE)</f>
        <v>0.10830272892991177</v>
      </c>
      <c r="O35" s="84">
        <f>VLOOKUP(O$12,'Colleteral Data'!$C:$AR,MATCH($D35,CurrentMtgRatesDataTable8252[#Headers],0)-1,FALSE)</f>
        <v>8.6274967683093257E-2</v>
      </c>
      <c r="P35" s="84">
        <f>VLOOKUP(P$12,'Colleteral Data'!$C:$AR,MATCH($D35,CurrentMtgRatesDataTable8252[#Headers],0)-1,FALSE)</f>
        <v>0.11374942497898749</v>
      </c>
      <c r="Q35" s="84">
        <f>VLOOKUP(Q$12,'Colleteral Data'!$C:$AR,MATCH($D35,CurrentMtgRatesDataTable8252[#Headers],0)-1,FALSE)</f>
        <v>9.0906703591882299E-2</v>
      </c>
      <c r="R35" s="84">
        <f>VLOOKUP(R$12,'Colleteral Data'!$C:$AR,MATCH($D35,CurrentMtgRatesDataTable8252[#Headers],0)-1,FALSE)</f>
        <v>0.11595000336079435</v>
      </c>
      <c r="S35" s="84">
        <f>VLOOKUP(S$12,'Colleteral Data'!$C:$AR,MATCH($D35,CurrentMtgRatesDataTable8252[#Headers],0)-1,FALSE)</f>
        <v>9.0104538242101587E-2</v>
      </c>
      <c r="T35"/>
      <c r="U35"/>
      <c r="V35"/>
      <c r="W35"/>
      <c r="X35"/>
      <c r="Y35"/>
      <c r="Z35"/>
      <c r="AA35"/>
      <c r="AB35"/>
    </row>
    <row r="36" spans="1:28" s="10" customFormat="1" ht="16.5" customHeight="1">
      <c r="A36" s="27"/>
      <c r="B36" s="27"/>
      <c r="E36" s="87" t="s">
        <v>93</v>
      </c>
      <c r="F36" s="39"/>
      <c r="G36" s="39"/>
      <c r="H36" s="39"/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/>
      <c r="U36"/>
      <c r="V36"/>
      <c r="W36"/>
      <c r="X36"/>
      <c r="Y36"/>
      <c r="Z36"/>
      <c r="AA36"/>
      <c r="AB36"/>
    </row>
    <row r="37" spans="1:28" s="10" customFormat="1" ht="16.5" customHeight="1">
      <c r="A37" s="27"/>
      <c r="B37" s="27"/>
      <c r="D37" t="s">
        <v>52</v>
      </c>
      <c r="E37" s="34" t="s">
        <v>79</v>
      </c>
      <c r="F37" s="39">
        <f>VLOOKUP(F$12,'Colleteral Data'!$C:$AR,MATCH($D37,CurrentMtgRatesDataTable8252[#Headers],0)-1,FALSE)</f>
        <v>0.9969225337365003</v>
      </c>
      <c r="G37" s="39">
        <f>VLOOKUP(G$12,'Colleteral Data'!$C:$AR,MATCH($D37,CurrentMtgRatesDataTable8252[#Headers],0)-1,FALSE)</f>
        <v>0.99734126886290775</v>
      </c>
      <c r="H37" s="39">
        <f>VLOOKUP(H$12,'Colleteral Data'!$C:$AR,MATCH($D37,CurrentMtgRatesDataTable8252[#Headers],0)-1,FALSE)</f>
        <v>0.99751485453797994</v>
      </c>
      <c r="I37" s="39">
        <f>VLOOKUP(I$12,'Colleteral Data'!$C:$AR,MATCH($D37,CurrentMtgRatesDataTable8252[#Headers],0)-1,FALSE)</f>
        <v>0.99577728203778904</v>
      </c>
      <c r="J37" s="39">
        <f>VLOOKUP(J$12,'Colleteral Data'!$C:$AR,MATCH($D37,CurrentMtgRatesDataTable8252[#Headers],0)-1,FALSE)</f>
        <v>0.99706319677356647</v>
      </c>
      <c r="K37" s="39">
        <f>VLOOKUP(K$12,'Colleteral Data'!$C:$AR,MATCH($D37,CurrentMtgRatesDataTable8252[#Headers],0)-1,FALSE)</f>
        <v>0.99539584688353289</v>
      </c>
      <c r="L37" s="39">
        <f>VLOOKUP(L$12,'Colleteral Data'!$C:$AR,MATCH($D37,CurrentMtgRatesDataTable8252[#Headers],0)-1,FALSE)</f>
        <v>0.99661122969075511</v>
      </c>
      <c r="M37" s="39">
        <f>VLOOKUP(M$12,'Colleteral Data'!$C:$AR,MATCH($D37,CurrentMtgRatesDataTable8252[#Headers],0)-1,FALSE)</f>
        <v>0.99531085922926821</v>
      </c>
      <c r="N37" s="39">
        <f>VLOOKUP(N$12,'Colleteral Data'!$C:$AR,MATCH($D37,CurrentMtgRatesDataTable8252[#Headers],0)-1,FALSE)</f>
        <v>0.99624967774694184</v>
      </c>
      <c r="O37" s="39">
        <f>VLOOKUP(O$12,'Colleteral Data'!$C:$AR,MATCH($D37,CurrentMtgRatesDataTable8252[#Headers],0)-1,FALSE)</f>
        <v>0.9948510357448852</v>
      </c>
      <c r="P37" s="39">
        <f>VLOOKUP(P$12,'Colleteral Data'!$C:$AR,MATCH($D37,CurrentMtgRatesDataTable8252[#Headers],0)-1,FALSE)</f>
        <v>0.99590787916533774</v>
      </c>
      <c r="Q37" s="39">
        <f>VLOOKUP(Q$12,'Colleteral Data'!$C:$AR,MATCH($D37,CurrentMtgRatesDataTable8252[#Headers],0)-1,FALSE)</f>
        <v>0.99500425564432815</v>
      </c>
      <c r="R37" s="39">
        <f>VLOOKUP(R$12,'Colleteral Data'!$C:$AR,MATCH($D37,CurrentMtgRatesDataTable8252[#Headers],0)-1,FALSE)</f>
        <v>0.99677382978303941</v>
      </c>
      <c r="S37" s="39">
        <f>VLOOKUP(S$12,'Colleteral Data'!$C:$AR,MATCH($D37,CurrentMtgRatesDataTable8252[#Headers],0)-1,FALSE)</f>
        <v>0.99551176004366815</v>
      </c>
      <c r="T37"/>
      <c r="U37"/>
      <c r="V37"/>
      <c r="W37"/>
      <c r="X37"/>
      <c r="Y37"/>
      <c r="Z37"/>
      <c r="AA37"/>
      <c r="AB37"/>
    </row>
    <row r="38" spans="1:28" s="10" customFormat="1" ht="16.5" customHeight="1">
      <c r="A38" s="27"/>
      <c r="B38" s="27"/>
      <c r="D38" t="s">
        <v>53</v>
      </c>
      <c r="E38" s="34" t="s">
        <v>80</v>
      </c>
      <c r="F38" s="39">
        <f>VLOOKUP(F$12,'Colleteral Data'!$C:$AR,MATCH($D38,CurrentMtgRatesDataTable8252[#Headers],0)-1,FALSE)</f>
        <v>3.0774662634997477E-3</v>
      </c>
      <c r="G38" s="39">
        <f>VLOOKUP(G$12,'Colleteral Data'!$C:$AR,MATCH($D38,CurrentMtgRatesDataTable8252[#Headers],0)-1,FALSE)</f>
        <v>2.6587311370922912E-3</v>
      </c>
      <c r="H38" s="39">
        <f>VLOOKUP(H$12,'Colleteral Data'!$C:$AR,MATCH($D38,CurrentMtgRatesDataTable8252[#Headers],0)-1,FALSE)</f>
        <v>2.4851454620200427E-3</v>
      </c>
      <c r="I38" s="39">
        <f>VLOOKUP(I$12,'Colleteral Data'!$C:$AR,MATCH($D38,CurrentMtgRatesDataTable8252[#Headers],0)-1,FALSE)</f>
        <v>4.2227179622109749E-3</v>
      </c>
      <c r="J38" s="39">
        <f>VLOOKUP(J$12,'Colleteral Data'!$C:$AR,MATCH($D38,CurrentMtgRatesDataTable8252[#Headers],0)-1,FALSE)</f>
        <v>2.9368032264335568E-3</v>
      </c>
      <c r="K38" s="39">
        <f>VLOOKUP(K$12,'Colleteral Data'!$C:$AR,MATCH($D38,CurrentMtgRatesDataTable8252[#Headers],0)-1,FALSE)</f>
        <v>4.6041531164670779E-3</v>
      </c>
      <c r="L38" s="39">
        <f>VLOOKUP(L$12,'Colleteral Data'!$C:$AR,MATCH($D38,CurrentMtgRatesDataTable8252[#Headers],0)-1,FALSE)</f>
        <v>3.3887703092448855E-3</v>
      </c>
      <c r="M38" s="39">
        <f>VLOOKUP(M$12,'Colleteral Data'!$C:$AR,MATCH($D38,CurrentMtgRatesDataTable8252[#Headers],0)-1,FALSE)</f>
        <v>4.6891407707318443E-3</v>
      </c>
      <c r="N38" s="39">
        <f>VLOOKUP(N$12,'Colleteral Data'!$C:$AR,MATCH($D38,CurrentMtgRatesDataTable8252[#Headers],0)-1,FALSE)</f>
        <v>3.750322253058182E-3</v>
      </c>
      <c r="O38" s="39">
        <f>VLOOKUP(O$12,'Colleteral Data'!$C:$AR,MATCH($D38,CurrentMtgRatesDataTable8252[#Headers],0)-1,FALSE)</f>
        <v>5.1489642551148162E-3</v>
      </c>
      <c r="P38" s="39">
        <f>VLOOKUP(P$12,'Colleteral Data'!$C:$AR,MATCH($D38,CurrentMtgRatesDataTable8252[#Headers],0)-1,FALSE)</f>
        <v>4.0921208346622433E-3</v>
      </c>
      <c r="Q38" s="39">
        <f>VLOOKUP(Q$12,'Colleteral Data'!$C:$AR,MATCH($D38,CurrentMtgRatesDataTable8252[#Headers],0)-1,FALSE)</f>
        <v>4.995744355671872E-3</v>
      </c>
      <c r="R38" s="39">
        <f>VLOOKUP(R$12,'Colleteral Data'!$C:$AR,MATCH($D38,CurrentMtgRatesDataTable8252[#Headers],0)-1,FALSE)</f>
        <v>3.2261702169605333E-3</v>
      </c>
      <c r="S38" s="39">
        <f>VLOOKUP(S$12,'Colleteral Data'!$C:$AR,MATCH($D38,CurrentMtgRatesDataTable8252[#Headers],0)-1,FALSE)</f>
        <v>4.4882399563318416E-3</v>
      </c>
      <c r="T38"/>
      <c r="U38"/>
      <c r="V38"/>
      <c r="W38"/>
      <c r="X38"/>
      <c r="Y38"/>
      <c r="Z38"/>
      <c r="AA38"/>
      <c r="AB38"/>
    </row>
    <row r="39" spans="1:28" s="10" customFormat="1" ht="16.5" customHeight="1">
      <c r="A39" s="27"/>
      <c r="B39" s="27"/>
      <c r="D39" t="s">
        <v>54</v>
      </c>
      <c r="E39" s="34" t="s">
        <v>102</v>
      </c>
      <c r="F39" s="39">
        <f>VLOOKUP(F$12,'Colleteral Data'!$C:$AR,MATCH($D39,CurrentMtgRatesDataTable8252[#Headers],0)-1,FALSE)</f>
        <v>0.97280840445723626</v>
      </c>
      <c r="G39" s="39">
        <f>VLOOKUP(G$12,'Colleteral Data'!$C:$AR,MATCH($D39,CurrentMtgRatesDataTable8252[#Headers],0)-1,FALSE)</f>
        <v>0.9751451698910274</v>
      </c>
      <c r="H39" s="39">
        <f>VLOOKUP(H$12,'Colleteral Data'!$C:$AR,MATCH($D39,CurrentMtgRatesDataTable8252[#Headers],0)-1,FALSE)</f>
        <v>0.9797756826098174</v>
      </c>
      <c r="I39" s="39">
        <f>VLOOKUP(I$12,'Colleteral Data'!$C:$AR,MATCH($D39,CurrentMtgRatesDataTable8252[#Headers],0)-1,FALSE)</f>
        <v>0.97544940098340049</v>
      </c>
      <c r="J39" s="39">
        <f>VLOOKUP(J$12,'Colleteral Data'!$C:$AR,MATCH($D39,CurrentMtgRatesDataTable8252[#Headers],0)-1,FALSE)</f>
        <v>0.9791129529517667</v>
      </c>
      <c r="K39" s="39">
        <f>VLOOKUP(K$12,'Colleteral Data'!$C:$AR,MATCH($D39,CurrentMtgRatesDataTable8252[#Headers],0)-1,FALSE)</f>
        <v>0.97575480091562361</v>
      </c>
      <c r="L39" s="39">
        <f>VLOOKUP(L$12,'Colleteral Data'!$C:$AR,MATCH($D39,CurrentMtgRatesDataTable8252[#Headers],0)-1,FALSE)</f>
        <v>0.98196837620670696</v>
      </c>
      <c r="M39" s="39">
        <f>VLOOKUP(M$12,'Colleteral Data'!$C:$AR,MATCH($D39,CurrentMtgRatesDataTable8252[#Headers],0)-1,FALSE)</f>
        <v>0.97999862762529977</v>
      </c>
      <c r="N39" s="39">
        <f>VLOOKUP(N$12,'Colleteral Data'!$C:$AR,MATCH($D39,CurrentMtgRatesDataTable8252[#Headers],0)-1,FALSE)</f>
        <v>0.98231833599155249</v>
      </c>
      <c r="O39" s="39">
        <f>VLOOKUP(O$12,'Colleteral Data'!$C:$AR,MATCH($D39,CurrentMtgRatesDataTable8252[#Headers],0)-1,FALSE)</f>
        <v>0.98180526175697502</v>
      </c>
      <c r="P39" s="39">
        <f>VLOOKUP(P$12,'Colleteral Data'!$C:$AR,MATCH($D39,CurrentMtgRatesDataTable8252[#Headers],0)-1,FALSE)</f>
        <v>0.98790731862091075</v>
      </c>
      <c r="Q39" s="39">
        <f>VLOOKUP(Q$12,'Colleteral Data'!$C:$AR,MATCH($D39,CurrentMtgRatesDataTable8252[#Headers],0)-1,FALSE)</f>
        <v>0.98766585184808031</v>
      </c>
      <c r="R39" s="39">
        <f>VLOOKUP(R$12,'Colleteral Data'!$C:$AR,MATCH($D39,CurrentMtgRatesDataTable8252[#Headers],0)-1,FALSE)</f>
        <v>0.99373775823044186</v>
      </c>
      <c r="S39" s="39">
        <f>VLOOKUP(S$12,'Colleteral Data'!$C:$AR,MATCH($D39,CurrentMtgRatesDataTable8252[#Headers],0)-1,FALSE)</f>
        <v>0.99283933347190689</v>
      </c>
      <c r="T39"/>
      <c r="U39"/>
      <c r="V39"/>
      <c r="W39"/>
      <c r="X39"/>
      <c r="Y39"/>
      <c r="Z39"/>
      <c r="AA39"/>
      <c r="AB39"/>
    </row>
    <row r="40" spans="1:28" s="10" customFormat="1" ht="16.5" customHeight="1">
      <c r="A40" s="27"/>
      <c r="B40" s="27"/>
      <c r="D40" t="s">
        <v>55</v>
      </c>
      <c r="E40" s="34" t="s">
        <v>95</v>
      </c>
      <c r="F40" s="39">
        <f>VLOOKUP(F$12,'Colleteral Data'!$C:$AR,MATCH($D40,CurrentMtgRatesDataTable8252[#Headers],0)-1,FALSE)</f>
        <v>2.4114129279263954E-2</v>
      </c>
      <c r="G40" s="39">
        <f>VLOOKUP(G$12,'Colleteral Data'!$C:$AR,MATCH($D40,CurrentMtgRatesDataTable8252[#Headers],0)-1,FALSE)</f>
        <v>2.2196098971880313E-2</v>
      </c>
      <c r="H40" s="39">
        <f>VLOOKUP(H$12,'Colleteral Data'!$C:$AR,MATCH($D40,CurrentMtgRatesDataTable8252[#Headers],0)-1,FALSE)</f>
        <v>1.7739171928162566E-2</v>
      </c>
      <c r="I40" s="39">
        <f>VLOOKUP(I$12,'Colleteral Data'!$C:$AR,MATCH($D40,CurrentMtgRatesDataTable8252[#Headers],0)-1,FALSE)</f>
        <v>2.0327881054388517E-2</v>
      </c>
      <c r="J40" s="39">
        <f>VLOOKUP(J$12,'Colleteral Data'!$C:$AR,MATCH($D40,CurrentMtgRatesDataTable8252[#Headers],0)-1,FALSE)</f>
        <v>1.7950243821799713E-2</v>
      </c>
      <c r="K40" s="39">
        <f>VLOOKUP(K$12,'Colleteral Data'!$C:$AR,MATCH($D40,CurrentMtgRatesDataTable8252[#Headers],0)-1,FALSE)</f>
        <v>1.9641045967909353E-2</v>
      </c>
      <c r="L40" s="39">
        <f>VLOOKUP(L$12,'Colleteral Data'!$C:$AR,MATCH($D40,CurrentMtgRatesDataTable8252[#Headers],0)-1,FALSE)</f>
        <v>1.4642853484048124E-2</v>
      </c>
      <c r="M40" s="39">
        <f>VLOOKUP(M$12,'Colleteral Data'!$C:$AR,MATCH($D40,CurrentMtgRatesDataTable8252[#Headers],0)-1,FALSE)</f>
        <v>1.5312231603968336E-2</v>
      </c>
      <c r="N40" s="39">
        <f>VLOOKUP(N$12,'Colleteral Data'!$C:$AR,MATCH($D40,CurrentMtgRatesDataTable8252[#Headers],0)-1,FALSE)</f>
        <v>1.3931341755389333E-2</v>
      </c>
      <c r="O40" s="39">
        <f>VLOOKUP(O$12,'Colleteral Data'!$C:$AR,MATCH($D40,CurrentMtgRatesDataTable8252[#Headers],0)-1,FALSE)</f>
        <v>1.3045773987910137E-2</v>
      </c>
      <c r="P40" s="39">
        <f>VLOOKUP(P$12,'Colleteral Data'!$C:$AR,MATCH($D40,CurrentMtgRatesDataTable8252[#Headers],0)-1,FALSE)</f>
        <v>8.0005605444269726E-3</v>
      </c>
      <c r="Q40" s="39">
        <f>VLOOKUP(Q$12,'Colleteral Data'!$C:$AR,MATCH($D40,CurrentMtgRatesDataTable8252[#Headers],0)-1,FALSE)</f>
        <v>7.3384037962477599E-3</v>
      </c>
      <c r="R40" s="39">
        <f>VLOOKUP(R$12,'Colleteral Data'!$C:$AR,MATCH($D40,CurrentMtgRatesDataTable8252[#Headers],0)-1,FALSE)</f>
        <v>3.0360715525976599E-3</v>
      </c>
      <c r="S40" s="39">
        <f>VLOOKUP(S$12,'Colleteral Data'!$C:$AR,MATCH($D40,CurrentMtgRatesDataTable8252[#Headers],0)-1,FALSE)</f>
        <v>2.6724265717612975E-3</v>
      </c>
      <c r="T40"/>
      <c r="U40"/>
      <c r="V40"/>
      <c r="W40"/>
      <c r="X40"/>
      <c r="Y40"/>
      <c r="Z40"/>
      <c r="AA40"/>
      <c r="AB40"/>
    </row>
    <row r="41" spans="1:28" s="10" customFormat="1" ht="16.5" customHeight="1">
      <c r="A41" s="27"/>
      <c r="B41" s="27"/>
      <c r="D41" t="s">
        <v>56</v>
      </c>
      <c r="E41" s="34" t="s">
        <v>96</v>
      </c>
      <c r="F41" s="39">
        <f>VLOOKUP(F$12,'Colleteral Data'!$C:$AR,MATCH($D41,CurrentMtgRatesDataTable8252[#Headers],0)-1,FALSE)</f>
        <v>2.7796086390341652E-3</v>
      </c>
      <c r="G41" s="39">
        <f>VLOOKUP(G$12,'Colleteral Data'!$C:$AR,MATCH($D41,CurrentMtgRatesDataTable8252[#Headers],0)-1,FALSE)</f>
        <v>2.3858719273942277E-3</v>
      </c>
      <c r="H41" s="39">
        <f>VLOOKUP(H$12,'Colleteral Data'!$C:$AR,MATCH($D41,CurrentMtgRatesDataTable8252[#Headers],0)-1,FALSE)</f>
        <v>2.2631662952379223E-3</v>
      </c>
      <c r="I41" s="39">
        <f>VLOOKUP(I$12,'Colleteral Data'!$C:$AR,MATCH($D41,CurrentMtgRatesDataTable8252[#Headers],0)-1,FALSE)</f>
        <v>3.666272062657868E-3</v>
      </c>
      <c r="J41" s="39">
        <f>VLOOKUP(J$12,'Colleteral Data'!$C:$AR,MATCH($D41,CurrentMtgRatesDataTable8252[#Headers],0)-1,FALSE)</f>
        <v>2.6825488036252526E-3</v>
      </c>
      <c r="K41" s="39">
        <f>VLOOKUP(K$12,'Colleteral Data'!$C:$AR,MATCH($D41,CurrentMtgRatesDataTable8252[#Headers],0)-1,FALSE)</f>
        <v>3.9922767155521335E-3</v>
      </c>
      <c r="L41" s="39">
        <f>VLOOKUP(L$12,'Colleteral Data'!$C:$AR,MATCH($D41,CurrentMtgRatesDataTable8252[#Headers],0)-1,FALSE)</f>
        <v>3.0064697849933137E-3</v>
      </c>
      <c r="M41" s="39">
        <f>VLOOKUP(M$12,'Colleteral Data'!$C:$AR,MATCH($D41,CurrentMtgRatesDataTable8252[#Headers],0)-1,FALSE)</f>
        <v>4.0889497853599677E-3</v>
      </c>
      <c r="N41" s="39">
        <f>VLOOKUP(N$12,'Colleteral Data'!$C:$AR,MATCH($D41,CurrentMtgRatesDataTable8252[#Headers],0)-1,FALSE)</f>
        <v>3.3772738874103588E-3</v>
      </c>
      <c r="O41" s="39">
        <f>VLOOKUP(O$12,'Colleteral Data'!$C:$AR,MATCH($D41,CurrentMtgRatesDataTable8252[#Headers],0)-1,FALSE)</f>
        <v>4.4354742928662443E-3</v>
      </c>
      <c r="P41" s="39">
        <f>VLOOKUP(P$12,'Colleteral Data'!$C:$AR,MATCH($D41,CurrentMtgRatesDataTable8252[#Headers],0)-1,FALSE)</f>
        <v>3.8501231347204891E-3</v>
      </c>
      <c r="Q41" s="39">
        <f>VLOOKUP(Q$12,'Colleteral Data'!$C:$AR,MATCH($D41,CurrentMtgRatesDataTable8252[#Headers],0)-1,FALSE)</f>
        <v>4.4836603028767285E-3</v>
      </c>
      <c r="R41" s="39">
        <f>VLOOKUP(R$12,'Colleteral Data'!$C:$AR,MATCH($D41,CurrentMtgRatesDataTable8252[#Headers],0)-1,FALSE)</f>
        <v>3.1498939316007657E-3</v>
      </c>
      <c r="S41" s="39">
        <f>VLOOKUP(S$12,'Colleteral Data'!$C:$AR,MATCH($D41,CurrentMtgRatesDataTable8252[#Headers],0)-1,FALSE)</f>
        <v>4.2802284409003888E-3</v>
      </c>
      <c r="T41"/>
      <c r="U41"/>
      <c r="V41"/>
      <c r="W41"/>
      <c r="X41"/>
      <c r="Y41"/>
      <c r="Z41"/>
      <c r="AA41"/>
      <c r="AB41"/>
    </row>
    <row r="42" spans="1:28" ht="17.25" hidden="1" customHeight="1">
      <c r="A42" s="28"/>
      <c r="B42" s="28"/>
      <c r="D42" t="s">
        <v>57</v>
      </c>
      <c r="E42" s="34" t="s">
        <v>30</v>
      </c>
      <c r="F42" s="39">
        <f>VLOOKUP(F$9,'Colleteral Data'!$B:$AE,25,0)</f>
        <v>3.0774662634997477E-3</v>
      </c>
      <c r="G42" s="39">
        <v>2.3376657585846399E-4</v>
      </c>
      <c r="H42" s="39">
        <v>1.7949095982798801E-4</v>
      </c>
      <c r="I42" s="39">
        <v>3.0297486310089101E-4</v>
      </c>
      <c r="J42" s="39">
        <v>5.2744818488495004E-4</v>
      </c>
      <c r="K42" s="39">
        <v>4.1838795278117502E-4</v>
      </c>
      <c r="L42" s="39">
        <v>7.0756564162437999E-4</v>
      </c>
      <c r="M42" s="39">
        <v>5.06785179303878E-4</v>
      </c>
      <c r="N42" s="39">
        <v>8.2037433882238401E-4</v>
      </c>
      <c r="O42" s="39">
        <v>1.20989493466391E-4</v>
      </c>
      <c r="P42" s="39">
        <v>5.4205781812194099E-5</v>
      </c>
      <c r="Q42" s="39">
        <v>0</v>
      </c>
      <c r="R42" s="39">
        <v>0</v>
      </c>
      <c r="S42" s="39">
        <v>0</v>
      </c>
    </row>
    <row r="43" spans="1:28" ht="17.25" customHeight="1">
      <c r="A43" s="28"/>
      <c r="B43" s="28"/>
      <c r="E43" s="34" t="s">
        <v>97</v>
      </c>
      <c r="F43" s="39">
        <f>'Performance Report'!D39/100</f>
        <v>0.10251099999999999</v>
      </c>
      <c r="G43" s="39">
        <f>'Performance Report'!E39/100</f>
        <v>8.8055000000000008E-2</v>
      </c>
      <c r="H43" s="39">
        <f>'Performance Report'!F39/100</f>
        <v>8.3887000000000003E-2</v>
      </c>
      <c r="I43" s="39">
        <f>'Performance Report'!G39/100</f>
        <v>0.10001500000000001</v>
      </c>
      <c r="J43" s="39">
        <f>'Performance Report'!H39/100</f>
        <v>9.3058999999999989E-2</v>
      </c>
      <c r="K43" s="39">
        <f>'Performance Report'!I39/100</f>
        <v>0.10863099999999999</v>
      </c>
      <c r="L43" s="39">
        <f>'Performance Report'!J39/100</f>
        <v>0.10828400000000001</v>
      </c>
      <c r="M43" s="39">
        <f>'Performance Report'!K39/100</f>
        <v>0.13007199999999999</v>
      </c>
      <c r="N43" s="39">
        <f>'Performance Report'!L39/100</f>
        <v>0.158419</v>
      </c>
      <c r="O43" s="39">
        <f>'Performance Report'!M39/100</f>
        <v>0.17035599999999998</v>
      </c>
      <c r="P43" s="39">
        <f>'Performance Report'!N39/100</f>
        <v>0.15742900000000001</v>
      </c>
      <c r="Q43" s="39">
        <f>'Performance Report'!Q39/100</f>
        <v>0.119728</v>
      </c>
      <c r="R43" s="39">
        <f>'Performance Report'!R39/100</f>
        <v>0.119728</v>
      </c>
      <c r="S43" s="39">
        <f>'Performance Report'!S39/100</f>
        <v>0</v>
      </c>
    </row>
    <row r="44" spans="1:28" ht="17.25" customHeight="1">
      <c r="A44" s="28"/>
      <c r="B44" s="28"/>
      <c r="E44" s="34" t="s">
        <v>98</v>
      </c>
      <c r="F44" s="39">
        <f>'Performance Report'!V39/100</f>
        <v>3.4E-5</v>
      </c>
      <c r="G44" s="39">
        <f>'Performance Report'!W39/100</f>
        <v>5.3300000000000005E-4</v>
      </c>
      <c r="H44" s="39">
        <f>'Performance Report'!X39/100</f>
        <v>3.2399999999999996E-4</v>
      </c>
      <c r="I44" s="39">
        <f>'Performance Report'!Y39/100</f>
        <v>5.1699999999999999E-4</v>
      </c>
      <c r="J44" s="39">
        <f>'Performance Report'!Z39/100</f>
        <v>5.62E-4</v>
      </c>
      <c r="K44" s="39">
        <f>'Performance Report'!AA39/100</f>
        <v>1.2019999999999999E-3</v>
      </c>
      <c r="L44" s="39">
        <f>'Performance Report'!AB39/100</f>
        <v>3.7500000000000001E-4</v>
      </c>
      <c r="M44" s="39">
        <f>'Performance Report'!AC39/100</f>
        <v>4.0899999999999997E-4</v>
      </c>
      <c r="N44" s="39">
        <f>'Performance Report'!AD39/100</f>
        <v>6.8000000000000005E-4</v>
      </c>
      <c r="O44" s="39">
        <f>'Performance Report'!AE39/100</f>
        <v>6.2100000000000002E-4</v>
      </c>
      <c r="P44" s="39">
        <f>'Performance Report'!AF39/100</f>
        <v>0</v>
      </c>
      <c r="Q44" s="39">
        <f>'Performance Report'!AI39/100</f>
        <v>0</v>
      </c>
      <c r="R44" s="39">
        <f>'Performance Report'!AJ39/100</f>
        <v>0</v>
      </c>
      <c r="S44" s="39">
        <f>'Performance Report'!AK39/100</f>
        <v>0</v>
      </c>
    </row>
    <row r="45" spans="1:28" ht="17.25" customHeight="1">
      <c r="A45" s="28"/>
      <c r="B45" s="28"/>
      <c r="E45" s="85" t="s">
        <v>86</v>
      </c>
      <c r="F45" s="40">
        <f>'Performance Report'!D68/100</f>
        <v>8.9999999999999998E-4</v>
      </c>
      <c r="G45" s="40">
        <f>'Performance Report'!E68/100</f>
        <v>5.0000000000000001E-4</v>
      </c>
      <c r="H45" s="40">
        <f>'Performance Report'!F68/100</f>
        <v>2.9999999999999997E-4</v>
      </c>
      <c r="I45" s="40">
        <f>'Performance Report'!G68/100</f>
        <v>6.9999999999999988E-4</v>
      </c>
      <c r="J45" s="40">
        <f>'Performance Report'!H68/100</f>
        <v>2.9999999999999997E-4</v>
      </c>
      <c r="K45" s="40">
        <f>'Performance Report'!I68/100</f>
        <v>6.9999999999999988E-4</v>
      </c>
      <c r="L45" s="40">
        <f>'Performance Report'!J68/100</f>
        <v>1E-4</v>
      </c>
      <c r="M45" s="40">
        <f>'Performance Report'!K68/100</f>
        <v>2.0000000000000001E-4</v>
      </c>
      <c r="N45" s="40">
        <f>'Performance Report'!L68/100</f>
        <v>1E-4</v>
      </c>
      <c r="O45" s="40">
        <f>'Performance Report'!M68/100</f>
        <v>1E-4</v>
      </c>
      <c r="P45" s="40">
        <f>'Performance Report'!N68/100</f>
        <v>0</v>
      </c>
      <c r="Q45" s="40">
        <f>'Performance Report'!Q68/100</f>
        <v>0</v>
      </c>
      <c r="R45" s="40">
        <f>'Performance Report'!R68/100</f>
        <v>0</v>
      </c>
      <c r="S45" s="40">
        <f>'Performance Report'!S68/100</f>
        <v>0</v>
      </c>
    </row>
    <row r="46" spans="1:28" ht="17.25" customHeight="1">
      <c r="A46" s="28"/>
      <c r="B46" s="28"/>
      <c r="E46" s="88" t="s">
        <v>99</v>
      </c>
    </row>
    <row r="47" spans="1:28" ht="17.25" customHeight="1">
      <c r="A47" s="28"/>
      <c r="B47" s="28"/>
      <c r="E47" s="88" t="s">
        <v>100</v>
      </c>
    </row>
    <row r="48" spans="1:28" ht="17.25" customHeight="1">
      <c r="A48" s="28"/>
      <c r="B48" s="28"/>
      <c r="E48" s="88" t="s">
        <v>101</v>
      </c>
    </row>
    <row r="49" spans="1:28" ht="17.25" hidden="1" customHeight="1">
      <c r="A49" s="28"/>
      <c r="B49" s="28"/>
    </row>
    <row r="50" spans="1:28" s="3" customFormat="1" ht="16.5" customHeight="1">
      <c r="A50" s="29"/>
      <c r="B50" s="29"/>
      <c r="E50"/>
      <c r="F50" s="35"/>
      <c r="G50" s="35"/>
      <c r="H50" s="35"/>
      <c r="I50" s="35"/>
      <c r="J50" s="35"/>
      <c r="K50" s="35"/>
      <c r="L50" s="35"/>
      <c r="M50" s="35"/>
      <c r="N50" s="35"/>
      <c r="O50" s="35"/>
      <c r="P50" s="35"/>
      <c r="Q50" s="35"/>
      <c r="R50" s="35"/>
      <c r="S50" s="35"/>
      <c r="T50"/>
      <c r="U50"/>
      <c r="V50"/>
      <c r="W50"/>
      <c r="X50"/>
      <c r="Y50"/>
      <c r="Z50"/>
      <c r="AA50"/>
      <c r="AB50"/>
    </row>
    <row r="51" spans="1:28" s="10" customFormat="1" ht="16.5" customHeight="1">
      <c r="A51" s="27"/>
      <c r="B51" s="27"/>
      <c r="E51"/>
      <c r="F51" s="35"/>
      <c r="G51" s="35"/>
      <c r="H51" s="35"/>
      <c r="I51" s="35"/>
      <c r="J51" s="35"/>
      <c r="K51" s="35"/>
      <c r="L51" s="35"/>
      <c r="M51" s="35"/>
      <c r="N51" s="35"/>
      <c r="O51" s="35"/>
      <c r="P51" s="35"/>
      <c r="Q51" s="35"/>
      <c r="R51" s="35"/>
      <c r="S51" s="35"/>
      <c r="T51"/>
      <c r="U51"/>
      <c r="V51"/>
      <c r="W51"/>
      <c r="X51"/>
      <c r="Y51"/>
      <c r="Z51"/>
      <c r="AA51"/>
      <c r="AB51"/>
    </row>
    <row r="52" spans="1:28" s="10" customFormat="1" ht="16.5" customHeight="1">
      <c r="A52" s="27"/>
      <c r="B52" s="27"/>
      <c r="E52"/>
      <c r="F52" s="35"/>
      <c r="G52" s="35"/>
      <c r="H52" s="35"/>
      <c r="I52" s="35"/>
      <c r="J52" s="35"/>
      <c r="K52" s="35"/>
      <c r="L52" s="35"/>
      <c r="M52" s="35"/>
      <c r="N52" s="35"/>
      <c r="O52" s="35"/>
      <c r="P52" s="35"/>
      <c r="Q52" s="35"/>
      <c r="R52" s="35"/>
      <c r="S52" s="35"/>
      <c r="T52"/>
      <c r="U52"/>
      <c r="V52"/>
      <c r="W52"/>
      <c r="X52"/>
      <c r="Y52"/>
      <c r="Z52"/>
      <c r="AA52"/>
      <c r="AB52"/>
    </row>
    <row r="53" spans="1:28" s="10" customFormat="1" ht="16.5" customHeight="1">
      <c r="A53" s="27"/>
      <c r="B53" s="27"/>
      <c r="E53"/>
      <c r="F53" s="35"/>
      <c r="G53" s="35"/>
      <c r="H53" s="35"/>
      <c r="I53" s="35"/>
      <c r="J53" s="35"/>
      <c r="K53" s="35"/>
      <c r="L53" s="35"/>
      <c r="M53" s="35"/>
      <c r="N53" s="35"/>
      <c r="O53" s="35"/>
      <c r="P53" s="35"/>
      <c r="Q53" s="35"/>
      <c r="R53" s="35"/>
      <c r="S53" s="35"/>
      <c r="T53"/>
      <c r="U53"/>
      <c r="V53"/>
      <c r="W53"/>
      <c r="X53"/>
      <c r="Y53"/>
      <c r="Z53"/>
      <c r="AA53"/>
      <c r="AB53"/>
    </row>
    <row r="54" spans="1:28" s="10" customFormat="1" ht="16.5" customHeight="1">
      <c r="A54" s="27"/>
      <c r="B54" s="27"/>
      <c r="E54"/>
      <c r="F54" s="35"/>
      <c r="G54" s="35"/>
      <c r="H54" s="35"/>
      <c r="I54" s="35"/>
      <c r="J54" s="35"/>
      <c r="K54" s="35"/>
      <c r="L54" s="35"/>
      <c r="M54" s="35"/>
      <c r="N54" s="35"/>
      <c r="O54" s="35"/>
      <c r="P54" s="35"/>
      <c r="Q54" s="35"/>
      <c r="R54" s="35"/>
      <c r="S54" s="35"/>
      <c r="T54"/>
      <c r="U54"/>
      <c r="V54"/>
      <c r="W54"/>
      <c r="X54"/>
      <c r="Y54"/>
      <c r="Z54"/>
      <c r="AA54"/>
      <c r="AB54"/>
    </row>
    <row r="55" spans="1:28" s="10" customFormat="1" ht="16.5" customHeight="1">
      <c r="A55" s="27"/>
      <c r="B55" s="27"/>
      <c r="E55"/>
      <c r="F55" s="35"/>
      <c r="G55" s="35"/>
      <c r="H55" s="35"/>
      <c r="I55" s="35"/>
      <c r="J55" s="35"/>
      <c r="K55" s="35"/>
      <c r="L55" s="35"/>
      <c r="M55" s="35"/>
      <c r="N55" s="35"/>
      <c r="O55" s="35"/>
      <c r="P55" s="35"/>
      <c r="Q55" s="35"/>
      <c r="R55" s="35"/>
      <c r="S55" s="35"/>
      <c r="T55"/>
      <c r="U55"/>
      <c r="V55"/>
      <c r="W55"/>
      <c r="X55"/>
      <c r="Y55"/>
      <c r="Z55"/>
      <c r="AA55"/>
      <c r="AB55"/>
    </row>
    <row r="56" spans="1:28" s="10" customFormat="1" ht="16.5" customHeight="1">
      <c r="A56" s="27"/>
      <c r="B56" s="27"/>
      <c r="E56"/>
      <c r="F56" s="35"/>
      <c r="G56" s="35"/>
      <c r="H56" s="35"/>
      <c r="I56" s="35"/>
      <c r="J56" s="35"/>
      <c r="K56" s="35"/>
      <c r="L56" s="35"/>
      <c r="M56" s="35"/>
      <c r="N56" s="35"/>
      <c r="O56" s="35"/>
      <c r="P56" s="35"/>
      <c r="Q56" s="35"/>
      <c r="R56" s="35"/>
      <c r="S56" s="35"/>
      <c r="T56"/>
      <c r="U56"/>
      <c r="V56"/>
      <c r="W56"/>
      <c r="X56"/>
      <c r="Y56"/>
      <c r="Z56"/>
      <c r="AA56"/>
      <c r="AB56"/>
    </row>
    <row r="57" spans="1:28" s="10" customFormat="1" ht="16.5" customHeight="1">
      <c r="A57" s="27"/>
      <c r="B57" s="27"/>
      <c r="E57"/>
      <c r="F57" s="35"/>
      <c r="G57" s="35"/>
      <c r="H57" s="35"/>
      <c r="I57" s="35"/>
      <c r="J57" s="35"/>
      <c r="K57" s="35"/>
      <c r="L57" s="35"/>
      <c r="M57" s="35"/>
      <c r="N57" s="35"/>
      <c r="O57" s="35"/>
      <c r="P57" s="35"/>
      <c r="Q57" s="35"/>
      <c r="R57" s="35"/>
      <c r="S57" s="35"/>
      <c r="T57"/>
      <c r="U57"/>
      <c r="V57"/>
      <c r="W57"/>
      <c r="X57"/>
      <c r="Y57"/>
      <c r="Z57"/>
      <c r="AA57"/>
      <c r="AB57"/>
    </row>
    <row r="58" spans="1:28" s="10" customFormat="1" ht="16.5" customHeight="1">
      <c r="A58" s="27"/>
      <c r="B58" s="27"/>
      <c r="E58"/>
      <c r="F58" s="35"/>
      <c r="G58" s="35"/>
      <c r="H58" s="35"/>
      <c r="I58" s="35"/>
      <c r="J58" s="35"/>
      <c r="K58" s="35"/>
      <c r="L58" s="35"/>
      <c r="M58" s="35"/>
      <c r="N58" s="35"/>
      <c r="O58" s="35"/>
      <c r="P58" s="35"/>
      <c r="Q58" s="35"/>
      <c r="R58" s="35"/>
      <c r="S58" s="35"/>
      <c r="T58"/>
      <c r="U58"/>
      <c r="V58"/>
      <c r="W58"/>
      <c r="X58"/>
      <c r="Y58"/>
      <c r="Z58"/>
      <c r="AA58"/>
      <c r="AB58"/>
    </row>
    <row r="59" spans="1:28" s="10" customFormat="1" ht="16.5" customHeight="1">
      <c r="A59" s="27"/>
      <c r="B59" s="27"/>
      <c r="E59"/>
      <c r="F59" s="35"/>
      <c r="G59" s="35"/>
      <c r="H59" s="35"/>
      <c r="I59" s="35"/>
      <c r="J59" s="35"/>
      <c r="K59" s="35"/>
      <c r="L59" s="35"/>
      <c r="M59" s="35"/>
      <c r="N59" s="35"/>
      <c r="O59" s="35"/>
      <c r="P59" s="35"/>
      <c r="Q59" s="35"/>
      <c r="R59" s="35"/>
      <c r="S59" s="35"/>
      <c r="T59"/>
      <c r="U59"/>
      <c r="V59"/>
      <c r="W59"/>
      <c r="X59"/>
      <c r="Y59"/>
      <c r="Z59"/>
      <c r="AA59"/>
      <c r="AB59"/>
    </row>
    <row r="60" spans="1:28" s="10" customFormat="1" ht="16.5" customHeight="1">
      <c r="A60" s="27"/>
      <c r="B60" s="27"/>
      <c r="E60"/>
      <c r="F60" s="35"/>
      <c r="G60" s="35"/>
      <c r="H60" s="35"/>
      <c r="I60" s="35"/>
      <c r="J60" s="35"/>
      <c r="K60" s="35"/>
      <c r="L60" s="35"/>
      <c r="M60" s="35"/>
      <c r="N60" s="35"/>
      <c r="O60" s="35"/>
      <c r="P60" s="35"/>
      <c r="Q60" s="35"/>
      <c r="R60" s="35"/>
      <c r="S60" s="35"/>
      <c r="T60"/>
      <c r="U60"/>
      <c r="V60"/>
      <c r="W60"/>
      <c r="X60"/>
      <c r="Y60"/>
      <c r="Z60"/>
      <c r="AA60"/>
      <c r="AB60"/>
    </row>
    <row r="61" spans="1:28" s="10" customFormat="1" ht="16.5" customHeight="1">
      <c r="A61" s="27"/>
      <c r="B61" s="27"/>
      <c r="E61"/>
      <c r="F61" s="35"/>
      <c r="G61" s="35"/>
      <c r="H61" s="35"/>
      <c r="I61" s="35"/>
      <c r="J61" s="35"/>
      <c r="K61" s="35"/>
      <c r="L61" s="35"/>
      <c r="M61" s="35"/>
      <c r="N61" s="35"/>
      <c r="O61" s="35"/>
      <c r="P61" s="35"/>
      <c r="Q61" s="35"/>
      <c r="R61" s="35"/>
      <c r="S61" s="35"/>
      <c r="T61"/>
      <c r="U61"/>
      <c r="V61"/>
      <c r="W61"/>
      <c r="X61"/>
      <c r="Y61"/>
      <c r="Z61"/>
      <c r="AA61"/>
      <c r="AB61"/>
    </row>
    <row r="62" spans="1:28" s="10" customFormat="1" ht="16.5" customHeight="1">
      <c r="A62" s="27"/>
      <c r="B62" s="27"/>
      <c r="E62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35"/>
      <c r="S62" s="35"/>
      <c r="T62"/>
      <c r="U62"/>
      <c r="V62"/>
      <c r="W62"/>
      <c r="X62"/>
      <c r="Y62"/>
      <c r="Z62"/>
      <c r="AA62"/>
      <c r="AB62"/>
    </row>
    <row r="63" spans="1:28" s="10" customFormat="1" ht="16.5" customHeight="1">
      <c r="A63" s="27"/>
      <c r="B63" s="27"/>
      <c r="E63"/>
      <c r="F63" s="35"/>
      <c r="G63" s="35"/>
      <c r="H63" s="35"/>
      <c r="I63" s="35"/>
      <c r="J63" s="35"/>
      <c r="K63" s="35"/>
      <c r="L63" s="35"/>
      <c r="M63" s="35"/>
      <c r="N63" s="35"/>
      <c r="O63" s="35"/>
      <c r="P63" s="35"/>
      <c r="Q63" s="35"/>
      <c r="R63" s="35"/>
      <c r="S63" s="35"/>
      <c r="T63"/>
      <c r="U63"/>
      <c r="V63"/>
      <c r="W63"/>
      <c r="X63"/>
      <c r="Y63"/>
      <c r="Z63"/>
      <c r="AA63"/>
      <c r="AB63"/>
    </row>
    <row r="64" spans="1:28" s="10" customFormat="1" ht="16.5" customHeight="1">
      <c r="A64" s="27"/>
      <c r="B64" s="27"/>
      <c r="E64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/>
      <c r="U64"/>
      <c r="V64"/>
      <c r="W64"/>
      <c r="X64"/>
      <c r="Y64"/>
      <c r="Z64"/>
      <c r="AA64"/>
      <c r="AB64"/>
    </row>
    <row r="65" spans="1:28" s="10" customFormat="1" ht="16.5" customHeight="1">
      <c r="A65" s="27"/>
      <c r="B65" s="27"/>
      <c r="E65"/>
      <c r="F65" s="35"/>
      <c r="G65" s="35"/>
      <c r="H65" s="35"/>
      <c r="I65" s="35"/>
      <c r="J65" s="35"/>
      <c r="K65" s="35"/>
      <c r="L65" s="35"/>
      <c r="M65" s="35"/>
      <c r="N65" s="35"/>
      <c r="O65" s="35"/>
      <c r="P65" s="35"/>
      <c r="Q65" s="35"/>
      <c r="R65" s="35"/>
      <c r="S65" s="35"/>
      <c r="T65"/>
      <c r="U65"/>
      <c r="V65"/>
      <c r="W65"/>
      <c r="X65"/>
      <c r="Y65"/>
      <c r="Z65"/>
      <c r="AA65"/>
      <c r="AB65"/>
    </row>
    <row r="66" spans="1:28" s="10" customFormat="1" ht="16.5" customHeight="1">
      <c r="A66" s="27"/>
      <c r="B66" s="27"/>
      <c r="E66"/>
      <c r="F66" s="35"/>
      <c r="G66" s="35"/>
      <c r="H66" s="35"/>
      <c r="I66" s="35"/>
      <c r="J66" s="35"/>
      <c r="K66" s="35"/>
      <c r="L66" s="35"/>
      <c r="M66" s="35"/>
      <c r="N66" s="35"/>
      <c r="O66" s="35"/>
      <c r="P66" s="35"/>
      <c r="Q66" s="35"/>
      <c r="R66" s="35"/>
      <c r="S66" s="35"/>
      <c r="T66"/>
      <c r="U66"/>
      <c r="V66"/>
      <c r="W66"/>
      <c r="X66"/>
      <c r="Y66"/>
      <c r="Z66"/>
      <c r="AA66"/>
      <c r="AB66"/>
    </row>
    <row r="67" spans="1:28" s="10" customFormat="1" ht="16.5" customHeight="1">
      <c r="A67" s="27"/>
      <c r="B67" s="27"/>
      <c r="E67"/>
      <c r="F67" s="35"/>
      <c r="G67" s="35"/>
      <c r="H67" s="35"/>
      <c r="I67" s="23"/>
      <c r="J67" s="35"/>
      <c r="K67" s="35"/>
      <c r="L67" s="35"/>
      <c r="M67" s="35"/>
      <c r="N67" s="35"/>
      <c r="O67" s="35"/>
      <c r="P67" s="35"/>
      <c r="Q67" s="35"/>
      <c r="R67" s="35"/>
      <c r="S67" s="35"/>
      <c r="T67"/>
      <c r="U67"/>
      <c r="V67"/>
      <c r="W67"/>
      <c r="X67"/>
      <c r="Y67"/>
      <c r="Z67"/>
      <c r="AA67"/>
      <c r="AB67"/>
    </row>
    <row r="68" spans="1:28" s="10" customFormat="1" ht="16.5" customHeight="1">
      <c r="A68" s="27"/>
      <c r="B68" s="27"/>
      <c r="E68"/>
      <c r="F68" s="35"/>
      <c r="G68" s="35"/>
      <c r="H68" s="35"/>
      <c r="I68" s="35"/>
      <c r="J68" s="35"/>
      <c r="K68" s="35"/>
      <c r="L68" s="35"/>
      <c r="M68" s="35"/>
      <c r="N68" s="35"/>
      <c r="O68" s="35"/>
      <c r="P68" s="35"/>
      <c r="Q68" s="35"/>
      <c r="R68" s="35"/>
      <c r="S68" s="35"/>
      <c r="T68"/>
      <c r="U68"/>
      <c r="V68"/>
      <c r="W68"/>
      <c r="X68"/>
      <c r="Y68"/>
      <c r="Z68"/>
      <c r="AA68"/>
      <c r="AB68"/>
    </row>
    <row r="69" spans="1:28" s="10" customFormat="1" ht="16.5" customHeight="1">
      <c r="A69" s="27"/>
      <c r="B69" s="27"/>
      <c r="E69"/>
      <c r="F69" s="35"/>
      <c r="G69" s="35"/>
      <c r="H69" s="35"/>
      <c r="I69" s="35"/>
      <c r="J69" s="35"/>
      <c r="K69" s="35"/>
      <c r="L69" s="35"/>
      <c r="M69" s="35"/>
      <c r="N69" s="35"/>
      <c r="O69" s="35"/>
      <c r="P69" s="35"/>
      <c r="Q69" s="35"/>
      <c r="R69" s="35"/>
      <c r="S69" s="35"/>
      <c r="T69"/>
      <c r="U69"/>
      <c r="V69"/>
      <c r="W69"/>
      <c r="X69"/>
      <c r="Y69"/>
      <c r="Z69"/>
      <c r="AA69"/>
      <c r="AB69"/>
    </row>
    <row r="70" spans="1:28" s="10" customFormat="1" ht="16.5" customHeight="1">
      <c r="A70" s="27"/>
      <c r="B70" s="27"/>
      <c r="E70"/>
      <c r="F70" s="35"/>
      <c r="G70" s="35"/>
      <c r="H70" s="35"/>
      <c r="I70" s="35"/>
      <c r="J70" s="35"/>
      <c r="K70" s="35"/>
      <c r="L70" s="35"/>
      <c r="M70" s="35"/>
      <c r="N70" s="35"/>
      <c r="O70" s="35"/>
      <c r="P70" s="35"/>
      <c r="Q70" s="35"/>
      <c r="R70" s="35"/>
      <c r="S70" s="35"/>
      <c r="T70"/>
      <c r="U70"/>
      <c r="V70"/>
      <c r="W70"/>
      <c r="X70"/>
      <c r="Y70"/>
      <c r="Z70"/>
      <c r="AA70"/>
      <c r="AB70"/>
    </row>
    <row r="71" spans="1:28" s="10" customFormat="1" ht="16.5" customHeight="1">
      <c r="A71" s="27"/>
      <c r="B71" s="27"/>
      <c r="E71"/>
      <c r="F71" s="35"/>
      <c r="G71" s="35"/>
      <c r="H71" s="35"/>
      <c r="I71" s="35"/>
      <c r="J71" s="35"/>
      <c r="K71" s="35"/>
      <c r="L71" s="35"/>
      <c r="M71" s="35"/>
      <c r="N71" s="35"/>
      <c r="O71" s="35"/>
      <c r="P71" s="35"/>
      <c r="Q71" s="35"/>
      <c r="R71" s="35"/>
      <c r="S71" s="35"/>
      <c r="T71"/>
      <c r="U71"/>
      <c r="V71"/>
      <c r="W71"/>
      <c r="X71"/>
      <c r="Y71"/>
      <c r="Z71"/>
      <c r="AA71"/>
      <c r="AB71"/>
    </row>
    <row r="72" spans="1:28" s="10" customFormat="1" ht="16.5" customHeight="1">
      <c r="A72" s="22"/>
      <c r="B72" s="22"/>
      <c r="E72"/>
      <c r="F72" s="35"/>
      <c r="G72" s="35"/>
      <c r="H72" s="35"/>
      <c r="I72" s="35"/>
      <c r="J72" s="35"/>
      <c r="K72" s="35"/>
      <c r="L72" s="35"/>
      <c r="M72" s="35"/>
      <c r="N72" s="35"/>
      <c r="O72" s="35"/>
      <c r="P72" s="35"/>
      <c r="Q72" s="35"/>
      <c r="R72" s="35"/>
      <c r="S72" s="35"/>
      <c r="T72"/>
      <c r="U72"/>
      <c r="V72"/>
      <c r="W72"/>
      <c r="X72"/>
      <c r="Y72"/>
      <c r="Z72"/>
      <c r="AA72"/>
      <c r="AB72"/>
    </row>
    <row r="73" spans="1:28" s="10" customFormat="1" ht="16.5" customHeight="1">
      <c r="A73" s="22"/>
      <c r="B73" s="22"/>
      <c r="E73"/>
      <c r="F73" s="35"/>
      <c r="G73" s="35"/>
      <c r="H73" s="35"/>
      <c r="I73" s="35"/>
      <c r="J73" s="35"/>
      <c r="K73" s="35"/>
      <c r="L73" s="35"/>
      <c r="M73" s="35"/>
      <c r="N73" s="35"/>
      <c r="O73" s="35"/>
      <c r="P73" s="35"/>
      <c r="Q73" s="35"/>
      <c r="R73" s="35"/>
      <c r="S73" s="35"/>
      <c r="T73"/>
      <c r="U73"/>
      <c r="V73"/>
      <c r="W73"/>
      <c r="X73"/>
      <c r="Y73"/>
      <c r="Z73"/>
      <c r="AA73"/>
      <c r="AB73"/>
    </row>
    <row r="74" spans="1:28" s="10" customFormat="1" ht="16.5" customHeight="1">
      <c r="A74" s="22"/>
      <c r="B74" s="22"/>
      <c r="E74"/>
      <c r="F74" s="35"/>
      <c r="G74" s="35"/>
      <c r="H74" s="35"/>
      <c r="I74" s="35"/>
      <c r="J74" s="35"/>
      <c r="K74" s="35"/>
      <c r="L74" s="35"/>
      <c r="M74" s="35"/>
      <c r="N74" s="35"/>
      <c r="O74" s="35"/>
      <c r="P74" s="35"/>
      <c r="Q74" s="35"/>
      <c r="R74" s="35"/>
      <c r="S74" s="35"/>
      <c r="T74"/>
      <c r="U74"/>
      <c r="V74"/>
      <c r="W74"/>
      <c r="X74"/>
      <c r="Y74"/>
      <c r="Z74"/>
      <c r="AA74"/>
      <c r="AB74"/>
    </row>
    <row r="75" spans="1:28" hidden="1">
      <c r="E75" s="5"/>
      <c r="F75" s="37">
        <v>1E-3</v>
      </c>
      <c r="G75" s="37">
        <v>1E-3</v>
      </c>
      <c r="H75" s="37">
        <v>1E-3</v>
      </c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9"/>
      <c r="U75" s="9">
        <v>0.01</v>
      </c>
      <c r="V75" s="9"/>
      <c r="W75" s="9"/>
      <c r="X75" s="9"/>
    </row>
    <row r="76" spans="1:28">
      <c r="E76" s="5"/>
      <c r="F76" s="37"/>
      <c r="G76" s="37"/>
      <c r="H76" s="37"/>
      <c r="I76" s="37"/>
      <c r="J76" s="37"/>
      <c r="K76" s="37"/>
      <c r="L76" s="37"/>
      <c r="M76" s="37"/>
      <c r="N76" s="37"/>
      <c r="O76" s="37"/>
      <c r="P76" s="37"/>
      <c r="Q76" s="37"/>
      <c r="R76" s="37"/>
      <c r="S76" s="37"/>
      <c r="T76" s="9"/>
      <c r="U76" s="9"/>
      <c r="V76" s="9"/>
      <c r="W76" s="9"/>
      <c r="X76" s="9"/>
    </row>
  </sheetData>
  <pageMargins left="0.25" right="0.25" top="0.255" bottom="0.25" header="0.1" footer="0.1"/>
  <pageSetup scale="77" orientation="landscape" horizontalDpi="300" verticalDpi="300" r:id="rId1"/>
  <headerFooter scaleWithDoc="0">
    <oddHeader>&amp;L&amp;G&amp;R&amp;"-,Bold"&amp;10&amp;K2E398A
&amp;C&amp;"-,Bold"&amp;15&amp;K2E398A
Deal Collateral Summary: 8/2015</oddHeader>
    <oddFooter xml:space="preserve">&amp;L&amp;10&amp;K2E398AReport created on &amp;D &amp;T&amp;C&amp;G
</oddFooter>
  </headerFooter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0.59999389629810485"/>
    <pageSetUpPr fitToPage="1"/>
  </sheetPr>
  <dimension ref="B1:AW70"/>
  <sheetViews>
    <sheetView showGridLines="0" tabSelected="1" topLeftCell="A4" zoomScale="70" zoomScaleNormal="70" workbookViewId="0">
      <selection activeCell="AM56" sqref="AM56"/>
    </sheetView>
  </sheetViews>
  <sheetFormatPr defaultRowHeight="15"/>
  <cols>
    <col min="1" max="1" width="9.140625" style="52" customWidth="1"/>
    <col min="2" max="2" width="9.140625" style="52"/>
    <col min="3" max="3" width="16.42578125" style="52" customWidth="1"/>
    <col min="4" max="17" width="11" style="52" customWidth="1"/>
    <col min="18" max="18" width="11" style="52" hidden="1" customWidth="1"/>
    <col min="19" max="20" width="2.85546875" style="52" customWidth="1"/>
    <col min="21" max="21" width="15.140625" style="52" customWidth="1"/>
    <col min="22" max="35" width="11" style="52" customWidth="1"/>
    <col min="36" max="36" width="11" style="52" hidden="1" customWidth="1"/>
    <col min="37" max="37" width="13.28515625" style="52" customWidth="1"/>
    <col min="38" max="38" width="14.5703125" style="52" customWidth="1"/>
    <col min="39" max="39" width="13.28515625" style="52" bestFit="1" customWidth="1"/>
    <col min="40" max="40" width="14.5703125" style="52" customWidth="1"/>
    <col min="41" max="41" width="13.28515625" style="52" customWidth="1"/>
    <col min="42" max="42" width="14.42578125" style="52" customWidth="1"/>
    <col min="43" max="43" width="13.28515625" style="52" bestFit="1" customWidth="1"/>
    <col min="44" max="44" width="15.5703125" style="52" bestFit="1" customWidth="1"/>
    <col min="45" max="45" width="13.28515625" style="52" bestFit="1" customWidth="1"/>
    <col min="46" max="46" width="14.5703125" style="52" bestFit="1" customWidth="1"/>
    <col min="47" max="47" width="13.28515625" style="52" bestFit="1" customWidth="1"/>
    <col min="48" max="48" width="14.5703125" style="52" bestFit="1" customWidth="1"/>
    <col min="49" max="49" width="13.28515625" style="52" bestFit="1" customWidth="1"/>
    <col min="50" max="16384" width="9.140625" style="52"/>
  </cols>
  <sheetData>
    <row r="1" spans="2:42">
      <c r="AM1" s="61" t="s">
        <v>0</v>
      </c>
      <c r="AN1" s="62" t="s">
        <v>6</v>
      </c>
      <c r="AO1" s="52" t="s">
        <v>1</v>
      </c>
      <c r="AP1" s="63" t="s">
        <v>4</v>
      </c>
    </row>
    <row r="2" spans="2:42">
      <c r="AM2" s="61" t="s">
        <v>2</v>
      </c>
      <c r="AN2" s="64">
        <v>42326</v>
      </c>
    </row>
    <row r="3" spans="2:42">
      <c r="AM3" s="61" t="s">
        <v>5</v>
      </c>
      <c r="AN3" s="62" t="s">
        <v>88</v>
      </c>
    </row>
    <row r="4" spans="2:42">
      <c r="AM4" s="61" t="s">
        <v>3</v>
      </c>
      <c r="AN4" s="62" t="str">
        <f>PDFReportDir &amp; "\Surveillance Report Summary-FNMA " &amp; TEXT(CurrentCloseDate, "yyyy-mm-dd") &amp; ".pdf"</f>
        <v>S:\IT\Production\Monthly Reports\CRT Surveillance Report\tmp\Surveillance Report Summary-FNMA 2015-11-18.pdf</v>
      </c>
    </row>
    <row r="5" spans="2:42">
      <c r="AM5" s="65"/>
    </row>
    <row r="6" spans="2:42">
      <c r="AM6" s="65"/>
    </row>
    <row r="7" spans="2:42">
      <c r="AM7" s="65"/>
    </row>
    <row r="8" spans="2:42">
      <c r="AM8" s="65"/>
    </row>
    <row r="9" spans="2:42">
      <c r="AM9" s="65"/>
    </row>
    <row r="10" spans="2:42">
      <c r="AM10" s="65"/>
    </row>
    <row r="11" spans="2:42">
      <c r="AN11" s="91"/>
      <c r="AO11" s="92"/>
    </row>
    <row r="12" spans="2:42" ht="13.5" customHeight="1">
      <c r="AN12" s="91" t="s">
        <v>87</v>
      </c>
      <c r="AO12" s="92">
        <f>C39</f>
        <v>42217</v>
      </c>
    </row>
    <row r="13" spans="2:42">
      <c r="AN13" s="91"/>
      <c r="AO13" s="91"/>
    </row>
    <row r="14" spans="2:42" s="66" customFormat="1" ht="18" customHeight="1">
      <c r="B14" s="52"/>
      <c r="C14" s="52"/>
      <c r="D14" s="52"/>
      <c r="E14" s="52"/>
      <c r="F14" s="52"/>
      <c r="G14" s="52"/>
      <c r="H14" s="52"/>
      <c r="I14" s="52"/>
      <c r="J14" s="52"/>
      <c r="K14" s="52"/>
      <c r="L14" s="52"/>
      <c r="M14" s="52"/>
      <c r="N14" s="52"/>
      <c r="O14" s="52"/>
      <c r="P14" s="52"/>
      <c r="Q14" s="52"/>
      <c r="R14" s="52"/>
      <c r="S14" s="52"/>
      <c r="T14" s="52"/>
      <c r="U14" s="52"/>
      <c r="V14" s="52"/>
      <c r="X14" s="52"/>
      <c r="Y14" s="52"/>
      <c r="Z14" s="52"/>
      <c r="AA14" s="52"/>
      <c r="AB14" s="52"/>
      <c r="AC14" s="52"/>
      <c r="AD14" s="52"/>
      <c r="AE14" s="52"/>
      <c r="AF14" s="52"/>
      <c r="AG14" s="52"/>
      <c r="AH14" s="52"/>
      <c r="AI14" s="52"/>
    </row>
    <row r="15" spans="2:42" ht="19.5" customHeight="1">
      <c r="C15" s="101" t="s">
        <v>7</v>
      </c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  <c r="S15" s="67"/>
      <c r="T15" s="67"/>
      <c r="U15" s="102" t="s">
        <v>8</v>
      </c>
      <c r="V15" s="102"/>
      <c r="W15" s="102"/>
      <c r="X15" s="102"/>
      <c r="Y15" s="102"/>
      <c r="Z15" s="102"/>
      <c r="AA15" s="102"/>
      <c r="AB15" s="102"/>
      <c r="AC15" s="102"/>
      <c r="AD15" s="102"/>
      <c r="AE15" s="102"/>
      <c r="AF15" s="102"/>
      <c r="AG15" s="102"/>
      <c r="AH15" s="102"/>
      <c r="AI15" s="102"/>
      <c r="AJ15" s="102"/>
    </row>
    <row r="16" spans="2:42" ht="25.5">
      <c r="C16" s="59"/>
      <c r="D16" s="60" t="str">
        <f>VLOOKUP(D18,'Deal Pool Mapping'!$G:$I,3,0)&amp;"-"&amp;D17</f>
        <v>CAS 2013-C01-1</v>
      </c>
      <c r="E16" s="60" t="str">
        <f>VLOOKUP(E18,'Deal Pool Mapping'!$G:$I,3,0)&amp;"-"&amp;E17</f>
        <v>CAS 2014-C01-1</v>
      </c>
      <c r="F16" s="60" t="str">
        <f>VLOOKUP(F18,'Deal Pool Mapping'!$G:$I,3,0)&amp;"-"&amp;F17</f>
        <v>CAS 2014-C02-1</v>
      </c>
      <c r="G16" s="60" t="str">
        <f>VLOOKUP(G18,'Deal Pool Mapping'!$G:$I,3,0)&amp;"-"&amp;G17</f>
        <v>CAS 2014-C02-2</v>
      </c>
      <c r="H16" s="60" t="str">
        <f>VLOOKUP(H18,'Deal Pool Mapping'!$G:$I,3,0)&amp;"-"&amp;H17</f>
        <v>CAS 2014-C03-1</v>
      </c>
      <c r="I16" s="60" t="str">
        <f>VLOOKUP(I18,'Deal Pool Mapping'!$G:$I,3,0)&amp;"-"&amp;I17</f>
        <v>CAS 2014-C03-2</v>
      </c>
      <c r="J16" s="60" t="str">
        <f>VLOOKUP(J18,'Deal Pool Mapping'!$G:$I,3,0)&amp;"-"&amp;J17</f>
        <v>CAS 2014-C04-1</v>
      </c>
      <c r="K16" s="60" t="str">
        <f>VLOOKUP(K18,'Deal Pool Mapping'!$G:$I,3,0)&amp;"-"&amp;K17</f>
        <v>CAS 2014-C04-2</v>
      </c>
      <c r="L16" s="60" t="str">
        <f>VLOOKUP(L18,'Deal Pool Mapping'!$G:$I,3,0)&amp;"-"&amp;L17</f>
        <v>CAS 2015-C01-1</v>
      </c>
      <c r="M16" s="60" t="str">
        <f>VLOOKUP(M18,'Deal Pool Mapping'!$G:$I,3,0)&amp;"-"&amp;M17</f>
        <v>CAS 2015-C01-2</v>
      </c>
      <c r="N16" s="60" t="str">
        <f>VLOOKUP(N18,'Deal Pool Mapping'!$G:$I,3,0)&amp;"-"&amp;N17</f>
        <v>CAS 2015-C02-1</v>
      </c>
      <c r="O16" s="60" t="str">
        <f>VLOOKUP(O18,'Deal Pool Mapping'!$G:$I,3,0)&amp;"-"&amp;O17</f>
        <v>CAS 2015-C02-2</v>
      </c>
      <c r="P16" s="60" t="str">
        <f>VLOOKUP(P18,'Deal Pool Mapping'!$G:$I,3,0)&amp;"-"&amp;P17</f>
        <v>CAS 2015-C03-1</v>
      </c>
      <c r="Q16" s="60" t="str">
        <f>VLOOKUP(Q18,'Deal Pool Mapping'!$G:$I,3,0)&amp;"-"&amp;Q17</f>
        <v>CAS 2015-C03-2</v>
      </c>
      <c r="R16" s="49"/>
      <c r="S16" s="67"/>
      <c r="T16" s="67"/>
      <c r="U16" s="57"/>
      <c r="V16" s="57" t="str">
        <f t="shared" ref="V16:V17" si="0">D16</f>
        <v>CAS 2013-C01-1</v>
      </c>
      <c r="W16" s="57" t="str">
        <f t="shared" ref="W16:W18" si="1">E16</f>
        <v>CAS 2014-C01-1</v>
      </c>
      <c r="X16" s="57" t="str">
        <f t="shared" ref="X16:X18" si="2">F16</f>
        <v>CAS 2014-C02-1</v>
      </c>
      <c r="Y16" s="57" t="str">
        <f t="shared" ref="Y16:Y18" si="3">G16</f>
        <v>CAS 2014-C02-2</v>
      </c>
      <c r="Z16" s="57" t="str">
        <f t="shared" ref="Z16:Z18" si="4">H16</f>
        <v>CAS 2014-C03-1</v>
      </c>
      <c r="AA16" s="57" t="str">
        <f t="shared" ref="AA16:AA18" si="5">I16</f>
        <v>CAS 2014-C03-2</v>
      </c>
      <c r="AB16" s="57" t="str">
        <f t="shared" ref="AB16:AB18" si="6">J16</f>
        <v>CAS 2014-C04-1</v>
      </c>
      <c r="AC16" s="57" t="str">
        <f t="shared" ref="AC16:AC18" si="7">K16</f>
        <v>CAS 2014-C04-2</v>
      </c>
      <c r="AD16" s="57" t="str">
        <f t="shared" ref="AD16:AD18" si="8">L16</f>
        <v>CAS 2015-C01-1</v>
      </c>
      <c r="AE16" s="57" t="str">
        <f t="shared" ref="AE16:AE18" si="9">M16</f>
        <v>CAS 2015-C01-2</v>
      </c>
      <c r="AF16" s="57" t="str">
        <f t="shared" ref="AF16:AF18" si="10">N16</f>
        <v>CAS 2015-C02-1</v>
      </c>
      <c r="AG16" s="57" t="str">
        <f t="shared" ref="AG16:AG18" si="11">O16</f>
        <v>CAS 2015-C02-2</v>
      </c>
      <c r="AH16" s="57" t="str">
        <f t="shared" ref="AH16:AH18" si="12">P16</f>
        <v>CAS 2015-C03-1</v>
      </c>
      <c r="AI16" s="57" t="str">
        <f t="shared" ref="AI16:AI18" si="13">Q16</f>
        <v>CAS 2015-C03-2</v>
      </c>
      <c r="AJ16" s="54"/>
    </row>
    <row r="17" spans="3:36" hidden="1">
      <c r="C17" s="59"/>
      <c r="D17" s="60">
        <f>VLOOKUP(D18,'Deal Pool Mapping'!$G:$H,2,0)</f>
        <v>1</v>
      </c>
      <c r="E17" s="60">
        <f>VLOOKUP(E18,'Deal Pool Mapping'!$G:$H,2,0)</f>
        <v>1</v>
      </c>
      <c r="F17" s="60">
        <f>VLOOKUP(F18,'Deal Pool Mapping'!$G:$H,2,0)</f>
        <v>1</v>
      </c>
      <c r="G17" s="60">
        <f>VLOOKUP(G18,'Deal Pool Mapping'!$G:$H,2,0)</f>
        <v>2</v>
      </c>
      <c r="H17" s="60">
        <f>VLOOKUP(H18,'Deal Pool Mapping'!$G:$H,2,0)</f>
        <v>1</v>
      </c>
      <c r="I17" s="60">
        <f>VLOOKUP(I18,'Deal Pool Mapping'!$G:$H,2,0)</f>
        <v>2</v>
      </c>
      <c r="J17" s="60">
        <f>VLOOKUP(J18,'Deal Pool Mapping'!$G:$H,2,0)</f>
        <v>1</v>
      </c>
      <c r="K17" s="60">
        <f>VLOOKUP(K18,'Deal Pool Mapping'!$G:$H,2,0)</f>
        <v>2</v>
      </c>
      <c r="L17" s="60">
        <f>VLOOKUP(L18,'Deal Pool Mapping'!$G:$H,2,0)</f>
        <v>1</v>
      </c>
      <c r="M17" s="60">
        <f>VLOOKUP(M18,'Deal Pool Mapping'!$G:$H,2,0)</f>
        <v>2</v>
      </c>
      <c r="N17" s="60">
        <f>VLOOKUP(N18,'Deal Pool Mapping'!$G:$H,2,0)</f>
        <v>1</v>
      </c>
      <c r="O17" s="60">
        <f>VLOOKUP(O18,'Deal Pool Mapping'!$G:$H,2,0)</f>
        <v>2</v>
      </c>
      <c r="P17" s="60">
        <f>VLOOKUP(P18,'Deal Pool Mapping'!$G:$H,2,0)</f>
        <v>1</v>
      </c>
      <c r="Q17" s="60">
        <f>VLOOKUP(Q18,'Deal Pool Mapping'!$G:$H,2,0)</f>
        <v>2</v>
      </c>
      <c r="R17" s="49"/>
      <c r="S17" s="67"/>
      <c r="T17" s="67"/>
      <c r="U17" s="57"/>
      <c r="V17" s="57">
        <f t="shared" si="0"/>
        <v>1</v>
      </c>
      <c r="W17" s="57">
        <f t="shared" si="1"/>
        <v>1</v>
      </c>
      <c r="X17" s="57">
        <f t="shared" si="2"/>
        <v>1</v>
      </c>
      <c r="Y17" s="57">
        <f t="shared" si="3"/>
        <v>2</v>
      </c>
      <c r="Z17" s="57">
        <f t="shared" si="4"/>
        <v>1</v>
      </c>
      <c r="AA17" s="57">
        <f t="shared" si="5"/>
        <v>2</v>
      </c>
      <c r="AB17" s="57">
        <f t="shared" si="6"/>
        <v>1</v>
      </c>
      <c r="AC17" s="57">
        <f t="shared" si="7"/>
        <v>2</v>
      </c>
      <c r="AD17" s="57">
        <f t="shared" si="8"/>
        <v>1</v>
      </c>
      <c r="AE17" s="57">
        <f t="shared" si="9"/>
        <v>2</v>
      </c>
      <c r="AF17" s="57">
        <f t="shared" si="10"/>
        <v>1</v>
      </c>
      <c r="AG17" s="57">
        <f t="shared" si="11"/>
        <v>2</v>
      </c>
      <c r="AH17" s="57">
        <f t="shared" si="12"/>
        <v>1</v>
      </c>
      <c r="AI17" s="57">
        <f t="shared" si="13"/>
        <v>2</v>
      </c>
      <c r="AJ17" s="54"/>
    </row>
    <row r="18" spans="3:36" ht="25.5" hidden="1">
      <c r="C18" s="59" t="s">
        <v>89</v>
      </c>
      <c r="D18" s="60" t="str">
        <f>'Performance Pivot'!D17</f>
        <v>1372</v>
      </c>
      <c r="E18" s="60" t="str">
        <f>'Performance Pivot'!E17</f>
        <v>1378</v>
      </c>
      <c r="F18" s="60" t="str">
        <f>'Performance Pivot'!F17</f>
        <v>1383</v>
      </c>
      <c r="G18" s="60" t="str">
        <f>'Performance Pivot'!G17</f>
        <v>1384</v>
      </c>
      <c r="H18" s="60" t="str">
        <f>'Performance Pivot'!H17</f>
        <v>1387</v>
      </c>
      <c r="I18" s="60" t="str">
        <f>'Performance Pivot'!I17</f>
        <v>1388</v>
      </c>
      <c r="J18" s="60" t="str">
        <f>'Performance Pivot'!J17</f>
        <v>1392</v>
      </c>
      <c r="K18" s="60" t="str">
        <f>'Performance Pivot'!K17</f>
        <v>1393</v>
      </c>
      <c r="L18" s="60" t="str">
        <f>'Performance Pivot'!L17</f>
        <v>1397</v>
      </c>
      <c r="M18" s="60" t="str">
        <f>'Performance Pivot'!M17</f>
        <v>1398</v>
      </c>
      <c r="N18" s="60" t="str">
        <f>'Performance Pivot'!N17</f>
        <v>1399</v>
      </c>
      <c r="O18" s="60" t="str">
        <f>'Performance Pivot'!O17</f>
        <v>1400</v>
      </c>
      <c r="P18" s="60" t="str">
        <f>'Performance Pivot'!P17</f>
        <v>1404</v>
      </c>
      <c r="Q18" s="60" t="str">
        <f>'Performance Pivot'!Q17</f>
        <v>1405</v>
      </c>
      <c r="R18" s="49" t="s">
        <v>59</v>
      </c>
      <c r="S18" s="67"/>
      <c r="T18" s="67"/>
      <c r="U18" s="57" t="str">
        <f>C18</f>
        <v>Date</v>
      </c>
      <c r="V18" s="57" t="str">
        <f>D18</f>
        <v>1372</v>
      </c>
      <c r="W18" s="57" t="str">
        <f t="shared" si="1"/>
        <v>1378</v>
      </c>
      <c r="X18" s="57" t="str">
        <f t="shared" si="2"/>
        <v>1383</v>
      </c>
      <c r="Y18" s="57" t="str">
        <f t="shared" si="3"/>
        <v>1384</v>
      </c>
      <c r="Z18" s="57" t="str">
        <f t="shared" si="4"/>
        <v>1387</v>
      </c>
      <c r="AA18" s="57" t="str">
        <f t="shared" si="5"/>
        <v>1388</v>
      </c>
      <c r="AB18" s="57" t="str">
        <f t="shared" si="6"/>
        <v>1392</v>
      </c>
      <c r="AC18" s="57" t="str">
        <f t="shared" si="7"/>
        <v>1393</v>
      </c>
      <c r="AD18" s="57" t="str">
        <f t="shared" si="8"/>
        <v>1397</v>
      </c>
      <c r="AE18" s="57" t="str">
        <f t="shared" si="9"/>
        <v>1398</v>
      </c>
      <c r="AF18" s="57" t="str">
        <f t="shared" si="10"/>
        <v>1399</v>
      </c>
      <c r="AG18" s="57" t="str">
        <f t="shared" si="11"/>
        <v>1400</v>
      </c>
      <c r="AH18" s="57" t="str">
        <f t="shared" si="12"/>
        <v>1404</v>
      </c>
      <c r="AI18" s="57" t="str">
        <f t="shared" si="13"/>
        <v>1405</v>
      </c>
      <c r="AJ18" s="54" t="s">
        <v>59</v>
      </c>
    </row>
    <row r="19" spans="3:36" s="71" customFormat="1" ht="21" customHeight="1">
      <c r="C19" s="89">
        <f>'Performance Pivot'!C38</f>
        <v>41609</v>
      </c>
      <c r="D19" s="69">
        <f>IF(VLOOKUP($C19,'Performance Pivot'!$C:$P,2,0)="","",VLOOKUP($C19,'Performance Pivot'!$C:$P,2,0))</f>
        <v>4.8606999999999996</v>
      </c>
      <c r="E19" s="69">
        <f>IF(VLOOKUP($C19,'Performance Pivot'!$C:$P,3,0)="","",VLOOKUP($C19,'Performance Pivot'!$C:$P,3,0))</f>
        <v>3.9436</v>
      </c>
      <c r="F19" s="69" t="str">
        <f>IF(VLOOKUP($C19,'Performance Pivot'!$C:$P,4,0)="","",VLOOKUP($C19,'Performance Pivot'!$C:$P,4,0))</f>
        <v/>
      </c>
      <c r="G19" s="69" t="str">
        <f>IF(VLOOKUP($C19,'Performance Pivot'!$C:$P,5,0)="","",VLOOKUP($C19,'Performance Pivot'!$C:$P,5,0))</f>
        <v/>
      </c>
      <c r="H19" s="69" t="str">
        <f>IF(VLOOKUP($C19,'Performance Pivot'!$C:$P,6,0)="","",VLOOKUP($C19,'Performance Pivot'!$C:$P,6,0))</f>
        <v/>
      </c>
      <c r="I19" s="69" t="str">
        <f>IF(VLOOKUP($C19,'Performance Pivot'!$C:$P,7,0)="","",VLOOKUP($C19,'Performance Pivot'!$C:$P,7,0))</f>
        <v/>
      </c>
      <c r="J19" s="69" t="str">
        <f>IF(VLOOKUP($C19,'Performance Pivot'!$C:$P,8,0)="","",VLOOKUP($C19,'Performance Pivot'!$C:$P,8,0))</f>
        <v/>
      </c>
      <c r="K19" s="69" t="str">
        <f>IF(VLOOKUP($C19,'Performance Pivot'!$C:$P,9,0)="","",VLOOKUP($C19,'Performance Pivot'!$C:$P,9,0))</f>
        <v/>
      </c>
      <c r="L19" s="69" t="str">
        <f>IF(VLOOKUP($C19,'Performance Pivot'!$C:$P,10,0)="","",VLOOKUP($C19,'Performance Pivot'!$C:$P,10,0))</f>
        <v/>
      </c>
      <c r="M19" s="69" t="str">
        <f>IF(VLOOKUP($C19,'Performance Pivot'!$C:$P,11,0)="","",VLOOKUP($C19,'Performance Pivot'!$C:$P,11,0))</f>
        <v/>
      </c>
      <c r="N19" s="69" t="str">
        <f>IF(VLOOKUP($C19,'Performance Pivot'!$C:$P,12,0)="","",VLOOKUP($C19,'Performance Pivot'!$C:$P,12,0))</f>
        <v/>
      </c>
      <c r="O19" s="69" t="str">
        <f>IF(VLOOKUP($C19,'Performance Pivot'!$C:$Q,13,0)="","",VLOOKUP($C19,'Performance Pivot'!$C:$Q,13,0))</f>
        <v/>
      </c>
      <c r="P19" s="69" t="str">
        <f>IF(VLOOKUP($C19,'Performance Pivot'!$C:$Q,14,0)="","",VLOOKUP($C19,'Performance Pivot'!$C:$Q,14,0))</f>
        <v/>
      </c>
      <c r="Q19" s="69" t="str">
        <f>IF(VLOOKUP($C19,'Performance Pivot'!$C:$Q,15,0)="","",VLOOKUP($C19,'Performance Pivot'!$C:$Q,15,0))</f>
        <v/>
      </c>
      <c r="R19" s="69" t="str">
        <f>IF(VLOOKUP($C19,'Performance Pivot'!$C:$Q,15,0)="","",VLOOKUP($C19,'Performance Pivot'!$C:$Q,15,0))</f>
        <v/>
      </c>
      <c r="S19" s="72"/>
      <c r="T19" s="72"/>
      <c r="U19" s="89">
        <f t="shared" ref="U19:U39" si="14">C19</f>
        <v>41609</v>
      </c>
      <c r="V19" s="70">
        <f>IF(VLOOKUP($U19,'Performance Pivot'!$S:$AF,2,0)="","",VLOOKUP($U19,'Performance Pivot'!$S:$AF,2,0))</f>
        <v>0</v>
      </c>
      <c r="W19" s="70">
        <f>IF(VLOOKUP($U19,'Performance Pivot'!$S:$AF,3,0)="","",VLOOKUP($U19,'Performance Pivot'!$S:$AF,3,0))</f>
        <v>0</v>
      </c>
      <c r="X19" s="70" t="str">
        <f>IF(VLOOKUP($U19,'Performance Pivot'!$S:$AF,4,0)="","",VLOOKUP($U19,'Performance Pivot'!$S:$AF,4,0))</f>
        <v/>
      </c>
      <c r="Y19" s="70" t="str">
        <f>IF(VLOOKUP($U19,'Performance Pivot'!$S:$AF,5,0)="","",VLOOKUP($U19,'Performance Pivot'!$S:$AF,5,0))</f>
        <v/>
      </c>
      <c r="Z19" s="70" t="str">
        <f>IF(VLOOKUP($U19,'Performance Pivot'!$S:$AF,6,0)="","",VLOOKUP($U19,'Performance Pivot'!$S:$AF,6,0))</f>
        <v/>
      </c>
      <c r="AA19" s="70" t="str">
        <f>IF(VLOOKUP($U19,'Performance Pivot'!$S:$AF,7,0)="","",VLOOKUP($U19,'Performance Pivot'!$S:$AF,7,0))</f>
        <v/>
      </c>
      <c r="AB19" s="70" t="str">
        <f>IF(VLOOKUP($U19,'Performance Pivot'!$S:$AF,8,0)="","",VLOOKUP($U19,'Performance Pivot'!$S:$AF,8,0))</f>
        <v/>
      </c>
      <c r="AC19" s="70" t="str">
        <f>IF(VLOOKUP($U19,'Performance Pivot'!$S:$AF,9,0)="","",VLOOKUP($U19,'Performance Pivot'!$S:$AF,9,0))</f>
        <v/>
      </c>
      <c r="AD19" s="70" t="str">
        <f>IF(VLOOKUP($U19,'Performance Pivot'!$S:$AF,10,0)="","",VLOOKUP($U19,'Performance Pivot'!$S:$AF,10,0))</f>
        <v/>
      </c>
      <c r="AE19" s="70" t="str">
        <f>IF(VLOOKUP($U19,'Performance Pivot'!$S:$AF,11,0)="","",VLOOKUP($U19,'Performance Pivot'!$S:$AF,11,0))</f>
        <v/>
      </c>
      <c r="AF19" s="70" t="str">
        <f>IF(VLOOKUP($U19,'Performance Pivot'!$S:$AF,12,0)="","",VLOOKUP($U19,'Performance Pivot'!$S:$AF,12,0))</f>
        <v/>
      </c>
      <c r="AG19" s="70" t="str">
        <f>IF(VLOOKUP($U19,'Performance Pivot'!$S:$AG,13,0)="","",VLOOKUP($U19,'Performance Pivot'!$S:$AG,13,0))</f>
        <v/>
      </c>
      <c r="AH19" s="70" t="str">
        <f>IF(VLOOKUP($U19,'Performance Pivot'!$S:$AG,14,0)="","",VLOOKUP($U19,'Performance Pivot'!$S:$AG,14,0))</f>
        <v/>
      </c>
      <c r="AI19" s="70" t="str">
        <f>IF(VLOOKUP($U19,'Performance Pivot'!$S:$AG,15,0)="","",VLOOKUP($U19,'Performance Pivot'!$S:$AG,15,0))</f>
        <v/>
      </c>
      <c r="AJ19" s="70" t="str">
        <f>IF(VLOOKUP($U19,'Performance Pivot'!$S:$AG,15,0)="","",VLOOKUP($U19,'Performance Pivot'!$S:$AG,15,0))</f>
        <v/>
      </c>
    </row>
    <row r="20" spans="3:36" s="71" customFormat="1" ht="21" customHeight="1">
      <c r="C20" s="89">
        <f>'Performance Pivot'!C37</f>
        <v>41640</v>
      </c>
      <c r="D20" s="69">
        <f>IF(VLOOKUP($C20,'Performance Pivot'!$C:$P,2,0)="","",VLOOKUP($C20,'Performance Pivot'!$C:$P,2,0))</f>
        <v>3.7942999999999998</v>
      </c>
      <c r="E20" s="69">
        <f>IF(VLOOKUP($C20,'Performance Pivot'!$C:$P,3,0)="","",VLOOKUP($C20,'Performance Pivot'!$C:$P,3,0))</f>
        <v>3.1509</v>
      </c>
      <c r="F20" s="69" t="str">
        <f>IF(VLOOKUP($C20,'Performance Pivot'!$C:$P,4,0)="","",VLOOKUP($C20,'Performance Pivot'!$C:$P,4,0))</f>
        <v/>
      </c>
      <c r="G20" s="69" t="str">
        <f>IF(VLOOKUP($C20,'Performance Pivot'!$C:$P,5,0)="","",VLOOKUP($C20,'Performance Pivot'!$C:$P,5,0))</f>
        <v/>
      </c>
      <c r="H20" s="69" t="str">
        <f>IF(VLOOKUP($C20,'Performance Pivot'!$C:$P,6,0)="","",VLOOKUP($C20,'Performance Pivot'!$C:$P,6,0))</f>
        <v/>
      </c>
      <c r="I20" s="69" t="str">
        <f>IF(VLOOKUP($C20,'Performance Pivot'!$C:$P,7,0)="","",VLOOKUP($C20,'Performance Pivot'!$C:$P,7,0))</f>
        <v/>
      </c>
      <c r="J20" s="69" t="str">
        <f>IF(VLOOKUP($C20,'Performance Pivot'!$C:$P,8,0)="","",VLOOKUP($C20,'Performance Pivot'!$C:$P,8,0))</f>
        <v/>
      </c>
      <c r="K20" s="69" t="str">
        <f>IF(VLOOKUP($C20,'Performance Pivot'!$C:$P,9,0)="","",VLOOKUP($C20,'Performance Pivot'!$C:$P,9,0))</f>
        <v/>
      </c>
      <c r="L20" s="69" t="str">
        <f>IF(VLOOKUP($C20,'Performance Pivot'!$C:$P,10,0)="","",VLOOKUP($C20,'Performance Pivot'!$C:$P,10,0))</f>
        <v/>
      </c>
      <c r="M20" s="69" t="str">
        <f>IF(VLOOKUP($C20,'Performance Pivot'!$C:$P,11,0)="","",VLOOKUP($C20,'Performance Pivot'!$C:$P,11,0))</f>
        <v/>
      </c>
      <c r="N20" s="69" t="str">
        <f>IF(VLOOKUP($C20,'Performance Pivot'!$C:$P,12,0)="","",VLOOKUP($C20,'Performance Pivot'!$C:$P,12,0))</f>
        <v/>
      </c>
      <c r="O20" s="69" t="str">
        <f>IF(VLOOKUP($C20,'Performance Pivot'!$C:$Q,13,0)="","",VLOOKUP($C20,'Performance Pivot'!$C:$Q,13,0))</f>
        <v/>
      </c>
      <c r="P20" s="69" t="str">
        <f>IF(VLOOKUP($C20,'Performance Pivot'!$C:$Q,14,0)="","",VLOOKUP($C20,'Performance Pivot'!$C:$Q,14,0))</f>
        <v/>
      </c>
      <c r="Q20" s="69" t="str">
        <f>IF(VLOOKUP($C20,'Performance Pivot'!$C:$Q,15,0)="","",VLOOKUP($C20,'Performance Pivot'!$C:$Q,15,0))</f>
        <v/>
      </c>
      <c r="R20" s="69" t="str">
        <f>IF(VLOOKUP($C20,'Performance Pivot'!$C:$Q,15,0)="","",VLOOKUP($C20,'Performance Pivot'!$C:$Q,15,0))</f>
        <v/>
      </c>
      <c r="S20" s="72"/>
      <c r="T20" s="72"/>
      <c r="U20" s="89">
        <f t="shared" si="14"/>
        <v>41640</v>
      </c>
      <c r="V20" s="70">
        <f>IF(VLOOKUP($U20,'Performance Pivot'!$S:$AF,2,0)="","",VLOOKUP($U20,'Performance Pivot'!$S:$AF,2,0))</f>
        <v>0</v>
      </c>
      <c r="W20" s="70">
        <f>IF(VLOOKUP($U20,'Performance Pivot'!$S:$AF,3,0)="","",VLOOKUP($U20,'Performance Pivot'!$S:$AF,3,0))</f>
        <v>0</v>
      </c>
      <c r="X20" s="70" t="str">
        <f>IF(VLOOKUP($U20,'Performance Pivot'!$S:$AF,4,0)="","",VLOOKUP($U20,'Performance Pivot'!$S:$AF,4,0))</f>
        <v/>
      </c>
      <c r="Y20" s="70" t="str">
        <f>IF(VLOOKUP($U20,'Performance Pivot'!$S:$AF,5,0)="","",VLOOKUP($U20,'Performance Pivot'!$S:$AF,5,0))</f>
        <v/>
      </c>
      <c r="Z20" s="70" t="str">
        <f>IF(VLOOKUP($U20,'Performance Pivot'!$S:$AF,6,0)="","",VLOOKUP($U20,'Performance Pivot'!$S:$AF,6,0))</f>
        <v/>
      </c>
      <c r="AA20" s="70" t="str">
        <f>IF(VLOOKUP($U20,'Performance Pivot'!$S:$AF,7,0)="","",VLOOKUP($U20,'Performance Pivot'!$S:$AF,7,0))</f>
        <v/>
      </c>
      <c r="AB20" s="70" t="str">
        <f>IF(VLOOKUP($U20,'Performance Pivot'!$S:$AF,8,0)="","",VLOOKUP($U20,'Performance Pivot'!$S:$AF,8,0))</f>
        <v/>
      </c>
      <c r="AC20" s="70" t="str">
        <f>IF(VLOOKUP($U20,'Performance Pivot'!$S:$AF,9,0)="","",VLOOKUP($U20,'Performance Pivot'!$S:$AF,9,0))</f>
        <v/>
      </c>
      <c r="AD20" s="70" t="str">
        <f>IF(VLOOKUP($U20,'Performance Pivot'!$S:$AF,10,0)="","",VLOOKUP($U20,'Performance Pivot'!$S:$AF,10,0))</f>
        <v/>
      </c>
      <c r="AE20" s="70" t="str">
        <f>IF(VLOOKUP($U20,'Performance Pivot'!$S:$AF,11,0)="","",VLOOKUP($U20,'Performance Pivot'!$S:$AF,11,0))</f>
        <v/>
      </c>
      <c r="AF20" s="70" t="str">
        <f>IF(VLOOKUP($U20,'Performance Pivot'!$S:$AF,12,0)="","",VLOOKUP($U20,'Performance Pivot'!$S:$AF,12,0))</f>
        <v/>
      </c>
      <c r="AG20" s="70" t="str">
        <f>IF(VLOOKUP($U20,'Performance Pivot'!$S:$AG,13,0)="","",VLOOKUP($U20,'Performance Pivot'!$S:$AG,13,0))</f>
        <v/>
      </c>
      <c r="AH20" s="70" t="str">
        <f>IF(VLOOKUP($U20,'Performance Pivot'!$S:$AG,14,0)="","",VLOOKUP($U20,'Performance Pivot'!$S:$AG,14,0))</f>
        <v/>
      </c>
      <c r="AI20" s="70" t="str">
        <f>IF(VLOOKUP($U20,'Performance Pivot'!$S:$AG,15,0)="","",VLOOKUP($U20,'Performance Pivot'!$S:$AG,15,0))</f>
        <v/>
      </c>
      <c r="AJ20" s="70" t="str">
        <f>IF(VLOOKUP($U20,'Performance Pivot'!$S:$AG,15,0)="","",VLOOKUP($U20,'Performance Pivot'!$S:$AG,15,0))</f>
        <v/>
      </c>
    </row>
    <row r="21" spans="3:36" s="71" customFormat="1" ht="21" customHeight="1">
      <c r="C21" s="89">
        <f>'Performance Pivot'!C36</f>
        <v>41671</v>
      </c>
      <c r="D21" s="69">
        <f>IF(VLOOKUP($C21,'Performance Pivot'!$C:$P,2,0)="","",VLOOKUP($C21,'Performance Pivot'!$C:$P,2,0))</f>
        <v>3.6004</v>
      </c>
      <c r="E21" s="69">
        <f>IF(VLOOKUP($C21,'Performance Pivot'!$C:$P,3,0)="","",VLOOKUP($C21,'Performance Pivot'!$C:$P,3,0))</f>
        <v>3.2972999999999999</v>
      </c>
      <c r="F21" s="69" t="str">
        <f>IF(VLOOKUP($C21,'Performance Pivot'!$C:$P,4,0)="","",VLOOKUP($C21,'Performance Pivot'!$C:$P,4,0))</f>
        <v/>
      </c>
      <c r="G21" s="69" t="str">
        <f>IF(VLOOKUP($C21,'Performance Pivot'!$C:$P,5,0)="","",VLOOKUP($C21,'Performance Pivot'!$C:$P,5,0))</f>
        <v/>
      </c>
      <c r="H21" s="69" t="str">
        <f>IF(VLOOKUP($C21,'Performance Pivot'!$C:$P,6,0)="","",VLOOKUP($C21,'Performance Pivot'!$C:$P,6,0))</f>
        <v/>
      </c>
      <c r="I21" s="69" t="str">
        <f>IF(VLOOKUP($C21,'Performance Pivot'!$C:$P,7,0)="","",VLOOKUP($C21,'Performance Pivot'!$C:$P,7,0))</f>
        <v/>
      </c>
      <c r="J21" s="69" t="str">
        <f>IF(VLOOKUP($C21,'Performance Pivot'!$C:$P,8,0)="","",VLOOKUP($C21,'Performance Pivot'!$C:$P,8,0))</f>
        <v/>
      </c>
      <c r="K21" s="69" t="str">
        <f>IF(VLOOKUP($C21,'Performance Pivot'!$C:$P,9,0)="","",VLOOKUP($C21,'Performance Pivot'!$C:$P,9,0))</f>
        <v/>
      </c>
      <c r="L21" s="69" t="str">
        <f>IF(VLOOKUP($C21,'Performance Pivot'!$C:$P,10,0)="","",VLOOKUP($C21,'Performance Pivot'!$C:$P,10,0))</f>
        <v/>
      </c>
      <c r="M21" s="69" t="str">
        <f>IF(VLOOKUP($C21,'Performance Pivot'!$C:$P,11,0)="","",VLOOKUP($C21,'Performance Pivot'!$C:$P,11,0))</f>
        <v/>
      </c>
      <c r="N21" s="69" t="str">
        <f>IF(VLOOKUP($C21,'Performance Pivot'!$C:$P,12,0)="","",VLOOKUP($C21,'Performance Pivot'!$C:$P,12,0))</f>
        <v/>
      </c>
      <c r="O21" s="69" t="str">
        <f>IF(VLOOKUP($C21,'Performance Pivot'!$C:$Q,13,0)="","",VLOOKUP($C21,'Performance Pivot'!$C:$Q,13,0))</f>
        <v/>
      </c>
      <c r="P21" s="69" t="str">
        <f>IF(VLOOKUP($C21,'Performance Pivot'!$C:$Q,14,0)="","",VLOOKUP($C21,'Performance Pivot'!$C:$Q,14,0))</f>
        <v/>
      </c>
      <c r="Q21" s="69" t="str">
        <f>IF(VLOOKUP($C21,'Performance Pivot'!$C:$Q,15,0)="","",VLOOKUP($C21,'Performance Pivot'!$C:$Q,15,0))</f>
        <v/>
      </c>
      <c r="R21" s="69" t="str">
        <f>IF(VLOOKUP($C21,'Performance Pivot'!$C:$Q,15,0)="","",VLOOKUP($C21,'Performance Pivot'!$C:$Q,15,0))</f>
        <v/>
      </c>
      <c r="S21" s="72"/>
      <c r="T21" s="72"/>
      <c r="U21" s="89">
        <f t="shared" si="14"/>
        <v>41671</v>
      </c>
      <c r="V21" s="70">
        <f>IF(VLOOKUP($U21,'Performance Pivot'!$S:$AF,2,0)="","",VLOOKUP($U21,'Performance Pivot'!$S:$AF,2,0))</f>
        <v>4.7100000000000003E-2</v>
      </c>
      <c r="W21" s="70">
        <f>IF(VLOOKUP($U21,'Performance Pivot'!$S:$AF,3,0)="","",VLOOKUP($U21,'Performance Pivot'!$S:$AF,3,0))</f>
        <v>0</v>
      </c>
      <c r="X21" s="70" t="str">
        <f>IF(VLOOKUP($U21,'Performance Pivot'!$S:$AF,4,0)="","",VLOOKUP($U21,'Performance Pivot'!$S:$AF,4,0))</f>
        <v/>
      </c>
      <c r="Y21" s="70" t="str">
        <f>IF(VLOOKUP($U21,'Performance Pivot'!$S:$AF,5,0)="","",VLOOKUP($U21,'Performance Pivot'!$S:$AF,5,0))</f>
        <v/>
      </c>
      <c r="Z21" s="70" t="str">
        <f>IF(VLOOKUP($U21,'Performance Pivot'!$S:$AF,6,0)="","",VLOOKUP($U21,'Performance Pivot'!$S:$AF,6,0))</f>
        <v/>
      </c>
      <c r="AA21" s="70" t="str">
        <f>IF(VLOOKUP($U21,'Performance Pivot'!$S:$AF,7,0)="","",VLOOKUP($U21,'Performance Pivot'!$S:$AF,7,0))</f>
        <v/>
      </c>
      <c r="AB21" s="70" t="str">
        <f>IF(VLOOKUP($U21,'Performance Pivot'!$S:$AF,8,0)="","",VLOOKUP($U21,'Performance Pivot'!$S:$AF,8,0))</f>
        <v/>
      </c>
      <c r="AC21" s="70" t="str">
        <f>IF(VLOOKUP($U21,'Performance Pivot'!$S:$AF,9,0)="","",VLOOKUP($U21,'Performance Pivot'!$S:$AF,9,0))</f>
        <v/>
      </c>
      <c r="AD21" s="70" t="str">
        <f>IF(VLOOKUP($U21,'Performance Pivot'!$S:$AF,10,0)="","",VLOOKUP($U21,'Performance Pivot'!$S:$AF,10,0))</f>
        <v/>
      </c>
      <c r="AE21" s="70" t="str">
        <f>IF(VLOOKUP($U21,'Performance Pivot'!$S:$AF,11,0)="","",VLOOKUP($U21,'Performance Pivot'!$S:$AF,11,0))</f>
        <v/>
      </c>
      <c r="AF21" s="70" t="str">
        <f>IF(VLOOKUP($U21,'Performance Pivot'!$S:$AF,12,0)="","",VLOOKUP($U21,'Performance Pivot'!$S:$AF,12,0))</f>
        <v/>
      </c>
      <c r="AG21" s="70" t="str">
        <f>IF(VLOOKUP($U21,'Performance Pivot'!$S:$AG,13,0)="","",VLOOKUP($U21,'Performance Pivot'!$S:$AG,13,0))</f>
        <v/>
      </c>
      <c r="AH21" s="70" t="str">
        <f>IF(VLOOKUP($U21,'Performance Pivot'!$S:$AG,14,0)="","",VLOOKUP($U21,'Performance Pivot'!$S:$AG,14,0))</f>
        <v/>
      </c>
      <c r="AI21" s="70" t="str">
        <f>IF(VLOOKUP($U21,'Performance Pivot'!$S:$AG,15,0)="","",VLOOKUP($U21,'Performance Pivot'!$S:$AG,15,0))</f>
        <v/>
      </c>
      <c r="AJ21" s="70" t="str">
        <f>IF(VLOOKUP($U21,'Performance Pivot'!$S:$AG,15,0)="","",VLOOKUP($U21,'Performance Pivot'!$S:$AG,15,0))</f>
        <v/>
      </c>
    </row>
    <row r="22" spans="3:36" s="71" customFormat="1" ht="21" customHeight="1">
      <c r="C22" s="89">
        <f>'Performance Pivot'!C35</f>
        <v>41699</v>
      </c>
      <c r="D22" s="69">
        <f>IF(VLOOKUP($C22,'Performance Pivot'!$C:$P,2,0)="","",VLOOKUP($C22,'Performance Pivot'!$C:$P,2,0))</f>
        <v>4.9611000000000001</v>
      </c>
      <c r="E22" s="69">
        <f>IF(VLOOKUP($C22,'Performance Pivot'!$C:$P,3,0)="","",VLOOKUP($C22,'Performance Pivot'!$C:$P,3,0))</f>
        <v>4.3414000000000001</v>
      </c>
      <c r="F22" s="69" t="str">
        <f>IF(VLOOKUP($C22,'Performance Pivot'!$C:$P,4,0)="","",VLOOKUP($C22,'Performance Pivot'!$C:$P,4,0))</f>
        <v/>
      </c>
      <c r="G22" s="69" t="str">
        <f>IF(VLOOKUP($C22,'Performance Pivot'!$C:$P,5,0)="","",VLOOKUP($C22,'Performance Pivot'!$C:$P,5,0))</f>
        <v/>
      </c>
      <c r="H22" s="69" t="str">
        <f>IF(VLOOKUP($C22,'Performance Pivot'!$C:$P,6,0)="","",VLOOKUP($C22,'Performance Pivot'!$C:$P,6,0))</f>
        <v/>
      </c>
      <c r="I22" s="69" t="str">
        <f>IF(VLOOKUP($C22,'Performance Pivot'!$C:$P,7,0)="","",VLOOKUP($C22,'Performance Pivot'!$C:$P,7,0))</f>
        <v/>
      </c>
      <c r="J22" s="69" t="str">
        <f>IF(VLOOKUP($C22,'Performance Pivot'!$C:$P,8,0)="","",VLOOKUP($C22,'Performance Pivot'!$C:$P,8,0))</f>
        <v/>
      </c>
      <c r="K22" s="69" t="str">
        <f>IF(VLOOKUP($C22,'Performance Pivot'!$C:$P,9,0)="","",VLOOKUP($C22,'Performance Pivot'!$C:$P,9,0))</f>
        <v/>
      </c>
      <c r="L22" s="69" t="str">
        <f>IF(VLOOKUP($C22,'Performance Pivot'!$C:$P,10,0)="","",VLOOKUP($C22,'Performance Pivot'!$C:$P,10,0))</f>
        <v/>
      </c>
      <c r="M22" s="69" t="str">
        <f>IF(VLOOKUP($C22,'Performance Pivot'!$C:$P,11,0)="","",VLOOKUP($C22,'Performance Pivot'!$C:$P,11,0))</f>
        <v/>
      </c>
      <c r="N22" s="69" t="str">
        <f>IF(VLOOKUP($C22,'Performance Pivot'!$C:$P,12,0)="","",VLOOKUP($C22,'Performance Pivot'!$C:$P,12,0))</f>
        <v/>
      </c>
      <c r="O22" s="69" t="str">
        <f>IF(VLOOKUP($C22,'Performance Pivot'!$C:$Q,13,0)="","",VLOOKUP($C22,'Performance Pivot'!$C:$Q,13,0))</f>
        <v/>
      </c>
      <c r="P22" s="69" t="str">
        <f>IF(VLOOKUP($C22,'Performance Pivot'!$C:$Q,14,0)="","",VLOOKUP($C22,'Performance Pivot'!$C:$Q,14,0))</f>
        <v/>
      </c>
      <c r="Q22" s="69" t="str">
        <f>IF(VLOOKUP($C22,'Performance Pivot'!$C:$Q,15,0)="","",VLOOKUP($C22,'Performance Pivot'!$C:$Q,15,0))</f>
        <v/>
      </c>
      <c r="R22" s="69" t="str">
        <f>IF(VLOOKUP($C22,'Performance Pivot'!$C:$Q,15,0)="","",VLOOKUP($C22,'Performance Pivot'!$C:$Q,15,0))</f>
        <v/>
      </c>
      <c r="S22" s="72"/>
      <c r="T22" s="72"/>
      <c r="U22" s="89">
        <f t="shared" si="14"/>
        <v>41699</v>
      </c>
      <c r="V22" s="70">
        <f>IF(VLOOKUP($U22,'Performance Pivot'!$S:$AF,2,0)="","",VLOOKUP($U22,'Performance Pivot'!$S:$AF,2,0))</f>
        <v>3.95E-2</v>
      </c>
      <c r="W22" s="70">
        <f>IF(VLOOKUP($U22,'Performance Pivot'!$S:$AF,3,0)="","",VLOOKUP($U22,'Performance Pivot'!$S:$AF,3,0))</f>
        <v>0</v>
      </c>
      <c r="X22" s="70" t="str">
        <f>IF(VLOOKUP($U22,'Performance Pivot'!$S:$AF,4,0)="","",VLOOKUP($U22,'Performance Pivot'!$S:$AF,4,0))</f>
        <v/>
      </c>
      <c r="Y22" s="70" t="str">
        <f>IF(VLOOKUP($U22,'Performance Pivot'!$S:$AF,5,0)="","",VLOOKUP($U22,'Performance Pivot'!$S:$AF,5,0))</f>
        <v/>
      </c>
      <c r="Z22" s="70" t="str">
        <f>IF(VLOOKUP($U22,'Performance Pivot'!$S:$AF,6,0)="","",VLOOKUP($U22,'Performance Pivot'!$S:$AF,6,0))</f>
        <v/>
      </c>
      <c r="AA22" s="70" t="str">
        <f>IF(VLOOKUP($U22,'Performance Pivot'!$S:$AF,7,0)="","",VLOOKUP($U22,'Performance Pivot'!$S:$AF,7,0))</f>
        <v/>
      </c>
      <c r="AB22" s="70" t="str">
        <f>IF(VLOOKUP($U22,'Performance Pivot'!$S:$AF,8,0)="","",VLOOKUP($U22,'Performance Pivot'!$S:$AF,8,0))</f>
        <v/>
      </c>
      <c r="AC22" s="70" t="str">
        <f>IF(VLOOKUP($U22,'Performance Pivot'!$S:$AF,9,0)="","",VLOOKUP($U22,'Performance Pivot'!$S:$AF,9,0))</f>
        <v/>
      </c>
      <c r="AD22" s="70" t="str">
        <f>IF(VLOOKUP($U22,'Performance Pivot'!$S:$AF,10,0)="","",VLOOKUP($U22,'Performance Pivot'!$S:$AF,10,0))</f>
        <v/>
      </c>
      <c r="AE22" s="70" t="str">
        <f>IF(VLOOKUP($U22,'Performance Pivot'!$S:$AF,11,0)="","",VLOOKUP($U22,'Performance Pivot'!$S:$AF,11,0))</f>
        <v/>
      </c>
      <c r="AF22" s="70" t="str">
        <f>IF(VLOOKUP($U22,'Performance Pivot'!$S:$AF,12,0)="","",VLOOKUP($U22,'Performance Pivot'!$S:$AF,12,0))</f>
        <v/>
      </c>
      <c r="AG22" s="70" t="str">
        <f>IF(VLOOKUP($U22,'Performance Pivot'!$S:$AG,13,0)="","",VLOOKUP($U22,'Performance Pivot'!$S:$AG,13,0))</f>
        <v/>
      </c>
      <c r="AH22" s="70" t="str">
        <f>IF(VLOOKUP($U22,'Performance Pivot'!$S:$AG,14,0)="","",VLOOKUP($U22,'Performance Pivot'!$S:$AG,14,0))</f>
        <v/>
      </c>
      <c r="AI22" s="70" t="str">
        <f>IF(VLOOKUP($U22,'Performance Pivot'!$S:$AG,15,0)="","",VLOOKUP($U22,'Performance Pivot'!$S:$AG,15,0))</f>
        <v/>
      </c>
      <c r="AJ22" s="70" t="str">
        <f>IF(VLOOKUP($U22,'Performance Pivot'!$S:$AG,15,0)="","",VLOOKUP($U22,'Performance Pivot'!$S:$AG,15,0))</f>
        <v/>
      </c>
    </row>
    <row r="23" spans="3:36" s="71" customFormat="1" ht="21" customHeight="1">
      <c r="C23" s="89">
        <f>'Performance Pivot'!C34</f>
        <v>41730</v>
      </c>
      <c r="D23" s="69">
        <f>IF(VLOOKUP($C23,'Performance Pivot'!$C:$P,2,0)="","",VLOOKUP($C23,'Performance Pivot'!$C:$P,2,0))</f>
        <v>5.3460999999999999</v>
      </c>
      <c r="E23" s="69">
        <f>IF(VLOOKUP($C23,'Performance Pivot'!$C:$P,3,0)="","",VLOOKUP($C23,'Performance Pivot'!$C:$P,3,0))</f>
        <v>4.8837999999999999</v>
      </c>
      <c r="F23" s="69">
        <f>IF(VLOOKUP($C23,'Performance Pivot'!$C:$P,4,0)="","",VLOOKUP($C23,'Performance Pivot'!$C:$P,4,0))</f>
        <v>4.7366999999999999</v>
      </c>
      <c r="G23" s="69">
        <f>IF(VLOOKUP($C23,'Performance Pivot'!$C:$P,5,0)="","",VLOOKUP($C23,'Performance Pivot'!$C:$P,5,0))</f>
        <v>5.1940999999999997</v>
      </c>
      <c r="H23" s="69" t="str">
        <f>IF(VLOOKUP($C23,'Performance Pivot'!$C:$P,6,0)="","",VLOOKUP($C23,'Performance Pivot'!$C:$P,6,0))</f>
        <v/>
      </c>
      <c r="I23" s="69" t="str">
        <f>IF(VLOOKUP($C23,'Performance Pivot'!$C:$P,7,0)="","",VLOOKUP($C23,'Performance Pivot'!$C:$P,7,0))</f>
        <v/>
      </c>
      <c r="J23" s="69" t="str">
        <f>IF(VLOOKUP($C23,'Performance Pivot'!$C:$P,8,0)="","",VLOOKUP($C23,'Performance Pivot'!$C:$P,8,0))</f>
        <v/>
      </c>
      <c r="K23" s="69" t="str">
        <f>IF(VLOOKUP($C23,'Performance Pivot'!$C:$P,9,0)="","",VLOOKUP($C23,'Performance Pivot'!$C:$P,9,0))</f>
        <v/>
      </c>
      <c r="L23" s="69" t="str">
        <f>IF(VLOOKUP($C23,'Performance Pivot'!$C:$P,10,0)="","",VLOOKUP($C23,'Performance Pivot'!$C:$P,10,0))</f>
        <v/>
      </c>
      <c r="M23" s="69" t="str">
        <f>IF(VLOOKUP($C23,'Performance Pivot'!$C:$P,11,0)="","",VLOOKUP($C23,'Performance Pivot'!$C:$P,11,0))</f>
        <v/>
      </c>
      <c r="N23" s="69" t="str">
        <f>IF(VLOOKUP($C23,'Performance Pivot'!$C:$P,12,0)="","",VLOOKUP($C23,'Performance Pivot'!$C:$P,12,0))</f>
        <v/>
      </c>
      <c r="O23" s="69" t="str">
        <f>IF(VLOOKUP($C23,'Performance Pivot'!$C:$Q,13,0)="","",VLOOKUP($C23,'Performance Pivot'!$C:$Q,13,0))</f>
        <v/>
      </c>
      <c r="P23" s="69" t="str">
        <f>IF(VLOOKUP($C23,'Performance Pivot'!$C:$Q,14,0)="","",VLOOKUP($C23,'Performance Pivot'!$C:$Q,14,0))</f>
        <v/>
      </c>
      <c r="Q23" s="69" t="str">
        <f>IF(VLOOKUP($C23,'Performance Pivot'!$C:$Q,15,0)="","",VLOOKUP($C23,'Performance Pivot'!$C:$Q,15,0))</f>
        <v/>
      </c>
      <c r="R23" s="69" t="str">
        <f>IF(VLOOKUP($C23,'Performance Pivot'!$C:$Q,15,0)="","",VLOOKUP($C23,'Performance Pivot'!$C:$Q,15,0))</f>
        <v/>
      </c>
      <c r="S23" s="72"/>
      <c r="T23" s="72"/>
      <c r="U23" s="89">
        <f t="shared" si="14"/>
        <v>41730</v>
      </c>
      <c r="V23" s="70">
        <f>IF(VLOOKUP($U23,'Performance Pivot'!$S:$AF,2,0)="","",VLOOKUP($U23,'Performance Pivot'!$S:$AF,2,0))</f>
        <v>1.6299999999999999E-2</v>
      </c>
      <c r="W23" s="70">
        <f>IF(VLOOKUP($U23,'Performance Pivot'!$S:$AF,3,0)="","",VLOOKUP($U23,'Performance Pivot'!$S:$AF,3,0))</f>
        <v>0</v>
      </c>
      <c r="X23" s="70">
        <f>IF(VLOOKUP($U23,'Performance Pivot'!$S:$AF,4,0)="","",VLOOKUP($U23,'Performance Pivot'!$S:$AF,4,0))</f>
        <v>0</v>
      </c>
      <c r="Y23" s="70">
        <f>IF(VLOOKUP($U23,'Performance Pivot'!$S:$AF,5,0)="","",VLOOKUP($U23,'Performance Pivot'!$S:$AF,5,0))</f>
        <v>0</v>
      </c>
      <c r="Z23" s="70" t="str">
        <f>IF(VLOOKUP($U23,'Performance Pivot'!$S:$AF,6,0)="","",VLOOKUP($U23,'Performance Pivot'!$S:$AF,6,0))</f>
        <v/>
      </c>
      <c r="AA23" s="70" t="str">
        <f>IF(VLOOKUP($U23,'Performance Pivot'!$S:$AF,7,0)="","",VLOOKUP($U23,'Performance Pivot'!$S:$AF,7,0))</f>
        <v/>
      </c>
      <c r="AB23" s="70" t="str">
        <f>IF(VLOOKUP($U23,'Performance Pivot'!$S:$AF,8,0)="","",VLOOKUP($U23,'Performance Pivot'!$S:$AF,8,0))</f>
        <v/>
      </c>
      <c r="AC23" s="70" t="str">
        <f>IF(VLOOKUP($U23,'Performance Pivot'!$S:$AF,9,0)="","",VLOOKUP($U23,'Performance Pivot'!$S:$AF,9,0))</f>
        <v/>
      </c>
      <c r="AD23" s="70" t="str">
        <f>IF(VLOOKUP($U23,'Performance Pivot'!$S:$AF,10,0)="","",VLOOKUP($U23,'Performance Pivot'!$S:$AF,10,0))</f>
        <v/>
      </c>
      <c r="AE23" s="70" t="str">
        <f>IF(VLOOKUP($U23,'Performance Pivot'!$S:$AF,11,0)="","",VLOOKUP($U23,'Performance Pivot'!$S:$AF,11,0))</f>
        <v/>
      </c>
      <c r="AF23" s="70" t="str">
        <f>IF(VLOOKUP($U23,'Performance Pivot'!$S:$AF,12,0)="","",VLOOKUP($U23,'Performance Pivot'!$S:$AF,12,0))</f>
        <v/>
      </c>
      <c r="AG23" s="70" t="str">
        <f>IF(VLOOKUP($U23,'Performance Pivot'!$S:$AG,13,0)="","",VLOOKUP($U23,'Performance Pivot'!$S:$AG,13,0))</f>
        <v/>
      </c>
      <c r="AH23" s="70" t="str">
        <f>IF(VLOOKUP($U23,'Performance Pivot'!$S:$AG,14,0)="","",VLOOKUP($U23,'Performance Pivot'!$S:$AG,14,0))</f>
        <v/>
      </c>
      <c r="AI23" s="70" t="str">
        <f>IF(VLOOKUP($U23,'Performance Pivot'!$S:$AG,15,0)="","",VLOOKUP($U23,'Performance Pivot'!$S:$AG,15,0))</f>
        <v/>
      </c>
      <c r="AJ23" s="70" t="str">
        <f>IF(VLOOKUP($U23,'Performance Pivot'!$S:$AG,15,0)="","",VLOOKUP($U23,'Performance Pivot'!$S:$AG,15,0))</f>
        <v/>
      </c>
    </row>
    <row r="24" spans="3:36" s="71" customFormat="1" ht="21" customHeight="1">
      <c r="C24" s="89">
        <f>'Performance Pivot'!C33</f>
        <v>41760</v>
      </c>
      <c r="D24" s="69">
        <f>IF(VLOOKUP($C24,'Performance Pivot'!$C:$P,2,0)="","",VLOOKUP($C24,'Performance Pivot'!$C:$P,2,0))</f>
        <v>6.4036</v>
      </c>
      <c r="E24" s="69">
        <f>IF(VLOOKUP($C24,'Performance Pivot'!$C:$P,3,0)="","",VLOOKUP($C24,'Performance Pivot'!$C:$P,3,0))</f>
        <v>5.4901999999999997</v>
      </c>
      <c r="F24" s="69">
        <f>IF(VLOOKUP($C24,'Performance Pivot'!$C:$P,4,0)="","",VLOOKUP($C24,'Performance Pivot'!$C:$P,4,0))</f>
        <v>5.5529999999999999</v>
      </c>
      <c r="G24" s="69">
        <f>IF(VLOOKUP($C24,'Performance Pivot'!$C:$P,5,0)="","",VLOOKUP($C24,'Performance Pivot'!$C:$P,5,0))</f>
        <v>6.3765999999999998</v>
      </c>
      <c r="H24" s="69" t="str">
        <f>IF(VLOOKUP($C24,'Performance Pivot'!$C:$P,6,0)="","",VLOOKUP($C24,'Performance Pivot'!$C:$P,6,0))</f>
        <v/>
      </c>
      <c r="I24" s="69" t="str">
        <f>IF(VLOOKUP($C24,'Performance Pivot'!$C:$P,7,0)="","",VLOOKUP($C24,'Performance Pivot'!$C:$P,7,0))</f>
        <v/>
      </c>
      <c r="J24" s="69" t="str">
        <f>IF(VLOOKUP($C24,'Performance Pivot'!$C:$P,8,0)="","",VLOOKUP($C24,'Performance Pivot'!$C:$P,8,0))</f>
        <v/>
      </c>
      <c r="K24" s="69" t="str">
        <f>IF(VLOOKUP($C24,'Performance Pivot'!$C:$P,9,0)="","",VLOOKUP($C24,'Performance Pivot'!$C:$P,9,0))</f>
        <v/>
      </c>
      <c r="L24" s="69" t="str">
        <f>IF(VLOOKUP($C24,'Performance Pivot'!$C:$P,10,0)="","",VLOOKUP($C24,'Performance Pivot'!$C:$P,10,0))</f>
        <v/>
      </c>
      <c r="M24" s="69" t="str">
        <f>IF(VLOOKUP($C24,'Performance Pivot'!$C:$P,11,0)="","",VLOOKUP($C24,'Performance Pivot'!$C:$P,11,0))</f>
        <v/>
      </c>
      <c r="N24" s="69" t="str">
        <f>IF(VLOOKUP($C24,'Performance Pivot'!$C:$P,12,0)="","",VLOOKUP($C24,'Performance Pivot'!$C:$P,12,0))</f>
        <v/>
      </c>
      <c r="O24" s="69" t="str">
        <f>IF(VLOOKUP($C24,'Performance Pivot'!$C:$Q,13,0)="","",VLOOKUP($C24,'Performance Pivot'!$C:$Q,13,0))</f>
        <v/>
      </c>
      <c r="P24" s="69" t="str">
        <f>IF(VLOOKUP($C24,'Performance Pivot'!$C:$Q,14,0)="","",VLOOKUP($C24,'Performance Pivot'!$C:$Q,14,0))</f>
        <v/>
      </c>
      <c r="Q24" s="69" t="str">
        <f>IF(VLOOKUP($C24,'Performance Pivot'!$C:$Q,15,0)="","",VLOOKUP($C24,'Performance Pivot'!$C:$Q,15,0))</f>
        <v/>
      </c>
      <c r="R24" s="69" t="str">
        <f>IF(VLOOKUP($C24,'Performance Pivot'!$C:$Q,15,0)="","",VLOOKUP($C24,'Performance Pivot'!$C:$Q,15,0))</f>
        <v/>
      </c>
      <c r="S24" s="72"/>
      <c r="T24" s="72"/>
      <c r="U24" s="89">
        <f t="shared" si="14"/>
        <v>41760</v>
      </c>
      <c r="V24" s="70">
        <f>IF(VLOOKUP($U24,'Performance Pivot'!$S:$AF,2,0)="","",VLOOKUP($U24,'Performance Pivot'!$S:$AF,2,0))</f>
        <v>3.0499999999999999E-2</v>
      </c>
      <c r="W24" s="70">
        <f>IF(VLOOKUP($U24,'Performance Pivot'!$S:$AF,3,0)="","",VLOOKUP($U24,'Performance Pivot'!$S:$AF,3,0))</f>
        <v>4.0599999999999997E-2</v>
      </c>
      <c r="X24" s="70">
        <f>IF(VLOOKUP($U24,'Performance Pivot'!$S:$AF,4,0)="","",VLOOKUP($U24,'Performance Pivot'!$S:$AF,4,0))</f>
        <v>0</v>
      </c>
      <c r="Y24" s="70">
        <f>IF(VLOOKUP($U24,'Performance Pivot'!$S:$AF,5,0)="","",VLOOKUP($U24,'Performance Pivot'!$S:$AF,5,0))</f>
        <v>0</v>
      </c>
      <c r="Z24" s="70" t="str">
        <f>IF(VLOOKUP($U24,'Performance Pivot'!$S:$AF,6,0)="","",VLOOKUP($U24,'Performance Pivot'!$S:$AF,6,0))</f>
        <v/>
      </c>
      <c r="AA24" s="70" t="str">
        <f>IF(VLOOKUP($U24,'Performance Pivot'!$S:$AF,7,0)="","",VLOOKUP($U24,'Performance Pivot'!$S:$AF,7,0))</f>
        <v/>
      </c>
      <c r="AB24" s="70" t="str">
        <f>IF(VLOOKUP($U24,'Performance Pivot'!$S:$AF,8,0)="","",VLOOKUP($U24,'Performance Pivot'!$S:$AF,8,0))</f>
        <v/>
      </c>
      <c r="AC24" s="70" t="str">
        <f>IF(VLOOKUP($U24,'Performance Pivot'!$S:$AF,9,0)="","",VLOOKUP($U24,'Performance Pivot'!$S:$AF,9,0))</f>
        <v/>
      </c>
      <c r="AD24" s="70" t="str">
        <f>IF(VLOOKUP($U24,'Performance Pivot'!$S:$AF,10,0)="","",VLOOKUP($U24,'Performance Pivot'!$S:$AF,10,0))</f>
        <v/>
      </c>
      <c r="AE24" s="70" t="str">
        <f>IF(VLOOKUP($U24,'Performance Pivot'!$S:$AF,11,0)="","",VLOOKUP($U24,'Performance Pivot'!$S:$AF,11,0))</f>
        <v/>
      </c>
      <c r="AF24" s="70" t="str">
        <f>IF(VLOOKUP($U24,'Performance Pivot'!$S:$AF,12,0)="","",VLOOKUP($U24,'Performance Pivot'!$S:$AF,12,0))</f>
        <v/>
      </c>
      <c r="AG24" s="70" t="str">
        <f>IF(VLOOKUP($U24,'Performance Pivot'!$S:$AG,13,0)="","",VLOOKUP($U24,'Performance Pivot'!$S:$AG,13,0))</f>
        <v/>
      </c>
      <c r="AH24" s="70" t="str">
        <f>IF(VLOOKUP($U24,'Performance Pivot'!$S:$AG,14,0)="","",VLOOKUP($U24,'Performance Pivot'!$S:$AG,14,0))</f>
        <v/>
      </c>
      <c r="AI24" s="70" t="str">
        <f>IF(VLOOKUP($U24,'Performance Pivot'!$S:$AG,15,0)="","",VLOOKUP($U24,'Performance Pivot'!$S:$AG,15,0))</f>
        <v/>
      </c>
      <c r="AJ24" s="70" t="str">
        <f>IF(VLOOKUP($U24,'Performance Pivot'!$S:$AG,15,0)="","",VLOOKUP($U24,'Performance Pivot'!$S:$AG,15,0))</f>
        <v/>
      </c>
    </row>
    <row r="25" spans="3:36" s="71" customFormat="1" ht="21" customHeight="1">
      <c r="C25" s="89">
        <f>'Performance Pivot'!C32</f>
        <v>41791</v>
      </c>
      <c r="D25" s="69">
        <f>IF(VLOOKUP($C25,'Performance Pivot'!$C:$P,2,0)="","",VLOOKUP($C25,'Performance Pivot'!$C:$P,2,0))</f>
        <v>7.5891000000000002</v>
      </c>
      <c r="E25" s="69">
        <f>IF(VLOOKUP($C25,'Performance Pivot'!$C:$P,3,0)="","",VLOOKUP($C25,'Performance Pivot'!$C:$P,3,0))</f>
        <v>6.4953000000000003</v>
      </c>
      <c r="F25" s="69">
        <f>IF(VLOOKUP($C25,'Performance Pivot'!$C:$P,4,0)="","",VLOOKUP($C25,'Performance Pivot'!$C:$P,4,0))</f>
        <v>6.5929000000000002</v>
      </c>
      <c r="G25" s="69">
        <f>IF(VLOOKUP($C25,'Performance Pivot'!$C:$P,5,0)="","",VLOOKUP($C25,'Performance Pivot'!$C:$P,5,0))</f>
        <v>7.1509999999999998</v>
      </c>
      <c r="H25" s="69">
        <f>IF(VLOOKUP($C25,'Performance Pivot'!$C:$P,6,0)="","",VLOOKUP($C25,'Performance Pivot'!$C:$P,6,0))</f>
        <v>7.5358000000000001</v>
      </c>
      <c r="I25" s="69">
        <f>IF(VLOOKUP($C25,'Performance Pivot'!$C:$P,7,0)="","",VLOOKUP($C25,'Performance Pivot'!$C:$P,7,0))</f>
        <v>6.6285999999999996</v>
      </c>
      <c r="J25" s="69" t="str">
        <f>IF(VLOOKUP($C25,'Performance Pivot'!$C:$P,8,0)="","",VLOOKUP($C25,'Performance Pivot'!$C:$P,8,0))</f>
        <v/>
      </c>
      <c r="K25" s="69" t="str">
        <f>IF(VLOOKUP($C25,'Performance Pivot'!$C:$P,9,0)="","",VLOOKUP($C25,'Performance Pivot'!$C:$P,9,0))</f>
        <v/>
      </c>
      <c r="L25" s="69" t="str">
        <f>IF(VLOOKUP($C25,'Performance Pivot'!$C:$P,10,0)="","",VLOOKUP($C25,'Performance Pivot'!$C:$P,10,0))</f>
        <v/>
      </c>
      <c r="M25" s="69" t="str">
        <f>IF(VLOOKUP($C25,'Performance Pivot'!$C:$P,11,0)="","",VLOOKUP($C25,'Performance Pivot'!$C:$P,11,0))</f>
        <v/>
      </c>
      <c r="N25" s="69" t="str">
        <f>IF(VLOOKUP($C25,'Performance Pivot'!$C:$P,12,0)="","",VLOOKUP($C25,'Performance Pivot'!$C:$P,12,0))</f>
        <v/>
      </c>
      <c r="O25" s="69" t="str">
        <f>IF(VLOOKUP($C25,'Performance Pivot'!$C:$Q,13,0)="","",VLOOKUP($C25,'Performance Pivot'!$C:$Q,13,0))</f>
        <v/>
      </c>
      <c r="P25" s="69" t="str">
        <f>IF(VLOOKUP($C25,'Performance Pivot'!$C:$Q,14,0)="","",VLOOKUP($C25,'Performance Pivot'!$C:$Q,14,0))</f>
        <v/>
      </c>
      <c r="Q25" s="69" t="str">
        <f>IF(VLOOKUP($C25,'Performance Pivot'!$C:$Q,15,0)="","",VLOOKUP($C25,'Performance Pivot'!$C:$Q,15,0))</f>
        <v/>
      </c>
      <c r="R25" s="69" t="str">
        <f>IF(VLOOKUP($C25,'Performance Pivot'!$C:$Q,15,0)="","",VLOOKUP($C25,'Performance Pivot'!$C:$Q,15,0))</f>
        <v/>
      </c>
      <c r="S25" s="72"/>
      <c r="T25" s="72"/>
      <c r="U25" s="89">
        <f t="shared" si="14"/>
        <v>41791</v>
      </c>
      <c r="V25" s="70">
        <f>IF(VLOOKUP($U25,'Performance Pivot'!$S:$AF,2,0)="","",VLOOKUP($U25,'Performance Pivot'!$S:$AF,2,0))</f>
        <v>7.3400000000000007E-2</v>
      </c>
      <c r="W25" s="70">
        <f>IF(VLOOKUP($U25,'Performance Pivot'!$S:$AF,3,0)="","",VLOOKUP($U25,'Performance Pivot'!$S:$AF,3,0))</f>
        <v>7.3000000000000001E-3</v>
      </c>
      <c r="X25" s="70">
        <f>IF(VLOOKUP($U25,'Performance Pivot'!$S:$AF,4,0)="","",VLOOKUP($U25,'Performance Pivot'!$S:$AF,4,0))</f>
        <v>0</v>
      </c>
      <c r="Y25" s="70">
        <f>IF(VLOOKUP($U25,'Performance Pivot'!$S:$AF,5,0)="","",VLOOKUP($U25,'Performance Pivot'!$S:$AF,5,0))</f>
        <v>0</v>
      </c>
      <c r="Z25" s="70">
        <f>IF(VLOOKUP($U25,'Performance Pivot'!$S:$AF,6,0)="","",VLOOKUP($U25,'Performance Pivot'!$S:$AF,6,0))</f>
        <v>0</v>
      </c>
      <c r="AA25" s="70">
        <f>IF(VLOOKUP($U25,'Performance Pivot'!$S:$AF,7,0)="","",VLOOKUP($U25,'Performance Pivot'!$S:$AF,7,0))</f>
        <v>0</v>
      </c>
      <c r="AB25" s="70" t="str">
        <f>IF(VLOOKUP($U25,'Performance Pivot'!$S:$AF,8,0)="","",VLOOKUP($U25,'Performance Pivot'!$S:$AF,8,0))</f>
        <v/>
      </c>
      <c r="AC25" s="70" t="str">
        <f>IF(VLOOKUP($U25,'Performance Pivot'!$S:$AF,9,0)="","",VLOOKUP($U25,'Performance Pivot'!$S:$AF,9,0))</f>
        <v/>
      </c>
      <c r="AD25" s="70" t="str">
        <f>IF(VLOOKUP($U25,'Performance Pivot'!$S:$AF,10,0)="","",VLOOKUP($U25,'Performance Pivot'!$S:$AF,10,0))</f>
        <v/>
      </c>
      <c r="AE25" s="70" t="str">
        <f>IF(VLOOKUP($U25,'Performance Pivot'!$S:$AF,11,0)="","",VLOOKUP($U25,'Performance Pivot'!$S:$AF,11,0))</f>
        <v/>
      </c>
      <c r="AF25" s="70" t="str">
        <f>IF(VLOOKUP($U25,'Performance Pivot'!$S:$AF,12,0)="","",VLOOKUP($U25,'Performance Pivot'!$S:$AF,12,0))</f>
        <v/>
      </c>
      <c r="AG25" s="70" t="str">
        <f>IF(VLOOKUP($U25,'Performance Pivot'!$S:$AG,13,0)="","",VLOOKUP($U25,'Performance Pivot'!$S:$AG,13,0))</f>
        <v/>
      </c>
      <c r="AH25" s="70" t="str">
        <f>IF(VLOOKUP($U25,'Performance Pivot'!$S:$AG,14,0)="","",VLOOKUP($U25,'Performance Pivot'!$S:$AG,14,0))</f>
        <v/>
      </c>
      <c r="AI25" s="70" t="str">
        <f>IF(VLOOKUP($U25,'Performance Pivot'!$S:$AG,15,0)="","",VLOOKUP($U25,'Performance Pivot'!$S:$AG,15,0))</f>
        <v/>
      </c>
      <c r="AJ25" s="70" t="str">
        <f>IF(VLOOKUP($U25,'Performance Pivot'!$S:$AG,15,0)="","",VLOOKUP($U25,'Performance Pivot'!$S:$AG,15,0))</f>
        <v/>
      </c>
    </row>
    <row r="26" spans="3:36" s="71" customFormat="1" ht="21" customHeight="1">
      <c r="C26" s="89">
        <f>'Performance Pivot'!C31</f>
        <v>41821</v>
      </c>
      <c r="D26" s="69">
        <f>IF(VLOOKUP($C26,'Performance Pivot'!$C:$P,2,0)="","",VLOOKUP($C26,'Performance Pivot'!$C:$P,2,0))</f>
        <v>8.1112000000000002</v>
      </c>
      <c r="E26" s="69">
        <f>IF(VLOOKUP($C26,'Performance Pivot'!$C:$P,3,0)="","",VLOOKUP($C26,'Performance Pivot'!$C:$P,3,0))</f>
        <v>6.5576999999999996</v>
      </c>
      <c r="F26" s="69">
        <f>IF(VLOOKUP($C26,'Performance Pivot'!$C:$P,4,0)="","",VLOOKUP($C26,'Performance Pivot'!$C:$P,4,0))</f>
        <v>6.4131</v>
      </c>
      <c r="G26" s="69">
        <f>IF(VLOOKUP($C26,'Performance Pivot'!$C:$P,5,0)="","",VLOOKUP($C26,'Performance Pivot'!$C:$P,5,0))</f>
        <v>7.657</v>
      </c>
      <c r="H26" s="69">
        <f>IF(VLOOKUP($C26,'Performance Pivot'!$C:$P,6,0)="","",VLOOKUP($C26,'Performance Pivot'!$C:$P,6,0))</f>
        <v>6.6032000000000002</v>
      </c>
      <c r="I26" s="69">
        <f>IF(VLOOKUP($C26,'Performance Pivot'!$C:$P,7,0)="","",VLOOKUP($C26,'Performance Pivot'!$C:$P,7,0))</f>
        <v>7.2175000000000002</v>
      </c>
      <c r="J26" s="69" t="str">
        <f>IF(VLOOKUP($C26,'Performance Pivot'!$C:$P,8,0)="","",VLOOKUP($C26,'Performance Pivot'!$C:$P,8,0))</f>
        <v/>
      </c>
      <c r="K26" s="69" t="str">
        <f>IF(VLOOKUP($C26,'Performance Pivot'!$C:$P,9,0)="","",VLOOKUP($C26,'Performance Pivot'!$C:$P,9,0))</f>
        <v/>
      </c>
      <c r="L26" s="69" t="str">
        <f>IF(VLOOKUP($C26,'Performance Pivot'!$C:$P,10,0)="","",VLOOKUP($C26,'Performance Pivot'!$C:$P,10,0))</f>
        <v/>
      </c>
      <c r="M26" s="69" t="str">
        <f>IF(VLOOKUP($C26,'Performance Pivot'!$C:$P,11,0)="","",VLOOKUP($C26,'Performance Pivot'!$C:$P,11,0))</f>
        <v/>
      </c>
      <c r="N26" s="69" t="str">
        <f>IF(VLOOKUP($C26,'Performance Pivot'!$C:$P,12,0)="","",VLOOKUP($C26,'Performance Pivot'!$C:$P,12,0))</f>
        <v/>
      </c>
      <c r="O26" s="69" t="str">
        <f>IF(VLOOKUP($C26,'Performance Pivot'!$C:$Q,13,0)="","",VLOOKUP($C26,'Performance Pivot'!$C:$Q,13,0))</f>
        <v/>
      </c>
      <c r="P26" s="69" t="str">
        <f>IF(VLOOKUP($C26,'Performance Pivot'!$C:$Q,14,0)="","",VLOOKUP($C26,'Performance Pivot'!$C:$Q,14,0))</f>
        <v/>
      </c>
      <c r="Q26" s="69" t="str">
        <f>IF(VLOOKUP($C26,'Performance Pivot'!$C:$Q,15,0)="","",VLOOKUP($C26,'Performance Pivot'!$C:$Q,15,0))</f>
        <v/>
      </c>
      <c r="R26" s="69" t="str">
        <f>IF(VLOOKUP($C26,'Performance Pivot'!$C:$Q,15,0)="","",VLOOKUP($C26,'Performance Pivot'!$C:$Q,15,0))</f>
        <v/>
      </c>
      <c r="S26" s="72"/>
      <c r="T26" s="72"/>
      <c r="U26" s="89">
        <f t="shared" si="14"/>
        <v>41821</v>
      </c>
      <c r="V26" s="70">
        <f>IF(VLOOKUP($U26,'Performance Pivot'!$S:$AF,2,0)="","",VLOOKUP($U26,'Performance Pivot'!$S:$AF,2,0))</f>
        <v>6.0699999999999997E-2</v>
      </c>
      <c r="W26" s="70">
        <f>IF(VLOOKUP($U26,'Performance Pivot'!$S:$AF,3,0)="","",VLOOKUP($U26,'Performance Pivot'!$S:$AF,3,0))</f>
        <v>3.2000000000000001E-2</v>
      </c>
      <c r="X26" s="70">
        <f>IF(VLOOKUP($U26,'Performance Pivot'!$S:$AF,4,0)="","",VLOOKUP($U26,'Performance Pivot'!$S:$AF,4,0))</f>
        <v>0</v>
      </c>
      <c r="Y26" s="70">
        <f>IF(VLOOKUP($U26,'Performance Pivot'!$S:$AF,5,0)="","",VLOOKUP($U26,'Performance Pivot'!$S:$AF,5,0))</f>
        <v>0</v>
      </c>
      <c r="Z26" s="70">
        <f>IF(VLOOKUP($U26,'Performance Pivot'!$S:$AF,6,0)="","",VLOOKUP($U26,'Performance Pivot'!$S:$AF,6,0))</f>
        <v>0</v>
      </c>
      <c r="AA26" s="70">
        <f>IF(VLOOKUP($U26,'Performance Pivot'!$S:$AF,7,0)="","",VLOOKUP($U26,'Performance Pivot'!$S:$AF,7,0))</f>
        <v>0</v>
      </c>
      <c r="AB26" s="70" t="str">
        <f>IF(VLOOKUP($U26,'Performance Pivot'!$S:$AF,8,0)="","",VLOOKUP($U26,'Performance Pivot'!$S:$AF,8,0))</f>
        <v/>
      </c>
      <c r="AC26" s="70" t="str">
        <f>IF(VLOOKUP($U26,'Performance Pivot'!$S:$AF,9,0)="","",VLOOKUP($U26,'Performance Pivot'!$S:$AF,9,0))</f>
        <v/>
      </c>
      <c r="AD26" s="70" t="str">
        <f>IF(VLOOKUP($U26,'Performance Pivot'!$S:$AF,10,0)="","",VLOOKUP($U26,'Performance Pivot'!$S:$AF,10,0))</f>
        <v/>
      </c>
      <c r="AE26" s="70" t="str">
        <f>IF(VLOOKUP($U26,'Performance Pivot'!$S:$AF,11,0)="","",VLOOKUP($U26,'Performance Pivot'!$S:$AF,11,0))</f>
        <v/>
      </c>
      <c r="AF26" s="70" t="str">
        <f>IF(VLOOKUP($U26,'Performance Pivot'!$S:$AF,12,0)="","",VLOOKUP($U26,'Performance Pivot'!$S:$AF,12,0))</f>
        <v/>
      </c>
      <c r="AG26" s="70" t="str">
        <f>IF(VLOOKUP($U26,'Performance Pivot'!$S:$AG,13,0)="","",VLOOKUP($U26,'Performance Pivot'!$S:$AG,13,0))</f>
        <v/>
      </c>
      <c r="AH26" s="70" t="str">
        <f>IF(VLOOKUP($U26,'Performance Pivot'!$S:$AG,14,0)="","",VLOOKUP($U26,'Performance Pivot'!$S:$AG,14,0))</f>
        <v/>
      </c>
      <c r="AI26" s="70" t="str">
        <f>IF(VLOOKUP($U26,'Performance Pivot'!$S:$AG,15,0)="","",VLOOKUP($U26,'Performance Pivot'!$S:$AG,15,0))</f>
        <v/>
      </c>
      <c r="AJ26" s="70" t="str">
        <f>IF(VLOOKUP($U26,'Performance Pivot'!$S:$AG,15,0)="","",VLOOKUP($U26,'Performance Pivot'!$S:$AG,15,0))</f>
        <v/>
      </c>
    </row>
    <row r="27" spans="3:36" s="71" customFormat="1" ht="21" customHeight="1">
      <c r="C27" s="89">
        <f>'Performance Pivot'!C30</f>
        <v>41852</v>
      </c>
      <c r="D27" s="69">
        <f>IF(VLOOKUP($C27,'Performance Pivot'!$C:$P,2,0)="","",VLOOKUP($C27,'Performance Pivot'!$C:$P,2,0))</f>
        <v>7.1153000000000004</v>
      </c>
      <c r="E27" s="69">
        <f>IF(VLOOKUP($C27,'Performance Pivot'!$C:$P,3,0)="","",VLOOKUP($C27,'Performance Pivot'!$C:$P,3,0))</f>
        <v>6.4042000000000003</v>
      </c>
      <c r="F27" s="69">
        <f>IF(VLOOKUP($C27,'Performance Pivot'!$C:$P,4,0)="","",VLOOKUP($C27,'Performance Pivot'!$C:$P,4,0))</f>
        <v>6.3779000000000003</v>
      </c>
      <c r="G27" s="69">
        <f>IF(VLOOKUP($C27,'Performance Pivot'!$C:$P,5,0)="","",VLOOKUP($C27,'Performance Pivot'!$C:$P,5,0))</f>
        <v>6.8301999999999996</v>
      </c>
      <c r="H27" s="69">
        <f>IF(VLOOKUP($C27,'Performance Pivot'!$C:$P,6,0)="","",VLOOKUP($C27,'Performance Pivot'!$C:$P,6,0))</f>
        <v>6.2595000000000001</v>
      </c>
      <c r="I27" s="69">
        <f>IF(VLOOKUP($C27,'Performance Pivot'!$C:$P,7,0)="","",VLOOKUP($C27,'Performance Pivot'!$C:$P,7,0))</f>
        <v>6.1364000000000001</v>
      </c>
      <c r="J27" s="69" t="str">
        <f>IF(VLOOKUP($C27,'Performance Pivot'!$C:$P,8,0)="","",VLOOKUP($C27,'Performance Pivot'!$C:$P,8,0))</f>
        <v/>
      </c>
      <c r="K27" s="69" t="str">
        <f>IF(VLOOKUP($C27,'Performance Pivot'!$C:$P,9,0)="","",VLOOKUP($C27,'Performance Pivot'!$C:$P,9,0))</f>
        <v/>
      </c>
      <c r="L27" s="69" t="str">
        <f>IF(VLOOKUP($C27,'Performance Pivot'!$C:$P,10,0)="","",VLOOKUP($C27,'Performance Pivot'!$C:$P,10,0))</f>
        <v/>
      </c>
      <c r="M27" s="69" t="str">
        <f>IF(VLOOKUP($C27,'Performance Pivot'!$C:$P,11,0)="","",VLOOKUP($C27,'Performance Pivot'!$C:$P,11,0))</f>
        <v/>
      </c>
      <c r="N27" s="69" t="str">
        <f>IF(VLOOKUP($C27,'Performance Pivot'!$C:$P,12,0)="","",VLOOKUP($C27,'Performance Pivot'!$C:$P,12,0))</f>
        <v/>
      </c>
      <c r="O27" s="69" t="str">
        <f>IF(VLOOKUP($C27,'Performance Pivot'!$C:$Q,13,0)="","",VLOOKUP($C27,'Performance Pivot'!$C:$Q,13,0))</f>
        <v/>
      </c>
      <c r="P27" s="69" t="str">
        <f>IF(VLOOKUP($C27,'Performance Pivot'!$C:$Q,14,0)="","",VLOOKUP($C27,'Performance Pivot'!$C:$Q,14,0))</f>
        <v/>
      </c>
      <c r="Q27" s="69" t="str">
        <f>IF(VLOOKUP($C27,'Performance Pivot'!$C:$Q,15,0)="","",VLOOKUP($C27,'Performance Pivot'!$C:$Q,15,0))</f>
        <v/>
      </c>
      <c r="R27" s="69" t="str">
        <f>IF(VLOOKUP($C27,'Performance Pivot'!$C:$Q,15,0)="","",VLOOKUP($C27,'Performance Pivot'!$C:$Q,15,0))</f>
        <v/>
      </c>
      <c r="S27" s="72"/>
      <c r="T27" s="72"/>
      <c r="U27" s="89">
        <f t="shared" si="14"/>
        <v>41852</v>
      </c>
      <c r="V27" s="70">
        <f>IF(VLOOKUP($U27,'Performance Pivot'!$S:$AF,2,0)="","",VLOOKUP($U27,'Performance Pivot'!$S:$AF,2,0))</f>
        <v>2.9000000000000001E-2</v>
      </c>
      <c r="W27" s="70">
        <f>IF(VLOOKUP($U27,'Performance Pivot'!$S:$AF,3,0)="","",VLOOKUP($U27,'Performance Pivot'!$S:$AF,3,0))</f>
        <v>2.7799999999999998E-2</v>
      </c>
      <c r="X27" s="70">
        <f>IF(VLOOKUP($U27,'Performance Pivot'!$S:$AF,4,0)="","",VLOOKUP($U27,'Performance Pivot'!$S:$AF,4,0))</f>
        <v>0</v>
      </c>
      <c r="Y27" s="70">
        <f>IF(VLOOKUP($U27,'Performance Pivot'!$S:$AF,5,0)="","",VLOOKUP($U27,'Performance Pivot'!$S:$AF,5,0))</f>
        <v>0</v>
      </c>
      <c r="Z27" s="70">
        <f>IF(VLOOKUP($U27,'Performance Pivot'!$S:$AF,6,0)="","",VLOOKUP($U27,'Performance Pivot'!$S:$AF,6,0))</f>
        <v>0</v>
      </c>
      <c r="AA27" s="70">
        <f>IF(VLOOKUP($U27,'Performance Pivot'!$S:$AF,7,0)="","",VLOOKUP($U27,'Performance Pivot'!$S:$AF,7,0))</f>
        <v>0</v>
      </c>
      <c r="AB27" s="70" t="str">
        <f>IF(VLOOKUP($U27,'Performance Pivot'!$S:$AF,8,0)="","",VLOOKUP($U27,'Performance Pivot'!$S:$AF,8,0))</f>
        <v/>
      </c>
      <c r="AC27" s="70" t="str">
        <f>IF(VLOOKUP($U27,'Performance Pivot'!$S:$AF,9,0)="","",VLOOKUP($U27,'Performance Pivot'!$S:$AF,9,0))</f>
        <v/>
      </c>
      <c r="AD27" s="70" t="str">
        <f>IF(VLOOKUP($U27,'Performance Pivot'!$S:$AF,10,0)="","",VLOOKUP($U27,'Performance Pivot'!$S:$AF,10,0))</f>
        <v/>
      </c>
      <c r="AE27" s="70" t="str">
        <f>IF(VLOOKUP($U27,'Performance Pivot'!$S:$AF,11,0)="","",VLOOKUP($U27,'Performance Pivot'!$S:$AF,11,0))</f>
        <v/>
      </c>
      <c r="AF27" s="70" t="str">
        <f>IF(VLOOKUP($U27,'Performance Pivot'!$S:$AF,12,0)="","",VLOOKUP($U27,'Performance Pivot'!$S:$AF,12,0))</f>
        <v/>
      </c>
      <c r="AG27" s="70" t="str">
        <f>IF(VLOOKUP($U27,'Performance Pivot'!$S:$AG,13,0)="","",VLOOKUP($U27,'Performance Pivot'!$S:$AG,13,0))</f>
        <v/>
      </c>
      <c r="AH27" s="70" t="str">
        <f>IF(VLOOKUP($U27,'Performance Pivot'!$S:$AG,14,0)="","",VLOOKUP($U27,'Performance Pivot'!$S:$AG,14,0))</f>
        <v/>
      </c>
      <c r="AI27" s="70" t="str">
        <f>IF(VLOOKUP($U27,'Performance Pivot'!$S:$AG,15,0)="","",VLOOKUP($U27,'Performance Pivot'!$S:$AG,15,0))</f>
        <v/>
      </c>
      <c r="AJ27" s="70" t="str">
        <f>IF(VLOOKUP($U27,'Performance Pivot'!$S:$AG,15,0)="","",VLOOKUP($U27,'Performance Pivot'!$S:$AG,15,0))</f>
        <v/>
      </c>
    </row>
    <row r="28" spans="3:36" s="71" customFormat="1" ht="21" customHeight="1">
      <c r="C28" s="89">
        <f>'Performance Pivot'!C29</f>
        <v>41883</v>
      </c>
      <c r="D28" s="69">
        <f>IF(VLOOKUP($C28,'Performance Pivot'!$C:$P,2,0)="","",VLOOKUP($C28,'Performance Pivot'!$C:$P,2,0))</f>
        <v>6.6208</v>
      </c>
      <c r="E28" s="69">
        <f>IF(VLOOKUP($C28,'Performance Pivot'!$C:$P,3,0)="","",VLOOKUP($C28,'Performance Pivot'!$C:$P,3,0))</f>
        <v>6.2762000000000002</v>
      </c>
      <c r="F28" s="69">
        <f>IF(VLOOKUP($C28,'Performance Pivot'!$C:$P,4,0)="","",VLOOKUP($C28,'Performance Pivot'!$C:$P,4,0))</f>
        <v>5.7961999999999998</v>
      </c>
      <c r="G28" s="69">
        <f>IF(VLOOKUP($C28,'Performance Pivot'!$C:$P,5,0)="","",VLOOKUP($C28,'Performance Pivot'!$C:$P,5,0))</f>
        <v>6.2785000000000002</v>
      </c>
      <c r="H28" s="69">
        <f>IF(VLOOKUP($C28,'Performance Pivot'!$C:$P,6,0)="","",VLOOKUP($C28,'Performance Pivot'!$C:$P,6,0))</f>
        <v>5.8460999999999999</v>
      </c>
      <c r="I28" s="69">
        <f>IF(VLOOKUP($C28,'Performance Pivot'!$C:$P,7,0)="","",VLOOKUP($C28,'Performance Pivot'!$C:$P,7,0))</f>
        <v>6.1737000000000002</v>
      </c>
      <c r="J28" s="69" t="str">
        <f>IF(VLOOKUP($C28,'Performance Pivot'!$C:$P,8,0)="","",VLOOKUP($C28,'Performance Pivot'!$C:$P,8,0))</f>
        <v/>
      </c>
      <c r="K28" s="69" t="str">
        <f>IF(VLOOKUP($C28,'Performance Pivot'!$C:$P,9,0)="","",VLOOKUP($C28,'Performance Pivot'!$C:$P,9,0))</f>
        <v/>
      </c>
      <c r="L28" s="69" t="str">
        <f>IF(VLOOKUP($C28,'Performance Pivot'!$C:$P,10,0)="","",VLOOKUP($C28,'Performance Pivot'!$C:$P,10,0))</f>
        <v/>
      </c>
      <c r="M28" s="69" t="str">
        <f>IF(VLOOKUP($C28,'Performance Pivot'!$C:$P,11,0)="","",VLOOKUP($C28,'Performance Pivot'!$C:$P,11,0))</f>
        <v/>
      </c>
      <c r="N28" s="69" t="str">
        <f>IF(VLOOKUP($C28,'Performance Pivot'!$C:$P,12,0)="","",VLOOKUP($C28,'Performance Pivot'!$C:$P,12,0))</f>
        <v/>
      </c>
      <c r="O28" s="69" t="str">
        <f>IF(VLOOKUP($C28,'Performance Pivot'!$C:$Q,13,0)="","",VLOOKUP($C28,'Performance Pivot'!$C:$Q,13,0))</f>
        <v/>
      </c>
      <c r="P28" s="69" t="str">
        <f>IF(VLOOKUP($C28,'Performance Pivot'!$C:$Q,14,0)="","",VLOOKUP($C28,'Performance Pivot'!$C:$Q,14,0))</f>
        <v/>
      </c>
      <c r="Q28" s="69" t="str">
        <f>IF(VLOOKUP($C28,'Performance Pivot'!$C:$Q,15,0)="","",VLOOKUP($C28,'Performance Pivot'!$C:$Q,15,0))</f>
        <v/>
      </c>
      <c r="R28" s="69" t="str">
        <f>IF(VLOOKUP($C28,'Performance Pivot'!$C:$Q,15,0)="","",VLOOKUP($C28,'Performance Pivot'!$C:$Q,15,0))</f>
        <v/>
      </c>
      <c r="S28" s="72"/>
      <c r="T28" s="72"/>
      <c r="U28" s="89">
        <f t="shared" si="14"/>
        <v>41883</v>
      </c>
      <c r="V28" s="70">
        <f>IF(VLOOKUP($U28,'Performance Pivot'!$S:$AF,2,0)="","",VLOOKUP($U28,'Performance Pivot'!$S:$AF,2,0))</f>
        <v>6.2399999999999997E-2</v>
      </c>
      <c r="W28" s="70">
        <f>IF(VLOOKUP($U28,'Performance Pivot'!$S:$AF,3,0)="","",VLOOKUP($U28,'Performance Pivot'!$S:$AF,3,0))</f>
        <v>1.9900000000000001E-2</v>
      </c>
      <c r="X28" s="70">
        <f>IF(VLOOKUP($U28,'Performance Pivot'!$S:$AF,4,0)="","",VLOOKUP($U28,'Performance Pivot'!$S:$AF,4,0))</f>
        <v>1.67E-2</v>
      </c>
      <c r="Y28" s="70">
        <f>IF(VLOOKUP($U28,'Performance Pivot'!$S:$AF,5,0)="","",VLOOKUP($U28,'Performance Pivot'!$S:$AF,5,0))</f>
        <v>6.4899999999999999E-2</v>
      </c>
      <c r="Z28" s="70">
        <f>IF(VLOOKUP($U28,'Performance Pivot'!$S:$AF,6,0)="","",VLOOKUP($U28,'Performance Pivot'!$S:$AF,6,0))</f>
        <v>0</v>
      </c>
      <c r="AA28" s="70">
        <f>IF(VLOOKUP($U28,'Performance Pivot'!$S:$AF,7,0)="","",VLOOKUP($U28,'Performance Pivot'!$S:$AF,7,0))</f>
        <v>0</v>
      </c>
      <c r="AB28" s="70" t="str">
        <f>IF(VLOOKUP($U28,'Performance Pivot'!$S:$AF,8,0)="","",VLOOKUP($U28,'Performance Pivot'!$S:$AF,8,0))</f>
        <v/>
      </c>
      <c r="AC28" s="70" t="str">
        <f>IF(VLOOKUP($U28,'Performance Pivot'!$S:$AF,9,0)="","",VLOOKUP($U28,'Performance Pivot'!$S:$AF,9,0))</f>
        <v/>
      </c>
      <c r="AD28" s="70" t="str">
        <f>IF(VLOOKUP($U28,'Performance Pivot'!$S:$AF,10,0)="","",VLOOKUP($U28,'Performance Pivot'!$S:$AF,10,0))</f>
        <v/>
      </c>
      <c r="AE28" s="70" t="str">
        <f>IF(VLOOKUP($U28,'Performance Pivot'!$S:$AF,11,0)="","",VLOOKUP($U28,'Performance Pivot'!$S:$AF,11,0))</f>
        <v/>
      </c>
      <c r="AF28" s="70" t="str">
        <f>IF(VLOOKUP($U28,'Performance Pivot'!$S:$AF,12,0)="","",VLOOKUP($U28,'Performance Pivot'!$S:$AF,12,0))</f>
        <v/>
      </c>
      <c r="AG28" s="70" t="str">
        <f>IF(VLOOKUP($U28,'Performance Pivot'!$S:$AG,13,0)="","",VLOOKUP($U28,'Performance Pivot'!$S:$AG,13,0))</f>
        <v/>
      </c>
      <c r="AH28" s="70" t="str">
        <f>IF(VLOOKUP($U28,'Performance Pivot'!$S:$AG,14,0)="","",VLOOKUP($U28,'Performance Pivot'!$S:$AG,14,0))</f>
        <v/>
      </c>
      <c r="AI28" s="70" t="str">
        <f>IF(VLOOKUP($U28,'Performance Pivot'!$S:$AG,15,0)="","",VLOOKUP($U28,'Performance Pivot'!$S:$AG,15,0))</f>
        <v/>
      </c>
      <c r="AJ28" s="70" t="str">
        <f>IF(VLOOKUP($U28,'Performance Pivot'!$S:$AG,15,0)="","",VLOOKUP($U28,'Performance Pivot'!$S:$AG,15,0))</f>
        <v/>
      </c>
    </row>
    <row r="29" spans="3:36" s="71" customFormat="1" ht="21" customHeight="1">
      <c r="C29" s="89">
        <f>'Performance Pivot'!C28</f>
        <v>41913</v>
      </c>
      <c r="D29" s="69">
        <f>IF(VLOOKUP($C29,'Performance Pivot'!$C:$P,2,0)="","",VLOOKUP($C29,'Performance Pivot'!$C:$P,2,0))</f>
        <v>6.8959000000000001</v>
      </c>
      <c r="E29" s="69">
        <f>IF(VLOOKUP($C29,'Performance Pivot'!$C:$P,3,0)="","",VLOOKUP($C29,'Performance Pivot'!$C:$P,3,0))</f>
        <v>6.6981000000000002</v>
      </c>
      <c r="F29" s="69">
        <f>IF(VLOOKUP($C29,'Performance Pivot'!$C:$P,4,0)="","",VLOOKUP($C29,'Performance Pivot'!$C:$P,4,0))</f>
        <v>5.7521000000000004</v>
      </c>
      <c r="G29" s="69">
        <f>IF(VLOOKUP($C29,'Performance Pivot'!$C:$P,5,0)="","",VLOOKUP($C29,'Performance Pivot'!$C:$P,5,0))</f>
        <v>6.4198000000000004</v>
      </c>
      <c r="H29" s="69">
        <f>IF(VLOOKUP($C29,'Performance Pivot'!$C:$P,6,0)="","",VLOOKUP($C29,'Performance Pivot'!$C:$P,6,0))</f>
        <v>5.9844999999999997</v>
      </c>
      <c r="I29" s="69">
        <f>IF(VLOOKUP($C29,'Performance Pivot'!$C:$P,7,0)="","",VLOOKUP($C29,'Performance Pivot'!$C:$P,7,0))</f>
        <v>6.5739999999999998</v>
      </c>
      <c r="J29" s="69" t="str">
        <f>IF(VLOOKUP($C29,'Performance Pivot'!$C:$P,8,0)="","",VLOOKUP($C29,'Performance Pivot'!$C:$P,8,0))</f>
        <v/>
      </c>
      <c r="K29" s="69" t="str">
        <f>IF(VLOOKUP($C29,'Performance Pivot'!$C:$P,9,0)="","",VLOOKUP($C29,'Performance Pivot'!$C:$P,9,0))</f>
        <v/>
      </c>
      <c r="L29" s="69" t="str">
        <f>IF(VLOOKUP($C29,'Performance Pivot'!$C:$P,10,0)="","",VLOOKUP($C29,'Performance Pivot'!$C:$P,10,0))</f>
        <v/>
      </c>
      <c r="M29" s="69" t="str">
        <f>IF(VLOOKUP($C29,'Performance Pivot'!$C:$P,11,0)="","",VLOOKUP($C29,'Performance Pivot'!$C:$P,11,0))</f>
        <v/>
      </c>
      <c r="N29" s="69" t="str">
        <f>IF(VLOOKUP($C29,'Performance Pivot'!$C:$P,12,0)="","",VLOOKUP($C29,'Performance Pivot'!$C:$P,12,0))</f>
        <v/>
      </c>
      <c r="O29" s="69" t="str">
        <f>IF(VLOOKUP($C29,'Performance Pivot'!$C:$Q,13,0)="","",VLOOKUP($C29,'Performance Pivot'!$C:$Q,13,0))</f>
        <v/>
      </c>
      <c r="P29" s="69" t="str">
        <f>IF(VLOOKUP($C29,'Performance Pivot'!$C:$Q,14,0)="","",VLOOKUP($C29,'Performance Pivot'!$C:$Q,14,0))</f>
        <v/>
      </c>
      <c r="Q29" s="69" t="str">
        <f>IF(VLOOKUP($C29,'Performance Pivot'!$C:$Q,15,0)="","",VLOOKUP($C29,'Performance Pivot'!$C:$Q,15,0))</f>
        <v/>
      </c>
      <c r="R29" s="69" t="str">
        <f>IF(VLOOKUP($C29,'Performance Pivot'!$C:$Q,15,0)="","",VLOOKUP($C29,'Performance Pivot'!$C:$Q,15,0))</f>
        <v/>
      </c>
      <c r="S29" s="72"/>
      <c r="T29" s="72"/>
      <c r="U29" s="89">
        <f t="shared" si="14"/>
        <v>41913</v>
      </c>
      <c r="V29" s="70">
        <f>IF(VLOOKUP($U29,'Performance Pivot'!$S:$AF,2,0)="","",VLOOKUP($U29,'Performance Pivot'!$S:$AF,2,0))</f>
        <v>5.4399999999999997E-2</v>
      </c>
      <c r="W29" s="70">
        <f>IF(VLOOKUP($U29,'Performance Pivot'!$S:$AF,3,0)="","",VLOOKUP($U29,'Performance Pivot'!$S:$AF,3,0))</f>
        <v>6.8000000000000005E-2</v>
      </c>
      <c r="X29" s="70">
        <f>IF(VLOOKUP($U29,'Performance Pivot'!$S:$AF,4,0)="","",VLOOKUP($U29,'Performance Pivot'!$S:$AF,4,0))</f>
        <v>1.5699999999999999E-2</v>
      </c>
      <c r="Y29" s="70">
        <f>IF(VLOOKUP($U29,'Performance Pivot'!$S:$AF,5,0)="","",VLOOKUP($U29,'Performance Pivot'!$S:$AF,5,0))</f>
        <v>0</v>
      </c>
      <c r="Z29" s="70">
        <f>IF(VLOOKUP($U29,'Performance Pivot'!$S:$AF,6,0)="","",VLOOKUP($U29,'Performance Pivot'!$S:$AF,6,0))</f>
        <v>0</v>
      </c>
      <c r="AA29" s="70">
        <f>IF(VLOOKUP($U29,'Performance Pivot'!$S:$AF,7,0)="","",VLOOKUP($U29,'Performance Pivot'!$S:$AF,7,0))</f>
        <v>0</v>
      </c>
      <c r="AB29" s="70" t="str">
        <f>IF(VLOOKUP($U29,'Performance Pivot'!$S:$AF,8,0)="","",VLOOKUP($U29,'Performance Pivot'!$S:$AF,8,0))</f>
        <v/>
      </c>
      <c r="AC29" s="70" t="str">
        <f>IF(VLOOKUP($U29,'Performance Pivot'!$S:$AF,9,0)="","",VLOOKUP($U29,'Performance Pivot'!$S:$AF,9,0))</f>
        <v/>
      </c>
      <c r="AD29" s="70" t="str">
        <f>IF(VLOOKUP($U29,'Performance Pivot'!$S:$AF,10,0)="","",VLOOKUP($U29,'Performance Pivot'!$S:$AF,10,0))</f>
        <v/>
      </c>
      <c r="AE29" s="70" t="str">
        <f>IF(VLOOKUP($U29,'Performance Pivot'!$S:$AF,11,0)="","",VLOOKUP($U29,'Performance Pivot'!$S:$AF,11,0))</f>
        <v/>
      </c>
      <c r="AF29" s="70" t="str">
        <f>IF(VLOOKUP($U29,'Performance Pivot'!$S:$AF,12,0)="","",VLOOKUP($U29,'Performance Pivot'!$S:$AF,12,0))</f>
        <v/>
      </c>
      <c r="AG29" s="70" t="str">
        <f>IF(VLOOKUP($U29,'Performance Pivot'!$S:$AG,13,0)="","",VLOOKUP($U29,'Performance Pivot'!$S:$AG,13,0))</f>
        <v/>
      </c>
      <c r="AH29" s="70" t="str">
        <f>IF(VLOOKUP($U29,'Performance Pivot'!$S:$AG,14,0)="","",VLOOKUP($U29,'Performance Pivot'!$S:$AG,14,0))</f>
        <v/>
      </c>
      <c r="AI29" s="70" t="str">
        <f>IF(VLOOKUP($U29,'Performance Pivot'!$S:$AG,15,0)="","",VLOOKUP($U29,'Performance Pivot'!$S:$AG,15,0))</f>
        <v/>
      </c>
      <c r="AJ29" s="70" t="str">
        <f>IF(VLOOKUP($U29,'Performance Pivot'!$S:$AG,15,0)="","",VLOOKUP($U29,'Performance Pivot'!$S:$AG,15,0))</f>
        <v/>
      </c>
    </row>
    <row r="30" spans="3:36" s="71" customFormat="1" ht="21" customHeight="1">
      <c r="C30" s="89">
        <f>'Performance Pivot'!C27</f>
        <v>41944</v>
      </c>
      <c r="D30" s="69">
        <f>IF(VLOOKUP($C30,'Performance Pivot'!$C:$P,2,0)="","",VLOOKUP($C30,'Performance Pivot'!$C:$P,2,0))</f>
        <v>6.2229000000000001</v>
      </c>
      <c r="E30" s="69">
        <f>IF(VLOOKUP($C30,'Performance Pivot'!$C:$P,3,0)="","",VLOOKUP($C30,'Performance Pivot'!$C:$P,3,0))</f>
        <v>5.1308999999999996</v>
      </c>
      <c r="F30" s="69">
        <f>IF(VLOOKUP($C30,'Performance Pivot'!$C:$P,4,0)="","",VLOOKUP($C30,'Performance Pivot'!$C:$P,4,0))</f>
        <v>4.95</v>
      </c>
      <c r="G30" s="69">
        <f>IF(VLOOKUP($C30,'Performance Pivot'!$C:$P,5,0)="","",VLOOKUP($C30,'Performance Pivot'!$C:$P,5,0))</f>
        <v>6.0586000000000002</v>
      </c>
      <c r="H30" s="69">
        <f>IF(VLOOKUP($C30,'Performance Pivot'!$C:$P,6,0)="","",VLOOKUP($C30,'Performance Pivot'!$C:$P,6,0))</f>
        <v>5.5103999999999997</v>
      </c>
      <c r="I30" s="69">
        <f>IF(VLOOKUP($C30,'Performance Pivot'!$C:$P,7,0)="","",VLOOKUP($C30,'Performance Pivot'!$C:$P,7,0))</f>
        <v>6.2827000000000002</v>
      </c>
      <c r="J30" s="69">
        <f>IF(VLOOKUP($C30,'Performance Pivot'!$C:$P,8,0)="","",VLOOKUP($C30,'Performance Pivot'!$C:$P,8,0))</f>
        <v>9.8765999999999998</v>
      </c>
      <c r="K30" s="69">
        <f>IF(VLOOKUP($C30,'Performance Pivot'!$C:$P,9,0)="","",VLOOKUP($C30,'Performance Pivot'!$C:$P,9,0))</f>
        <v>9.5653000000000006</v>
      </c>
      <c r="L30" s="69" t="str">
        <f>IF(VLOOKUP($C30,'Performance Pivot'!$C:$P,10,0)="","",VLOOKUP($C30,'Performance Pivot'!$C:$P,10,0))</f>
        <v/>
      </c>
      <c r="M30" s="69" t="str">
        <f>IF(VLOOKUP($C30,'Performance Pivot'!$C:$P,11,0)="","",VLOOKUP($C30,'Performance Pivot'!$C:$P,11,0))</f>
        <v/>
      </c>
      <c r="N30" s="69" t="str">
        <f>IF(VLOOKUP($C30,'Performance Pivot'!$C:$P,12,0)="","",VLOOKUP($C30,'Performance Pivot'!$C:$P,12,0))</f>
        <v/>
      </c>
      <c r="O30" s="69" t="str">
        <f>IF(VLOOKUP($C30,'Performance Pivot'!$C:$Q,13,0)="","",VLOOKUP($C30,'Performance Pivot'!$C:$Q,13,0))</f>
        <v/>
      </c>
      <c r="P30" s="69" t="str">
        <f>IF(VLOOKUP($C30,'Performance Pivot'!$C:$Q,14,0)="","",VLOOKUP($C30,'Performance Pivot'!$C:$Q,14,0))</f>
        <v/>
      </c>
      <c r="Q30" s="69" t="str">
        <f>IF(VLOOKUP($C30,'Performance Pivot'!$C:$Q,15,0)="","",VLOOKUP($C30,'Performance Pivot'!$C:$Q,15,0))</f>
        <v/>
      </c>
      <c r="R30" s="69" t="str">
        <f>IF(VLOOKUP($C30,'Performance Pivot'!$C:$Q,15,0)="","",VLOOKUP($C30,'Performance Pivot'!$C:$Q,15,0))</f>
        <v/>
      </c>
      <c r="S30" s="72"/>
      <c r="T30" s="72"/>
      <c r="U30" s="89">
        <f t="shared" si="14"/>
        <v>41944</v>
      </c>
      <c r="V30" s="70">
        <f>IF(VLOOKUP($U30,'Performance Pivot'!$S:$AF,2,0)="","",VLOOKUP($U30,'Performance Pivot'!$S:$AF,2,0))</f>
        <v>0.06</v>
      </c>
      <c r="W30" s="70">
        <f>IF(VLOOKUP($U30,'Performance Pivot'!$S:$AF,3,0)="","",VLOOKUP($U30,'Performance Pivot'!$S:$AF,3,0))</f>
        <v>4.9500000000000002E-2</v>
      </c>
      <c r="X30" s="70">
        <f>IF(VLOOKUP($U30,'Performance Pivot'!$S:$AF,4,0)="","",VLOOKUP($U30,'Performance Pivot'!$S:$AF,4,0))</f>
        <v>3.4299999999999997E-2</v>
      </c>
      <c r="Y30" s="70">
        <f>IF(VLOOKUP($U30,'Performance Pivot'!$S:$AF,5,0)="","",VLOOKUP($U30,'Performance Pivot'!$S:$AF,5,0))</f>
        <v>9.9900000000000003E-2</v>
      </c>
      <c r="Z30" s="70">
        <f>IF(VLOOKUP($U30,'Performance Pivot'!$S:$AF,6,0)="","",VLOOKUP($U30,'Performance Pivot'!$S:$AF,6,0))</f>
        <v>2.07E-2</v>
      </c>
      <c r="AA30" s="70">
        <f>IF(VLOOKUP($U30,'Performance Pivot'!$S:$AF,7,0)="","",VLOOKUP($U30,'Performance Pivot'!$S:$AF,7,0))</f>
        <v>8.7800000000000003E-2</v>
      </c>
      <c r="AB30" s="70">
        <f>IF(VLOOKUP($U30,'Performance Pivot'!$S:$AF,8,0)="","",VLOOKUP($U30,'Performance Pivot'!$S:$AF,8,0))</f>
        <v>0</v>
      </c>
      <c r="AC30" s="70">
        <f>IF(VLOOKUP($U30,'Performance Pivot'!$S:$AF,9,0)="","",VLOOKUP($U30,'Performance Pivot'!$S:$AF,9,0))</f>
        <v>0</v>
      </c>
      <c r="AD30" s="70" t="str">
        <f>IF(VLOOKUP($U30,'Performance Pivot'!$S:$AF,10,0)="","",VLOOKUP($U30,'Performance Pivot'!$S:$AF,10,0))</f>
        <v/>
      </c>
      <c r="AE30" s="70" t="str">
        <f>IF(VLOOKUP($U30,'Performance Pivot'!$S:$AF,11,0)="","",VLOOKUP($U30,'Performance Pivot'!$S:$AF,11,0))</f>
        <v/>
      </c>
      <c r="AF30" s="70" t="str">
        <f>IF(VLOOKUP($U30,'Performance Pivot'!$S:$AF,12,0)="","",VLOOKUP($U30,'Performance Pivot'!$S:$AF,12,0))</f>
        <v/>
      </c>
      <c r="AG30" s="70" t="str">
        <f>IF(VLOOKUP($U30,'Performance Pivot'!$S:$AG,13,0)="","",VLOOKUP($U30,'Performance Pivot'!$S:$AG,13,0))</f>
        <v/>
      </c>
      <c r="AH30" s="70" t="str">
        <f>IF(VLOOKUP($U30,'Performance Pivot'!$S:$AG,14,0)="","",VLOOKUP($U30,'Performance Pivot'!$S:$AG,14,0))</f>
        <v/>
      </c>
      <c r="AI30" s="70" t="str">
        <f>IF(VLOOKUP($U30,'Performance Pivot'!$S:$AG,15,0)="","",VLOOKUP($U30,'Performance Pivot'!$S:$AG,15,0))</f>
        <v/>
      </c>
      <c r="AJ30" s="70" t="str">
        <f>IF(VLOOKUP($U30,'Performance Pivot'!$S:$AG,15,0)="","",VLOOKUP($U30,'Performance Pivot'!$S:$AG,15,0))</f>
        <v/>
      </c>
    </row>
    <row r="31" spans="3:36" s="71" customFormat="1" ht="21" customHeight="1">
      <c r="C31" s="89">
        <f>'Performance Pivot'!C26</f>
        <v>41974</v>
      </c>
      <c r="D31" s="69">
        <f>IF(VLOOKUP($C31,'Performance Pivot'!$C:$P,2,0)="","",VLOOKUP($C31,'Performance Pivot'!$C:$P,2,0))</f>
        <v>7.9608999999999996</v>
      </c>
      <c r="E31" s="69">
        <f>IF(VLOOKUP($C31,'Performance Pivot'!$C:$P,3,0)="","",VLOOKUP($C31,'Performance Pivot'!$C:$P,3,0))</f>
        <v>6.6855000000000002</v>
      </c>
      <c r="F31" s="69">
        <f>IF(VLOOKUP($C31,'Performance Pivot'!$C:$P,4,0)="","",VLOOKUP($C31,'Performance Pivot'!$C:$P,4,0))</f>
        <v>6.3140000000000001</v>
      </c>
      <c r="G31" s="69">
        <f>IF(VLOOKUP($C31,'Performance Pivot'!$C:$P,5,0)="","",VLOOKUP($C31,'Performance Pivot'!$C:$P,5,0))</f>
        <v>7.5411000000000001</v>
      </c>
      <c r="H31" s="69">
        <f>IF(VLOOKUP($C31,'Performance Pivot'!$C:$P,6,0)="","",VLOOKUP($C31,'Performance Pivot'!$C:$P,6,0))</f>
        <v>6.6345999999999998</v>
      </c>
      <c r="I31" s="69">
        <f>IF(VLOOKUP($C31,'Performance Pivot'!$C:$P,7,0)="","",VLOOKUP($C31,'Performance Pivot'!$C:$P,7,0))</f>
        <v>7.125</v>
      </c>
      <c r="J31" s="69">
        <f>IF(VLOOKUP($C31,'Performance Pivot'!$C:$P,8,0)="","",VLOOKUP($C31,'Performance Pivot'!$C:$P,8,0))</f>
        <v>11.7668</v>
      </c>
      <c r="K31" s="69">
        <f>IF(VLOOKUP($C31,'Performance Pivot'!$C:$P,9,0)="","",VLOOKUP($C31,'Performance Pivot'!$C:$P,9,0))</f>
        <v>10.291</v>
      </c>
      <c r="L31" s="69" t="str">
        <f>IF(VLOOKUP($C31,'Performance Pivot'!$C:$P,10,0)="","",VLOOKUP($C31,'Performance Pivot'!$C:$P,10,0))</f>
        <v/>
      </c>
      <c r="M31" s="69" t="str">
        <f>IF(VLOOKUP($C31,'Performance Pivot'!$C:$P,11,0)="","",VLOOKUP($C31,'Performance Pivot'!$C:$P,11,0))</f>
        <v/>
      </c>
      <c r="N31" s="69" t="str">
        <f>IF(VLOOKUP($C31,'Performance Pivot'!$C:$P,12,0)="","",VLOOKUP($C31,'Performance Pivot'!$C:$P,12,0))</f>
        <v/>
      </c>
      <c r="O31" s="69" t="str">
        <f>IF(VLOOKUP($C31,'Performance Pivot'!$C:$Q,13,0)="","",VLOOKUP($C31,'Performance Pivot'!$C:$Q,13,0))</f>
        <v/>
      </c>
      <c r="P31" s="69" t="str">
        <f>IF(VLOOKUP($C31,'Performance Pivot'!$C:$Q,14,0)="","",VLOOKUP($C31,'Performance Pivot'!$C:$Q,14,0))</f>
        <v/>
      </c>
      <c r="Q31" s="69" t="str">
        <f>IF(VLOOKUP($C31,'Performance Pivot'!$C:$Q,15,0)="","",VLOOKUP($C31,'Performance Pivot'!$C:$Q,15,0))</f>
        <v/>
      </c>
      <c r="R31" s="69" t="str">
        <f>IF(VLOOKUP($C31,'Performance Pivot'!$C:$Q,15,0)="","",VLOOKUP($C31,'Performance Pivot'!$C:$Q,15,0))</f>
        <v/>
      </c>
      <c r="S31" s="72"/>
      <c r="T31" s="72"/>
      <c r="U31" s="89">
        <f t="shared" si="14"/>
        <v>41974</v>
      </c>
      <c r="V31" s="70">
        <f>IF(VLOOKUP($U31,'Performance Pivot'!$S:$AF,2,0)="","",VLOOKUP($U31,'Performance Pivot'!$S:$AF,2,0))</f>
        <v>6.7699999999999996E-2</v>
      </c>
      <c r="W31" s="70">
        <f>IF(VLOOKUP($U31,'Performance Pivot'!$S:$AF,3,0)="","",VLOOKUP($U31,'Performance Pivot'!$S:$AF,3,0))</f>
        <v>6.4100000000000004E-2</v>
      </c>
      <c r="X31" s="70">
        <f>IF(VLOOKUP($U31,'Performance Pivot'!$S:$AF,4,0)="","",VLOOKUP($U31,'Performance Pivot'!$S:$AF,4,0))</f>
        <v>2.8500000000000001E-2</v>
      </c>
      <c r="Y31" s="70">
        <f>IF(VLOOKUP($U31,'Performance Pivot'!$S:$AF,5,0)="","",VLOOKUP($U31,'Performance Pivot'!$S:$AF,5,0))</f>
        <v>9.9000000000000008E-3</v>
      </c>
      <c r="Z31" s="70">
        <f>IF(VLOOKUP($U31,'Performance Pivot'!$S:$AF,6,0)="","",VLOOKUP($U31,'Performance Pivot'!$S:$AF,6,0))</f>
        <v>2.0899999999999998E-2</v>
      </c>
      <c r="AA31" s="70">
        <f>IF(VLOOKUP($U31,'Performance Pivot'!$S:$AF,7,0)="","",VLOOKUP($U31,'Performance Pivot'!$S:$AF,7,0))</f>
        <v>4.3999999999999997E-2</v>
      </c>
      <c r="AB31" s="70">
        <f>IF(VLOOKUP($U31,'Performance Pivot'!$S:$AF,8,0)="","",VLOOKUP($U31,'Performance Pivot'!$S:$AF,8,0))</f>
        <v>0</v>
      </c>
      <c r="AC31" s="70">
        <f>IF(VLOOKUP($U31,'Performance Pivot'!$S:$AF,9,0)="","",VLOOKUP($U31,'Performance Pivot'!$S:$AF,9,0))</f>
        <v>0</v>
      </c>
      <c r="AD31" s="70" t="str">
        <f>IF(VLOOKUP($U31,'Performance Pivot'!$S:$AF,10,0)="","",VLOOKUP($U31,'Performance Pivot'!$S:$AF,10,0))</f>
        <v/>
      </c>
      <c r="AE31" s="70" t="str">
        <f>IF(VLOOKUP($U31,'Performance Pivot'!$S:$AF,11,0)="","",VLOOKUP($U31,'Performance Pivot'!$S:$AF,11,0))</f>
        <v/>
      </c>
      <c r="AF31" s="70" t="str">
        <f>IF(VLOOKUP($U31,'Performance Pivot'!$S:$AF,12,0)="","",VLOOKUP($U31,'Performance Pivot'!$S:$AF,12,0))</f>
        <v/>
      </c>
      <c r="AG31" s="70" t="str">
        <f>IF(VLOOKUP($U31,'Performance Pivot'!$S:$AG,13,0)="","",VLOOKUP($U31,'Performance Pivot'!$S:$AG,13,0))</f>
        <v/>
      </c>
      <c r="AH31" s="70" t="str">
        <f>IF(VLOOKUP($U31,'Performance Pivot'!$S:$AG,14,0)="","",VLOOKUP($U31,'Performance Pivot'!$S:$AG,14,0))</f>
        <v/>
      </c>
      <c r="AI31" s="70" t="str">
        <f>IF(VLOOKUP($U31,'Performance Pivot'!$S:$AG,15,0)="","",VLOOKUP($U31,'Performance Pivot'!$S:$AG,15,0))</f>
        <v/>
      </c>
      <c r="AJ31" s="70" t="str">
        <f>IF(VLOOKUP($U31,'Performance Pivot'!$S:$AG,15,0)="","",VLOOKUP($U31,'Performance Pivot'!$S:$AG,15,0))</f>
        <v/>
      </c>
    </row>
    <row r="32" spans="3:36" s="71" customFormat="1" ht="21" customHeight="1">
      <c r="C32" s="89">
        <f>'Performance Pivot'!C25</f>
        <v>42005</v>
      </c>
      <c r="D32" s="69">
        <f>IF(VLOOKUP($C32,'Performance Pivot'!$C:$P,2,0)="","",VLOOKUP($C32,'Performance Pivot'!$C:$P,2,0))</f>
        <v>5.9802999999999997</v>
      </c>
      <c r="E32" s="69">
        <f>IF(VLOOKUP($C32,'Performance Pivot'!$C:$P,3,0)="","",VLOOKUP($C32,'Performance Pivot'!$C:$P,3,0))</f>
        <v>5.1272000000000002</v>
      </c>
      <c r="F32" s="69">
        <f>IF(VLOOKUP($C32,'Performance Pivot'!$C:$P,4,0)="","",VLOOKUP($C32,'Performance Pivot'!$C:$P,4,0))</f>
        <v>4.4842000000000004</v>
      </c>
      <c r="G32" s="69">
        <f>IF(VLOOKUP($C32,'Performance Pivot'!$C:$P,5,0)="","",VLOOKUP($C32,'Performance Pivot'!$C:$P,5,0))</f>
        <v>6.0248999999999997</v>
      </c>
      <c r="H32" s="69">
        <f>IF(VLOOKUP($C32,'Performance Pivot'!$C:$P,6,0)="","",VLOOKUP($C32,'Performance Pivot'!$C:$P,6,0))</f>
        <v>5.2023000000000001</v>
      </c>
      <c r="I32" s="69">
        <f>IF(VLOOKUP($C32,'Performance Pivot'!$C:$P,7,0)="","",VLOOKUP($C32,'Performance Pivot'!$C:$P,7,0))</f>
        <v>6.3068</v>
      </c>
      <c r="J32" s="69">
        <f>IF(VLOOKUP($C32,'Performance Pivot'!$C:$P,8,0)="","",VLOOKUP($C32,'Performance Pivot'!$C:$P,8,0))</f>
        <v>9.9725999999999999</v>
      </c>
      <c r="K32" s="69">
        <f>IF(VLOOKUP($C32,'Performance Pivot'!$C:$P,9,0)="","",VLOOKUP($C32,'Performance Pivot'!$C:$P,9,0))</f>
        <v>9.1213999999999995</v>
      </c>
      <c r="L32" s="69" t="str">
        <f>IF(VLOOKUP($C32,'Performance Pivot'!$C:$P,10,0)="","",VLOOKUP($C32,'Performance Pivot'!$C:$P,10,0))</f>
        <v/>
      </c>
      <c r="M32" s="69" t="str">
        <f>IF(VLOOKUP($C32,'Performance Pivot'!$C:$P,11,0)="","",VLOOKUP($C32,'Performance Pivot'!$C:$P,11,0))</f>
        <v/>
      </c>
      <c r="N32" s="69" t="str">
        <f>IF(VLOOKUP($C32,'Performance Pivot'!$C:$P,12,0)="","",VLOOKUP($C32,'Performance Pivot'!$C:$P,12,0))</f>
        <v/>
      </c>
      <c r="O32" s="69" t="str">
        <f>IF(VLOOKUP($C32,'Performance Pivot'!$C:$Q,13,0)="","",VLOOKUP($C32,'Performance Pivot'!$C:$Q,13,0))</f>
        <v/>
      </c>
      <c r="P32" s="69" t="str">
        <f>IF(VLOOKUP($C32,'Performance Pivot'!$C:$Q,14,0)="","",VLOOKUP($C32,'Performance Pivot'!$C:$Q,14,0))</f>
        <v/>
      </c>
      <c r="Q32" s="69" t="str">
        <f>IF(VLOOKUP($C32,'Performance Pivot'!$C:$Q,15,0)="","",VLOOKUP($C32,'Performance Pivot'!$C:$Q,15,0))</f>
        <v/>
      </c>
      <c r="R32" s="69" t="str">
        <f>IF(VLOOKUP($C32,'Performance Pivot'!$C:$Q,15,0)="","",VLOOKUP($C32,'Performance Pivot'!$C:$Q,15,0))</f>
        <v/>
      </c>
      <c r="S32" s="72"/>
      <c r="T32" s="72"/>
      <c r="U32" s="89">
        <f t="shared" si="14"/>
        <v>42005</v>
      </c>
      <c r="V32" s="70">
        <f>IF(VLOOKUP($U32,'Performance Pivot'!$S:$AF,2,0)="","",VLOOKUP($U32,'Performance Pivot'!$S:$AF,2,0))</f>
        <v>0.1072</v>
      </c>
      <c r="W32" s="70">
        <f>IF(VLOOKUP($U32,'Performance Pivot'!$S:$AF,3,0)="","",VLOOKUP($U32,'Performance Pivot'!$S:$AF,3,0))</f>
        <v>3.7900000000000003E-2</v>
      </c>
      <c r="X32" s="70">
        <f>IF(VLOOKUP($U32,'Performance Pivot'!$S:$AF,4,0)="","",VLOOKUP($U32,'Performance Pivot'!$S:$AF,4,0))</f>
        <v>3.61E-2</v>
      </c>
      <c r="Y32" s="70">
        <f>IF(VLOOKUP($U32,'Performance Pivot'!$S:$AF,5,0)="","",VLOOKUP($U32,'Performance Pivot'!$S:$AF,5,0))</f>
        <v>6.6699999999999995E-2</v>
      </c>
      <c r="Z32" s="70">
        <f>IF(VLOOKUP($U32,'Performance Pivot'!$S:$AF,6,0)="","",VLOOKUP($U32,'Performance Pivot'!$S:$AF,6,0))</f>
        <v>6.6900000000000001E-2</v>
      </c>
      <c r="AA32" s="70">
        <f>IF(VLOOKUP($U32,'Performance Pivot'!$S:$AF,7,0)="","",VLOOKUP($U32,'Performance Pivot'!$S:$AF,7,0))</f>
        <v>8.8200000000000001E-2</v>
      </c>
      <c r="AB32" s="70">
        <f>IF(VLOOKUP($U32,'Performance Pivot'!$S:$AF,8,0)="","",VLOOKUP($U32,'Performance Pivot'!$S:$AF,8,0))</f>
        <v>0</v>
      </c>
      <c r="AC32" s="70">
        <f>IF(VLOOKUP($U32,'Performance Pivot'!$S:$AF,9,0)="","",VLOOKUP($U32,'Performance Pivot'!$S:$AF,9,0))</f>
        <v>0</v>
      </c>
      <c r="AD32" s="70" t="str">
        <f>IF(VLOOKUP($U32,'Performance Pivot'!$S:$AF,10,0)="","",VLOOKUP($U32,'Performance Pivot'!$S:$AF,10,0))</f>
        <v/>
      </c>
      <c r="AE32" s="70" t="str">
        <f>IF(VLOOKUP($U32,'Performance Pivot'!$S:$AF,11,0)="","",VLOOKUP($U32,'Performance Pivot'!$S:$AF,11,0))</f>
        <v/>
      </c>
      <c r="AF32" s="70" t="str">
        <f>IF(VLOOKUP($U32,'Performance Pivot'!$S:$AF,12,0)="","",VLOOKUP($U32,'Performance Pivot'!$S:$AF,12,0))</f>
        <v/>
      </c>
      <c r="AG32" s="70" t="str">
        <f>IF(VLOOKUP($U32,'Performance Pivot'!$S:$AG,13,0)="","",VLOOKUP($U32,'Performance Pivot'!$S:$AG,13,0))</f>
        <v/>
      </c>
      <c r="AH32" s="70" t="str">
        <f>IF(VLOOKUP($U32,'Performance Pivot'!$S:$AG,14,0)="","",VLOOKUP($U32,'Performance Pivot'!$S:$AG,14,0))</f>
        <v/>
      </c>
      <c r="AI32" s="70" t="str">
        <f>IF(VLOOKUP($U32,'Performance Pivot'!$S:$AG,15,0)="","",VLOOKUP($U32,'Performance Pivot'!$S:$AG,15,0))</f>
        <v/>
      </c>
      <c r="AJ32" s="70" t="str">
        <f>IF(VLOOKUP($U32,'Performance Pivot'!$S:$AG,15,0)="","",VLOOKUP($U32,'Performance Pivot'!$S:$AG,15,0))</f>
        <v/>
      </c>
    </row>
    <row r="33" spans="3:49" s="71" customFormat="1" ht="21" customHeight="1">
      <c r="C33" s="89">
        <f>'Performance Pivot'!C24</f>
        <v>42036</v>
      </c>
      <c r="D33" s="69">
        <f>IF(VLOOKUP($C33,'Performance Pivot'!$C:$P,2,0)="","",VLOOKUP($C33,'Performance Pivot'!$C:$P,2,0))</f>
        <v>9.0731999999999999</v>
      </c>
      <c r="E33" s="69">
        <f>IF(VLOOKUP($C33,'Performance Pivot'!$C:$P,3,0)="","",VLOOKUP($C33,'Performance Pivot'!$C:$P,3,0))</f>
        <v>6.569</v>
      </c>
      <c r="F33" s="69">
        <f>IF(VLOOKUP($C33,'Performance Pivot'!$C:$P,4,0)="","",VLOOKUP($C33,'Performance Pivot'!$C:$P,4,0))</f>
        <v>6.3311999999999999</v>
      </c>
      <c r="G33" s="69">
        <f>IF(VLOOKUP($C33,'Performance Pivot'!$C:$P,5,0)="","",VLOOKUP($C33,'Performance Pivot'!$C:$P,5,0))</f>
        <v>8.7408000000000001</v>
      </c>
      <c r="H33" s="69">
        <f>IF(VLOOKUP($C33,'Performance Pivot'!$C:$P,6,0)="","",VLOOKUP($C33,'Performance Pivot'!$C:$P,6,0))</f>
        <v>7.3173000000000004</v>
      </c>
      <c r="I33" s="69">
        <f>IF(VLOOKUP($C33,'Performance Pivot'!$C:$P,7,0)="","",VLOOKUP($C33,'Performance Pivot'!$C:$P,7,0))</f>
        <v>10.260199999999999</v>
      </c>
      <c r="J33" s="69">
        <f>IF(VLOOKUP($C33,'Performance Pivot'!$C:$P,8,0)="","",VLOOKUP($C33,'Performance Pivot'!$C:$P,8,0))</f>
        <v>17.690300000000001</v>
      </c>
      <c r="K33" s="69">
        <f>IF(VLOOKUP($C33,'Performance Pivot'!$C:$P,9,0)="","",VLOOKUP($C33,'Performance Pivot'!$C:$P,9,0))</f>
        <v>16.928000000000001</v>
      </c>
      <c r="L33" s="69">
        <f>IF(VLOOKUP($C33,'Performance Pivot'!$C:$P,10,0)="","",VLOOKUP($C33,'Performance Pivot'!$C:$P,10,0))</f>
        <v>34.615400000000001</v>
      </c>
      <c r="M33" s="69">
        <f>IF(VLOOKUP($C33,'Performance Pivot'!$C:$P,11,0)="","",VLOOKUP($C33,'Performance Pivot'!$C:$P,11,0))</f>
        <v>29.0444</v>
      </c>
      <c r="N33" s="69" t="str">
        <f>IF(VLOOKUP($C33,'Performance Pivot'!$C:$P,12,0)="","",VLOOKUP($C33,'Performance Pivot'!$C:$P,12,0))</f>
        <v/>
      </c>
      <c r="O33" s="69" t="str">
        <f>IF(VLOOKUP($C33,'Performance Pivot'!$C:$Q,13,0)="","",VLOOKUP($C33,'Performance Pivot'!$C:$Q,13,0))</f>
        <v/>
      </c>
      <c r="P33" s="69" t="str">
        <f>IF(VLOOKUP($C33,'Performance Pivot'!$C:$Q,14,0)="","",VLOOKUP($C33,'Performance Pivot'!$C:$Q,14,0))</f>
        <v/>
      </c>
      <c r="Q33" s="69" t="str">
        <f>IF(VLOOKUP($C33,'Performance Pivot'!$C:$Q,15,0)="","",VLOOKUP($C33,'Performance Pivot'!$C:$Q,15,0))</f>
        <v/>
      </c>
      <c r="R33" s="69" t="str">
        <f>IF(VLOOKUP($C33,'Performance Pivot'!$C:$Q,15,0)="","",VLOOKUP($C33,'Performance Pivot'!$C:$Q,15,0))</f>
        <v/>
      </c>
      <c r="S33" s="72"/>
      <c r="T33" s="72"/>
      <c r="U33" s="89">
        <f t="shared" si="14"/>
        <v>42036</v>
      </c>
      <c r="V33" s="70">
        <f>IF(VLOOKUP($U33,'Performance Pivot'!$S:$AF,2,0)="","",VLOOKUP($U33,'Performance Pivot'!$S:$AF,2,0))</f>
        <v>4.4999999999999998E-2</v>
      </c>
      <c r="W33" s="70">
        <f>IF(VLOOKUP($U33,'Performance Pivot'!$S:$AF,3,0)="","",VLOOKUP($U33,'Performance Pivot'!$S:$AF,3,0))</f>
        <v>3.7400000000000003E-2</v>
      </c>
      <c r="X33" s="70">
        <f>IF(VLOOKUP($U33,'Performance Pivot'!$S:$AF,4,0)="","",VLOOKUP($U33,'Performance Pivot'!$S:$AF,4,0))</f>
        <v>5.2200000000000003E-2</v>
      </c>
      <c r="Y33" s="70">
        <f>IF(VLOOKUP($U33,'Performance Pivot'!$S:$AF,5,0)="","",VLOOKUP($U33,'Performance Pivot'!$S:$AF,5,0))</f>
        <v>8.8099999999999998E-2</v>
      </c>
      <c r="Z33" s="70">
        <f>IF(VLOOKUP($U33,'Performance Pivot'!$S:$AF,6,0)="","",VLOOKUP($U33,'Performance Pivot'!$S:$AF,6,0))</f>
        <v>3.3399999999999999E-2</v>
      </c>
      <c r="AA33" s="70">
        <f>IF(VLOOKUP($U33,'Performance Pivot'!$S:$AF,7,0)="","",VLOOKUP($U33,'Performance Pivot'!$S:$AF,7,0))</f>
        <v>0.1137</v>
      </c>
      <c r="AB33" s="70">
        <f>IF(VLOOKUP($U33,'Performance Pivot'!$S:$AF,8,0)="","",VLOOKUP($U33,'Performance Pivot'!$S:$AF,8,0))</f>
        <v>0</v>
      </c>
      <c r="AC33" s="70">
        <f>IF(VLOOKUP($U33,'Performance Pivot'!$S:$AF,9,0)="","",VLOOKUP($U33,'Performance Pivot'!$S:$AF,9,0))</f>
        <v>0</v>
      </c>
      <c r="AD33" s="70">
        <f>IF(VLOOKUP($U33,'Performance Pivot'!$S:$AF,10,0)="","",VLOOKUP($U33,'Performance Pivot'!$S:$AF,10,0))</f>
        <v>0</v>
      </c>
      <c r="AE33" s="70">
        <f>IF(VLOOKUP($U33,'Performance Pivot'!$S:$AF,11,0)="","",VLOOKUP($U33,'Performance Pivot'!$S:$AF,11,0))</f>
        <v>0</v>
      </c>
      <c r="AF33" s="70" t="str">
        <f>IF(VLOOKUP($U33,'Performance Pivot'!$S:$AF,12,0)="","",VLOOKUP($U33,'Performance Pivot'!$S:$AF,12,0))</f>
        <v/>
      </c>
      <c r="AG33" s="70" t="str">
        <f>IF(VLOOKUP($U33,'Performance Pivot'!$S:$AG,13,0)="","",VLOOKUP($U33,'Performance Pivot'!$S:$AG,13,0))</f>
        <v/>
      </c>
      <c r="AH33" s="70" t="str">
        <f>IF(VLOOKUP($U33,'Performance Pivot'!$S:$AG,14,0)="","",VLOOKUP($U33,'Performance Pivot'!$S:$AG,14,0))</f>
        <v/>
      </c>
      <c r="AI33" s="70" t="str">
        <f>IF(VLOOKUP($U33,'Performance Pivot'!$S:$AG,15,0)="","",VLOOKUP($U33,'Performance Pivot'!$S:$AG,15,0))</f>
        <v/>
      </c>
      <c r="AJ33" s="70" t="str">
        <f>IF(VLOOKUP($U33,'Performance Pivot'!$S:$AG,15,0)="","",VLOOKUP($U33,'Performance Pivot'!$S:$AG,15,0))</f>
        <v/>
      </c>
    </row>
    <row r="34" spans="3:49" s="71" customFormat="1" ht="21" customHeight="1">
      <c r="C34" s="89">
        <f>'Performance Pivot'!C23</f>
        <v>42064</v>
      </c>
      <c r="D34" s="69">
        <f>IF(VLOOKUP($C34,'Performance Pivot'!$C:$P,2,0)="","",VLOOKUP($C34,'Performance Pivot'!$C:$P,2,0))</f>
        <v>11.133900000000001</v>
      </c>
      <c r="E34" s="69">
        <f>IF(VLOOKUP($C34,'Performance Pivot'!$C:$P,3,0)="","",VLOOKUP($C34,'Performance Pivot'!$C:$P,3,0))</f>
        <v>8.8050999999999995</v>
      </c>
      <c r="F34" s="69">
        <f>IF(VLOOKUP($C34,'Performance Pivot'!$C:$P,4,0)="","",VLOOKUP($C34,'Performance Pivot'!$C:$P,4,0))</f>
        <v>8.6806000000000001</v>
      </c>
      <c r="G34" s="69">
        <f>IF(VLOOKUP($C34,'Performance Pivot'!$C:$P,5,0)="","",VLOOKUP($C34,'Performance Pivot'!$C:$P,5,0))</f>
        <v>11.9687</v>
      </c>
      <c r="H34" s="69">
        <f>IF(VLOOKUP($C34,'Performance Pivot'!$C:$P,6,0)="","",VLOOKUP($C34,'Performance Pivot'!$C:$P,6,0))</f>
        <v>10.025700000000001</v>
      </c>
      <c r="I34" s="69">
        <f>IF(VLOOKUP($C34,'Performance Pivot'!$C:$P,7,0)="","",VLOOKUP($C34,'Performance Pivot'!$C:$P,7,0))</f>
        <v>12.224600000000001</v>
      </c>
      <c r="J34" s="69">
        <f>IF(VLOOKUP($C34,'Performance Pivot'!$C:$P,8,0)="","",VLOOKUP($C34,'Performance Pivot'!$C:$P,8,0))</f>
        <v>19.960599999999999</v>
      </c>
      <c r="K34" s="69">
        <f>IF(VLOOKUP($C34,'Performance Pivot'!$C:$P,9,0)="","",VLOOKUP($C34,'Performance Pivot'!$C:$P,9,0))</f>
        <v>19.139299999999999</v>
      </c>
      <c r="L34" s="69">
        <f>IF(VLOOKUP($C34,'Performance Pivot'!$C:$P,10,0)="","",VLOOKUP($C34,'Performance Pivot'!$C:$P,10,0))</f>
        <v>38.587200000000003</v>
      </c>
      <c r="M34" s="69">
        <f>IF(VLOOKUP($C34,'Performance Pivot'!$C:$P,11,0)="","",VLOOKUP($C34,'Performance Pivot'!$C:$P,11,0))</f>
        <v>34.5321</v>
      </c>
      <c r="N34" s="69" t="str">
        <f>IF(VLOOKUP($C34,'Performance Pivot'!$C:$P,12,0)="","",VLOOKUP($C34,'Performance Pivot'!$C:$P,12,0))</f>
        <v/>
      </c>
      <c r="O34" s="69" t="str">
        <f>IF(VLOOKUP($C34,'Performance Pivot'!$C:$Q,13,0)="","",VLOOKUP($C34,'Performance Pivot'!$C:$Q,13,0))</f>
        <v/>
      </c>
      <c r="P34" s="69" t="str">
        <f>IF(VLOOKUP($C34,'Performance Pivot'!$C:$Q,14,0)="","",VLOOKUP($C34,'Performance Pivot'!$C:$Q,14,0))</f>
        <v/>
      </c>
      <c r="Q34" s="69" t="str">
        <f>IF(VLOOKUP($C34,'Performance Pivot'!$C:$Q,15,0)="","",VLOOKUP($C34,'Performance Pivot'!$C:$Q,15,0))</f>
        <v/>
      </c>
      <c r="R34" s="69" t="str">
        <f>IF(VLOOKUP($C34,'Performance Pivot'!$C:$Q,15,0)="","",VLOOKUP($C34,'Performance Pivot'!$C:$Q,15,0))</f>
        <v/>
      </c>
      <c r="S34" s="72"/>
      <c r="T34" s="72"/>
      <c r="U34" s="89">
        <f t="shared" si="14"/>
        <v>42064</v>
      </c>
      <c r="V34" s="70">
        <f>IF(VLOOKUP($U34,'Performance Pivot'!$S:$AF,2,0)="","",VLOOKUP($U34,'Performance Pivot'!$S:$AF,2,0))</f>
        <v>2.6499999999999999E-2</v>
      </c>
      <c r="W34" s="70">
        <f>IF(VLOOKUP($U34,'Performance Pivot'!$S:$AF,3,0)="","",VLOOKUP($U34,'Performance Pivot'!$S:$AF,3,0))</f>
        <v>8.2900000000000001E-2</v>
      </c>
      <c r="X34" s="70">
        <f>IF(VLOOKUP($U34,'Performance Pivot'!$S:$AF,4,0)="","",VLOOKUP($U34,'Performance Pivot'!$S:$AF,4,0))</f>
        <v>4.8599999999999997E-2</v>
      </c>
      <c r="Y34" s="70">
        <f>IF(VLOOKUP($U34,'Performance Pivot'!$S:$AF,5,0)="","",VLOOKUP($U34,'Performance Pivot'!$S:$AF,5,0))</f>
        <v>0.15479999999999999</v>
      </c>
      <c r="Z34" s="70">
        <f>IF(VLOOKUP($U34,'Performance Pivot'!$S:$AF,6,0)="","",VLOOKUP($U34,'Performance Pivot'!$S:$AF,6,0))</f>
        <v>2.6200000000000001E-2</v>
      </c>
      <c r="AA34" s="70">
        <f>IF(VLOOKUP($U34,'Performance Pivot'!$S:$AF,7,0)="","",VLOOKUP($U34,'Performance Pivot'!$S:$AF,7,0))</f>
        <v>0.10290000000000001</v>
      </c>
      <c r="AB34" s="70">
        <f>IF(VLOOKUP($U34,'Performance Pivot'!$S:$AF,8,0)="","",VLOOKUP($U34,'Performance Pivot'!$S:$AF,8,0))</f>
        <v>1.6299999999999999E-2</v>
      </c>
      <c r="AC34" s="70">
        <f>IF(VLOOKUP($U34,'Performance Pivot'!$S:$AF,9,0)="","",VLOOKUP($U34,'Performance Pivot'!$S:$AF,9,0))</f>
        <v>3.0599999999999999E-2</v>
      </c>
      <c r="AD34" s="70">
        <f>IF(VLOOKUP($U34,'Performance Pivot'!$S:$AF,10,0)="","",VLOOKUP($U34,'Performance Pivot'!$S:$AF,10,0))</f>
        <v>0</v>
      </c>
      <c r="AE34" s="70">
        <f>IF(VLOOKUP($U34,'Performance Pivot'!$S:$AF,11,0)="","",VLOOKUP($U34,'Performance Pivot'!$S:$AF,11,0))</f>
        <v>0</v>
      </c>
      <c r="AF34" s="70" t="str">
        <f>IF(VLOOKUP($U34,'Performance Pivot'!$S:$AF,12,0)="","",VLOOKUP($U34,'Performance Pivot'!$S:$AF,12,0))</f>
        <v/>
      </c>
      <c r="AG34" s="70" t="str">
        <f>IF(VLOOKUP($U34,'Performance Pivot'!$S:$AG,13,0)="","",VLOOKUP($U34,'Performance Pivot'!$S:$AG,13,0))</f>
        <v/>
      </c>
      <c r="AH34" s="70" t="str">
        <f>IF(VLOOKUP($U34,'Performance Pivot'!$S:$AG,14,0)="","",VLOOKUP($U34,'Performance Pivot'!$S:$AG,14,0))</f>
        <v/>
      </c>
      <c r="AI34" s="70" t="str">
        <f>IF(VLOOKUP($U34,'Performance Pivot'!$S:$AG,15,0)="","",VLOOKUP($U34,'Performance Pivot'!$S:$AG,15,0))</f>
        <v/>
      </c>
      <c r="AJ34" s="70" t="str">
        <f>IF(VLOOKUP($U34,'Performance Pivot'!$S:$AG,15,0)="","",VLOOKUP($U34,'Performance Pivot'!$S:$AG,15,0))</f>
        <v/>
      </c>
    </row>
    <row r="35" spans="3:49" s="71" customFormat="1" ht="21" customHeight="1">
      <c r="C35" s="89">
        <f>'Performance Pivot'!C22</f>
        <v>42095</v>
      </c>
      <c r="D35" s="69">
        <f>IF(VLOOKUP($C35,'Performance Pivot'!$C:$P,2,0)="","",VLOOKUP($C35,'Performance Pivot'!$C:$P,2,0))</f>
        <v>10.192</v>
      </c>
      <c r="E35" s="69">
        <f>IF(VLOOKUP($C35,'Performance Pivot'!$C:$P,3,0)="","",VLOOKUP($C35,'Performance Pivot'!$C:$P,3,0))</f>
        <v>8.5975999999999999</v>
      </c>
      <c r="F35" s="69">
        <f>IF(VLOOKUP($C35,'Performance Pivot'!$C:$P,4,0)="","",VLOOKUP($C35,'Performance Pivot'!$C:$P,4,0))</f>
        <v>8.4687000000000001</v>
      </c>
      <c r="G35" s="69">
        <f>IF(VLOOKUP($C35,'Performance Pivot'!$C:$P,5,0)="","",VLOOKUP($C35,'Performance Pivot'!$C:$P,5,0))</f>
        <v>11.3904</v>
      </c>
      <c r="H35" s="69">
        <f>IF(VLOOKUP($C35,'Performance Pivot'!$C:$P,6,0)="","",VLOOKUP($C35,'Performance Pivot'!$C:$P,6,0))</f>
        <v>9.5898000000000003</v>
      </c>
      <c r="I35" s="69">
        <f>IF(VLOOKUP($C35,'Performance Pivot'!$C:$P,7,0)="","",VLOOKUP($C35,'Performance Pivot'!$C:$P,7,0))</f>
        <v>11.7113</v>
      </c>
      <c r="J35" s="69">
        <f>IF(VLOOKUP($C35,'Performance Pivot'!$C:$P,8,0)="","",VLOOKUP($C35,'Performance Pivot'!$C:$P,8,0))</f>
        <v>15.851100000000001</v>
      </c>
      <c r="K35" s="69">
        <f>IF(VLOOKUP($C35,'Performance Pivot'!$C:$P,9,0)="","",VLOOKUP($C35,'Performance Pivot'!$C:$P,9,0))</f>
        <v>15.2407</v>
      </c>
      <c r="L35" s="69">
        <f>IF(VLOOKUP($C35,'Performance Pivot'!$C:$P,10,0)="","",VLOOKUP($C35,'Performance Pivot'!$C:$P,10,0))</f>
        <v>28.385000000000002</v>
      </c>
      <c r="M35" s="69">
        <f>IF(VLOOKUP($C35,'Performance Pivot'!$C:$P,11,0)="","",VLOOKUP($C35,'Performance Pivot'!$C:$P,11,0))</f>
        <v>24.875699999999998</v>
      </c>
      <c r="N35" s="69" t="str">
        <f>IF(VLOOKUP($C35,'Performance Pivot'!$C:$P,12,0)="","",VLOOKUP($C35,'Performance Pivot'!$C:$P,12,0))</f>
        <v/>
      </c>
      <c r="O35" s="69" t="str">
        <f>IF(VLOOKUP($C35,'Performance Pivot'!$C:$Q,13,0)="","",VLOOKUP($C35,'Performance Pivot'!$C:$Q,13,0))</f>
        <v/>
      </c>
      <c r="P35" s="69" t="str">
        <f>IF(VLOOKUP($C35,'Performance Pivot'!$C:$Q,14,0)="","",VLOOKUP($C35,'Performance Pivot'!$C:$Q,14,0))</f>
        <v/>
      </c>
      <c r="Q35" s="69" t="str">
        <f>IF(VLOOKUP($C35,'Performance Pivot'!$C:$Q,15,0)="","",VLOOKUP($C35,'Performance Pivot'!$C:$Q,15,0))</f>
        <v/>
      </c>
      <c r="R35" s="69" t="str">
        <f>IF(VLOOKUP($C35,'Performance Pivot'!$C:$Q,15,0)="","",VLOOKUP($C35,'Performance Pivot'!$C:$Q,15,0))</f>
        <v/>
      </c>
      <c r="S35" s="72"/>
      <c r="T35" s="72"/>
      <c r="U35" s="89">
        <f t="shared" si="14"/>
        <v>42095</v>
      </c>
      <c r="V35" s="70">
        <f>IF(VLOOKUP($U35,'Performance Pivot'!$S:$AF,2,0)="","",VLOOKUP($U35,'Performance Pivot'!$S:$AF,2,0))</f>
        <v>0.1019</v>
      </c>
      <c r="W35" s="70">
        <f>IF(VLOOKUP($U35,'Performance Pivot'!$S:$AF,3,0)="","",VLOOKUP($U35,'Performance Pivot'!$S:$AF,3,0))</f>
        <v>0.05</v>
      </c>
      <c r="X35" s="70">
        <f>IF(VLOOKUP($U35,'Performance Pivot'!$S:$AF,4,0)="","",VLOOKUP($U35,'Performance Pivot'!$S:$AF,4,0))</f>
        <v>3.7199999999999997E-2</v>
      </c>
      <c r="Y35" s="70">
        <f>IF(VLOOKUP($U35,'Performance Pivot'!$S:$AF,5,0)="","",VLOOKUP($U35,'Performance Pivot'!$S:$AF,5,0))</f>
        <v>0.11890000000000001</v>
      </c>
      <c r="Z35" s="70">
        <f>IF(VLOOKUP($U35,'Performance Pivot'!$S:$AF,6,0)="","",VLOOKUP($U35,'Performance Pivot'!$S:$AF,6,0))</f>
        <v>2.5399999999999999E-2</v>
      </c>
      <c r="AA35" s="70">
        <f>IF(VLOOKUP($U35,'Performance Pivot'!$S:$AF,7,0)="","",VLOOKUP($U35,'Performance Pivot'!$S:$AF,7,0))</f>
        <v>3.95E-2</v>
      </c>
      <c r="AB35" s="70">
        <f>IF(VLOOKUP($U35,'Performance Pivot'!$S:$AF,8,0)="","",VLOOKUP($U35,'Performance Pivot'!$S:$AF,8,0))</f>
        <v>4.1000000000000002E-2</v>
      </c>
      <c r="AC35" s="70">
        <f>IF(VLOOKUP($U35,'Performance Pivot'!$S:$AF,9,0)="","",VLOOKUP($U35,'Performance Pivot'!$S:$AF,9,0))</f>
        <v>4.0500000000000001E-2</v>
      </c>
      <c r="AD35" s="70">
        <f>IF(VLOOKUP($U35,'Performance Pivot'!$S:$AF,10,0)="","",VLOOKUP($U35,'Performance Pivot'!$S:$AF,10,0))</f>
        <v>0</v>
      </c>
      <c r="AE35" s="70">
        <f>IF(VLOOKUP($U35,'Performance Pivot'!$S:$AF,11,0)="","",VLOOKUP($U35,'Performance Pivot'!$S:$AF,11,0))</f>
        <v>0</v>
      </c>
      <c r="AF35" s="70" t="str">
        <f>IF(VLOOKUP($U35,'Performance Pivot'!$S:$AF,12,0)="","",VLOOKUP($U35,'Performance Pivot'!$S:$AF,12,0))</f>
        <v/>
      </c>
      <c r="AG35" s="70" t="str">
        <f>IF(VLOOKUP($U35,'Performance Pivot'!$S:$AG,13,0)="","",VLOOKUP($U35,'Performance Pivot'!$S:$AG,13,0))</f>
        <v/>
      </c>
      <c r="AH35" s="70" t="str">
        <f>IF(VLOOKUP($U35,'Performance Pivot'!$S:$AG,14,0)="","",VLOOKUP($U35,'Performance Pivot'!$S:$AG,14,0))</f>
        <v/>
      </c>
      <c r="AI35" s="70" t="str">
        <f>IF(VLOOKUP($U35,'Performance Pivot'!$S:$AG,15,0)="","",VLOOKUP($U35,'Performance Pivot'!$S:$AG,15,0))</f>
        <v/>
      </c>
      <c r="AJ35" s="70" t="str">
        <f>IF(VLOOKUP($U35,'Performance Pivot'!$S:$AG,15,0)="","",VLOOKUP($U35,'Performance Pivot'!$S:$AG,15,0))</f>
        <v/>
      </c>
    </row>
    <row r="36" spans="3:49" s="71" customFormat="1" ht="21" customHeight="1">
      <c r="C36" s="89">
        <f>'Performance Pivot'!C21</f>
        <v>42125</v>
      </c>
      <c r="D36" s="69">
        <f>IF(VLOOKUP($C36,'Performance Pivot'!$C:$P,2,0)="","",VLOOKUP($C36,'Performance Pivot'!$C:$P,2,0))</f>
        <v>11.292400000000001</v>
      </c>
      <c r="E36" s="69">
        <f>IF(VLOOKUP($C36,'Performance Pivot'!$C:$P,3,0)="","",VLOOKUP($C36,'Performance Pivot'!$C:$P,3,0))</f>
        <v>9.2428000000000008</v>
      </c>
      <c r="F36" s="69">
        <f>IF(VLOOKUP($C36,'Performance Pivot'!$C:$P,4,0)="","",VLOOKUP($C36,'Performance Pivot'!$C:$P,4,0))</f>
        <v>9.0107999999999997</v>
      </c>
      <c r="G36" s="69">
        <f>IF(VLOOKUP($C36,'Performance Pivot'!$C:$P,5,0)="","",VLOOKUP($C36,'Performance Pivot'!$C:$P,5,0))</f>
        <v>12.105</v>
      </c>
      <c r="H36" s="69">
        <f>IF(VLOOKUP($C36,'Performance Pivot'!$C:$P,6,0)="","",VLOOKUP($C36,'Performance Pivot'!$C:$P,6,0))</f>
        <v>10.197699999999999</v>
      </c>
      <c r="I36" s="69">
        <f>IF(VLOOKUP($C36,'Performance Pivot'!$C:$P,7,0)="","",VLOOKUP($C36,'Performance Pivot'!$C:$P,7,0))</f>
        <v>13.6389</v>
      </c>
      <c r="J36" s="69">
        <f>IF(VLOOKUP($C36,'Performance Pivot'!$C:$P,8,0)="","",VLOOKUP($C36,'Performance Pivot'!$C:$P,8,0))</f>
        <v>13.8881</v>
      </c>
      <c r="K36" s="69">
        <f>IF(VLOOKUP($C36,'Performance Pivot'!$C:$P,9,0)="","",VLOOKUP($C36,'Performance Pivot'!$C:$P,9,0))</f>
        <v>16.161999999999999</v>
      </c>
      <c r="L36" s="69">
        <f>IF(VLOOKUP($C36,'Performance Pivot'!$C:$P,10,0)="","",VLOOKUP($C36,'Performance Pivot'!$C:$P,10,0))</f>
        <v>25.260100000000001</v>
      </c>
      <c r="M36" s="69">
        <f>IF(VLOOKUP($C36,'Performance Pivot'!$C:$P,11,0)="","",VLOOKUP($C36,'Performance Pivot'!$C:$P,11,0))</f>
        <v>24.2318</v>
      </c>
      <c r="N36" s="69">
        <f>IF(VLOOKUP($C36,'Performance Pivot'!$C:$P,12,0)="","",VLOOKUP($C36,'Performance Pivot'!$C:$P,12,0))</f>
        <v>25.049600000000002</v>
      </c>
      <c r="O36" s="69">
        <f>IF(VLOOKUP($C36,'Performance Pivot'!$C:$Q,13,0)="","",VLOOKUP($C36,'Performance Pivot'!$C:$Q,13,0))</f>
        <v>21.165199999999999</v>
      </c>
      <c r="P36" s="69" t="str">
        <f>IF(VLOOKUP($C36,'Performance Pivot'!$C:$Q,14,0)="","",VLOOKUP($C36,'Performance Pivot'!$C:$Q,14,0))</f>
        <v/>
      </c>
      <c r="Q36" s="69" t="str">
        <f>IF(VLOOKUP($C36,'Performance Pivot'!$C:$Q,15,0)="","",VLOOKUP($C36,'Performance Pivot'!$C:$Q,15,0))</f>
        <v/>
      </c>
      <c r="R36" s="69" t="str">
        <f>IF(VLOOKUP($C36,'Performance Pivot'!$C:$Q,15,0)="","",VLOOKUP($C36,'Performance Pivot'!$C:$Q,15,0))</f>
        <v/>
      </c>
      <c r="S36" s="72"/>
      <c r="T36" s="72"/>
      <c r="U36" s="89">
        <f t="shared" si="14"/>
        <v>42125</v>
      </c>
      <c r="V36" s="70">
        <f>IF(VLOOKUP($U36,'Performance Pivot'!$S:$AF,2,0)="","",VLOOKUP($U36,'Performance Pivot'!$S:$AF,2,0))</f>
        <v>7.9299999999999995E-2</v>
      </c>
      <c r="W36" s="70">
        <f>IF(VLOOKUP($U36,'Performance Pivot'!$S:$AF,3,0)="","",VLOOKUP($U36,'Performance Pivot'!$S:$AF,3,0))</f>
        <v>6.0600000000000001E-2</v>
      </c>
      <c r="X36" s="70">
        <f>IF(VLOOKUP($U36,'Performance Pivot'!$S:$AF,4,0)="","",VLOOKUP($U36,'Performance Pivot'!$S:$AF,4,0))</f>
        <v>3.0099999999999998E-2</v>
      </c>
      <c r="Y36" s="70">
        <f>IF(VLOOKUP($U36,'Performance Pivot'!$S:$AF,5,0)="","",VLOOKUP($U36,'Performance Pivot'!$S:$AF,5,0))</f>
        <v>9.0499999999999997E-2</v>
      </c>
      <c r="Z36" s="70">
        <f>IF(VLOOKUP($U36,'Performance Pivot'!$S:$AF,6,0)="","",VLOOKUP($U36,'Performance Pivot'!$S:$AF,6,0))</f>
        <v>5.1400000000000001E-2</v>
      </c>
      <c r="AA36" s="70">
        <f>IF(VLOOKUP($U36,'Performance Pivot'!$S:$AF,7,0)="","",VLOOKUP($U36,'Performance Pivot'!$S:$AF,7,0))</f>
        <v>8.14E-2</v>
      </c>
      <c r="AB36" s="70">
        <f>IF(VLOOKUP($U36,'Performance Pivot'!$S:$AF,8,0)="","",VLOOKUP($U36,'Performance Pivot'!$S:$AF,8,0))</f>
        <v>3.4799999999999998E-2</v>
      </c>
      <c r="AC36" s="70">
        <f>IF(VLOOKUP($U36,'Performance Pivot'!$S:$AF,9,0)="","",VLOOKUP($U36,'Performance Pivot'!$S:$AF,9,0))</f>
        <v>8.8300000000000003E-2</v>
      </c>
      <c r="AD36" s="70">
        <f>IF(VLOOKUP($U36,'Performance Pivot'!$S:$AF,10,0)="","",VLOOKUP($U36,'Performance Pivot'!$S:$AF,10,0))</f>
        <v>0</v>
      </c>
      <c r="AE36" s="70">
        <f>IF(VLOOKUP($U36,'Performance Pivot'!$S:$AF,11,0)="","",VLOOKUP($U36,'Performance Pivot'!$S:$AF,11,0))</f>
        <v>0</v>
      </c>
      <c r="AF36" s="70">
        <f>IF(VLOOKUP($U36,'Performance Pivot'!$S:$AF,12,0)="","",VLOOKUP($U36,'Performance Pivot'!$S:$AF,12,0))</f>
        <v>0</v>
      </c>
      <c r="AG36" s="70">
        <f>IF(VLOOKUP($U36,'Performance Pivot'!$S:$AG,13,0)="","",VLOOKUP($U36,'Performance Pivot'!$S:$AG,13,0))</f>
        <v>0</v>
      </c>
      <c r="AH36" s="70" t="str">
        <f>IF(VLOOKUP($U36,'Performance Pivot'!$S:$AG,14,0)="","",VLOOKUP($U36,'Performance Pivot'!$S:$AG,14,0))</f>
        <v/>
      </c>
      <c r="AI36" s="70" t="str">
        <f>IF(VLOOKUP($U36,'Performance Pivot'!$S:$AG,15,0)="","",VLOOKUP($U36,'Performance Pivot'!$S:$AG,15,0))</f>
        <v/>
      </c>
      <c r="AJ36" s="70" t="str">
        <f>IF(VLOOKUP($U36,'Performance Pivot'!$S:$AG,15,0)="","",VLOOKUP($U36,'Performance Pivot'!$S:$AG,15,0))</f>
        <v/>
      </c>
    </row>
    <row r="37" spans="3:49" s="71" customFormat="1" ht="21" customHeight="1">
      <c r="C37" s="89">
        <f>'Performance Pivot'!C20</f>
        <v>42156</v>
      </c>
      <c r="D37" s="69">
        <f>IF(VLOOKUP($C37,'Performance Pivot'!$C:$P,2,0)="","",VLOOKUP($C37,'Performance Pivot'!$C:$P,2,0))</f>
        <v>12.9383</v>
      </c>
      <c r="E37" s="69">
        <f>IF(VLOOKUP($C37,'Performance Pivot'!$C:$P,3,0)="","",VLOOKUP($C37,'Performance Pivot'!$C:$P,3,0))</f>
        <v>11.5288</v>
      </c>
      <c r="F37" s="69">
        <f>IF(VLOOKUP($C37,'Performance Pivot'!$C:$P,4,0)="","",VLOOKUP($C37,'Performance Pivot'!$C:$P,4,0))</f>
        <v>10.9826</v>
      </c>
      <c r="G37" s="69">
        <f>IF(VLOOKUP($C37,'Performance Pivot'!$C:$P,5,0)="","",VLOOKUP($C37,'Performance Pivot'!$C:$P,5,0))</f>
        <v>13.1097</v>
      </c>
      <c r="H37" s="69">
        <f>IF(VLOOKUP($C37,'Performance Pivot'!$C:$P,6,0)="","",VLOOKUP($C37,'Performance Pivot'!$C:$P,6,0))</f>
        <v>11.4437</v>
      </c>
      <c r="I37" s="69">
        <f>IF(VLOOKUP($C37,'Performance Pivot'!$C:$P,7,0)="","",VLOOKUP($C37,'Performance Pivot'!$C:$P,7,0))</f>
        <v>13.646000000000001</v>
      </c>
      <c r="J37" s="69">
        <f>IF(VLOOKUP($C37,'Performance Pivot'!$C:$P,8,0)="","",VLOOKUP($C37,'Performance Pivot'!$C:$P,8,0))</f>
        <v>14.6775</v>
      </c>
      <c r="K37" s="69">
        <f>IF(VLOOKUP($C37,'Performance Pivot'!$C:$P,9,0)="","",VLOOKUP($C37,'Performance Pivot'!$C:$P,9,0))</f>
        <v>16.096800000000002</v>
      </c>
      <c r="L37" s="69">
        <f>IF(VLOOKUP($C37,'Performance Pivot'!$C:$P,10,0)="","",VLOOKUP($C37,'Performance Pivot'!$C:$P,10,0))</f>
        <v>23.360099999999999</v>
      </c>
      <c r="M37" s="69">
        <f>IF(VLOOKUP($C37,'Performance Pivot'!$C:$P,11,0)="","",VLOOKUP($C37,'Performance Pivot'!$C:$P,11,0))</f>
        <v>23.310600000000001</v>
      </c>
      <c r="N37" s="69">
        <f>IF(VLOOKUP($C37,'Performance Pivot'!$C:$P,12,0)="","",VLOOKUP($C37,'Performance Pivot'!$C:$P,12,0))</f>
        <v>22.6829</v>
      </c>
      <c r="O37" s="69">
        <f>IF(VLOOKUP($C37,'Performance Pivot'!$C:$Q,13,0)="","",VLOOKUP($C37,'Performance Pivot'!$C:$Q,13,0))</f>
        <v>20.335699999999999</v>
      </c>
      <c r="P37" s="69" t="str">
        <f>IF(VLOOKUP($C37,'Performance Pivot'!$C:$Q,14,0)="","",VLOOKUP($C37,'Performance Pivot'!$C:$Q,14,0))</f>
        <v/>
      </c>
      <c r="Q37" s="69" t="str">
        <f>IF(VLOOKUP($C37,'Performance Pivot'!$C:$Q,15,0)="","",VLOOKUP($C37,'Performance Pivot'!$C:$Q,15,0))</f>
        <v/>
      </c>
      <c r="R37" s="69" t="str">
        <f>IF(VLOOKUP($C37,'Performance Pivot'!$C:$Q,15,0)="","",VLOOKUP($C37,'Performance Pivot'!$C:$Q,15,0))</f>
        <v/>
      </c>
      <c r="S37" s="72"/>
      <c r="T37" s="72"/>
      <c r="U37" s="89">
        <f t="shared" si="14"/>
        <v>42156</v>
      </c>
      <c r="V37" s="70">
        <f>IF(VLOOKUP($U37,'Performance Pivot'!$S:$AF,2,0)="","",VLOOKUP($U37,'Performance Pivot'!$S:$AF,2,0))</f>
        <v>0.10299999999999999</v>
      </c>
      <c r="W37" s="70">
        <f>IF(VLOOKUP($U37,'Performance Pivot'!$S:$AF,3,0)="","",VLOOKUP($U37,'Performance Pivot'!$S:$AF,3,0))</f>
        <v>4.2099999999999999E-2</v>
      </c>
      <c r="X37" s="70">
        <f>IF(VLOOKUP($U37,'Performance Pivot'!$S:$AF,4,0)="","",VLOOKUP($U37,'Performance Pivot'!$S:$AF,4,0))</f>
        <v>3.8600000000000002E-2</v>
      </c>
      <c r="Y37" s="70">
        <f>IF(VLOOKUP($U37,'Performance Pivot'!$S:$AF,5,0)="","",VLOOKUP($U37,'Performance Pivot'!$S:$AF,5,0))</f>
        <v>0.1187</v>
      </c>
      <c r="Z37" s="70">
        <f>IF(VLOOKUP($U37,'Performance Pivot'!$S:$AF,6,0)="","",VLOOKUP($U37,'Performance Pivot'!$S:$AF,6,0))</f>
        <v>3.6200000000000003E-2</v>
      </c>
      <c r="AA37" s="70">
        <f>IF(VLOOKUP($U37,'Performance Pivot'!$S:$AF,7,0)="","",VLOOKUP($U37,'Performance Pivot'!$S:$AF,7,0))</f>
        <v>0.13519999999999999</v>
      </c>
      <c r="AB37" s="70">
        <f>IF(VLOOKUP($U37,'Performance Pivot'!$S:$AF,8,0)="","",VLOOKUP($U37,'Performance Pivot'!$S:$AF,8,0))</f>
        <v>1.61E-2</v>
      </c>
      <c r="AC37" s="70">
        <f>IF(VLOOKUP($U37,'Performance Pivot'!$S:$AF,9,0)="","",VLOOKUP($U37,'Performance Pivot'!$S:$AF,9,0))</f>
        <v>4.4299999999999999E-2</v>
      </c>
      <c r="AD37" s="70">
        <f>IF(VLOOKUP($U37,'Performance Pivot'!$S:$AF,10,0)="","",VLOOKUP($U37,'Performance Pivot'!$S:$AF,10,0))</f>
        <v>4.07E-2</v>
      </c>
      <c r="AE37" s="70">
        <f>IF(VLOOKUP($U37,'Performance Pivot'!$S:$AF,11,0)="","",VLOOKUP($U37,'Performance Pivot'!$S:$AF,11,0))</f>
        <v>6.2700000000000006E-2</v>
      </c>
      <c r="AF37" s="70">
        <f>IF(VLOOKUP($U37,'Performance Pivot'!$S:$AF,12,0)="","",VLOOKUP($U37,'Performance Pivot'!$S:$AF,12,0))</f>
        <v>0</v>
      </c>
      <c r="AG37" s="70">
        <f>IF(VLOOKUP($U37,'Performance Pivot'!$S:$AG,13,0)="","",VLOOKUP($U37,'Performance Pivot'!$S:$AG,13,0))</f>
        <v>0</v>
      </c>
      <c r="AH37" s="70" t="str">
        <f>IF(VLOOKUP($U37,'Performance Pivot'!$S:$AG,14,0)="","",VLOOKUP($U37,'Performance Pivot'!$S:$AG,14,0))</f>
        <v/>
      </c>
      <c r="AI37" s="70" t="str">
        <f>IF(VLOOKUP($U37,'Performance Pivot'!$S:$AG,15,0)="","",VLOOKUP($U37,'Performance Pivot'!$S:$AG,15,0))</f>
        <v/>
      </c>
      <c r="AJ37" s="70" t="str">
        <f>IF(VLOOKUP($U37,'Performance Pivot'!$S:$AG,15,0)="","",VLOOKUP($U37,'Performance Pivot'!$S:$AG,15,0))</f>
        <v/>
      </c>
    </row>
    <row r="38" spans="3:49" s="71" customFormat="1" ht="21" customHeight="1">
      <c r="C38" s="89">
        <f>'Performance Pivot'!C19</f>
        <v>42186</v>
      </c>
      <c r="D38" s="69">
        <f>IF(VLOOKUP($C38,'Performance Pivot'!$C:$P,2,0)="","",VLOOKUP($C38,'Performance Pivot'!$C:$P,2,0))</f>
        <v>11.230700000000001</v>
      </c>
      <c r="E38" s="69">
        <f>IF(VLOOKUP($C38,'Performance Pivot'!$C:$P,3,0)="","",VLOOKUP($C38,'Performance Pivot'!$C:$P,3,0))</f>
        <v>9.5654000000000003</v>
      </c>
      <c r="F38" s="69">
        <f>IF(VLOOKUP($C38,'Performance Pivot'!$C:$P,4,0)="","",VLOOKUP($C38,'Performance Pivot'!$C:$P,4,0))</f>
        <v>10.046799999999999</v>
      </c>
      <c r="G38" s="69">
        <f>IF(VLOOKUP($C38,'Performance Pivot'!$C:$P,5,0)="","",VLOOKUP($C38,'Performance Pivot'!$C:$P,5,0))</f>
        <v>12.7553</v>
      </c>
      <c r="H38" s="69">
        <f>IF(VLOOKUP($C38,'Performance Pivot'!$C:$P,6,0)="","",VLOOKUP($C38,'Performance Pivot'!$C:$P,6,0))</f>
        <v>10.1647</v>
      </c>
      <c r="I38" s="69">
        <f>IF(VLOOKUP($C38,'Performance Pivot'!$C:$P,7,0)="","",VLOOKUP($C38,'Performance Pivot'!$C:$P,7,0))</f>
        <v>13.3588</v>
      </c>
      <c r="J38" s="69">
        <f>IF(VLOOKUP($C38,'Performance Pivot'!$C:$P,8,0)="","",VLOOKUP($C38,'Performance Pivot'!$C:$P,8,0))</f>
        <v>12.955399999999999</v>
      </c>
      <c r="K38" s="69">
        <f>IF(VLOOKUP($C38,'Performance Pivot'!$C:$P,9,0)="","",VLOOKUP($C38,'Performance Pivot'!$C:$P,9,0))</f>
        <v>14.3224</v>
      </c>
      <c r="L38" s="69">
        <f>IF(VLOOKUP($C38,'Performance Pivot'!$C:$P,10,0)="","",VLOOKUP($C38,'Performance Pivot'!$C:$P,10,0))</f>
        <v>18.429400000000001</v>
      </c>
      <c r="M38" s="69">
        <f>IF(VLOOKUP($C38,'Performance Pivot'!$C:$P,11,0)="","",VLOOKUP($C38,'Performance Pivot'!$C:$P,11,0))</f>
        <v>19.563199999999998</v>
      </c>
      <c r="N38" s="69">
        <f>IF(VLOOKUP($C38,'Performance Pivot'!$C:$P,12,0)="","",VLOOKUP($C38,'Performance Pivot'!$C:$P,12,0))</f>
        <v>17.6326</v>
      </c>
      <c r="O38" s="69">
        <f>IF(VLOOKUP($C38,'Performance Pivot'!$C:$Q,13,0)="","",VLOOKUP($C38,'Performance Pivot'!$C:$Q,13,0))</f>
        <v>16.796700000000001</v>
      </c>
      <c r="P38" s="69">
        <f>IF(VLOOKUP($C38,'Performance Pivot'!$C:$Q,14,0)="","",VLOOKUP($C38,'Performance Pivot'!$C:$Q,14,0))</f>
        <v>14.260999999999999</v>
      </c>
      <c r="Q38" s="69">
        <f>IF(VLOOKUP($C38,'Performance Pivot'!$C:$Q,15,0)="","",VLOOKUP($C38,'Performance Pivot'!$C:$Q,15,0))</f>
        <v>12.6431</v>
      </c>
      <c r="R38" s="69">
        <f>IF(VLOOKUP($C38,'Performance Pivot'!$C:$Q,15,0)="","",VLOOKUP($C38,'Performance Pivot'!$C:$Q,15,0))</f>
        <v>12.6431</v>
      </c>
      <c r="S38" s="72"/>
      <c r="T38" s="72"/>
      <c r="U38" s="89">
        <f t="shared" si="14"/>
        <v>42186</v>
      </c>
      <c r="V38" s="70">
        <f>IF(VLOOKUP($U38,'Performance Pivot'!$S:$AF,2,0)="","",VLOOKUP($U38,'Performance Pivot'!$S:$AF,2,0))</f>
        <v>6.7699999999999996E-2</v>
      </c>
      <c r="W38" s="70">
        <f>IF(VLOOKUP($U38,'Performance Pivot'!$S:$AF,3,0)="","",VLOOKUP($U38,'Performance Pivot'!$S:$AF,3,0))</f>
        <v>2.2800000000000001E-2</v>
      </c>
      <c r="X38" s="70">
        <f>IF(VLOOKUP($U38,'Performance Pivot'!$S:$AF,4,0)="","",VLOOKUP($U38,'Performance Pivot'!$S:$AF,4,0))</f>
        <v>3.6200000000000003E-2</v>
      </c>
      <c r="Y38" s="70">
        <f>IF(VLOOKUP($U38,'Performance Pivot'!$S:$AF,5,0)="","",VLOOKUP($U38,'Performance Pivot'!$S:$AF,5,0))</f>
        <v>4.6600000000000003E-2</v>
      </c>
      <c r="Z38" s="70">
        <f>IF(VLOOKUP($U38,'Performance Pivot'!$S:$AF,6,0)="","",VLOOKUP($U38,'Performance Pivot'!$S:$AF,6,0))</f>
        <v>4.7600000000000003E-2</v>
      </c>
      <c r="AA38" s="70">
        <f>IF(VLOOKUP($U38,'Performance Pivot'!$S:$AF,7,0)="","",VLOOKUP($U38,'Performance Pivot'!$S:$AF,7,0))</f>
        <v>8.8300000000000003E-2</v>
      </c>
      <c r="AB38" s="70">
        <f>IF(VLOOKUP($U38,'Performance Pivot'!$S:$AF,8,0)="","",VLOOKUP($U38,'Performance Pivot'!$S:$AF,8,0))</f>
        <v>3.2399999999999998E-2</v>
      </c>
      <c r="AC38" s="70">
        <f>IF(VLOOKUP($U38,'Performance Pivot'!$S:$AF,9,0)="","",VLOOKUP($U38,'Performance Pivot'!$S:$AF,9,0))</f>
        <v>0.1052</v>
      </c>
      <c r="AD38" s="70">
        <f>IF(VLOOKUP($U38,'Performance Pivot'!$S:$AF,10,0)="","",VLOOKUP($U38,'Performance Pivot'!$S:$AF,10,0))</f>
        <v>4.1399999999999999E-2</v>
      </c>
      <c r="AE38" s="70">
        <f>IF(VLOOKUP($U38,'Performance Pivot'!$S:$AF,11,0)="","",VLOOKUP($U38,'Performance Pivot'!$S:$AF,11,0))</f>
        <v>7.5499999999999998E-2</v>
      </c>
      <c r="AF38" s="70">
        <f>IF(VLOOKUP($U38,'Performance Pivot'!$S:$AF,12,0)="","",VLOOKUP($U38,'Performance Pivot'!$S:$AF,12,0))</f>
        <v>0</v>
      </c>
      <c r="AG38" s="70">
        <f>IF(VLOOKUP($U38,'Performance Pivot'!$S:$AG,13,0)="","",VLOOKUP($U38,'Performance Pivot'!$S:$AG,13,0))</f>
        <v>0</v>
      </c>
      <c r="AH38" s="70">
        <f>IF(VLOOKUP($U38,'Performance Pivot'!$S:$AG,14,0)="","",VLOOKUP($U38,'Performance Pivot'!$S:$AG,14,0))</f>
        <v>0</v>
      </c>
      <c r="AI38" s="70">
        <f>IF(VLOOKUP($U38,'Performance Pivot'!$S:$AG,15,0)="","",VLOOKUP($U38,'Performance Pivot'!$S:$AG,15,0))</f>
        <v>0</v>
      </c>
      <c r="AJ38" s="70">
        <f>IF(VLOOKUP($U38,'Performance Pivot'!$S:$AG,15,0)="","",VLOOKUP($U38,'Performance Pivot'!$S:$AG,15,0))</f>
        <v>0</v>
      </c>
    </row>
    <row r="39" spans="3:49" s="71" customFormat="1" ht="21" customHeight="1">
      <c r="C39" s="90">
        <f>'Performance Pivot'!C18</f>
        <v>42217</v>
      </c>
      <c r="D39" s="74">
        <f>IF(VLOOKUP($C39,'Performance Pivot'!$C:$Q,2,0)="","",VLOOKUP($C39,'Performance Pivot'!$C:$Q,2,0))</f>
        <v>10.251099999999999</v>
      </c>
      <c r="E39" s="74">
        <f>IF(VLOOKUP($C39,'Performance Pivot'!$C:$P,3,0)="","",VLOOKUP($C39,'Performance Pivot'!$C:$P,3,0))</f>
        <v>8.8055000000000003</v>
      </c>
      <c r="F39" s="74">
        <f>IF(VLOOKUP($C39,'Performance Pivot'!$C:$P,4,0)="","",VLOOKUP($C39,'Performance Pivot'!$C:$P,4,0))</f>
        <v>8.3887</v>
      </c>
      <c r="G39" s="74">
        <f>IF(VLOOKUP($C39,'Performance Pivot'!$C:$P,5,0)="","",VLOOKUP($C39,'Performance Pivot'!$C:$P,5,0))</f>
        <v>10.0015</v>
      </c>
      <c r="H39" s="74">
        <f>IF(VLOOKUP($C39,'Performance Pivot'!$C:$P,6,0)="","",VLOOKUP($C39,'Performance Pivot'!$C:$P,6,0))</f>
        <v>9.3058999999999994</v>
      </c>
      <c r="I39" s="74">
        <f>IF(VLOOKUP($C39,'Performance Pivot'!$C:$P,7,0)="","",VLOOKUP($C39,'Performance Pivot'!$C:$P,7,0))</f>
        <v>10.863099999999999</v>
      </c>
      <c r="J39" s="74">
        <f>IF(VLOOKUP($C39,'Performance Pivot'!$C:$P,8,0)="","",VLOOKUP($C39,'Performance Pivot'!$C:$P,8,0))</f>
        <v>10.8284</v>
      </c>
      <c r="K39" s="74">
        <f>IF(VLOOKUP($C39,'Performance Pivot'!$C:$P,9,0)="","",VLOOKUP($C39,'Performance Pivot'!$C:$P,9,0))</f>
        <v>13.007199999999999</v>
      </c>
      <c r="L39" s="74">
        <f>IF(VLOOKUP($C39,'Performance Pivot'!$C:$P,10,0)="","",VLOOKUP($C39,'Performance Pivot'!$C:$P,10,0))</f>
        <v>15.841900000000001</v>
      </c>
      <c r="M39" s="74">
        <f>IF(VLOOKUP($C39,'Performance Pivot'!$C:$P,11,0)="","",VLOOKUP($C39,'Performance Pivot'!$C:$P,11,0))</f>
        <v>17.035599999999999</v>
      </c>
      <c r="N39" s="74">
        <f>IF(VLOOKUP($C39,'Performance Pivot'!$C:$P,12,0)="","",VLOOKUP($C39,'Performance Pivot'!$C:$P,12,0))</f>
        <v>15.742900000000001</v>
      </c>
      <c r="O39" s="74">
        <f>IF(VLOOKUP($C39,'Performance Pivot'!$C:$Q,13,0)="","",VLOOKUP($C39,'Performance Pivot'!$C:$Q,13,0))</f>
        <v>14.960699999999999</v>
      </c>
      <c r="P39" s="74">
        <f>IF(VLOOKUP($C39,'Performance Pivot'!$C:$Q,14,0)="","",VLOOKUP($C39,'Performance Pivot'!$C:$Q,14,0))</f>
        <v>12.938800000000001</v>
      </c>
      <c r="Q39" s="74">
        <f>IF(VLOOKUP($C39,'Performance Pivot'!$C:$Q,15,0)="","",VLOOKUP($C39,'Performance Pivot'!$C:$Q,15,0))</f>
        <v>11.972799999999999</v>
      </c>
      <c r="R39" s="74">
        <f>IF(VLOOKUP($C39,'Performance Pivot'!$C:$Q,15,0)="","",VLOOKUP($C39,'Performance Pivot'!$C:$Q,15,0))</f>
        <v>11.972799999999999</v>
      </c>
      <c r="S39" s="72"/>
      <c r="T39" s="72"/>
      <c r="U39" s="90">
        <f t="shared" si="14"/>
        <v>42217</v>
      </c>
      <c r="V39" s="75">
        <f>IF(VLOOKUP($U39,'Performance Pivot'!$S:$AF,2,0)="","",VLOOKUP($U39,'Performance Pivot'!$S:$AF,2,0))</f>
        <v>3.3999999999999998E-3</v>
      </c>
      <c r="W39" s="75">
        <f>IF(VLOOKUP($U39,'Performance Pivot'!$S:$AF,3,0)="","",VLOOKUP($U39,'Performance Pivot'!$S:$AF,3,0))</f>
        <v>5.33E-2</v>
      </c>
      <c r="X39" s="75">
        <f>IF(VLOOKUP($U39,'Performance Pivot'!$S:$AF,4,0)="","",VLOOKUP($U39,'Performance Pivot'!$S:$AF,4,0))</f>
        <v>3.2399999999999998E-2</v>
      </c>
      <c r="Y39" s="75">
        <f>IF(VLOOKUP($U39,'Performance Pivot'!$S:$AF,5,0)="","",VLOOKUP($U39,'Performance Pivot'!$S:$AF,5,0))</f>
        <v>5.1700000000000003E-2</v>
      </c>
      <c r="Z39" s="75">
        <f>IF(VLOOKUP($U39,'Performance Pivot'!$S:$AF,6,0)="","",VLOOKUP($U39,'Performance Pivot'!$S:$AF,6,0))</f>
        <v>5.62E-2</v>
      </c>
      <c r="AA39" s="75">
        <f>IF(VLOOKUP($U39,'Performance Pivot'!$S:$AF,7,0)="","",VLOOKUP($U39,'Performance Pivot'!$S:$AF,7,0))</f>
        <v>0.1202</v>
      </c>
      <c r="AB39" s="75">
        <f>IF(VLOOKUP($U39,'Performance Pivot'!$S:$AF,8,0)="","",VLOOKUP($U39,'Performance Pivot'!$S:$AF,8,0))</f>
        <v>3.7499999999999999E-2</v>
      </c>
      <c r="AC39" s="75">
        <f>IF(VLOOKUP($U39,'Performance Pivot'!$S:$AF,9,0)="","",VLOOKUP($U39,'Performance Pivot'!$S:$AF,9,0))</f>
        <v>4.0899999999999999E-2</v>
      </c>
      <c r="AD39" s="75">
        <f>IF(VLOOKUP($U39,'Performance Pivot'!$S:$AF,10,0)="","",VLOOKUP($U39,'Performance Pivot'!$S:$AF,10,0))</f>
        <v>6.8000000000000005E-2</v>
      </c>
      <c r="AE39" s="75">
        <f>IF(VLOOKUP($U39,'Performance Pivot'!$S:$AF,11,0)="","",VLOOKUP($U39,'Performance Pivot'!$S:$AF,11,0))</f>
        <v>6.2100000000000002E-2</v>
      </c>
      <c r="AF39" s="75">
        <f>IF(VLOOKUP($U39,'Performance Pivot'!$S:$AF,12,0)="","",VLOOKUP($U39,'Performance Pivot'!$S:$AF,12,0))</f>
        <v>0</v>
      </c>
      <c r="AG39" s="75">
        <f>IF(VLOOKUP($U39,'Performance Pivot'!$S:$AG,13,0)="","",VLOOKUP($U39,'Performance Pivot'!$S:$AG,13,0))</f>
        <v>0</v>
      </c>
      <c r="AH39" s="75">
        <f>IF(VLOOKUP($U39,'Performance Pivot'!$S:$AG,14,0)="","",VLOOKUP($U39,'Performance Pivot'!$S:$AG,14,0))</f>
        <v>0</v>
      </c>
      <c r="AI39" s="75">
        <f>IF(VLOOKUP($U39,'Performance Pivot'!$S:$AG,15,0)="","",VLOOKUP($U39,'Performance Pivot'!$S:$AG,15,0))</f>
        <v>0</v>
      </c>
      <c r="AJ39" s="75">
        <f>IF(VLOOKUP($U39,'Performance Pivot'!$S:$AG,15,0)="","",VLOOKUP($U39,'Performance Pivot'!$S:$AG,15,0))</f>
        <v>0</v>
      </c>
    </row>
    <row r="40" spans="3:49" ht="17.25" hidden="1" customHeight="1">
      <c r="C40" s="76"/>
      <c r="D40" s="52" t="e">
        <f>VLOOKUP($C40,'Performance Pivot'!$C:$P,2,0)</f>
        <v>#N/A</v>
      </c>
      <c r="E40" s="52" t="e">
        <f>VLOOKUP($C40,'Performance Pivot'!$C:$P,3,0)</f>
        <v>#N/A</v>
      </c>
      <c r="F40" s="52" t="e">
        <f>VLOOKUP($C40,'Performance Pivot'!$C:$P,4,0)</f>
        <v>#N/A</v>
      </c>
      <c r="G40" s="52" t="e">
        <f>VLOOKUP($C40,'Performance Pivot'!$C:$P,5,0)</f>
        <v>#N/A</v>
      </c>
      <c r="H40" s="52" t="e">
        <f>VLOOKUP($C40,'Performance Pivot'!$C:$P,6,0)</f>
        <v>#N/A</v>
      </c>
      <c r="I40" s="52" t="e">
        <f>VLOOKUP($C40,'Performance Pivot'!$C:$P,7,0)</f>
        <v>#N/A</v>
      </c>
      <c r="J40" s="52" t="e">
        <f>VLOOKUP($C40,'Performance Pivot'!$C:$P,8,0)</f>
        <v>#N/A</v>
      </c>
      <c r="K40" s="52" t="e">
        <f>VLOOKUP($C40,'Performance Pivot'!$C:$P,9,0)</f>
        <v>#N/A</v>
      </c>
      <c r="L40" s="52" t="e">
        <f>VLOOKUP($C40,'Performance Pivot'!$C:$P,10,0)</f>
        <v>#N/A</v>
      </c>
      <c r="M40" s="52" t="e">
        <f>VLOOKUP($C40,'Performance Pivot'!$C:$P,11,0)</f>
        <v>#N/A</v>
      </c>
      <c r="N40" s="52" t="e">
        <f>VLOOKUP($C40,'Performance Pivot'!$C:$P,12,0)</f>
        <v>#N/A</v>
      </c>
      <c r="R40" s="52" t="e">
        <f>VLOOKUP($C40,'Performance Pivot'!$C:$P,14,0)</f>
        <v>#N/A</v>
      </c>
      <c r="S40" s="67"/>
      <c r="T40" s="67"/>
      <c r="U40" s="76"/>
      <c r="V40" s="70" t="e">
        <f>IF(VLOOKUP($U40,'Performance Pivot'!$S:$AF,2,0)="","",VLOOKUP($U40,'Performance Pivot'!$S:$AF,2,0))</f>
        <v>#N/A</v>
      </c>
      <c r="W40" s="70" t="e">
        <f>IF(VLOOKUP($U40,'Performance Pivot'!$S:$AF,3,0)="","",VLOOKUP($U40,'Performance Pivot'!$S:$AF,3,0))</f>
        <v>#N/A</v>
      </c>
      <c r="X40" s="70" t="e">
        <f>IF(VLOOKUP($U40,'Performance Pivot'!$S:$AF,4,0)="","",VLOOKUP($U40,'Performance Pivot'!$S:$AF,4,0))</f>
        <v>#N/A</v>
      </c>
      <c r="Y40" s="70" t="e">
        <f>IF(VLOOKUP($U40,'Performance Pivot'!$S:$AF,5,0)="","",VLOOKUP($U40,'Performance Pivot'!$S:$AF,5,0))</f>
        <v>#N/A</v>
      </c>
      <c r="Z40" s="70" t="e">
        <f>IF(VLOOKUP($U40,'Performance Pivot'!$S:$AF,6,0)="","",VLOOKUP($U40,'Performance Pivot'!$S:$AF,6,0))</f>
        <v>#N/A</v>
      </c>
      <c r="AA40" s="70" t="e">
        <f>IF(VLOOKUP($U40,'Performance Pivot'!$S:$AF,7,0)="","",VLOOKUP($U40,'Performance Pivot'!$S:$AF,7,0))</f>
        <v>#N/A</v>
      </c>
      <c r="AB40" s="70" t="e">
        <f>IF(VLOOKUP($U40,'Performance Pivot'!$S:$AF,8,0)="","",VLOOKUP($U40,'Performance Pivot'!$S:$AF,8,0))</f>
        <v>#N/A</v>
      </c>
      <c r="AC40" s="70" t="e">
        <f>IF(VLOOKUP($U40,'Performance Pivot'!$S:$AF,9,0)="","",VLOOKUP($U40,'Performance Pivot'!$S:$AF,9,0))</f>
        <v>#N/A</v>
      </c>
      <c r="AD40" s="70" t="e">
        <f>IF(VLOOKUP($U40,'Performance Pivot'!$S:$AF,10,0)="","",VLOOKUP($U40,'Performance Pivot'!$S:$AF,10,0))</f>
        <v>#N/A</v>
      </c>
      <c r="AE40" s="70" t="e">
        <f>IF(VLOOKUP($U40,'Performance Pivot'!$S:$AF,11,0)="","",VLOOKUP($U40,'Performance Pivot'!$S:$AF,11,0))</f>
        <v>#N/A</v>
      </c>
      <c r="AF40" s="70" t="e">
        <f>IF(VLOOKUP($U40,'Performance Pivot'!$S:$AF,12,0)="","",VLOOKUP($U40,'Performance Pivot'!$S:$AF,12,0))</f>
        <v>#N/A</v>
      </c>
      <c r="AG40" s="70"/>
      <c r="AH40" s="70"/>
      <c r="AI40" s="70"/>
      <c r="AJ40" s="70" t="e">
        <f>IF(VLOOKUP($U40,'Performance Pivot'!$S:$AG,15,0)="","",VLOOKUP($U40,'Performance Pivot'!$S:$AG,15,0))</f>
        <v>#N/A</v>
      </c>
    </row>
    <row r="41" spans="3:49" ht="17.25" customHeight="1">
      <c r="C41" s="76"/>
      <c r="D41" s="77"/>
      <c r="E41" s="77"/>
      <c r="F41" s="77"/>
      <c r="G41" s="77"/>
      <c r="H41" s="77"/>
      <c r="I41" s="77"/>
      <c r="J41" s="77"/>
      <c r="K41" s="77"/>
      <c r="L41" s="77"/>
      <c r="M41" s="77"/>
      <c r="N41" s="77"/>
      <c r="O41" s="77"/>
      <c r="P41" s="77"/>
      <c r="Q41" s="77"/>
      <c r="R41" s="77"/>
      <c r="S41" s="67"/>
      <c r="T41" s="67"/>
      <c r="U41" s="76"/>
      <c r="V41" s="78"/>
      <c r="W41" s="78"/>
      <c r="X41" s="78"/>
      <c r="Y41" s="78"/>
      <c r="Z41" s="78"/>
      <c r="AA41" s="78"/>
      <c r="AB41" s="78"/>
      <c r="AC41" s="78"/>
      <c r="AD41" s="78"/>
      <c r="AE41" s="78"/>
      <c r="AF41" s="78"/>
      <c r="AG41" s="78"/>
      <c r="AH41" s="78"/>
      <c r="AI41" s="78"/>
      <c r="AJ41" s="78"/>
    </row>
    <row r="42" spans="3:49" ht="17.25" customHeight="1">
      <c r="C42" s="76"/>
      <c r="D42" s="77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  <c r="Q42" s="77"/>
      <c r="R42" s="77"/>
      <c r="S42" s="67"/>
      <c r="T42" s="67"/>
      <c r="U42" s="76"/>
      <c r="V42" s="78"/>
      <c r="W42" s="78"/>
      <c r="X42" s="78"/>
      <c r="Y42" s="78"/>
      <c r="Z42" s="78"/>
      <c r="AA42" s="78"/>
      <c r="AB42" s="78"/>
      <c r="AC42" s="78"/>
      <c r="AD42" s="78"/>
      <c r="AE42" s="78"/>
      <c r="AF42" s="78"/>
      <c r="AG42" s="78"/>
      <c r="AH42" s="78"/>
      <c r="AI42" s="78"/>
      <c r="AJ42" s="78"/>
    </row>
    <row r="43" spans="3:49" ht="17.25" customHeight="1">
      <c r="C43" s="76"/>
      <c r="D43" s="78"/>
      <c r="E43" s="78"/>
      <c r="F43" s="78"/>
      <c r="G43" s="78"/>
      <c r="H43" s="78"/>
      <c r="I43" s="78"/>
      <c r="J43" s="78"/>
      <c r="K43" s="78"/>
      <c r="L43" s="78"/>
      <c r="M43" s="78"/>
      <c r="N43" s="78"/>
      <c r="O43" s="78"/>
      <c r="P43" s="78"/>
      <c r="Q43" s="78"/>
      <c r="R43" s="78"/>
      <c r="S43" s="67"/>
      <c r="T43" s="67"/>
      <c r="U43" s="67"/>
      <c r="V43" s="67"/>
      <c r="W43" s="67"/>
      <c r="X43" s="67"/>
      <c r="Y43" s="67"/>
      <c r="Z43" s="67"/>
      <c r="AA43" s="67"/>
      <c r="AB43" s="67"/>
      <c r="AC43" s="67"/>
      <c r="AD43" s="67"/>
      <c r="AE43" s="67"/>
      <c r="AF43" s="67"/>
      <c r="AG43" s="67"/>
      <c r="AH43" s="67"/>
      <c r="AI43" s="67"/>
      <c r="AJ43" s="67"/>
    </row>
    <row r="44" spans="3:49" ht="17.25" customHeight="1">
      <c r="C44" s="103" t="s">
        <v>19</v>
      </c>
      <c r="D44" s="103"/>
      <c r="E44" s="103"/>
      <c r="F44" s="103"/>
      <c r="G44" s="103"/>
      <c r="H44" s="103"/>
      <c r="I44" s="103"/>
      <c r="J44" s="103"/>
      <c r="K44" s="103"/>
      <c r="L44" s="103"/>
      <c r="M44" s="103"/>
      <c r="N44" s="103"/>
      <c r="O44" s="103"/>
      <c r="P44" s="103"/>
      <c r="Q44" s="103"/>
      <c r="R44" s="103"/>
      <c r="S44" s="67"/>
      <c r="T44" s="67"/>
      <c r="U44" s="104" t="s">
        <v>20</v>
      </c>
      <c r="V44" s="104"/>
      <c r="W44" s="104"/>
      <c r="X44" s="104"/>
      <c r="Y44" s="104"/>
      <c r="Z44" s="104"/>
      <c r="AA44" s="104"/>
      <c r="AB44" s="104"/>
      <c r="AC44" s="104"/>
      <c r="AD44" s="104"/>
      <c r="AE44" s="104"/>
      <c r="AF44" s="104"/>
      <c r="AG44" s="104"/>
      <c r="AH44" s="104"/>
      <c r="AI44" s="104"/>
      <c r="AJ44" s="104"/>
    </row>
    <row r="45" spans="3:49" ht="25.5">
      <c r="C45" s="58"/>
      <c r="D45" s="58" t="str">
        <f t="shared" ref="D45:Q45" si="15">D16</f>
        <v>CAS 2013-C01-1</v>
      </c>
      <c r="E45" s="58" t="str">
        <f t="shared" si="15"/>
        <v>CAS 2014-C01-1</v>
      </c>
      <c r="F45" s="58" t="str">
        <f t="shared" si="15"/>
        <v>CAS 2014-C02-1</v>
      </c>
      <c r="G45" s="58" t="str">
        <f t="shared" si="15"/>
        <v>CAS 2014-C02-2</v>
      </c>
      <c r="H45" s="58" t="str">
        <f t="shared" si="15"/>
        <v>CAS 2014-C03-1</v>
      </c>
      <c r="I45" s="58" t="str">
        <f t="shared" si="15"/>
        <v>CAS 2014-C03-2</v>
      </c>
      <c r="J45" s="58" t="str">
        <f t="shared" si="15"/>
        <v>CAS 2014-C04-1</v>
      </c>
      <c r="K45" s="58" t="str">
        <f t="shared" si="15"/>
        <v>CAS 2014-C04-2</v>
      </c>
      <c r="L45" s="58" t="str">
        <f t="shared" si="15"/>
        <v>CAS 2015-C01-1</v>
      </c>
      <c r="M45" s="58" t="str">
        <f t="shared" si="15"/>
        <v>CAS 2015-C01-2</v>
      </c>
      <c r="N45" s="58" t="str">
        <f t="shared" si="15"/>
        <v>CAS 2015-C02-1</v>
      </c>
      <c r="O45" s="58" t="str">
        <f t="shared" si="15"/>
        <v>CAS 2015-C02-2</v>
      </c>
      <c r="P45" s="58" t="str">
        <f t="shared" si="15"/>
        <v>CAS 2015-C03-1</v>
      </c>
      <c r="Q45" s="58" t="str">
        <f t="shared" si="15"/>
        <v>CAS 2015-C03-2</v>
      </c>
      <c r="R45" s="53"/>
      <c r="S45" s="47"/>
      <c r="T45" s="47"/>
      <c r="U45" s="56"/>
      <c r="V45" s="56" t="str">
        <f>D16</f>
        <v>CAS 2013-C01-1</v>
      </c>
      <c r="W45" s="56" t="str">
        <f t="shared" ref="W45:AH45" si="16">E16</f>
        <v>CAS 2014-C01-1</v>
      </c>
      <c r="X45" s="56" t="str">
        <f t="shared" si="16"/>
        <v>CAS 2014-C02-1</v>
      </c>
      <c r="Y45" s="56" t="str">
        <f t="shared" si="16"/>
        <v>CAS 2014-C02-2</v>
      </c>
      <c r="Z45" s="56" t="str">
        <f t="shared" si="16"/>
        <v>CAS 2014-C03-1</v>
      </c>
      <c r="AA45" s="56" t="str">
        <f t="shared" si="16"/>
        <v>CAS 2014-C03-2</v>
      </c>
      <c r="AB45" s="56" t="str">
        <f t="shared" si="16"/>
        <v>CAS 2014-C04-1</v>
      </c>
      <c r="AC45" s="56" t="str">
        <f t="shared" si="16"/>
        <v>CAS 2014-C04-2</v>
      </c>
      <c r="AD45" s="56" t="str">
        <f t="shared" si="16"/>
        <v>CAS 2015-C01-1</v>
      </c>
      <c r="AE45" s="56" t="str">
        <f t="shared" si="16"/>
        <v>CAS 2015-C01-2</v>
      </c>
      <c r="AF45" s="56" t="str">
        <f t="shared" si="16"/>
        <v>CAS 2015-C02-1</v>
      </c>
      <c r="AG45" s="56" t="str">
        <f t="shared" si="16"/>
        <v>CAS 2015-C02-2</v>
      </c>
      <c r="AH45" s="56" t="str">
        <f t="shared" si="16"/>
        <v>CAS 2015-C03-1</v>
      </c>
      <c r="AI45" s="56" t="str">
        <f t="shared" ref="AI45" si="17">Q16</f>
        <v>CAS 2015-C03-2</v>
      </c>
      <c r="AJ45" s="56"/>
    </row>
    <row r="46" spans="3:49" hidden="1">
      <c r="C46" s="58"/>
      <c r="D46" s="58">
        <f t="shared" ref="D46:Q46" si="18">D17</f>
        <v>1</v>
      </c>
      <c r="E46" s="58">
        <f t="shared" si="18"/>
        <v>1</v>
      </c>
      <c r="F46" s="58">
        <f t="shared" si="18"/>
        <v>1</v>
      </c>
      <c r="G46" s="58">
        <f t="shared" si="18"/>
        <v>2</v>
      </c>
      <c r="H46" s="58">
        <f t="shared" si="18"/>
        <v>1</v>
      </c>
      <c r="I46" s="58">
        <f t="shared" si="18"/>
        <v>2</v>
      </c>
      <c r="J46" s="58">
        <f t="shared" si="18"/>
        <v>1</v>
      </c>
      <c r="K46" s="58">
        <f t="shared" si="18"/>
        <v>2</v>
      </c>
      <c r="L46" s="58">
        <f t="shared" si="18"/>
        <v>1</v>
      </c>
      <c r="M46" s="58">
        <f t="shared" si="18"/>
        <v>2</v>
      </c>
      <c r="N46" s="58">
        <f t="shared" si="18"/>
        <v>1</v>
      </c>
      <c r="O46" s="58"/>
      <c r="P46" s="58"/>
      <c r="Q46" s="58">
        <f t="shared" si="18"/>
        <v>2</v>
      </c>
      <c r="R46" s="53"/>
      <c r="S46" s="47"/>
      <c r="T46" s="47"/>
      <c r="U46" s="56"/>
      <c r="V46" s="56">
        <f>D17</f>
        <v>1</v>
      </c>
      <c r="W46" s="56">
        <f t="shared" ref="W46:AF47" si="19">E17</f>
        <v>1</v>
      </c>
      <c r="X46" s="56">
        <f t="shared" si="19"/>
        <v>1</v>
      </c>
      <c r="Y46" s="56">
        <f t="shared" si="19"/>
        <v>2</v>
      </c>
      <c r="Z46" s="56">
        <f t="shared" si="19"/>
        <v>1</v>
      </c>
      <c r="AA46" s="56">
        <f t="shared" si="19"/>
        <v>2</v>
      </c>
      <c r="AB46" s="56">
        <f t="shared" si="19"/>
        <v>1</v>
      </c>
      <c r="AC46" s="56">
        <f t="shared" si="19"/>
        <v>2</v>
      </c>
      <c r="AD46" s="56">
        <f t="shared" si="19"/>
        <v>1</v>
      </c>
      <c r="AE46" s="56">
        <f t="shared" si="19"/>
        <v>2</v>
      </c>
      <c r="AF46" s="56">
        <f t="shared" si="19"/>
        <v>1</v>
      </c>
      <c r="AG46" s="56"/>
      <c r="AH46" s="56"/>
      <c r="AI46" s="56">
        <f t="shared" ref="AI46" si="20">Q17</f>
        <v>2</v>
      </c>
      <c r="AJ46" s="56"/>
    </row>
    <row r="47" spans="3:49" ht="25.5" hidden="1">
      <c r="C47" s="58" t="str">
        <f t="shared" ref="C47:Q47" si="21">C18</f>
        <v>Date</v>
      </c>
      <c r="D47" s="58" t="str">
        <f t="shared" si="21"/>
        <v>1372</v>
      </c>
      <c r="E47" s="58" t="str">
        <f t="shared" si="21"/>
        <v>1378</v>
      </c>
      <c r="F47" s="58" t="str">
        <f t="shared" si="21"/>
        <v>1383</v>
      </c>
      <c r="G47" s="58" t="str">
        <f t="shared" si="21"/>
        <v>1384</v>
      </c>
      <c r="H47" s="58" t="str">
        <f t="shared" si="21"/>
        <v>1387</v>
      </c>
      <c r="I47" s="58" t="str">
        <f t="shared" si="21"/>
        <v>1388</v>
      </c>
      <c r="J47" s="58" t="str">
        <f t="shared" si="21"/>
        <v>1392</v>
      </c>
      <c r="K47" s="58" t="str">
        <f t="shared" si="21"/>
        <v>1393</v>
      </c>
      <c r="L47" s="58" t="str">
        <f t="shared" si="21"/>
        <v>1397</v>
      </c>
      <c r="M47" s="58" t="str">
        <f t="shared" si="21"/>
        <v>1398</v>
      </c>
      <c r="N47" s="58" t="str">
        <f t="shared" si="21"/>
        <v>1399</v>
      </c>
      <c r="O47" s="58"/>
      <c r="P47" s="58"/>
      <c r="Q47" s="58" t="str">
        <f t="shared" si="21"/>
        <v>1405</v>
      </c>
      <c r="R47" s="53" t="s">
        <v>59</v>
      </c>
      <c r="S47" s="47"/>
      <c r="T47" s="47"/>
      <c r="U47" s="56" t="str">
        <f>C18</f>
        <v>Date</v>
      </c>
      <c r="V47" s="56" t="str">
        <f>D18</f>
        <v>1372</v>
      </c>
      <c r="W47" s="56" t="str">
        <f t="shared" si="19"/>
        <v>1378</v>
      </c>
      <c r="X47" s="56" t="str">
        <f t="shared" si="19"/>
        <v>1383</v>
      </c>
      <c r="Y47" s="56" t="str">
        <f t="shared" si="19"/>
        <v>1384</v>
      </c>
      <c r="Z47" s="56" t="str">
        <f t="shared" si="19"/>
        <v>1387</v>
      </c>
      <c r="AA47" s="56" t="str">
        <f t="shared" si="19"/>
        <v>1388</v>
      </c>
      <c r="AB47" s="56" t="str">
        <f t="shared" si="19"/>
        <v>1392</v>
      </c>
      <c r="AC47" s="56" t="str">
        <f t="shared" si="19"/>
        <v>1393</v>
      </c>
      <c r="AD47" s="56" t="str">
        <f t="shared" si="19"/>
        <v>1397</v>
      </c>
      <c r="AE47" s="56" t="str">
        <f t="shared" si="19"/>
        <v>1398</v>
      </c>
      <c r="AF47" s="56" t="str">
        <f t="shared" si="19"/>
        <v>1399</v>
      </c>
      <c r="AG47" s="56"/>
      <c r="AH47" s="56"/>
      <c r="AI47" s="56" t="str">
        <f t="shared" ref="AI47:AJ47" si="22">Q18</f>
        <v>1405</v>
      </c>
      <c r="AJ47" s="56" t="str">
        <f t="shared" si="22"/>
        <v>STACR 2015-HQ2</v>
      </c>
    </row>
    <row r="48" spans="3:49" s="71" customFormat="1" ht="21" customHeight="1">
      <c r="C48" s="68">
        <f t="shared" ref="C48:C68" si="23">C19</f>
        <v>41609</v>
      </c>
      <c r="D48" s="70">
        <f>IF(VLOOKUP($C48,'Performance Pivot'!$AI:$AV,2,0)="","",VLOOKUP($C48,'Performance Pivot'!$AI:$AV,2,0))</f>
        <v>0</v>
      </c>
      <c r="E48" s="70">
        <f>IF(VLOOKUP($C48,'Performance Pivot'!$AI:$AV,3,0)="","",VLOOKUP($C48,'Performance Pivot'!$AI:$AV,3,0))</f>
        <v>0</v>
      </c>
      <c r="F48" s="70" t="str">
        <f>IF(VLOOKUP($C48,'Performance Pivot'!$AI:$AV,4,0)="","",VLOOKUP($C48,'Performance Pivot'!$AI:$AV,4,0))</f>
        <v/>
      </c>
      <c r="G48" s="70" t="str">
        <f>IF(VLOOKUP($C48,'Performance Pivot'!$AI:$AV,5,0)="","",VLOOKUP($C48,'Performance Pivot'!$AI:$AV,5,0))</f>
        <v/>
      </c>
      <c r="H48" s="70" t="str">
        <f>IF(VLOOKUP($C48,'Performance Pivot'!$AI:$AV,6,0)="","",VLOOKUP($C48,'Performance Pivot'!$AI:$AV,6,0))</f>
        <v/>
      </c>
      <c r="I48" s="70" t="str">
        <f>IF(VLOOKUP($C48,'Performance Pivot'!$AI:$AV,7,0)="","",VLOOKUP($C48,'Performance Pivot'!$AI:$AV,7,0))</f>
        <v/>
      </c>
      <c r="J48" s="70" t="str">
        <f>IF(VLOOKUP($C48,'Performance Pivot'!$AI:$AV,8,0)="","",VLOOKUP($C48,'Performance Pivot'!$AI:$AV,8,0))</f>
        <v/>
      </c>
      <c r="K48" s="70" t="str">
        <f>IF(VLOOKUP($C48,'Performance Pivot'!$AI:$AV,9,0)="","",VLOOKUP($C48,'Performance Pivot'!$AI:$AV,9,0))</f>
        <v/>
      </c>
      <c r="L48" s="70" t="str">
        <f>IF(VLOOKUP($C48,'Performance Pivot'!$AI:$AV,10,0)="","",VLOOKUP($C48,'Performance Pivot'!$AI:$AV,10,0))</f>
        <v/>
      </c>
      <c r="M48" s="70" t="str">
        <f>IF(VLOOKUP($C48,'Performance Pivot'!$AI:$AV,11,0)="","",VLOOKUP($C48,'Performance Pivot'!$AI:$AV,11,0))</f>
        <v/>
      </c>
      <c r="N48" s="70" t="str">
        <f>IF(VLOOKUP($C48,'Performance Pivot'!$AI:$AV,12,0)="","",VLOOKUP($C48,'Performance Pivot'!$AI:$AV,12,0))</f>
        <v/>
      </c>
      <c r="O48" s="70" t="str">
        <f>IF(VLOOKUP($C48,'Performance Pivot'!$AI:$AW,13,0)="","",VLOOKUP($C48,'Performance Pivot'!$AI:$AW,13,0))</f>
        <v/>
      </c>
      <c r="P48" s="70" t="str">
        <f>IF(VLOOKUP($C48,'Performance Pivot'!$AI:$AW,14,0)="","",VLOOKUP($C48,'Performance Pivot'!$AI:$AW,14,0))</f>
        <v/>
      </c>
      <c r="Q48" s="70" t="str">
        <f>IF(VLOOKUP($C48,'Performance Pivot'!$AI:$AW,15,0)="","",VLOOKUP($C48,'Performance Pivot'!$AI:$AW,15,0))</f>
        <v/>
      </c>
      <c r="R48" s="70" t="str">
        <f>IF(VLOOKUP($C48,'Performance Pivot'!$AI:$AW,15,0)="","",VLOOKUP($C48,'Performance Pivot'!$AI:$AW,15,0))</f>
        <v/>
      </c>
      <c r="S48" s="52"/>
      <c r="T48" s="52"/>
      <c r="U48" s="89">
        <f t="shared" ref="U48:U68" si="24">C19</f>
        <v>41609</v>
      </c>
      <c r="V48" s="70">
        <f>IF(VLOOKUP($U48,'Performance Pivot'!$AZ:$BM,2,0)="","",VLOOKUP($U48,'Performance Pivot'!$AZ:$BM,2,0))</f>
        <v>0.18353268613137858</v>
      </c>
      <c r="W48" s="70">
        <f>IF(VLOOKUP($U48,'Performance Pivot'!$AZ:$BM,3,0)="","",VLOOKUP($U48,'Performance Pivot'!$AZ:$BM,3,0))</f>
        <v>0.14466061276666303</v>
      </c>
      <c r="X48" s="70" t="str">
        <f>IF(VLOOKUP($U48,'Performance Pivot'!$AZ:$BM,4,0)="","",VLOOKUP($U48,'Performance Pivot'!$AZ:$BM,4,0))</f>
        <v/>
      </c>
      <c r="Y48" s="70" t="str">
        <f>IF(VLOOKUP($U48,'Performance Pivot'!$AZ:$BM,5,0)="","",VLOOKUP($U48,'Performance Pivot'!$AZ:$BM,5,0))</f>
        <v/>
      </c>
      <c r="Z48" s="70" t="str">
        <f>IF(VLOOKUP($U48,'Performance Pivot'!$AZ:$BM,6,0)="","",VLOOKUP($U48,'Performance Pivot'!$AZ:$BM,6,0))</f>
        <v/>
      </c>
      <c r="AA48" s="70" t="str">
        <f>IF(VLOOKUP($U48,'Performance Pivot'!$AZ:$BM,7,0)="","",VLOOKUP($U48,'Performance Pivot'!$AZ:$BM,7,0))</f>
        <v/>
      </c>
      <c r="AB48" s="70" t="str">
        <f>IF(VLOOKUP($U48,'Performance Pivot'!$AZ:$BM,8,0)="","",VLOOKUP($U48,'Performance Pivot'!$AZ:$BM,8,0))</f>
        <v/>
      </c>
      <c r="AC48" s="70" t="str">
        <f>IF(VLOOKUP($U48,'Performance Pivot'!$AZ:$BM,9,0)="","",VLOOKUP($U48,'Performance Pivot'!$AZ:$BM,9,0))</f>
        <v/>
      </c>
      <c r="AD48" s="70" t="str">
        <f>IF(VLOOKUP($U48,'Performance Pivot'!$AZ:$BM,10,0)="","",VLOOKUP($U48,'Performance Pivot'!$AZ:$BM,10,0))</f>
        <v/>
      </c>
      <c r="AE48" s="70" t="str">
        <f>IF(VLOOKUP($U48,'Performance Pivot'!$AZ:$BM,11,0)="","",VLOOKUP($U48,'Performance Pivot'!$AZ:$BM,11,0))</f>
        <v/>
      </c>
      <c r="AF48" s="70" t="str">
        <f>IF(VLOOKUP($U48,'Performance Pivot'!$AZ:$BM,12,0)="","",VLOOKUP($U48,'Performance Pivot'!$AZ:$BM,12,0))</f>
        <v/>
      </c>
      <c r="AG48" s="70" t="str">
        <f>IF(VLOOKUP($U48,'Performance Pivot'!$AZ:$BN,13,0)="","",VLOOKUP($U48,'Performance Pivot'!$AZ:$BN,13,0))</f>
        <v/>
      </c>
      <c r="AH48" s="70" t="str">
        <f>IF(VLOOKUP($U48,'Performance Pivot'!$AZ:$BN,14,0)="","",VLOOKUP($U48,'Performance Pivot'!$AZ:$BN,14,0))</f>
        <v/>
      </c>
      <c r="AI48" s="70" t="str">
        <f>IF(VLOOKUP($U48,'Performance Pivot'!$AZ:$BN,15,0)="","",VLOOKUP($U48,'Performance Pivot'!$AZ:$BN,15,0))</f>
        <v/>
      </c>
      <c r="AJ48" s="70" t="str">
        <f>IF(VLOOKUP($U48,'Performance Pivot'!$AZ:$BN,15,0)="","",VLOOKUP($U48,'Performance Pivot'!$AZ:$BN,15,0))</f>
        <v/>
      </c>
      <c r="AK48" s="52"/>
      <c r="AL48" s="52"/>
      <c r="AM48" s="52"/>
      <c r="AN48" s="52"/>
      <c r="AO48" s="52"/>
      <c r="AP48" s="52"/>
      <c r="AQ48" s="52"/>
      <c r="AR48" s="52"/>
      <c r="AS48" s="52"/>
      <c r="AT48" s="52"/>
      <c r="AU48" s="52"/>
      <c r="AV48" s="52"/>
      <c r="AW48" s="52"/>
    </row>
    <row r="49" spans="3:49" s="71" customFormat="1" ht="21" customHeight="1">
      <c r="C49" s="68">
        <f t="shared" si="23"/>
        <v>41640</v>
      </c>
      <c r="D49" s="70">
        <f>IF(VLOOKUP($C49,'Performance Pivot'!$AI:$AV,2,0)="","",VLOOKUP($C49,'Performance Pivot'!$AI:$AV,2,0))</f>
        <v>0</v>
      </c>
      <c r="E49" s="70">
        <f>IF(VLOOKUP($C49,'Performance Pivot'!$AI:$AV,3,0)="","",VLOOKUP($C49,'Performance Pivot'!$AI:$AV,3,0))</f>
        <v>0</v>
      </c>
      <c r="F49" s="70" t="str">
        <f>IF(VLOOKUP($C49,'Performance Pivot'!$AI:$AV,4,0)="","",VLOOKUP($C49,'Performance Pivot'!$AI:$AV,4,0))</f>
        <v/>
      </c>
      <c r="G49" s="70" t="str">
        <f>IF(VLOOKUP($C49,'Performance Pivot'!$AI:$AV,5,0)="","",VLOOKUP($C49,'Performance Pivot'!$AI:$AV,5,0))</f>
        <v/>
      </c>
      <c r="H49" s="70" t="str">
        <f>IF(VLOOKUP($C49,'Performance Pivot'!$AI:$AV,6,0)="","",VLOOKUP($C49,'Performance Pivot'!$AI:$AV,6,0))</f>
        <v/>
      </c>
      <c r="I49" s="70" t="str">
        <f>IF(VLOOKUP($C49,'Performance Pivot'!$AI:$AV,7,0)="","",VLOOKUP($C49,'Performance Pivot'!$AI:$AV,7,0))</f>
        <v/>
      </c>
      <c r="J49" s="70" t="str">
        <f>IF(VLOOKUP($C49,'Performance Pivot'!$AI:$AV,8,0)="","",VLOOKUP($C49,'Performance Pivot'!$AI:$AV,8,0))</f>
        <v/>
      </c>
      <c r="K49" s="70" t="str">
        <f>IF(VLOOKUP($C49,'Performance Pivot'!$AI:$AV,9,0)="","",VLOOKUP($C49,'Performance Pivot'!$AI:$AV,9,0))</f>
        <v/>
      </c>
      <c r="L49" s="70" t="str">
        <f>IF(VLOOKUP($C49,'Performance Pivot'!$AI:$AV,10,0)="","",VLOOKUP($C49,'Performance Pivot'!$AI:$AV,10,0))</f>
        <v/>
      </c>
      <c r="M49" s="70" t="str">
        <f>IF(VLOOKUP($C49,'Performance Pivot'!$AI:$AV,11,0)="","",VLOOKUP($C49,'Performance Pivot'!$AI:$AV,11,0))</f>
        <v/>
      </c>
      <c r="N49" s="70" t="str">
        <f>IF(VLOOKUP($C49,'Performance Pivot'!$AI:$AV,12,0)="","",VLOOKUP($C49,'Performance Pivot'!$AI:$AV,12,0))</f>
        <v/>
      </c>
      <c r="O49" s="70" t="str">
        <f>IF(VLOOKUP($C49,'Performance Pivot'!$AI:$AW,13,0)="","",VLOOKUP($C49,'Performance Pivot'!$AI:$AW,13,0))</f>
        <v/>
      </c>
      <c r="P49" s="70" t="str">
        <f>IF(VLOOKUP($C49,'Performance Pivot'!$AI:$AW,14,0)="","",VLOOKUP($C49,'Performance Pivot'!$AI:$AW,14,0))</f>
        <v/>
      </c>
      <c r="Q49" s="70" t="str">
        <f>IF(VLOOKUP($C49,'Performance Pivot'!$AI:$AW,15,0)="","",VLOOKUP($C49,'Performance Pivot'!$AI:$AW,15,0))</f>
        <v/>
      </c>
      <c r="R49" s="70" t="str">
        <f>IF(VLOOKUP($C49,'Performance Pivot'!$AI:$AW,15,0)="","",VLOOKUP($C49,'Performance Pivot'!$AI:$AW,15,0))</f>
        <v/>
      </c>
      <c r="S49" s="52"/>
      <c r="T49" s="52"/>
      <c r="U49" s="89">
        <f t="shared" si="24"/>
        <v>41640</v>
      </c>
      <c r="V49" s="70">
        <f>IF(VLOOKUP($U49,'Performance Pivot'!$AZ:$BM,2,0)="","",VLOOKUP($U49,'Performance Pivot'!$AZ:$BM,2,0))</f>
        <v>0.18425246220557345</v>
      </c>
      <c r="W49" s="70">
        <f>IF(VLOOKUP($U49,'Performance Pivot'!$AZ:$BM,3,0)="","",VLOOKUP($U49,'Performance Pivot'!$AZ:$BM,3,0))</f>
        <v>0.16038141677889206</v>
      </c>
      <c r="X49" s="70" t="str">
        <f>IF(VLOOKUP($U49,'Performance Pivot'!$AZ:$BM,4,0)="","",VLOOKUP($U49,'Performance Pivot'!$AZ:$BM,4,0))</f>
        <v/>
      </c>
      <c r="Y49" s="70" t="str">
        <f>IF(VLOOKUP($U49,'Performance Pivot'!$AZ:$BM,5,0)="","",VLOOKUP($U49,'Performance Pivot'!$AZ:$BM,5,0))</f>
        <v/>
      </c>
      <c r="Z49" s="70" t="str">
        <f>IF(VLOOKUP($U49,'Performance Pivot'!$AZ:$BM,6,0)="","",VLOOKUP($U49,'Performance Pivot'!$AZ:$BM,6,0))</f>
        <v/>
      </c>
      <c r="AA49" s="70" t="str">
        <f>IF(VLOOKUP($U49,'Performance Pivot'!$AZ:$BM,7,0)="","",VLOOKUP($U49,'Performance Pivot'!$AZ:$BM,7,0))</f>
        <v/>
      </c>
      <c r="AB49" s="70" t="str">
        <f>IF(VLOOKUP($U49,'Performance Pivot'!$AZ:$BM,8,0)="","",VLOOKUP($U49,'Performance Pivot'!$AZ:$BM,8,0))</f>
        <v/>
      </c>
      <c r="AC49" s="70" t="str">
        <f>IF(VLOOKUP($U49,'Performance Pivot'!$AZ:$BM,9,0)="","",VLOOKUP($U49,'Performance Pivot'!$AZ:$BM,9,0))</f>
        <v/>
      </c>
      <c r="AD49" s="70" t="str">
        <f>IF(VLOOKUP($U49,'Performance Pivot'!$AZ:$BM,10,0)="","",VLOOKUP($U49,'Performance Pivot'!$AZ:$BM,10,0))</f>
        <v/>
      </c>
      <c r="AE49" s="70" t="str">
        <f>IF(VLOOKUP($U49,'Performance Pivot'!$AZ:$BM,11,0)="","",VLOOKUP($U49,'Performance Pivot'!$AZ:$BM,11,0))</f>
        <v/>
      </c>
      <c r="AF49" s="70" t="str">
        <f>IF(VLOOKUP($U49,'Performance Pivot'!$AZ:$BM,12,0)="","",VLOOKUP($U49,'Performance Pivot'!$AZ:$BM,12,0))</f>
        <v/>
      </c>
      <c r="AG49" s="70" t="str">
        <f>IF(VLOOKUP($U49,'Performance Pivot'!$AZ:$BN,13,0)="","",VLOOKUP($U49,'Performance Pivot'!$AZ:$BN,13,0))</f>
        <v/>
      </c>
      <c r="AH49" s="70" t="str">
        <f>IF(VLOOKUP($U49,'Performance Pivot'!$AZ:$BN,14,0)="","",VLOOKUP($U49,'Performance Pivot'!$AZ:$BN,14,0))</f>
        <v/>
      </c>
      <c r="AI49" s="70" t="str">
        <f>IF(VLOOKUP($U49,'Performance Pivot'!$AZ:$BN,15,0)="","",VLOOKUP($U49,'Performance Pivot'!$AZ:$BN,15,0))</f>
        <v/>
      </c>
      <c r="AJ49" s="70" t="str">
        <f>IF(VLOOKUP($U49,'Performance Pivot'!$AZ:$BN,15,0)="","",VLOOKUP($U49,'Performance Pivot'!$AZ:$BN,15,0))</f>
        <v/>
      </c>
      <c r="AK49" s="52"/>
      <c r="AL49" s="52"/>
      <c r="AM49" s="52"/>
      <c r="AN49" s="52"/>
      <c r="AO49" s="52"/>
      <c r="AP49" s="52"/>
      <c r="AQ49" s="52"/>
      <c r="AR49" s="52"/>
      <c r="AS49" s="52"/>
      <c r="AT49" s="52"/>
      <c r="AU49" s="52"/>
      <c r="AV49" s="52"/>
      <c r="AW49" s="52"/>
    </row>
    <row r="50" spans="3:49" s="71" customFormat="1" ht="21" customHeight="1">
      <c r="C50" s="68">
        <f t="shared" si="23"/>
        <v>41671</v>
      </c>
      <c r="D50" s="70">
        <f>IF(VLOOKUP($C50,'Performance Pivot'!$AI:$AV,2,0)="","",VLOOKUP($C50,'Performance Pivot'!$AI:$AV,2,0))</f>
        <v>0</v>
      </c>
      <c r="E50" s="70">
        <f>IF(VLOOKUP($C50,'Performance Pivot'!$AI:$AV,3,0)="","",VLOOKUP($C50,'Performance Pivot'!$AI:$AV,3,0))</f>
        <v>0</v>
      </c>
      <c r="F50" s="70" t="str">
        <f>IF(VLOOKUP($C50,'Performance Pivot'!$AI:$AV,4,0)="","",VLOOKUP($C50,'Performance Pivot'!$AI:$AV,4,0))</f>
        <v/>
      </c>
      <c r="G50" s="70" t="str">
        <f>IF(VLOOKUP($C50,'Performance Pivot'!$AI:$AV,5,0)="","",VLOOKUP($C50,'Performance Pivot'!$AI:$AV,5,0))</f>
        <v/>
      </c>
      <c r="H50" s="70" t="str">
        <f>IF(VLOOKUP($C50,'Performance Pivot'!$AI:$AV,6,0)="","",VLOOKUP($C50,'Performance Pivot'!$AI:$AV,6,0))</f>
        <v/>
      </c>
      <c r="I50" s="70" t="str">
        <f>IF(VLOOKUP($C50,'Performance Pivot'!$AI:$AV,7,0)="","",VLOOKUP($C50,'Performance Pivot'!$AI:$AV,7,0))</f>
        <v/>
      </c>
      <c r="J50" s="70" t="str">
        <f>IF(VLOOKUP($C50,'Performance Pivot'!$AI:$AV,8,0)="","",VLOOKUP($C50,'Performance Pivot'!$AI:$AV,8,0))</f>
        <v/>
      </c>
      <c r="K50" s="70" t="str">
        <f>IF(VLOOKUP($C50,'Performance Pivot'!$AI:$AV,9,0)="","",VLOOKUP($C50,'Performance Pivot'!$AI:$AV,9,0))</f>
        <v/>
      </c>
      <c r="L50" s="70" t="str">
        <f>IF(VLOOKUP($C50,'Performance Pivot'!$AI:$AV,10,0)="","",VLOOKUP($C50,'Performance Pivot'!$AI:$AV,10,0))</f>
        <v/>
      </c>
      <c r="M50" s="70" t="str">
        <f>IF(VLOOKUP($C50,'Performance Pivot'!$AI:$AV,11,0)="","",VLOOKUP($C50,'Performance Pivot'!$AI:$AV,11,0))</f>
        <v/>
      </c>
      <c r="N50" s="70" t="str">
        <f>IF(VLOOKUP($C50,'Performance Pivot'!$AI:$AV,12,0)="","",VLOOKUP($C50,'Performance Pivot'!$AI:$AV,12,0))</f>
        <v/>
      </c>
      <c r="O50" s="70" t="str">
        <f>IF(VLOOKUP($C50,'Performance Pivot'!$AI:$AW,13,0)="","",VLOOKUP($C50,'Performance Pivot'!$AI:$AW,13,0))</f>
        <v/>
      </c>
      <c r="P50" s="70" t="str">
        <f>IF(VLOOKUP($C50,'Performance Pivot'!$AI:$AW,14,0)="","",VLOOKUP($C50,'Performance Pivot'!$AI:$AW,14,0))</f>
        <v/>
      </c>
      <c r="Q50" s="70" t="str">
        <f>IF(VLOOKUP($C50,'Performance Pivot'!$AI:$AW,15,0)="","",VLOOKUP($C50,'Performance Pivot'!$AI:$AW,15,0))</f>
        <v/>
      </c>
      <c r="R50" s="70" t="str">
        <f>IF(VLOOKUP($C50,'Performance Pivot'!$AI:$AW,15,0)="","",VLOOKUP($C50,'Performance Pivot'!$AI:$AW,15,0))</f>
        <v/>
      </c>
      <c r="S50" s="52"/>
      <c r="T50" s="52"/>
      <c r="U50" s="89">
        <f t="shared" si="24"/>
        <v>41671</v>
      </c>
      <c r="V50" s="70">
        <f>IF(VLOOKUP($U50,'Performance Pivot'!$AZ:$BM,2,0)="","",VLOOKUP($U50,'Performance Pivot'!$AZ:$BM,2,0))</f>
        <v>0.26057928890974691</v>
      </c>
      <c r="W50" s="70">
        <f>IF(VLOOKUP($U50,'Performance Pivot'!$AZ:$BM,3,0)="","",VLOOKUP($U50,'Performance Pivot'!$AZ:$BM,3,0))</f>
        <v>0.26455428789919244</v>
      </c>
      <c r="X50" s="70" t="str">
        <f>IF(VLOOKUP($U50,'Performance Pivot'!$AZ:$BM,4,0)="","",VLOOKUP($U50,'Performance Pivot'!$AZ:$BM,4,0))</f>
        <v/>
      </c>
      <c r="Y50" s="70" t="str">
        <f>IF(VLOOKUP($U50,'Performance Pivot'!$AZ:$BM,5,0)="","",VLOOKUP($U50,'Performance Pivot'!$AZ:$BM,5,0))</f>
        <v/>
      </c>
      <c r="Z50" s="70" t="str">
        <f>IF(VLOOKUP($U50,'Performance Pivot'!$AZ:$BM,6,0)="","",VLOOKUP($U50,'Performance Pivot'!$AZ:$BM,6,0))</f>
        <v/>
      </c>
      <c r="AA50" s="70" t="str">
        <f>IF(VLOOKUP($U50,'Performance Pivot'!$AZ:$BM,7,0)="","",VLOOKUP($U50,'Performance Pivot'!$AZ:$BM,7,0))</f>
        <v/>
      </c>
      <c r="AB50" s="70" t="str">
        <f>IF(VLOOKUP($U50,'Performance Pivot'!$AZ:$BM,8,0)="","",VLOOKUP($U50,'Performance Pivot'!$AZ:$BM,8,0))</f>
        <v/>
      </c>
      <c r="AC50" s="70" t="str">
        <f>IF(VLOOKUP($U50,'Performance Pivot'!$AZ:$BM,9,0)="","",VLOOKUP($U50,'Performance Pivot'!$AZ:$BM,9,0))</f>
        <v/>
      </c>
      <c r="AD50" s="70" t="str">
        <f>IF(VLOOKUP($U50,'Performance Pivot'!$AZ:$BM,10,0)="","",VLOOKUP($U50,'Performance Pivot'!$AZ:$BM,10,0))</f>
        <v/>
      </c>
      <c r="AE50" s="70" t="str">
        <f>IF(VLOOKUP($U50,'Performance Pivot'!$AZ:$BM,11,0)="","",VLOOKUP($U50,'Performance Pivot'!$AZ:$BM,11,0))</f>
        <v/>
      </c>
      <c r="AF50" s="70" t="str">
        <f>IF(VLOOKUP($U50,'Performance Pivot'!$AZ:$BM,12,0)="","",VLOOKUP($U50,'Performance Pivot'!$AZ:$BM,12,0))</f>
        <v/>
      </c>
      <c r="AG50" s="70" t="str">
        <f>IF(VLOOKUP($U50,'Performance Pivot'!$AZ:$BN,13,0)="","",VLOOKUP($U50,'Performance Pivot'!$AZ:$BN,13,0))</f>
        <v/>
      </c>
      <c r="AH50" s="70" t="str">
        <f>IF(VLOOKUP($U50,'Performance Pivot'!$AZ:$BN,14,0)="","",VLOOKUP($U50,'Performance Pivot'!$AZ:$BN,14,0))</f>
        <v/>
      </c>
      <c r="AI50" s="70" t="str">
        <f>IF(VLOOKUP($U50,'Performance Pivot'!$AZ:$BN,15,0)="","",VLOOKUP($U50,'Performance Pivot'!$AZ:$BN,15,0))</f>
        <v/>
      </c>
      <c r="AJ50" s="70" t="str">
        <f>IF(VLOOKUP($U50,'Performance Pivot'!$AZ:$BN,15,0)="","",VLOOKUP($U50,'Performance Pivot'!$AZ:$BN,15,0))</f>
        <v/>
      </c>
      <c r="AK50" s="52"/>
      <c r="AL50" s="52"/>
      <c r="AM50" s="52"/>
      <c r="AN50" s="52"/>
      <c r="AO50" s="52"/>
      <c r="AP50" s="52"/>
      <c r="AQ50" s="52"/>
      <c r="AR50" s="52"/>
      <c r="AS50" s="52"/>
      <c r="AT50" s="52"/>
      <c r="AU50" s="52"/>
      <c r="AV50" s="52"/>
      <c r="AW50" s="52"/>
    </row>
    <row r="51" spans="3:49" s="71" customFormat="1" ht="21" customHeight="1">
      <c r="C51" s="68">
        <f t="shared" si="23"/>
        <v>41699</v>
      </c>
      <c r="D51" s="70">
        <f>IF(VLOOKUP($C51,'Performance Pivot'!$AI:$AV,2,0)="","",VLOOKUP($C51,'Performance Pivot'!$AI:$AV,2,0))</f>
        <v>0</v>
      </c>
      <c r="E51" s="70">
        <f>IF(VLOOKUP($C51,'Performance Pivot'!$AI:$AV,3,0)="","",VLOOKUP($C51,'Performance Pivot'!$AI:$AV,3,0))</f>
        <v>0</v>
      </c>
      <c r="F51" s="70" t="str">
        <f>IF(VLOOKUP($C51,'Performance Pivot'!$AI:$AV,4,0)="","",VLOOKUP($C51,'Performance Pivot'!$AI:$AV,4,0))</f>
        <v/>
      </c>
      <c r="G51" s="70" t="str">
        <f>IF(VLOOKUP($C51,'Performance Pivot'!$AI:$AV,5,0)="","",VLOOKUP($C51,'Performance Pivot'!$AI:$AV,5,0))</f>
        <v/>
      </c>
      <c r="H51" s="70" t="str">
        <f>IF(VLOOKUP($C51,'Performance Pivot'!$AI:$AV,6,0)="","",VLOOKUP($C51,'Performance Pivot'!$AI:$AV,6,0))</f>
        <v/>
      </c>
      <c r="I51" s="70" t="str">
        <f>IF(VLOOKUP($C51,'Performance Pivot'!$AI:$AV,7,0)="","",VLOOKUP($C51,'Performance Pivot'!$AI:$AV,7,0))</f>
        <v/>
      </c>
      <c r="J51" s="70" t="str">
        <f>IF(VLOOKUP($C51,'Performance Pivot'!$AI:$AV,8,0)="","",VLOOKUP($C51,'Performance Pivot'!$AI:$AV,8,0))</f>
        <v/>
      </c>
      <c r="K51" s="70" t="str">
        <f>IF(VLOOKUP($C51,'Performance Pivot'!$AI:$AV,9,0)="","",VLOOKUP($C51,'Performance Pivot'!$AI:$AV,9,0))</f>
        <v/>
      </c>
      <c r="L51" s="70" t="str">
        <f>IF(VLOOKUP($C51,'Performance Pivot'!$AI:$AV,10,0)="","",VLOOKUP($C51,'Performance Pivot'!$AI:$AV,10,0))</f>
        <v/>
      </c>
      <c r="M51" s="70" t="str">
        <f>IF(VLOOKUP($C51,'Performance Pivot'!$AI:$AV,11,0)="","",VLOOKUP($C51,'Performance Pivot'!$AI:$AV,11,0))</f>
        <v/>
      </c>
      <c r="N51" s="70" t="str">
        <f>IF(VLOOKUP($C51,'Performance Pivot'!$AI:$AV,12,0)="","",VLOOKUP($C51,'Performance Pivot'!$AI:$AV,12,0))</f>
        <v/>
      </c>
      <c r="O51" s="70" t="str">
        <f>IF(VLOOKUP($C51,'Performance Pivot'!$AI:$AW,13,0)="","",VLOOKUP($C51,'Performance Pivot'!$AI:$AW,13,0))</f>
        <v/>
      </c>
      <c r="P51" s="70" t="str">
        <f>IF(VLOOKUP($C51,'Performance Pivot'!$AI:$AW,14,0)="","",VLOOKUP($C51,'Performance Pivot'!$AI:$AW,14,0))</f>
        <v/>
      </c>
      <c r="Q51" s="70" t="str">
        <f>IF(VLOOKUP($C51,'Performance Pivot'!$AI:$AW,15,0)="","",VLOOKUP($C51,'Performance Pivot'!$AI:$AW,15,0))</f>
        <v/>
      </c>
      <c r="R51" s="70" t="str">
        <f>IF(VLOOKUP($C51,'Performance Pivot'!$AI:$AW,15,0)="","",VLOOKUP($C51,'Performance Pivot'!$AI:$AW,15,0))</f>
        <v/>
      </c>
      <c r="S51" s="52"/>
      <c r="T51" s="52"/>
      <c r="U51" s="89">
        <f t="shared" si="24"/>
        <v>41699</v>
      </c>
      <c r="V51" s="70">
        <f>IF(VLOOKUP($U51,'Performance Pivot'!$AZ:$BM,2,0)="","",VLOOKUP($U51,'Performance Pivot'!$AZ:$BM,2,0))</f>
        <v>0.1818213058293088</v>
      </c>
      <c r="W51" s="70">
        <f>IF(VLOOKUP($U51,'Performance Pivot'!$AZ:$BM,3,0)="","",VLOOKUP($U51,'Performance Pivot'!$AZ:$BM,3,0))</f>
        <v>0.17458782720799926</v>
      </c>
      <c r="X51" s="70" t="str">
        <f>IF(VLOOKUP($U51,'Performance Pivot'!$AZ:$BM,4,0)="","",VLOOKUP($U51,'Performance Pivot'!$AZ:$BM,4,0))</f>
        <v/>
      </c>
      <c r="Y51" s="70" t="str">
        <f>IF(VLOOKUP($U51,'Performance Pivot'!$AZ:$BM,5,0)="","",VLOOKUP($U51,'Performance Pivot'!$AZ:$BM,5,0))</f>
        <v/>
      </c>
      <c r="Z51" s="70" t="str">
        <f>IF(VLOOKUP($U51,'Performance Pivot'!$AZ:$BM,6,0)="","",VLOOKUP($U51,'Performance Pivot'!$AZ:$BM,6,0))</f>
        <v/>
      </c>
      <c r="AA51" s="70" t="str">
        <f>IF(VLOOKUP($U51,'Performance Pivot'!$AZ:$BM,7,0)="","",VLOOKUP($U51,'Performance Pivot'!$AZ:$BM,7,0))</f>
        <v/>
      </c>
      <c r="AB51" s="70" t="str">
        <f>IF(VLOOKUP($U51,'Performance Pivot'!$AZ:$BM,8,0)="","",VLOOKUP($U51,'Performance Pivot'!$AZ:$BM,8,0))</f>
        <v/>
      </c>
      <c r="AC51" s="70" t="str">
        <f>IF(VLOOKUP($U51,'Performance Pivot'!$AZ:$BM,9,0)="","",VLOOKUP($U51,'Performance Pivot'!$AZ:$BM,9,0))</f>
        <v/>
      </c>
      <c r="AD51" s="70" t="str">
        <f>IF(VLOOKUP($U51,'Performance Pivot'!$AZ:$BM,10,0)="","",VLOOKUP($U51,'Performance Pivot'!$AZ:$BM,10,0))</f>
        <v/>
      </c>
      <c r="AE51" s="70" t="str">
        <f>IF(VLOOKUP($U51,'Performance Pivot'!$AZ:$BM,11,0)="","",VLOOKUP($U51,'Performance Pivot'!$AZ:$BM,11,0))</f>
        <v/>
      </c>
      <c r="AF51" s="70" t="str">
        <f>IF(VLOOKUP($U51,'Performance Pivot'!$AZ:$BM,12,0)="","",VLOOKUP($U51,'Performance Pivot'!$AZ:$BM,12,0))</f>
        <v/>
      </c>
      <c r="AG51" s="70" t="str">
        <f>IF(VLOOKUP($U51,'Performance Pivot'!$AZ:$BN,13,0)="","",VLOOKUP($U51,'Performance Pivot'!$AZ:$BN,13,0))</f>
        <v/>
      </c>
      <c r="AH51" s="70" t="str">
        <f>IF(VLOOKUP($U51,'Performance Pivot'!$AZ:$BN,14,0)="","",VLOOKUP($U51,'Performance Pivot'!$AZ:$BN,14,0))</f>
        <v/>
      </c>
      <c r="AI51" s="70" t="str">
        <f>IF(VLOOKUP($U51,'Performance Pivot'!$AZ:$BN,15,0)="","",VLOOKUP($U51,'Performance Pivot'!$AZ:$BN,15,0))</f>
        <v/>
      </c>
      <c r="AJ51" s="70" t="str">
        <f>IF(VLOOKUP($U51,'Performance Pivot'!$AZ:$BN,15,0)="","",VLOOKUP($U51,'Performance Pivot'!$AZ:$BN,15,0))</f>
        <v/>
      </c>
      <c r="AK51" s="52"/>
      <c r="AL51" s="52"/>
      <c r="AM51" s="52"/>
      <c r="AN51" s="52"/>
      <c r="AO51" s="52"/>
      <c r="AP51" s="52"/>
      <c r="AQ51" s="52"/>
      <c r="AR51" s="52"/>
      <c r="AS51" s="52"/>
      <c r="AT51" s="52"/>
      <c r="AU51" s="52"/>
      <c r="AV51" s="52"/>
      <c r="AW51" s="52"/>
    </row>
    <row r="52" spans="3:49" s="71" customFormat="1" ht="21" customHeight="1">
      <c r="C52" s="68">
        <f t="shared" si="23"/>
        <v>41730</v>
      </c>
      <c r="D52" s="70">
        <f>IF(VLOOKUP($C52,'Performance Pivot'!$AI:$AV,2,0)="","",VLOOKUP($C52,'Performance Pivot'!$AI:$AV,2,0))</f>
        <v>0</v>
      </c>
      <c r="E52" s="70">
        <f>IF(VLOOKUP($C52,'Performance Pivot'!$AI:$AV,3,0)="","",VLOOKUP($C52,'Performance Pivot'!$AI:$AV,3,0))</f>
        <v>0</v>
      </c>
      <c r="F52" s="70">
        <f>IF(VLOOKUP($C52,'Performance Pivot'!$AI:$AV,4,0)="","",VLOOKUP($C52,'Performance Pivot'!$AI:$AV,4,0))</f>
        <v>0</v>
      </c>
      <c r="G52" s="70">
        <f>IF(VLOOKUP($C52,'Performance Pivot'!$AI:$AV,5,0)="","",VLOOKUP($C52,'Performance Pivot'!$AI:$AV,5,0))</f>
        <v>0</v>
      </c>
      <c r="H52" s="70" t="str">
        <f>IF(VLOOKUP($C52,'Performance Pivot'!$AI:$AV,6,0)="","",VLOOKUP($C52,'Performance Pivot'!$AI:$AV,6,0))</f>
        <v/>
      </c>
      <c r="I52" s="70" t="str">
        <f>IF(VLOOKUP($C52,'Performance Pivot'!$AI:$AV,7,0)="","",VLOOKUP($C52,'Performance Pivot'!$AI:$AV,7,0))</f>
        <v/>
      </c>
      <c r="J52" s="70" t="str">
        <f>IF(VLOOKUP($C52,'Performance Pivot'!$AI:$AV,8,0)="","",VLOOKUP($C52,'Performance Pivot'!$AI:$AV,8,0))</f>
        <v/>
      </c>
      <c r="K52" s="70" t="str">
        <f>IF(VLOOKUP($C52,'Performance Pivot'!$AI:$AV,9,0)="","",VLOOKUP($C52,'Performance Pivot'!$AI:$AV,9,0))</f>
        <v/>
      </c>
      <c r="L52" s="70" t="str">
        <f>IF(VLOOKUP($C52,'Performance Pivot'!$AI:$AV,10,0)="","",VLOOKUP($C52,'Performance Pivot'!$AI:$AV,10,0))</f>
        <v/>
      </c>
      <c r="M52" s="70" t="str">
        <f>IF(VLOOKUP($C52,'Performance Pivot'!$AI:$AV,11,0)="","",VLOOKUP($C52,'Performance Pivot'!$AI:$AV,11,0))</f>
        <v/>
      </c>
      <c r="N52" s="70" t="str">
        <f>IF(VLOOKUP($C52,'Performance Pivot'!$AI:$AV,12,0)="","",VLOOKUP($C52,'Performance Pivot'!$AI:$AV,12,0))</f>
        <v/>
      </c>
      <c r="O52" s="70" t="str">
        <f>IF(VLOOKUP($C52,'Performance Pivot'!$AI:$AW,13,0)="","",VLOOKUP($C52,'Performance Pivot'!$AI:$AW,13,0))</f>
        <v/>
      </c>
      <c r="P52" s="70" t="str">
        <f>IF(VLOOKUP($C52,'Performance Pivot'!$AI:$AW,14,0)="","",VLOOKUP($C52,'Performance Pivot'!$AI:$AW,14,0))</f>
        <v/>
      </c>
      <c r="Q52" s="70" t="str">
        <f>IF(VLOOKUP($C52,'Performance Pivot'!$AI:$AW,15,0)="","",VLOOKUP($C52,'Performance Pivot'!$AI:$AW,15,0))</f>
        <v/>
      </c>
      <c r="R52" s="70" t="str">
        <f>IF(VLOOKUP($C52,'Performance Pivot'!$AI:$AW,15,0)="","",VLOOKUP($C52,'Performance Pivot'!$AI:$AW,15,0))</f>
        <v/>
      </c>
      <c r="S52" s="52"/>
      <c r="T52" s="52"/>
      <c r="U52" s="89">
        <f t="shared" si="24"/>
        <v>41730</v>
      </c>
      <c r="V52" s="70">
        <f>IF(VLOOKUP($U52,'Performance Pivot'!$AZ:$BM,2,0)="","",VLOOKUP($U52,'Performance Pivot'!$AZ:$BM,2,0))</f>
        <v>0.22061685064183734</v>
      </c>
      <c r="W52" s="70">
        <f>IF(VLOOKUP($U52,'Performance Pivot'!$AZ:$BM,3,0)="","",VLOOKUP($U52,'Performance Pivot'!$AZ:$BM,3,0))</f>
        <v>0.19816911841480964</v>
      </c>
      <c r="X52" s="70">
        <f>IF(VLOOKUP($U52,'Performance Pivot'!$AZ:$BM,4,0)="","",VLOOKUP($U52,'Performance Pivot'!$AZ:$BM,4,0))</f>
        <v>0.13427046482151753</v>
      </c>
      <c r="Y52" s="70">
        <f>IF(VLOOKUP($U52,'Performance Pivot'!$AZ:$BM,5,0)="","",VLOOKUP($U52,'Performance Pivot'!$AZ:$BM,5,0))</f>
        <v>0.16185182924521538</v>
      </c>
      <c r="Z52" s="70" t="str">
        <f>IF(VLOOKUP($U52,'Performance Pivot'!$AZ:$BM,6,0)="","",VLOOKUP($U52,'Performance Pivot'!$AZ:$BM,6,0))</f>
        <v/>
      </c>
      <c r="AA52" s="70" t="str">
        <f>IF(VLOOKUP($U52,'Performance Pivot'!$AZ:$BM,7,0)="","",VLOOKUP($U52,'Performance Pivot'!$AZ:$BM,7,0))</f>
        <v/>
      </c>
      <c r="AB52" s="70" t="str">
        <f>IF(VLOOKUP($U52,'Performance Pivot'!$AZ:$BM,8,0)="","",VLOOKUP($U52,'Performance Pivot'!$AZ:$BM,8,0))</f>
        <v/>
      </c>
      <c r="AC52" s="70" t="str">
        <f>IF(VLOOKUP($U52,'Performance Pivot'!$AZ:$BM,9,0)="","",VLOOKUP($U52,'Performance Pivot'!$AZ:$BM,9,0))</f>
        <v/>
      </c>
      <c r="AD52" s="70" t="str">
        <f>IF(VLOOKUP($U52,'Performance Pivot'!$AZ:$BM,10,0)="","",VLOOKUP($U52,'Performance Pivot'!$AZ:$BM,10,0))</f>
        <v/>
      </c>
      <c r="AE52" s="70" t="str">
        <f>IF(VLOOKUP($U52,'Performance Pivot'!$AZ:$BM,11,0)="","",VLOOKUP($U52,'Performance Pivot'!$AZ:$BM,11,0))</f>
        <v/>
      </c>
      <c r="AF52" s="70" t="str">
        <f>IF(VLOOKUP($U52,'Performance Pivot'!$AZ:$BM,12,0)="","",VLOOKUP($U52,'Performance Pivot'!$AZ:$BM,12,0))</f>
        <v/>
      </c>
      <c r="AG52" s="70" t="str">
        <f>IF(VLOOKUP($U52,'Performance Pivot'!$AZ:$BN,13,0)="","",VLOOKUP($U52,'Performance Pivot'!$AZ:$BN,13,0))</f>
        <v/>
      </c>
      <c r="AH52" s="70" t="str">
        <f>IF(VLOOKUP($U52,'Performance Pivot'!$AZ:$BN,14,0)="","",VLOOKUP($U52,'Performance Pivot'!$AZ:$BN,14,0))</f>
        <v/>
      </c>
      <c r="AI52" s="70" t="str">
        <f>IF(VLOOKUP($U52,'Performance Pivot'!$AZ:$BN,15,0)="","",VLOOKUP($U52,'Performance Pivot'!$AZ:$BN,15,0))</f>
        <v/>
      </c>
      <c r="AJ52" s="70" t="str">
        <f>IF(VLOOKUP($U52,'Performance Pivot'!$AZ:$BN,15,0)="","",VLOOKUP($U52,'Performance Pivot'!$AZ:$BN,15,0))</f>
        <v/>
      </c>
      <c r="AK52" s="52"/>
      <c r="AL52" s="52"/>
      <c r="AM52" s="52"/>
      <c r="AN52" s="52"/>
      <c r="AO52" s="52"/>
      <c r="AP52" s="52"/>
      <c r="AQ52" s="52"/>
      <c r="AR52" s="52"/>
      <c r="AS52" s="52"/>
      <c r="AT52" s="52"/>
      <c r="AU52" s="52"/>
      <c r="AV52" s="52"/>
      <c r="AW52" s="52"/>
    </row>
    <row r="53" spans="3:49" s="71" customFormat="1" ht="21" customHeight="1">
      <c r="C53" s="68">
        <f t="shared" si="23"/>
        <v>41760</v>
      </c>
      <c r="D53" s="70">
        <f>IF(VLOOKUP($C53,'Performance Pivot'!$AI:$AV,2,0)="","",VLOOKUP($C53,'Performance Pivot'!$AI:$AV,2,0))</f>
        <v>0.01</v>
      </c>
      <c r="E53" s="70">
        <f>IF(VLOOKUP($C53,'Performance Pivot'!$AI:$AV,3,0)="","",VLOOKUP($C53,'Performance Pivot'!$AI:$AV,3,0))</f>
        <v>0</v>
      </c>
      <c r="F53" s="70">
        <f>IF(VLOOKUP($C53,'Performance Pivot'!$AI:$AV,4,0)="","",VLOOKUP($C53,'Performance Pivot'!$AI:$AV,4,0))</f>
        <v>0</v>
      </c>
      <c r="G53" s="70">
        <f>IF(VLOOKUP($C53,'Performance Pivot'!$AI:$AV,5,0)="","",VLOOKUP($C53,'Performance Pivot'!$AI:$AV,5,0))</f>
        <v>0</v>
      </c>
      <c r="H53" s="70" t="str">
        <f>IF(VLOOKUP($C53,'Performance Pivot'!$AI:$AV,6,0)="","",VLOOKUP($C53,'Performance Pivot'!$AI:$AV,6,0))</f>
        <v/>
      </c>
      <c r="I53" s="70" t="str">
        <f>IF(VLOOKUP($C53,'Performance Pivot'!$AI:$AV,7,0)="","",VLOOKUP($C53,'Performance Pivot'!$AI:$AV,7,0))</f>
        <v/>
      </c>
      <c r="J53" s="70" t="str">
        <f>IF(VLOOKUP($C53,'Performance Pivot'!$AI:$AV,8,0)="","",VLOOKUP($C53,'Performance Pivot'!$AI:$AV,8,0))</f>
        <v/>
      </c>
      <c r="K53" s="70" t="str">
        <f>IF(VLOOKUP($C53,'Performance Pivot'!$AI:$AV,9,0)="","",VLOOKUP($C53,'Performance Pivot'!$AI:$AV,9,0))</f>
        <v/>
      </c>
      <c r="L53" s="70" t="str">
        <f>IF(VLOOKUP($C53,'Performance Pivot'!$AI:$AV,10,0)="","",VLOOKUP($C53,'Performance Pivot'!$AI:$AV,10,0))</f>
        <v/>
      </c>
      <c r="M53" s="70" t="str">
        <f>IF(VLOOKUP($C53,'Performance Pivot'!$AI:$AV,11,0)="","",VLOOKUP($C53,'Performance Pivot'!$AI:$AV,11,0))</f>
        <v/>
      </c>
      <c r="N53" s="70" t="str">
        <f>IF(VLOOKUP($C53,'Performance Pivot'!$AI:$AV,12,0)="","",VLOOKUP($C53,'Performance Pivot'!$AI:$AV,12,0))</f>
        <v/>
      </c>
      <c r="O53" s="70" t="str">
        <f>IF(VLOOKUP($C53,'Performance Pivot'!$AI:$AW,13,0)="","",VLOOKUP($C53,'Performance Pivot'!$AI:$AW,13,0))</f>
        <v/>
      </c>
      <c r="P53" s="70" t="str">
        <f>IF(VLOOKUP($C53,'Performance Pivot'!$AI:$AW,14,0)="","",VLOOKUP($C53,'Performance Pivot'!$AI:$AW,14,0))</f>
        <v/>
      </c>
      <c r="Q53" s="70" t="str">
        <f>IF(VLOOKUP($C53,'Performance Pivot'!$AI:$AW,15,0)="","",VLOOKUP($C53,'Performance Pivot'!$AI:$AW,15,0))</f>
        <v/>
      </c>
      <c r="R53" s="70" t="str">
        <f>IF(VLOOKUP($C53,'Performance Pivot'!$AI:$AW,15,0)="","",VLOOKUP($C53,'Performance Pivot'!$AI:$AW,15,0))</f>
        <v/>
      </c>
      <c r="S53" s="52"/>
      <c r="T53" s="52"/>
      <c r="U53" s="89">
        <f t="shared" si="24"/>
        <v>41760</v>
      </c>
      <c r="V53" s="70">
        <f>IF(VLOOKUP($U53,'Performance Pivot'!$AZ:$BM,2,0)="","",VLOOKUP($U53,'Performance Pivot'!$AZ:$BM,2,0))</f>
        <v>0.21460464627325876</v>
      </c>
      <c r="W53" s="70">
        <f>IF(VLOOKUP($U53,'Performance Pivot'!$AZ:$BM,3,0)="","",VLOOKUP($U53,'Performance Pivot'!$AZ:$BM,3,0))</f>
        <v>0.24658054991502382</v>
      </c>
      <c r="X53" s="70">
        <f>IF(VLOOKUP($U53,'Performance Pivot'!$AZ:$BM,4,0)="","",VLOOKUP($U53,'Performance Pivot'!$AZ:$BM,4,0))</f>
        <v>0.18740335147015857</v>
      </c>
      <c r="Y53" s="70">
        <f>IF(VLOOKUP($U53,'Performance Pivot'!$AZ:$BM,5,0)="","",VLOOKUP($U53,'Performance Pivot'!$AZ:$BM,5,0))</f>
        <v>0.20520279264644578</v>
      </c>
      <c r="Z53" s="70" t="str">
        <f>IF(VLOOKUP($U53,'Performance Pivot'!$AZ:$BM,6,0)="","",VLOOKUP($U53,'Performance Pivot'!$AZ:$BM,6,0))</f>
        <v/>
      </c>
      <c r="AA53" s="70" t="str">
        <f>IF(VLOOKUP($U53,'Performance Pivot'!$AZ:$BM,7,0)="","",VLOOKUP($U53,'Performance Pivot'!$AZ:$BM,7,0))</f>
        <v/>
      </c>
      <c r="AB53" s="70" t="str">
        <f>IF(VLOOKUP($U53,'Performance Pivot'!$AZ:$BM,8,0)="","",VLOOKUP($U53,'Performance Pivot'!$AZ:$BM,8,0))</f>
        <v/>
      </c>
      <c r="AC53" s="70" t="str">
        <f>IF(VLOOKUP($U53,'Performance Pivot'!$AZ:$BM,9,0)="","",VLOOKUP($U53,'Performance Pivot'!$AZ:$BM,9,0))</f>
        <v/>
      </c>
      <c r="AD53" s="70" t="str">
        <f>IF(VLOOKUP($U53,'Performance Pivot'!$AZ:$BM,10,0)="","",VLOOKUP($U53,'Performance Pivot'!$AZ:$BM,10,0))</f>
        <v/>
      </c>
      <c r="AE53" s="70" t="str">
        <f>IF(VLOOKUP($U53,'Performance Pivot'!$AZ:$BM,11,0)="","",VLOOKUP($U53,'Performance Pivot'!$AZ:$BM,11,0))</f>
        <v/>
      </c>
      <c r="AF53" s="70" t="str">
        <f>IF(VLOOKUP($U53,'Performance Pivot'!$AZ:$BM,12,0)="","",VLOOKUP($U53,'Performance Pivot'!$AZ:$BM,12,0))</f>
        <v/>
      </c>
      <c r="AG53" s="70" t="str">
        <f>IF(VLOOKUP($U53,'Performance Pivot'!$AZ:$BN,13,0)="","",VLOOKUP($U53,'Performance Pivot'!$AZ:$BN,13,0))</f>
        <v/>
      </c>
      <c r="AH53" s="70" t="str">
        <f>IF(VLOOKUP($U53,'Performance Pivot'!$AZ:$BN,14,0)="","",VLOOKUP($U53,'Performance Pivot'!$AZ:$BN,14,0))</f>
        <v/>
      </c>
      <c r="AI53" s="70" t="str">
        <f>IF(VLOOKUP($U53,'Performance Pivot'!$AZ:$BN,15,0)="","",VLOOKUP($U53,'Performance Pivot'!$AZ:$BN,15,0))</f>
        <v/>
      </c>
      <c r="AJ53" s="70" t="str">
        <f>IF(VLOOKUP($U53,'Performance Pivot'!$AZ:$BN,15,0)="","",VLOOKUP($U53,'Performance Pivot'!$AZ:$BN,15,0))</f>
        <v/>
      </c>
      <c r="AK53" s="52"/>
      <c r="AL53" s="52"/>
      <c r="AM53" s="52"/>
      <c r="AN53" s="52"/>
      <c r="AO53" s="52"/>
      <c r="AP53" s="52"/>
      <c r="AQ53" s="52"/>
      <c r="AR53" s="52"/>
      <c r="AS53" s="52"/>
      <c r="AT53" s="52"/>
      <c r="AU53" s="52"/>
      <c r="AV53" s="52"/>
      <c r="AW53" s="52"/>
    </row>
    <row r="54" spans="3:49" s="71" customFormat="1" ht="21" customHeight="1">
      <c r="C54" s="68">
        <f t="shared" si="23"/>
        <v>41791</v>
      </c>
      <c r="D54" s="70">
        <f>IF(VLOOKUP($C54,'Performance Pivot'!$AI:$AV,2,0)="","",VLOOKUP($C54,'Performance Pivot'!$AI:$AV,2,0))</f>
        <v>0.01</v>
      </c>
      <c r="E54" s="70">
        <f>IF(VLOOKUP($C54,'Performance Pivot'!$AI:$AV,3,0)="","",VLOOKUP($C54,'Performance Pivot'!$AI:$AV,3,0))</f>
        <v>0</v>
      </c>
      <c r="F54" s="70">
        <f>IF(VLOOKUP($C54,'Performance Pivot'!$AI:$AV,4,0)="","",VLOOKUP($C54,'Performance Pivot'!$AI:$AV,4,0))</f>
        <v>0</v>
      </c>
      <c r="G54" s="70">
        <f>IF(VLOOKUP($C54,'Performance Pivot'!$AI:$AV,5,0)="","",VLOOKUP($C54,'Performance Pivot'!$AI:$AV,5,0))</f>
        <v>0</v>
      </c>
      <c r="H54" s="70">
        <f>IF(VLOOKUP($C54,'Performance Pivot'!$AI:$AV,6,0)="","",VLOOKUP($C54,'Performance Pivot'!$AI:$AV,6,0))</f>
        <v>0</v>
      </c>
      <c r="I54" s="70">
        <f>IF(VLOOKUP($C54,'Performance Pivot'!$AI:$AV,7,0)="","",VLOOKUP($C54,'Performance Pivot'!$AI:$AV,7,0))</f>
        <v>0</v>
      </c>
      <c r="J54" s="70" t="str">
        <f>IF(VLOOKUP($C54,'Performance Pivot'!$AI:$AV,8,0)="","",VLOOKUP($C54,'Performance Pivot'!$AI:$AV,8,0))</f>
        <v/>
      </c>
      <c r="K54" s="70" t="str">
        <f>IF(VLOOKUP($C54,'Performance Pivot'!$AI:$AV,9,0)="","",VLOOKUP($C54,'Performance Pivot'!$AI:$AV,9,0))</f>
        <v/>
      </c>
      <c r="L54" s="70" t="str">
        <f>IF(VLOOKUP($C54,'Performance Pivot'!$AI:$AV,10,0)="","",VLOOKUP($C54,'Performance Pivot'!$AI:$AV,10,0))</f>
        <v/>
      </c>
      <c r="M54" s="70" t="str">
        <f>IF(VLOOKUP($C54,'Performance Pivot'!$AI:$AV,11,0)="","",VLOOKUP($C54,'Performance Pivot'!$AI:$AV,11,0))</f>
        <v/>
      </c>
      <c r="N54" s="70" t="str">
        <f>IF(VLOOKUP($C54,'Performance Pivot'!$AI:$AV,12,0)="","",VLOOKUP($C54,'Performance Pivot'!$AI:$AV,12,0))</f>
        <v/>
      </c>
      <c r="O54" s="70" t="str">
        <f>IF(VLOOKUP($C54,'Performance Pivot'!$AI:$AW,13,0)="","",VLOOKUP($C54,'Performance Pivot'!$AI:$AW,13,0))</f>
        <v/>
      </c>
      <c r="P54" s="70" t="str">
        <f>IF(VLOOKUP($C54,'Performance Pivot'!$AI:$AW,14,0)="","",VLOOKUP($C54,'Performance Pivot'!$AI:$AW,14,0))</f>
        <v/>
      </c>
      <c r="Q54" s="70" t="str">
        <f>IF(VLOOKUP($C54,'Performance Pivot'!$AI:$AW,15,0)="","",VLOOKUP($C54,'Performance Pivot'!$AI:$AW,15,0))</f>
        <v/>
      </c>
      <c r="R54" s="70" t="str">
        <f>IF(VLOOKUP($C54,'Performance Pivot'!$AI:$AW,15,0)="","",VLOOKUP($C54,'Performance Pivot'!$AI:$AW,15,0))</f>
        <v/>
      </c>
      <c r="S54" s="52"/>
      <c r="T54" s="52"/>
      <c r="U54" s="89">
        <f t="shared" si="24"/>
        <v>41791</v>
      </c>
      <c r="V54" s="70">
        <f>IF(VLOOKUP($U54,'Performance Pivot'!$AZ:$BM,2,0)="","",VLOOKUP($U54,'Performance Pivot'!$AZ:$BM,2,0))</f>
        <v>0.26951858298042403</v>
      </c>
      <c r="W54" s="70">
        <f>IF(VLOOKUP($U54,'Performance Pivot'!$AZ:$BM,3,0)="","",VLOOKUP($U54,'Performance Pivot'!$AZ:$BM,3,0))</f>
        <v>0.25690980279740411</v>
      </c>
      <c r="X54" s="70">
        <f>IF(VLOOKUP($U54,'Performance Pivot'!$AZ:$BM,4,0)="","",VLOOKUP($U54,'Performance Pivot'!$AZ:$BM,4,0))</f>
        <v>0.20110733018964366</v>
      </c>
      <c r="Y54" s="70">
        <f>IF(VLOOKUP($U54,'Performance Pivot'!$AZ:$BM,5,0)="","",VLOOKUP($U54,'Performance Pivot'!$AZ:$BM,5,0))</f>
        <v>0.25308105873638803</v>
      </c>
      <c r="Z54" s="70">
        <f>IF(VLOOKUP($U54,'Performance Pivot'!$AZ:$BM,6,0)="","",VLOOKUP($U54,'Performance Pivot'!$AZ:$BM,6,0))</f>
        <v>0.13289279483144439</v>
      </c>
      <c r="AA54" s="70">
        <f>IF(VLOOKUP($U54,'Performance Pivot'!$AZ:$BM,7,0)="","",VLOOKUP($U54,'Performance Pivot'!$AZ:$BM,7,0))</f>
        <v>0.2027803955243544</v>
      </c>
      <c r="AB54" s="70" t="str">
        <f>IF(VLOOKUP($U54,'Performance Pivot'!$AZ:$BM,8,0)="","",VLOOKUP($U54,'Performance Pivot'!$AZ:$BM,8,0))</f>
        <v/>
      </c>
      <c r="AC54" s="70" t="str">
        <f>IF(VLOOKUP($U54,'Performance Pivot'!$AZ:$BM,9,0)="","",VLOOKUP($U54,'Performance Pivot'!$AZ:$BM,9,0))</f>
        <v/>
      </c>
      <c r="AD54" s="70" t="str">
        <f>IF(VLOOKUP($U54,'Performance Pivot'!$AZ:$BM,10,0)="","",VLOOKUP($U54,'Performance Pivot'!$AZ:$BM,10,0))</f>
        <v/>
      </c>
      <c r="AE54" s="70" t="str">
        <f>IF(VLOOKUP($U54,'Performance Pivot'!$AZ:$BM,11,0)="","",VLOOKUP($U54,'Performance Pivot'!$AZ:$BM,11,0))</f>
        <v/>
      </c>
      <c r="AF54" s="70" t="str">
        <f>IF(VLOOKUP($U54,'Performance Pivot'!$AZ:$BM,12,0)="","",VLOOKUP($U54,'Performance Pivot'!$AZ:$BM,12,0))</f>
        <v/>
      </c>
      <c r="AG54" s="70" t="str">
        <f>IF(VLOOKUP($U54,'Performance Pivot'!$AZ:$BN,13,0)="","",VLOOKUP($U54,'Performance Pivot'!$AZ:$BN,13,0))</f>
        <v/>
      </c>
      <c r="AH54" s="70" t="str">
        <f>IF(VLOOKUP($U54,'Performance Pivot'!$AZ:$BN,14,0)="","",VLOOKUP($U54,'Performance Pivot'!$AZ:$BN,14,0))</f>
        <v/>
      </c>
      <c r="AI54" s="70" t="str">
        <f>IF(VLOOKUP($U54,'Performance Pivot'!$AZ:$BN,15,0)="","",VLOOKUP($U54,'Performance Pivot'!$AZ:$BN,15,0))</f>
        <v/>
      </c>
      <c r="AJ54" s="70" t="str">
        <f>IF(VLOOKUP($U54,'Performance Pivot'!$AZ:$BN,15,0)="","",VLOOKUP($U54,'Performance Pivot'!$AZ:$BN,15,0))</f>
        <v/>
      </c>
      <c r="AK54" s="52"/>
      <c r="AL54" s="52"/>
      <c r="AM54" s="52"/>
      <c r="AN54" s="52"/>
      <c r="AO54" s="52"/>
      <c r="AP54" s="52"/>
      <c r="AQ54" s="52"/>
      <c r="AR54" s="52"/>
      <c r="AS54" s="52"/>
      <c r="AT54" s="52"/>
      <c r="AU54" s="52"/>
      <c r="AV54" s="52"/>
      <c r="AW54" s="52"/>
    </row>
    <row r="55" spans="3:49" s="71" customFormat="1" ht="21" customHeight="1">
      <c r="C55" s="68">
        <f t="shared" si="23"/>
        <v>41821</v>
      </c>
      <c r="D55" s="70">
        <f>IF(VLOOKUP($C55,'Performance Pivot'!$AI:$AV,2,0)="","",VLOOKUP($C55,'Performance Pivot'!$AI:$AV,2,0))</f>
        <v>0.02</v>
      </c>
      <c r="E55" s="70">
        <f>IF(VLOOKUP($C55,'Performance Pivot'!$AI:$AV,3,0)="","",VLOOKUP($C55,'Performance Pivot'!$AI:$AV,3,0))</f>
        <v>0</v>
      </c>
      <c r="F55" s="70">
        <f>IF(VLOOKUP($C55,'Performance Pivot'!$AI:$AV,4,0)="","",VLOOKUP($C55,'Performance Pivot'!$AI:$AV,4,0))</f>
        <v>0</v>
      </c>
      <c r="G55" s="70">
        <f>IF(VLOOKUP($C55,'Performance Pivot'!$AI:$AV,5,0)="","",VLOOKUP($C55,'Performance Pivot'!$AI:$AV,5,0))</f>
        <v>0</v>
      </c>
      <c r="H55" s="70">
        <f>IF(VLOOKUP($C55,'Performance Pivot'!$AI:$AV,6,0)="","",VLOOKUP($C55,'Performance Pivot'!$AI:$AV,6,0))</f>
        <v>0</v>
      </c>
      <c r="I55" s="70">
        <f>IF(VLOOKUP($C55,'Performance Pivot'!$AI:$AV,7,0)="","",VLOOKUP($C55,'Performance Pivot'!$AI:$AV,7,0))</f>
        <v>0</v>
      </c>
      <c r="J55" s="70" t="str">
        <f>IF(VLOOKUP($C55,'Performance Pivot'!$AI:$AV,8,0)="","",VLOOKUP($C55,'Performance Pivot'!$AI:$AV,8,0))</f>
        <v/>
      </c>
      <c r="K55" s="70" t="str">
        <f>IF(VLOOKUP($C55,'Performance Pivot'!$AI:$AV,9,0)="","",VLOOKUP($C55,'Performance Pivot'!$AI:$AV,9,0))</f>
        <v/>
      </c>
      <c r="L55" s="70" t="str">
        <f>IF(VLOOKUP($C55,'Performance Pivot'!$AI:$AV,10,0)="","",VLOOKUP($C55,'Performance Pivot'!$AI:$AV,10,0))</f>
        <v/>
      </c>
      <c r="M55" s="70" t="str">
        <f>IF(VLOOKUP($C55,'Performance Pivot'!$AI:$AV,11,0)="","",VLOOKUP($C55,'Performance Pivot'!$AI:$AV,11,0))</f>
        <v/>
      </c>
      <c r="N55" s="70" t="str">
        <f>IF(VLOOKUP($C55,'Performance Pivot'!$AI:$AV,12,0)="","",VLOOKUP($C55,'Performance Pivot'!$AI:$AV,12,0))</f>
        <v/>
      </c>
      <c r="O55" s="70" t="str">
        <f>IF(VLOOKUP($C55,'Performance Pivot'!$AI:$AW,13,0)="","",VLOOKUP($C55,'Performance Pivot'!$AI:$AW,13,0))</f>
        <v/>
      </c>
      <c r="P55" s="70" t="str">
        <f>IF(VLOOKUP($C55,'Performance Pivot'!$AI:$AW,14,0)="","",VLOOKUP($C55,'Performance Pivot'!$AI:$AW,14,0))</f>
        <v/>
      </c>
      <c r="Q55" s="70" t="str">
        <f>IF(VLOOKUP($C55,'Performance Pivot'!$AI:$AW,15,0)="","",VLOOKUP($C55,'Performance Pivot'!$AI:$AW,15,0))</f>
        <v/>
      </c>
      <c r="R55" s="70" t="str">
        <f>IF(VLOOKUP($C55,'Performance Pivot'!$AI:$AW,15,0)="","",VLOOKUP($C55,'Performance Pivot'!$AI:$AW,15,0))</f>
        <v/>
      </c>
      <c r="S55" s="52"/>
      <c r="T55" s="52"/>
      <c r="U55" s="89">
        <f t="shared" si="24"/>
        <v>41821</v>
      </c>
      <c r="V55" s="70">
        <f>IF(VLOOKUP($U55,'Performance Pivot'!$AZ:$BM,2,0)="","",VLOOKUP($U55,'Performance Pivot'!$AZ:$BM,2,0))</f>
        <v>0.23431652666252803</v>
      </c>
      <c r="W55" s="70">
        <f>IF(VLOOKUP($U55,'Performance Pivot'!$AZ:$BM,3,0)="","",VLOOKUP($U55,'Performance Pivot'!$AZ:$BM,3,0))</f>
        <v>0.21615506360110393</v>
      </c>
      <c r="X55" s="70">
        <f>IF(VLOOKUP($U55,'Performance Pivot'!$AZ:$BM,4,0)="","",VLOOKUP($U55,'Performance Pivot'!$AZ:$BM,4,0))</f>
        <v>0.19490345007900819</v>
      </c>
      <c r="Y55" s="70">
        <f>IF(VLOOKUP($U55,'Performance Pivot'!$AZ:$BM,5,0)="","",VLOOKUP($U55,'Performance Pivot'!$AZ:$BM,5,0))</f>
        <v>0.25368214160399072</v>
      </c>
      <c r="Z55" s="70">
        <f>IF(VLOOKUP($U55,'Performance Pivot'!$AZ:$BM,6,0)="","",VLOOKUP($U55,'Performance Pivot'!$AZ:$BM,6,0))</f>
        <v>0.18344708362762954</v>
      </c>
      <c r="AA55" s="70">
        <f>IF(VLOOKUP($U55,'Performance Pivot'!$AZ:$BM,7,0)="","",VLOOKUP($U55,'Performance Pivot'!$AZ:$BM,7,0))</f>
        <v>0.23465651658566869</v>
      </c>
      <c r="AB55" s="70" t="str">
        <f>IF(VLOOKUP($U55,'Performance Pivot'!$AZ:$BM,8,0)="","",VLOOKUP($U55,'Performance Pivot'!$AZ:$BM,8,0))</f>
        <v/>
      </c>
      <c r="AC55" s="70" t="str">
        <f>IF(VLOOKUP($U55,'Performance Pivot'!$AZ:$BM,9,0)="","",VLOOKUP($U55,'Performance Pivot'!$AZ:$BM,9,0))</f>
        <v/>
      </c>
      <c r="AD55" s="70" t="str">
        <f>IF(VLOOKUP($U55,'Performance Pivot'!$AZ:$BM,10,0)="","",VLOOKUP($U55,'Performance Pivot'!$AZ:$BM,10,0))</f>
        <v/>
      </c>
      <c r="AE55" s="70" t="str">
        <f>IF(VLOOKUP($U55,'Performance Pivot'!$AZ:$BM,11,0)="","",VLOOKUP($U55,'Performance Pivot'!$AZ:$BM,11,0))</f>
        <v/>
      </c>
      <c r="AF55" s="70" t="str">
        <f>IF(VLOOKUP($U55,'Performance Pivot'!$AZ:$BM,12,0)="","",VLOOKUP($U55,'Performance Pivot'!$AZ:$BM,12,0))</f>
        <v/>
      </c>
      <c r="AG55" s="70" t="str">
        <f>IF(VLOOKUP($U55,'Performance Pivot'!$AZ:$BN,13,0)="","",VLOOKUP($U55,'Performance Pivot'!$AZ:$BN,13,0))</f>
        <v/>
      </c>
      <c r="AH55" s="70" t="str">
        <f>IF(VLOOKUP($U55,'Performance Pivot'!$AZ:$BN,14,0)="","",VLOOKUP($U55,'Performance Pivot'!$AZ:$BN,14,0))</f>
        <v/>
      </c>
      <c r="AI55" s="70" t="str">
        <f>IF(VLOOKUP($U55,'Performance Pivot'!$AZ:$BN,15,0)="","",VLOOKUP($U55,'Performance Pivot'!$AZ:$BN,15,0))</f>
        <v/>
      </c>
      <c r="AJ55" s="70" t="str">
        <f>IF(VLOOKUP($U55,'Performance Pivot'!$AZ:$BN,15,0)="","",VLOOKUP($U55,'Performance Pivot'!$AZ:$BN,15,0))</f>
        <v/>
      </c>
      <c r="AK55" s="52"/>
      <c r="AL55" s="52"/>
      <c r="AM55" s="52"/>
      <c r="AN55" s="52"/>
      <c r="AO55" s="52"/>
      <c r="AP55" s="52"/>
      <c r="AQ55" s="52"/>
      <c r="AR55" s="52"/>
      <c r="AS55" s="52"/>
      <c r="AT55" s="52"/>
      <c r="AU55" s="52"/>
      <c r="AV55" s="52"/>
      <c r="AW55" s="52"/>
    </row>
    <row r="56" spans="3:49" s="71" customFormat="1" ht="21" customHeight="1">
      <c r="C56" s="68">
        <f t="shared" si="23"/>
        <v>41852</v>
      </c>
      <c r="D56" s="70">
        <f>IF(VLOOKUP($C56,'Performance Pivot'!$AI:$AV,2,0)="","",VLOOKUP($C56,'Performance Pivot'!$AI:$AV,2,0))</f>
        <v>0.02</v>
      </c>
      <c r="E56" s="70">
        <f>IF(VLOOKUP($C56,'Performance Pivot'!$AI:$AV,3,0)="","",VLOOKUP($C56,'Performance Pivot'!$AI:$AV,3,0))</f>
        <v>0</v>
      </c>
      <c r="F56" s="70">
        <f>IF(VLOOKUP($C56,'Performance Pivot'!$AI:$AV,4,0)="","",VLOOKUP($C56,'Performance Pivot'!$AI:$AV,4,0))</f>
        <v>0</v>
      </c>
      <c r="G56" s="70">
        <f>IF(VLOOKUP($C56,'Performance Pivot'!$AI:$AV,5,0)="","",VLOOKUP($C56,'Performance Pivot'!$AI:$AV,5,0))</f>
        <v>0</v>
      </c>
      <c r="H56" s="70">
        <f>IF(VLOOKUP($C56,'Performance Pivot'!$AI:$AV,6,0)="","",VLOOKUP($C56,'Performance Pivot'!$AI:$AV,6,0))</f>
        <v>0</v>
      </c>
      <c r="I56" s="70">
        <f>IF(VLOOKUP($C56,'Performance Pivot'!$AI:$AV,7,0)="","",VLOOKUP($C56,'Performance Pivot'!$AI:$AV,7,0))</f>
        <v>0</v>
      </c>
      <c r="J56" s="70" t="str">
        <f>IF(VLOOKUP($C56,'Performance Pivot'!$AI:$AV,8,0)="","",VLOOKUP($C56,'Performance Pivot'!$AI:$AV,8,0))</f>
        <v/>
      </c>
      <c r="K56" s="70" t="str">
        <f>IF(VLOOKUP($C56,'Performance Pivot'!$AI:$AV,9,0)="","",VLOOKUP($C56,'Performance Pivot'!$AI:$AV,9,0))</f>
        <v/>
      </c>
      <c r="L56" s="70" t="str">
        <f>IF(VLOOKUP($C56,'Performance Pivot'!$AI:$AV,10,0)="","",VLOOKUP($C56,'Performance Pivot'!$AI:$AV,10,0))</f>
        <v/>
      </c>
      <c r="M56" s="70" t="str">
        <f>IF(VLOOKUP($C56,'Performance Pivot'!$AI:$AV,11,0)="","",VLOOKUP($C56,'Performance Pivot'!$AI:$AV,11,0))</f>
        <v/>
      </c>
      <c r="N56" s="70" t="str">
        <f>IF(VLOOKUP($C56,'Performance Pivot'!$AI:$AV,12,0)="","",VLOOKUP($C56,'Performance Pivot'!$AI:$AV,12,0))</f>
        <v/>
      </c>
      <c r="O56" s="70" t="str">
        <f>IF(VLOOKUP($C56,'Performance Pivot'!$AI:$AW,13,0)="","",VLOOKUP($C56,'Performance Pivot'!$AI:$AW,13,0))</f>
        <v/>
      </c>
      <c r="P56" s="70" t="str">
        <f>IF(VLOOKUP($C56,'Performance Pivot'!$AI:$AW,14,0)="","",VLOOKUP($C56,'Performance Pivot'!$AI:$AW,14,0))</f>
        <v/>
      </c>
      <c r="Q56" s="70" t="str">
        <f>IF(VLOOKUP($C56,'Performance Pivot'!$AI:$AW,15,0)="","",VLOOKUP($C56,'Performance Pivot'!$AI:$AW,15,0))</f>
        <v/>
      </c>
      <c r="R56" s="70" t="str">
        <f>IF(VLOOKUP($C56,'Performance Pivot'!$AI:$AW,15,0)="","",VLOOKUP($C56,'Performance Pivot'!$AI:$AW,15,0))</f>
        <v/>
      </c>
      <c r="S56" s="52"/>
      <c r="T56" s="52"/>
      <c r="U56" s="89">
        <f t="shared" si="24"/>
        <v>41852</v>
      </c>
      <c r="V56" s="70">
        <f>IF(VLOOKUP($U56,'Performance Pivot'!$AZ:$BM,2,0)="","",VLOOKUP($U56,'Performance Pivot'!$AZ:$BM,2,0))</f>
        <v>0.32159122504188664</v>
      </c>
      <c r="W56" s="70">
        <f>IF(VLOOKUP($U56,'Performance Pivot'!$AZ:$BM,3,0)="","",VLOOKUP($U56,'Performance Pivot'!$AZ:$BM,3,0))</f>
        <v>0.25246221912101841</v>
      </c>
      <c r="X56" s="70">
        <f>IF(VLOOKUP($U56,'Performance Pivot'!$AZ:$BM,4,0)="","",VLOOKUP($U56,'Performance Pivot'!$AZ:$BM,4,0))</f>
        <v>0.21721218690018185</v>
      </c>
      <c r="Y56" s="70">
        <f>IF(VLOOKUP($U56,'Performance Pivot'!$AZ:$BM,5,0)="","",VLOOKUP($U56,'Performance Pivot'!$AZ:$BM,5,0))</f>
        <v>0.37599228880956764</v>
      </c>
      <c r="Z56" s="70">
        <f>IF(VLOOKUP($U56,'Performance Pivot'!$AZ:$BM,6,0)="","",VLOOKUP($U56,'Performance Pivot'!$AZ:$BM,6,0))</f>
        <v>0.2460423350199375</v>
      </c>
      <c r="AA56" s="70">
        <f>IF(VLOOKUP($U56,'Performance Pivot'!$AZ:$BM,7,0)="","",VLOOKUP($U56,'Performance Pivot'!$AZ:$BM,7,0))</f>
        <v>0.3163206766235297</v>
      </c>
      <c r="AB56" s="70" t="str">
        <f>IF(VLOOKUP($U56,'Performance Pivot'!$AZ:$BM,8,0)="","",VLOOKUP($U56,'Performance Pivot'!$AZ:$BM,8,0))</f>
        <v/>
      </c>
      <c r="AC56" s="70" t="str">
        <f>IF(VLOOKUP($U56,'Performance Pivot'!$AZ:$BM,9,0)="","",VLOOKUP($U56,'Performance Pivot'!$AZ:$BM,9,0))</f>
        <v/>
      </c>
      <c r="AD56" s="70" t="str">
        <f>IF(VLOOKUP($U56,'Performance Pivot'!$AZ:$BM,10,0)="","",VLOOKUP($U56,'Performance Pivot'!$AZ:$BM,10,0))</f>
        <v/>
      </c>
      <c r="AE56" s="70" t="str">
        <f>IF(VLOOKUP($U56,'Performance Pivot'!$AZ:$BM,11,0)="","",VLOOKUP($U56,'Performance Pivot'!$AZ:$BM,11,0))</f>
        <v/>
      </c>
      <c r="AF56" s="70" t="str">
        <f>IF(VLOOKUP($U56,'Performance Pivot'!$AZ:$BM,12,0)="","",VLOOKUP($U56,'Performance Pivot'!$AZ:$BM,12,0))</f>
        <v/>
      </c>
      <c r="AG56" s="70" t="str">
        <f>IF(VLOOKUP($U56,'Performance Pivot'!$AZ:$BN,13,0)="","",VLOOKUP($U56,'Performance Pivot'!$AZ:$BN,13,0))</f>
        <v/>
      </c>
      <c r="AH56" s="70" t="str">
        <f>IF(VLOOKUP($U56,'Performance Pivot'!$AZ:$BN,14,0)="","",VLOOKUP($U56,'Performance Pivot'!$AZ:$BN,14,0))</f>
        <v/>
      </c>
      <c r="AI56" s="70" t="str">
        <f>IF(VLOOKUP($U56,'Performance Pivot'!$AZ:$BN,15,0)="","",VLOOKUP($U56,'Performance Pivot'!$AZ:$BN,15,0))</f>
        <v/>
      </c>
      <c r="AJ56" s="70" t="str">
        <f>IF(VLOOKUP($U56,'Performance Pivot'!$AZ:$BN,15,0)="","",VLOOKUP($U56,'Performance Pivot'!$AZ:$BN,15,0))</f>
        <v/>
      </c>
      <c r="AK56" s="52"/>
      <c r="AL56" s="52"/>
      <c r="AM56" s="52"/>
      <c r="AN56" s="52"/>
      <c r="AO56" s="52"/>
      <c r="AP56" s="52"/>
      <c r="AQ56" s="52"/>
      <c r="AR56" s="52"/>
      <c r="AS56" s="52"/>
      <c r="AT56" s="52"/>
      <c r="AU56" s="52"/>
      <c r="AV56" s="52"/>
      <c r="AW56" s="52"/>
    </row>
    <row r="57" spans="3:49" s="71" customFormat="1" ht="21" customHeight="1">
      <c r="C57" s="68">
        <f t="shared" si="23"/>
        <v>41883</v>
      </c>
      <c r="D57" s="70">
        <f>IF(VLOOKUP($C57,'Performance Pivot'!$AI:$AV,2,0)="","",VLOOKUP($C57,'Performance Pivot'!$AI:$AV,2,0))</f>
        <v>0.03</v>
      </c>
      <c r="E57" s="70">
        <f>IF(VLOOKUP($C57,'Performance Pivot'!$AI:$AV,3,0)="","",VLOOKUP($C57,'Performance Pivot'!$AI:$AV,3,0))</f>
        <v>0.01</v>
      </c>
      <c r="F57" s="70">
        <f>IF(VLOOKUP($C57,'Performance Pivot'!$AI:$AV,4,0)="","",VLOOKUP($C57,'Performance Pivot'!$AI:$AV,4,0))</f>
        <v>0</v>
      </c>
      <c r="G57" s="70">
        <f>IF(VLOOKUP($C57,'Performance Pivot'!$AI:$AV,5,0)="","",VLOOKUP($C57,'Performance Pivot'!$AI:$AV,5,0))</f>
        <v>0</v>
      </c>
      <c r="H57" s="70">
        <f>IF(VLOOKUP($C57,'Performance Pivot'!$AI:$AV,6,0)="","",VLOOKUP($C57,'Performance Pivot'!$AI:$AV,6,0))</f>
        <v>0</v>
      </c>
      <c r="I57" s="70">
        <f>IF(VLOOKUP($C57,'Performance Pivot'!$AI:$AV,7,0)="","",VLOOKUP($C57,'Performance Pivot'!$AI:$AV,7,0))</f>
        <v>0</v>
      </c>
      <c r="J57" s="70" t="str">
        <f>IF(VLOOKUP($C57,'Performance Pivot'!$AI:$AV,8,0)="","",VLOOKUP($C57,'Performance Pivot'!$AI:$AV,8,0))</f>
        <v/>
      </c>
      <c r="K57" s="70" t="str">
        <f>IF(VLOOKUP($C57,'Performance Pivot'!$AI:$AV,9,0)="","",VLOOKUP($C57,'Performance Pivot'!$AI:$AV,9,0))</f>
        <v/>
      </c>
      <c r="L57" s="70" t="str">
        <f>IF(VLOOKUP($C57,'Performance Pivot'!$AI:$AV,10,0)="","",VLOOKUP($C57,'Performance Pivot'!$AI:$AV,10,0))</f>
        <v/>
      </c>
      <c r="M57" s="70" t="str">
        <f>IF(VLOOKUP($C57,'Performance Pivot'!$AI:$AV,11,0)="","",VLOOKUP($C57,'Performance Pivot'!$AI:$AV,11,0))</f>
        <v/>
      </c>
      <c r="N57" s="70" t="str">
        <f>IF(VLOOKUP($C57,'Performance Pivot'!$AI:$AV,12,0)="","",VLOOKUP($C57,'Performance Pivot'!$AI:$AV,12,0))</f>
        <v/>
      </c>
      <c r="O57" s="70" t="str">
        <f>IF(VLOOKUP($C57,'Performance Pivot'!$AI:$AW,13,0)="","",VLOOKUP($C57,'Performance Pivot'!$AI:$AW,13,0))</f>
        <v/>
      </c>
      <c r="P57" s="70" t="str">
        <f>IF(VLOOKUP($C57,'Performance Pivot'!$AI:$AW,14,0)="","",VLOOKUP($C57,'Performance Pivot'!$AI:$AW,14,0))</f>
        <v/>
      </c>
      <c r="Q57" s="70" t="str">
        <f>IF(VLOOKUP($C57,'Performance Pivot'!$AI:$AW,15,0)="","",VLOOKUP($C57,'Performance Pivot'!$AI:$AW,15,0))</f>
        <v/>
      </c>
      <c r="R57" s="70" t="str">
        <f>IF(VLOOKUP($C57,'Performance Pivot'!$AI:$AW,15,0)="","",VLOOKUP($C57,'Performance Pivot'!$AI:$AW,15,0))</f>
        <v/>
      </c>
      <c r="S57" s="52"/>
      <c r="T57" s="52"/>
      <c r="U57" s="89">
        <f t="shared" si="24"/>
        <v>41883</v>
      </c>
      <c r="V57" s="70">
        <f>IF(VLOOKUP($U57,'Performance Pivot'!$AZ:$BM,2,0)="","",VLOOKUP($U57,'Performance Pivot'!$AZ:$BM,2,0))</f>
        <v>0.28280316807853634</v>
      </c>
      <c r="W57" s="70">
        <f>IF(VLOOKUP($U57,'Performance Pivot'!$AZ:$BM,3,0)="","",VLOOKUP($U57,'Performance Pivot'!$AZ:$BM,3,0))</f>
        <v>0.23100353414111746</v>
      </c>
      <c r="X57" s="70">
        <f>IF(VLOOKUP($U57,'Performance Pivot'!$AZ:$BM,4,0)="","",VLOOKUP($U57,'Performance Pivot'!$AZ:$BM,4,0))</f>
        <v>0.18639041304976345</v>
      </c>
      <c r="Y57" s="70">
        <f>IF(VLOOKUP($U57,'Performance Pivot'!$AZ:$BM,5,0)="","",VLOOKUP($U57,'Performance Pivot'!$AZ:$BM,5,0))</f>
        <v>0.23360284100391462</v>
      </c>
      <c r="Z57" s="70">
        <f>IF(VLOOKUP($U57,'Performance Pivot'!$AZ:$BM,6,0)="","",VLOOKUP($U57,'Performance Pivot'!$AZ:$BM,6,0))</f>
        <v>0.2156424188954324</v>
      </c>
      <c r="AA57" s="70">
        <f>IF(VLOOKUP($U57,'Performance Pivot'!$AZ:$BM,7,0)="","",VLOOKUP($U57,'Performance Pivot'!$AZ:$BM,7,0))</f>
        <v>0.2853668728797733</v>
      </c>
      <c r="AB57" s="70" t="str">
        <f>IF(VLOOKUP($U57,'Performance Pivot'!$AZ:$BM,8,0)="","",VLOOKUP($U57,'Performance Pivot'!$AZ:$BM,8,0))</f>
        <v/>
      </c>
      <c r="AC57" s="70" t="str">
        <f>IF(VLOOKUP($U57,'Performance Pivot'!$AZ:$BM,9,0)="","",VLOOKUP($U57,'Performance Pivot'!$AZ:$BM,9,0))</f>
        <v/>
      </c>
      <c r="AD57" s="70" t="str">
        <f>IF(VLOOKUP($U57,'Performance Pivot'!$AZ:$BM,10,0)="","",VLOOKUP($U57,'Performance Pivot'!$AZ:$BM,10,0))</f>
        <v/>
      </c>
      <c r="AE57" s="70" t="str">
        <f>IF(VLOOKUP($U57,'Performance Pivot'!$AZ:$BM,11,0)="","",VLOOKUP($U57,'Performance Pivot'!$AZ:$BM,11,0))</f>
        <v/>
      </c>
      <c r="AF57" s="70" t="str">
        <f>IF(VLOOKUP($U57,'Performance Pivot'!$AZ:$BM,12,0)="","",VLOOKUP($U57,'Performance Pivot'!$AZ:$BM,12,0))</f>
        <v/>
      </c>
      <c r="AG57" s="70" t="str">
        <f>IF(VLOOKUP($U57,'Performance Pivot'!$AZ:$BN,13,0)="","",VLOOKUP($U57,'Performance Pivot'!$AZ:$BN,13,0))</f>
        <v/>
      </c>
      <c r="AH57" s="70" t="str">
        <f>IF(VLOOKUP($U57,'Performance Pivot'!$AZ:$BN,14,0)="","",VLOOKUP($U57,'Performance Pivot'!$AZ:$BN,14,0))</f>
        <v/>
      </c>
      <c r="AI57" s="70" t="str">
        <f>IF(VLOOKUP($U57,'Performance Pivot'!$AZ:$BN,15,0)="","",VLOOKUP($U57,'Performance Pivot'!$AZ:$BN,15,0))</f>
        <v/>
      </c>
      <c r="AJ57" s="70" t="str">
        <f>IF(VLOOKUP($U57,'Performance Pivot'!$AZ:$BN,15,0)="","",VLOOKUP($U57,'Performance Pivot'!$AZ:$BN,15,0))</f>
        <v/>
      </c>
      <c r="AK57" s="52"/>
      <c r="AL57" s="52"/>
      <c r="AM57" s="52"/>
      <c r="AN57" s="52"/>
      <c r="AO57" s="52"/>
      <c r="AP57" s="52"/>
      <c r="AQ57" s="52"/>
      <c r="AR57" s="52"/>
      <c r="AS57" s="52"/>
      <c r="AT57" s="52"/>
      <c r="AU57" s="52"/>
      <c r="AV57" s="52"/>
      <c r="AW57" s="52"/>
    </row>
    <row r="58" spans="3:49" s="71" customFormat="1" ht="21" customHeight="1">
      <c r="C58" s="68">
        <f t="shared" si="23"/>
        <v>41913</v>
      </c>
      <c r="D58" s="70">
        <f>IF(VLOOKUP($C58,'Performance Pivot'!$AI:$AV,2,0)="","",VLOOKUP($C58,'Performance Pivot'!$AI:$AV,2,0))</f>
        <v>0.03</v>
      </c>
      <c r="E58" s="70">
        <f>IF(VLOOKUP($C58,'Performance Pivot'!$AI:$AV,3,0)="","",VLOOKUP($C58,'Performance Pivot'!$AI:$AV,3,0))</f>
        <v>0.01</v>
      </c>
      <c r="F58" s="70">
        <f>IF(VLOOKUP($C58,'Performance Pivot'!$AI:$AV,4,0)="","",VLOOKUP($C58,'Performance Pivot'!$AI:$AV,4,0))</f>
        <v>0</v>
      </c>
      <c r="G58" s="70">
        <f>IF(VLOOKUP($C58,'Performance Pivot'!$AI:$AV,5,0)="","",VLOOKUP($C58,'Performance Pivot'!$AI:$AV,5,0))</f>
        <v>0</v>
      </c>
      <c r="H58" s="70">
        <f>IF(VLOOKUP($C58,'Performance Pivot'!$AI:$AV,6,0)="","",VLOOKUP($C58,'Performance Pivot'!$AI:$AV,6,0))</f>
        <v>0</v>
      </c>
      <c r="I58" s="70">
        <f>IF(VLOOKUP($C58,'Performance Pivot'!$AI:$AV,7,0)="","",VLOOKUP($C58,'Performance Pivot'!$AI:$AV,7,0))</f>
        <v>0</v>
      </c>
      <c r="J58" s="70" t="str">
        <f>IF(VLOOKUP($C58,'Performance Pivot'!$AI:$AV,8,0)="","",VLOOKUP($C58,'Performance Pivot'!$AI:$AV,8,0))</f>
        <v/>
      </c>
      <c r="K58" s="70" t="str">
        <f>IF(VLOOKUP($C58,'Performance Pivot'!$AI:$AV,9,0)="","",VLOOKUP($C58,'Performance Pivot'!$AI:$AV,9,0))</f>
        <v/>
      </c>
      <c r="L58" s="70" t="str">
        <f>IF(VLOOKUP($C58,'Performance Pivot'!$AI:$AV,10,0)="","",VLOOKUP($C58,'Performance Pivot'!$AI:$AV,10,0))</f>
        <v/>
      </c>
      <c r="M58" s="70" t="str">
        <f>IF(VLOOKUP($C58,'Performance Pivot'!$AI:$AV,11,0)="","",VLOOKUP($C58,'Performance Pivot'!$AI:$AV,11,0))</f>
        <v/>
      </c>
      <c r="N58" s="70" t="str">
        <f>IF(VLOOKUP($C58,'Performance Pivot'!$AI:$AV,12,0)="","",VLOOKUP($C58,'Performance Pivot'!$AI:$AV,12,0))</f>
        <v/>
      </c>
      <c r="O58" s="70" t="str">
        <f>IF(VLOOKUP($C58,'Performance Pivot'!$AI:$AW,13,0)="","",VLOOKUP($C58,'Performance Pivot'!$AI:$AW,13,0))</f>
        <v/>
      </c>
      <c r="P58" s="70" t="str">
        <f>IF(VLOOKUP($C58,'Performance Pivot'!$AI:$AW,14,0)="","",VLOOKUP($C58,'Performance Pivot'!$AI:$AW,14,0))</f>
        <v/>
      </c>
      <c r="Q58" s="70" t="str">
        <f>IF(VLOOKUP($C58,'Performance Pivot'!$AI:$AW,15,0)="","",VLOOKUP($C58,'Performance Pivot'!$AI:$AW,15,0))</f>
        <v/>
      </c>
      <c r="R58" s="70" t="str">
        <f>IF(VLOOKUP($C58,'Performance Pivot'!$AI:$AW,15,0)="","",VLOOKUP($C58,'Performance Pivot'!$AI:$AW,15,0))</f>
        <v/>
      </c>
      <c r="S58" s="52"/>
      <c r="T58" s="52"/>
      <c r="U58" s="89">
        <f t="shared" si="24"/>
        <v>41913</v>
      </c>
      <c r="V58" s="70">
        <f>IF(VLOOKUP($U58,'Performance Pivot'!$AZ:$BM,2,0)="","",VLOOKUP($U58,'Performance Pivot'!$AZ:$BM,2,0))</f>
        <v>0.22773411382250255</v>
      </c>
      <c r="W58" s="70">
        <f>IF(VLOOKUP($U58,'Performance Pivot'!$AZ:$BM,3,0)="","",VLOOKUP($U58,'Performance Pivot'!$AZ:$BM,3,0))</f>
        <v>0.21632208706255537</v>
      </c>
      <c r="X58" s="70">
        <f>IF(VLOOKUP($U58,'Performance Pivot'!$AZ:$BM,4,0)="","",VLOOKUP($U58,'Performance Pivot'!$AZ:$BM,4,0))</f>
        <v>0.19366292779215485</v>
      </c>
      <c r="Y58" s="70">
        <f>IF(VLOOKUP($U58,'Performance Pivot'!$AZ:$BM,5,0)="","",VLOOKUP($U58,'Performance Pivot'!$AZ:$BM,5,0))</f>
        <v>0.28481514043901485</v>
      </c>
      <c r="Z58" s="70">
        <f>IF(VLOOKUP($U58,'Performance Pivot'!$AZ:$BM,6,0)="","",VLOOKUP($U58,'Performance Pivot'!$AZ:$BM,6,0))</f>
        <v>0.19359806845539854</v>
      </c>
      <c r="AA58" s="70">
        <f>IF(VLOOKUP($U58,'Performance Pivot'!$AZ:$BM,7,0)="","",VLOOKUP($U58,'Performance Pivot'!$AZ:$BM,7,0))</f>
        <v>0.28893045623585428</v>
      </c>
      <c r="AB58" s="70" t="str">
        <f>IF(VLOOKUP($U58,'Performance Pivot'!$AZ:$BM,8,0)="","",VLOOKUP($U58,'Performance Pivot'!$AZ:$BM,8,0))</f>
        <v/>
      </c>
      <c r="AC58" s="70" t="str">
        <f>IF(VLOOKUP($U58,'Performance Pivot'!$AZ:$BM,9,0)="","",VLOOKUP($U58,'Performance Pivot'!$AZ:$BM,9,0))</f>
        <v/>
      </c>
      <c r="AD58" s="70" t="str">
        <f>IF(VLOOKUP($U58,'Performance Pivot'!$AZ:$BM,10,0)="","",VLOOKUP($U58,'Performance Pivot'!$AZ:$BM,10,0))</f>
        <v/>
      </c>
      <c r="AE58" s="70" t="str">
        <f>IF(VLOOKUP($U58,'Performance Pivot'!$AZ:$BM,11,0)="","",VLOOKUP($U58,'Performance Pivot'!$AZ:$BM,11,0))</f>
        <v/>
      </c>
      <c r="AF58" s="70" t="str">
        <f>IF(VLOOKUP($U58,'Performance Pivot'!$AZ:$BM,12,0)="","",VLOOKUP($U58,'Performance Pivot'!$AZ:$BM,12,0))</f>
        <v/>
      </c>
      <c r="AG58" s="70" t="str">
        <f>IF(VLOOKUP($U58,'Performance Pivot'!$AZ:$BN,13,0)="","",VLOOKUP($U58,'Performance Pivot'!$AZ:$BN,13,0))</f>
        <v/>
      </c>
      <c r="AH58" s="70" t="str">
        <f>IF(VLOOKUP($U58,'Performance Pivot'!$AZ:$BN,14,0)="","",VLOOKUP($U58,'Performance Pivot'!$AZ:$BN,14,0))</f>
        <v/>
      </c>
      <c r="AI58" s="70" t="str">
        <f>IF(VLOOKUP($U58,'Performance Pivot'!$AZ:$BN,15,0)="","",VLOOKUP($U58,'Performance Pivot'!$AZ:$BN,15,0))</f>
        <v/>
      </c>
      <c r="AJ58" s="70" t="str">
        <f>IF(VLOOKUP($U58,'Performance Pivot'!$AZ:$BN,15,0)="","",VLOOKUP($U58,'Performance Pivot'!$AZ:$BN,15,0))</f>
        <v/>
      </c>
      <c r="AK58" s="52"/>
      <c r="AL58" s="52"/>
      <c r="AM58" s="52"/>
      <c r="AN58" s="52"/>
      <c r="AO58" s="52"/>
      <c r="AP58" s="52"/>
      <c r="AQ58" s="52"/>
      <c r="AR58" s="52"/>
      <c r="AS58" s="52"/>
      <c r="AT58" s="52"/>
      <c r="AU58" s="52"/>
      <c r="AV58" s="52"/>
      <c r="AW58" s="52"/>
    </row>
    <row r="59" spans="3:49" s="71" customFormat="1" ht="21" customHeight="1">
      <c r="C59" s="68">
        <f t="shared" si="23"/>
        <v>41944</v>
      </c>
      <c r="D59" s="70">
        <f>IF(VLOOKUP($C59,'Performance Pivot'!$AI:$AV,2,0)="","",VLOOKUP($C59,'Performance Pivot'!$AI:$AV,2,0))</f>
        <v>0.04</v>
      </c>
      <c r="E59" s="70">
        <f>IF(VLOOKUP($C59,'Performance Pivot'!$AI:$AV,3,0)="","",VLOOKUP($C59,'Performance Pivot'!$AI:$AV,3,0))</f>
        <v>0.02</v>
      </c>
      <c r="F59" s="70">
        <f>IF(VLOOKUP($C59,'Performance Pivot'!$AI:$AV,4,0)="","",VLOOKUP($C59,'Performance Pivot'!$AI:$AV,4,0))</f>
        <v>0</v>
      </c>
      <c r="G59" s="70">
        <f>IF(VLOOKUP($C59,'Performance Pivot'!$AI:$AV,5,0)="","",VLOOKUP($C59,'Performance Pivot'!$AI:$AV,5,0))</f>
        <v>0.01</v>
      </c>
      <c r="H59" s="70">
        <f>IF(VLOOKUP($C59,'Performance Pivot'!$AI:$AV,6,0)="","",VLOOKUP($C59,'Performance Pivot'!$AI:$AV,6,0))</f>
        <v>0</v>
      </c>
      <c r="I59" s="70">
        <f>IF(VLOOKUP($C59,'Performance Pivot'!$AI:$AV,7,0)="","",VLOOKUP($C59,'Performance Pivot'!$AI:$AV,7,0))</f>
        <v>0</v>
      </c>
      <c r="J59" s="70">
        <f>IF(VLOOKUP($C59,'Performance Pivot'!$AI:$AV,8,0)="","",VLOOKUP($C59,'Performance Pivot'!$AI:$AV,8,0))</f>
        <v>0</v>
      </c>
      <c r="K59" s="70">
        <f>IF(VLOOKUP($C59,'Performance Pivot'!$AI:$AV,9,0)="","",VLOOKUP($C59,'Performance Pivot'!$AI:$AV,9,0))</f>
        <v>0</v>
      </c>
      <c r="L59" s="70" t="str">
        <f>IF(VLOOKUP($C59,'Performance Pivot'!$AI:$AV,10,0)="","",VLOOKUP($C59,'Performance Pivot'!$AI:$AV,10,0))</f>
        <v/>
      </c>
      <c r="M59" s="70" t="str">
        <f>IF(VLOOKUP($C59,'Performance Pivot'!$AI:$AV,11,0)="","",VLOOKUP($C59,'Performance Pivot'!$AI:$AV,11,0))</f>
        <v/>
      </c>
      <c r="N59" s="70" t="str">
        <f>IF(VLOOKUP($C59,'Performance Pivot'!$AI:$AV,12,0)="","",VLOOKUP($C59,'Performance Pivot'!$AI:$AV,12,0))</f>
        <v/>
      </c>
      <c r="O59" s="70" t="str">
        <f>IF(VLOOKUP($C59,'Performance Pivot'!$AI:$AW,13,0)="","",VLOOKUP($C59,'Performance Pivot'!$AI:$AW,13,0))</f>
        <v/>
      </c>
      <c r="P59" s="70" t="str">
        <f>IF(VLOOKUP($C59,'Performance Pivot'!$AI:$AW,14,0)="","",VLOOKUP($C59,'Performance Pivot'!$AI:$AW,14,0))</f>
        <v/>
      </c>
      <c r="Q59" s="70" t="str">
        <f>IF(VLOOKUP($C59,'Performance Pivot'!$AI:$AW,15,0)="","",VLOOKUP($C59,'Performance Pivot'!$AI:$AW,15,0))</f>
        <v/>
      </c>
      <c r="R59" s="70" t="str">
        <f>IF(VLOOKUP($C59,'Performance Pivot'!$AI:$AW,15,0)="","",VLOOKUP($C59,'Performance Pivot'!$AI:$AW,15,0))</f>
        <v/>
      </c>
      <c r="S59" s="52"/>
      <c r="T59" s="52"/>
      <c r="U59" s="89">
        <f t="shared" si="24"/>
        <v>41944</v>
      </c>
      <c r="V59" s="70">
        <f>IF(VLOOKUP($U59,'Performance Pivot'!$AZ:$BM,2,0)="","",VLOOKUP($U59,'Performance Pivot'!$AZ:$BM,2,0))</f>
        <v>0.37766798780822036</v>
      </c>
      <c r="W59" s="70">
        <f>IF(VLOOKUP($U59,'Performance Pivot'!$AZ:$BM,3,0)="","",VLOOKUP($U59,'Performance Pivot'!$AZ:$BM,3,0))</f>
        <v>0.33128638894411244</v>
      </c>
      <c r="X59" s="70">
        <f>IF(VLOOKUP($U59,'Performance Pivot'!$AZ:$BM,4,0)="","",VLOOKUP($U59,'Performance Pivot'!$AZ:$BM,4,0))</f>
        <v>0.29608005950586608</v>
      </c>
      <c r="Y59" s="70">
        <f>IF(VLOOKUP($U59,'Performance Pivot'!$AZ:$BM,5,0)="","",VLOOKUP($U59,'Performance Pivot'!$AZ:$BM,5,0))</f>
        <v>0.43145607777390377</v>
      </c>
      <c r="Z59" s="70">
        <f>IF(VLOOKUP($U59,'Performance Pivot'!$AZ:$BM,6,0)="","",VLOOKUP($U59,'Performance Pivot'!$AZ:$BM,6,0))</f>
        <v>0.35336973541279804</v>
      </c>
      <c r="AA59" s="70">
        <f>IF(VLOOKUP($U59,'Performance Pivot'!$AZ:$BM,7,0)="","",VLOOKUP($U59,'Performance Pivot'!$AZ:$BM,7,0))</f>
        <v>0.45080761464805941</v>
      </c>
      <c r="AB59" s="70">
        <f>IF(VLOOKUP($U59,'Performance Pivot'!$AZ:$BM,8,0)="","",VLOOKUP($U59,'Performance Pivot'!$AZ:$BM,8,0))</f>
        <v>0.30018273591955402</v>
      </c>
      <c r="AC59" s="70">
        <f>IF(VLOOKUP($U59,'Performance Pivot'!$AZ:$BM,9,0)="","",VLOOKUP($U59,'Performance Pivot'!$AZ:$BM,9,0))</f>
        <v>0.32164451056253401</v>
      </c>
      <c r="AD59" s="70" t="str">
        <f>IF(VLOOKUP($U59,'Performance Pivot'!$AZ:$BM,10,0)="","",VLOOKUP($U59,'Performance Pivot'!$AZ:$BM,10,0))</f>
        <v/>
      </c>
      <c r="AE59" s="70" t="str">
        <f>IF(VLOOKUP($U59,'Performance Pivot'!$AZ:$BM,11,0)="","",VLOOKUP($U59,'Performance Pivot'!$AZ:$BM,11,0))</f>
        <v/>
      </c>
      <c r="AF59" s="70" t="str">
        <f>IF(VLOOKUP($U59,'Performance Pivot'!$AZ:$BM,12,0)="","",VLOOKUP($U59,'Performance Pivot'!$AZ:$BM,12,0))</f>
        <v/>
      </c>
      <c r="AG59" s="70" t="str">
        <f>IF(VLOOKUP($U59,'Performance Pivot'!$AZ:$BN,13,0)="","",VLOOKUP($U59,'Performance Pivot'!$AZ:$BN,13,0))</f>
        <v/>
      </c>
      <c r="AH59" s="70" t="str">
        <f>IF(VLOOKUP($U59,'Performance Pivot'!$AZ:$BN,14,0)="","",VLOOKUP($U59,'Performance Pivot'!$AZ:$BN,14,0))</f>
        <v/>
      </c>
      <c r="AI59" s="70" t="str">
        <f>IF(VLOOKUP($U59,'Performance Pivot'!$AZ:$BN,15,0)="","",VLOOKUP($U59,'Performance Pivot'!$AZ:$BN,15,0))</f>
        <v/>
      </c>
      <c r="AJ59" s="70" t="str">
        <f>IF(VLOOKUP($U59,'Performance Pivot'!$AZ:$BN,15,0)="","",VLOOKUP($U59,'Performance Pivot'!$AZ:$BN,15,0))</f>
        <v/>
      </c>
      <c r="AK59" s="52"/>
      <c r="AL59" s="52"/>
      <c r="AM59" s="52"/>
      <c r="AN59" s="52"/>
      <c r="AO59" s="52"/>
      <c r="AP59" s="52"/>
      <c r="AQ59" s="52"/>
      <c r="AR59" s="52"/>
      <c r="AS59" s="52"/>
      <c r="AT59" s="52"/>
      <c r="AU59" s="52"/>
      <c r="AV59" s="52"/>
      <c r="AW59" s="52"/>
    </row>
    <row r="60" spans="3:49" s="71" customFormat="1" ht="21" customHeight="1">
      <c r="C60" s="68">
        <f t="shared" si="23"/>
        <v>41974</v>
      </c>
      <c r="D60" s="70">
        <f>IF(VLOOKUP($C60,'Performance Pivot'!$AI:$AV,2,0)="","",VLOOKUP($C60,'Performance Pivot'!$AI:$AV,2,0))</f>
        <v>0.04</v>
      </c>
      <c r="E60" s="70">
        <f>IF(VLOOKUP($C60,'Performance Pivot'!$AI:$AV,3,0)="","",VLOOKUP($C60,'Performance Pivot'!$AI:$AV,3,0))</f>
        <v>0.02</v>
      </c>
      <c r="F60" s="70">
        <f>IF(VLOOKUP($C60,'Performance Pivot'!$AI:$AV,4,0)="","",VLOOKUP($C60,'Performance Pivot'!$AI:$AV,4,0))</f>
        <v>0</v>
      </c>
      <c r="G60" s="70">
        <f>IF(VLOOKUP($C60,'Performance Pivot'!$AI:$AV,5,0)="","",VLOOKUP($C60,'Performance Pivot'!$AI:$AV,5,0))</f>
        <v>0.01</v>
      </c>
      <c r="H60" s="70">
        <f>IF(VLOOKUP($C60,'Performance Pivot'!$AI:$AV,6,0)="","",VLOOKUP($C60,'Performance Pivot'!$AI:$AV,6,0))</f>
        <v>0</v>
      </c>
      <c r="I60" s="70">
        <f>IF(VLOOKUP($C60,'Performance Pivot'!$AI:$AV,7,0)="","",VLOOKUP($C60,'Performance Pivot'!$AI:$AV,7,0))</f>
        <v>0.01</v>
      </c>
      <c r="J60" s="70">
        <f>IF(VLOOKUP($C60,'Performance Pivot'!$AI:$AV,8,0)="","",VLOOKUP($C60,'Performance Pivot'!$AI:$AV,8,0))</f>
        <v>0</v>
      </c>
      <c r="K60" s="70">
        <f>IF(VLOOKUP($C60,'Performance Pivot'!$AI:$AV,9,0)="","",VLOOKUP($C60,'Performance Pivot'!$AI:$AV,9,0))</f>
        <v>0</v>
      </c>
      <c r="L60" s="70" t="str">
        <f>IF(VLOOKUP($C60,'Performance Pivot'!$AI:$AV,10,0)="","",VLOOKUP($C60,'Performance Pivot'!$AI:$AV,10,0))</f>
        <v/>
      </c>
      <c r="M60" s="70" t="str">
        <f>IF(VLOOKUP($C60,'Performance Pivot'!$AI:$AV,11,0)="","",VLOOKUP($C60,'Performance Pivot'!$AI:$AV,11,0))</f>
        <v/>
      </c>
      <c r="N60" s="70" t="str">
        <f>IF(VLOOKUP($C60,'Performance Pivot'!$AI:$AV,12,0)="","",VLOOKUP($C60,'Performance Pivot'!$AI:$AV,12,0))</f>
        <v/>
      </c>
      <c r="O60" s="70" t="str">
        <f>IF(VLOOKUP($C60,'Performance Pivot'!$AI:$AW,13,0)="","",VLOOKUP($C60,'Performance Pivot'!$AI:$AW,13,0))</f>
        <v/>
      </c>
      <c r="P60" s="70" t="str">
        <f>IF(VLOOKUP($C60,'Performance Pivot'!$AI:$AW,14,0)="","",VLOOKUP($C60,'Performance Pivot'!$AI:$AW,14,0))</f>
        <v/>
      </c>
      <c r="Q60" s="70" t="str">
        <f>IF(VLOOKUP($C60,'Performance Pivot'!$AI:$AW,15,0)="","",VLOOKUP($C60,'Performance Pivot'!$AI:$AW,15,0))</f>
        <v/>
      </c>
      <c r="R60" s="70" t="str">
        <f>IF(VLOOKUP($C60,'Performance Pivot'!$AI:$AW,15,0)="","",VLOOKUP($C60,'Performance Pivot'!$AI:$AW,15,0))</f>
        <v/>
      </c>
      <c r="S60" s="52"/>
      <c r="T60" s="52"/>
      <c r="U60" s="89">
        <f t="shared" si="24"/>
        <v>41974</v>
      </c>
      <c r="V60" s="70">
        <f>IF(VLOOKUP($U60,'Performance Pivot'!$AZ:$BM,2,0)="","",VLOOKUP($U60,'Performance Pivot'!$AZ:$BM,2,0))</f>
        <v>0.29056197549944945</v>
      </c>
      <c r="W60" s="70">
        <f>IF(VLOOKUP($U60,'Performance Pivot'!$AZ:$BM,3,0)="","",VLOOKUP($U60,'Performance Pivot'!$AZ:$BM,3,0))</f>
        <v>0.24964216199314426</v>
      </c>
      <c r="X60" s="70">
        <f>IF(VLOOKUP($U60,'Performance Pivot'!$AZ:$BM,4,0)="","",VLOOKUP($U60,'Performance Pivot'!$AZ:$BM,4,0))</f>
        <v>0.22982648546695147</v>
      </c>
      <c r="Y60" s="70">
        <f>IF(VLOOKUP($U60,'Performance Pivot'!$AZ:$BM,5,0)="","",VLOOKUP($U60,'Performance Pivot'!$AZ:$BM,5,0))</f>
        <v>0.34645197943854744</v>
      </c>
      <c r="Z60" s="70">
        <f>IF(VLOOKUP($U60,'Performance Pivot'!$AZ:$BM,6,0)="","",VLOOKUP($U60,'Performance Pivot'!$AZ:$BM,6,0))</f>
        <v>0.26664097193781755</v>
      </c>
      <c r="AA60" s="70">
        <f>IF(VLOOKUP($U60,'Performance Pivot'!$AZ:$BM,7,0)="","",VLOOKUP($U60,'Performance Pivot'!$AZ:$BM,7,0))</f>
        <v>0.38986259606519763</v>
      </c>
      <c r="AB60" s="70">
        <f>IF(VLOOKUP($U60,'Performance Pivot'!$AZ:$BM,8,0)="","",VLOOKUP($U60,'Performance Pivot'!$AZ:$BM,8,0))</f>
        <v>0.21421870499928941</v>
      </c>
      <c r="AC60" s="70">
        <f>IF(VLOOKUP($U60,'Performance Pivot'!$AZ:$BM,9,0)="","",VLOOKUP($U60,'Performance Pivot'!$AZ:$BM,9,0))</f>
        <v>0.25712173148555939</v>
      </c>
      <c r="AD60" s="70" t="str">
        <f>IF(VLOOKUP($U60,'Performance Pivot'!$AZ:$BM,10,0)="","",VLOOKUP($U60,'Performance Pivot'!$AZ:$BM,10,0))</f>
        <v/>
      </c>
      <c r="AE60" s="70" t="str">
        <f>IF(VLOOKUP($U60,'Performance Pivot'!$AZ:$BM,11,0)="","",VLOOKUP($U60,'Performance Pivot'!$AZ:$BM,11,0))</f>
        <v/>
      </c>
      <c r="AF60" s="70" t="str">
        <f>IF(VLOOKUP($U60,'Performance Pivot'!$AZ:$BM,12,0)="","",VLOOKUP($U60,'Performance Pivot'!$AZ:$BM,12,0))</f>
        <v/>
      </c>
      <c r="AG60" s="70" t="str">
        <f>IF(VLOOKUP($U60,'Performance Pivot'!$AZ:$BN,13,0)="","",VLOOKUP($U60,'Performance Pivot'!$AZ:$BN,13,0))</f>
        <v/>
      </c>
      <c r="AH60" s="70" t="str">
        <f>IF(VLOOKUP($U60,'Performance Pivot'!$AZ:$BN,14,0)="","",VLOOKUP($U60,'Performance Pivot'!$AZ:$BN,14,0))</f>
        <v/>
      </c>
      <c r="AI60" s="70" t="str">
        <f>IF(VLOOKUP($U60,'Performance Pivot'!$AZ:$BN,15,0)="","",VLOOKUP($U60,'Performance Pivot'!$AZ:$BN,15,0))</f>
        <v/>
      </c>
      <c r="AJ60" s="70" t="str">
        <f>IF(VLOOKUP($U60,'Performance Pivot'!$AZ:$BN,15,0)="","",VLOOKUP($U60,'Performance Pivot'!$AZ:$BN,15,0))</f>
        <v/>
      </c>
      <c r="AK60" s="52"/>
      <c r="AL60" s="52"/>
      <c r="AM60" s="52"/>
      <c r="AN60" s="52"/>
      <c r="AO60" s="52"/>
      <c r="AP60" s="52"/>
      <c r="AQ60" s="52"/>
      <c r="AR60" s="52"/>
      <c r="AS60" s="52"/>
      <c r="AT60" s="52"/>
      <c r="AU60" s="52"/>
      <c r="AV60" s="52"/>
      <c r="AW60" s="52"/>
    </row>
    <row r="61" spans="3:49" s="71" customFormat="1" ht="21" customHeight="1">
      <c r="C61" s="68">
        <f t="shared" si="23"/>
        <v>42005</v>
      </c>
      <c r="D61" s="70">
        <f>IF(VLOOKUP($C61,'Performance Pivot'!$AI:$AV,2,0)="","",VLOOKUP($C61,'Performance Pivot'!$AI:$AV,2,0))</f>
        <v>0.05</v>
      </c>
      <c r="E61" s="70">
        <f>IF(VLOOKUP($C61,'Performance Pivot'!$AI:$AV,3,0)="","",VLOOKUP($C61,'Performance Pivot'!$AI:$AV,3,0))</f>
        <v>0.02</v>
      </c>
      <c r="F61" s="70">
        <f>IF(VLOOKUP($C61,'Performance Pivot'!$AI:$AV,4,0)="","",VLOOKUP($C61,'Performance Pivot'!$AI:$AV,4,0))</f>
        <v>0.01</v>
      </c>
      <c r="G61" s="70">
        <f>IF(VLOOKUP($C61,'Performance Pivot'!$AI:$AV,5,0)="","",VLOOKUP($C61,'Performance Pivot'!$AI:$AV,5,0))</f>
        <v>0.02</v>
      </c>
      <c r="H61" s="70">
        <f>IF(VLOOKUP($C61,'Performance Pivot'!$AI:$AV,6,0)="","",VLOOKUP($C61,'Performance Pivot'!$AI:$AV,6,0))</f>
        <v>0</v>
      </c>
      <c r="I61" s="70">
        <f>IF(VLOOKUP($C61,'Performance Pivot'!$AI:$AV,7,0)="","",VLOOKUP($C61,'Performance Pivot'!$AI:$AV,7,0))</f>
        <v>0.01</v>
      </c>
      <c r="J61" s="70">
        <f>IF(VLOOKUP($C61,'Performance Pivot'!$AI:$AV,8,0)="","",VLOOKUP($C61,'Performance Pivot'!$AI:$AV,8,0))</f>
        <v>0</v>
      </c>
      <c r="K61" s="70">
        <f>IF(VLOOKUP($C61,'Performance Pivot'!$AI:$AV,9,0)="","",VLOOKUP($C61,'Performance Pivot'!$AI:$AV,9,0))</f>
        <v>0</v>
      </c>
      <c r="L61" s="70" t="str">
        <f>IF(VLOOKUP($C61,'Performance Pivot'!$AI:$AV,10,0)="","",VLOOKUP($C61,'Performance Pivot'!$AI:$AV,10,0))</f>
        <v/>
      </c>
      <c r="M61" s="70" t="str">
        <f>IF(VLOOKUP($C61,'Performance Pivot'!$AI:$AV,11,0)="","",VLOOKUP($C61,'Performance Pivot'!$AI:$AV,11,0))</f>
        <v/>
      </c>
      <c r="N61" s="70" t="str">
        <f>IF(VLOOKUP($C61,'Performance Pivot'!$AI:$AV,12,0)="","",VLOOKUP($C61,'Performance Pivot'!$AI:$AV,12,0))</f>
        <v/>
      </c>
      <c r="O61" s="70" t="str">
        <f>IF(VLOOKUP($C61,'Performance Pivot'!$AI:$AW,13,0)="","",VLOOKUP($C61,'Performance Pivot'!$AI:$AW,13,0))</f>
        <v/>
      </c>
      <c r="P61" s="70" t="str">
        <f>IF(VLOOKUP($C61,'Performance Pivot'!$AI:$AW,14,0)="","",VLOOKUP($C61,'Performance Pivot'!$AI:$AW,14,0))</f>
        <v/>
      </c>
      <c r="Q61" s="70" t="str">
        <f>IF(VLOOKUP($C61,'Performance Pivot'!$AI:$AW,15,0)="","",VLOOKUP($C61,'Performance Pivot'!$AI:$AW,15,0))</f>
        <v/>
      </c>
      <c r="R61" s="70" t="str">
        <f>IF(VLOOKUP($C61,'Performance Pivot'!$AI:$AW,15,0)="","",VLOOKUP($C61,'Performance Pivot'!$AI:$AW,15,0))</f>
        <v/>
      </c>
      <c r="S61" s="52"/>
      <c r="T61" s="52"/>
      <c r="U61" s="89">
        <f t="shared" si="24"/>
        <v>42005</v>
      </c>
      <c r="V61" s="70">
        <f>IF(VLOOKUP($U61,'Performance Pivot'!$AZ:$BM,2,0)="","",VLOOKUP($U61,'Performance Pivot'!$AZ:$BM,2,0))</f>
        <v>0.30889268957831367</v>
      </c>
      <c r="W61" s="70">
        <f>IF(VLOOKUP($U61,'Performance Pivot'!$AZ:$BM,3,0)="","",VLOOKUP($U61,'Performance Pivot'!$AZ:$BM,3,0))</f>
        <v>0.26893458242772428</v>
      </c>
      <c r="X61" s="70">
        <f>IF(VLOOKUP($U61,'Performance Pivot'!$AZ:$BM,4,0)="","",VLOOKUP($U61,'Performance Pivot'!$AZ:$BM,4,0))</f>
        <v>0.23242529568249243</v>
      </c>
      <c r="Y61" s="70">
        <f>IF(VLOOKUP($U61,'Performance Pivot'!$AZ:$BM,5,0)="","",VLOOKUP($U61,'Performance Pivot'!$AZ:$BM,5,0))</f>
        <v>0.34958263106812448</v>
      </c>
      <c r="Z61" s="70">
        <f>IF(VLOOKUP($U61,'Performance Pivot'!$AZ:$BM,6,0)="","",VLOOKUP($U61,'Performance Pivot'!$AZ:$BM,6,0))</f>
        <v>0.25259221838422408</v>
      </c>
      <c r="AA61" s="70">
        <f>IF(VLOOKUP($U61,'Performance Pivot'!$AZ:$BM,7,0)="","",VLOOKUP($U61,'Performance Pivot'!$AZ:$BM,7,0))</f>
        <v>0.38818321099202785</v>
      </c>
      <c r="AB61" s="70">
        <f>IF(VLOOKUP($U61,'Performance Pivot'!$AZ:$BM,8,0)="","",VLOOKUP($U61,'Performance Pivot'!$AZ:$BM,8,0))</f>
        <v>0.2587940120363254</v>
      </c>
      <c r="AC61" s="70">
        <f>IF(VLOOKUP($U61,'Performance Pivot'!$AZ:$BM,9,0)="","",VLOOKUP($U61,'Performance Pivot'!$AZ:$BM,9,0))</f>
        <v>0.32286578182284165</v>
      </c>
      <c r="AD61" s="70" t="str">
        <f>IF(VLOOKUP($U61,'Performance Pivot'!$AZ:$BM,10,0)="","",VLOOKUP($U61,'Performance Pivot'!$AZ:$BM,10,0))</f>
        <v/>
      </c>
      <c r="AE61" s="70" t="str">
        <f>IF(VLOOKUP($U61,'Performance Pivot'!$AZ:$BM,11,0)="","",VLOOKUP($U61,'Performance Pivot'!$AZ:$BM,11,0))</f>
        <v/>
      </c>
      <c r="AF61" s="70" t="str">
        <f>IF(VLOOKUP($U61,'Performance Pivot'!$AZ:$BM,12,0)="","",VLOOKUP($U61,'Performance Pivot'!$AZ:$BM,12,0))</f>
        <v/>
      </c>
      <c r="AG61" s="70" t="str">
        <f>IF(VLOOKUP($U61,'Performance Pivot'!$AZ:$BN,13,0)="","",VLOOKUP($U61,'Performance Pivot'!$AZ:$BN,13,0))</f>
        <v/>
      </c>
      <c r="AH61" s="70" t="str">
        <f>IF(VLOOKUP($U61,'Performance Pivot'!$AZ:$BN,14,0)="","",VLOOKUP($U61,'Performance Pivot'!$AZ:$BN,14,0))</f>
        <v/>
      </c>
      <c r="AI61" s="70" t="str">
        <f>IF(VLOOKUP($U61,'Performance Pivot'!$AZ:$BN,15,0)="","",VLOOKUP($U61,'Performance Pivot'!$AZ:$BN,15,0))</f>
        <v/>
      </c>
      <c r="AJ61" s="70" t="str">
        <f>IF(VLOOKUP($U61,'Performance Pivot'!$AZ:$BN,15,0)="","",VLOOKUP($U61,'Performance Pivot'!$AZ:$BN,15,0))</f>
        <v/>
      </c>
      <c r="AK61" s="52"/>
      <c r="AL61" s="52"/>
      <c r="AM61" s="52"/>
      <c r="AN61" s="52"/>
      <c r="AO61" s="52"/>
      <c r="AP61" s="52"/>
      <c r="AQ61" s="52"/>
      <c r="AR61" s="52"/>
      <c r="AS61" s="52"/>
      <c r="AT61" s="52"/>
      <c r="AU61" s="52"/>
      <c r="AV61" s="52"/>
      <c r="AW61" s="52"/>
    </row>
    <row r="62" spans="3:49" s="71" customFormat="1" ht="21" customHeight="1">
      <c r="C62" s="68">
        <f t="shared" si="23"/>
        <v>42036</v>
      </c>
      <c r="D62" s="70">
        <f>IF(VLOOKUP($C62,'Performance Pivot'!$AI:$AV,2,0)="","",VLOOKUP($C62,'Performance Pivot'!$AI:$AV,2,0))</f>
        <v>0.06</v>
      </c>
      <c r="E62" s="70">
        <f>IF(VLOOKUP($C62,'Performance Pivot'!$AI:$AV,3,0)="","",VLOOKUP($C62,'Performance Pivot'!$AI:$AV,3,0))</f>
        <v>0.03</v>
      </c>
      <c r="F62" s="70">
        <f>IF(VLOOKUP($C62,'Performance Pivot'!$AI:$AV,4,0)="","",VLOOKUP($C62,'Performance Pivot'!$AI:$AV,4,0))</f>
        <v>0.01</v>
      </c>
      <c r="G62" s="70">
        <f>IF(VLOOKUP($C62,'Performance Pivot'!$AI:$AV,5,0)="","",VLOOKUP($C62,'Performance Pivot'!$AI:$AV,5,0))</f>
        <v>0.02</v>
      </c>
      <c r="H62" s="70">
        <f>IF(VLOOKUP($C62,'Performance Pivot'!$AI:$AV,6,0)="","",VLOOKUP($C62,'Performance Pivot'!$AI:$AV,6,0))</f>
        <v>0.01</v>
      </c>
      <c r="I62" s="70">
        <f>IF(VLOOKUP($C62,'Performance Pivot'!$AI:$AV,7,0)="","",VLOOKUP($C62,'Performance Pivot'!$AI:$AV,7,0))</f>
        <v>0.02</v>
      </c>
      <c r="J62" s="70">
        <f>IF(VLOOKUP($C62,'Performance Pivot'!$AI:$AV,8,0)="","",VLOOKUP($C62,'Performance Pivot'!$AI:$AV,8,0))</f>
        <v>0</v>
      </c>
      <c r="K62" s="70">
        <f>IF(VLOOKUP($C62,'Performance Pivot'!$AI:$AV,9,0)="","",VLOOKUP($C62,'Performance Pivot'!$AI:$AV,9,0))</f>
        <v>0</v>
      </c>
      <c r="L62" s="70">
        <f>IF(VLOOKUP($C62,'Performance Pivot'!$AI:$AV,10,0)="","",VLOOKUP($C62,'Performance Pivot'!$AI:$AV,10,0))</f>
        <v>0</v>
      </c>
      <c r="M62" s="70">
        <f>IF(VLOOKUP($C62,'Performance Pivot'!$AI:$AV,11,0)="","",VLOOKUP($C62,'Performance Pivot'!$AI:$AV,11,0))</f>
        <v>0</v>
      </c>
      <c r="N62" s="70" t="str">
        <f>IF(VLOOKUP($C62,'Performance Pivot'!$AI:$AV,12,0)="","",VLOOKUP($C62,'Performance Pivot'!$AI:$AV,12,0))</f>
        <v/>
      </c>
      <c r="O62" s="70" t="str">
        <f>IF(VLOOKUP($C62,'Performance Pivot'!$AI:$AW,13,0)="","",VLOOKUP($C62,'Performance Pivot'!$AI:$AW,13,0))</f>
        <v/>
      </c>
      <c r="P62" s="70" t="str">
        <f>IF(VLOOKUP($C62,'Performance Pivot'!$AI:$AW,14,0)="","",VLOOKUP($C62,'Performance Pivot'!$AI:$AW,14,0))</f>
        <v/>
      </c>
      <c r="Q62" s="70" t="str">
        <f>IF(VLOOKUP($C62,'Performance Pivot'!$AI:$AW,15,0)="","",VLOOKUP($C62,'Performance Pivot'!$AI:$AW,15,0))</f>
        <v/>
      </c>
      <c r="R62" s="70" t="str">
        <f>IF(VLOOKUP($C62,'Performance Pivot'!$AI:$AW,15,0)="","",VLOOKUP($C62,'Performance Pivot'!$AI:$AW,15,0))</f>
        <v/>
      </c>
      <c r="S62" s="52"/>
      <c r="T62" s="52"/>
      <c r="U62" s="89">
        <f t="shared" si="24"/>
        <v>42036</v>
      </c>
      <c r="V62" s="70">
        <f>IF(VLOOKUP($U62,'Performance Pivot'!$AZ:$BM,2,0)="","",VLOOKUP($U62,'Performance Pivot'!$AZ:$BM,2,0))</f>
        <v>0.37509790134922222</v>
      </c>
      <c r="W62" s="70">
        <f>IF(VLOOKUP($U62,'Performance Pivot'!$AZ:$BM,3,0)="","",VLOOKUP($U62,'Performance Pivot'!$AZ:$BM,3,0))</f>
        <v>0.33109033726646836</v>
      </c>
      <c r="X62" s="70">
        <f>IF(VLOOKUP($U62,'Performance Pivot'!$AZ:$BM,4,0)="","",VLOOKUP($U62,'Performance Pivot'!$AZ:$BM,4,0))</f>
        <v>0.29686194762880258</v>
      </c>
      <c r="Y62" s="70">
        <f>IF(VLOOKUP($U62,'Performance Pivot'!$AZ:$BM,5,0)="","",VLOOKUP($U62,'Performance Pivot'!$AZ:$BM,5,0))</f>
        <v>0.4628878881115509</v>
      </c>
      <c r="Z62" s="70">
        <f>IF(VLOOKUP($U62,'Performance Pivot'!$AZ:$BM,6,0)="","",VLOOKUP($U62,'Performance Pivot'!$AZ:$BM,6,0))</f>
        <v>0.36601522768750611</v>
      </c>
      <c r="AA62" s="70">
        <f>IF(VLOOKUP($U62,'Performance Pivot'!$AZ:$BM,7,0)="","",VLOOKUP($U62,'Performance Pivot'!$AZ:$BM,7,0))</f>
        <v>0.47895038457831862</v>
      </c>
      <c r="AB62" s="70">
        <f>IF(VLOOKUP($U62,'Performance Pivot'!$AZ:$BM,8,0)="","",VLOOKUP($U62,'Performance Pivot'!$AZ:$BM,8,0))</f>
        <v>0.36591657761725022</v>
      </c>
      <c r="AC62" s="70">
        <f>IF(VLOOKUP($U62,'Performance Pivot'!$AZ:$BM,9,0)="","",VLOOKUP($U62,'Performance Pivot'!$AZ:$BM,9,0))</f>
        <v>0.40140355931533839</v>
      </c>
      <c r="AD62" s="70">
        <f>IF(VLOOKUP($U62,'Performance Pivot'!$AZ:$BM,10,0)="","",VLOOKUP($U62,'Performance Pivot'!$AZ:$BM,10,0))</f>
        <v>0.42664858111790005</v>
      </c>
      <c r="AE62" s="70">
        <f>IF(VLOOKUP($U62,'Performance Pivot'!$AZ:$BM,11,0)="","",VLOOKUP($U62,'Performance Pivot'!$AZ:$BM,11,0))</f>
        <v>0.42477568878286337</v>
      </c>
      <c r="AF62" s="70" t="str">
        <f>IF(VLOOKUP($U62,'Performance Pivot'!$AZ:$BM,12,0)="","",VLOOKUP($U62,'Performance Pivot'!$AZ:$BM,12,0))</f>
        <v/>
      </c>
      <c r="AG62" s="70" t="str">
        <f>IF(VLOOKUP($U62,'Performance Pivot'!$AZ:$BN,13,0)="","",VLOOKUP($U62,'Performance Pivot'!$AZ:$BN,13,0))</f>
        <v/>
      </c>
      <c r="AH62" s="70" t="str">
        <f>IF(VLOOKUP($U62,'Performance Pivot'!$AZ:$BN,14,0)="","",VLOOKUP($U62,'Performance Pivot'!$AZ:$BN,14,0))</f>
        <v/>
      </c>
      <c r="AI62" s="70" t="str">
        <f>IF(VLOOKUP($U62,'Performance Pivot'!$AZ:$BN,15,0)="","",VLOOKUP($U62,'Performance Pivot'!$AZ:$BN,15,0))</f>
        <v/>
      </c>
      <c r="AJ62" s="70" t="str">
        <f>IF(VLOOKUP($U62,'Performance Pivot'!$AZ:$BN,15,0)="","",VLOOKUP($U62,'Performance Pivot'!$AZ:$BN,15,0))</f>
        <v/>
      </c>
      <c r="AK62" s="52"/>
      <c r="AL62" s="52"/>
      <c r="AM62" s="52"/>
      <c r="AN62" s="52"/>
      <c r="AO62" s="52"/>
      <c r="AP62" s="52"/>
      <c r="AQ62" s="52"/>
      <c r="AR62" s="52"/>
      <c r="AS62" s="52"/>
      <c r="AT62" s="52"/>
      <c r="AU62" s="52"/>
      <c r="AV62" s="52"/>
      <c r="AW62" s="52"/>
    </row>
    <row r="63" spans="3:49" s="71" customFormat="1" ht="21" customHeight="1">
      <c r="C63" s="68">
        <f t="shared" si="23"/>
        <v>42064</v>
      </c>
      <c r="D63" s="70">
        <f>IF(VLOOKUP($C63,'Performance Pivot'!$AI:$AV,2,0)="","",VLOOKUP($C63,'Performance Pivot'!$AI:$AV,2,0))</f>
        <v>0.06</v>
      </c>
      <c r="E63" s="70">
        <f>IF(VLOOKUP($C63,'Performance Pivot'!$AI:$AV,3,0)="","",VLOOKUP($C63,'Performance Pivot'!$AI:$AV,3,0))</f>
        <v>0.03</v>
      </c>
      <c r="F63" s="70">
        <f>IF(VLOOKUP($C63,'Performance Pivot'!$AI:$AV,4,0)="","",VLOOKUP($C63,'Performance Pivot'!$AI:$AV,4,0))</f>
        <v>0.01</v>
      </c>
      <c r="G63" s="70">
        <f>IF(VLOOKUP($C63,'Performance Pivot'!$AI:$AV,5,0)="","",VLOOKUP($C63,'Performance Pivot'!$AI:$AV,5,0))</f>
        <v>0.04</v>
      </c>
      <c r="H63" s="70">
        <f>IF(VLOOKUP($C63,'Performance Pivot'!$AI:$AV,6,0)="","",VLOOKUP($C63,'Performance Pivot'!$AI:$AV,6,0))</f>
        <v>0.01</v>
      </c>
      <c r="I63" s="70">
        <f>IF(VLOOKUP($C63,'Performance Pivot'!$AI:$AV,7,0)="","",VLOOKUP($C63,'Performance Pivot'!$AI:$AV,7,0))</f>
        <v>0.03</v>
      </c>
      <c r="J63" s="70">
        <f>IF(VLOOKUP($C63,'Performance Pivot'!$AI:$AV,8,0)="","",VLOOKUP($C63,'Performance Pivot'!$AI:$AV,8,0))</f>
        <v>0</v>
      </c>
      <c r="K63" s="70">
        <f>IF(VLOOKUP($C63,'Performance Pivot'!$AI:$AV,9,0)="","",VLOOKUP($C63,'Performance Pivot'!$AI:$AV,9,0))</f>
        <v>0</v>
      </c>
      <c r="L63" s="70">
        <f>IF(VLOOKUP($C63,'Performance Pivot'!$AI:$AV,10,0)="","",VLOOKUP($C63,'Performance Pivot'!$AI:$AV,10,0))</f>
        <v>0</v>
      </c>
      <c r="M63" s="70">
        <f>IF(VLOOKUP($C63,'Performance Pivot'!$AI:$AV,11,0)="","",VLOOKUP($C63,'Performance Pivot'!$AI:$AV,11,0))</f>
        <v>0</v>
      </c>
      <c r="N63" s="70" t="str">
        <f>IF(VLOOKUP($C63,'Performance Pivot'!$AI:$AV,12,0)="","",VLOOKUP($C63,'Performance Pivot'!$AI:$AV,12,0))</f>
        <v/>
      </c>
      <c r="O63" s="70" t="str">
        <f>IF(VLOOKUP($C63,'Performance Pivot'!$AI:$AW,13,0)="","",VLOOKUP($C63,'Performance Pivot'!$AI:$AW,13,0))</f>
        <v/>
      </c>
      <c r="P63" s="70" t="str">
        <f>IF(VLOOKUP($C63,'Performance Pivot'!$AI:$AW,14,0)="","",VLOOKUP($C63,'Performance Pivot'!$AI:$AW,14,0))</f>
        <v/>
      </c>
      <c r="Q63" s="70" t="str">
        <f>IF(VLOOKUP($C63,'Performance Pivot'!$AI:$AW,15,0)="","",VLOOKUP($C63,'Performance Pivot'!$AI:$AW,15,0))</f>
        <v/>
      </c>
      <c r="R63" s="70" t="str">
        <f>IF(VLOOKUP($C63,'Performance Pivot'!$AI:$AW,15,0)="","",VLOOKUP($C63,'Performance Pivot'!$AI:$AW,15,0))</f>
        <v/>
      </c>
      <c r="S63" s="52"/>
      <c r="T63" s="52"/>
      <c r="U63" s="89">
        <f t="shared" si="24"/>
        <v>42064</v>
      </c>
      <c r="V63" s="70">
        <f>IF(VLOOKUP($U63,'Performance Pivot'!$AZ:$BM,2,0)="","",VLOOKUP($U63,'Performance Pivot'!$AZ:$BM,2,0))</f>
        <v>0.24624736620406251</v>
      </c>
      <c r="W63" s="70">
        <f>IF(VLOOKUP($U63,'Performance Pivot'!$AZ:$BM,3,0)="","",VLOOKUP($U63,'Performance Pivot'!$AZ:$BM,3,0))</f>
        <v>0.2350412122804334</v>
      </c>
      <c r="X63" s="70">
        <f>IF(VLOOKUP($U63,'Performance Pivot'!$AZ:$BM,4,0)="","",VLOOKUP($U63,'Performance Pivot'!$AZ:$BM,4,0))</f>
        <v>0.20174474924296704</v>
      </c>
      <c r="Y63" s="70">
        <f>IF(VLOOKUP($U63,'Performance Pivot'!$AZ:$BM,5,0)="","",VLOOKUP($U63,'Performance Pivot'!$AZ:$BM,5,0))</f>
        <v>0.30818659251385133</v>
      </c>
      <c r="Z63" s="70">
        <f>IF(VLOOKUP($U63,'Performance Pivot'!$AZ:$BM,6,0)="","",VLOOKUP($U63,'Performance Pivot'!$AZ:$BM,6,0))</f>
        <v>0.25815532457058787</v>
      </c>
      <c r="AA63" s="70">
        <f>IF(VLOOKUP($U63,'Performance Pivot'!$AZ:$BM,7,0)="","",VLOOKUP($U63,'Performance Pivot'!$AZ:$BM,7,0))</f>
        <v>0.31914942045061151</v>
      </c>
      <c r="AB63" s="70">
        <f>IF(VLOOKUP($U63,'Performance Pivot'!$AZ:$BM,8,0)="","",VLOOKUP($U63,'Performance Pivot'!$AZ:$BM,8,0))</f>
        <v>0.2411435640508153</v>
      </c>
      <c r="AC63" s="70">
        <f>IF(VLOOKUP($U63,'Performance Pivot'!$AZ:$BM,9,0)="","",VLOOKUP($U63,'Performance Pivot'!$AZ:$BM,9,0))</f>
        <v>0.26875394845934247</v>
      </c>
      <c r="AD63" s="70">
        <f>IF(VLOOKUP($U63,'Performance Pivot'!$AZ:$BM,10,0)="","",VLOOKUP($U63,'Performance Pivot'!$AZ:$BM,10,0))</f>
        <v>0.24192243628197357</v>
      </c>
      <c r="AE63" s="70">
        <f>IF(VLOOKUP($U63,'Performance Pivot'!$AZ:$BM,11,0)="","",VLOOKUP($U63,'Performance Pivot'!$AZ:$BM,11,0))</f>
        <v>0.22750364322074063</v>
      </c>
      <c r="AF63" s="70" t="str">
        <f>IF(VLOOKUP($U63,'Performance Pivot'!$AZ:$BM,12,0)="","",VLOOKUP($U63,'Performance Pivot'!$AZ:$BM,12,0))</f>
        <v/>
      </c>
      <c r="AG63" s="70" t="str">
        <f>IF(VLOOKUP($U63,'Performance Pivot'!$AZ:$BN,13,0)="","",VLOOKUP($U63,'Performance Pivot'!$AZ:$BN,13,0))</f>
        <v/>
      </c>
      <c r="AH63" s="70" t="str">
        <f>IF(VLOOKUP($U63,'Performance Pivot'!$AZ:$BN,14,0)="","",VLOOKUP($U63,'Performance Pivot'!$AZ:$BN,14,0))</f>
        <v/>
      </c>
      <c r="AI63" s="70" t="str">
        <f>IF(VLOOKUP($U63,'Performance Pivot'!$AZ:$BN,15,0)="","",VLOOKUP($U63,'Performance Pivot'!$AZ:$BN,15,0))</f>
        <v/>
      </c>
      <c r="AJ63" s="70" t="str">
        <f>IF(VLOOKUP($U63,'Performance Pivot'!$AZ:$BN,15,0)="","",VLOOKUP($U63,'Performance Pivot'!$AZ:$BN,15,0))</f>
        <v/>
      </c>
      <c r="AK63" s="52"/>
      <c r="AL63" s="52"/>
      <c r="AM63" s="52"/>
      <c r="AN63" s="52"/>
      <c r="AO63" s="52"/>
      <c r="AP63" s="52"/>
      <c r="AQ63" s="52"/>
      <c r="AR63" s="52"/>
      <c r="AS63" s="52"/>
      <c r="AT63" s="52"/>
      <c r="AU63" s="52"/>
      <c r="AV63" s="52"/>
      <c r="AW63" s="52"/>
    </row>
    <row r="64" spans="3:49" s="71" customFormat="1" ht="21" customHeight="1">
      <c r="C64" s="68">
        <f t="shared" si="23"/>
        <v>42095</v>
      </c>
      <c r="D64" s="70">
        <f>IF(VLOOKUP($C64,'Performance Pivot'!$AI:$AV,2,0)="","",VLOOKUP($C64,'Performance Pivot'!$AI:$AV,2,0))</f>
        <v>6.9999999999999993E-2</v>
      </c>
      <c r="E64" s="70">
        <f>IF(VLOOKUP($C64,'Performance Pivot'!$AI:$AV,3,0)="","",VLOOKUP($C64,'Performance Pivot'!$AI:$AV,3,0))</f>
        <v>0.04</v>
      </c>
      <c r="F64" s="70">
        <f>IF(VLOOKUP($C64,'Performance Pivot'!$AI:$AV,4,0)="","",VLOOKUP($C64,'Performance Pivot'!$AI:$AV,4,0))</f>
        <v>0.02</v>
      </c>
      <c r="G64" s="70">
        <f>IF(VLOOKUP($C64,'Performance Pivot'!$AI:$AV,5,0)="","",VLOOKUP($C64,'Performance Pivot'!$AI:$AV,5,0))</f>
        <v>0.05</v>
      </c>
      <c r="H64" s="70">
        <f>IF(VLOOKUP($C64,'Performance Pivot'!$AI:$AV,6,0)="","",VLOOKUP($C64,'Performance Pivot'!$AI:$AV,6,0))</f>
        <v>0.01</v>
      </c>
      <c r="I64" s="70">
        <f>IF(VLOOKUP($C64,'Performance Pivot'!$AI:$AV,7,0)="","",VLOOKUP($C64,'Performance Pivot'!$AI:$AV,7,0))</f>
        <v>0.04</v>
      </c>
      <c r="J64" s="70">
        <f>IF(VLOOKUP($C64,'Performance Pivot'!$AI:$AV,8,0)="","",VLOOKUP($C64,'Performance Pivot'!$AI:$AV,8,0))</f>
        <v>0</v>
      </c>
      <c r="K64" s="70">
        <f>IF(VLOOKUP($C64,'Performance Pivot'!$AI:$AV,9,0)="","",VLOOKUP($C64,'Performance Pivot'!$AI:$AV,9,0))</f>
        <v>0</v>
      </c>
      <c r="L64" s="70">
        <f>IF(VLOOKUP($C64,'Performance Pivot'!$AI:$AV,10,0)="","",VLOOKUP($C64,'Performance Pivot'!$AI:$AV,10,0))</f>
        <v>0</v>
      </c>
      <c r="M64" s="70">
        <f>IF(VLOOKUP($C64,'Performance Pivot'!$AI:$AV,11,0)="","",VLOOKUP($C64,'Performance Pivot'!$AI:$AV,11,0))</f>
        <v>0</v>
      </c>
      <c r="N64" s="70" t="str">
        <f>IF(VLOOKUP($C64,'Performance Pivot'!$AI:$AV,12,0)="","",VLOOKUP($C64,'Performance Pivot'!$AI:$AV,12,0))</f>
        <v/>
      </c>
      <c r="O64" s="70" t="str">
        <f>IF(VLOOKUP($C64,'Performance Pivot'!$AI:$AW,13,0)="","",VLOOKUP($C64,'Performance Pivot'!$AI:$AW,13,0))</f>
        <v/>
      </c>
      <c r="P64" s="70" t="str">
        <f>IF(VLOOKUP($C64,'Performance Pivot'!$AI:$AW,14,0)="","",VLOOKUP($C64,'Performance Pivot'!$AI:$AW,14,0))</f>
        <v/>
      </c>
      <c r="Q64" s="70" t="str">
        <f>IF(VLOOKUP($C64,'Performance Pivot'!$AI:$AW,15,0)="","",VLOOKUP($C64,'Performance Pivot'!$AI:$AW,15,0))</f>
        <v/>
      </c>
      <c r="R64" s="70" t="str">
        <f>IF(VLOOKUP($C64,'Performance Pivot'!$AI:$AW,15,0)="","",VLOOKUP($C64,'Performance Pivot'!$AI:$AW,15,0))</f>
        <v/>
      </c>
      <c r="S64" s="52"/>
      <c r="T64" s="52"/>
      <c r="U64" s="89">
        <f t="shared" si="24"/>
        <v>42095</v>
      </c>
      <c r="V64" s="70">
        <f>IF(VLOOKUP($U64,'Performance Pivot'!$AZ:$BM,2,0)="","",VLOOKUP($U64,'Performance Pivot'!$AZ:$BM,2,0))</f>
        <v>0.23933989322629107</v>
      </c>
      <c r="W64" s="70">
        <f>IF(VLOOKUP($U64,'Performance Pivot'!$AZ:$BM,3,0)="","",VLOOKUP($U64,'Performance Pivot'!$AZ:$BM,3,0))</f>
        <v>0.24403801759736141</v>
      </c>
      <c r="X64" s="70">
        <f>IF(VLOOKUP($U64,'Performance Pivot'!$AZ:$BM,4,0)="","",VLOOKUP($U64,'Performance Pivot'!$AZ:$BM,4,0))</f>
        <v>0.208585835956795</v>
      </c>
      <c r="Y64" s="70">
        <f>IF(VLOOKUP($U64,'Performance Pivot'!$AZ:$BM,5,0)="","",VLOOKUP($U64,'Performance Pivot'!$AZ:$BM,5,0))</f>
        <v>0.33989189299994266</v>
      </c>
      <c r="Z64" s="70">
        <f>IF(VLOOKUP($U64,'Performance Pivot'!$AZ:$BM,6,0)="","",VLOOKUP($U64,'Performance Pivot'!$AZ:$BM,6,0))</f>
        <v>0.25583556738584812</v>
      </c>
      <c r="AA64" s="70">
        <f>IF(VLOOKUP($U64,'Performance Pivot'!$AZ:$BM,7,0)="","",VLOOKUP($U64,'Performance Pivot'!$AZ:$BM,7,0))</f>
        <v>0.3304409769382316</v>
      </c>
      <c r="AB64" s="70">
        <f>IF(VLOOKUP($U64,'Performance Pivot'!$AZ:$BM,8,0)="","",VLOOKUP($U64,'Performance Pivot'!$AZ:$BM,8,0))</f>
        <v>0.26410684425034775</v>
      </c>
      <c r="AC64" s="70">
        <f>IF(VLOOKUP($U64,'Performance Pivot'!$AZ:$BM,9,0)="","",VLOOKUP($U64,'Performance Pivot'!$AZ:$BM,9,0))</f>
        <v>0.33032725000493562</v>
      </c>
      <c r="AD64" s="70">
        <f>IF(VLOOKUP($U64,'Performance Pivot'!$AZ:$BM,10,0)="","",VLOOKUP($U64,'Performance Pivot'!$AZ:$BM,10,0))</f>
        <v>0.34634807051082456</v>
      </c>
      <c r="AE64" s="70">
        <f>IF(VLOOKUP($U64,'Performance Pivot'!$AZ:$BM,11,0)="","",VLOOKUP($U64,'Performance Pivot'!$AZ:$BM,11,0))</f>
        <v>0.3701838683627528</v>
      </c>
      <c r="AF64" s="70" t="str">
        <f>IF(VLOOKUP($U64,'Performance Pivot'!$AZ:$BM,12,0)="","",VLOOKUP($U64,'Performance Pivot'!$AZ:$BM,12,0))</f>
        <v/>
      </c>
      <c r="AG64" s="70" t="str">
        <f>IF(VLOOKUP($U64,'Performance Pivot'!$AZ:$BN,13,0)="","",VLOOKUP($U64,'Performance Pivot'!$AZ:$BN,13,0))</f>
        <v/>
      </c>
      <c r="AH64" s="70" t="str">
        <f>IF(VLOOKUP($U64,'Performance Pivot'!$AZ:$BN,14,0)="","",VLOOKUP($U64,'Performance Pivot'!$AZ:$BN,14,0))</f>
        <v/>
      </c>
      <c r="AI64" s="70" t="str">
        <f>IF(VLOOKUP($U64,'Performance Pivot'!$AZ:$BN,15,0)="","",VLOOKUP($U64,'Performance Pivot'!$AZ:$BN,15,0))</f>
        <v/>
      </c>
      <c r="AJ64" s="70" t="str">
        <f>IF(VLOOKUP($U64,'Performance Pivot'!$AZ:$BN,15,0)="","",VLOOKUP($U64,'Performance Pivot'!$AZ:$BN,15,0))</f>
        <v/>
      </c>
      <c r="AK64" s="52"/>
      <c r="AL64" s="52"/>
      <c r="AM64" s="52"/>
      <c r="AN64" s="52"/>
      <c r="AO64" s="52"/>
      <c r="AP64" s="52"/>
      <c r="AQ64" s="52"/>
      <c r="AR64" s="52"/>
      <c r="AS64" s="52"/>
      <c r="AT64" s="52"/>
      <c r="AU64" s="52"/>
      <c r="AV64" s="52"/>
      <c r="AW64" s="52"/>
    </row>
    <row r="65" spans="3:49" s="71" customFormat="1" ht="21" customHeight="1">
      <c r="C65" s="68">
        <f t="shared" si="23"/>
        <v>42125</v>
      </c>
      <c r="D65" s="70">
        <f>IF(VLOOKUP($C65,'Performance Pivot'!$AI:$AV,2,0)="","",VLOOKUP($C65,'Performance Pivot'!$AI:$AV,2,0))</f>
        <v>6.9999999999999993E-2</v>
      </c>
      <c r="E65" s="70">
        <f>IF(VLOOKUP($C65,'Performance Pivot'!$AI:$AV,3,0)="","",VLOOKUP($C65,'Performance Pivot'!$AI:$AV,3,0))</f>
        <v>0.04</v>
      </c>
      <c r="F65" s="70">
        <f>IF(VLOOKUP($C65,'Performance Pivot'!$AI:$AV,4,0)="","",VLOOKUP($C65,'Performance Pivot'!$AI:$AV,4,0))</f>
        <v>0.02</v>
      </c>
      <c r="G65" s="70">
        <f>IF(VLOOKUP($C65,'Performance Pivot'!$AI:$AV,5,0)="","",VLOOKUP($C65,'Performance Pivot'!$AI:$AV,5,0))</f>
        <v>0.05</v>
      </c>
      <c r="H65" s="70">
        <f>IF(VLOOKUP($C65,'Performance Pivot'!$AI:$AV,6,0)="","",VLOOKUP($C65,'Performance Pivot'!$AI:$AV,6,0))</f>
        <v>0.02</v>
      </c>
      <c r="I65" s="70">
        <f>IF(VLOOKUP($C65,'Performance Pivot'!$AI:$AV,7,0)="","",VLOOKUP($C65,'Performance Pivot'!$AI:$AV,7,0))</f>
        <v>0.04</v>
      </c>
      <c r="J65" s="70">
        <f>IF(VLOOKUP($C65,'Performance Pivot'!$AI:$AV,8,0)="","",VLOOKUP($C65,'Performance Pivot'!$AI:$AV,8,0))</f>
        <v>0</v>
      </c>
      <c r="K65" s="70">
        <f>IF(VLOOKUP($C65,'Performance Pivot'!$AI:$AV,9,0)="","",VLOOKUP($C65,'Performance Pivot'!$AI:$AV,9,0))</f>
        <v>0.01</v>
      </c>
      <c r="L65" s="70">
        <f>IF(VLOOKUP($C65,'Performance Pivot'!$AI:$AV,10,0)="","",VLOOKUP($C65,'Performance Pivot'!$AI:$AV,10,0))</f>
        <v>0</v>
      </c>
      <c r="M65" s="70">
        <f>IF(VLOOKUP($C65,'Performance Pivot'!$AI:$AV,11,0)="","",VLOOKUP($C65,'Performance Pivot'!$AI:$AV,11,0))</f>
        <v>0</v>
      </c>
      <c r="N65" s="70">
        <f>IF(VLOOKUP($C65,'Performance Pivot'!$AI:$AV,12,0)="","",VLOOKUP($C65,'Performance Pivot'!$AI:$AV,12,0))</f>
        <v>0</v>
      </c>
      <c r="O65" s="70">
        <f>IF(VLOOKUP($C65,'Performance Pivot'!$AI:$AW,13,0)="","",VLOOKUP($C65,'Performance Pivot'!$AI:$AW,13,0))</f>
        <v>0</v>
      </c>
      <c r="P65" s="70" t="str">
        <f>IF(VLOOKUP($C65,'Performance Pivot'!$AI:$AW,14,0)="","",VLOOKUP($C65,'Performance Pivot'!$AI:$AW,14,0))</f>
        <v/>
      </c>
      <c r="Q65" s="70" t="str">
        <f>IF(VLOOKUP($C65,'Performance Pivot'!$AI:$AW,15,0)="","",VLOOKUP($C65,'Performance Pivot'!$AI:$AW,15,0))</f>
        <v/>
      </c>
      <c r="R65" s="70" t="str">
        <f>IF(VLOOKUP($C65,'Performance Pivot'!$AI:$AW,15,0)="","",VLOOKUP($C65,'Performance Pivot'!$AI:$AW,15,0))</f>
        <v/>
      </c>
      <c r="S65" s="52"/>
      <c r="T65" s="52"/>
      <c r="U65" s="89">
        <f t="shared" si="24"/>
        <v>42125</v>
      </c>
      <c r="V65" s="70">
        <f>IF(VLOOKUP($U65,'Performance Pivot'!$AZ:$BM,2,0)="","",VLOOKUP($U65,'Performance Pivot'!$AZ:$BM,2,0))</f>
        <v>0.2965842527538593</v>
      </c>
      <c r="W65" s="70">
        <f>IF(VLOOKUP($U65,'Performance Pivot'!$AZ:$BM,3,0)="","",VLOOKUP($U65,'Performance Pivot'!$AZ:$BM,3,0))</f>
        <v>0.30042836867161682</v>
      </c>
      <c r="X65" s="70">
        <f>IF(VLOOKUP($U65,'Performance Pivot'!$AZ:$BM,4,0)="","",VLOOKUP($U65,'Performance Pivot'!$AZ:$BM,4,0))</f>
        <v>0.27374010076002175</v>
      </c>
      <c r="Y65" s="70">
        <f>IF(VLOOKUP($U65,'Performance Pivot'!$AZ:$BM,5,0)="","",VLOOKUP($U65,'Performance Pivot'!$AZ:$BM,5,0))</f>
        <v>0.49327434288501731</v>
      </c>
      <c r="Z65" s="70">
        <f>IF(VLOOKUP($U65,'Performance Pivot'!$AZ:$BM,6,0)="","",VLOOKUP($U65,'Performance Pivot'!$AZ:$BM,6,0))</f>
        <v>0.31863415284545782</v>
      </c>
      <c r="AA65" s="70">
        <f>IF(VLOOKUP($U65,'Performance Pivot'!$AZ:$BM,7,0)="","",VLOOKUP($U65,'Performance Pivot'!$AZ:$BM,7,0))</f>
        <v>0.47528073068791138</v>
      </c>
      <c r="AB65" s="70">
        <f>IF(VLOOKUP($U65,'Performance Pivot'!$AZ:$BM,8,0)="","",VLOOKUP($U65,'Performance Pivot'!$AZ:$BM,8,0))</f>
        <v>0.31398920811050257</v>
      </c>
      <c r="AC65" s="70">
        <f>IF(VLOOKUP($U65,'Performance Pivot'!$AZ:$BM,9,0)="","",VLOOKUP($U65,'Performance Pivot'!$AZ:$BM,9,0))</f>
        <v>0.46288452854074513</v>
      </c>
      <c r="AD65" s="70">
        <f>IF(VLOOKUP($U65,'Performance Pivot'!$AZ:$BM,10,0)="","",VLOOKUP($U65,'Performance Pivot'!$AZ:$BM,10,0))</f>
        <v>0.41035236326376257</v>
      </c>
      <c r="AE65" s="70">
        <f>IF(VLOOKUP($U65,'Performance Pivot'!$AZ:$BM,11,0)="","",VLOOKUP($U65,'Performance Pivot'!$AZ:$BM,11,0))</f>
        <v>0.47509371557635022</v>
      </c>
      <c r="AF65" s="70">
        <f>IF(VLOOKUP($U65,'Performance Pivot'!$AZ:$BM,12,0)="","",VLOOKUP($U65,'Performance Pivot'!$AZ:$BM,12,0))</f>
        <v>0.36024783872981575</v>
      </c>
      <c r="AG65" s="70">
        <f>IF(VLOOKUP($U65,'Performance Pivot'!$AZ:$BN,13,0)="","",VLOOKUP($U65,'Performance Pivot'!$AZ:$BN,13,0))</f>
        <v>0.35251960285528322</v>
      </c>
      <c r="AH65" s="70" t="str">
        <f>IF(VLOOKUP($U65,'Performance Pivot'!$AZ:$BN,14,0)="","",VLOOKUP($U65,'Performance Pivot'!$AZ:$BN,14,0))</f>
        <v/>
      </c>
      <c r="AI65" s="70" t="str">
        <f>IF(VLOOKUP($U65,'Performance Pivot'!$AZ:$BN,15,0)="","",VLOOKUP($U65,'Performance Pivot'!$AZ:$BN,15,0))</f>
        <v/>
      </c>
      <c r="AJ65" s="70" t="str">
        <f>IF(VLOOKUP($U65,'Performance Pivot'!$AZ:$BN,15,0)="","",VLOOKUP($U65,'Performance Pivot'!$AZ:$BN,15,0))</f>
        <v/>
      </c>
      <c r="AK65" s="52"/>
      <c r="AL65" s="52"/>
      <c r="AM65" s="52"/>
      <c r="AN65" s="52"/>
      <c r="AO65" s="52"/>
      <c r="AP65" s="52"/>
      <c r="AQ65" s="52"/>
      <c r="AR65" s="52"/>
      <c r="AS65" s="52"/>
      <c r="AT65" s="52"/>
      <c r="AU65" s="52"/>
      <c r="AV65" s="52"/>
      <c r="AW65" s="52"/>
    </row>
    <row r="66" spans="3:49" s="71" customFormat="1" ht="21" customHeight="1">
      <c r="C66" s="68">
        <f t="shared" si="23"/>
        <v>42156</v>
      </c>
      <c r="D66" s="70">
        <f>IF(VLOOKUP($C66,'Performance Pivot'!$AI:$AV,2,0)="","",VLOOKUP($C66,'Performance Pivot'!$AI:$AV,2,0))</f>
        <v>0.08</v>
      </c>
      <c r="E66" s="70">
        <f>IF(VLOOKUP($C66,'Performance Pivot'!$AI:$AV,3,0)="","",VLOOKUP($C66,'Performance Pivot'!$AI:$AV,3,0))</f>
        <v>0.05</v>
      </c>
      <c r="F66" s="70">
        <f>IF(VLOOKUP($C66,'Performance Pivot'!$AI:$AV,4,0)="","",VLOOKUP($C66,'Performance Pivot'!$AI:$AV,4,0))</f>
        <v>0.02</v>
      </c>
      <c r="G66" s="70">
        <f>IF(VLOOKUP($C66,'Performance Pivot'!$AI:$AV,5,0)="","",VLOOKUP($C66,'Performance Pivot'!$AI:$AV,5,0))</f>
        <v>0.06</v>
      </c>
      <c r="H66" s="70">
        <f>IF(VLOOKUP($C66,'Performance Pivot'!$AI:$AV,6,0)="","",VLOOKUP($C66,'Performance Pivot'!$AI:$AV,6,0))</f>
        <v>0.02</v>
      </c>
      <c r="I66" s="70">
        <f>IF(VLOOKUP($C66,'Performance Pivot'!$AI:$AV,7,0)="","",VLOOKUP($C66,'Performance Pivot'!$AI:$AV,7,0))</f>
        <v>0.05</v>
      </c>
      <c r="J66" s="70">
        <f>IF(VLOOKUP($C66,'Performance Pivot'!$AI:$AV,8,0)="","",VLOOKUP($C66,'Performance Pivot'!$AI:$AV,8,0))</f>
        <v>0</v>
      </c>
      <c r="K66" s="70">
        <f>IF(VLOOKUP($C66,'Performance Pivot'!$AI:$AV,9,0)="","",VLOOKUP($C66,'Performance Pivot'!$AI:$AV,9,0))</f>
        <v>0.01</v>
      </c>
      <c r="L66" s="70">
        <f>IF(VLOOKUP($C66,'Performance Pivot'!$AI:$AV,10,0)="","",VLOOKUP($C66,'Performance Pivot'!$AI:$AV,10,0))</f>
        <v>0</v>
      </c>
      <c r="M66" s="70">
        <f>IF(VLOOKUP($C66,'Performance Pivot'!$AI:$AV,11,0)="","",VLOOKUP($C66,'Performance Pivot'!$AI:$AV,11,0))</f>
        <v>0</v>
      </c>
      <c r="N66" s="70">
        <f>IF(VLOOKUP($C66,'Performance Pivot'!$AI:$AV,12,0)="","",VLOOKUP($C66,'Performance Pivot'!$AI:$AV,12,0))</f>
        <v>0</v>
      </c>
      <c r="O66" s="70">
        <f>IF(VLOOKUP($C66,'Performance Pivot'!$AI:$AW,13,0)="","",VLOOKUP($C66,'Performance Pivot'!$AI:$AW,13,0))</f>
        <v>0</v>
      </c>
      <c r="P66" s="70" t="str">
        <f>IF(VLOOKUP($C66,'Performance Pivot'!$AI:$AW,14,0)="","",VLOOKUP($C66,'Performance Pivot'!$AI:$AW,14,0))</f>
        <v/>
      </c>
      <c r="Q66" s="70" t="str">
        <f>IF(VLOOKUP($C66,'Performance Pivot'!$AI:$AW,15,0)="","",VLOOKUP($C66,'Performance Pivot'!$AI:$AW,15,0))</f>
        <v/>
      </c>
      <c r="R66" s="70" t="str">
        <f>IF(VLOOKUP($C66,'Performance Pivot'!$AI:$AW,15,0)="","",VLOOKUP($C66,'Performance Pivot'!$AI:$AW,15,0))</f>
        <v/>
      </c>
      <c r="S66" s="52"/>
      <c r="T66" s="52"/>
      <c r="U66" s="89">
        <f t="shared" si="24"/>
        <v>42156</v>
      </c>
      <c r="V66" s="70">
        <f>IF(VLOOKUP($U66,'Performance Pivot'!$AZ:$BM,2,0)="","",VLOOKUP($U66,'Performance Pivot'!$AZ:$BM,2,0))</f>
        <v>0.30338535723264559</v>
      </c>
      <c r="W66" s="70">
        <f>IF(VLOOKUP($U66,'Performance Pivot'!$AZ:$BM,3,0)="","",VLOOKUP($U66,'Performance Pivot'!$AZ:$BM,3,0))</f>
        <v>0.24921569749780534</v>
      </c>
      <c r="X66" s="70">
        <f>IF(VLOOKUP($U66,'Performance Pivot'!$AZ:$BM,4,0)="","",VLOOKUP($U66,'Performance Pivot'!$AZ:$BM,4,0))</f>
        <v>0.247541736305782</v>
      </c>
      <c r="Y66" s="70">
        <f>IF(VLOOKUP($U66,'Performance Pivot'!$AZ:$BM,5,0)="","",VLOOKUP($U66,'Performance Pivot'!$AZ:$BM,5,0))</f>
        <v>0.37744523114586154</v>
      </c>
      <c r="Z66" s="70">
        <f>IF(VLOOKUP($U66,'Performance Pivot'!$AZ:$BM,6,0)="","",VLOOKUP($U66,'Performance Pivot'!$AZ:$BM,6,0))</f>
        <v>0.3018797523423829</v>
      </c>
      <c r="AA66" s="70">
        <f>IF(VLOOKUP($U66,'Performance Pivot'!$AZ:$BM,7,0)="","",VLOOKUP($U66,'Performance Pivot'!$AZ:$BM,7,0))</f>
        <v>0.45705999571550043</v>
      </c>
      <c r="AB66" s="70">
        <f>IF(VLOOKUP($U66,'Performance Pivot'!$AZ:$BM,8,0)="","",VLOOKUP($U66,'Performance Pivot'!$AZ:$BM,8,0))</f>
        <v>0.2931828874217795</v>
      </c>
      <c r="AC66" s="70">
        <f>IF(VLOOKUP($U66,'Performance Pivot'!$AZ:$BM,9,0)="","",VLOOKUP($U66,'Performance Pivot'!$AZ:$BM,9,0))</f>
        <v>0.4017502773012992</v>
      </c>
      <c r="AD66" s="70">
        <f>IF(VLOOKUP($U66,'Performance Pivot'!$AZ:$BM,10,0)="","",VLOOKUP($U66,'Performance Pivot'!$AZ:$BM,10,0))</f>
        <v>0.37794974169699186</v>
      </c>
      <c r="AE66" s="70">
        <f>IF(VLOOKUP($U66,'Performance Pivot'!$AZ:$BM,11,0)="","",VLOOKUP($U66,'Performance Pivot'!$AZ:$BM,11,0))</f>
        <v>0.40573108482946391</v>
      </c>
      <c r="AF66" s="70">
        <f>IF(VLOOKUP($U66,'Performance Pivot'!$AZ:$BM,12,0)="","",VLOOKUP($U66,'Performance Pivot'!$AZ:$BM,12,0))</f>
        <v>0.29730011879559703</v>
      </c>
      <c r="AG66" s="70">
        <f>IF(VLOOKUP($U66,'Performance Pivot'!$AZ:$BN,13,0)="","",VLOOKUP($U66,'Performance Pivot'!$AZ:$BN,13,0))</f>
        <v>0.34817721656879447</v>
      </c>
      <c r="AH66" s="70" t="str">
        <f>IF(VLOOKUP($U66,'Performance Pivot'!$AZ:$BN,14,0)="","",VLOOKUP($U66,'Performance Pivot'!$AZ:$BN,14,0))</f>
        <v/>
      </c>
      <c r="AI66" s="70" t="str">
        <f>IF(VLOOKUP($U66,'Performance Pivot'!$AZ:$BN,15,0)="","",VLOOKUP($U66,'Performance Pivot'!$AZ:$BN,15,0))</f>
        <v/>
      </c>
      <c r="AJ66" s="70" t="str">
        <f>IF(VLOOKUP($U66,'Performance Pivot'!$AZ:$BN,15,0)="","",VLOOKUP($U66,'Performance Pivot'!$AZ:$BN,15,0))</f>
        <v/>
      </c>
      <c r="AK66" s="52"/>
      <c r="AL66" s="52"/>
      <c r="AM66" s="52"/>
      <c r="AN66" s="52"/>
      <c r="AO66" s="52"/>
      <c r="AP66" s="52"/>
      <c r="AQ66" s="52"/>
      <c r="AR66" s="52"/>
      <c r="AS66" s="52"/>
      <c r="AT66" s="52"/>
      <c r="AU66" s="52"/>
      <c r="AV66" s="52"/>
      <c r="AW66" s="52"/>
    </row>
    <row r="67" spans="3:49" s="71" customFormat="1" ht="21" customHeight="1">
      <c r="C67" s="68">
        <f>C38</f>
        <v>42186</v>
      </c>
      <c r="D67" s="70">
        <f>IF(VLOOKUP($C67,'Performance Pivot'!$AI:$AV,2,0)="","",VLOOKUP($C67,'Performance Pivot'!$AI:$AV,2,0))</f>
        <v>0.09</v>
      </c>
      <c r="E67" s="70">
        <f>IF(VLOOKUP($C67,'Performance Pivot'!$AI:$AV,3,0)="","",VLOOKUP($C67,'Performance Pivot'!$AI:$AV,3,0))</f>
        <v>0.05</v>
      </c>
      <c r="F67" s="70">
        <f>IF(VLOOKUP($C67,'Performance Pivot'!$AI:$AV,4,0)="","",VLOOKUP($C67,'Performance Pivot'!$AI:$AV,4,0))</f>
        <v>0.03</v>
      </c>
      <c r="G67" s="70">
        <f>IF(VLOOKUP($C67,'Performance Pivot'!$AI:$AV,5,0)="","",VLOOKUP($C67,'Performance Pivot'!$AI:$AV,5,0))</f>
        <v>6.9999999999999993E-2</v>
      </c>
      <c r="H67" s="70">
        <f>IF(VLOOKUP($C67,'Performance Pivot'!$AI:$AV,6,0)="","",VLOOKUP($C67,'Performance Pivot'!$AI:$AV,6,0))</f>
        <v>0.02</v>
      </c>
      <c r="I67" s="70">
        <f>IF(VLOOKUP($C67,'Performance Pivot'!$AI:$AV,7,0)="","",VLOOKUP($C67,'Performance Pivot'!$AI:$AV,7,0))</f>
        <v>0.06</v>
      </c>
      <c r="J67" s="70">
        <f>IF(VLOOKUP($C67,'Performance Pivot'!$AI:$AV,8,0)="","",VLOOKUP($C67,'Performance Pivot'!$AI:$AV,8,0))</f>
        <v>0.01</v>
      </c>
      <c r="K67" s="70">
        <f>IF(VLOOKUP($C67,'Performance Pivot'!$AI:$AV,9,0)="","",VLOOKUP($C67,'Performance Pivot'!$AI:$AV,9,0))</f>
        <v>0.02</v>
      </c>
      <c r="L67" s="70">
        <f>IF(VLOOKUP($C67,'Performance Pivot'!$AI:$AV,10,0)="","",VLOOKUP($C67,'Performance Pivot'!$AI:$AV,10,0))</f>
        <v>0</v>
      </c>
      <c r="M67" s="70">
        <f>IF(VLOOKUP($C67,'Performance Pivot'!$AI:$AV,11,0)="","",VLOOKUP($C67,'Performance Pivot'!$AI:$AV,11,0))</f>
        <v>0.01</v>
      </c>
      <c r="N67" s="70">
        <f>IF(VLOOKUP($C67,'Performance Pivot'!$AI:$AV,12,0)="","",VLOOKUP($C67,'Performance Pivot'!$AI:$AV,12,0))</f>
        <v>0</v>
      </c>
      <c r="O67" s="70">
        <f>IF(VLOOKUP($C67,'Performance Pivot'!$AI:$AW,13,0)="","",VLOOKUP($C67,'Performance Pivot'!$AI:$AW,13,0))</f>
        <v>0</v>
      </c>
      <c r="P67" s="70">
        <f>IF(VLOOKUP($C67,'Performance Pivot'!$AI:$AW,14,0)="","",VLOOKUP($C67,'Performance Pivot'!$AI:$AW,14,0))</f>
        <v>0</v>
      </c>
      <c r="Q67" s="70">
        <f>IF(VLOOKUP($C67,'Performance Pivot'!$AI:$AW,15,0)="","",VLOOKUP($C67,'Performance Pivot'!$AI:$AW,15,0))</f>
        <v>0</v>
      </c>
      <c r="R67" s="70">
        <f>IF(VLOOKUP($C67,'Performance Pivot'!$AI:$AW,15,0)="","",VLOOKUP($C67,'Performance Pivot'!$AI:$AW,15,0))</f>
        <v>0</v>
      </c>
      <c r="S67" s="52"/>
      <c r="T67" s="52"/>
      <c r="U67" s="89">
        <f t="shared" si="24"/>
        <v>42186</v>
      </c>
      <c r="V67" s="70">
        <f>IF(VLOOKUP($U67,'Performance Pivot'!$AZ:$BM,2,0)="","",VLOOKUP($U67,'Performance Pivot'!$AZ:$BM,2,0))</f>
        <v>0.25658093354926736</v>
      </c>
      <c r="W67" s="70">
        <f>IF(VLOOKUP($U67,'Performance Pivot'!$AZ:$BM,3,0)="","",VLOOKUP($U67,'Performance Pivot'!$AZ:$BM,3,0))</f>
        <v>0.23781506709480618</v>
      </c>
      <c r="X67" s="70">
        <f>IF(VLOOKUP($U67,'Performance Pivot'!$AZ:$BM,4,0)="","",VLOOKUP($U67,'Performance Pivot'!$AZ:$BM,4,0))</f>
        <v>0.22513608262957416</v>
      </c>
      <c r="Y67" s="70">
        <f>IF(VLOOKUP($U67,'Performance Pivot'!$AZ:$BM,5,0)="","",VLOOKUP($U67,'Performance Pivot'!$AZ:$BM,5,0))</f>
        <v>0.38141332200566042</v>
      </c>
      <c r="Z67" s="70">
        <f>IF(VLOOKUP($U67,'Performance Pivot'!$AZ:$BM,6,0)="","",VLOOKUP($U67,'Performance Pivot'!$AZ:$BM,6,0))</f>
        <v>0.26982672873086178</v>
      </c>
      <c r="AA67" s="70">
        <f>IF(VLOOKUP($U67,'Performance Pivot'!$AZ:$BM,7,0)="","",VLOOKUP($U67,'Performance Pivot'!$AZ:$BM,7,0))</f>
        <v>0.44455584243300594</v>
      </c>
      <c r="AB67" s="70">
        <f>IF(VLOOKUP($U67,'Performance Pivot'!$AZ:$BM,8,0)="","",VLOOKUP($U67,'Performance Pivot'!$AZ:$BM,8,0))</f>
        <v>0.29470062295702215</v>
      </c>
      <c r="AC67" s="70">
        <f>IF(VLOOKUP($U67,'Performance Pivot'!$AZ:$BM,9,0)="","",VLOOKUP($U67,'Performance Pivot'!$AZ:$BM,9,0))</f>
        <v>0.43853310823882075</v>
      </c>
      <c r="AD67" s="70">
        <f>IF(VLOOKUP($U67,'Performance Pivot'!$AZ:$BM,10,0)="","",VLOOKUP($U67,'Performance Pivot'!$AZ:$BM,10,0))</f>
        <v>0.3443009403623542</v>
      </c>
      <c r="AE67" s="70">
        <f>IF(VLOOKUP($U67,'Performance Pivot'!$AZ:$BM,11,0)="","",VLOOKUP($U67,'Performance Pivot'!$AZ:$BM,11,0))</f>
        <v>0.46581296171838044</v>
      </c>
      <c r="AF67" s="70">
        <f>IF(VLOOKUP($U67,'Performance Pivot'!$AZ:$BM,12,0)="","",VLOOKUP($U67,'Performance Pivot'!$AZ:$BM,12,0))</f>
        <v>0.32688664827447222</v>
      </c>
      <c r="AG67" s="70">
        <f>IF(VLOOKUP($U67,'Performance Pivot'!$AZ:$BN,13,0)="","",VLOOKUP($U67,'Performance Pivot'!$AZ:$BN,13,0))</f>
        <v>0.39151815653233318</v>
      </c>
      <c r="AH67" s="70">
        <f>IF(VLOOKUP($U67,'Performance Pivot'!$AZ:$BN,14,0)="","",VLOOKUP($U67,'Performance Pivot'!$AZ:$BN,14,0))</f>
        <v>0.27854082307664707</v>
      </c>
      <c r="AI67" s="70">
        <f>IF(VLOOKUP($U67,'Performance Pivot'!$AZ:$BN,15,0)="","",VLOOKUP($U67,'Performance Pivot'!$AZ:$BN,15,0))</f>
        <v>0.29994536957885415</v>
      </c>
      <c r="AJ67" s="70">
        <f>IF(VLOOKUP($U67,'Performance Pivot'!$AZ:$BN,15,0)="","",VLOOKUP($U67,'Performance Pivot'!$AZ:$BN,15,0))</f>
        <v>0.29994536957885415</v>
      </c>
      <c r="AK67" s="52"/>
      <c r="AL67" s="52"/>
      <c r="AM67" s="52"/>
      <c r="AN67" s="52"/>
      <c r="AO67" s="52"/>
      <c r="AP67" s="52"/>
      <c r="AQ67" s="52"/>
      <c r="AR67" s="52"/>
      <c r="AS67" s="52"/>
      <c r="AT67" s="52"/>
      <c r="AU67" s="52"/>
      <c r="AV67" s="52"/>
      <c r="AW67" s="52"/>
    </row>
    <row r="68" spans="3:49" s="71" customFormat="1" ht="21" customHeight="1">
      <c r="C68" s="73">
        <f t="shared" si="23"/>
        <v>42217</v>
      </c>
      <c r="D68" s="75">
        <f>IF(VLOOKUP($C68,'Performance Pivot'!$AI:$AV,2,0)="","",VLOOKUP($C68,'Performance Pivot'!$AI:$AV,2,0))</f>
        <v>0.09</v>
      </c>
      <c r="E68" s="75">
        <f>IF(VLOOKUP($C68,'Performance Pivot'!$AI:$AV,3,0)="","",VLOOKUP($C68,'Performance Pivot'!$AI:$AV,3,0))</f>
        <v>0.05</v>
      </c>
      <c r="F68" s="75">
        <f>IF(VLOOKUP($C68,'Performance Pivot'!$AI:$AV,4,0)="","",VLOOKUP($C68,'Performance Pivot'!$AI:$AV,4,0))</f>
        <v>0.03</v>
      </c>
      <c r="G68" s="75">
        <f>IF(VLOOKUP($C68,'Performance Pivot'!$AI:$AV,5,0)="","",VLOOKUP($C68,'Performance Pivot'!$AI:$AV,5,0))</f>
        <v>6.9999999999999993E-2</v>
      </c>
      <c r="H68" s="75">
        <f>IF(VLOOKUP($C68,'Performance Pivot'!$AI:$AV,6,0)="","",VLOOKUP($C68,'Performance Pivot'!$AI:$AV,6,0))</f>
        <v>0.03</v>
      </c>
      <c r="I68" s="75">
        <f>IF(VLOOKUP($C68,'Performance Pivot'!$AI:$AV,7,0)="","",VLOOKUP($C68,'Performance Pivot'!$AI:$AV,7,0))</f>
        <v>6.9999999999999993E-2</v>
      </c>
      <c r="J68" s="75">
        <f>IF(VLOOKUP($C68,'Performance Pivot'!$AI:$AV,8,0)="","",VLOOKUP($C68,'Performance Pivot'!$AI:$AV,8,0))</f>
        <v>0.01</v>
      </c>
      <c r="K68" s="75">
        <f>IF(VLOOKUP($C68,'Performance Pivot'!$AI:$AV,9,0)="","",VLOOKUP($C68,'Performance Pivot'!$AI:$AV,9,0))</f>
        <v>0.02</v>
      </c>
      <c r="L68" s="75">
        <f>IF(VLOOKUP($C68,'Performance Pivot'!$AI:$AV,10,0)="","",VLOOKUP($C68,'Performance Pivot'!$AI:$AV,10,0))</f>
        <v>0.01</v>
      </c>
      <c r="M68" s="75">
        <f>IF(VLOOKUP($C68,'Performance Pivot'!$AI:$AV,11,0)="","",VLOOKUP($C68,'Performance Pivot'!$AI:$AV,11,0))</f>
        <v>0.01</v>
      </c>
      <c r="N68" s="75">
        <f>IF(VLOOKUP($C68,'Performance Pivot'!$AI:$AV,12,0)="","",VLOOKUP($C68,'Performance Pivot'!$AI:$AV,12,0))</f>
        <v>0</v>
      </c>
      <c r="O68" s="75">
        <f>IF(VLOOKUP($C68,'Performance Pivot'!$AI:$AW,13,0)="","",VLOOKUP($C68,'Performance Pivot'!$AI:$AW,13,0))</f>
        <v>0</v>
      </c>
      <c r="P68" s="75">
        <f>IF(VLOOKUP($C68,'Performance Pivot'!$AI:$AW,14,0)="","",VLOOKUP($C68,'Performance Pivot'!$AI:$AW,14,0))</f>
        <v>0</v>
      </c>
      <c r="Q68" s="75">
        <f>IF(VLOOKUP($C68,'Performance Pivot'!$AI:$AW,15,0)="","",VLOOKUP($C68,'Performance Pivot'!$AI:$AW,15,0))</f>
        <v>0</v>
      </c>
      <c r="R68" s="75">
        <f>IF(VLOOKUP($C68,'Performance Pivot'!$AI:$AW,15,0)="","",VLOOKUP($C68,'Performance Pivot'!$AI:$AW,15,0))</f>
        <v>0</v>
      </c>
      <c r="S68" s="52"/>
      <c r="T68" s="52"/>
      <c r="U68" s="90">
        <f t="shared" si="24"/>
        <v>42217</v>
      </c>
      <c r="V68" s="75">
        <f>IF(VLOOKUP($U68,'Performance Pivot'!$AZ:$BM,2,0)="","",VLOOKUP($U68,'Performance Pivot'!$AZ:$BM,2,0))</f>
        <v>0.30463471212522109</v>
      </c>
      <c r="W68" s="75">
        <f>IF(VLOOKUP($U68,'Performance Pivot'!$AZ:$BM,3,0)="","",VLOOKUP($U68,'Performance Pivot'!$AZ:$BM,3,0))</f>
        <v>0.26327520854775377</v>
      </c>
      <c r="X68" s="75">
        <f>IF(VLOOKUP($U68,'Performance Pivot'!$AZ:$BM,4,0)="","",VLOOKUP($U68,'Performance Pivot'!$AZ:$BM,4,0))</f>
        <v>0.24640160198901975</v>
      </c>
      <c r="Y68" s="75">
        <f>IF(VLOOKUP($U68,'Performance Pivot'!$AZ:$BM,5,0)="","",VLOOKUP($U68,'Performance Pivot'!$AZ:$BM,5,0))</f>
        <v>0.41811443721470221</v>
      </c>
      <c r="Z68" s="75">
        <f>IF(VLOOKUP($U68,'Performance Pivot'!$AZ:$BM,6,0)="","",VLOOKUP($U68,'Performance Pivot'!$AZ:$BM,6,0))</f>
        <v>0.29095237460896417</v>
      </c>
      <c r="AA68" s="75">
        <f>IF(VLOOKUP($U68,'Performance Pivot'!$AZ:$BM,7,0)="","",VLOOKUP($U68,'Performance Pivot'!$AZ:$BM,7,0))</f>
        <v>0.45551493733097737</v>
      </c>
      <c r="AB68" s="75">
        <f>IF(VLOOKUP($U68,'Performance Pivot'!$AZ:$BM,8,0)="","",VLOOKUP($U68,'Performance Pivot'!$AZ:$BM,8,0))</f>
        <v>0.33519594689663679</v>
      </c>
      <c r="AC68" s="75">
        <f>IF(VLOOKUP($U68,'Performance Pivot'!$AZ:$BM,9,0)="","",VLOOKUP($U68,'Performance Pivot'!$AZ:$BM,9,0))</f>
        <v>0.46300077840913079</v>
      </c>
      <c r="AD68" s="75">
        <f>IF(VLOOKUP($U68,'Performance Pivot'!$AZ:$BM,10,0)="","",VLOOKUP($U68,'Performance Pivot'!$AZ:$BM,10,0))</f>
        <v>0.36927772909184731</v>
      </c>
      <c r="AE68" s="75">
        <f>IF(VLOOKUP($U68,'Performance Pivot'!$AZ:$BM,11,0)="","",VLOOKUP($U68,'Performance Pivot'!$AZ:$BM,11,0))</f>
        <v>0.50769512388135862</v>
      </c>
      <c r="AF68" s="75">
        <f>IF(VLOOKUP($U68,'Performance Pivot'!$AZ:$BM,12,0)="","",VLOOKUP($U68,'Performance Pivot'!$AZ:$BM,12,0))</f>
        <v>0.40300187186630548</v>
      </c>
      <c r="AG68" s="75">
        <f>IF(VLOOKUP($U68,'Performance Pivot'!$AZ:$BN,13,0)="","",VLOOKUP($U68,'Performance Pivot'!$AZ:$BN,13,0))</f>
        <v>0.49237611700963357</v>
      </c>
      <c r="AH68" s="75">
        <f>IF(VLOOKUP($U68,'Performance Pivot'!$AZ:$BN,14,0)="","",VLOOKUP($U68,'Performance Pivot'!$AZ:$BN,14,0))</f>
        <v>0.31858315423231492</v>
      </c>
      <c r="AI68" s="75">
        <f>IF(VLOOKUP($U68,'Performance Pivot'!$AZ:$BN,15,0)="","",VLOOKUP($U68,'Performance Pivot'!$AZ:$BN,15,0))</f>
        <v>0.44362147772809724</v>
      </c>
      <c r="AJ68" s="75">
        <f>IF(VLOOKUP($U68,'Performance Pivot'!$AZ:$BN,15,0)="","",VLOOKUP($U68,'Performance Pivot'!$AZ:$BN,15,0))</f>
        <v>0.44362147772809724</v>
      </c>
      <c r="AK68" s="52"/>
      <c r="AL68" s="52"/>
      <c r="AM68" s="52"/>
      <c r="AN68" s="52"/>
      <c r="AO68" s="52"/>
      <c r="AP68" s="52"/>
      <c r="AQ68" s="52"/>
      <c r="AR68" s="52"/>
      <c r="AS68" s="52"/>
      <c r="AT68" s="52"/>
      <c r="AU68" s="52"/>
      <c r="AV68" s="52"/>
      <c r="AW68" s="52"/>
    </row>
    <row r="69" spans="3:49" hidden="1">
      <c r="C69" s="76"/>
      <c r="D69" s="79">
        <v>0.1</v>
      </c>
      <c r="E69" s="79"/>
      <c r="F69" s="79"/>
      <c r="G69" s="79"/>
      <c r="H69" s="79"/>
      <c r="I69" s="79"/>
      <c r="J69" s="79"/>
      <c r="K69" s="79"/>
      <c r="L69" s="79"/>
      <c r="M69" s="79"/>
      <c r="N69" s="79"/>
      <c r="O69" s="79"/>
      <c r="P69" s="79"/>
      <c r="Q69" s="79"/>
      <c r="R69" s="79"/>
      <c r="S69" s="67"/>
      <c r="T69" s="67"/>
      <c r="V69" s="80" t="e">
        <f>IF(VLOOKUP($U69,'Performance Pivot'!$AZ:$BM,2,0)="","",VLOOKUP($U69,'Performance Pivot'!$AZ:$BM,2,0))</f>
        <v>#N/A</v>
      </c>
      <c r="W69" s="80" t="e">
        <f>IF(VLOOKUP($U69,'Performance Pivot'!$AZ:$BM,3,0)="","",VLOOKUP($U69,'Performance Pivot'!$AZ:$BM,3,0))</f>
        <v>#N/A</v>
      </c>
      <c r="X69" s="80" t="e">
        <f>IF(VLOOKUP($U69,'Performance Pivot'!$AZ:$BM,4,0)="","",VLOOKUP($U69,'Performance Pivot'!$AZ:$BM,4,0))</f>
        <v>#N/A</v>
      </c>
      <c r="Y69" s="80" t="e">
        <f>IF(VLOOKUP($U69,'Performance Pivot'!$AZ:$BM,5,0)="","",VLOOKUP($U69,'Performance Pivot'!$AZ:$BM,5,0))</f>
        <v>#N/A</v>
      </c>
      <c r="Z69" s="80" t="e">
        <f>IF(VLOOKUP($U69,'Performance Pivot'!$AZ:$BM,6,0)="","",VLOOKUP($U69,'Performance Pivot'!$AZ:$BM,6,0))</f>
        <v>#N/A</v>
      </c>
      <c r="AA69" s="80" t="e">
        <f>IF(VLOOKUP($U69,'Performance Pivot'!$AZ:$BM,7,0)="","",VLOOKUP($U69,'Performance Pivot'!$AZ:$BM,7,0))</f>
        <v>#N/A</v>
      </c>
      <c r="AB69" s="80" t="e">
        <f>IF(VLOOKUP($U69,'Performance Pivot'!$AZ:$BM,8,0)="","",VLOOKUP($U69,'Performance Pivot'!$AZ:$BM,8,0))</f>
        <v>#N/A</v>
      </c>
      <c r="AC69" s="80" t="e">
        <f>IF(VLOOKUP($U69,'Performance Pivot'!$AZ:$BM,9,0)="","",VLOOKUP($U69,'Performance Pivot'!$AZ:$BM,9,0))</f>
        <v>#N/A</v>
      </c>
      <c r="AD69" s="80" t="e">
        <f>IF(VLOOKUP($U69,'Performance Pivot'!$AZ:$BM,10,0)="","",VLOOKUP($U69,'Performance Pivot'!$AZ:$BM,10,0))</f>
        <v>#N/A</v>
      </c>
      <c r="AE69" s="80" t="e">
        <f>IF(VLOOKUP($U69,'Performance Pivot'!$AZ:$BM,11,0)="","",VLOOKUP($U69,'Performance Pivot'!$AZ:$BM,11,0))</f>
        <v>#N/A</v>
      </c>
      <c r="AF69" s="80" t="e">
        <f>IF(VLOOKUP($U69,'Performance Pivot'!$AZ:$BM,12,0)="","",VLOOKUP($U69,'Performance Pivot'!$AZ:$BM,12,0))</f>
        <v>#N/A</v>
      </c>
      <c r="AG69" s="80"/>
      <c r="AH69" s="80"/>
      <c r="AI69" s="80"/>
      <c r="AJ69" s="80" t="e">
        <f>IF(VLOOKUP($U69,'Performance Pivot'!$AZ:$BM,14,0)="","",VLOOKUP($U69,'Performance Pivot'!$AZ:$BM,14,0))</f>
        <v>#N/A</v>
      </c>
    </row>
    <row r="70" spans="3:49">
      <c r="C70" s="76"/>
      <c r="D70" s="81">
        <f>IF(D47='Performance Pivot'!D17,1,0)</f>
        <v>1</v>
      </c>
      <c r="E70" s="81">
        <f>IF(E47='Performance Pivot'!E17,1,0)</f>
        <v>1</v>
      </c>
      <c r="F70" s="81">
        <f>IF(F47='Performance Pivot'!F17,1,0)</f>
        <v>1</v>
      </c>
      <c r="G70" s="81">
        <f>IF(G47='Performance Pivot'!G17,1,0)</f>
        <v>1</v>
      </c>
      <c r="H70" s="81">
        <f>IF(H47='Performance Pivot'!H17,1,0)</f>
        <v>1</v>
      </c>
      <c r="I70" s="81">
        <f>IF(I47='Performance Pivot'!I17,1,0)</f>
        <v>1</v>
      </c>
      <c r="J70" s="81">
        <f>IF(J47='Performance Pivot'!J17,1,0)</f>
        <v>1</v>
      </c>
      <c r="K70" s="81">
        <f>IF(K47='Performance Pivot'!K17,1,0)</f>
        <v>1</v>
      </c>
      <c r="L70" s="81">
        <f>IF(L47='Performance Pivot'!L17,1,0)</f>
        <v>1</v>
      </c>
      <c r="M70" s="81">
        <f>IF(M47='Performance Pivot'!M17,1,0)</f>
        <v>1</v>
      </c>
      <c r="N70" s="81">
        <f>IF(N47='Performance Pivot'!N17,1,0)</f>
        <v>1</v>
      </c>
      <c r="O70" s="81"/>
      <c r="P70" s="81"/>
      <c r="Q70" s="81"/>
      <c r="R70" s="79"/>
      <c r="S70" s="67"/>
      <c r="T70" s="67"/>
      <c r="U70" s="47"/>
      <c r="V70" s="47"/>
      <c r="W70" s="47"/>
      <c r="X70" s="47"/>
      <c r="Y70" s="47"/>
      <c r="Z70" s="47"/>
      <c r="AA70" s="47"/>
      <c r="AB70" s="47"/>
      <c r="AC70" s="47"/>
      <c r="AD70" s="47"/>
      <c r="AE70" s="47"/>
      <c r="AF70" s="47"/>
      <c r="AG70" s="47"/>
      <c r="AH70" s="47"/>
      <c r="AI70" s="47"/>
      <c r="AJ70" s="47"/>
      <c r="AK70" s="47"/>
      <c r="AL70" s="47"/>
    </row>
  </sheetData>
  <mergeCells count="4">
    <mergeCell ref="C15:R15"/>
    <mergeCell ref="U15:AJ15"/>
    <mergeCell ref="C44:R44"/>
    <mergeCell ref="U44:AJ44"/>
  </mergeCells>
  <conditionalFormatting sqref="D69">
    <cfRule type="dataBar" priority="15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{71313B37-C41B-4E33-8246-EAB640BF00E1}</x14:id>
        </ext>
      </extLst>
    </cfRule>
  </conditionalFormatting>
  <conditionalFormatting sqref="D70:Q70">
    <cfRule type="cellIs" dxfId="120" priority="1" operator="equal">
      <formula>1</formula>
    </cfRule>
  </conditionalFormatting>
  <conditionalFormatting sqref="E69:R69">
    <cfRule type="dataBar" priority="16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{B8A18F1B-1D59-4ED1-A0AA-93E72B9B0B8E}</x14:id>
        </ext>
      </extLst>
    </cfRule>
  </conditionalFormatting>
  <conditionalFormatting sqref="D69:R69">
    <cfRule type="dataBar" priority="18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{B2112622-669B-445D-99BA-B25857EFC3CB}</x14:id>
        </ext>
      </extLst>
    </cfRule>
  </conditionalFormatting>
  <conditionalFormatting sqref="D41:R41">
    <cfRule type="dataBar" priority="20">
      <dataBar>
        <cfvo type="min"/>
        <cfvo type="max"/>
        <color theme="3" tint="0.59999389629810485"/>
      </dataBar>
      <extLst>
        <ext xmlns:x14="http://schemas.microsoft.com/office/spreadsheetml/2009/9/main" uri="{B025F937-C7B1-47D3-B67F-A62EFF666E3E}">
          <x14:id>{E43E9214-11BE-442F-83A9-2F4F79093CCC}</x14:id>
        </ext>
      </extLst>
    </cfRule>
  </conditionalFormatting>
  <conditionalFormatting sqref="V41:AJ41">
    <cfRule type="dataBar" priority="25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{11BE0062-90F8-4B06-BDCA-5E7CFF72AC51}</x14:id>
        </ext>
      </extLst>
    </cfRule>
  </conditionalFormatting>
  <conditionalFormatting sqref="V40:AI40">
    <cfRule type="dataBar" priority="27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{1387F7A8-D797-4F48-9082-5F268F8B9A09}</x14:id>
        </ext>
      </extLst>
    </cfRule>
  </conditionalFormatting>
  <conditionalFormatting sqref="AJ19:AJ40 V19:AI39">
    <cfRule type="dataBar" priority="29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{310E3DDE-B803-4943-98D5-14AA8D07FD3B}</x14:id>
        </ext>
      </extLst>
    </cfRule>
  </conditionalFormatting>
  <conditionalFormatting sqref="D19:R39">
    <cfRule type="dataBar" priority="31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{ABF627F4-E84A-48E2-80DA-B76DFD01E579}</x14:id>
        </ext>
      </extLst>
    </cfRule>
  </conditionalFormatting>
  <conditionalFormatting sqref="D48:R68">
    <cfRule type="dataBar" priority="32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{2F268727-04AD-495A-A1E7-BDA0FA8ACAD8}</x14:id>
        </ext>
      </extLst>
    </cfRule>
  </conditionalFormatting>
  <conditionalFormatting sqref="V48:AJ68">
    <cfRule type="dataBar" priority="33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{D6A5542D-40A2-42FD-9DD4-16FCF0FC8C66}</x14:id>
        </ext>
      </extLst>
    </cfRule>
  </conditionalFormatting>
  <dataValidations count="2">
    <dataValidation type="list" allowBlank="1" showInputMessage="1" showErrorMessage="1" sqref="AP1">
      <formula1>"Yes, No"</formula1>
    </dataValidation>
    <dataValidation type="list" allowBlank="1" showInputMessage="1" showErrorMessage="1" sqref="AN1">
      <formula1>"PROD, DEV"</formula1>
    </dataValidation>
  </dataValidations>
  <pageMargins left="0.25" right="0.25" top="0.255" bottom="0.25" header="0.1" footer="0.1"/>
  <pageSetup scale="44" orientation="landscape" r:id="rId1"/>
  <headerFooter scaleWithDoc="0">
    <oddHeader>&amp;L&amp;G&amp;R&amp;"-,Bold"&amp;10&amp;K2E398A
&amp;C&amp;"-,Bold"&amp;15&amp;K2E398A
Deal Surveillance Summary: 8/2015</oddHeader>
    <oddFooter xml:space="preserve">&amp;L&amp;10&amp;K2E398AReport created on &amp;D &amp;T&amp;C&amp;G
</oddFooter>
  </headerFooter>
  <colBreaks count="1" manualBreakCount="1">
    <brk id="38" max="1048575" man="1"/>
  </colBreaks>
  <drawing r:id="rId2"/>
  <legacyDrawingHF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313B37-C41B-4E33-8246-EAB640BF00E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D69</xm:sqref>
        </x14:conditionalFormatting>
        <x14:conditionalFormatting xmlns:xm="http://schemas.microsoft.com/office/excel/2006/main">
          <x14:cfRule type="dataBar" id="{B8A18F1B-1D59-4ED1-A0AA-93E72B9B0B8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E69:R69</xm:sqref>
        </x14:conditionalFormatting>
        <x14:conditionalFormatting xmlns:xm="http://schemas.microsoft.com/office/excel/2006/main">
          <x14:cfRule type="dataBar" id="{B2112622-669B-445D-99BA-B25857EFC3C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D69:R69</xm:sqref>
        </x14:conditionalFormatting>
        <x14:conditionalFormatting xmlns:xm="http://schemas.microsoft.com/office/excel/2006/main">
          <x14:cfRule type="dataBar" id="{E43E9214-11BE-442F-83A9-2F4F79093CC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D41:R41</xm:sqref>
        </x14:conditionalFormatting>
        <x14:conditionalFormatting xmlns:xm="http://schemas.microsoft.com/office/excel/2006/main">
          <x14:cfRule type="dataBar" id="{11BE0062-90F8-4B06-BDCA-5E7CFF72AC5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V41:AJ41</xm:sqref>
        </x14:conditionalFormatting>
        <x14:conditionalFormatting xmlns:xm="http://schemas.microsoft.com/office/excel/2006/main">
          <x14:cfRule type="dataBar" id="{1387F7A8-D797-4F48-9082-5F268F8B9A0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V40:AI40</xm:sqref>
        </x14:conditionalFormatting>
        <x14:conditionalFormatting xmlns:xm="http://schemas.microsoft.com/office/excel/2006/main">
          <x14:cfRule type="dataBar" id="{310E3DDE-B803-4943-98D5-14AA8D07FD3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AJ19:AJ40 V19:AI39</xm:sqref>
        </x14:conditionalFormatting>
        <x14:conditionalFormatting xmlns:xm="http://schemas.microsoft.com/office/excel/2006/main">
          <x14:cfRule type="dataBar" id="{ABF627F4-E84A-48E2-80DA-B76DFD01E57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D19:R39</xm:sqref>
        </x14:conditionalFormatting>
        <x14:conditionalFormatting xmlns:xm="http://schemas.microsoft.com/office/excel/2006/main">
          <x14:cfRule type="dataBar" id="{2F268727-04AD-495A-A1E7-BDA0FA8ACAD8}">
            <x14:dataBar minLength="0" maxLength="100" gradient="0">
              <x14:cfvo type="min"/>
              <x14:cfvo type="max"/>
              <x14:negativeFillColor rgb="FFFF0000"/>
              <x14:axisColor rgb="FF000000"/>
            </x14:dataBar>
          </x14:cfRule>
          <xm:sqref>D48:R68</xm:sqref>
        </x14:conditionalFormatting>
        <x14:conditionalFormatting xmlns:xm="http://schemas.microsoft.com/office/excel/2006/main">
          <x14:cfRule type="dataBar" id="{D6A5542D-40A2-42FD-9DD4-16FCF0FC8C66}">
            <x14:dataBar minLength="0" maxLength="100" gradient="0">
              <x14:cfvo type="min"/>
              <x14:cfvo type="max"/>
              <x14:negativeFillColor rgb="FFFF0000"/>
              <x14:axisColor rgb="FF000000"/>
            </x14:dataBar>
          </x14:cfRule>
          <xm:sqref>V48:AJ68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  <pageSetUpPr fitToPage="1"/>
  </sheetPr>
  <dimension ref="B12:BN74"/>
  <sheetViews>
    <sheetView showGridLines="0" zoomScale="85" zoomScaleNormal="85" workbookViewId="0">
      <selection activeCell="C15" sqref="C15:Q15"/>
    </sheetView>
  </sheetViews>
  <sheetFormatPr defaultRowHeight="15"/>
  <cols>
    <col min="1" max="1" width="9.140625" customWidth="1"/>
    <col min="3" max="3" width="15.140625" customWidth="1"/>
    <col min="4" max="4" width="17.85546875" customWidth="1"/>
    <col min="5" max="17" width="5.140625" customWidth="1"/>
    <col min="18" max="18" width="2.85546875" customWidth="1"/>
    <col min="19" max="19" width="15.140625" customWidth="1"/>
    <col min="20" max="20" width="17.85546875" customWidth="1"/>
    <col min="21" max="33" width="5.140625" customWidth="1"/>
    <col min="34" max="34" width="13.28515625" customWidth="1"/>
    <col min="35" max="35" width="16.42578125" customWidth="1"/>
    <col min="36" max="36" width="17.85546875" bestFit="1" customWidth="1"/>
    <col min="37" max="49" width="5.140625" customWidth="1"/>
    <col min="52" max="52" width="15.140625" bestFit="1" customWidth="1"/>
    <col min="53" max="53" width="17.85546875" bestFit="1" customWidth="1"/>
    <col min="54" max="66" width="5.140625" customWidth="1"/>
  </cols>
  <sheetData>
    <row r="12" spans="2:66" ht="13.5" customHeight="1"/>
    <row r="14" spans="2:66" s="1" customFormat="1" ht="18" customHeight="1"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V14"/>
      <c r="W14"/>
      <c r="X14"/>
      <c r="Y14"/>
      <c r="Z14"/>
      <c r="AA14"/>
      <c r="AB14"/>
      <c r="AC14"/>
      <c r="AD14"/>
    </row>
    <row r="15" spans="2:66" s="2" customFormat="1" ht="19.5" customHeight="1">
      <c r="B15"/>
      <c r="C15" s="105" t="s">
        <v>7</v>
      </c>
      <c r="D15" s="106"/>
      <c r="E15" s="106"/>
      <c r="F15" s="106"/>
      <c r="G15" s="106"/>
      <c r="H15" s="106"/>
      <c r="I15" s="106"/>
      <c r="J15" s="106"/>
      <c r="K15" s="106"/>
      <c r="L15" s="106"/>
      <c r="M15" s="106"/>
      <c r="N15" s="106"/>
      <c r="O15" s="106"/>
      <c r="P15" s="106"/>
      <c r="Q15" s="106"/>
      <c r="R15" s="4"/>
      <c r="S15" s="102" t="s">
        <v>8</v>
      </c>
      <c r="T15" s="102"/>
      <c r="U15" s="102"/>
      <c r="V15" s="102"/>
      <c r="W15" s="102"/>
      <c r="X15" s="102"/>
      <c r="Y15" s="102"/>
      <c r="Z15" s="102"/>
      <c r="AA15" s="102"/>
      <c r="AB15" s="102"/>
      <c r="AC15" s="102"/>
      <c r="AD15" s="102"/>
      <c r="AE15" s="102"/>
      <c r="AF15" s="102"/>
      <c r="AG15"/>
      <c r="AH15"/>
      <c r="AI15" s="103" t="s">
        <v>19</v>
      </c>
      <c r="AJ15" s="103"/>
      <c r="AK15" s="103"/>
      <c r="AL15" s="103"/>
      <c r="AM15" s="103"/>
      <c r="AN15" s="103"/>
      <c r="AO15" s="103"/>
      <c r="AP15" s="103"/>
      <c r="AQ15" s="103"/>
      <c r="AR15" s="103"/>
      <c r="AS15" s="103"/>
      <c r="AT15" s="103"/>
      <c r="AU15" s="103"/>
      <c r="AV15" s="103"/>
      <c r="AW15" s="4"/>
      <c r="AX15" s="4"/>
      <c r="AY15" s="4"/>
      <c r="AZ15" s="104" t="s">
        <v>20</v>
      </c>
      <c r="BA15" s="104"/>
      <c r="BB15" s="104"/>
      <c r="BC15" s="104"/>
      <c r="BD15" s="104"/>
      <c r="BE15" s="104"/>
      <c r="BF15" s="104"/>
      <c r="BG15" s="104"/>
      <c r="BH15" s="104"/>
      <c r="BI15" s="104"/>
      <c r="BJ15" s="104"/>
      <c r="BK15" s="104"/>
      <c r="BL15" s="104"/>
      <c r="BM15" s="104"/>
    </row>
    <row r="16" spans="2:66" s="2" customFormat="1">
      <c r="B16"/>
      <c r="C16" s="20" t="s">
        <v>9</v>
      </c>
      <c r="D16" s="20" t="s">
        <v>10</v>
      </c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4"/>
      <c r="S16" s="20" t="s">
        <v>8</v>
      </c>
      <c r="T16" s="20" t="s">
        <v>10</v>
      </c>
      <c r="U16" s="21"/>
      <c r="V16" s="21"/>
      <c r="W16" s="21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/>
      <c r="AI16" s="20" t="s">
        <v>85</v>
      </c>
      <c r="AJ16" s="20" t="s">
        <v>10</v>
      </c>
      <c r="AK16" s="21"/>
      <c r="AL16" s="21"/>
      <c r="AM16" s="21"/>
      <c r="AN16" s="21"/>
      <c r="AO16" s="21"/>
      <c r="AP16" s="21"/>
      <c r="AQ16" s="21"/>
      <c r="AR16" s="21"/>
      <c r="AS16" s="21"/>
      <c r="AT16" s="21"/>
      <c r="AU16" s="21"/>
      <c r="AV16" s="21"/>
      <c r="AW16" s="21"/>
      <c r="AX16" s="4"/>
      <c r="AY16" s="4"/>
      <c r="AZ16" s="20" t="s">
        <v>84</v>
      </c>
      <c r="BA16" s="20" t="s">
        <v>10</v>
      </c>
      <c r="BB16" s="21"/>
      <c r="BC16" s="21"/>
      <c r="BD16" s="21"/>
      <c r="BE16" s="21"/>
      <c r="BF16" s="21"/>
      <c r="BG16" s="21"/>
      <c r="BH16" s="21"/>
      <c r="BI16" s="21"/>
      <c r="BJ16" s="21"/>
      <c r="BK16" s="21"/>
      <c r="BL16" s="21"/>
      <c r="BM16" s="21"/>
      <c r="BN16" s="21"/>
    </row>
    <row r="17" spans="2:66" s="46" customFormat="1" ht="12.75">
      <c r="C17" s="55" t="s">
        <v>11</v>
      </c>
      <c r="D17" s="99" t="s">
        <v>115</v>
      </c>
      <c r="E17" s="99" t="s">
        <v>123</v>
      </c>
      <c r="F17" s="99" t="s">
        <v>131</v>
      </c>
      <c r="G17" s="99" t="s">
        <v>138</v>
      </c>
      <c r="H17" s="99" t="s">
        <v>146</v>
      </c>
      <c r="I17" s="99" t="s">
        <v>153</v>
      </c>
      <c r="J17" s="99" t="s">
        <v>161</v>
      </c>
      <c r="K17" s="99" t="s">
        <v>168</v>
      </c>
      <c r="L17" s="99" t="s">
        <v>176</v>
      </c>
      <c r="M17" s="99" t="s">
        <v>183</v>
      </c>
      <c r="N17" s="99" t="s">
        <v>191</v>
      </c>
      <c r="O17" s="99" t="s">
        <v>198</v>
      </c>
      <c r="P17" s="99" t="s">
        <v>230</v>
      </c>
      <c r="Q17" s="99" t="s">
        <v>231</v>
      </c>
      <c r="R17" s="47"/>
      <c r="S17" s="48" t="s">
        <v>11</v>
      </c>
      <c r="T17" s="99" t="s">
        <v>115</v>
      </c>
      <c r="U17" s="99" t="s">
        <v>123</v>
      </c>
      <c r="V17" s="99" t="s">
        <v>131</v>
      </c>
      <c r="W17" s="99" t="s">
        <v>138</v>
      </c>
      <c r="X17" s="99" t="s">
        <v>146</v>
      </c>
      <c r="Y17" s="99" t="s">
        <v>153</v>
      </c>
      <c r="Z17" s="99" t="s">
        <v>161</v>
      </c>
      <c r="AA17" s="99" t="s">
        <v>168</v>
      </c>
      <c r="AB17" s="99" t="s">
        <v>176</v>
      </c>
      <c r="AC17" s="99" t="s">
        <v>183</v>
      </c>
      <c r="AD17" s="99" t="s">
        <v>191</v>
      </c>
      <c r="AE17" s="99" t="s">
        <v>198</v>
      </c>
      <c r="AF17" s="99" t="s">
        <v>230</v>
      </c>
      <c r="AG17" s="99" t="s">
        <v>231</v>
      </c>
      <c r="AI17" s="50" t="s">
        <v>11</v>
      </c>
      <c r="AJ17" s="99" t="s">
        <v>115</v>
      </c>
      <c r="AK17" s="99" t="s">
        <v>123</v>
      </c>
      <c r="AL17" s="99" t="s">
        <v>131</v>
      </c>
      <c r="AM17" s="99" t="s">
        <v>138</v>
      </c>
      <c r="AN17" s="99" t="s">
        <v>146</v>
      </c>
      <c r="AO17" s="99" t="s">
        <v>153</v>
      </c>
      <c r="AP17" s="99" t="s">
        <v>161</v>
      </c>
      <c r="AQ17" s="99" t="s">
        <v>168</v>
      </c>
      <c r="AR17" s="99" t="s">
        <v>176</v>
      </c>
      <c r="AS17" s="99" t="s">
        <v>183</v>
      </c>
      <c r="AT17" s="99" t="s">
        <v>191</v>
      </c>
      <c r="AU17" s="99" t="s">
        <v>198</v>
      </c>
      <c r="AV17" s="99" t="s">
        <v>230</v>
      </c>
      <c r="AW17" s="99" t="s">
        <v>231</v>
      </c>
      <c r="AX17" s="47"/>
      <c r="AY17" s="47"/>
      <c r="AZ17" s="51" t="s">
        <v>11</v>
      </c>
      <c r="BA17" s="99" t="s">
        <v>115</v>
      </c>
      <c r="BB17" s="99" t="s">
        <v>123</v>
      </c>
      <c r="BC17" s="99" t="s">
        <v>131</v>
      </c>
      <c r="BD17" s="99" t="s">
        <v>138</v>
      </c>
      <c r="BE17" s="99" t="s">
        <v>146</v>
      </c>
      <c r="BF17" s="99" t="s">
        <v>153</v>
      </c>
      <c r="BG17" s="99" t="s">
        <v>161</v>
      </c>
      <c r="BH17" s="99" t="s">
        <v>168</v>
      </c>
      <c r="BI17" s="99" t="s">
        <v>176</v>
      </c>
      <c r="BJ17" s="99" t="s">
        <v>183</v>
      </c>
      <c r="BK17" s="99" t="s">
        <v>191</v>
      </c>
      <c r="BL17" s="99" t="s">
        <v>198</v>
      </c>
      <c r="BM17" s="99" t="s">
        <v>230</v>
      </c>
      <c r="BN17" s="99" t="s">
        <v>231</v>
      </c>
    </row>
    <row r="18" spans="2:66" s="12" customFormat="1" ht="18" customHeight="1">
      <c r="B18" s="10"/>
      <c r="C18" s="13">
        <v>42217</v>
      </c>
      <c r="D18" s="14">
        <v>10.251099999999999</v>
      </c>
      <c r="E18" s="14">
        <v>8.8055000000000003</v>
      </c>
      <c r="F18" s="14">
        <v>8.3887</v>
      </c>
      <c r="G18" s="14">
        <v>10.0015</v>
      </c>
      <c r="H18" s="14">
        <v>9.3058999999999994</v>
      </c>
      <c r="I18" s="14">
        <v>10.863099999999999</v>
      </c>
      <c r="J18" s="14">
        <v>10.8284</v>
      </c>
      <c r="K18" s="14">
        <v>13.007199999999999</v>
      </c>
      <c r="L18" s="14">
        <v>15.841900000000001</v>
      </c>
      <c r="M18" s="14">
        <v>17.035599999999999</v>
      </c>
      <c r="N18" s="14">
        <v>15.742900000000001</v>
      </c>
      <c r="O18" s="14">
        <v>14.960699999999999</v>
      </c>
      <c r="P18" s="14">
        <v>12.938800000000001</v>
      </c>
      <c r="Q18" s="14">
        <v>11.972799999999999</v>
      </c>
      <c r="R18" s="11"/>
      <c r="S18" s="13">
        <v>42217</v>
      </c>
      <c r="T18" s="15">
        <v>3.3999999999999998E-3</v>
      </c>
      <c r="U18" s="15">
        <v>5.33E-2</v>
      </c>
      <c r="V18" s="15">
        <v>3.2399999999999998E-2</v>
      </c>
      <c r="W18" s="15">
        <v>5.1700000000000003E-2</v>
      </c>
      <c r="X18" s="15">
        <v>5.62E-2</v>
      </c>
      <c r="Y18" s="15">
        <v>0.1202</v>
      </c>
      <c r="Z18" s="15">
        <v>3.7499999999999999E-2</v>
      </c>
      <c r="AA18" s="15">
        <v>4.0899999999999999E-2</v>
      </c>
      <c r="AB18" s="15">
        <v>6.8000000000000005E-2</v>
      </c>
      <c r="AC18" s="15">
        <v>6.2100000000000002E-2</v>
      </c>
      <c r="AD18" s="15">
        <v>0</v>
      </c>
      <c r="AE18" s="15">
        <v>0</v>
      </c>
      <c r="AF18" s="15">
        <v>0</v>
      </c>
      <c r="AG18" s="15">
        <v>0</v>
      </c>
      <c r="AH18" s="10"/>
      <c r="AI18" s="13">
        <v>42217</v>
      </c>
      <c r="AJ18" s="15">
        <v>0.09</v>
      </c>
      <c r="AK18" s="15">
        <v>0.05</v>
      </c>
      <c r="AL18" s="15">
        <v>0.03</v>
      </c>
      <c r="AM18" s="15">
        <v>6.9999999999999993E-2</v>
      </c>
      <c r="AN18" s="15">
        <v>0.03</v>
      </c>
      <c r="AO18" s="15">
        <v>6.9999999999999993E-2</v>
      </c>
      <c r="AP18" s="15">
        <v>0.01</v>
      </c>
      <c r="AQ18" s="15">
        <v>0.02</v>
      </c>
      <c r="AR18" s="15">
        <v>0.01</v>
      </c>
      <c r="AS18" s="15">
        <v>0.01</v>
      </c>
      <c r="AT18" s="15">
        <v>0</v>
      </c>
      <c r="AU18" s="15">
        <v>0</v>
      </c>
      <c r="AV18" s="15">
        <v>0</v>
      </c>
      <c r="AW18" s="15">
        <v>0</v>
      </c>
      <c r="AX18" s="11"/>
      <c r="AY18" s="11"/>
      <c r="AZ18" s="13">
        <v>42217</v>
      </c>
      <c r="BA18" s="15">
        <v>0.30463471212522109</v>
      </c>
      <c r="BB18" s="15">
        <v>0.26327520854775377</v>
      </c>
      <c r="BC18" s="15">
        <v>0.24640160198901975</v>
      </c>
      <c r="BD18" s="15">
        <v>0.41811443721470221</v>
      </c>
      <c r="BE18" s="15">
        <v>0.29095237460896417</v>
      </c>
      <c r="BF18" s="15">
        <v>0.45551493733097737</v>
      </c>
      <c r="BG18" s="15">
        <v>0.33519594689663679</v>
      </c>
      <c r="BH18" s="15">
        <v>0.46300077840913079</v>
      </c>
      <c r="BI18" s="15">
        <v>0.36927772909184731</v>
      </c>
      <c r="BJ18" s="15">
        <v>0.50769512388135862</v>
      </c>
      <c r="BK18" s="15">
        <v>0.40300187186630548</v>
      </c>
      <c r="BL18" s="15">
        <v>0.49237611700963357</v>
      </c>
      <c r="BM18" s="15">
        <v>0.31858315423231492</v>
      </c>
      <c r="BN18" s="15">
        <v>0.44362147772809724</v>
      </c>
    </row>
    <row r="19" spans="2:66" s="12" customFormat="1" ht="18" customHeight="1">
      <c r="B19" s="10"/>
      <c r="C19" s="13">
        <v>42186</v>
      </c>
      <c r="D19" s="14">
        <v>11.230700000000001</v>
      </c>
      <c r="E19" s="14">
        <v>9.5654000000000003</v>
      </c>
      <c r="F19" s="14">
        <v>10.046799999999999</v>
      </c>
      <c r="G19" s="14">
        <v>12.7553</v>
      </c>
      <c r="H19" s="14">
        <v>10.1647</v>
      </c>
      <c r="I19" s="14">
        <v>13.3588</v>
      </c>
      <c r="J19" s="14">
        <v>12.955399999999999</v>
      </c>
      <c r="K19" s="14">
        <v>14.3224</v>
      </c>
      <c r="L19" s="14">
        <v>18.429400000000001</v>
      </c>
      <c r="M19" s="14">
        <v>19.563199999999998</v>
      </c>
      <c r="N19" s="14">
        <v>17.6326</v>
      </c>
      <c r="O19" s="14">
        <v>16.796700000000001</v>
      </c>
      <c r="P19" s="14">
        <v>14.260999999999999</v>
      </c>
      <c r="Q19" s="14">
        <v>12.6431</v>
      </c>
      <c r="R19" s="11"/>
      <c r="S19" s="13">
        <v>42186</v>
      </c>
      <c r="T19" s="15">
        <v>6.7699999999999996E-2</v>
      </c>
      <c r="U19" s="15">
        <v>2.2800000000000001E-2</v>
      </c>
      <c r="V19" s="15">
        <v>3.6200000000000003E-2</v>
      </c>
      <c r="W19" s="15">
        <v>4.6600000000000003E-2</v>
      </c>
      <c r="X19" s="15">
        <v>4.7600000000000003E-2</v>
      </c>
      <c r="Y19" s="15">
        <v>8.8300000000000003E-2</v>
      </c>
      <c r="Z19" s="15">
        <v>3.2399999999999998E-2</v>
      </c>
      <c r="AA19" s="15">
        <v>0.1052</v>
      </c>
      <c r="AB19" s="15">
        <v>4.1399999999999999E-2</v>
      </c>
      <c r="AC19" s="15">
        <v>7.5499999999999998E-2</v>
      </c>
      <c r="AD19" s="15">
        <v>0</v>
      </c>
      <c r="AE19" s="15">
        <v>0</v>
      </c>
      <c r="AF19" s="15">
        <v>0</v>
      </c>
      <c r="AG19" s="15">
        <v>0</v>
      </c>
      <c r="AH19" s="10"/>
      <c r="AI19" s="13">
        <v>42186</v>
      </c>
      <c r="AJ19" s="15">
        <v>0.09</v>
      </c>
      <c r="AK19" s="15">
        <v>0.05</v>
      </c>
      <c r="AL19" s="15">
        <v>0.03</v>
      </c>
      <c r="AM19" s="15">
        <v>6.9999999999999993E-2</v>
      </c>
      <c r="AN19" s="15">
        <v>0.02</v>
      </c>
      <c r="AO19" s="15">
        <v>0.06</v>
      </c>
      <c r="AP19" s="15">
        <v>0.01</v>
      </c>
      <c r="AQ19" s="15">
        <v>0.02</v>
      </c>
      <c r="AR19" s="15">
        <v>0</v>
      </c>
      <c r="AS19" s="15">
        <v>0.01</v>
      </c>
      <c r="AT19" s="15">
        <v>0</v>
      </c>
      <c r="AU19" s="15">
        <v>0</v>
      </c>
      <c r="AV19" s="15">
        <v>0</v>
      </c>
      <c r="AW19" s="15">
        <v>0</v>
      </c>
      <c r="AX19" s="11"/>
      <c r="AY19" s="11"/>
      <c r="AZ19" s="13">
        <v>42186</v>
      </c>
      <c r="BA19" s="15">
        <v>0.25658093354926736</v>
      </c>
      <c r="BB19" s="15">
        <v>0.23781506709480618</v>
      </c>
      <c r="BC19" s="15">
        <v>0.22513608262957416</v>
      </c>
      <c r="BD19" s="15">
        <v>0.38141332200566042</v>
      </c>
      <c r="BE19" s="15">
        <v>0.26982672873086178</v>
      </c>
      <c r="BF19" s="15">
        <v>0.44455584243300594</v>
      </c>
      <c r="BG19" s="15">
        <v>0.29470062295702215</v>
      </c>
      <c r="BH19" s="15">
        <v>0.43853310823882075</v>
      </c>
      <c r="BI19" s="15">
        <v>0.3443009403623542</v>
      </c>
      <c r="BJ19" s="15">
        <v>0.46581296171838044</v>
      </c>
      <c r="BK19" s="15">
        <v>0.32688664827447222</v>
      </c>
      <c r="BL19" s="15">
        <v>0.39151815653233318</v>
      </c>
      <c r="BM19" s="15">
        <v>0.27854082307664707</v>
      </c>
      <c r="BN19" s="15">
        <v>0.29994536957885415</v>
      </c>
    </row>
    <row r="20" spans="2:66" s="12" customFormat="1" ht="18" customHeight="1">
      <c r="B20" s="10"/>
      <c r="C20" s="13">
        <v>42156</v>
      </c>
      <c r="D20" s="14">
        <v>12.9383</v>
      </c>
      <c r="E20" s="14">
        <v>11.5288</v>
      </c>
      <c r="F20" s="14">
        <v>10.9826</v>
      </c>
      <c r="G20" s="14">
        <v>13.1097</v>
      </c>
      <c r="H20" s="14">
        <v>11.4437</v>
      </c>
      <c r="I20" s="14">
        <v>13.646000000000001</v>
      </c>
      <c r="J20" s="14">
        <v>14.6775</v>
      </c>
      <c r="K20" s="14">
        <v>16.096800000000002</v>
      </c>
      <c r="L20" s="14">
        <v>23.360099999999999</v>
      </c>
      <c r="M20" s="14">
        <v>23.310600000000001</v>
      </c>
      <c r="N20" s="14">
        <v>22.6829</v>
      </c>
      <c r="O20" s="14">
        <v>20.335699999999999</v>
      </c>
      <c r="P20" s="14"/>
      <c r="Q20" s="14"/>
      <c r="R20" s="11"/>
      <c r="S20" s="13">
        <v>42156</v>
      </c>
      <c r="T20" s="15">
        <v>0.10299999999999999</v>
      </c>
      <c r="U20" s="15">
        <v>4.2099999999999999E-2</v>
      </c>
      <c r="V20" s="15">
        <v>3.8600000000000002E-2</v>
      </c>
      <c r="W20" s="15">
        <v>0.1187</v>
      </c>
      <c r="X20" s="15">
        <v>3.6200000000000003E-2</v>
      </c>
      <c r="Y20" s="15">
        <v>0.13519999999999999</v>
      </c>
      <c r="Z20" s="15">
        <v>1.61E-2</v>
      </c>
      <c r="AA20" s="15">
        <v>4.4299999999999999E-2</v>
      </c>
      <c r="AB20" s="15">
        <v>4.07E-2</v>
      </c>
      <c r="AC20" s="15">
        <v>6.2700000000000006E-2</v>
      </c>
      <c r="AD20" s="15">
        <v>0</v>
      </c>
      <c r="AE20" s="15">
        <v>0</v>
      </c>
      <c r="AF20" s="15"/>
      <c r="AG20" s="15"/>
      <c r="AH20" s="10"/>
      <c r="AI20" s="13">
        <v>42156</v>
      </c>
      <c r="AJ20" s="15">
        <v>0.08</v>
      </c>
      <c r="AK20" s="15">
        <v>0.05</v>
      </c>
      <c r="AL20" s="15">
        <v>0.02</v>
      </c>
      <c r="AM20" s="15">
        <v>0.06</v>
      </c>
      <c r="AN20" s="15">
        <v>0.02</v>
      </c>
      <c r="AO20" s="15">
        <v>0.05</v>
      </c>
      <c r="AP20" s="15">
        <v>0</v>
      </c>
      <c r="AQ20" s="15">
        <v>0.01</v>
      </c>
      <c r="AR20" s="15">
        <v>0</v>
      </c>
      <c r="AS20" s="15">
        <v>0</v>
      </c>
      <c r="AT20" s="15">
        <v>0</v>
      </c>
      <c r="AU20" s="15">
        <v>0</v>
      </c>
      <c r="AV20" s="15"/>
      <c r="AW20" s="15"/>
      <c r="AX20" s="11"/>
      <c r="AY20" s="11"/>
      <c r="AZ20" s="13">
        <v>42156</v>
      </c>
      <c r="BA20" s="15">
        <v>0.30338535723264559</v>
      </c>
      <c r="BB20" s="15">
        <v>0.24921569749780534</v>
      </c>
      <c r="BC20" s="15">
        <v>0.247541736305782</v>
      </c>
      <c r="BD20" s="15">
        <v>0.37744523114586154</v>
      </c>
      <c r="BE20" s="15">
        <v>0.3018797523423829</v>
      </c>
      <c r="BF20" s="15">
        <v>0.45705999571550043</v>
      </c>
      <c r="BG20" s="15">
        <v>0.2931828874217795</v>
      </c>
      <c r="BH20" s="15">
        <v>0.4017502773012992</v>
      </c>
      <c r="BI20" s="15">
        <v>0.37794974169699186</v>
      </c>
      <c r="BJ20" s="15">
        <v>0.40573108482946391</v>
      </c>
      <c r="BK20" s="15">
        <v>0.29730011879559703</v>
      </c>
      <c r="BL20" s="15">
        <v>0.34817721656879447</v>
      </c>
      <c r="BM20" s="15"/>
      <c r="BN20" s="15"/>
    </row>
    <row r="21" spans="2:66" s="12" customFormat="1" ht="18" customHeight="1">
      <c r="B21" s="10"/>
      <c r="C21" s="13">
        <v>42125</v>
      </c>
      <c r="D21" s="14">
        <v>11.292400000000001</v>
      </c>
      <c r="E21" s="14">
        <v>9.2428000000000008</v>
      </c>
      <c r="F21" s="14">
        <v>9.0107999999999997</v>
      </c>
      <c r="G21" s="14">
        <v>12.105</v>
      </c>
      <c r="H21" s="14">
        <v>10.197699999999999</v>
      </c>
      <c r="I21" s="14">
        <v>13.6389</v>
      </c>
      <c r="J21" s="14">
        <v>13.8881</v>
      </c>
      <c r="K21" s="14">
        <v>16.161999999999999</v>
      </c>
      <c r="L21" s="14">
        <v>25.260100000000001</v>
      </c>
      <c r="M21" s="14">
        <v>24.2318</v>
      </c>
      <c r="N21" s="14">
        <v>25.049600000000002</v>
      </c>
      <c r="O21" s="14">
        <v>21.165199999999999</v>
      </c>
      <c r="P21" s="14"/>
      <c r="Q21" s="14"/>
      <c r="R21" s="11"/>
      <c r="S21" s="13">
        <v>42125</v>
      </c>
      <c r="T21" s="15">
        <v>7.9299999999999995E-2</v>
      </c>
      <c r="U21" s="15">
        <v>6.0600000000000001E-2</v>
      </c>
      <c r="V21" s="15">
        <v>3.0099999999999998E-2</v>
      </c>
      <c r="W21" s="15">
        <v>9.0499999999999997E-2</v>
      </c>
      <c r="X21" s="15">
        <v>5.1400000000000001E-2</v>
      </c>
      <c r="Y21" s="15">
        <v>8.14E-2</v>
      </c>
      <c r="Z21" s="15">
        <v>3.4799999999999998E-2</v>
      </c>
      <c r="AA21" s="15">
        <v>8.8300000000000003E-2</v>
      </c>
      <c r="AB21" s="15">
        <v>0</v>
      </c>
      <c r="AC21" s="15">
        <v>0</v>
      </c>
      <c r="AD21" s="15">
        <v>0</v>
      </c>
      <c r="AE21" s="15">
        <v>0</v>
      </c>
      <c r="AF21" s="15"/>
      <c r="AG21" s="15"/>
      <c r="AH21" s="10"/>
      <c r="AI21" s="13">
        <v>42125</v>
      </c>
      <c r="AJ21" s="15">
        <v>6.9999999999999993E-2</v>
      </c>
      <c r="AK21" s="15">
        <v>0.04</v>
      </c>
      <c r="AL21" s="15">
        <v>0.02</v>
      </c>
      <c r="AM21" s="15">
        <v>0.05</v>
      </c>
      <c r="AN21" s="15">
        <v>0.02</v>
      </c>
      <c r="AO21" s="15">
        <v>0.04</v>
      </c>
      <c r="AP21" s="15">
        <v>0</v>
      </c>
      <c r="AQ21" s="15">
        <v>0.01</v>
      </c>
      <c r="AR21" s="15">
        <v>0</v>
      </c>
      <c r="AS21" s="15">
        <v>0</v>
      </c>
      <c r="AT21" s="15">
        <v>0</v>
      </c>
      <c r="AU21" s="15">
        <v>0</v>
      </c>
      <c r="AV21" s="15"/>
      <c r="AW21" s="15"/>
      <c r="AX21" s="11"/>
      <c r="AY21" s="11"/>
      <c r="AZ21" s="13">
        <v>42125</v>
      </c>
      <c r="BA21" s="15">
        <v>0.2965842527538593</v>
      </c>
      <c r="BB21" s="15">
        <v>0.30042836867161682</v>
      </c>
      <c r="BC21" s="15">
        <v>0.27374010076002175</v>
      </c>
      <c r="BD21" s="15">
        <v>0.49327434288501731</v>
      </c>
      <c r="BE21" s="15">
        <v>0.31863415284545782</v>
      </c>
      <c r="BF21" s="15">
        <v>0.47528073068791138</v>
      </c>
      <c r="BG21" s="15">
        <v>0.31398920811050257</v>
      </c>
      <c r="BH21" s="15">
        <v>0.46288452854074513</v>
      </c>
      <c r="BI21" s="15">
        <v>0.41035236326376257</v>
      </c>
      <c r="BJ21" s="15">
        <v>0.47509371557635022</v>
      </c>
      <c r="BK21" s="15">
        <v>0.36024783872981575</v>
      </c>
      <c r="BL21" s="15">
        <v>0.35251960285528322</v>
      </c>
      <c r="BM21" s="15"/>
      <c r="BN21" s="15"/>
    </row>
    <row r="22" spans="2:66" s="12" customFormat="1" ht="18" customHeight="1">
      <c r="B22" s="10"/>
      <c r="C22" s="13">
        <v>42095</v>
      </c>
      <c r="D22" s="14">
        <v>10.192</v>
      </c>
      <c r="E22" s="14">
        <v>8.5975999999999999</v>
      </c>
      <c r="F22" s="14">
        <v>8.4687000000000001</v>
      </c>
      <c r="G22" s="14">
        <v>11.3904</v>
      </c>
      <c r="H22" s="14">
        <v>9.5898000000000003</v>
      </c>
      <c r="I22" s="14">
        <v>11.7113</v>
      </c>
      <c r="J22" s="14">
        <v>15.851100000000001</v>
      </c>
      <c r="K22" s="14">
        <v>15.2407</v>
      </c>
      <c r="L22" s="14">
        <v>28.385000000000002</v>
      </c>
      <c r="M22" s="14">
        <v>24.875699999999998</v>
      </c>
      <c r="N22" s="14"/>
      <c r="O22" s="14"/>
      <c r="P22" s="14"/>
      <c r="Q22" s="14"/>
      <c r="R22" s="11"/>
      <c r="S22" s="13">
        <v>42095</v>
      </c>
      <c r="T22" s="15">
        <v>0.1019</v>
      </c>
      <c r="U22" s="15">
        <v>0.05</v>
      </c>
      <c r="V22" s="15">
        <v>3.7199999999999997E-2</v>
      </c>
      <c r="W22" s="15">
        <v>0.11890000000000001</v>
      </c>
      <c r="X22" s="15">
        <v>2.5399999999999999E-2</v>
      </c>
      <c r="Y22" s="15">
        <v>3.95E-2</v>
      </c>
      <c r="Z22" s="15">
        <v>4.1000000000000002E-2</v>
      </c>
      <c r="AA22" s="15">
        <v>4.0500000000000001E-2</v>
      </c>
      <c r="AB22" s="15">
        <v>0</v>
      </c>
      <c r="AC22" s="15">
        <v>0</v>
      </c>
      <c r="AD22" s="15"/>
      <c r="AE22" s="15"/>
      <c r="AF22" s="15"/>
      <c r="AG22" s="15"/>
      <c r="AH22" s="10"/>
      <c r="AI22" s="13">
        <v>42095</v>
      </c>
      <c r="AJ22" s="15">
        <v>6.9999999999999993E-2</v>
      </c>
      <c r="AK22" s="15">
        <v>0.04</v>
      </c>
      <c r="AL22" s="15">
        <v>0.02</v>
      </c>
      <c r="AM22" s="15">
        <v>0.05</v>
      </c>
      <c r="AN22" s="15">
        <v>0.01</v>
      </c>
      <c r="AO22" s="15">
        <v>0.04</v>
      </c>
      <c r="AP22" s="15">
        <v>0</v>
      </c>
      <c r="AQ22" s="15">
        <v>0</v>
      </c>
      <c r="AR22" s="15">
        <v>0</v>
      </c>
      <c r="AS22" s="15">
        <v>0</v>
      </c>
      <c r="AT22" s="15"/>
      <c r="AU22" s="15"/>
      <c r="AV22" s="15"/>
      <c r="AW22" s="15"/>
      <c r="AX22" s="11"/>
      <c r="AY22" s="11"/>
      <c r="AZ22" s="13">
        <v>42095</v>
      </c>
      <c r="BA22" s="15">
        <v>0.23933989322629107</v>
      </c>
      <c r="BB22" s="15">
        <v>0.24403801759736141</v>
      </c>
      <c r="BC22" s="15">
        <v>0.208585835956795</v>
      </c>
      <c r="BD22" s="15">
        <v>0.33989189299994266</v>
      </c>
      <c r="BE22" s="15">
        <v>0.25583556738584812</v>
      </c>
      <c r="BF22" s="15">
        <v>0.3304409769382316</v>
      </c>
      <c r="BG22" s="15">
        <v>0.26410684425034775</v>
      </c>
      <c r="BH22" s="15">
        <v>0.33032725000493562</v>
      </c>
      <c r="BI22" s="15">
        <v>0.34634807051082456</v>
      </c>
      <c r="BJ22" s="15">
        <v>0.3701838683627528</v>
      </c>
      <c r="BK22" s="15"/>
      <c r="BL22" s="15"/>
      <c r="BM22" s="15"/>
      <c r="BN22" s="15"/>
    </row>
    <row r="23" spans="2:66" s="12" customFormat="1" ht="18" customHeight="1">
      <c r="B23" s="10"/>
      <c r="C23" s="13">
        <v>42064</v>
      </c>
      <c r="D23" s="14">
        <v>11.133900000000001</v>
      </c>
      <c r="E23" s="14">
        <v>8.8050999999999995</v>
      </c>
      <c r="F23" s="14">
        <v>8.6806000000000001</v>
      </c>
      <c r="G23" s="14">
        <v>11.9687</v>
      </c>
      <c r="H23" s="14">
        <v>10.025700000000001</v>
      </c>
      <c r="I23" s="14">
        <v>12.224600000000001</v>
      </c>
      <c r="J23" s="14">
        <v>19.960599999999999</v>
      </c>
      <c r="K23" s="14">
        <v>19.139299999999999</v>
      </c>
      <c r="L23" s="14">
        <v>38.587200000000003</v>
      </c>
      <c r="M23" s="14">
        <v>34.5321</v>
      </c>
      <c r="N23" s="14"/>
      <c r="O23" s="14"/>
      <c r="P23" s="14"/>
      <c r="Q23" s="14"/>
      <c r="R23" s="11"/>
      <c r="S23" s="13">
        <v>42064</v>
      </c>
      <c r="T23" s="15">
        <v>2.6499999999999999E-2</v>
      </c>
      <c r="U23" s="15">
        <v>8.2900000000000001E-2</v>
      </c>
      <c r="V23" s="15">
        <v>4.8599999999999997E-2</v>
      </c>
      <c r="W23" s="15">
        <v>0.15479999999999999</v>
      </c>
      <c r="X23" s="15">
        <v>2.6200000000000001E-2</v>
      </c>
      <c r="Y23" s="15">
        <v>0.10290000000000001</v>
      </c>
      <c r="Z23" s="15">
        <v>1.6299999999999999E-2</v>
      </c>
      <c r="AA23" s="15">
        <v>3.0599999999999999E-2</v>
      </c>
      <c r="AB23" s="15">
        <v>0</v>
      </c>
      <c r="AC23" s="15">
        <v>0</v>
      </c>
      <c r="AD23" s="15"/>
      <c r="AE23" s="15"/>
      <c r="AF23" s="15"/>
      <c r="AG23" s="15"/>
      <c r="AH23" s="10"/>
      <c r="AI23" s="13">
        <v>42064</v>
      </c>
      <c r="AJ23" s="15">
        <v>0.06</v>
      </c>
      <c r="AK23" s="15">
        <v>0.03</v>
      </c>
      <c r="AL23" s="15">
        <v>0.01</v>
      </c>
      <c r="AM23" s="15">
        <v>0.04</v>
      </c>
      <c r="AN23" s="15">
        <v>0.01</v>
      </c>
      <c r="AO23" s="15">
        <v>0.03</v>
      </c>
      <c r="AP23" s="15">
        <v>0</v>
      </c>
      <c r="AQ23" s="15">
        <v>0</v>
      </c>
      <c r="AR23" s="15">
        <v>0</v>
      </c>
      <c r="AS23" s="15">
        <v>0</v>
      </c>
      <c r="AT23" s="15"/>
      <c r="AU23" s="15"/>
      <c r="AV23" s="15"/>
      <c r="AW23" s="15"/>
      <c r="AX23" s="11"/>
      <c r="AY23" s="11"/>
      <c r="AZ23" s="13">
        <v>42064</v>
      </c>
      <c r="BA23" s="15">
        <v>0.24624736620406251</v>
      </c>
      <c r="BB23" s="15">
        <v>0.2350412122804334</v>
      </c>
      <c r="BC23" s="15">
        <v>0.20174474924296704</v>
      </c>
      <c r="BD23" s="15">
        <v>0.30818659251385133</v>
      </c>
      <c r="BE23" s="15">
        <v>0.25815532457058787</v>
      </c>
      <c r="BF23" s="15">
        <v>0.31914942045061151</v>
      </c>
      <c r="BG23" s="15">
        <v>0.2411435640508153</v>
      </c>
      <c r="BH23" s="15">
        <v>0.26875394845934247</v>
      </c>
      <c r="BI23" s="15">
        <v>0.24192243628197357</v>
      </c>
      <c r="BJ23" s="15">
        <v>0.22750364322074063</v>
      </c>
      <c r="BK23" s="15"/>
      <c r="BL23" s="15"/>
      <c r="BM23" s="15"/>
      <c r="BN23" s="15"/>
    </row>
    <row r="24" spans="2:66" s="12" customFormat="1" ht="18" customHeight="1">
      <c r="B24" s="10"/>
      <c r="C24" s="13">
        <v>42036</v>
      </c>
      <c r="D24" s="14">
        <v>9.0731999999999999</v>
      </c>
      <c r="E24" s="14">
        <v>6.569</v>
      </c>
      <c r="F24" s="14">
        <v>6.3311999999999999</v>
      </c>
      <c r="G24" s="14">
        <v>8.7408000000000001</v>
      </c>
      <c r="H24" s="14">
        <v>7.3173000000000004</v>
      </c>
      <c r="I24" s="14">
        <v>10.260199999999999</v>
      </c>
      <c r="J24" s="14">
        <v>17.690300000000001</v>
      </c>
      <c r="K24" s="14">
        <v>16.928000000000001</v>
      </c>
      <c r="L24" s="14">
        <v>34.615400000000001</v>
      </c>
      <c r="M24" s="14">
        <v>29.0444</v>
      </c>
      <c r="N24" s="14"/>
      <c r="O24" s="14"/>
      <c r="P24" s="14"/>
      <c r="Q24" s="14"/>
      <c r="R24" s="11"/>
      <c r="S24" s="13">
        <v>42036</v>
      </c>
      <c r="T24" s="15">
        <v>4.4999999999999998E-2</v>
      </c>
      <c r="U24" s="15">
        <v>3.7400000000000003E-2</v>
      </c>
      <c r="V24" s="15">
        <v>5.2200000000000003E-2</v>
      </c>
      <c r="W24" s="15">
        <v>8.8099999999999998E-2</v>
      </c>
      <c r="X24" s="15">
        <v>3.3399999999999999E-2</v>
      </c>
      <c r="Y24" s="15">
        <v>0.1137</v>
      </c>
      <c r="Z24" s="15">
        <v>0</v>
      </c>
      <c r="AA24" s="15">
        <v>0</v>
      </c>
      <c r="AB24" s="15">
        <v>0</v>
      </c>
      <c r="AC24" s="15">
        <v>0</v>
      </c>
      <c r="AD24" s="15"/>
      <c r="AE24" s="15"/>
      <c r="AF24" s="15"/>
      <c r="AG24" s="15"/>
      <c r="AH24" s="10"/>
      <c r="AI24" s="13">
        <v>42036</v>
      </c>
      <c r="AJ24" s="15">
        <v>0.06</v>
      </c>
      <c r="AK24" s="15">
        <v>0.03</v>
      </c>
      <c r="AL24" s="15">
        <v>0.01</v>
      </c>
      <c r="AM24" s="15">
        <v>0.02</v>
      </c>
      <c r="AN24" s="15">
        <v>0.01</v>
      </c>
      <c r="AO24" s="15">
        <v>0.02</v>
      </c>
      <c r="AP24" s="15">
        <v>0</v>
      </c>
      <c r="AQ24" s="15">
        <v>0</v>
      </c>
      <c r="AR24" s="15">
        <v>0</v>
      </c>
      <c r="AS24" s="15">
        <v>0</v>
      </c>
      <c r="AT24" s="15"/>
      <c r="AU24" s="15"/>
      <c r="AV24" s="15"/>
      <c r="AW24" s="15"/>
      <c r="AX24" s="11"/>
      <c r="AY24" s="11"/>
      <c r="AZ24" s="13">
        <v>42036</v>
      </c>
      <c r="BA24" s="15">
        <v>0.37509790134922222</v>
      </c>
      <c r="BB24" s="15">
        <v>0.33109033726646836</v>
      </c>
      <c r="BC24" s="15">
        <v>0.29686194762880258</v>
      </c>
      <c r="BD24" s="15">
        <v>0.4628878881115509</v>
      </c>
      <c r="BE24" s="15">
        <v>0.36601522768750611</v>
      </c>
      <c r="BF24" s="15">
        <v>0.47895038457831862</v>
      </c>
      <c r="BG24" s="15">
        <v>0.36591657761725022</v>
      </c>
      <c r="BH24" s="15">
        <v>0.40140355931533839</v>
      </c>
      <c r="BI24" s="15">
        <v>0.42664858111790005</v>
      </c>
      <c r="BJ24" s="15">
        <v>0.42477568878286337</v>
      </c>
      <c r="BK24" s="15"/>
      <c r="BL24" s="15"/>
      <c r="BM24" s="15"/>
      <c r="BN24" s="15"/>
    </row>
    <row r="25" spans="2:66" s="12" customFormat="1" ht="18" customHeight="1">
      <c r="B25" s="10"/>
      <c r="C25" s="13">
        <v>42005</v>
      </c>
      <c r="D25" s="14">
        <v>5.9802999999999997</v>
      </c>
      <c r="E25" s="14">
        <v>5.1272000000000002</v>
      </c>
      <c r="F25" s="14">
        <v>4.4842000000000004</v>
      </c>
      <c r="G25" s="14">
        <v>6.0248999999999997</v>
      </c>
      <c r="H25" s="14">
        <v>5.2023000000000001</v>
      </c>
      <c r="I25" s="14">
        <v>6.3068</v>
      </c>
      <c r="J25" s="14">
        <v>9.9725999999999999</v>
      </c>
      <c r="K25" s="14">
        <v>9.1213999999999995</v>
      </c>
      <c r="L25" s="14"/>
      <c r="M25" s="14"/>
      <c r="N25" s="14"/>
      <c r="O25" s="14"/>
      <c r="P25" s="14"/>
      <c r="Q25" s="14"/>
      <c r="R25" s="11"/>
      <c r="S25" s="13">
        <v>42005</v>
      </c>
      <c r="T25" s="15">
        <v>0.1072</v>
      </c>
      <c r="U25" s="15">
        <v>3.7900000000000003E-2</v>
      </c>
      <c r="V25" s="15">
        <v>3.61E-2</v>
      </c>
      <c r="W25" s="15">
        <v>6.6699999999999995E-2</v>
      </c>
      <c r="X25" s="15">
        <v>6.6900000000000001E-2</v>
      </c>
      <c r="Y25" s="15">
        <v>8.8200000000000001E-2</v>
      </c>
      <c r="Z25" s="15">
        <v>0</v>
      </c>
      <c r="AA25" s="15">
        <v>0</v>
      </c>
      <c r="AB25" s="15"/>
      <c r="AC25" s="15"/>
      <c r="AD25" s="15"/>
      <c r="AE25" s="15"/>
      <c r="AF25" s="15"/>
      <c r="AG25" s="15"/>
      <c r="AH25" s="10"/>
      <c r="AI25" s="13">
        <v>42005</v>
      </c>
      <c r="AJ25" s="15">
        <v>0.05</v>
      </c>
      <c r="AK25" s="15">
        <v>0.02</v>
      </c>
      <c r="AL25" s="15">
        <v>0.01</v>
      </c>
      <c r="AM25" s="15">
        <v>0.02</v>
      </c>
      <c r="AN25" s="15">
        <v>0</v>
      </c>
      <c r="AO25" s="15">
        <v>0.01</v>
      </c>
      <c r="AP25" s="15">
        <v>0</v>
      </c>
      <c r="AQ25" s="15">
        <v>0</v>
      </c>
      <c r="AR25" s="15"/>
      <c r="AS25" s="15"/>
      <c r="AT25" s="15"/>
      <c r="AU25" s="15"/>
      <c r="AV25" s="15"/>
      <c r="AW25" s="15"/>
      <c r="AX25" s="11"/>
      <c r="AY25" s="11"/>
      <c r="AZ25" s="13">
        <v>42005</v>
      </c>
      <c r="BA25" s="15">
        <v>0.30889268957831367</v>
      </c>
      <c r="BB25" s="15">
        <v>0.26893458242772428</v>
      </c>
      <c r="BC25" s="15">
        <v>0.23242529568249243</v>
      </c>
      <c r="BD25" s="15">
        <v>0.34958263106812448</v>
      </c>
      <c r="BE25" s="15">
        <v>0.25259221838422408</v>
      </c>
      <c r="BF25" s="15">
        <v>0.38818321099202785</v>
      </c>
      <c r="BG25" s="15">
        <v>0.2587940120363254</v>
      </c>
      <c r="BH25" s="15">
        <v>0.32286578182284165</v>
      </c>
      <c r="BI25" s="15"/>
      <c r="BJ25" s="15"/>
      <c r="BK25" s="15"/>
      <c r="BL25" s="15"/>
      <c r="BM25" s="15"/>
      <c r="BN25" s="15"/>
    </row>
    <row r="26" spans="2:66" s="10" customFormat="1" ht="18" customHeight="1">
      <c r="C26" s="13">
        <v>41974</v>
      </c>
      <c r="D26" s="14">
        <v>7.9608999999999996</v>
      </c>
      <c r="E26" s="14">
        <v>6.6855000000000002</v>
      </c>
      <c r="F26" s="14">
        <v>6.3140000000000001</v>
      </c>
      <c r="G26" s="14">
        <v>7.5411000000000001</v>
      </c>
      <c r="H26" s="14">
        <v>6.6345999999999998</v>
      </c>
      <c r="I26" s="14">
        <v>7.125</v>
      </c>
      <c r="J26" s="14">
        <v>11.7668</v>
      </c>
      <c r="K26" s="14">
        <v>10.291</v>
      </c>
      <c r="L26" s="14"/>
      <c r="M26" s="14"/>
      <c r="N26" s="14"/>
      <c r="O26" s="14"/>
      <c r="P26" s="14"/>
      <c r="Q26" s="14"/>
      <c r="R26" s="11"/>
      <c r="S26" s="13">
        <v>41974</v>
      </c>
      <c r="T26" s="15">
        <v>6.7699999999999996E-2</v>
      </c>
      <c r="U26" s="15">
        <v>6.4100000000000004E-2</v>
      </c>
      <c r="V26" s="15">
        <v>2.8500000000000001E-2</v>
      </c>
      <c r="W26" s="15">
        <v>9.9000000000000008E-3</v>
      </c>
      <c r="X26" s="15">
        <v>2.0899999999999998E-2</v>
      </c>
      <c r="Y26" s="15">
        <v>4.3999999999999997E-2</v>
      </c>
      <c r="Z26" s="15">
        <v>0</v>
      </c>
      <c r="AA26" s="15">
        <v>0</v>
      </c>
      <c r="AB26" s="15"/>
      <c r="AC26" s="15"/>
      <c r="AD26" s="15"/>
      <c r="AE26" s="15"/>
      <c r="AF26" s="15"/>
      <c r="AG26" s="15"/>
      <c r="AI26" s="13">
        <v>41974</v>
      </c>
      <c r="AJ26" s="15">
        <v>0.04</v>
      </c>
      <c r="AK26" s="15">
        <v>0.02</v>
      </c>
      <c r="AL26" s="15">
        <v>0</v>
      </c>
      <c r="AM26" s="15">
        <v>0.01</v>
      </c>
      <c r="AN26" s="15">
        <v>0</v>
      </c>
      <c r="AO26" s="15">
        <v>0.01</v>
      </c>
      <c r="AP26" s="15">
        <v>0</v>
      </c>
      <c r="AQ26" s="15">
        <v>0</v>
      </c>
      <c r="AR26" s="15"/>
      <c r="AS26" s="15"/>
      <c r="AT26" s="15"/>
      <c r="AU26" s="15"/>
      <c r="AV26" s="15"/>
      <c r="AW26" s="15"/>
      <c r="AX26" s="11"/>
      <c r="AY26" s="11"/>
      <c r="AZ26" s="13">
        <v>41974</v>
      </c>
      <c r="BA26" s="15">
        <v>0.29056197549944945</v>
      </c>
      <c r="BB26" s="15">
        <v>0.24964216199314426</v>
      </c>
      <c r="BC26" s="15">
        <v>0.22982648546695147</v>
      </c>
      <c r="BD26" s="15">
        <v>0.34645197943854744</v>
      </c>
      <c r="BE26" s="15">
        <v>0.26664097193781755</v>
      </c>
      <c r="BF26" s="15">
        <v>0.38986259606519763</v>
      </c>
      <c r="BG26" s="15">
        <v>0.21421870499928941</v>
      </c>
      <c r="BH26" s="15">
        <v>0.25712173148555939</v>
      </c>
      <c r="BI26" s="15"/>
      <c r="BJ26" s="15"/>
      <c r="BK26" s="15"/>
      <c r="BL26" s="15"/>
      <c r="BM26" s="15"/>
      <c r="BN26" s="15"/>
    </row>
    <row r="27" spans="2:66" s="10" customFormat="1" ht="18" customHeight="1">
      <c r="C27" s="13">
        <v>41944</v>
      </c>
      <c r="D27" s="14">
        <v>6.2229000000000001</v>
      </c>
      <c r="E27" s="14">
        <v>5.1308999999999996</v>
      </c>
      <c r="F27" s="14">
        <v>4.95</v>
      </c>
      <c r="G27" s="14">
        <v>6.0586000000000002</v>
      </c>
      <c r="H27" s="14">
        <v>5.5103999999999997</v>
      </c>
      <c r="I27" s="14">
        <v>6.2827000000000002</v>
      </c>
      <c r="J27" s="14">
        <v>9.8765999999999998</v>
      </c>
      <c r="K27" s="14">
        <v>9.5653000000000006</v>
      </c>
      <c r="L27" s="14"/>
      <c r="M27" s="14"/>
      <c r="N27" s="14"/>
      <c r="O27" s="14"/>
      <c r="P27" s="14"/>
      <c r="Q27" s="14"/>
      <c r="R27" s="11"/>
      <c r="S27" s="13">
        <v>41944</v>
      </c>
      <c r="T27" s="15">
        <v>0.06</v>
      </c>
      <c r="U27" s="15">
        <v>4.9500000000000002E-2</v>
      </c>
      <c r="V27" s="15">
        <v>3.4299999999999997E-2</v>
      </c>
      <c r="W27" s="15">
        <v>9.9900000000000003E-2</v>
      </c>
      <c r="X27" s="15">
        <v>2.07E-2</v>
      </c>
      <c r="Y27" s="15">
        <v>8.7800000000000003E-2</v>
      </c>
      <c r="Z27" s="15">
        <v>0</v>
      </c>
      <c r="AA27" s="15">
        <v>0</v>
      </c>
      <c r="AB27" s="15"/>
      <c r="AC27" s="15"/>
      <c r="AD27" s="15"/>
      <c r="AE27" s="15"/>
      <c r="AF27" s="15"/>
      <c r="AG27" s="15"/>
      <c r="AI27" s="13">
        <v>41944</v>
      </c>
      <c r="AJ27" s="15">
        <v>0.04</v>
      </c>
      <c r="AK27" s="15">
        <v>0.02</v>
      </c>
      <c r="AL27" s="15">
        <v>0</v>
      </c>
      <c r="AM27" s="15">
        <v>0.01</v>
      </c>
      <c r="AN27" s="15">
        <v>0</v>
      </c>
      <c r="AO27" s="15">
        <v>0</v>
      </c>
      <c r="AP27" s="15">
        <v>0</v>
      </c>
      <c r="AQ27" s="15">
        <v>0</v>
      </c>
      <c r="AR27" s="15"/>
      <c r="AS27" s="15"/>
      <c r="AT27" s="15"/>
      <c r="AU27" s="15"/>
      <c r="AV27" s="15"/>
      <c r="AW27" s="15"/>
      <c r="AX27" s="11"/>
      <c r="AY27" s="11"/>
      <c r="AZ27" s="13">
        <v>41944</v>
      </c>
      <c r="BA27" s="15">
        <v>0.37766798780822036</v>
      </c>
      <c r="BB27" s="15">
        <v>0.33128638894411244</v>
      </c>
      <c r="BC27" s="15">
        <v>0.29608005950586608</v>
      </c>
      <c r="BD27" s="15">
        <v>0.43145607777390377</v>
      </c>
      <c r="BE27" s="15">
        <v>0.35336973541279804</v>
      </c>
      <c r="BF27" s="15">
        <v>0.45080761464805941</v>
      </c>
      <c r="BG27" s="15">
        <v>0.30018273591955402</v>
      </c>
      <c r="BH27" s="15">
        <v>0.32164451056253401</v>
      </c>
      <c r="BI27" s="15"/>
      <c r="BJ27" s="15"/>
      <c r="BK27" s="15"/>
      <c r="BL27" s="15"/>
      <c r="BM27" s="15"/>
      <c r="BN27" s="15"/>
    </row>
    <row r="28" spans="2:66" s="10" customFormat="1" ht="18" customHeight="1">
      <c r="C28" s="13">
        <v>41913</v>
      </c>
      <c r="D28" s="14">
        <v>6.8959000000000001</v>
      </c>
      <c r="E28" s="14">
        <v>6.6981000000000002</v>
      </c>
      <c r="F28" s="14">
        <v>5.7521000000000004</v>
      </c>
      <c r="G28" s="14">
        <v>6.4198000000000004</v>
      </c>
      <c r="H28" s="14">
        <v>5.9844999999999997</v>
      </c>
      <c r="I28" s="14">
        <v>6.5739999999999998</v>
      </c>
      <c r="J28" s="14"/>
      <c r="K28" s="14"/>
      <c r="L28" s="14"/>
      <c r="M28" s="14"/>
      <c r="N28" s="14"/>
      <c r="O28" s="14"/>
      <c r="P28" s="14"/>
      <c r="Q28" s="14"/>
      <c r="R28" s="11"/>
      <c r="S28" s="13">
        <v>41913</v>
      </c>
      <c r="T28" s="15">
        <v>5.4399999999999997E-2</v>
      </c>
      <c r="U28" s="15">
        <v>6.8000000000000005E-2</v>
      </c>
      <c r="V28" s="15">
        <v>1.5699999999999999E-2</v>
      </c>
      <c r="W28" s="15">
        <v>0</v>
      </c>
      <c r="X28" s="15">
        <v>0</v>
      </c>
      <c r="Y28" s="15">
        <v>0</v>
      </c>
      <c r="Z28" s="15"/>
      <c r="AA28" s="15"/>
      <c r="AB28" s="15"/>
      <c r="AC28" s="15"/>
      <c r="AD28" s="15"/>
      <c r="AE28" s="15"/>
      <c r="AF28" s="15"/>
      <c r="AG28" s="15"/>
      <c r="AI28" s="13">
        <v>41913</v>
      </c>
      <c r="AJ28" s="15">
        <v>0.03</v>
      </c>
      <c r="AK28" s="15">
        <v>0.01</v>
      </c>
      <c r="AL28" s="15">
        <v>0</v>
      </c>
      <c r="AM28" s="15">
        <v>0</v>
      </c>
      <c r="AN28" s="15">
        <v>0</v>
      </c>
      <c r="AO28" s="15">
        <v>0</v>
      </c>
      <c r="AP28" s="15"/>
      <c r="AQ28" s="15"/>
      <c r="AR28" s="15"/>
      <c r="AS28" s="15"/>
      <c r="AT28" s="15"/>
      <c r="AU28" s="15"/>
      <c r="AV28" s="15"/>
      <c r="AW28" s="15"/>
      <c r="AX28" s="11"/>
      <c r="AY28" s="11"/>
      <c r="AZ28" s="13">
        <v>41913</v>
      </c>
      <c r="BA28" s="15">
        <v>0.22773411382250255</v>
      </c>
      <c r="BB28" s="15">
        <v>0.21632208706255537</v>
      </c>
      <c r="BC28" s="15">
        <v>0.19366292779215485</v>
      </c>
      <c r="BD28" s="15">
        <v>0.28481514043901485</v>
      </c>
      <c r="BE28" s="15">
        <v>0.19359806845539854</v>
      </c>
      <c r="BF28" s="15">
        <v>0.28893045623585428</v>
      </c>
      <c r="BG28" s="15"/>
      <c r="BH28" s="15"/>
      <c r="BI28" s="15"/>
      <c r="BJ28" s="15"/>
      <c r="BK28" s="15"/>
      <c r="BL28" s="15"/>
      <c r="BM28" s="15"/>
      <c r="BN28" s="15"/>
    </row>
    <row r="29" spans="2:66" s="10" customFormat="1" ht="18" customHeight="1">
      <c r="C29" s="13">
        <v>41883</v>
      </c>
      <c r="D29" s="14">
        <v>6.6208</v>
      </c>
      <c r="E29" s="14">
        <v>6.2762000000000002</v>
      </c>
      <c r="F29" s="14">
        <v>5.7961999999999998</v>
      </c>
      <c r="G29" s="14">
        <v>6.2785000000000002</v>
      </c>
      <c r="H29" s="14">
        <v>5.8460999999999999</v>
      </c>
      <c r="I29" s="14">
        <v>6.1737000000000002</v>
      </c>
      <c r="J29" s="14"/>
      <c r="K29" s="14"/>
      <c r="L29" s="14"/>
      <c r="M29" s="14"/>
      <c r="N29" s="14"/>
      <c r="O29" s="14"/>
      <c r="P29" s="14"/>
      <c r="Q29" s="14"/>
      <c r="R29" s="11"/>
      <c r="S29" s="13">
        <v>41883</v>
      </c>
      <c r="T29" s="15">
        <v>6.2399999999999997E-2</v>
      </c>
      <c r="U29" s="15">
        <v>1.9900000000000001E-2</v>
      </c>
      <c r="V29" s="15">
        <v>1.67E-2</v>
      </c>
      <c r="W29" s="15">
        <v>6.4899999999999999E-2</v>
      </c>
      <c r="X29" s="15">
        <v>0</v>
      </c>
      <c r="Y29" s="15">
        <v>0</v>
      </c>
      <c r="Z29" s="15"/>
      <c r="AA29" s="15"/>
      <c r="AB29" s="15"/>
      <c r="AC29" s="15"/>
      <c r="AD29" s="15"/>
      <c r="AE29" s="15"/>
      <c r="AF29" s="15"/>
      <c r="AG29" s="15"/>
      <c r="AI29" s="13">
        <v>41883</v>
      </c>
      <c r="AJ29" s="15">
        <v>0.03</v>
      </c>
      <c r="AK29" s="15">
        <v>0.01</v>
      </c>
      <c r="AL29" s="15">
        <v>0</v>
      </c>
      <c r="AM29" s="15">
        <v>0</v>
      </c>
      <c r="AN29" s="15">
        <v>0</v>
      </c>
      <c r="AO29" s="15">
        <v>0</v>
      </c>
      <c r="AP29" s="15"/>
      <c r="AQ29" s="15"/>
      <c r="AR29" s="15"/>
      <c r="AS29" s="15"/>
      <c r="AT29" s="15"/>
      <c r="AU29" s="15"/>
      <c r="AV29" s="15"/>
      <c r="AW29" s="15"/>
      <c r="AX29" s="11"/>
      <c r="AY29" s="11"/>
      <c r="AZ29" s="13">
        <v>41883</v>
      </c>
      <c r="BA29" s="15">
        <v>0.28280316807853634</v>
      </c>
      <c r="BB29" s="15">
        <v>0.23100353414111746</v>
      </c>
      <c r="BC29" s="15">
        <v>0.18639041304976345</v>
      </c>
      <c r="BD29" s="15">
        <v>0.23360284100391462</v>
      </c>
      <c r="BE29" s="15">
        <v>0.2156424188954324</v>
      </c>
      <c r="BF29" s="15">
        <v>0.2853668728797733</v>
      </c>
      <c r="BG29" s="15"/>
      <c r="BH29" s="15"/>
      <c r="BI29" s="15"/>
      <c r="BJ29" s="15"/>
      <c r="BK29" s="15"/>
      <c r="BL29" s="15"/>
      <c r="BM29" s="15"/>
      <c r="BN29" s="15"/>
    </row>
    <row r="30" spans="2:66" s="10" customFormat="1" ht="18" customHeight="1">
      <c r="C30" s="13">
        <v>41852</v>
      </c>
      <c r="D30" s="14">
        <v>7.1153000000000004</v>
      </c>
      <c r="E30" s="14">
        <v>6.4042000000000003</v>
      </c>
      <c r="F30" s="14">
        <v>6.3779000000000003</v>
      </c>
      <c r="G30" s="14">
        <v>6.8301999999999996</v>
      </c>
      <c r="H30" s="14">
        <v>6.2595000000000001</v>
      </c>
      <c r="I30" s="14">
        <v>6.1364000000000001</v>
      </c>
      <c r="J30" s="14"/>
      <c r="K30" s="14"/>
      <c r="L30" s="14"/>
      <c r="M30" s="14"/>
      <c r="N30" s="14"/>
      <c r="O30" s="14"/>
      <c r="P30" s="14"/>
      <c r="Q30" s="14"/>
      <c r="R30" s="11"/>
      <c r="S30" s="13">
        <v>41852</v>
      </c>
      <c r="T30" s="15">
        <v>2.9000000000000001E-2</v>
      </c>
      <c r="U30" s="15">
        <v>2.7799999999999998E-2</v>
      </c>
      <c r="V30" s="15">
        <v>0</v>
      </c>
      <c r="W30" s="15">
        <v>0</v>
      </c>
      <c r="X30" s="15">
        <v>0</v>
      </c>
      <c r="Y30" s="15">
        <v>0</v>
      </c>
      <c r="Z30" s="15"/>
      <c r="AA30" s="15"/>
      <c r="AB30" s="15"/>
      <c r="AC30" s="15"/>
      <c r="AD30" s="15"/>
      <c r="AE30" s="15"/>
      <c r="AF30" s="15"/>
      <c r="AG30" s="15"/>
      <c r="AI30" s="13">
        <v>41852</v>
      </c>
      <c r="AJ30" s="15">
        <v>0.02</v>
      </c>
      <c r="AK30" s="15">
        <v>0</v>
      </c>
      <c r="AL30" s="15">
        <v>0</v>
      </c>
      <c r="AM30" s="15">
        <v>0</v>
      </c>
      <c r="AN30" s="15">
        <v>0</v>
      </c>
      <c r="AO30" s="15">
        <v>0</v>
      </c>
      <c r="AP30" s="15"/>
      <c r="AQ30" s="15"/>
      <c r="AR30" s="15"/>
      <c r="AS30" s="15"/>
      <c r="AT30" s="15"/>
      <c r="AU30" s="15"/>
      <c r="AV30" s="15"/>
      <c r="AW30" s="15"/>
      <c r="AX30" s="11"/>
      <c r="AY30" s="11"/>
      <c r="AZ30" s="13">
        <v>41852</v>
      </c>
      <c r="BA30" s="15">
        <v>0.32159122504188664</v>
      </c>
      <c r="BB30" s="15">
        <v>0.25246221912101841</v>
      </c>
      <c r="BC30" s="15">
        <v>0.21721218690018185</v>
      </c>
      <c r="BD30" s="15">
        <v>0.37599228880956764</v>
      </c>
      <c r="BE30" s="15">
        <v>0.2460423350199375</v>
      </c>
      <c r="BF30" s="15">
        <v>0.3163206766235297</v>
      </c>
      <c r="BG30" s="15"/>
      <c r="BH30" s="15"/>
      <c r="BI30" s="15"/>
      <c r="BJ30" s="15"/>
      <c r="BK30" s="15"/>
      <c r="BL30" s="15"/>
      <c r="BM30" s="15"/>
      <c r="BN30" s="15"/>
    </row>
    <row r="31" spans="2:66" s="10" customFormat="1" ht="18" customHeight="1">
      <c r="C31" s="13">
        <v>41821</v>
      </c>
      <c r="D31" s="14">
        <v>8.1112000000000002</v>
      </c>
      <c r="E31" s="14">
        <v>6.5576999999999996</v>
      </c>
      <c r="F31" s="14">
        <v>6.4131</v>
      </c>
      <c r="G31" s="14">
        <v>7.657</v>
      </c>
      <c r="H31" s="14">
        <v>6.6032000000000002</v>
      </c>
      <c r="I31" s="14">
        <v>7.2175000000000002</v>
      </c>
      <c r="J31" s="14"/>
      <c r="K31" s="14"/>
      <c r="L31" s="14"/>
      <c r="M31" s="14"/>
      <c r="N31" s="14"/>
      <c r="O31" s="14"/>
      <c r="P31" s="14"/>
      <c r="Q31" s="14"/>
      <c r="R31" s="11"/>
      <c r="S31" s="13">
        <v>41821</v>
      </c>
      <c r="T31" s="15">
        <v>6.0699999999999997E-2</v>
      </c>
      <c r="U31" s="15">
        <v>3.2000000000000001E-2</v>
      </c>
      <c r="V31" s="15">
        <v>0</v>
      </c>
      <c r="W31" s="15">
        <v>0</v>
      </c>
      <c r="X31" s="15">
        <v>0</v>
      </c>
      <c r="Y31" s="15">
        <v>0</v>
      </c>
      <c r="Z31" s="15"/>
      <c r="AA31" s="15"/>
      <c r="AB31" s="15"/>
      <c r="AC31" s="15"/>
      <c r="AD31" s="15"/>
      <c r="AE31" s="15"/>
      <c r="AF31" s="15"/>
      <c r="AG31" s="15"/>
      <c r="AI31" s="13">
        <v>41821</v>
      </c>
      <c r="AJ31" s="15">
        <v>0.02</v>
      </c>
      <c r="AK31" s="15">
        <v>0</v>
      </c>
      <c r="AL31" s="15">
        <v>0</v>
      </c>
      <c r="AM31" s="15">
        <v>0</v>
      </c>
      <c r="AN31" s="15">
        <v>0</v>
      </c>
      <c r="AO31" s="15">
        <v>0</v>
      </c>
      <c r="AP31" s="15"/>
      <c r="AQ31" s="15"/>
      <c r="AR31" s="15"/>
      <c r="AS31" s="15"/>
      <c r="AT31" s="15"/>
      <c r="AU31" s="15"/>
      <c r="AV31" s="15"/>
      <c r="AW31" s="15"/>
      <c r="AX31" s="11"/>
      <c r="AY31" s="11"/>
      <c r="AZ31" s="13">
        <v>41821</v>
      </c>
      <c r="BA31" s="15">
        <v>0.23431652666252803</v>
      </c>
      <c r="BB31" s="15">
        <v>0.21615506360110393</v>
      </c>
      <c r="BC31" s="15">
        <v>0.19490345007900819</v>
      </c>
      <c r="BD31" s="15">
        <v>0.25368214160399072</v>
      </c>
      <c r="BE31" s="15">
        <v>0.18344708362762954</v>
      </c>
      <c r="BF31" s="15">
        <v>0.23465651658566869</v>
      </c>
      <c r="BG31" s="15"/>
      <c r="BH31" s="15"/>
      <c r="BI31" s="15"/>
      <c r="BJ31" s="15"/>
      <c r="BK31" s="15"/>
      <c r="BL31" s="15"/>
      <c r="BM31" s="15"/>
      <c r="BN31" s="15"/>
    </row>
    <row r="32" spans="2:66" s="10" customFormat="1" ht="18" customHeight="1">
      <c r="C32" s="13">
        <v>41791</v>
      </c>
      <c r="D32" s="14">
        <v>7.5891000000000002</v>
      </c>
      <c r="E32" s="14">
        <v>6.4953000000000003</v>
      </c>
      <c r="F32" s="14">
        <v>6.5929000000000002</v>
      </c>
      <c r="G32" s="14">
        <v>7.1509999999999998</v>
      </c>
      <c r="H32" s="14">
        <v>7.5358000000000001</v>
      </c>
      <c r="I32" s="14">
        <v>6.6285999999999996</v>
      </c>
      <c r="J32" s="14"/>
      <c r="K32" s="14"/>
      <c r="L32" s="14"/>
      <c r="M32" s="14"/>
      <c r="N32" s="14"/>
      <c r="O32" s="14"/>
      <c r="P32" s="14"/>
      <c r="Q32" s="14"/>
      <c r="R32" s="11"/>
      <c r="S32" s="13">
        <v>41791</v>
      </c>
      <c r="T32" s="15">
        <v>7.3400000000000007E-2</v>
      </c>
      <c r="U32" s="15">
        <v>7.3000000000000001E-3</v>
      </c>
      <c r="V32" s="15">
        <v>0</v>
      </c>
      <c r="W32" s="15">
        <v>0</v>
      </c>
      <c r="X32" s="15">
        <v>0</v>
      </c>
      <c r="Y32" s="15">
        <v>0</v>
      </c>
      <c r="Z32" s="15"/>
      <c r="AA32" s="15"/>
      <c r="AB32" s="15"/>
      <c r="AC32" s="15"/>
      <c r="AD32" s="15"/>
      <c r="AE32" s="15"/>
      <c r="AF32" s="15"/>
      <c r="AG32" s="15"/>
      <c r="AI32" s="13">
        <v>41791</v>
      </c>
      <c r="AJ32" s="15">
        <v>0.01</v>
      </c>
      <c r="AK32" s="15">
        <v>0</v>
      </c>
      <c r="AL32" s="15">
        <v>0</v>
      </c>
      <c r="AM32" s="15">
        <v>0</v>
      </c>
      <c r="AN32" s="15">
        <v>0</v>
      </c>
      <c r="AO32" s="15">
        <v>0</v>
      </c>
      <c r="AP32" s="15"/>
      <c r="AQ32" s="15"/>
      <c r="AR32" s="15"/>
      <c r="AS32" s="15"/>
      <c r="AT32" s="15"/>
      <c r="AU32" s="15"/>
      <c r="AV32" s="15"/>
      <c r="AW32" s="15"/>
      <c r="AX32" s="11"/>
      <c r="AY32" s="11"/>
      <c r="AZ32" s="13">
        <v>41791</v>
      </c>
      <c r="BA32" s="15">
        <v>0.26951858298042403</v>
      </c>
      <c r="BB32" s="15">
        <v>0.25690980279740411</v>
      </c>
      <c r="BC32" s="15">
        <v>0.20110733018964366</v>
      </c>
      <c r="BD32" s="15">
        <v>0.25308105873638803</v>
      </c>
      <c r="BE32" s="15">
        <v>0.13289279483144439</v>
      </c>
      <c r="BF32" s="15">
        <v>0.2027803955243544</v>
      </c>
      <c r="BG32" s="15"/>
      <c r="BH32" s="15"/>
      <c r="BI32" s="15"/>
      <c r="BJ32" s="15"/>
      <c r="BK32" s="15"/>
      <c r="BL32" s="15"/>
      <c r="BM32" s="15"/>
      <c r="BN32" s="15"/>
    </row>
    <row r="33" spans="3:66" s="10" customFormat="1" ht="18" customHeight="1">
      <c r="C33" s="13">
        <v>41760</v>
      </c>
      <c r="D33" s="14">
        <v>6.4036</v>
      </c>
      <c r="E33" s="14">
        <v>5.4901999999999997</v>
      </c>
      <c r="F33" s="14">
        <v>5.5529999999999999</v>
      </c>
      <c r="G33" s="14">
        <v>6.3765999999999998</v>
      </c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1"/>
      <c r="S33" s="13">
        <v>41760</v>
      </c>
      <c r="T33" s="15">
        <v>3.0499999999999999E-2</v>
      </c>
      <c r="U33" s="15">
        <v>4.0599999999999997E-2</v>
      </c>
      <c r="V33" s="15">
        <v>0</v>
      </c>
      <c r="W33" s="15">
        <v>0</v>
      </c>
      <c r="X33" s="15"/>
      <c r="Y33" s="15"/>
      <c r="Z33" s="15"/>
      <c r="AA33" s="15"/>
      <c r="AB33" s="15"/>
      <c r="AC33" s="15"/>
      <c r="AD33" s="15"/>
      <c r="AE33" s="15"/>
      <c r="AF33" s="15"/>
      <c r="AG33" s="15"/>
      <c r="AI33" s="13">
        <v>41760</v>
      </c>
      <c r="AJ33" s="15">
        <v>0.01</v>
      </c>
      <c r="AK33" s="15">
        <v>0</v>
      </c>
      <c r="AL33" s="15">
        <v>0</v>
      </c>
      <c r="AM33" s="15">
        <v>0</v>
      </c>
      <c r="AN33" s="15"/>
      <c r="AO33" s="15"/>
      <c r="AP33" s="15"/>
      <c r="AQ33" s="15"/>
      <c r="AR33" s="15"/>
      <c r="AS33" s="15"/>
      <c r="AT33" s="15"/>
      <c r="AU33" s="15"/>
      <c r="AV33" s="15"/>
      <c r="AW33" s="15"/>
      <c r="AX33" s="11"/>
      <c r="AY33" s="11"/>
      <c r="AZ33" s="13">
        <v>41760</v>
      </c>
      <c r="BA33" s="15">
        <v>0.21460464627325876</v>
      </c>
      <c r="BB33" s="15">
        <v>0.24658054991502382</v>
      </c>
      <c r="BC33" s="15">
        <v>0.18740335147015857</v>
      </c>
      <c r="BD33" s="15">
        <v>0.20520279264644578</v>
      </c>
      <c r="BE33" s="15"/>
      <c r="BF33" s="15"/>
      <c r="BG33" s="15"/>
      <c r="BH33" s="15"/>
      <c r="BI33" s="15"/>
      <c r="BJ33" s="15"/>
      <c r="BK33" s="15"/>
      <c r="BL33" s="15"/>
      <c r="BM33" s="15"/>
      <c r="BN33" s="15"/>
    </row>
    <row r="34" spans="3:66" s="10" customFormat="1" ht="18" customHeight="1">
      <c r="C34" s="13">
        <v>41730</v>
      </c>
      <c r="D34" s="14">
        <v>5.3460999999999999</v>
      </c>
      <c r="E34" s="14">
        <v>4.8837999999999999</v>
      </c>
      <c r="F34" s="14">
        <v>4.7366999999999999</v>
      </c>
      <c r="G34" s="14">
        <v>5.1940999999999997</v>
      </c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1"/>
      <c r="S34" s="13">
        <v>41730</v>
      </c>
      <c r="T34" s="15">
        <v>1.6299999999999999E-2</v>
      </c>
      <c r="U34" s="15">
        <v>0</v>
      </c>
      <c r="V34" s="15">
        <v>0</v>
      </c>
      <c r="W34" s="15">
        <v>0</v>
      </c>
      <c r="X34" s="15"/>
      <c r="Y34" s="15"/>
      <c r="Z34" s="15"/>
      <c r="AA34" s="15"/>
      <c r="AB34" s="15"/>
      <c r="AC34" s="15"/>
      <c r="AD34" s="15"/>
      <c r="AE34" s="15"/>
      <c r="AF34" s="15"/>
      <c r="AG34" s="15"/>
      <c r="AI34" s="13">
        <v>41730</v>
      </c>
      <c r="AJ34" s="15">
        <v>0</v>
      </c>
      <c r="AK34" s="15">
        <v>0</v>
      </c>
      <c r="AL34" s="15">
        <v>0</v>
      </c>
      <c r="AM34" s="15">
        <v>0</v>
      </c>
      <c r="AN34" s="15"/>
      <c r="AO34" s="15"/>
      <c r="AP34" s="15"/>
      <c r="AQ34" s="15"/>
      <c r="AR34" s="15"/>
      <c r="AS34" s="15"/>
      <c r="AT34" s="15"/>
      <c r="AU34" s="15"/>
      <c r="AV34" s="15"/>
      <c r="AW34" s="15"/>
      <c r="AX34" s="11"/>
      <c r="AY34" s="11"/>
      <c r="AZ34" s="13">
        <v>41730</v>
      </c>
      <c r="BA34" s="15">
        <v>0.22061685064183734</v>
      </c>
      <c r="BB34" s="15">
        <v>0.19816911841480964</v>
      </c>
      <c r="BC34" s="15">
        <v>0.13427046482151753</v>
      </c>
      <c r="BD34" s="15">
        <v>0.16185182924521538</v>
      </c>
      <c r="BE34" s="15"/>
      <c r="BF34" s="15"/>
      <c r="BG34" s="15"/>
      <c r="BH34" s="15"/>
      <c r="BI34" s="15"/>
      <c r="BJ34" s="15"/>
      <c r="BK34" s="15"/>
      <c r="BL34" s="15"/>
      <c r="BM34" s="15"/>
      <c r="BN34" s="15"/>
    </row>
    <row r="35" spans="3:66" s="10" customFormat="1" ht="18" customHeight="1">
      <c r="C35" s="13">
        <v>41699</v>
      </c>
      <c r="D35" s="14">
        <v>4.9611000000000001</v>
      </c>
      <c r="E35" s="14">
        <v>4.3414000000000001</v>
      </c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1"/>
      <c r="S35" s="13">
        <v>41699</v>
      </c>
      <c r="T35" s="15">
        <v>3.95E-2</v>
      </c>
      <c r="U35" s="15">
        <v>0</v>
      </c>
      <c r="V35" s="15"/>
      <c r="W35" s="15"/>
      <c r="X35" s="15"/>
      <c r="Y35" s="15"/>
      <c r="Z35" s="15"/>
      <c r="AA35" s="15"/>
      <c r="AB35" s="15"/>
      <c r="AC35" s="15"/>
      <c r="AD35" s="15"/>
      <c r="AE35" s="15"/>
      <c r="AF35" s="15"/>
      <c r="AG35" s="15"/>
      <c r="AI35" s="13">
        <v>41699</v>
      </c>
      <c r="AJ35" s="15">
        <v>0</v>
      </c>
      <c r="AK35" s="15">
        <v>0</v>
      </c>
      <c r="AL35" s="15"/>
      <c r="AM35" s="15"/>
      <c r="AN35" s="15"/>
      <c r="AO35" s="15"/>
      <c r="AP35" s="15"/>
      <c r="AQ35" s="15"/>
      <c r="AR35" s="15"/>
      <c r="AS35" s="15"/>
      <c r="AT35" s="15"/>
      <c r="AU35" s="15"/>
      <c r="AV35" s="15"/>
      <c r="AW35" s="15"/>
      <c r="AX35" s="11"/>
      <c r="AY35" s="11"/>
      <c r="AZ35" s="13">
        <v>41699</v>
      </c>
      <c r="BA35" s="15">
        <v>0.1818213058293088</v>
      </c>
      <c r="BB35" s="15">
        <v>0.17458782720799926</v>
      </c>
      <c r="BC35" s="15"/>
      <c r="BD35" s="15"/>
      <c r="BE35" s="15"/>
      <c r="BF35" s="15"/>
      <c r="BG35" s="15"/>
      <c r="BH35" s="15"/>
      <c r="BI35" s="15"/>
      <c r="BJ35" s="15"/>
      <c r="BK35" s="15"/>
      <c r="BL35" s="15"/>
      <c r="BM35" s="15"/>
      <c r="BN35" s="15"/>
    </row>
    <row r="36" spans="3:66" s="10" customFormat="1" ht="18" customHeight="1">
      <c r="C36" s="13">
        <v>41671</v>
      </c>
      <c r="D36" s="14">
        <v>3.6004</v>
      </c>
      <c r="E36" s="14">
        <v>3.2972999999999999</v>
      </c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1"/>
      <c r="S36" s="13">
        <v>41671</v>
      </c>
      <c r="T36" s="15">
        <v>4.7100000000000003E-2</v>
      </c>
      <c r="U36" s="15">
        <v>0</v>
      </c>
      <c r="V36" s="15"/>
      <c r="W36" s="15"/>
      <c r="X36" s="15"/>
      <c r="Y36" s="15"/>
      <c r="Z36" s="15"/>
      <c r="AA36" s="15"/>
      <c r="AB36" s="15"/>
      <c r="AC36" s="15"/>
      <c r="AD36" s="15"/>
      <c r="AE36" s="15"/>
      <c r="AF36" s="15"/>
      <c r="AG36" s="15"/>
      <c r="AI36" s="13">
        <v>41671</v>
      </c>
      <c r="AJ36" s="15">
        <v>0</v>
      </c>
      <c r="AK36" s="15">
        <v>0</v>
      </c>
      <c r="AL36" s="15"/>
      <c r="AM36" s="15"/>
      <c r="AN36" s="15"/>
      <c r="AO36" s="15"/>
      <c r="AP36" s="15"/>
      <c r="AQ36" s="15"/>
      <c r="AR36" s="15"/>
      <c r="AS36" s="15"/>
      <c r="AT36" s="15"/>
      <c r="AU36" s="15"/>
      <c r="AV36" s="15"/>
      <c r="AW36" s="15"/>
      <c r="AX36" s="11"/>
      <c r="AY36" s="11"/>
      <c r="AZ36" s="13">
        <v>41671</v>
      </c>
      <c r="BA36" s="15">
        <v>0.26057928890974691</v>
      </c>
      <c r="BB36" s="15">
        <v>0.26455428789919244</v>
      </c>
      <c r="BC36" s="15"/>
      <c r="BD36" s="15"/>
      <c r="BE36" s="15"/>
      <c r="BF36" s="15"/>
      <c r="BG36" s="15"/>
      <c r="BH36" s="15"/>
      <c r="BI36" s="15"/>
      <c r="BJ36" s="15"/>
      <c r="BK36" s="15"/>
      <c r="BL36" s="15"/>
      <c r="BM36" s="15"/>
      <c r="BN36" s="15"/>
    </row>
    <row r="37" spans="3:66" s="10" customFormat="1" ht="18" customHeight="1">
      <c r="C37" s="13">
        <v>41640</v>
      </c>
      <c r="D37" s="14">
        <v>3.7942999999999998</v>
      </c>
      <c r="E37" s="14">
        <v>3.1509</v>
      </c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1"/>
      <c r="S37" s="13">
        <v>41640</v>
      </c>
      <c r="T37" s="15">
        <v>0</v>
      </c>
      <c r="U37" s="15">
        <v>0</v>
      </c>
      <c r="V37" s="15"/>
      <c r="W37" s="15"/>
      <c r="X37" s="15"/>
      <c r="Y37" s="15"/>
      <c r="Z37" s="15"/>
      <c r="AA37" s="15"/>
      <c r="AB37" s="15"/>
      <c r="AC37" s="15"/>
      <c r="AD37" s="15"/>
      <c r="AE37" s="15"/>
      <c r="AF37" s="15"/>
      <c r="AG37" s="15"/>
      <c r="AI37" s="13">
        <v>41640</v>
      </c>
      <c r="AJ37" s="15">
        <v>0</v>
      </c>
      <c r="AK37" s="15">
        <v>0</v>
      </c>
      <c r="AL37" s="15"/>
      <c r="AM37" s="15"/>
      <c r="AN37" s="15"/>
      <c r="AO37" s="15"/>
      <c r="AP37" s="15"/>
      <c r="AQ37" s="15"/>
      <c r="AR37" s="15"/>
      <c r="AS37" s="15"/>
      <c r="AT37" s="15"/>
      <c r="AU37" s="15"/>
      <c r="AV37" s="15"/>
      <c r="AW37" s="15"/>
      <c r="AX37" s="11"/>
      <c r="AY37" s="11"/>
      <c r="AZ37" s="13">
        <v>41640</v>
      </c>
      <c r="BA37" s="15">
        <v>0.18425246220557345</v>
      </c>
      <c r="BB37" s="15">
        <v>0.16038141677889206</v>
      </c>
      <c r="BC37" s="15"/>
      <c r="BD37" s="15"/>
      <c r="BE37" s="15"/>
      <c r="BF37" s="15"/>
      <c r="BG37" s="15"/>
      <c r="BH37" s="15"/>
      <c r="BI37" s="15"/>
      <c r="BJ37" s="15"/>
      <c r="BK37" s="15"/>
      <c r="BL37" s="15"/>
      <c r="BM37" s="15"/>
      <c r="BN37" s="15"/>
    </row>
    <row r="38" spans="3:66" s="10" customFormat="1" ht="18" customHeight="1">
      <c r="C38" s="13">
        <v>41609</v>
      </c>
      <c r="D38" s="14">
        <v>4.8606999999999996</v>
      </c>
      <c r="E38" s="14">
        <v>3.9436</v>
      </c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1"/>
      <c r="S38" s="13">
        <v>41609</v>
      </c>
      <c r="T38" s="15">
        <v>0</v>
      </c>
      <c r="U38" s="15">
        <v>0</v>
      </c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15"/>
      <c r="AG38" s="15"/>
      <c r="AI38" s="13">
        <v>41609</v>
      </c>
      <c r="AJ38" s="15">
        <v>0</v>
      </c>
      <c r="AK38" s="15">
        <v>0</v>
      </c>
      <c r="AL38" s="15"/>
      <c r="AM38" s="15"/>
      <c r="AN38" s="15"/>
      <c r="AO38" s="15"/>
      <c r="AP38" s="15"/>
      <c r="AQ38" s="15"/>
      <c r="AR38" s="15"/>
      <c r="AS38" s="15"/>
      <c r="AT38" s="15"/>
      <c r="AU38" s="15"/>
      <c r="AV38" s="15"/>
      <c r="AW38" s="15"/>
      <c r="AX38" s="11"/>
      <c r="AY38" s="11"/>
      <c r="AZ38" s="13">
        <v>41609</v>
      </c>
      <c r="BA38" s="15">
        <v>0.18353268613137858</v>
      </c>
      <c r="BB38" s="15">
        <v>0.14466061276666303</v>
      </c>
      <c r="BC38" s="15"/>
      <c r="BD38" s="15"/>
      <c r="BE38" s="15"/>
      <c r="BF38" s="15"/>
      <c r="BG38" s="15"/>
      <c r="BH38" s="15"/>
      <c r="BI38" s="15"/>
      <c r="BJ38" s="15"/>
      <c r="BK38" s="15"/>
      <c r="BL38" s="15"/>
      <c r="BM38" s="15"/>
      <c r="BN38" s="15"/>
    </row>
    <row r="39" spans="3:66" s="10" customFormat="1" ht="18" customHeight="1">
      <c r="C39" s="13">
        <v>41579</v>
      </c>
      <c r="D39" s="14">
        <v>4.6677999999999997</v>
      </c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1"/>
      <c r="S39" s="13">
        <v>41579</v>
      </c>
      <c r="T39" s="15">
        <v>0</v>
      </c>
      <c r="U39" s="15"/>
      <c r="V39" s="15"/>
      <c r="W39" s="15"/>
      <c r="X39" s="15"/>
      <c r="Y39" s="15"/>
      <c r="Z39" s="15"/>
      <c r="AA39" s="15"/>
      <c r="AB39" s="15"/>
      <c r="AC39" s="15"/>
      <c r="AD39" s="15"/>
      <c r="AE39" s="15"/>
      <c r="AF39" s="15"/>
      <c r="AG39" s="15"/>
      <c r="AI39" s="13">
        <v>41579</v>
      </c>
      <c r="AJ39" s="15">
        <v>0</v>
      </c>
      <c r="AK39" s="15"/>
      <c r="AL39" s="15"/>
      <c r="AM39" s="15"/>
      <c r="AN39" s="15"/>
      <c r="AO39" s="15"/>
      <c r="AP39" s="15"/>
      <c r="AQ39" s="15"/>
      <c r="AR39" s="15"/>
      <c r="AS39" s="15"/>
      <c r="AT39" s="15"/>
      <c r="AU39" s="15"/>
      <c r="AV39" s="15"/>
      <c r="AW39" s="15"/>
      <c r="AX39" s="11"/>
      <c r="AY39" s="11"/>
      <c r="AZ39" s="13">
        <v>41579</v>
      </c>
      <c r="BA39" s="15">
        <v>0.20171887598680166</v>
      </c>
      <c r="BB39" s="15"/>
      <c r="BC39" s="15"/>
      <c r="BD39" s="15"/>
      <c r="BE39" s="15"/>
      <c r="BF39" s="15"/>
      <c r="BG39" s="15"/>
      <c r="BH39" s="15"/>
      <c r="BI39" s="15"/>
      <c r="BJ39" s="15"/>
      <c r="BK39" s="15"/>
      <c r="BL39" s="15"/>
      <c r="BM39" s="15"/>
      <c r="BN39" s="15"/>
    </row>
    <row r="40" spans="3:66" s="10" customFormat="1" ht="18" customHeight="1">
      <c r="C40" s="13">
        <v>41548</v>
      </c>
      <c r="D40" s="14">
        <v>5.1554000000000002</v>
      </c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1"/>
      <c r="S40" s="13">
        <v>41548</v>
      </c>
      <c r="T40" s="15">
        <v>0</v>
      </c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s="15"/>
      <c r="AF40" s="15"/>
      <c r="AG40" s="15"/>
      <c r="AI40" s="13">
        <v>41548</v>
      </c>
      <c r="AJ40" s="15">
        <v>0</v>
      </c>
      <c r="AK40" s="15"/>
      <c r="AL40" s="15"/>
      <c r="AM40" s="15"/>
      <c r="AN40" s="15"/>
      <c r="AO40" s="15"/>
      <c r="AP40" s="15"/>
      <c r="AQ40" s="15"/>
      <c r="AR40" s="15"/>
      <c r="AS40" s="15"/>
      <c r="AT40" s="15"/>
      <c r="AU40" s="15"/>
      <c r="AV40" s="15"/>
      <c r="AW40" s="15"/>
      <c r="AX40" s="11"/>
      <c r="AY40" s="11"/>
      <c r="AZ40" s="13">
        <v>41548</v>
      </c>
      <c r="BA40" s="15">
        <v>0.14121100647975354</v>
      </c>
      <c r="BB40" s="15"/>
      <c r="BC40" s="15"/>
      <c r="BD40" s="15"/>
      <c r="BE40" s="15"/>
      <c r="BF40" s="15"/>
      <c r="BG40" s="15"/>
      <c r="BH40" s="15"/>
      <c r="BI40" s="15"/>
      <c r="BJ40" s="15"/>
      <c r="BK40" s="15"/>
      <c r="BL40" s="15"/>
      <c r="BM40" s="15"/>
      <c r="BN40" s="15"/>
    </row>
    <row r="41" spans="3:66" s="10" customFormat="1" ht="18" customHeight="1">
      <c r="C41" s="16">
        <v>41518</v>
      </c>
      <c r="D41" s="17">
        <v>4.5026000000000002</v>
      </c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R41" s="11"/>
      <c r="S41" s="16">
        <v>41518</v>
      </c>
      <c r="T41" s="18">
        <v>0</v>
      </c>
      <c r="U41" s="18"/>
      <c r="V41" s="18"/>
      <c r="W41" s="18"/>
      <c r="X41" s="18"/>
      <c r="Y41" s="18"/>
      <c r="Z41" s="18"/>
      <c r="AA41" s="18"/>
      <c r="AB41" s="18"/>
      <c r="AC41" s="18"/>
      <c r="AD41" s="18"/>
      <c r="AE41" s="18"/>
      <c r="AF41" s="18"/>
      <c r="AG41" s="18"/>
      <c r="AI41" s="16">
        <v>41518</v>
      </c>
      <c r="AJ41" s="18">
        <v>0</v>
      </c>
      <c r="AK41" s="18"/>
      <c r="AL41" s="18"/>
      <c r="AM41" s="18"/>
      <c r="AN41" s="18"/>
      <c r="AO41" s="18"/>
      <c r="AP41" s="18"/>
      <c r="AQ41" s="18"/>
      <c r="AR41" s="18"/>
      <c r="AS41" s="18"/>
      <c r="AT41" s="18"/>
      <c r="AU41" s="18"/>
      <c r="AV41" s="18"/>
      <c r="AW41" s="18"/>
      <c r="AX41" s="11"/>
      <c r="AY41" s="11"/>
      <c r="AZ41" s="16">
        <v>41518</v>
      </c>
      <c r="BA41" s="18">
        <v>0.11906152793376748</v>
      </c>
      <c r="BB41" s="18"/>
      <c r="BC41" s="18"/>
      <c r="BD41" s="18"/>
      <c r="BE41" s="18"/>
      <c r="BF41" s="18"/>
      <c r="BG41" s="18"/>
      <c r="BH41" s="18"/>
      <c r="BI41" s="18"/>
      <c r="BJ41" s="18"/>
      <c r="BK41" s="18"/>
      <c r="BL41" s="18"/>
      <c r="BM41" s="18"/>
      <c r="BN41" s="18"/>
    </row>
    <row r="42" spans="3:66" ht="17.25" customHeight="1">
      <c r="R42" s="4"/>
    </row>
    <row r="43" spans="3:66" ht="17.25" customHeight="1">
      <c r="C43" s="5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4"/>
      <c r="R43" s="4"/>
      <c r="S43" s="5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</row>
    <row r="44" spans="3:66" ht="17.25" customHeight="1">
      <c r="C44" s="5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4"/>
      <c r="R44" s="4"/>
      <c r="S44" s="5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</row>
    <row r="45" spans="3:66" ht="17.25" customHeight="1">
      <c r="C45" s="5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</row>
    <row r="46" spans="3:66" ht="17.25" customHeight="1"/>
    <row r="48" spans="3:66" s="46" customFormat="1" ht="25.5" customHeight="1">
      <c r="AG48" s="52"/>
      <c r="AH48" s="52"/>
      <c r="AI48" s="52"/>
      <c r="AJ48" s="52"/>
      <c r="AK48" s="52"/>
      <c r="AL48" s="52"/>
      <c r="AM48" s="52"/>
      <c r="AN48" s="52"/>
      <c r="AO48" s="52"/>
      <c r="AP48" s="52"/>
      <c r="AQ48" s="52"/>
      <c r="AR48" s="52"/>
      <c r="AS48" s="52"/>
      <c r="AT48" s="52"/>
    </row>
    <row r="49" spans="33:46" s="10" customFormat="1"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</row>
    <row r="50" spans="33:46" s="10" customFormat="1" ht="18" customHeight="1"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</row>
    <row r="51" spans="33:46" s="10" customFormat="1" ht="18" customHeight="1"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</row>
    <row r="52" spans="33:46" s="10" customFormat="1" ht="18" customHeight="1"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</row>
    <row r="53" spans="33:46" s="10" customFormat="1" ht="18" customHeight="1"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</row>
    <row r="54" spans="33:46" s="10" customFormat="1" ht="18" customHeight="1"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</row>
    <row r="55" spans="33:46" s="10" customFormat="1" ht="18" customHeight="1"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</row>
    <row r="56" spans="33:46" s="10" customFormat="1" ht="18" customHeight="1"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</row>
    <row r="57" spans="33:46" s="10" customFormat="1" ht="18" customHeight="1"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</row>
    <row r="58" spans="33:46" s="10" customFormat="1" ht="18" customHeight="1"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</row>
    <row r="59" spans="33:46" s="10" customFormat="1" ht="18" customHeight="1"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</row>
    <row r="60" spans="33:46" s="10" customFormat="1" ht="18" customHeight="1"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</row>
    <row r="61" spans="33:46" s="10" customFormat="1" ht="18" customHeight="1"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</row>
    <row r="62" spans="33:46" s="10" customFormat="1" ht="18" customHeight="1"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</row>
    <row r="63" spans="33:46" s="10" customFormat="1" ht="18" customHeight="1"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</row>
    <row r="64" spans="33:46" s="10" customFormat="1" ht="18" customHeight="1"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</row>
    <row r="65" spans="3:46" s="10" customFormat="1" ht="18" customHeight="1"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</row>
    <row r="66" spans="3:46" s="10" customFormat="1" ht="18" customHeight="1"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</row>
    <row r="67" spans="3:46" s="10" customFormat="1" ht="18" customHeight="1"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</row>
    <row r="68" spans="3:46" s="10" customFormat="1" ht="18" customHeight="1"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</row>
    <row r="69" spans="3:46" s="10" customFormat="1" ht="18" customHeight="1"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</row>
    <row r="70" spans="3:46" s="10" customFormat="1" ht="18" customHeight="1"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</row>
    <row r="71" spans="3:46" s="10" customFormat="1" ht="18" customHeight="1"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</row>
    <row r="72" spans="3:46" s="10" customFormat="1" ht="18" customHeight="1"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</row>
    <row r="73" spans="3:46" hidden="1">
      <c r="C73" s="5"/>
      <c r="D73" s="8">
        <v>0.1</v>
      </c>
      <c r="E73" s="8"/>
      <c r="F73" s="8"/>
      <c r="G73" s="8"/>
      <c r="H73" s="8"/>
      <c r="I73" s="8"/>
      <c r="J73" s="8"/>
      <c r="K73" s="8"/>
      <c r="L73" s="8"/>
      <c r="M73" s="8"/>
      <c r="N73" s="8"/>
      <c r="O73" s="8"/>
      <c r="P73" s="8"/>
      <c r="Q73" s="4"/>
      <c r="R73" s="4"/>
    </row>
    <row r="74" spans="3:46">
      <c r="C74" s="5"/>
      <c r="D74" s="8"/>
      <c r="E74" s="8"/>
      <c r="F74" s="8"/>
      <c r="G74" s="8"/>
      <c r="H74" s="8"/>
      <c r="I74" s="8"/>
      <c r="J74" s="8"/>
      <c r="K74" s="8"/>
      <c r="L74" s="8"/>
      <c r="M74" s="8"/>
      <c r="N74" s="8"/>
      <c r="O74" s="8"/>
      <c r="P74" s="8"/>
      <c r="Q74" s="4"/>
      <c r="R74" s="4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</row>
  </sheetData>
  <mergeCells count="4">
    <mergeCell ref="S15:AF15"/>
    <mergeCell ref="AI15:AV15"/>
    <mergeCell ref="AZ15:BM15"/>
    <mergeCell ref="C15:Q15"/>
  </mergeCells>
  <conditionalFormatting sqref="D73">
    <cfRule type="dataBar" priority="1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{FB435F9A-6CAF-4B2C-B6A4-54C59B2A2779}</x14:id>
        </ext>
      </extLst>
    </cfRule>
  </conditionalFormatting>
  <conditionalFormatting sqref="E73:P73">
    <cfRule type="dataBar" priority="10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{684E19EC-8C4B-4AC9-B855-1083D3749578}</x14:id>
        </ext>
      </extLst>
    </cfRule>
  </conditionalFormatting>
  <conditionalFormatting sqref="D73:P73">
    <cfRule type="dataBar" priority="7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{6C574F30-E9C1-412E-8A44-846A49D4355E}</x14:id>
        </ext>
      </extLst>
    </cfRule>
  </conditionalFormatting>
  <conditionalFormatting sqref="D43:P43">
    <cfRule type="dataBar" priority="5">
      <dataBar>
        <cfvo type="min"/>
        <cfvo type="max"/>
        <color theme="3" tint="0.59999389629810485"/>
      </dataBar>
      <extLst>
        <ext xmlns:x14="http://schemas.microsoft.com/office/spreadsheetml/2009/9/main" uri="{B025F937-C7B1-47D3-B67F-A62EFF666E3E}">
          <x14:id>{E4212A0D-F39A-4B4F-9C01-53ED2E69DBC4}</x14:id>
        </ext>
      </extLst>
    </cfRule>
  </conditionalFormatting>
  <conditionalFormatting sqref="T43:AF43">
    <cfRule type="dataBar" priority="4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{9957FB16-6BA5-4A99-A57C-A04A33504F77}</x14:id>
        </ext>
      </extLst>
    </cfRule>
  </conditionalFormatting>
  <conditionalFormatting pivot="1" sqref="D18:Q41">
    <cfRule type="dataBar" priority="3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{86A234C5-DE6D-443B-BBAF-37C116FA5CA4}</x14:id>
        </ext>
      </extLst>
    </cfRule>
  </conditionalFormatting>
  <conditionalFormatting pivot="1" sqref="T18:AG41">
    <cfRule type="dataBar" priority="2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{BB801BD7-CD29-464B-8632-43E02C412240}</x14:id>
        </ext>
      </extLst>
    </cfRule>
  </conditionalFormatting>
  <conditionalFormatting pivot="1" sqref="AJ18:AW41">
    <cfRule type="dataBar" priority="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{505FB77C-6838-47EB-8D37-3E771783E5DF}</x14:id>
        </ext>
      </extLst>
    </cfRule>
  </conditionalFormatting>
  <pageMargins left="0.25" right="0.25" top="0.255" bottom="0.25" header="0.1" footer="0.1"/>
  <pageSetup scale="37" orientation="landscape" horizontalDpi="300" verticalDpi="300" r:id="rId5"/>
  <headerFooter scaleWithDoc="0">
    <oddHeader>&amp;L&amp;G&amp;C&amp;"-,Bold"&amp;10&amp;K2E398A
&amp;15Deal Surveilance Summary&amp;R&amp;"-,Bold"&amp;10&amp;K2E398A
As of 03/18/2015</oddHeader>
    <oddFooter>&amp;L&amp;10&amp;K2E398AReport created on &amp;D &amp;T&amp;C&amp;G
&amp;8&amp;K2E398APage &amp;P of &amp;N</oddFooter>
  </headerFooter>
  <colBreaks count="1" manualBreakCount="1">
    <brk id="35" max="1048575" man="1"/>
  </colBreaks>
  <legacyDrawingHF r:id="rId6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435F9A-6CAF-4B2C-B6A4-54C59B2A277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D73</xm:sqref>
        </x14:conditionalFormatting>
        <x14:conditionalFormatting xmlns:xm="http://schemas.microsoft.com/office/excel/2006/main">
          <x14:cfRule type="dataBar" id="{684E19EC-8C4B-4AC9-B855-1083D374957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E73:P73</xm:sqref>
        </x14:conditionalFormatting>
        <x14:conditionalFormatting xmlns:xm="http://schemas.microsoft.com/office/excel/2006/main">
          <x14:cfRule type="dataBar" id="{6C574F30-E9C1-412E-8A44-846A49D435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D73:P73</xm:sqref>
        </x14:conditionalFormatting>
        <x14:conditionalFormatting xmlns:xm="http://schemas.microsoft.com/office/excel/2006/main">
          <x14:cfRule type="dataBar" id="{E4212A0D-F39A-4B4F-9C01-53ED2E69DBC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D43:P43</xm:sqref>
        </x14:conditionalFormatting>
        <x14:conditionalFormatting xmlns:xm="http://schemas.microsoft.com/office/excel/2006/main">
          <x14:cfRule type="dataBar" id="{9957FB16-6BA5-4A99-A57C-A04A33504F7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T43:AF43</xm:sqref>
        </x14:conditionalFormatting>
        <x14:conditionalFormatting xmlns:xm="http://schemas.microsoft.com/office/excel/2006/main" pivot="1">
          <x14:cfRule type="dataBar" id="{86A234C5-DE6D-443B-BBAF-37C116FA5CA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D18:Q41</xm:sqref>
        </x14:conditionalFormatting>
        <x14:conditionalFormatting xmlns:xm="http://schemas.microsoft.com/office/excel/2006/main" pivot="1">
          <x14:cfRule type="dataBar" id="{BB801BD7-CD29-464B-8632-43E02C41224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T18:AG41</xm:sqref>
        </x14:conditionalFormatting>
        <x14:conditionalFormatting xmlns:xm="http://schemas.microsoft.com/office/excel/2006/main" pivot="1">
          <x14:cfRule type="dataBar" id="{505FB77C-6838-47EB-8D37-3E771783E5DF}">
            <x14:dataBar minLength="0" maxLength="100" gradient="0">
              <x14:cfvo type="min"/>
              <x14:cfvo type="max"/>
              <x14:negativeFillColor rgb="FFFF0000"/>
              <x14:axisColor rgb="FF000000"/>
            </x14:dataBar>
          </x14:cfRule>
          <xm:sqref>AJ18:AW41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3:AR17"/>
  <sheetViews>
    <sheetView workbookViewId="0">
      <selection activeCell="C15" sqref="C15:Q15"/>
    </sheetView>
  </sheetViews>
  <sheetFormatPr defaultRowHeight="15"/>
  <cols>
    <col min="2" max="2" width="12.7109375" bestFit="1" customWidth="1"/>
    <col min="32" max="44" width="9.140625" style="93"/>
  </cols>
  <sheetData>
    <row r="3" spans="2:44">
      <c r="B3" s="41" t="s">
        <v>32</v>
      </c>
      <c r="C3" s="41" t="s">
        <v>33</v>
      </c>
      <c r="D3" s="41" t="s">
        <v>21</v>
      </c>
      <c r="E3" s="41" t="s">
        <v>22</v>
      </c>
      <c r="F3" s="41" t="s">
        <v>23</v>
      </c>
      <c r="G3" s="41" t="s">
        <v>34</v>
      </c>
      <c r="H3" s="41" t="s">
        <v>35</v>
      </c>
      <c r="I3" s="41" t="s">
        <v>36</v>
      </c>
      <c r="J3" s="41" t="s">
        <v>37</v>
      </c>
      <c r="K3" s="41" t="s">
        <v>38</v>
      </c>
      <c r="L3" s="41" t="s">
        <v>39</v>
      </c>
      <c r="M3" s="41" t="s">
        <v>40</v>
      </c>
      <c r="N3" s="41" t="s">
        <v>41</v>
      </c>
      <c r="O3" s="41" t="s">
        <v>42</v>
      </c>
      <c r="P3" s="41" t="s">
        <v>43</v>
      </c>
      <c r="Q3" s="41" t="s">
        <v>44</v>
      </c>
      <c r="R3" s="41" t="s">
        <v>45</v>
      </c>
      <c r="S3" s="41" t="s">
        <v>46</v>
      </c>
      <c r="T3" s="41" t="s">
        <v>47</v>
      </c>
      <c r="U3" s="41" t="s">
        <v>48</v>
      </c>
      <c r="V3" s="41" t="s">
        <v>49</v>
      </c>
      <c r="W3" s="41" t="s">
        <v>50</v>
      </c>
      <c r="X3" s="41" t="s">
        <v>51</v>
      </c>
      <c r="Y3" s="41" t="s">
        <v>52</v>
      </c>
      <c r="Z3" s="41" t="s">
        <v>53</v>
      </c>
      <c r="AA3" s="41" t="s">
        <v>54</v>
      </c>
      <c r="AB3" s="41" t="s">
        <v>55</v>
      </c>
      <c r="AC3" s="41" t="s">
        <v>56</v>
      </c>
      <c r="AD3" s="41" t="s">
        <v>57</v>
      </c>
      <c r="AE3" s="41" t="s">
        <v>58</v>
      </c>
      <c r="AF3" s="41" t="s">
        <v>217</v>
      </c>
      <c r="AG3" s="41" t="s">
        <v>218</v>
      </c>
      <c r="AH3" s="41" t="s">
        <v>219</v>
      </c>
      <c r="AI3" s="41" t="s">
        <v>220</v>
      </c>
      <c r="AJ3" s="41" t="s">
        <v>221</v>
      </c>
      <c r="AK3" s="41" t="s">
        <v>222</v>
      </c>
      <c r="AL3" s="41" t="s">
        <v>223</v>
      </c>
      <c r="AM3" s="41" t="s">
        <v>224</v>
      </c>
      <c r="AN3" s="41" t="s">
        <v>225</v>
      </c>
      <c r="AO3" s="41" t="s">
        <v>226</v>
      </c>
      <c r="AP3" s="41" t="s">
        <v>227</v>
      </c>
      <c r="AQ3" s="41" t="s">
        <v>228</v>
      </c>
      <c r="AR3" s="41" t="s">
        <v>229</v>
      </c>
    </row>
    <row r="4" spans="2:44">
      <c r="B4" t="s">
        <v>111</v>
      </c>
      <c r="C4" t="s">
        <v>115</v>
      </c>
      <c r="D4">
        <v>97905</v>
      </c>
      <c r="E4">
        <v>22049871215.43</v>
      </c>
      <c r="F4">
        <v>23800656000</v>
      </c>
      <c r="G4">
        <v>35.971044789556267</v>
      </c>
      <c r="H4">
        <v>3.8348936129034348</v>
      </c>
      <c r="I4">
        <v>3.834893893451174</v>
      </c>
      <c r="J4">
        <v>74.920563656330373</v>
      </c>
      <c r="K4">
        <v>75.871675296315559</v>
      </c>
      <c r="L4">
        <v>58.840441557854206</v>
      </c>
      <c r="M4">
        <v>31.250599887198128</v>
      </c>
      <c r="N4">
        <v>765.95339379673737</v>
      </c>
      <c r="O4">
        <v>309648.58855799859</v>
      </c>
      <c r="P4">
        <v>0</v>
      </c>
      <c r="Q4">
        <v>4.9584989438165229E-2</v>
      </c>
      <c r="R4">
        <v>0.12314603893649305</v>
      </c>
      <c r="S4">
        <v>0.5999043757055359</v>
      </c>
      <c r="T4">
        <v>2.7690936682783381E-2</v>
      </c>
      <c r="U4">
        <v>0.64156843909276884</v>
      </c>
      <c r="V4">
        <v>0.86827260738704692</v>
      </c>
      <c r="W4">
        <v>0.41273557722375676</v>
      </c>
      <c r="X4">
        <v>0.15275458574030112</v>
      </c>
      <c r="Y4">
        <v>0.9969225337365003</v>
      </c>
      <c r="Z4">
        <v>3.0774662634997477E-3</v>
      </c>
      <c r="AA4">
        <v>0.97280840445723626</v>
      </c>
      <c r="AB4">
        <v>2.4114129279263954E-2</v>
      </c>
      <c r="AC4">
        <v>2.7796086390341652E-3</v>
      </c>
      <c r="AD4">
        <v>2.9785762446558222E-4</v>
      </c>
      <c r="AE4">
        <v>1.4362009324498648E-4</v>
      </c>
      <c r="AF4" s="3">
        <v>1</v>
      </c>
      <c r="AG4" s="100">
        <v>42248</v>
      </c>
      <c r="AH4" s="3">
        <v>225217.00848199785</v>
      </c>
      <c r="AI4" s="3">
        <v>8.8566317948987464E-2</v>
      </c>
      <c r="AJ4" s="3">
        <v>0.2607512383848577</v>
      </c>
      <c r="AK4" s="3">
        <v>9.0068301306914039E-2</v>
      </c>
      <c r="AL4" s="3">
        <v>1.1184686236508279E-3</v>
      </c>
      <c r="AM4" s="3">
        <v>6.4935525918085402E-3</v>
      </c>
      <c r="AN4" s="3">
        <v>8.2142403174787826E-2</v>
      </c>
      <c r="AO4" s="3">
        <v>0.43928248918215318</v>
      </c>
      <c r="AP4" s="3">
        <v>0.14798193359409006</v>
      </c>
      <c r="AQ4" s="3">
        <v>0.48404257691769298</v>
      </c>
      <c r="AR4" s="3">
        <v>0.36320283734200587</v>
      </c>
    </row>
    <row r="5" spans="2:44">
      <c r="B5" s="41" t="s">
        <v>119</v>
      </c>
      <c r="C5" s="41" t="s">
        <v>123</v>
      </c>
      <c r="D5" s="41">
        <v>109292</v>
      </c>
      <c r="E5" s="41">
        <v>25099031172.810001</v>
      </c>
      <c r="F5" s="41">
        <v>26935008000</v>
      </c>
      <c r="G5" s="41">
        <v>33.016286881625248</v>
      </c>
      <c r="H5" s="41">
        <v>3.6302615512711949</v>
      </c>
      <c r="I5" s="41">
        <v>3.630252488769611</v>
      </c>
      <c r="J5" s="41">
        <v>74.515388406618001</v>
      </c>
      <c r="K5" s="41">
        <v>75.485967956750201</v>
      </c>
      <c r="L5" s="41">
        <v>58.988454423678107</v>
      </c>
      <c r="M5" s="41">
        <v>31.034593230174181</v>
      </c>
      <c r="N5" s="41">
        <v>765.39190346573719</v>
      </c>
      <c r="O5" s="41">
        <v>312673.09541640879</v>
      </c>
      <c r="P5" s="41">
        <v>0</v>
      </c>
      <c r="Q5" s="41">
        <v>4.2482713754907996E-2</v>
      </c>
      <c r="R5" s="41">
        <v>9.466527391041088E-2</v>
      </c>
      <c r="S5" s="41">
        <v>0.59451716522050146</v>
      </c>
      <c r="T5" s="41">
        <v>2.8773694078772123E-2</v>
      </c>
      <c r="U5" s="41">
        <v>0.63053277207146485</v>
      </c>
      <c r="V5" s="41">
        <v>0.87162585394290071</v>
      </c>
      <c r="W5" s="41">
        <v>0.31507449956701417</v>
      </c>
      <c r="X5" s="41">
        <v>0.17793624149318107</v>
      </c>
      <c r="Y5" s="41">
        <v>0.99734126886290775</v>
      </c>
      <c r="Z5" s="41">
        <v>2.6587311370922912E-3</v>
      </c>
      <c r="AA5" s="41">
        <v>0.9751451698910274</v>
      </c>
      <c r="AB5" s="41">
        <v>2.2196098971880313E-2</v>
      </c>
      <c r="AC5" s="41">
        <v>2.3858719273942277E-3</v>
      </c>
      <c r="AD5" s="41">
        <v>2.7285920969806363E-4</v>
      </c>
      <c r="AE5" s="41">
        <v>1.0092113088189817E-4</v>
      </c>
      <c r="AF5" s="3">
        <v>1</v>
      </c>
      <c r="AG5" s="100">
        <v>42248</v>
      </c>
      <c r="AH5" s="3">
        <v>229651.12883660287</v>
      </c>
      <c r="AI5" s="3">
        <v>9.2747393739715411E-2</v>
      </c>
      <c r="AJ5" s="3">
        <v>0.26954988495767362</v>
      </c>
      <c r="AK5" s="3">
        <v>9.4633157943684917E-2</v>
      </c>
      <c r="AL5" s="3">
        <v>1.2076314791319715E-3</v>
      </c>
      <c r="AM5" s="3">
        <v>4.0765535480445751E-3</v>
      </c>
      <c r="AN5" s="3">
        <v>8.5891432302191331E-2</v>
      </c>
      <c r="AO5" s="3">
        <v>0.52730620213928636</v>
      </c>
      <c r="AP5" s="3">
        <v>0.15761929829369942</v>
      </c>
      <c r="AQ5" s="3">
        <v>0.46998117854480326</v>
      </c>
      <c r="AR5" s="3">
        <v>0.35208257996201564</v>
      </c>
    </row>
    <row r="6" spans="2:44">
      <c r="B6" s="41" t="s">
        <v>127</v>
      </c>
      <c r="C6" s="41" t="s">
        <v>131</v>
      </c>
      <c r="D6" s="41">
        <v>174537</v>
      </c>
      <c r="E6" s="41">
        <v>41047667635.150002</v>
      </c>
      <c r="F6" s="41">
        <v>43772262000</v>
      </c>
      <c r="G6" s="41">
        <v>30.306173059595913</v>
      </c>
      <c r="H6" s="41">
        <v>3.5825467872210557</v>
      </c>
      <c r="I6" s="41">
        <v>3.5825461018561722</v>
      </c>
      <c r="J6" s="41">
        <v>74.270552970785602</v>
      </c>
      <c r="K6" s="41">
        <v>75.332926308148814</v>
      </c>
      <c r="L6" s="41">
        <v>59.806272665299822</v>
      </c>
      <c r="M6" s="41">
        <v>31.232919399160036</v>
      </c>
      <c r="N6" s="41">
        <v>764.09964165821441</v>
      </c>
      <c r="O6" s="41">
        <v>316077.97178742575</v>
      </c>
      <c r="P6" s="41">
        <v>0</v>
      </c>
      <c r="Q6" s="41">
        <v>4.2215121896624852E-2</v>
      </c>
      <c r="R6" s="41">
        <v>8.9112118788637562E-2</v>
      </c>
      <c r="S6" s="41">
        <v>0.59030589303010117</v>
      </c>
      <c r="T6" s="41">
        <v>3.0759540333268585E-2</v>
      </c>
      <c r="U6" s="41">
        <v>0.62637721155715165</v>
      </c>
      <c r="V6" s="41">
        <v>0.86661166537117928</v>
      </c>
      <c r="W6" s="41">
        <v>0.29344646287540482</v>
      </c>
      <c r="X6" s="41">
        <v>0.14760638634536291</v>
      </c>
      <c r="Y6" s="41">
        <v>0.99751485453797994</v>
      </c>
      <c r="Z6" s="41">
        <v>2.4851454620200427E-3</v>
      </c>
      <c r="AA6" s="41">
        <v>0.9797756826098174</v>
      </c>
      <c r="AB6" s="41">
        <v>1.7739171928162566E-2</v>
      </c>
      <c r="AC6" s="41">
        <v>2.2631662952379223E-3</v>
      </c>
      <c r="AD6" s="41">
        <v>2.2197916678212023E-4</v>
      </c>
      <c r="AE6" s="41">
        <v>6.9812188002275221E-5</v>
      </c>
      <c r="AF6" s="3">
        <v>1</v>
      </c>
      <c r="AG6" s="100">
        <v>42248</v>
      </c>
      <c r="AH6" s="3">
        <v>235180.32070649776</v>
      </c>
      <c r="AI6" s="3">
        <v>0.10063156530562045</v>
      </c>
      <c r="AJ6" s="3">
        <v>0.26704526063676659</v>
      </c>
      <c r="AK6" s="3">
        <v>9.9640256038022609E-2</v>
      </c>
      <c r="AL6" s="3">
        <v>1.144365633329567E-3</v>
      </c>
      <c r="AM6" s="3">
        <v>5.7929061347295491E-3</v>
      </c>
      <c r="AN6" s="3">
        <v>9.1173212732195807E-2</v>
      </c>
      <c r="AO6" s="3">
        <v>0.53077705955363919</v>
      </c>
      <c r="AP6" s="3">
        <v>0.17577647757095599</v>
      </c>
      <c r="AQ6" s="3">
        <v>0.46373828299125086</v>
      </c>
      <c r="AR6" s="3">
        <v>0.3886553306633862</v>
      </c>
    </row>
    <row r="7" spans="2:44">
      <c r="B7" s="41" t="s">
        <v>127</v>
      </c>
      <c r="C7" s="41" t="s">
        <v>138</v>
      </c>
      <c r="D7" s="41">
        <v>55667</v>
      </c>
      <c r="E7" s="41">
        <v>11949725238.950001</v>
      </c>
      <c r="F7" s="41">
        <v>12689732000</v>
      </c>
      <c r="G7" s="41">
        <v>30.304590006036811</v>
      </c>
      <c r="H7" s="41">
        <v>3.5717853785308833</v>
      </c>
      <c r="I7" s="41">
        <v>3.5718180658070202</v>
      </c>
      <c r="J7" s="41">
        <v>90.973001051220962</v>
      </c>
      <c r="K7" s="41">
        <v>91.024794072770334</v>
      </c>
      <c r="L7" s="41">
        <v>75.001888679712934</v>
      </c>
      <c r="M7" s="41">
        <v>32.352937906579065</v>
      </c>
      <c r="N7" s="41">
        <v>756.64079306877716</v>
      </c>
      <c r="O7" s="41">
        <v>274790.02621540107</v>
      </c>
      <c r="P7" s="41">
        <v>1</v>
      </c>
      <c r="Q7" s="41">
        <v>2.9540782866654246E-2</v>
      </c>
      <c r="R7" s="41">
        <v>0.26766798813284276</v>
      </c>
      <c r="S7" s="41">
        <v>0.55602153446616176</v>
      </c>
      <c r="T7" s="41">
        <v>1.0163823667185172E-3</v>
      </c>
      <c r="U7" s="41">
        <v>0.6029647652855249</v>
      </c>
      <c r="V7" s="41">
        <v>0.97002881940392882</v>
      </c>
      <c r="W7" s="41">
        <v>0.60673616511847706</v>
      </c>
      <c r="X7" s="41">
        <v>9.3982824322133285E-2</v>
      </c>
      <c r="Y7" s="41">
        <v>0.99577728203778904</v>
      </c>
      <c r="Z7" s="41">
        <v>4.2227179622109749E-3</v>
      </c>
      <c r="AA7" s="41">
        <v>0.97544940098340049</v>
      </c>
      <c r="AB7" s="41">
        <v>2.0327881054388517E-2</v>
      </c>
      <c r="AC7" s="41">
        <v>3.666272062657868E-3</v>
      </c>
      <c r="AD7" s="41">
        <v>5.5644589955310705E-4</v>
      </c>
      <c r="AE7" s="41">
        <v>1.6138499600928518E-4</v>
      </c>
      <c r="AF7" s="3">
        <v>2</v>
      </c>
      <c r="AG7" s="100">
        <v>42248</v>
      </c>
      <c r="AH7" s="3">
        <v>214664.43743959616</v>
      </c>
      <c r="AI7" s="3">
        <v>7.8588788689380636E-3</v>
      </c>
      <c r="AJ7" s="3">
        <v>0.31593705658890398</v>
      </c>
      <c r="AK7" s="3">
        <v>7.8109380658196198E-2</v>
      </c>
      <c r="AL7" s="3">
        <v>1.15989149983317E-3</v>
      </c>
      <c r="AM7" s="3">
        <v>1.8289059675417568E-3</v>
      </c>
      <c r="AN7" s="3">
        <v>4.3039772941690812E-4</v>
      </c>
      <c r="AO7" s="3">
        <v>0.36179177330690504</v>
      </c>
      <c r="AP7" s="3">
        <v>3.1472061574617897E-2</v>
      </c>
      <c r="AQ7" s="3">
        <v>0.50345909354051654</v>
      </c>
      <c r="AR7" s="3">
        <v>0.40255808213735012</v>
      </c>
    </row>
    <row r="8" spans="2:44">
      <c r="B8" s="41" t="s">
        <v>142</v>
      </c>
      <c r="C8" s="41" t="s">
        <v>146</v>
      </c>
      <c r="D8" s="41">
        <v>224779</v>
      </c>
      <c r="E8" s="41">
        <v>52227696428.360001</v>
      </c>
      <c r="F8" s="41">
        <v>55266192000</v>
      </c>
      <c r="G8" s="41">
        <v>27.15489251097981</v>
      </c>
      <c r="H8" s="41">
        <v>3.7389846359927912</v>
      </c>
      <c r="I8" s="41">
        <v>3.7389897092783677</v>
      </c>
      <c r="J8" s="41">
        <v>74.774460273484635</v>
      </c>
      <c r="K8" s="41">
        <v>75.842784280657042</v>
      </c>
      <c r="L8" s="41">
        <v>61.418152927301811</v>
      </c>
      <c r="M8" s="41">
        <v>32.008462118192142</v>
      </c>
      <c r="N8" s="41">
        <v>761.42843330226333</v>
      </c>
      <c r="O8" s="41">
        <v>313796.68615252338</v>
      </c>
      <c r="P8" s="41">
        <v>0</v>
      </c>
      <c r="Q8" s="41">
        <v>4.7210334348407428E-2</v>
      </c>
      <c r="R8" s="41">
        <v>0.12207657410997565</v>
      </c>
      <c r="S8" s="41">
        <v>0.56767829749984233</v>
      </c>
      <c r="T8" s="41">
        <v>3.089787175495139E-2</v>
      </c>
      <c r="U8" s="41">
        <v>0.61120744486800982</v>
      </c>
      <c r="V8" s="41">
        <v>0.85918212949735984</v>
      </c>
      <c r="W8" s="41">
        <v>0.39416333469077774</v>
      </c>
      <c r="X8" s="41">
        <v>0.13825543442863922</v>
      </c>
      <c r="Y8" s="41">
        <v>0.99706319677356647</v>
      </c>
      <c r="Z8" s="41">
        <v>2.9368032264335568E-3</v>
      </c>
      <c r="AA8" s="41">
        <v>0.9791129529517667</v>
      </c>
      <c r="AB8" s="41">
        <v>1.7950243821799713E-2</v>
      </c>
      <c r="AC8" s="41">
        <v>2.6825488036252526E-3</v>
      </c>
      <c r="AD8" s="41">
        <v>2.5425442280830414E-4</v>
      </c>
      <c r="AE8" s="41">
        <v>4.9735408751236896E-5</v>
      </c>
      <c r="AF8" s="3">
        <v>1</v>
      </c>
      <c r="AG8" s="100">
        <v>42248</v>
      </c>
      <c r="AH8" s="3">
        <v>232351.31586295873</v>
      </c>
      <c r="AI8" s="3">
        <v>9.58722212720656E-2</v>
      </c>
      <c r="AJ8" s="3">
        <v>0.26998963448028113</v>
      </c>
      <c r="AK8" s="3">
        <v>0.10909018873970866</v>
      </c>
      <c r="AL8" s="3">
        <v>1.4690636236511737E-3</v>
      </c>
      <c r="AM8" s="3">
        <v>8.2436682883491978E-3</v>
      </c>
      <c r="AN8" s="3">
        <v>9.3607536154232729E-2</v>
      </c>
      <c r="AO8" s="3">
        <v>0.4341128654684176</v>
      </c>
      <c r="AP8" s="3">
        <v>0.17172379984080463</v>
      </c>
      <c r="AQ8" s="3">
        <v>0.50074327369795546</v>
      </c>
      <c r="AR8" s="3">
        <v>0.36100129187340541</v>
      </c>
    </row>
    <row r="9" spans="2:44">
      <c r="B9" s="41" t="s">
        <v>142</v>
      </c>
      <c r="C9" s="41" t="s">
        <v>153</v>
      </c>
      <c r="D9" s="41">
        <v>77093</v>
      </c>
      <c r="E9" s="41">
        <v>16423147542.5</v>
      </c>
      <c r="F9" s="41">
        <v>17341118000</v>
      </c>
      <c r="G9" s="41">
        <v>27.0533315378458</v>
      </c>
      <c r="H9" s="41">
        <v>3.7292222940455417</v>
      </c>
      <c r="I9" s="41">
        <v>3.7292280214066951</v>
      </c>
      <c r="J9" s="41">
        <v>91.559479781910383</v>
      </c>
      <c r="K9" s="41">
        <v>91.596068824241954</v>
      </c>
      <c r="L9" s="41">
        <v>76.821497855845934</v>
      </c>
      <c r="M9" s="41">
        <v>32.824756041056553</v>
      </c>
      <c r="N9" s="41">
        <v>754.8016578396863</v>
      </c>
      <c r="O9" s="41">
        <v>270485.83413948404</v>
      </c>
      <c r="P9" s="41">
        <v>1</v>
      </c>
      <c r="Q9" s="41">
        <v>3.0108410652123326E-2</v>
      </c>
      <c r="R9" s="41">
        <v>0.32607407731385546</v>
      </c>
      <c r="S9" s="41">
        <v>0.53952018660493628</v>
      </c>
      <c r="T9" s="41">
        <v>1.0963635541484692E-3</v>
      </c>
      <c r="U9" s="41">
        <v>0.59467392489937498</v>
      </c>
      <c r="V9" s="41">
        <v>0.96941031807453848</v>
      </c>
      <c r="W9" s="41">
        <v>0.71942633189675609</v>
      </c>
      <c r="X9" s="41">
        <v>9.1722898698424093E-2</v>
      </c>
      <c r="Y9" s="41">
        <v>0.99539584688353289</v>
      </c>
      <c r="Z9" s="41">
        <v>4.6041531164670779E-3</v>
      </c>
      <c r="AA9" s="41">
        <v>0.97575480091562361</v>
      </c>
      <c r="AB9" s="41">
        <v>1.9641045967909353E-2</v>
      </c>
      <c r="AC9" s="41">
        <v>3.9922767155521335E-3</v>
      </c>
      <c r="AD9" s="41">
        <v>6.1187640091494352E-4</v>
      </c>
      <c r="AE9" s="41">
        <v>1.1296786655535218E-4</v>
      </c>
      <c r="AF9" s="3">
        <v>2</v>
      </c>
      <c r="AG9" s="100">
        <v>42248</v>
      </c>
      <c r="AH9" s="3">
        <v>213030.33404459548</v>
      </c>
      <c r="AI9" s="3">
        <v>5.8616373293170756E-3</v>
      </c>
      <c r="AJ9" s="3">
        <v>0.32439831317736578</v>
      </c>
      <c r="AK9" s="3">
        <v>7.7235383647226957E-2</v>
      </c>
      <c r="AL9" s="3">
        <v>1.5904019696838208E-3</v>
      </c>
      <c r="AM9" s="3">
        <v>2.1019763063484637E-3</v>
      </c>
      <c r="AN9" s="3">
        <v>4.8127127333819363E-4</v>
      </c>
      <c r="AO9" s="3">
        <v>0.25650163477364374</v>
      </c>
      <c r="AP9" s="3">
        <v>2.40720333296001E-2</v>
      </c>
      <c r="AQ9" s="3">
        <v>0.51350589046076578</v>
      </c>
      <c r="AR9" s="3">
        <v>0.39477121084081013</v>
      </c>
    </row>
    <row r="10" spans="2:44">
      <c r="B10" s="41" t="s">
        <v>157</v>
      </c>
      <c r="C10" s="41" t="s">
        <v>161</v>
      </c>
      <c r="D10" s="41">
        <v>138846</v>
      </c>
      <c r="E10" s="41">
        <v>30899933980.279999</v>
      </c>
      <c r="F10" s="41">
        <v>32496798000</v>
      </c>
      <c r="G10" s="41">
        <v>24.75852430980332</v>
      </c>
      <c r="H10" s="41">
        <v>3.9738132848566825</v>
      </c>
      <c r="I10" s="41">
        <v>3.9738126423096025</v>
      </c>
      <c r="J10" s="41">
        <v>75.286713497072</v>
      </c>
      <c r="K10" s="41">
        <v>76.315740779375332</v>
      </c>
      <c r="L10" s="41">
        <v>63.724154758516633</v>
      </c>
      <c r="M10" s="41">
        <v>32.556840044595916</v>
      </c>
      <c r="N10" s="41">
        <v>757.71151768126947</v>
      </c>
      <c r="O10" s="41">
        <v>301051.61301040504</v>
      </c>
      <c r="P10" s="41">
        <v>0</v>
      </c>
      <c r="Q10" s="41">
        <v>5.1244803669177663E-2</v>
      </c>
      <c r="R10" s="41">
        <v>0.15369574398252372</v>
      </c>
      <c r="S10" s="41">
        <v>0.5568428982599426</v>
      </c>
      <c r="T10" s="41">
        <v>3.3202303428050993E-2</v>
      </c>
      <c r="U10" s="41">
        <v>0.60526889424896191</v>
      </c>
      <c r="V10" s="41">
        <v>0.84702434872687171</v>
      </c>
      <c r="W10" s="41">
        <v>0.50836769029393436</v>
      </c>
      <c r="X10" s="41">
        <v>0.12143325239415281</v>
      </c>
      <c r="Y10" s="41">
        <v>0.99661122969075511</v>
      </c>
      <c r="Z10" s="41">
        <v>3.3887703092448855E-3</v>
      </c>
      <c r="AA10" s="41">
        <v>0.98196837620670696</v>
      </c>
      <c r="AB10" s="41">
        <v>1.4642853484048124E-2</v>
      </c>
      <c r="AC10" s="41">
        <v>3.0064697849933137E-3</v>
      </c>
      <c r="AD10" s="41">
        <v>3.8230052425157176E-4</v>
      </c>
      <c r="AE10" s="41">
        <v>1.7821605067229011E-5</v>
      </c>
      <c r="AF10" s="3">
        <v>1</v>
      </c>
      <c r="AG10" s="100">
        <v>42248</v>
      </c>
      <c r="AH10" s="3">
        <v>222548.24755686155</v>
      </c>
      <c r="AI10" s="3">
        <v>9.0482580174582786E-2</v>
      </c>
      <c r="AJ10" s="3">
        <v>0.27996170521952718</v>
      </c>
      <c r="AK10" s="3">
        <v>0.10402162676047484</v>
      </c>
      <c r="AL10" s="3">
        <v>2.0969441372059804E-3</v>
      </c>
      <c r="AM10" s="3">
        <v>8.6508296338301035E-3</v>
      </c>
      <c r="AN10" s="3">
        <v>0.10173084760395062</v>
      </c>
      <c r="AO10" s="3">
        <v>0.32459651199614353</v>
      </c>
      <c r="AP10" s="3">
        <v>0.16703579770992216</v>
      </c>
      <c r="AQ10" s="3">
        <v>0.51345400211422176</v>
      </c>
      <c r="AR10" s="3">
        <v>0.36511274549162542</v>
      </c>
    </row>
    <row r="11" spans="2:44">
      <c r="B11" s="41" t="s">
        <v>157</v>
      </c>
      <c r="C11" s="41" t="s">
        <v>168</v>
      </c>
      <c r="D11" s="41">
        <v>72041</v>
      </c>
      <c r="E11" s="41">
        <v>15513826943.32</v>
      </c>
      <c r="F11" s="41">
        <v>16247678000</v>
      </c>
      <c r="G11" s="41">
        <v>24.715515316963725</v>
      </c>
      <c r="H11" s="41">
        <v>4.0229632732653657</v>
      </c>
      <c r="I11" s="41">
        <v>4.022959529369694</v>
      </c>
      <c r="J11" s="41">
        <v>92.243347536514548</v>
      </c>
      <c r="K11" s="41">
        <v>92.266220984150422</v>
      </c>
      <c r="L11" s="41">
        <v>79.422087020795189</v>
      </c>
      <c r="M11" s="41">
        <v>33.418647108958282</v>
      </c>
      <c r="N11" s="41">
        <v>753.05810507013996</v>
      </c>
      <c r="O11" s="41">
        <v>269739.69842189719</v>
      </c>
      <c r="P11" s="41">
        <v>0.99837565834709463</v>
      </c>
      <c r="Q11" s="41">
        <v>2.5737181808124034E-2</v>
      </c>
      <c r="R11" s="41">
        <v>0.36062091374230182</v>
      </c>
      <c r="S11" s="41">
        <v>0.5298199342386759</v>
      </c>
      <c r="T11" s="41">
        <v>1.2985887849338536E-3</v>
      </c>
      <c r="U11" s="41">
        <v>0.59334637295174641</v>
      </c>
      <c r="V11" s="41">
        <v>0.97376892564247508</v>
      </c>
      <c r="W11" s="41">
        <v>0.81214803762492327</v>
      </c>
      <c r="X11" s="41">
        <v>9.0356186620579731E-2</v>
      </c>
      <c r="Y11" s="41">
        <v>0.99531085922926821</v>
      </c>
      <c r="Z11" s="41">
        <v>4.6891407707318443E-3</v>
      </c>
      <c r="AA11" s="41">
        <v>0.97999862762529977</v>
      </c>
      <c r="AB11" s="41">
        <v>1.5312231603968336E-2</v>
      </c>
      <c r="AC11" s="41">
        <v>4.0889497853599677E-3</v>
      </c>
      <c r="AD11" s="41">
        <v>6.0019098537187666E-4</v>
      </c>
      <c r="AE11" s="41">
        <v>7.3157187723348304E-5</v>
      </c>
      <c r="AF11" s="3">
        <v>2</v>
      </c>
      <c r="AG11" s="100">
        <v>42248</v>
      </c>
      <c r="AH11" s="3">
        <v>215347.1903960245</v>
      </c>
      <c r="AI11" s="3">
        <v>3.7402550384246038E-3</v>
      </c>
      <c r="AJ11" s="3">
        <v>0.32893979869985063</v>
      </c>
      <c r="AK11" s="3">
        <v>7.4224241887384079E-2</v>
      </c>
      <c r="AL11" s="3">
        <v>1.6738781994201312E-3</v>
      </c>
      <c r="AM11" s="3">
        <v>1.8157082615987883E-3</v>
      </c>
      <c r="AN11" s="3">
        <v>4.9389254940085576E-4</v>
      </c>
      <c r="AO11" s="3">
        <v>0.1701759485777154</v>
      </c>
      <c r="AP11" s="3">
        <v>1.7676013797361313E-2</v>
      </c>
      <c r="AQ11" s="3">
        <v>0.49867563478405008</v>
      </c>
      <c r="AR11" s="3">
        <v>0.41096817859537021</v>
      </c>
    </row>
    <row r="12" spans="2:44">
      <c r="B12" s="41" t="s">
        <v>172</v>
      </c>
      <c r="C12" s="41" t="s">
        <v>176</v>
      </c>
      <c r="D12" s="41">
        <v>125337</v>
      </c>
      <c r="E12" s="41">
        <v>25385515450.669998</v>
      </c>
      <c r="F12" s="41">
        <v>26524790000</v>
      </c>
      <c r="G12" s="41">
        <v>22.34876106969206</v>
      </c>
      <c r="H12" s="41">
        <v>4.5485417168687423</v>
      </c>
      <c r="I12" s="41">
        <v>4.5485422114007559</v>
      </c>
      <c r="J12" s="41">
        <v>75.866243821881497</v>
      </c>
      <c r="K12" s="41">
        <v>76.807641401746636</v>
      </c>
      <c r="L12" s="41">
        <v>65.924927149680684</v>
      </c>
      <c r="M12" s="41">
        <v>33.637502099246632</v>
      </c>
      <c r="N12" s="41">
        <v>757.3830603998523</v>
      </c>
      <c r="O12" s="41">
        <v>275705.34273008496</v>
      </c>
      <c r="P12" s="41">
        <v>0</v>
      </c>
      <c r="Q12" s="41">
        <v>6.1241256457881706E-2</v>
      </c>
      <c r="R12" s="41">
        <v>0.18625828729923255</v>
      </c>
      <c r="S12" s="41">
        <v>0.5305110292335844</v>
      </c>
      <c r="T12" s="41">
        <v>4.0241114583042213E-2</v>
      </c>
      <c r="U12" s="41">
        <v>0.60384142167558097</v>
      </c>
      <c r="V12" s="41">
        <v>0.81974350817567387</v>
      </c>
      <c r="W12" s="41">
        <v>0.62566336417292667</v>
      </c>
      <c r="X12" s="41">
        <v>0.10830272892991177</v>
      </c>
      <c r="Y12" s="41">
        <v>0.99624967774694184</v>
      </c>
      <c r="Z12" s="41">
        <v>3.750322253058182E-3</v>
      </c>
      <c r="AA12" s="41">
        <v>0.98231833599155249</v>
      </c>
      <c r="AB12" s="41">
        <v>1.3931341755389333E-2</v>
      </c>
      <c r="AC12" s="41">
        <v>3.3772738874103588E-3</v>
      </c>
      <c r="AD12" s="41">
        <v>3.730483656478229E-4</v>
      </c>
      <c r="AE12" s="41">
        <v>0</v>
      </c>
      <c r="AF12" s="3">
        <v>1</v>
      </c>
      <c r="AG12" s="100">
        <v>42248</v>
      </c>
      <c r="AH12" s="3">
        <v>202538.08093914806</v>
      </c>
      <c r="AI12" s="3">
        <v>7.7717573769727377E-2</v>
      </c>
      <c r="AJ12" s="3">
        <v>0.28111119005116186</v>
      </c>
      <c r="AK12" s="3">
        <v>0.10206358251597437</v>
      </c>
      <c r="AL12" s="3">
        <v>2.8421935174097767E-3</v>
      </c>
      <c r="AM12" s="3">
        <v>1.0141612239872999E-2</v>
      </c>
      <c r="AN12" s="3">
        <v>0.11901523536644436</v>
      </c>
      <c r="AO12" s="3">
        <v>0.20355592791099372</v>
      </c>
      <c r="AP12" s="3">
        <v>0.17078070791607963</v>
      </c>
      <c r="AQ12" s="3">
        <v>0.54156307419068583</v>
      </c>
      <c r="AR12" s="3">
        <v>0.35013419687940234</v>
      </c>
    </row>
    <row r="13" spans="2:44">
      <c r="B13" s="41" t="s">
        <v>172</v>
      </c>
      <c r="C13" s="41" t="s">
        <v>183</v>
      </c>
      <c r="D13" s="41">
        <v>76175</v>
      </c>
      <c r="E13" s="41">
        <v>15498376606.66</v>
      </c>
      <c r="F13" s="41">
        <v>16099756000</v>
      </c>
      <c r="G13" s="41">
        <v>22.304010982795791</v>
      </c>
      <c r="H13" s="41">
        <v>4.5928298103764567</v>
      </c>
      <c r="I13" s="41">
        <v>4.5928176283752888</v>
      </c>
      <c r="J13" s="41">
        <v>92.704446467176339</v>
      </c>
      <c r="K13" s="41">
        <v>92.724088047069245</v>
      </c>
      <c r="L13" s="41">
        <v>81.510276819323082</v>
      </c>
      <c r="M13" s="41">
        <v>34.271279857774473</v>
      </c>
      <c r="N13" s="41">
        <v>754.7892842268792</v>
      </c>
      <c r="O13" s="41">
        <v>254123.63639120219</v>
      </c>
      <c r="P13" s="41">
        <v>0.99288530122486407</v>
      </c>
      <c r="Q13" s="41">
        <v>2.9391068619680816E-2</v>
      </c>
      <c r="R13" s="41">
        <v>0.41170841182475987</v>
      </c>
      <c r="S13" s="41">
        <v>0.51276439163473353</v>
      </c>
      <c r="T13" s="41">
        <v>1.3363905843596314E-3</v>
      </c>
      <c r="U13" s="41">
        <v>0.59365659310835484</v>
      </c>
      <c r="V13" s="41">
        <v>0.97006808137049316</v>
      </c>
      <c r="W13" s="41">
        <v>0.89054298113513286</v>
      </c>
      <c r="X13" s="41">
        <v>8.6274967683093257E-2</v>
      </c>
      <c r="Y13" s="41">
        <v>0.9948510357448852</v>
      </c>
      <c r="Z13" s="41">
        <v>5.1489642551148162E-3</v>
      </c>
      <c r="AA13" s="41">
        <v>0.98180526175697502</v>
      </c>
      <c r="AB13" s="41">
        <v>1.3045773987910137E-2</v>
      </c>
      <c r="AC13" s="41">
        <v>4.4354742928662443E-3</v>
      </c>
      <c r="AD13" s="41">
        <v>7.1348996224857237E-4</v>
      </c>
      <c r="AE13" s="41">
        <v>5.6739944596656143E-5</v>
      </c>
      <c r="AF13" s="3">
        <v>2</v>
      </c>
      <c r="AG13" s="100">
        <v>42248</v>
      </c>
      <c r="AH13" s="3">
        <v>203457.5202712176</v>
      </c>
      <c r="AI13" s="3">
        <v>3.1029120372087619E-3</v>
      </c>
      <c r="AJ13" s="3">
        <v>0.32799057862263992</v>
      </c>
      <c r="AK13" s="3">
        <v>7.3618992644668188E-2</v>
      </c>
      <c r="AL13" s="3">
        <v>2.6734171140347074E-3</v>
      </c>
      <c r="AM13" s="3">
        <v>2.0604185103024024E-3</v>
      </c>
      <c r="AN13" s="3">
        <v>5.4085000982605745E-4</v>
      </c>
      <c r="AO13" s="3">
        <v>9.2505716710607741E-2</v>
      </c>
      <c r="AP13" s="3">
        <v>1.6951302154259454E-2</v>
      </c>
      <c r="AQ13" s="3">
        <v>0.52740123363162483</v>
      </c>
      <c r="AR13" s="3">
        <v>0.38632379868528188</v>
      </c>
    </row>
    <row r="14" spans="2:44">
      <c r="B14" s="41" t="s">
        <v>187</v>
      </c>
      <c r="C14" s="41" t="s">
        <v>191</v>
      </c>
      <c r="D14" s="41">
        <v>124263</v>
      </c>
      <c r="E14" s="41">
        <v>25077095986.700001</v>
      </c>
      <c r="F14" s="41">
        <v>25995304000</v>
      </c>
      <c r="G14" s="41">
        <v>18.329315505174517</v>
      </c>
      <c r="H14" s="41">
        <v>4.6007696001453757</v>
      </c>
      <c r="I14" s="41">
        <v>4.6007715660606259</v>
      </c>
      <c r="J14" s="41">
        <v>75.965416773657125</v>
      </c>
      <c r="K14" s="41">
        <v>76.900201460587482</v>
      </c>
      <c r="L14" s="41">
        <v>67.673099285371308</v>
      </c>
      <c r="M14" s="41">
        <v>34.123652581008763</v>
      </c>
      <c r="N14" s="41">
        <v>752.6990685474733</v>
      </c>
      <c r="O14" s="41">
        <v>272728.72964343807</v>
      </c>
      <c r="P14" s="41">
        <v>0</v>
      </c>
      <c r="Q14" s="41">
        <v>5.5669999422995831E-2</v>
      </c>
      <c r="R14" s="41">
        <v>0.18354725269868483</v>
      </c>
      <c r="S14" s="41">
        <v>0.51718202232541288</v>
      </c>
      <c r="T14" s="41">
        <v>4.3833639990969744E-2</v>
      </c>
      <c r="U14" s="41">
        <v>0.5958857597791738</v>
      </c>
      <c r="V14" s="41">
        <v>0.80752571097786174</v>
      </c>
      <c r="W14" s="41">
        <v>0.61377470297969128</v>
      </c>
      <c r="X14" s="41">
        <v>0.11374942497898749</v>
      </c>
      <c r="Y14" s="41">
        <v>0.99590787916533774</v>
      </c>
      <c r="Z14" s="41">
        <v>4.0921208346622433E-3</v>
      </c>
      <c r="AA14" s="41">
        <v>0.98790731862091075</v>
      </c>
      <c r="AB14" s="41">
        <v>8.0005605444269726E-3</v>
      </c>
      <c r="AC14" s="41">
        <v>3.8501231347204891E-3</v>
      </c>
      <c r="AD14" s="41">
        <v>2.4199769994175438E-4</v>
      </c>
      <c r="AE14" s="41">
        <v>0</v>
      </c>
      <c r="AF14" s="3">
        <v>1</v>
      </c>
      <c r="AG14" s="100">
        <v>42248</v>
      </c>
      <c r="AH14" s="3">
        <v>201806.61972348968</v>
      </c>
      <c r="AI14" s="3">
        <v>7.660217411293592E-2</v>
      </c>
      <c r="AJ14" s="3">
        <v>0.28547577761503279</v>
      </c>
      <c r="AK14" s="3">
        <v>0.10561469256626348</v>
      </c>
      <c r="AL14" s="3">
        <v>3.4392887141215449E-3</v>
      </c>
      <c r="AM14" s="3">
        <v>9.584481325408397E-3</v>
      </c>
      <c r="AN14" s="3">
        <v>0.13680428959914245</v>
      </c>
      <c r="AO14" s="3">
        <v>0.196445120234126</v>
      </c>
      <c r="AP14" s="3">
        <v>0.18978017678618275</v>
      </c>
      <c r="AQ14" s="3">
        <v>0.55263515834887933</v>
      </c>
      <c r="AR14" s="3">
        <v>0.33361541667213324</v>
      </c>
    </row>
    <row r="15" spans="2:44">
      <c r="B15" s="41" t="s">
        <v>187</v>
      </c>
      <c r="C15" s="41" t="s">
        <v>198</v>
      </c>
      <c r="D15" s="41">
        <v>75708</v>
      </c>
      <c r="E15" s="41">
        <v>15445914409.610001</v>
      </c>
      <c r="F15" s="41">
        <v>15944123000</v>
      </c>
      <c r="G15" s="41">
        <v>18.284470491615973</v>
      </c>
      <c r="H15" s="41">
        <v>4.6058934765627475</v>
      </c>
      <c r="I15" s="41">
        <v>4.6058953069887414</v>
      </c>
      <c r="J15" s="41">
        <v>92.501065050479284</v>
      </c>
      <c r="K15" s="41">
        <v>92.519738263009884</v>
      </c>
      <c r="L15" s="41">
        <v>82.931328768315481</v>
      </c>
      <c r="M15" s="41">
        <v>34.61401210119741</v>
      </c>
      <c r="N15" s="41">
        <v>750.75722540692914</v>
      </c>
      <c r="O15" s="41">
        <v>255018.4567066656</v>
      </c>
      <c r="P15" s="41">
        <v>0.98763103557137844</v>
      </c>
      <c r="Q15" s="41">
        <v>3.4390947567306408E-2</v>
      </c>
      <c r="R15" s="41">
        <v>0.42393453408468901</v>
      </c>
      <c r="S15" s="41">
        <v>0.4989710015772772</v>
      </c>
      <c r="T15" s="41">
        <v>2.5555462197460578E-3</v>
      </c>
      <c r="U15" s="41">
        <v>0.57250380794148636</v>
      </c>
      <c r="V15" s="41">
        <v>0.96462683513900194</v>
      </c>
      <c r="W15" s="41">
        <v>0.88239248155552441</v>
      </c>
      <c r="X15" s="41">
        <v>9.0906703591882299E-2</v>
      </c>
      <c r="Y15" s="41">
        <v>0.99500425564432815</v>
      </c>
      <c r="Z15" s="41">
        <v>4.995744355671872E-3</v>
      </c>
      <c r="AA15" s="41">
        <v>0.98766585184808031</v>
      </c>
      <c r="AB15" s="41">
        <v>7.3384037962477599E-3</v>
      </c>
      <c r="AC15" s="41">
        <v>4.4836603028767285E-3</v>
      </c>
      <c r="AD15" s="41">
        <v>5.120840527951438E-4</v>
      </c>
      <c r="AE15" s="41">
        <v>0</v>
      </c>
      <c r="AF15" s="3">
        <v>2</v>
      </c>
      <c r="AG15" s="100">
        <v>42248</v>
      </c>
      <c r="AH15" s="3">
        <v>204019.58062041001</v>
      </c>
      <c r="AI15" s="3">
        <v>3.1711437148405604E-3</v>
      </c>
      <c r="AJ15" s="3">
        <v>0.3358519679380369</v>
      </c>
      <c r="AK15" s="3">
        <v>8.5172263253737474E-2</v>
      </c>
      <c r="AL15" s="3">
        <v>4.0338371758187929E-3</v>
      </c>
      <c r="AM15" s="3">
        <v>2.4381236909204696E-3</v>
      </c>
      <c r="AN15" s="3">
        <v>9.8221729369165028E-4</v>
      </c>
      <c r="AO15" s="3">
        <v>9.2801137671602085E-2</v>
      </c>
      <c r="AP15" s="3">
        <v>2.4806380772873549E-2</v>
      </c>
      <c r="AQ15" s="3">
        <v>0.55202101003518955</v>
      </c>
      <c r="AR15" s="3">
        <v>0.3570722863729282</v>
      </c>
    </row>
    <row r="16" spans="2:44">
      <c r="B16" s="3" t="s">
        <v>202</v>
      </c>
      <c r="C16" s="3" t="s">
        <v>230</v>
      </c>
      <c r="D16" s="3">
        <v>128161</v>
      </c>
      <c r="E16" s="3">
        <v>27004849282.900002</v>
      </c>
      <c r="F16" s="3">
        <v>27767705000</v>
      </c>
      <c r="G16" s="3">
        <v>13.467984070443693</v>
      </c>
      <c r="H16" s="3">
        <v>4.5111837437185196</v>
      </c>
      <c r="I16" s="3">
        <v>4.5111858176710973</v>
      </c>
      <c r="J16" s="3">
        <v>76.241996207910631</v>
      </c>
      <c r="K16" s="3">
        <v>77.279088255268007</v>
      </c>
      <c r="L16" s="3">
        <v>70.500307057248932</v>
      </c>
      <c r="M16" s="3">
        <v>33.74330087982792</v>
      </c>
      <c r="N16" s="3">
        <v>752.90691443952062</v>
      </c>
      <c r="O16" s="3">
        <v>278469.02417252929</v>
      </c>
      <c r="P16" s="3">
        <v>0</v>
      </c>
      <c r="Q16" s="3">
        <v>5.2962976583086019E-2</v>
      </c>
      <c r="R16" s="3">
        <v>0.1938258377647907</v>
      </c>
      <c r="S16" s="3">
        <v>0.5283613627943845</v>
      </c>
      <c r="T16" s="3">
        <v>3.5757572780509998E-2</v>
      </c>
      <c r="U16" s="3">
        <v>0.58781887143883094</v>
      </c>
      <c r="V16" s="3">
        <v>0.83155871261720593</v>
      </c>
      <c r="W16" s="3">
        <v>0.66707707159162033</v>
      </c>
      <c r="X16" s="3">
        <v>0.11595000336079435</v>
      </c>
      <c r="Y16" s="3">
        <v>0.99677382978303941</v>
      </c>
      <c r="Z16" s="3">
        <v>3.2261702169605333E-3</v>
      </c>
      <c r="AA16" s="3">
        <v>0.99373775823044186</v>
      </c>
      <c r="AB16" s="3">
        <v>3.0360715525976599E-3</v>
      </c>
      <c r="AC16" s="3">
        <v>3.1498939316007657E-3</v>
      </c>
      <c r="AD16" s="3">
        <v>7.6276285359767757E-5</v>
      </c>
      <c r="AE16" s="3">
        <v>0</v>
      </c>
      <c r="AF16" s="3">
        <v>1</v>
      </c>
      <c r="AG16" s="100">
        <v>42248</v>
      </c>
      <c r="AH16" s="3">
        <v>210710.350909403</v>
      </c>
      <c r="AI16" s="3">
        <v>8.3004043400803917E-2</v>
      </c>
      <c r="AJ16" s="3">
        <v>0.30104321186150218</v>
      </c>
      <c r="AK16" s="3">
        <v>0.10178462144206511</v>
      </c>
      <c r="AL16" s="3">
        <v>3.3169514660731643E-3</v>
      </c>
      <c r="AM16" s="3">
        <v>6.0363437915286373E-3</v>
      </c>
      <c r="AN16" s="3">
        <v>0.11547831079970808</v>
      </c>
      <c r="AO16" s="3">
        <v>0.16509349348093191</v>
      </c>
      <c r="AP16" s="3">
        <v>0.16782943492744776</v>
      </c>
      <c r="AQ16" s="3">
        <v>0.57542251537207156</v>
      </c>
      <c r="AR16" s="3">
        <v>0.30862748126713413</v>
      </c>
    </row>
    <row r="17" spans="2:44">
      <c r="B17" s="3" t="s">
        <v>202</v>
      </c>
      <c r="C17" s="3" t="s">
        <v>231</v>
      </c>
      <c r="D17" s="3">
        <v>90795</v>
      </c>
      <c r="E17" s="3">
        <v>19295600157.880001</v>
      </c>
      <c r="F17" s="3">
        <v>19766593000</v>
      </c>
      <c r="G17" s="3">
        <v>13.459874445923683</v>
      </c>
      <c r="H17" s="3">
        <v>4.5258598948069517</v>
      </c>
      <c r="I17" s="3">
        <v>4.5258618174866507</v>
      </c>
      <c r="J17" s="3">
        <v>92.280813910139884</v>
      </c>
      <c r="K17" s="3">
        <v>92.295068478778305</v>
      </c>
      <c r="L17" s="3">
        <v>85.685029410296664</v>
      </c>
      <c r="M17" s="3">
        <v>34.375991562762934</v>
      </c>
      <c r="N17" s="3">
        <v>750.01920733323902</v>
      </c>
      <c r="O17" s="3">
        <v>261190.82416074091</v>
      </c>
      <c r="P17" s="3">
        <v>1</v>
      </c>
      <c r="Q17" s="3">
        <v>3.3894921926691565E-2</v>
      </c>
      <c r="R17" s="3">
        <v>0.42067963074084763</v>
      </c>
      <c r="S17" s="3">
        <v>0.51706333471185351</v>
      </c>
      <c r="T17" s="3">
        <v>2.3768536031396979E-3</v>
      </c>
      <c r="U17" s="3">
        <v>0.5747874875071286</v>
      </c>
      <c r="V17" s="3">
        <v>0.96468553416921199</v>
      </c>
      <c r="W17" s="3">
        <v>0.90415299830076934</v>
      </c>
      <c r="X17" s="3">
        <v>9.0104538242101587E-2</v>
      </c>
      <c r="Y17" s="3">
        <v>0.99551176004366815</v>
      </c>
      <c r="Z17" s="3">
        <v>4.4882399563318416E-3</v>
      </c>
      <c r="AA17" s="3">
        <v>0.99283933347190689</v>
      </c>
      <c r="AB17" s="3">
        <v>2.6724265717612975E-3</v>
      </c>
      <c r="AC17" s="3">
        <v>4.2802284409003888E-3</v>
      </c>
      <c r="AD17" s="3">
        <v>2.0801151543145286E-4</v>
      </c>
      <c r="AE17" s="3">
        <v>0</v>
      </c>
      <c r="AF17" s="3">
        <v>2</v>
      </c>
      <c r="AG17" s="100">
        <v>42248</v>
      </c>
      <c r="AH17" s="3">
        <v>212518.31221851424</v>
      </c>
      <c r="AI17" s="3">
        <v>2.5679591484364626E-3</v>
      </c>
      <c r="AJ17" s="3">
        <v>0.33785008323090387</v>
      </c>
      <c r="AK17" s="3">
        <v>8.1454650919377466E-2</v>
      </c>
      <c r="AL17" s="3">
        <v>4.401326875304137E-3</v>
      </c>
      <c r="AM17" s="3">
        <v>1.5064514672858808E-3</v>
      </c>
      <c r="AN17" s="3">
        <v>1.4195439040963955E-3</v>
      </c>
      <c r="AO17" s="3">
        <v>7.1831281683869749E-2</v>
      </c>
      <c r="AP17" s="3">
        <v>2.4015720015360918E-2</v>
      </c>
      <c r="AQ17" s="3">
        <v>0.57992589149864737</v>
      </c>
      <c r="AR17" s="3">
        <v>0.32996957025925105</v>
      </c>
    </row>
  </sheetData>
  <pageMargins left="0.7" right="0.7" top="0.75" bottom="0.75" header="0.3" footer="0.3"/>
  <pageSetup orientation="portrait" horizontalDpi="300" verticalDpi="30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C3:X158"/>
  <sheetViews>
    <sheetView workbookViewId="0">
      <selection activeCell="C15" sqref="C15:Q15"/>
    </sheetView>
  </sheetViews>
  <sheetFormatPr defaultRowHeight="15"/>
  <cols>
    <col min="3" max="3" width="15.5703125" bestFit="1" customWidth="1"/>
    <col min="19" max="24" width="9.140625" style="93"/>
  </cols>
  <sheetData>
    <row r="3" spans="3:24">
      <c r="C3" s="41" t="s">
        <v>32</v>
      </c>
      <c r="D3" s="41" t="s">
        <v>33</v>
      </c>
      <c r="E3" s="41" t="s">
        <v>25</v>
      </c>
      <c r="F3" s="41" t="s">
        <v>13</v>
      </c>
      <c r="G3" s="41" t="s">
        <v>24</v>
      </c>
      <c r="H3" s="41" t="s">
        <v>26</v>
      </c>
      <c r="I3" s="41" t="s">
        <v>27</v>
      </c>
      <c r="J3" s="41" t="s">
        <v>60</v>
      </c>
      <c r="K3" s="41" t="s">
        <v>61</v>
      </c>
      <c r="L3" s="41" t="s">
        <v>14</v>
      </c>
      <c r="M3" s="41" t="s">
        <v>15</v>
      </c>
      <c r="N3" s="41" t="s">
        <v>16</v>
      </c>
      <c r="O3" s="41" t="s">
        <v>28</v>
      </c>
      <c r="P3" s="41" t="s">
        <v>29</v>
      </c>
      <c r="Q3" s="41" t="s">
        <v>17</v>
      </c>
      <c r="R3" s="41" t="s">
        <v>18</v>
      </c>
      <c r="S3" s="41" t="s">
        <v>217</v>
      </c>
      <c r="T3" s="41" t="s">
        <v>218</v>
      </c>
      <c r="U3" s="41" t="s">
        <v>232</v>
      </c>
      <c r="V3" s="3" t="s">
        <v>82</v>
      </c>
      <c r="W3" s="3" t="s">
        <v>83</v>
      </c>
      <c r="X3"/>
    </row>
    <row r="4" spans="3:24">
      <c r="C4" t="s">
        <v>111</v>
      </c>
      <c r="D4" t="s">
        <v>115</v>
      </c>
      <c r="E4">
        <v>26756375869.560001</v>
      </c>
      <c r="F4" s="42">
        <v>41518</v>
      </c>
      <c r="G4" s="41">
        <v>112871</v>
      </c>
      <c r="H4" s="41">
        <v>102529958.98505369</v>
      </c>
      <c r="I4" s="41">
        <v>0</v>
      </c>
      <c r="J4" s="41">
        <v>3.8319823089979547E-3</v>
      </c>
      <c r="K4" s="41">
        <v>0</v>
      </c>
      <c r="L4" s="41">
        <v>4.5026000000000002</v>
      </c>
      <c r="M4" s="41">
        <v>0</v>
      </c>
      <c r="N4" s="41">
        <v>1.1906152793376749E-3</v>
      </c>
      <c r="O4" s="41">
        <v>102529958.985</v>
      </c>
      <c r="P4" s="41">
        <v>0</v>
      </c>
      <c r="Q4" s="41">
        <v>4.3E-3</v>
      </c>
      <c r="R4" s="41">
        <v>0</v>
      </c>
      <c r="S4" s="41">
        <v>1</v>
      </c>
      <c r="T4" s="100">
        <v>41548</v>
      </c>
      <c r="U4" s="41">
        <v>14330908.575053684</v>
      </c>
      <c r="V4" s="3">
        <f>CurrentMtgRatesDataTable82523[[#This Row],[cum_df_pct]]*100</f>
        <v>0</v>
      </c>
      <c r="W4" s="3">
        <f>CurrentMtgRatesDataTable82523[[#This Row],[pct_dq]]*100</f>
        <v>0.11906152793376748</v>
      </c>
      <c r="X4"/>
    </row>
    <row r="5" spans="3:24">
      <c r="C5" s="41" t="s">
        <v>111</v>
      </c>
      <c r="D5" s="41" t="s">
        <v>115</v>
      </c>
      <c r="E5" s="41">
        <v>26615084296.130001</v>
      </c>
      <c r="F5" s="42">
        <v>41548</v>
      </c>
      <c r="G5" s="41">
        <v>112464</v>
      </c>
      <c r="H5" s="41">
        <v>117139290.44490892</v>
      </c>
      <c r="I5" s="41">
        <v>0</v>
      </c>
      <c r="J5" s="41">
        <v>4.4012368753587492E-3</v>
      </c>
      <c r="K5" s="41">
        <v>0</v>
      </c>
      <c r="L5" s="41">
        <v>5.1554000000000002</v>
      </c>
      <c r="M5" s="41">
        <v>0</v>
      </c>
      <c r="N5" s="41">
        <v>1.4121100647975355E-3</v>
      </c>
      <c r="O5" s="41">
        <v>219669249.42989999</v>
      </c>
      <c r="P5" s="41">
        <v>0</v>
      </c>
      <c r="Q5" s="41">
        <v>9.1999999999999998E-3</v>
      </c>
      <c r="R5" s="41">
        <v>0</v>
      </c>
      <c r="S5" s="41">
        <v>1</v>
      </c>
      <c r="T5" s="100">
        <v>41579</v>
      </c>
      <c r="U5" s="41">
        <v>12984404.684908912</v>
      </c>
      <c r="V5" s="3">
        <f>CurrentMtgRatesDataTable82523[[#This Row],[cum_df_pct]]*100</f>
        <v>0</v>
      </c>
      <c r="W5" s="3">
        <f>CurrentMtgRatesDataTable82523[[#This Row],[pct_dq]]*100</f>
        <v>0.14121100647975354</v>
      </c>
      <c r="X5"/>
    </row>
    <row r="6" spans="3:24">
      <c r="C6" s="41" t="s">
        <v>111</v>
      </c>
      <c r="D6" s="41" t="s">
        <v>115</v>
      </c>
      <c r="E6" s="41">
        <v>26457457865.02</v>
      </c>
      <c r="F6" s="42">
        <v>41579</v>
      </c>
      <c r="G6" s="41">
        <v>112005</v>
      </c>
      <c r="H6" s="41">
        <v>105184908.45883162</v>
      </c>
      <c r="I6" s="41">
        <v>0</v>
      </c>
      <c r="J6" s="41">
        <v>3.9756241508712353E-3</v>
      </c>
      <c r="K6" s="41">
        <v>0</v>
      </c>
      <c r="L6" s="41">
        <v>4.6677999999999997</v>
      </c>
      <c r="M6" s="41">
        <v>0</v>
      </c>
      <c r="N6" s="41">
        <v>2.0171887598680167E-3</v>
      </c>
      <c r="O6" s="41">
        <v>324854157.88870001</v>
      </c>
      <c r="P6" s="41">
        <v>0</v>
      </c>
      <c r="Q6" s="41">
        <v>1.3599999999999999E-2</v>
      </c>
      <c r="R6" s="41">
        <v>0</v>
      </c>
      <c r="S6" s="41">
        <v>1</v>
      </c>
      <c r="T6" s="100">
        <v>41609</v>
      </c>
      <c r="U6" s="41">
        <v>14813413.208831629</v>
      </c>
      <c r="V6" s="3">
        <f>CurrentMtgRatesDataTable82523[[#This Row],[cum_df_pct]]*100</f>
        <v>0</v>
      </c>
      <c r="W6" s="3">
        <f>CurrentMtgRatesDataTable82523[[#This Row],[pct_dq]]*100</f>
        <v>0.20171887598680166</v>
      </c>
      <c r="X6"/>
    </row>
    <row r="7" spans="3:24">
      <c r="C7" s="41" t="s">
        <v>111</v>
      </c>
      <c r="D7" s="41" t="s">
        <v>115</v>
      </c>
      <c r="E7" s="41">
        <v>26312077411.34</v>
      </c>
      <c r="F7" s="42">
        <v>41609</v>
      </c>
      <c r="G7" s="41">
        <v>111601</v>
      </c>
      <c r="H7" s="41">
        <v>109030755.35409714</v>
      </c>
      <c r="I7" s="41">
        <v>0</v>
      </c>
      <c r="J7" s="41">
        <v>4.143753214526002E-3</v>
      </c>
      <c r="K7" s="41">
        <v>0</v>
      </c>
      <c r="L7" s="41">
        <v>4.8606999999999996</v>
      </c>
      <c r="M7" s="41">
        <v>0</v>
      </c>
      <c r="N7" s="41">
        <v>1.8353268613137857E-3</v>
      </c>
      <c r="O7" s="41">
        <v>433884913.2428</v>
      </c>
      <c r="P7" s="41">
        <v>0</v>
      </c>
      <c r="Q7" s="41">
        <v>1.8200000000000001E-2</v>
      </c>
      <c r="R7" s="41">
        <v>0</v>
      </c>
      <c r="S7" s="41">
        <v>1</v>
      </c>
      <c r="T7" s="100">
        <v>41640</v>
      </c>
      <c r="U7" s="41">
        <v>17154677.15409714</v>
      </c>
      <c r="V7" s="3">
        <f>CurrentMtgRatesDataTable82523[[#This Row],[cum_df_pct]]*100</f>
        <v>0</v>
      </c>
      <c r="W7" s="3">
        <f>CurrentMtgRatesDataTable82523[[#This Row],[pct_dq]]*100</f>
        <v>0.18353268613137858</v>
      </c>
      <c r="X7"/>
    </row>
    <row r="8" spans="3:24">
      <c r="C8" s="41" t="s">
        <v>111</v>
      </c>
      <c r="D8" s="41" t="s">
        <v>115</v>
      </c>
      <c r="E8" s="41">
        <v>26161767480.869999</v>
      </c>
      <c r="F8" s="42">
        <v>41640</v>
      </c>
      <c r="G8" s="41">
        <v>111178</v>
      </c>
      <c r="H8" s="41">
        <v>84196863.64304617</v>
      </c>
      <c r="I8" s="41">
        <v>0</v>
      </c>
      <c r="J8" s="41">
        <v>3.2183170997377216E-3</v>
      </c>
      <c r="K8" s="41">
        <v>0</v>
      </c>
      <c r="L8" s="41">
        <v>3.7942999999999998</v>
      </c>
      <c r="M8" s="41">
        <v>0</v>
      </c>
      <c r="N8" s="41">
        <v>1.8425246220557345E-3</v>
      </c>
      <c r="O8" s="41">
        <v>518081776.88590002</v>
      </c>
      <c r="P8" s="41">
        <v>0</v>
      </c>
      <c r="Q8" s="41">
        <v>2.1700000000000001E-2</v>
      </c>
      <c r="R8" s="41">
        <v>0</v>
      </c>
      <c r="S8" s="41">
        <v>1</v>
      </c>
      <c r="T8" s="100">
        <v>41671</v>
      </c>
      <c r="U8" s="41">
        <v>15587577.963046174</v>
      </c>
      <c r="V8" s="3">
        <f>CurrentMtgRatesDataTable82523[[#This Row],[cum_df_pct]]*100</f>
        <v>0</v>
      </c>
      <c r="W8" s="3">
        <f>CurrentMtgRatesDataTable82523[[#This Row],[pct_dq]]*100</f>
        <v>0.18425246220557345</v>
      </c>
      <c r="X8"/>
    </row>
    <row r="9" spans="3:24">
      <c r="C9" s="41" t="s">
        <v>111</v>
      </c>
      <c r="D9" s="41" t="s">
        <v>115</v>
      </c>
      <c r="E9" s="41">
        <v>26036545442.220001</v>
      </c>
      <c r="F9" s="42">
        <v>41671</v>
      </c>
      <c r="G9" s="41">
        <v>110861</v>
      </c>
      <c r="H9" s="41">
        <v>79439105.558957279</v>
      </c>
      <c r="I9" s="41">
        <v>1023311.22</v>
      </c>
      <c r="J9" s="41">
        <v>3.051061660051931E-3</v>
      </c>
      <c r="K9" s="41">
        <v>3.9302879956594872E-5</v>
      </c>
      <c r="L9" s="41">
        <v>3.6004</v>
      </c>
      <c r="M9" s="41">
        <v>4.7100000000000003E-2</v>
      </c>
      <c r="N9" s="41">
        <v>2.6057928890974693E-3</v>
      </c>
      <c r="O9" s="41">
        <v>597520882.44480002</v>
      </c>
      <c r="P9" s="41">
        <v>1023311.22</v>
      </c>
      <c r="Q9" s="41">
        <v>2.5100000000000001E-2</v>
      </c>
      <c r="R9" s="41">
        <v>0</v>
      </c>
      <c r="S9" s="41">
        <v>1</v>
      </c>
      <c r="T9" s="100">
        <v>41699</v>
      </c>
      <c r="U9" s="41">
        <v>13550250.768957287</v>
      </c>
      <c r="V9" s="3">
        <f>CurrentMtgRatesDataTable82523[[#This Row],[cum_df_pct]]*100</f>
        <v>0</v>
      </c>
      <c r="W9" s="3">
        <f>CurrentMtgRatesDataTable82523[[#This Row],[pct_dq]]*100</f>
        <v>0.26057928890974691</v>
      </c>
      <c r="X9"/>
    </row>
    <row r="10" spans="3:24">
      <c r="C10" s="41" t="s">
        <v>111</v>
      </c>
      <c r="D10" s="41" t="s">
        <v>115</v>
      </c>
      <c r="E10" s="41">
        <v>25916391802.970001</v>
      </c>
      <c r="F10" s="42">
        <v>41699</v>
      </c>
      <c r="G10" s="41">
        <v>110552</v>
      </c>
      <c r="H10" s="41">
        <v>109662144.85530658</v>
      </c>
      <c r="I10" s="41">
        <v>854011.18</v>
      </c>
      <c r="J10" s="41">
        <v>4.2313816556338443E-3</v>
      </c>
      <c r="K10" s="41">
        <v>3.2952549355351654E-5</v>
      </c>
      <c r="L10" s="41">
        <v>4.9611000000000001</v>
      </c>
      <c r="M10" s="41">
        <v>3.95E-2</v>
      </c>
      <c r="N10" s="41">
        <v>1.818213058293088E-3</v>
      </c>
      <c r="O10" s="41">
        <v>707183027.30019999</v>
      </c>
      <c r="P10" s="41">
        <v>1877322.4</v>
      </c>
      <c r="Q10" s="41">
        <v>2.9700000000000001E-2</v>
      </c>
      <c r="R10" s="41">
        <v>0</v>
      </c>
      <c r="S10" s="41">
        <v>1</v>
      </c>
      <c r="T10" s="100">
        <v>41730</v>
      </c>
      <c r="U10" s="41">
        <v>18232758.425306581</v>
      </c>
      <c r="V10" s="3">
        <f>CurrentMtgRatesDataTable82523[[#This Row],[cum_df_pct]]*100</f>
        <v>0</v>
      </c>
      <c r="W10" s="3">
        <f>CurrentMtgRatesDataTable82523[[#This Row],[pct_dq]]*100</f>
        <v>0.1818213058293088</v>
      </c>
      <c r="X10"/>
    </row>
    <row r="11" spans="3:24">
      <c r="C11" s="41" t="s">
        <v>111</v>
      </c>
      <c r="D11" s="41" t="s">
        <v>115</v>
      </c>
      <c r="E11" s="41">
        <v>25765457636</v>
      </c>
      <c r="F11" s="42">
        <v>41730</v>
      </c>
      <c r="G11" s="41">
        <v>110126</v>
      </c>
      <c r="H11" s="41">
        <v>117701978.29599017</v>
      </c>
      <c r="I11" s="41">
        <v>351476.64</v>
      </c>
      <c r="J11" s="41">
        <v>4.5682083337629008E-3</v>
      </c>
      <c r="K11" s="41">
        <v>1.3641389373535131E-5</v>
      </c>
      <c r="L11" s="41">
        <v>5.3460999999999999</v>
      </c>
      <c r="M11" s="41">
        <v>1.6299999999999999E-2</v>
      </c>
      <c r="N11" s="41">
        <v>2.2061685064183735E-3</v>
      </c>
      <c r="O11" s="41">
        <v>824885005.59609997</v>
      </c>
      <c r="P11" s="41">
        <v>2228799.04</v>
      </c>
      <c r="Q11" s="41">
        <v>3.4599999999999999E-2</v>
      </c>
      <c r="R11" s="41">
        <v>0</v>
      </c>
      <c r="S11" s="41">
        <v>1</v>
      </c>
      <c r="T11" s="100">
        <v>41760</v>
      </c>
      <c r="U11" s="41">
        <v>13355381.125990165</v>
      </c>
      <c r="V11" s="3">
        <f>CurrentMtgRatesDataTable82523[[#This Row],[cum_df_pct]]*100</f>
        <v>0</v>
      </c>
      <c r="W11" s="3">
        <f>CurrentMtgRatesDataTable82523[[#This Row],[pct_dq]]*100</f>
        <v>0.22061685064183734</v>
      </c>
      <c r="X11"/>
    </row>
    <row r="12" spans="3:24">
      <c r="C12" s="41" t="s">
        <v>111</v>
      </c>
      <c r="D12" s="41" t="s">
        <v>115</v>
      </c>
      <c r="E12" s="41">
        <v>25606443795.27</v>
      </c>
      <c r="F12" s="42">
        <v>41760</v>
      </c>
      <c r="G12" s="41">
        <v>109650</v>
      </c>
      <c r="H12" s="41">
        <v>140827388.83010486</v>
      </c>
      <c r="I12" s="41">
        <v>652988.27</v>
      </c>
      <c r="J12" s="41">
        <v>5.4996855461873382E-3</v>
      </c>
      <c r="K12" s="41">
        <v>2.5500935437220668E-5</v>
      </c>
      <c r="L12" s="41">
        <v>6.4036</v>
      </c>
      <c r="M12" s="41">
        <v>3.0499999999999999E-2</v>
      </c>
      <c r="N12" s="41">
        <v>2.1460464627325875E-3</v>
      </c>
      <c r="O12" s="41">
        <v>965712394.42620003</v>
      </c>
      <c r="P12" s="41">
        <v>2881787.31</v>
      </c>
      <c r="Q12" s="41">
        <v>4.0500000000000001E-2</v>
      </c>
      <c r="R12" s="41">
        <v>1E-4</v>
      </c>
      <c r="S12" s="41">
        <v>1</v>
      </c>
      <c r="T12" s="100">
        <v>41791</v>
      </c>
      <c r="U12" s="41">
        <v>16297996.220104869</v>
      </c>
      <c r="V12" s="3">
        <f>CurrentMtgRatesDataTable82523[[#This Row],[cum_df_pct]]*100</f>
        <v>0.01</v>
      </c>
      <c r="W12" s="3">
        <f>CurrentMtgRatesDataTable82523[[#This Row],[pct_dq]]*100</f>
        <v>0.21460464627325876</v>
      </c>
      <c r="X12"/>
    </row>
    <row r="13" spans="3:24">
      <c r="C13" s="41" t="s">
        <v>111</v>
      </c>
      <c r="D13" s="41" t="s">
        <v>115</v>
      </c>
      <c r="E13" s="41">
        <v>25423992398.689999</v>
      </c>
      <c r="F13" s="42">
        <v>41791</v>
      </c>
      <c r="G13" s="41">
        <v>109069</v>
      </c>
      <c r="H13" s="41">
        <v>166667796.41990432</v>
      </c>
      <c r="I13" s="41">
        <v>1557161.7</v>
      </c>
      <c r="J13" s="41">
        <v>6.5555320268461089E-3</v>
      </c>
      <c r="K13" s="41">
        <v>6.1247725203073718E-5</v>
      </c>
      <c r="L13" s="41">
        <v>7.5891000000000002</v>
      </c>
      <c r="M13" s="41">
        <v>7.3400000000000007E-2</v>
      </c>
      <c r="N13" s="41">
        <v>2.6951858298042402E-3</v>
      </c>
      <c r="O13" s="41">
        <v>1132380190.8462</v>
      </c>
      <c r="P13" s="41">
        <v>4438949.01</v>
      </c>
      <c r="Q13" s="41">
        <v>4.7500000000000001E-2</v>
      </c>
      <c r="R13" s="41">
        <v>1E-4</v>
      </c>
      <c r="S13" s="41">
        <v>1</v>
      </c>
      <c r="T13" s="100">
        <v>41821</v>
      </c>
      <c r="U13" s="41">
        <v>14781887.289904319</v>
      </c>
      <c r="V13" s="3">
        <f>CurrentMtgRatesDataTable82523[[#This Row],[cum_df_pct]]*100</f>
        <v>0.01</v>
      </c>
      <c r="W13" s="3">
        <f>CurrentMtgRatesDataTable82523[[#This Row],[pct_dq]]*100</f>
        <v>0.26951858298042403</v>
      </c>
      <c r="X13"/>
    </row>
    <row r="14" spans="3:24">
      <c r="C14" s="41" t="s">
        <v>111</v>
      </c>
      <c r="D14" s="41" t="s">
        <v>115</v>
      </c>
      <c r="E14" s="41">
        <v>25216280196.529999</v>
      </c>
      <c r="F14" s="42">
        <v>41821</v>
      </c>
      <c r="G14" s="41">
        <v>108385</v>
      </c>
      <c r="H14" s="41">
        <v>177131466.90127379</v>
      </c>
      <c r="I14" s="41">
        <v>1275959.04</v>
      </c>
      <c r="J14" s="41">
        <v>7.0244883670688568E-3</v>
      </c>
      <c r="K14" s="41">
        <v>5.0600605246113349E-5</v>
      </c>
      <c r="L14" s="41">
        <v>8.1112000000000002</v>
      </c>
      <c r="M14" s="41">
        <v>6.0699999999999997E-2</v>
      </c>
      <c r="N14" s="41">
        <v>2.3431652666252804E-3</v>
      </c>
      <c r="O14" s="41">
        <v>1309511657.7474</v>
      </c>
      <c r="P14" s="41">
        <v>5714908.0499999998</v>
      </c>
      <c r="Q14" s="41">
        <v>5.5E-2</v>
      </c>
      <c r="R14" s="41">
        <v>2.0000000000000001E-4</v>
      </c>
      <c r="S14" s="41">
        <v>1</v>
      </c>
      <c r="T14" s="100">
        <v>41852</v>
      </c>
      <c r="U14" s="41">
        <v>15015400.681273781</v>
      </c>
      <c r="V14" s="3">
        <f>CurrentMtgRatesDataTable82523[[#This Row],[cum_df_pct]]*100</f>
        <v>0.02</v>
      </c>
      <c r="W14" s="3">
        <f>CurrentMtgRatesDataTable82523[[#This Row],[pct_dq]]*100</f>
        <v>0.23431652666252803</v>
      </c>
      <c r="X14"/>
    </row>
    <row r="15" spans="3:24">
      <c r="C15" s="41" t="s">
        <v>111</v>
      </c>
      <c r="D15" s="41" t="s">
        <v>115</v>
      </c>
      <c r="E15" s="41">
        <v>24996956176.130001</v>
      </c>
      <c r="F15" s="42">
        <v>41852</v>
      </c>
      <c r="G15" s="41">
        <v>107665</v>
      </c>
      <c r="H15" s="41">
        <v>153284298.18179268</v>
      </c>
      <c r="I15" s="41">
        <v>604755.53</v>
      </c>
      <c r="J15" s="41">
        <v>6.1321185308220181E-3</v>
      </c>
      <c r="K15" s="41">
        <v>2.4193166789542596E-5</v>
      </c>
      <c r="L15" s="41">
        <v>7.1153000000000004</v>
      </c>
      <c r="M15" s="41">
        <v>2.9000000000000001E-2</v>
      </c>
      <c r="N15" s="41">
        <v>3.2159122504188662E-3</v>
      </c>
      <c r="O15" s="41">
        <v>1462795955.9291999</v>
      </c>
      <c r="P15" s="41">
        <v>6319663.5800000001</v>
      </c>
      <c r="Q15" s="41">
        <v>6.1400000000000003E-2</v>
      </c>
      <c r="R15" s="41">
        <v>2.0000000000000001E-4</v>
      </c>
      <c r="S15" s="41">
        <v>1</v>
      </c>
      <c r="T15" s="100">
        <v>41883</v>
      </c>
      <c r="U15" s="41">
        <v>17340957.131792668</v>
      </c>
      <c r="V15" s="3">
        <f>CurrentMtgRatesDataTable82523[[#This Row],[cum_df_pct]]*100</f>
        <v>0.02</v>
      </c>
      <c r="W15" s="3">
        <f>CurrentMtgRatesDataTable82523[[#This Row],[pct_dq]]*100</f>
        <v>0.32159122504188664</v>
      </c>
      <c r="X15"/>
    </row>
    <row r="16" spans="3:24">
      <c r="C16" s="41" t="s">
        <v>111</v>
      </c>
      <c r="D16" s="41" t="s">
        <v>115</v>
      </c>
      <c r="E16" s="41">
        <v>24802641701.849998</v>
      </c>
      <c r="F16" s="42">
        <v>41883</v>
      </c>
      <c r="G16" s="41">
        <v>107037</v>
      </c>
      <c r="H16" s="41">
        <v>141182342.8772285</v>
      </c>
      <c r="I16" s="41">
        <v>1290509.6100000001</v>
      </c>
      <c r="J16" s="41">
        <v>5.6922300686502222E-3</v>
      </c>
      <c r="K16" s="41">
        <v>5.2031135453758639E-5</v>
      </c>
      <c r="L16" s="41">
        <v>6.6208</v>
      </c>
      <c r="M16" s="41">
        <v>6.2399999999999997E-2</v>
      </c>
      <c r="N16" s="41">
        <v>2.8280316807853634E-3</v>
      </c>
      <c r="O16" s="41">
        <v>1603978298.8064001</v>
      </c>
      <c r="P16" s="41">
        <v>7610173.1900000004</v>
      </c>
      <c r="Q16" s="41">
        <v>6.7299999999999999E-2</v>
      </c>
      <c r="R16" s="41">
        <v>2.9999999999999997E-4</v>
      </c>
      <c r="S16" s="41">
        <v>1</v>
      </c>
      <c r="T16" s="100">
        <v>41913</v>
      </c>
      <c r="U16" s="41">
        <v>14481512.77722849</v>
      </c>
      <c r="V16" s="3">
        <f>CurrentMtgRatesDataTable82523[[#This Row],[cum_df_pct]]*100</f>
        <v>0.03</v>
      </c>
      <c r="W16" s="3">
        <f>CurrentMtgRatesDataTable82523[[#This Row],[pct_dq]]*100</f>
        <v>0.28280316807853634</v>
      </c>
      <c r="X16"/>
    </row>
    <row r="17" spans="3:24">
      <c r="C17" s="41" t="s">
        <v>111</v>
      </c>
      <c r="D17" s="41" t="s">
        <v>115</v>
      </c>
      <c r="E17" s="41">
        <v>24620644680.27</v>
      </c>
      <c r="F17" s="42">
        <v>41913</v>
      </c>
      <c r="G17" s="41">
        <v>106428</v>
      </c>
      <c r="H17" s="41">
        <v>146164416.08151674</v>
      </c>
      <c r="I17" s="41">
        <v>1116616.01</v>
      </c>
      <c r="J17" s="41">
        <v>5.9366607974586086E-3</v>
      </c>
      <c r="K17" s="41">
        <v>4.5352833952996018E-5</v>
      </c>
      <c r="L17" s="41">
        <v>6.8959000000000001</v>
      </c>
      <c r="M17" s="41">
        <v>5.4399999999999997E-2</v>
      </c>
      <c r="N17" s="41">
        <v>2.2773411382250256E-3</v>
      </c>
      <c r="O17" s="41">
        <v>1750142714.888</v>
      </c>
      <c r="P17" s="41">
        <v>8726789.1999999993</v>
      </c>
      <c r="Q17" s="41">
        <v>7.3499999999999996E-2</v>
      </c>
      <c r="R17" s="41">
        <v>2.9999999999999997E-4</v>
      </c>
      <c r="S17" s="41">
        <v>1</v>
      </c>
      <c r="T17" s="100">
        <v>41944</v>
      </c>
      <c r="U17" s="41">
        <v>16979321.871516746</v>
      </c>
      <c r="V17" s="3">
        <f>CurrentMtgRatesDataTable82523[[#This Row],[cum_df_pct]]*100</f>
        <v>0.03</v>
      </c>
      <c r="W17" s="3">
        <f>CurrentMtgRatesDataTable82523[[#This Row],[pct_dq]]*100</f>
        <v>0.22773411382250255</v>
      </c>
      <c r="X17"/>
    </row>
    <row r="18" spans="3:24">
      <c r="C18" s="41" t="s">
        <v>111</v>
      </c>
      <c r="D18" s="41" t="s">
        <v>115</v>
      </c>
      <c r="E18" s="41">
        <v>24432524690.669998</v>
      </c>
      <c r="F18" s="42">
        <v>41944</v>
      </c>
      <c r="G18" s="41">
        <v>105824</v>
      </c>
      <c r="H18" s="41">
        <v>130465324.00191189</v>
      </c>
      <c r="I18" s="41">
        <v>1223255.5900000001</v>
      </c>
      <c r="J18" s="41">
        <v>5.3398216374966941E-3</v>
      </c>
      <c r="K18" s="41">
        <v>5.006668796970958E-5</v>
      </c>
      <c r="L18" s="41">
        <v>6.2229000000000001</v>
      </c>
      <c r="M18" s="41">
        <v>0.06</v>
      </c>
      <c r="N18" s="41">
        <v>3.7766798780822035E-3</v>
      </c>
      <c r="O18" s="41">
        <v>1880608038.8899</v>
      </c>
      <c r="P18" s="41">
        <v>9950044.7899999991</v>
      </c>
      <c r="Q18" s="41">
        <v>7.9000000000000001E-2</v>
      </c>
      <c r="R18" s="41">
        <v>4.0000000000000002E-4</v>
      </c>
      <c r="S18" s="41">
        <v>1</v>
      </c>
      <c r="T18" s="100">
        <v>41974</v>
      </c>
      <c r="U18" s="41">
        <v>12054557.541911893</v>
      </c>
      <c r="V18" s="3">
        <f>CurrentMtgRatesDataTable82523[[#This Row],[cum_df_pct]]*100</f>
        <v>0.04</v>
      </c>
      <c r="W18" s="3">
        <f>CurrentMtgRatesDataTable82523[[#This Row],[pct_dq]]*100</f>
        <v>0.37766798780822036</v>
      </c>
      <c r="X18"/>
    </row>
    <row r="19" spans="3:24">
      <c r="C19" s="41" t="s">
        <v>111</v>
      </c>
      <c r="D19" s="41" t="s">
        <v>115</v>
      </c>
      <c r="E19" s="41">
        <v>24250413543.919998</v>
      </c>
      <c r="F19" s="42">
        <v>41974</v>
      </c>
      <c r="G19" s="41">
        <v>105250</v>
      </c>
      <c r="H19" s="41">
        <v>167068001.12957242</v>
      </c>
      <c r="I19" s="41">
        <v>1370080.94</v>
      </c>
      <c r="J19" s="41">
        <v>6.8892846230022026E-3</v>
      </c>
      <c r="K19" s="41">
        <v>5.6497219625498016E-5</v>
      </c>
      <c r="L19" s="41">
        <v>7.9608999999999996</v>
      </c>
      <c r="M19" s="41">
        <v>6.7699999999999996E-2</v>
      </c>
      <c r="N19" s="41">
        <v>2.9056197549944944E-3</v>
      </c>
      <c r="O19" s="41">
        <v>2047676040.0193999</v>
      </c>
      <c r="P19" s="41">
        <v>11320125.73</v>
      </c>
      <c r="Q19" s="41">
        <v>8.5999999999999993E-2</v>
      </c>
      <c r="R19" s="41">
        <v>4.0000000000000002E-4</v>
      </c>
      <c r="S19" s="41">
        <v>1</v>
      </c>
      <c r="T19" s="100">
        <v>42005</v>
      </c>
      <c r="U19" s="41">
        <v>18400584.229572415</v>
      </c>
      <c r="V19" s="3">
        <f>CurrentMtgRatesDataTable82523[[#This Row],[cum_df_pct]]*100</f>
        <v>0.04</v>
      </c>
      <c r="W19" s="3">
        <f>CurrentMtgRatesDataTable82523[[#This Row],[pct_dq]]*100</f>
        <v>0.29056197549944945</v>
      </c>
      <c r="X19"/>
    </row>
    <row r="20" spans="3:24">
      <c r="C20" s="41" t="s">
        <v>111</v>
      </c>
      <c r="D20" s="41" t="s">
        <v>115</v>
      </c>
      <c r="E20" s="41">
        <v>24040795038.360001</v>
      </c>
      <c r="F20" s="42">
        <v>42005</v>
      </c>
      <c r="G20" s="41">
        <v>104594</v>
      </c>
      <c r="H20" s="41">
        <v>123226193.35452217</v>
      </c>
      <c r="I20" s="41">
        <v>2150325.98</v>
      </c>
      <c r="J20" s="41">
        <v>5.1257120722463575E-3</v>
      </c>
      <c r="K20" s="41">
        <v>8.944487803206568E-5</v>
      </c>
      <c r="L20" s="41">
        <v>5.9802999999999997</v>
      </c>
      <c r="M20" s="41">
        <v>0.1072</v>
      </c>
      <c r="N20" s="41">
        <v>3.088926895783137E-3</v>
      </c>
      <c r="O20" s="41">
        <v>2170902233.3740001</v>
      </c>
      <c r="P20" s="41">
        <v>13470451.710000001</v>
      </c>
      <c r="Q20" s="41">
        <v>9.1200000000000003E-2</v>
      </c>
      <c r="R20" s="41">
        <v>5.0000000000000001E-4</v>
      </c>
      <c r="S20" s="41">
        <v>1</v>
      </c>
      <c r="T20" s="100">
        <v>42036</v>
      </c>
      <c r="U20" s="41">
        <v>14283658.524522176</v>
      </c>
      <c r="V20" s="3">
        <f>CurrentMtgRatesDataTable82523[[#This Row],[cum_df_pct]]*100</f>
        <v>0.05</v>
      </c>
      <c r="W20" s="3">
        <f>CurrentMtgRatesDataTable82523[[#This Row],[pct_dq]]*100</f>
        <v>0.30889268957831367</v>
      </c>
      <c r="X20"/>
    </row>
    <row r="21" spans="3:24">
      <c r="C21" s="41" t="s">
        <v>111</v>
      </c>
      <c r="D21" s="41" t="s">
        <v>115</v>
      </c>
      <c r="E21" s="41">
        <v>23875975738.029999</v>
      </c>
      <c r="F21" s="42">
        <v>42036</v>
      </c>
      <c r="G21" s="41">
        <v>104108</v>
      </c>
      <c r="H21" s="41">
        <v>188500693.34794134</v>
      </c>
      <c r="I21" s="41">
        <v>895695.95</v>
      </c>
      <c r="J21" s="41">
        <v>7.894994341433122E-3</v>
      </c>
      <c r="K21" s="41">
        <v>3.7514527566440878E-5</v>
      </c>
      <c r="L21" s="41">
        <v>9.0731999999999999</v>
      </c>
      <c r="M21" s="41">
        <v>4.4999999999999998E-2</v>
      </c>
      <c r="N21" s="41">
        <v>3.7509790134922223E-3</v>
      </c>
      <c r="O21" s="41">
        <v>2359402926.7219</v>
      </c>
      <c r="P21" s="41">
        <v>14366147.66</v>
      </c>
      <c r="Q21" s="41">
        <v>9.9099999999999994E-2</v>
      </c>
      <c r="R21" s="41">
        <v>5.9999999999999995E-4</v>
      </c>
      <c r="S21" s="41">
        <v>1</v>
      </c>
      <c r="T21" s="100">
        <v>42064</v>
      </c>
      <c r="U21" s="41">
        <v>13453680.45794135</v>
      </c>
      <c r="V21" s="3">
        <f>CurrentMtgRatesDataTable82523[[#This Row],[cum_df_pct]]*100</f>
        <v>0.06</v>
      </c>
      <c r="W21" s="3">
        <f>CurrentMtgRatesDataTable82523[[#This Row],[pct_dq]]*100</f>
        <v>0.37509790134922222</v>
      </c>
      <c r="X21"/>
    </row>
    <row r="22" spans="3:24">
      <c r="C22" s="41" t="s">
        <v>111</v>
      </c>
      <c r="D22" s="41" t="s">
        <v>115</v>
      </c>
      <c r="E22" s="41">
        <v>23646957349.279999</v>
      </c>
      <c r="F22" s="42">
        <v>42064</v>
      </c>
      <c r="G22" s="41">
        <v>103403</v>
      </c>
      <c r="H22" s="41">
        <v>231466582.66674614</v>
      </c>
      <c r="I22" s="41">
        <v>524174.41</v>
      </c>
      <c r="J22" s="41">
        <v>9.7884298283218169E-3</v>
      </c>
      <c r="K22" s="41">
        <v>2.2166674648988616E-5</v>
      </c>
      <c r="L22" s="41">
        <v>11.133900000000001</v>
      </c>
      <c r="M22" s="41">
        <v>2.6499999999999999E-2</v>
      </c>
      <c r="N22" s="41">
        <v>2.4624736620406252E-3</v>
      </c>
      <c r="O22" s="41">
        <v>2590869509.3887</v>
      </c>
      <c r="P22" s="41">
        <v>14890322.07</v>
      </c>
      <c r="Q22" s="41">
        <v>0.10879999999999999</v>
      </c>
      <c r="R22" s="41">
        <v>5.9999999999999995E-4</v>
      </c>
      <c r="S22" s="41">
        <v>1</v>
      </c>
      <c r="T22" s="100">
        <v>42095</v>
      </c>
      <c r="U22" s="41">
        <v>17972186.436746147</v>
      </c>
      <c r="V22" s="3">
        <f>CurrentMtgRatesDataTable82523[[#This Row],[cum_df_pct]]*100</f>
        <v>0.06</v>
      </c>
      <c r="W22" s="3">
        <f>CurrentMtgRatesDataTable82523[[#This Row],[pct_dq]]*100</f>
        <v>0.24624736620406251</v>
      </c>
      <c r="X22"/>
    </row>
    <row r="23" spans="3:24">
      <c r="C23" s="41" t="s">
        <v>111</v>
      </c>
      <c r="D23" s="41" t="s">
        <v>115</v>
      </c>
      <c r="E23" s="41">
        <v>23375554328.130001</v>
      </c>
      <c r="F23" s="42">
        <v>42095</v>
      </c>
      <c r="G23" s="41">
        <v>102545</v>
      </c>
      <c r="H23" s="41">
        <v>208464582.27247635</v>
      </c>
      <c r="I23" s="41">
        <v>1986068.5</v>
      </c>
      <c r="J23" s="41">
        <v>8.9180594113916403E-3</v>
      </c>
      <c r="K23" s="41">
        <v>8.4963482453546656E-5</v>
      </c>
      <c r="L23" s="41">
        <v>10.192</v>
      </c>
      <c r="M23" s="41">
        <v>0.1019</v>
      </c>
      <c r="N23" s="41">
        <v>2.3933989322629107E-3</v>
      </c>
      <c r="O23" s="41">
        <v>2799334091.6610999</v>
      </c>
      <c r="P23" s="41">
        <v>16876390.57</v>
      </c>
      <c r="Q23" s="41">
        <v>0.1176</v>
      </c>
      <c r="R23" s="41">
        <v>6.9999999999999999E-4</v>
      </c>
      <c r="S23" s="41">
        <v>1</v>
      </c>
      <c r="T23" s="100">
        <v>42125</v>
      </c>
      <c r="U23" s="41">
        <v>15662967.172476333</v>
      </c>
      <c r="V23" s="3">
        <f>CurrentMtgRatesDataTable82523[[#This Row],[cum_df_pct]]*100</f>
        <v>6.9999999999999993E-2</v>
      </c>
      <c r="W23" s="3">
        <f>CurrentMtgRatesDataTable82523[[#This Row],[pct_dq]]*100</f>
        <v>0.23933989322629107</v>
      </c>
      <c r="X23"/>
    </row>
    <row r="24" spans="3:24">
      <c r="C24" s="41" t="s">
        <v>111</v>
      </c>
      <c r="D24" s="41" t="s">
        <v>115</v>
      </c>
      <c r="E24" s="41">
        <v>23125464114.549999</v>
      </c>
      <c r="F24" s="42">
        <v>42125</v>
      </c>
      <c r="G24" s="41">
        <v>101715</v>
      </c>
      <c r="H24" s="41">
        <v>229769524.20539668</v>
      </c>
      <c r="I24" s="41">
        <v>1529355.92</v>
      </c>
      <c r="J24" s="41">
        <v>9.9357800157978717E-3</v>
      </c>
      <c r="K24" s="41">
        <v>6.6132982777100893E-5</v>
      </c>
      <c r="L24" s="41">
        <v>11.292400000000001</v>
      </c>
      <c r="M24" s="41">
        <v>7.9299999999999995E-2</v>
      </c>
      <c r="N24" s="41">
        <v>2.9658425275385929E-3</v>
      </c>
      <c r="O24" s="41">
        <v>3029103615.8664999</v>
      </c>
      <c r="P24" s="41">
        <v>18405746.489999998</v>
      </c>
      <c r="Q24" s="41">
        <v>0.12720000000000001</v>
      </c>
      <c r="R24" s="41">
        <v>6.9999999999999999E-4</v>
      </c>
      <c r="S24" s="41">
        <v>1</v>
      </c>
      <c r="T24" s="100">
        <v>42156</v>
      </c>
      <c r="U24" s="41">
        <v>13341724.225396693</v>
      </c>
      <c r="V24" s="3">
        <f>CurrentMtgRatesDataTable82523[[#This Row],[cum_df_pct]]*100</f>
        <v>6.9999999999999993E-2</v>
      </c>
      <c r="W24" s="3">
        <f>CurrentMtgRatesDataTable82523[[#This Row],[pct_dq]]*100</f>
        <v>0.2965842527538593</v>
      </c>
      <c r="X24"/>
    </row>
    <row r="25" spans="3:24">
      <c r="C25" s="41" t="s">
        <v>111</v>
      </c>
      <c r="D25" s="41" t="s">
        <v>115</v>
      </c>
      <c r="E25" s="41">
        <v>22854846731.060001</v>
      </c>
      <c r="F25" s="42">
        <v>42156</v>
      </c>
      <c r="G25" s="41">
        <v>100783</v>
      </c>
      <c r="H25" s="41">
        <v>262368240.05812284</v>
      </c>
      <c r="I25" s="41">
        <v>1964314.41</v>
      </c>
      <c r="J25" s="41">
        <v>1.1479763708131167E-2</v>
      </c>
      <c r="K25" s="41">
        <v>8.5947389326854429E-5</v>
      </c>
      <c r="L25" s="41">
        <v>12.9383</v>
      </c>
      <c r="M25" s="41">
        <v>0.10299999999999999</v>
      </c>
      <c r="N25" s="41">
        <v>3.0338535723264557E-3</v>
      </c>
      <c r="O25" s="41">
        <v>3291471855.9246998</v>
      </c>
      <c r="P25" s="41">
        <v>20370060.899999999</v>
      </c>
      <c r="Q25" s="41">
        <v>0.13819999999999999</v>
      </c>
      <c r="R25" s="41">
        <v>8.0000000000000004E-4</v>
      </c>
      <c r="S25" s="41">
        <v>1</v>
      </c>
      <c r="T25" s="100">
        <v>42186</v>
      </c>
      <c r="U25" s="41">
        <v>14947598.088122845</v>
      </c>
      <c r="V25" s="3">
        <f>CurrentMtgRatesDataTable82523[[#This Row],[cum_df_pct]]*100</f>
        <v>0.08</v>
      </c>
      <c r="W25" s="3">
        <f>CurrentMtgRatesDataTable82523[[#This Row],[pct_dq]]*100</f>
        <v>0.30338535723264559</v>
      </c>
      <c r="X25"/>
    </row>
    <row r="26" spans="3:24">
      <c r="C26" s="41" t="s">
        <v>111</v>
      </c>
      <c r="D26" s="41" t="s">
        <v>115</v>
      </c>
      <c r="E26" s="41">
        <v>22550892718.18</v>
      </c>
      <c r="F26" s="42">
        <v>42186</v>
      </c>
      <c r="G26" s="41">
        <v>99701</v>
      </c>
      <c r="H26" s="41">
        <v>222766426.69571179</v>
      </c>
      <c r="I26" s="41">
        <v>1274175.8600000001</v>
      </c>
      <c r="J26" s="41">
        <v>9.8783861676625655E-3</v>
      </c>
      <c r="K26" s="41">
        <v>5.6502235894758583E-5</v>
      </c>
      <c r="L26" s="41">
        <v>11.230700000000001</v>
      </c>
      <c r="M26" s="41">
        <v>6.7699999999999996E-2</v>
      </c>
      <c r="N26" s="41">
        <v>2.5658093354926736E-3</v>
      </c>
      <c r="O26" s="41">
        <v>3514238282.6204</v>
      </c>
      <c r="P26" s="41">
        <v>21644236.760000002</v>
      </c>
      <c r="Q26" s="41">
        <v>0.14760000000000001</v>
      </c>
      <c r="R26" s="41">
        <v>8.9999999999999998E-4</v>
      </c>
      <c r="S26" s="41">
        <v>1</v>
      </c>
      <c r="T26" s="100">
        <v>42217</v>
      </c>
      <c r="U26" s="41">
        <v>18465113.545711786</v>
      </c>
      <c r="V26" s="3">
        <f>CurrentMtgRatesDataTable82523[[#This Row],[cum_df_pct]]*100</f>
        <v>0.09</v>
      </c>
      <c r="W26" s="3">
        <f>CurrentMtgRatesDataTable82523[[#This Row],[pct_dq]]*100</f>
        <v>0.25658093354926736</v>
      </c>
      <c r="X26"/>
    </row>
    <row r="27" spans="3:24">
      <c r="C27" s="41" t="s">
        <v>111</v>
      </c>
      <c r="D27" s="41" t="s">
        <v>115</v>
      </c>
      <c r="E27" s="41">
        <v>22287252889.32</v>
      </c>
      <c r="F27" s="42">
        <v>42217</v>
      </c>
      <c r="G27" s="41">
        <v>98781</v>
      </c>
      <c r="H27" s="41">
        <v>199971365.03574207</v>
      </c>
      <c r="I27" s="41">
        <v>64936</v>
      </c>
      <c r="J27" s="41">
        <v>8.9724546146989648E-3</v>
      </c>
      <c r="K27" s="41">
        <v>2.9135937175602821E-6</v>
      </c>
      <c r="L27" s="41">
        <v>10.251099999999999</v>
      </c>
      <c r="M27" s="41">
        <v>3.3999999999999998E-3</v>
      </c>
      <c r="N27" s="41">
        <v>3.046347121252211E-3</v>
      </c>
      <c r="O27" s="41">
        <v>3714209647.6560998</v>
      </c>
      <c r="P27" s="41">
        <v>21709172.760000002</v>
      </c>
      <c r="Q27" s="41">
        <v>0.156</v>
      </c>
      <c r="R27" s="41">
        <v>8.9999999999999998E-4</v>
      </c>
      <c r="S27" s="41">
        <v>1</v>
      </c>
      <c r="T27" s="100">
        <v>42248</v>
      </c>
      <c r="U27" s="41">
        <v>13992497.345742071</v>
      </c>
      <c r="V27" s="3">
        <f>CurrentMtgRatesDataTable82523[[#This Row],[cum_df_pct]]*100</f>
        <v>0.09</v>
      </c>
      <c r="W27" s="3">
        <f>CurrentMtgRatesDataTable82523[[#This Row],[pct_dq]]*100</f>
        <v>0.30463471212522109</v>
      </c>
      <c r="X27"/>
    </row>
    <row r="28" spans="3:24">
      <c r="C28" s="41" t="s">
        <v>119</v>
      </c>
      <c r="D28" s="41" t="s">
        <v>123</v>
      </c>
      <c r="E28" s="41">
        <v>29308718889.77</v>
      </c>
      <c r="F28" s="42">
        <v>41609</v>
      </c>
      <c r="G28" s="41">
        <v>122291</v>
      </c>
      <c r="H28" s="41">
        <v>98105555.343635857</v>
      </c>
      <c r="I28" s="41">
        <v>0</v>
      </c>
      <c r="J28" s="41">
        <v>3.3473163979841811E-3</v>
      </c>
      <c r="K28" s="41">
        <v>0</v>
      </c>
      <c r="L28" s="41">
        <v>3.9436</v>
      </c>
      <c r="M28" s="41">
        <v>0</v>
      </c>
      <c r="N28" s="41">
        <v>1.4466061276666303E-3</v>
      </c>
      <c r="O28" s="41">
        <v>98105555.343600005</v>
      </c>
      <c r="P28" s="41">
        <v>0</v>
      </c>
      <c r="Q28" s="41">
        <v>3.5999999999999999E-3</v>
      </c>
      <c r="R28" s="41">
        <v>0</v>
      </c>
      <c r="S28" s="41">
        <v>1</v>
      </c>
      <c r="T28" s="100">
        <v>41640</v>
      </c>
      <c r="U28" s="41">
        <v>16316848.603635851</v>
      </c>
      <c r="V28" s="3">
        <f>CurrentMtgRatesDataTable82523[[#This Row],[cum_df_pct]]*100</f>
        <v>0</v>
      </c>
      <c r="W28" s="3">
        <f>CurrentMtgRatesDataTable82523[[#This Row],[pct_dq]]*100</f>
        <v>0.14466061276666303</v>
      </c>
      <c r="X28"/>
    </row>
    <row r="29" spans="3:24">
      <c r="C29" s="41" t="s">
        <v>119</v>
      </c>
      <c r="D29" s="41" t="s">
        <v>123</v>
      </c>
      <c r="E29" s="41">
        <v>29163882168.77</v>
      </c>
      <c r="F29" s="42">
        <v>41640</v>
      </c>
      <c r="G29" s="41">
        <v>121923</v>
      </c>
      <c r="H29" s="41">
        <v>77705828.709903061</v>
      </c>
      <c r="I29" s="41">
        <v>0</v>
      </c>
      <c r="J29" s="41">
        <v>2.6644542129275902E-3</v>
      </c>
      <c r="K29" s="41">
        <v>0</v>
      </c>
      <c r="L29" s="41">
        <v>3.1509</v>
      </c>
      <c r="M29" s="41">
        <v>0</v>
      </c>
      <c r="N29" s="41">
        <v>1.6038141677889206E-3</v>
      </c>
      <c r="O29" s="41">
        <v>175811384.0535</v>
      </c>
      <c r="P29" s="41">
        <v>0</v>
      </c>
      <c r="Q29" s="41">
        <v>6.4999999999999997E-3</v>
      </c>
      <c r="R29" s="41">
        <v>0</v>
      </c>
      <c r="S29" s="41">
        <v>1</v>
      </c>
      <c r="T29" s="100">
        <v>41671</v>
      </c>
      <c r="U29" s="41">
        <v>17109175.309903055</v>
      </c>
      <c r="V29" s="3">
        <f>CurrentMtgRatesDataTable82523[[#This Row],[cum_df_pct]]*100</f>
        <v>0</v>
      </c>
      <c r="W29" s="3">
        <f>CurrentMtgRatesDataTable82523[[#This Row],[pct_dq]]*100</f>
        <v>0.16038141677889206</v>
      </c>
      <c r="X29"/>
    </row>
    <row r="30" spans="3:24">
      <c r="C30" s="41" t="s">
        <v>119</v>
      </c>
      <c r="D30" s="41" t="s">
        <v>123</v>
      </c>
      <c r="E30" s="41">
        <v>29040913330.150002</v>
      </c>
      <c r="F30" s="42">
        <v>41671</v>
      </c>
      <c r="G30" s="41">
        <v>121654</v>
      </c>
      <c r="H30" s="41">
        <v>81029983.144586861</v>
      </c>
      <c r="I30" s="41">
        <v>0</v>
      </c>
      <c r="J30" s="41">
        <v>2.7902009218305924E-3</v>
      </c>
      <c r="K30" s="41">
        <v>0</v>
      </c>
      <c r="L30" s="41">
        <v>3.2972999999999999</v>
      </c>
      <c r="M30" s="41">
        <v>0</v>
      </c>
      <c r="N30" s="41">
        <v>2.6455428789919247E-3</v>
      </c>
      <c r="O30" s="41">
        <v>256841367.1981</v>
      </c>
      <c r="P30" s="41">
        <v>0</v>
      </c>
      <c r="Q30" s="41">
        <v>9.4999999999999998E-3</v>
      </c>
      <c r="R30" s="41">
        <v>0</v>
      </c>
      <c r="S30" s="41">
        <v>1</v>
      </c>
      <c r="T30" s="100">
        <v>41699</v>
      </c>
      <c r="U30" s="41">
        <v>14614523.274586868</v>
      </c>
      <c r="V30" s="3">
        <f>CurrentMtgRatesDataTable82523[[#This Row],[cum_df_pct]]*100</f>
        <v>0</v>
      </c>
      <c r="W30" s="3">
        <f>CurrentMtgRatesDataTable82523[[#This Row],[pct_dq]]*100</f>
        <v>0.26455428789919244</v>
      </c>
      <c r="X30"/>
    </row>
    <row r="31" spans="3:24">
      <c r="C31" s="41" t="s">
        <v>119</v>
      </c>
      <c r="D31" s="41" t="s">
        <v>123</v>
      </c>
      <c r="E31" s="41">
        <v>28914638991.330002</v>
      </c>
      <c r="F31" s="42">
        <v>41699</v>
      </c>
      <c r="G31" s="41">
        <v>121357</v>
      </c>
      <c r="H31" s="41">
        <v>106750893.06477638</v>
      </c>
      <c r="I31" s="41">
        <v>0</v>
      </c>
      <c r="J31" s="41">
        <v>3.6919324186196973E-3</v>
      </c>
      <c r="K31" s="41">
        <v>0</v>
      </c>
      <c r="L31" s="41">
        <v>4.3414000000000001</v>
      </c>
      <c r="M31" s="41">
        <v>0</v>
      </c>
      <c r="N31" s="41">
        <v>1.7458782720799926E-3</v>
      </c>
      <c r="O31" s="41">
        <v>363592260.26289999</v>
      </c>
      <c r="P31" s="41">
        <v>0</v>
      </c>
      <c r="Q31" s="41">
        <v>1.34E-2</v>
      </c>
      <c r="R31" s="41">
        <v>0</v>
      </c>
      <c r="S31" s="41">
        <v>1</v>
      </c>
      <c r="T31" s="100">
        <v>41730</v>
      </c>
      <c r="U31" s="41">
        <v>17113693.124776371</v>
      </c>
      <c r="V31" s="3">
        <f>CurrentMtgRatesDataTable82523[[#This Row],[cum_df_pct]]*100</f>
        <v>0</v>
      </c>
      <c r="W31" s="3">
        <f>CurrentMtgRatesDataTable82523[[#This Row],[pct_dq]]*100</f>
        <v>0.17458782720799926</v>
      </c>
      <c r="X31"/>
    </row>
    <row r="32" spans="3:24">
      <c r="C32" s="41" t="s">
        <v>119</v>
      </c>
      <c r="D32" s="41" t="s">
        <v>123</v>
      </c>
      <c r="E32" s="41">
        <v>28762301298.98</v>
      </c>
      <c r="F32" s="42">
        <v>41730</v>
      </c>
      <c r="G32" s="41">
        <v>120935</v>
      </c>
      <c r="H32" s="41">
        <v>119764760.77562627</v>
      </c>
      <c r="I32" s="41">
        <v>0</v>
      </c>
      <c r="J32" s="41">
        <v>4.1639491753698273E-3</v>
      </c>
      <c r="K32" s="41">
        <v>0</v>
      </c>
      <c r="L32" s="41">
        <v>4.8837999999999999</v>
      </c>
      <c r="M32" s="41">
        <v>0</v>
      </c>
      <c r="N32" s="41">
        <v>1.9816911841480963E-3</v>
      </c>
      <c r="O32" s="41">
        <v>483357021.03850001</v>
      </c>
      <c r="P32" s="41">
        <v>0</v>
      </c>
      <c r="Q32" s="41">
        <v>1.7899999999999999E-2</v>
      </c>
      <c r="R32" s="41">
        <v>0</v>
      </c>
      <c r="S32" s="41">
        <v>1</v>
      </c>
      <c r="T32" s="100">
        <v>41760</v>
      </c>
      <c r="U32" s="41">
        <v>16676016.005626274</v>
      </c>
      <c r="V32" s="3">
        <f>CurrentMtgRatesDataTable82523[[#This Row],[cum_df_pct]]*100</f>
        <v>0</v>
      </c>
      <c r="W32" s="3">
        <f>CurrentMtgRatesDataTable82523[[#This Row],[pct_dq]]*100</f>
        <v>0.19816911841480964</v>
      </c>
      <c r="X32"/>
    </row>
    <row r="33" spans="3:24">
      <c r="C33" s="41" t="s">
        <v>119</v>
      </c>
      <c r="D33" s="41" t="s">
        <v>123</v>
      </c>
      <c r="E33" s="41">
        <v>28595851604.799999</v>
      </c>
      <c r="F33" s="42">
        <v>41760</v>
      </c>
      <c r="G33" s="41">
        <v>120457</v>
      </c>
      <c r="H33" s="41">
        <v>134245375.79486835</v>
      </c>
      <c r="I33" s="41">
        <v>968222.55</v>
      </c>
      <c r="J33" s="41">
        <v>4.6945752009824523E-3</v>
      </c>
      <c r="K33" s="41">
        <v>3.385884649917114E-5</v>
      </c>
      <c r="L33" s="41">
        <v>5.4901999999999997</v>
      </c>
      <c r="M33" s="41">
        <v>4.0599999999999997E-2</v>
      </c>
      <c r="N33" s="41">
        <v>2.4658054991502382E-3</v>
      </c>
      <c r="O33" s="41">
        <v>617602396.83329999</v>
      </c>
      <c r="P33" s="41">
        <v>968222.55</v>
      </c>
      <c r="Q33" s="41">
        <v>2.29E-2</v>
      </c>
      <c r="R33" s="41">
        <v>0</v>
      </c>
      <c r="S33" s="41">
        <v>1</v>
      </c>
      <c r="T33" s="100">
        <v>41791</v>
      </c>
      <c r="U33" s="41">
        <v>15613684.444868337</v>
      </c>
      <c r="V33" s="3">
        <f>CurrentMtgRatesDataTable82523[[#This Row],[cum_df_pct]]*100</f>
        <v>0</v>
      </c>
      <c r="W33" s="3">
        <f>CurrentMtgRatesDataTable82523[[#This Row],[pct_dq]]*100</f>
        <v>0.24658054991502382</v>
      </c>
      <c r="X33"/>
    </row>
    <row r="34" spans="3:24">
      <c r="C34" s="41" t="s">
        <v>119</v>
      </c>
      <c r="D34" s="41" t="s">
        <v>123</v>
      </c>
      <c r="E34" s="41">
        <v>28414153891.810001</v>
      </c>
      <c r="F34" s="42">
        <v>41791</v>
      </c>
      <c r="G34" s="41">
        <v>119901</v>
      </c>
      <c r="H34" s="41">
        <v>158579119.94993708</v>
      </c>
      <c r="I34" s="41">
        <v>174305.64</v>
      </c>
      <c r="J34" s="41">
        <v>5.5809903949188295E-3</v>
      </c>
      <c r="K34" s="41">
        <v>6.1344652620552349E-6</v>
      </c>
      <c r="L34" s="41">
        <v>6.4953000000000003</v>
      </c>
      <c r="M34" s="41">
        <v>7.3000000000000001E-3</v>
      </c>
      <c r="N34" s="41">
        <v>2.5690980279740412E-3</v>
      </c>
      <c r="O34" s="41">
        <v>776181516.78330004</v>
      </c>
      <c r="P34" s="41">
        <v>1142528.19</v>
      </c>
      <c r="Q34" s="41">
        <v>2.8799999999999999E-2</v>
      </c>
      <c r="R34" s="41">
        <v>0</v>
      </c>
      <c r="S34" s="41">
        <v>1</v>
      </c>
      <c r="T34" s="100">
        <v>41821</v>
      </c>
      <c r="U34" s="41">
        <v>15030143.379937077</v>
      </c>
      <c r="V34" s="3">
        <f>CurrentMtgRatesDataTable82523[[#This Row],[cum_df_pct]]*100</f>
        <v>0</v>
      </c>
      <c r="W34" s="3">
        <f>CurrentMtgRatesDataTable82523[[#This Row],[pct_dq]]*100</f>
        <v>0.25690980279740411</v>
      </c>
      <c r="X34"/>
    </row>
    <row r="35" spans="3:24">
      <c r="C35" s="41" t="s">
        <v>119</v>
      </c>
      <c r="D35" s="41" t="s">
        <v>123</v>
      </c>
      <c r="E35" s="41">
        <v>28210548350.849998</v>
      </c>
      <c r="F35" s="42">
        <v>41821</v>
      </c>
      <c r="G35" s="41">
        <v>119270</v>
      </c>
      <c r="H35" s="41">
        <v>159003200.94288641</v>
      </c>
      <c r="I35" s="41">
        <v>753455.6</v>
      </c>
      <c r="J35" s="41">
        <v>5.6363030936297112E-3</v>
      </c>
      <c r="K35" s="41">
        <v>2.6708293317428477E-5</v>
      </c>
      <c r="L35" s="41">
        <v>6.5576999999999996</v>
      </c>
      <c r="M35" s="41">
        <v>3.2000000000000001E-2</v>
      </c>
      <c r="N35" s="41">
        <v>2.1615506360110393E-3</v>
      </c>
      <c r="O35" s="41">
        <v>935184717.72619998</v>
      </c>
      <c r="P35" s="41">
        <v>1895983.79</v>
      </c>
      <c r="Q35" s="41">
        <v>3.4700000000000002E-2</v>
      </c>
      <c r="R35" s="41">
        <v>0</v>
      </c>
      <c r="S35" s="41">
        <v>1</v>
      </c>
      <c r="T35" s="100">
        <v>41852</v>
      </c>
      <c r="U35" s="41">
        <v>14929298.202886403</v>
      </c>
      <c r="V35" s="3">
        <f>CurrentMtgRatesDataTable82523[[#This Row],[cum_df_pct]]*100</f>
        <v>0</v>
      </c>
      <c r="W35" s="3">
        <f>CurrentMtgRatesDataTable82523[[#This Row],[pct_dq]]*100</f>
        <v>0.21615506360110393</v>
      </c>
      <c r="X35"/>
    </row>
    <row r="36" spans="3:24">
      <c r="C36" s="41" t="s">
        <v>119</v>
      </c>
      <c r="D36" s="41" t="s">
        <v>123</v>
      </c>
      <c r="E36" s="41">
        <v>28004523289.130001</v>
      </c>
      <c r="F36" s="42">
        <v>41852</v>
      </c>
      <c r="G36" s="41">
        <v>118639</v>
      </c>
      <c r="H36" s="41">
        <v>154033119.23516107</v>
      </c>
      <c r="I36" s="41">
        <v>650897.73</v>
      </c>
      <c r="J36" s="41">
        <v>5.5002942790655989E-3</v>
      </c>
      <c r="K36" s="41">
        <v>2.3242592751173414E-5</v>
      </c>
      <c r="L36" s="41">
        <v>6.4042000000000003</v>
      </c>
      <c r="M36" s="41">
        <v>2.7799999999999998E-2</v>
      </c>
      <c r="N36" s="41">
        <v>2.5246221912101838E-3</v>
      </c>
      <c r="O36" s="41">
        <v>1089217836.9612999</v>
      </c>
      <c r="P36" s="41">
        <v>2546881.52</v>
      </c>
      <c r="Q36" s="41">
        <v>4.0399999999999998E-2</v>
      </c>
      <c r="R36" s="41">
        <v>0</v>
      </c>
      <c r="S36" s="41">
        <v>1</v>
      </c>
      <c r="T36" s="100">
        <v>41883</v>
      </c>
      <c r="U36" s="41">
        <v>16005314.145161074</v>
      </c>
      <c r="V36" s="3">
        <f>CurrentMtgRatesDataTable82523[[#This Row],[cum_df_pct]]*100</f>
        <v>0</v>
      </c>
      <c r="W36" s="3">
        <f>CurrentMtgRatesDataTable82523[[#This Row],[pct_dq]]*100</f>
        <v>0.25246221912101841</v>
      </c>
      <c r="X36"/>
    </row>
    <row r="37" spans="3:24">
      <c r="C37" s="41" t="s">
        <v>119</v>
      </c>
      <c r="D37" s="41" t="s">
        <v>123</v>
      </c>
      <c r="E37" s="41">
        <v>27804202181.93</v>
      </c>
      <c r="F37" s="42">
        <v>41883</v>
      </c>
      <c r="G37" s="41">
        <v>118024</v>
      </c>
      <c r="H37" s="41">
        <v>149781551.8991248</v>
      </c>
      <c r="I37" s="41">
        <v>463429.48</v>
      </c>
      <c r="J37" s="41">
        <v>5.3870113200539197E-3</v>
      </c>
      <c r="K37" s="41">
        <v>1.6667605744184367E-5</v>
      </c>
      <c r="L37" s="41">
        <v>6.2762000000000002</v>
      </c>
      <c r="M37" s="41">
        <v>1.9900000000000001E-2</v>
      </c>
      <c r="N37" s="41">
        <v>2.3100353414111747E-3</v>
      </c>
      <c r="O37" s="41">
        <v>1238999388.8605001</v>
      </c>
      <c r="P37" s="41">
        <v>3010311</v>
      </c>
      <c r="Q37" s="41">
        <v>4.5900000000000003E-2</v>
      </c>
      <c r="R37" s="41">
        <v>1E-4</v>
      </c>
      <c r="S37" s="41">
        <v>1</v>
      </c>
      <c r="T37" s="100">
        <v>41913</v>
      </c>
      <c r="U37" s="41">
        <v>12968379.219124794</v>
      </c>
      <c r="V37" s="3">
        <f>CurrentMtgRatesDataTable82523[[#This Row],[cum_df_pct]]*100</f>
        <v>0.01</v>
      </c>
      <c r="W37" s="3">
        <f>CurrentMtgRatesDataTable82523[[#This Row],[pct_dq]]*100</f>
        <v>0.23100353414111746</v>
      </c>
      <c r="X37"/>
    </row>
    <row r="38" spans="3:24">
      <c r="C38" s="41" t="s">
        <v>119</v>
      </c>
      <c r="D38" s="41" t="s">
        <v>123</v>
      </c>
      <c r="E38" s="41">
        <v>27608267043.360001</v>
      </c>
      <c r="F38" s="42">
        <v>41913</v>
      </c>
      <c r="G38" s="41">
        <v>117397</v>
      </c>
      <c r="H38" s="41">
        <v>159048046.77324229</v>
      </c>
      <c r="I38" s="41">
        <v>1565411.17</v>
      </c>
      <c r="J38" s="41">
        <v>5.7608848292958897E-3</v>
      </c>
      <c r="K38" s="41">
        <v>5.6700812388602762E-5</v>
      </c>
      <c r="L38" s="41">
        <v>6.6981000000000002</v>
      </c>
      <c r="M38" s="41">
        <v>6.8000000000000005E-2</v>
      </c>
      <c r="N38" s="41">
        <v>2.1632208706255538E-3</v>
      </c>
      <c r="O38" s="41">
        <v>1398047435.6336999</v>
      </c>
      <c r="P38" s="41">
        <v>4575722.17</v>
      </c>
      <c r="Q38" s="41">
        <v>5.1900000000000002E-2</v>
      </c>
      <c r="R38" s="41">
        <v>1E-4</v>
      </c>
      <c r="S38" s="41">
        <v>1</v>
      </c>
      <c r="T38" s="100">
        <v>41944</v>
      </c>
      <c r="U38" s="41">
        <v>18879713.353242304</v>
      </c>
      <c r="V38" s="3">
        <f>CurrentMtgRatesDataTable82523[[#This Row],[cum_df_pct]]*100</f>
        <v>0.01</v>
      </c>
      <c r="W38" s="3">
        <f>CurrentMtgRatesDataTable82523[[#This Row],[pct_dq]]*100</f>
        <v>0.21632208706255537</v>
      </c>
      <c r="X38"/>
    </row>
    <row r="39" spans="3:24">
      <c r="C39" s="41" t="s">
        <v>119</v>
      </c>
      <c r="D39" s="41" t="s">
        <v>123</v>
      </c>
      <c r="E39" s="41">
        <v>27400500608.950001</v>
      </c>
      <c r="F39" s="42">
        <v>41944</v>
      </c>
      <c r="G39" s="41">
        <v>116734</v>
      </c>
      <c r="H39" s="41">
        <v>120007661.26926655</v>
      </c>
      <c r="I39" s="41">
        <v>1131561.0900000001</v>
      </c>
      <c r="J39" s="41">
        <v>4.3797616321676865E-3</v>
      </c>
      <c r="K39" s="41">
        <v>4.1297095485561713E-5</v>
      </c>
      <c r="L39" s="41">
        <v>5.1308999999999996</v>
      </c>
      <c r="M39" s="41">
        <v>4.9500000000000002E-2</v>
      </c>
      <c r="N39" s="41">
        <v>3.3128638894411246E-3</v>
      </c>
      <c r="O39" s="41">
        <v>1518055096.9030001</v>
      </c>
      <c r="P39" s="41">
        <v>5707283.2599999998</v>
      </c>
      <c r="Q39" s="41">
        <v>5.6300000000000003E-2</v>
      </c>
      <c r="R39" s="41">
        <v>2.0000000000000001E-4</v>
      </c>
      <c r="S39" s="41">
        <v>1</v>
      </c>
      <c r="T39" s="100">
        <v>41974</v>
      </c>
      <c r="U39" s="41">
        <v>11618003.93926654</v>
      </c>
      <c r="V39" s="3">
        <f>CurrentMtgRatesDataTable82523[[#This Row],[cum_df_pct]]*100</f>
        <v>0.02</v>
      </c>
      <c r="W39" s="3">
        <f>CurrentMtgRatesDataTable82523[[#This Row],[pct_dq]]*100</f>
        <v>0.33128638894411244</v>
      </c>
      <c r="X39"/>
    </row>
    <row r="40" spans="3:24">
      <c r="C40" s="41" t="s">
        <v>119</v>
      </c>
      <c r="D40" s="41" t="s">
        <v>123</v>
      </c>
      <c r="E40" s="41">
        <v>27225047202.509998</v>
      </c>
      <c r="F40" s="42">
        <v>41974</v>
      </c>
      <c r="G40" s="41">
        <v>116183</v>
      </c>
      <c r="H40" s="41">
        <v>156534603.800221</v>
      </c>
      <c r="I40" s="41">
        <v>1455861.35</v>
      </c>
      <c r="J40" s="41">
        <v>5.7496540827223748E-3</v>
      </c>
      <c r="K40" s="41">
        <v>5.3475071656286331E-5</v>
      </c>
      <c r="L40" s="41">
        <v>6.6855000000000002</v>
      </c>
      <c r="M40" s="41">
        <v>6.4100000000000004E-2</v>
      </c>
      <c r="N40" s="41">
        <v>2.4964216199314425E-3</v>
      </c>
      <c r="O40" s="41">
        <v>1674589700.7032001</v>
      </c>
      <c r="P40" s="41">
        <v>7163144.6100000003</v>
      </c>
      <c r="Q40" s="41">
        <v>6.2100000000000002E-2</v>
      </c>
      <c r="R40" s="41">
        <v>2.0000000000000001E-4</v>
      </c>
      <c r="S40" s="41">
        <v>1</v>
      </c>
      <c r="T40" s="100">
        <v>42005</v>
      </c>
      <c r="U40" s="41">
        <v>19015221.900220994</v>
      </c>
      <c r="V40" s="3">
        <f>CurrentMtgRatesDataTable82523[[#This Row],[cum_df_pct]]*100</f>
        <v>0.02</v>
      </c>
      <c r="W40" s="3">
        <f>CurrentMtgRatesDataTable82523[[#This Row],[pct_dq]]*100</f>
        <v>0.24964216199314426</v>
      </c>
      <c r="X40"/>
    </row>
    <row r="41" spans="3:24">
      <c r="C41" s="41" t="s">
        <v>119</v>
      </c>
      <c r="D41" s="41" t="s">
        <v>123</v>
      </c>
      <c r="E41" s="41">
        <v>27019816709.34</v>
      </c>
      <c r="F41" s="42">
        <v>42005</v>
      </c>
      <c r="G41" s="41">
        <v>115569</v>
      </c>
      <c r="H41" s="41">
        <v>118252138.15482891</v>
      </c>
      <c r="I41" s="41">
        <v>854769.17</v>
      </c>
      <c r="J41" s="41">
        <v>4.3764966811914909E-3</v>
      </c>
      <c r="K41" s="41">
        <v>3.1634898903830463E-5</v>
      </c>
      <c r="L41" s="41">
        <v>5.1272000000000002</v>
      </c>
      <c r="M41" s="41">
        <v>3.7900000000000003E-2</v>
      </c>
      <c r="N41" s="41">
        <v>2.6893458242772429E-3</v>
      </c>
      <c r="O41" s="41">
        <v>1792841838.858</v>
      </c>
      <c r="P41" s="41">
        <v>8017913.7800000003</v>
      </c>
      <c r="Q41" s="41">
        <v>6.6500000000000004E-2</v>
      </c>
      <c r="R41" s="41">
        <v>2.0000000000000001E-4</v>
      </c>
      <c r="S41" s="41">
        <v>1</v>
      </c>
      <c r="T41" s="100">
        <v>42036</v>
      </c>
      <c r="U41" s="41">
        <v>15314699.414828898</v>
      </c>
      <c r="V41" s="3">
        <f>CurrentMtgRatesDataTable82523[[#This Row],[cum_df_pct]]*100</f>
        <v>0.02</v>
      </c>
      <c r="W41" s="3">
        <f>CurrentMtgRatesDataTable82523[[#This Row],[pct_dq]]*100</f>
        <v>0.26893458242772428</v>
      </c>
      <c r="X41"/>
    </row>
    <row r="42" spans="3:24">
      <c r="C42" s="41" t="s">
        <v>119</v>
      </c>
      <c r="D42" s="41" t="s">
        <v>123</v>
      </c>
      <c r="E42" s="41">
        <v>26855044959.66</v>
      </c>
      <c r="F42" s="42">
        <v>42036</v>
      </c>
      <c r="G42" s="41">
        <v>115110</v>
      </c>
      <c r="H42" s="41">
        <v>151630303.01090521</v>
      </c>
      <c r="I42" s="41">
        <v>838883.82</v>
      </c>
      <c r="J42" s="41">
        <v>5.6462502013560189E-3</v>
      </c>
      <c r="K42" s="41">
        <v>3.1237475910396716E-5</v>
      </c>
      <c r="L42" s="41">
        <v>6.569</v>
      </c>
      <c r="M42" s="41">
        <v>3.7400000000000003E-2</v>
      </c>
      <c r="N42" s="41">
        <v>3.3109033726646834E-3</v>
      </c>
      <c r="O42" s="41">
        <v>1944472141.8689001</v>
      </c>
      <c r="P42" s="41">
        <v>8856797.5999999996</v>
      </c>
      <c r="Q42" s="41">
        <v>7.2099999999999997E-2</v>
      </c>
      <c r="R42" s="41">
        <v>2.9999999999999997E-4</v>
      </c>
      <c r="S42" s="41">
        <v>1</v>
      </c>
      <c r="T42" s="100">
        <v>42064</v>
      </c>
      <c r="U42" s="41">
        <v>13791202.040905206</v>
      </c>
      <c r="V42" s="3">
        <f>CurrentMtgRatesDataTable82523[[#This Row],[cum_df_pct]]*100</f>
        <v>0.03</v>
      </c>
      <c r="W42" s="3">
        <f>CurrentMtgRatesDataTable82523[[#This Row],[pct_dq]]*100</f>
        <v>0.33109033726646836</v>
      </c>
      <c r="X42"/>
    </row>
    <row r="43" spans="3:24">
      <c r="C43" s="41" t="s">
        <v>119</v>
      </c>
      <c r="D43" s="41" t="s">
        <v>123</v>
      </c>
      <c r="E43" s="41">
        <v>26657506069.720001</v>
      </c>
      <c r="F43" s="42">
        <v>42064</v>
      </c>
      <c r="G43" s="41">
        <v>114528</v>
      </c>
      <c r="H43" s="41">
        <v>203971998.20594758</v>
      </c>
      <c r="I43" s="41">
        <v>1844251.32</v>
      </c>
      <c r="J43" s="41">
        <v>7.6515784211951239E-3</v>
      </c>
      <c r="K43" s="41">
        <v>6.9183190474628344E-5</v>
      </c>
      <c r="L43" s="41">
        <v>8.8050999999999995</v>
      </c>
      <c r="M43" s="41">
        <v>8.2900000000000001E-2</v>
      </c>
      <c r="N43" s="41">
        <v>2.3504121228043341E-3</v>
      </c>
      <c r="O43" s="41">
        <v>2148444140.0749002</v>
      </c>
      <c r="P43" s="41">
        <v>10701048.92</v>
      </c>
      <c r="Q43" s="41">
        <v>7.9699999999999993E-2</v>
      </c>
      <c r="R43" s="41">
        <v>2.9999999999999997E-4</v>
      </c>
      <c r="S43" s="41">
        <v>1</v>
      </c>
      <c r="T43" s="100">
        <v>42095</v>
      </c>
      <c r="U43" s="41">
        <v>18398685.865947589</v>
      </c>
      <c r="V43" s="3">
        <f>CurrentMtgRatesDataTable82523[[#This Row],[cum_df_pct]]*100</f>
        <v>0.03</v>
      </c>
      <c r="W43" s="3">
        <f>CurrentMtgRatesDataTable82523[[#This Row],[pct_dq]]*100</f>
        <v>0.2350412122804334</v>
      </c>
      <c r="X43"/>
    </row>
    <row r="44" spans="3:24">
      <c r="C44" s="41" t="s">
        <v>119</v>
      </c>
      <c r="D44" s="41" t="s">
        <v>123</v>
      </c>
      <c r="E44" s="41">
        <v>26406438875.57</v>
      </c>
      <c r="F44" s="42">
        <v>42095</v>
      </c>
      <c r="G44" s="41">
        <v>113768</v>
      </c>
      <c r="H44" s="41">
        <v>197087543.79730409</v>
      </c>
      <c r="I44" s="41">
        <v>1102391.71</v>
      </c>
      <c r="J44" s="41">
        <v>7.4636169127538154E-3</v>
      </c>
      <c r="K44" s="41">
        <v>4.1747079763181593E-5</v>
      </c>
      <c r="L44" s="41">
        <v>8.5975999999999999</v>
      </c>
      <c r="M44" s="41">
        <v>0.05</v>
      </c>
      <c r="N44" s="41">
        <v>2.440380175973614E-3</v>
      </c>
      <c r="O44" s="41">
        <v>2345531683.8722</v>
      </c>
      <c r="P44" s="41">
        <v>11803440.630000001</v>
      </c>
      <c r="Q44" s="41">
        <v>8.6999999999999994E-2</v>
      </c>
      <c r="R44" s="41">
        <v>4.0000000000000002E-4</v>
      </c>
      <c r="S44" s="41">
        <v>1</v>
      </c>
      <c r="T44" s="100">
        <v>42125</v>
      </c>
      <c r="U44" s="41">
        <v>14606973.637304107</v>
      </c>
      <c r="V44" s="3">
        <f>CurrentMtgRatesDataTable82523[[#This Row],[cum_df_pct]]*100</f>
        <v>0.04</v>
      </c>
      <c r="W44" s="3">
        <f>CurrentMtgRatesDataTable82523[[#This Row],[pct_dq]]*100</f>
        <v>0.24403801759736141</v>
      </c>
      <c r="X44"/>
    </row>
    <row r="45" spans="3:24">
      <c r="C45" s="41" t="s">
        <v>119</v>
      </c>
      <c r="D45" s="41" t="s">
        <v>123</v>
      </c>
      <c r="E45" s="41">
        <v>26162897601.029999</v>
      </c>
      <c r="F45" s="42">
        <v>42125</v>
      </c>
      <c r="G45" s="41">
        <v>112982</v>
      </c>
      <c r="H45" s="41">
        <v>210593396.12625891</v>
      </c>
      <c r="I45" s="41">
        <v>1322126.79</v>
      </c>
      <c r="J45" s="41">
        <v>8.049314695095856E-3</v>
      </c>
      <c r="K45" s="41">
        <v>5.0534417485468031E-5</v>
      </c>
      <c r="L45" s="41">
        <v>9.2428000000000008</v>
      </c>
      <c r="M45" s="41">
        <v>6.0600000000000001E-2</v>
      </c>
      <c r="N45" s="41">
        <v>3.0042836867161683E-3</v>
      </c>
      <c r="O45" s="41">
        <v>2556125079.9984002</v>
      </c>
      <c r="P45" s="41">
        <v>13125567.42</v>
      </c>
      <c r="Q45" s="41">
        <v>9.4799999999999995E-2</v>
      </c>
      <c r="R45" s="41">
        <v>4.0000000000000002E-4</v>
      </c>
      <c r="S45" s="41">
        <v>1</v>
      </c>
      <c r="T45" s="100">
        <v>42156</v>
      </c>
      <c r="U45" s="41">
        <v>14712058.106258901</v>
      </c>
      <c r="V45" s="3">
        <f>CurrentMtgRatesDataTable82523[[#This Row],[cum_df_pct]]*100</f>
        <v>0.04</v>
      </c>
      <c r="W45" s="3">
        <f>CurrentMtgRatesDataTable82523[[#This Row],[pct_dq]]*100</f>
        <v>0.30042836867161682</v>
      </c>
      <c r="X45"/>
    </row>
    <row r="46" spans="3:24">
      <c r="C46" s="41" t="s">
        <v>119</v>
      </c>
      <c r="D46" s="41" t="s">
        <v>123</v>
      </c>
      <c r="E46" s="41">
        <v>25905894716.189999</v>
      </c>
      <c r="F46" s="42">
        <v>42156</v>
      </c>
      <c r="G46" s="41">
        <v>112111</v>
      </c>
      <c r="H46" s="41">
        <v>263097448.18951866</v>
      </c>
      <c r="I46" s="41">
        <v>910535.11</v>
      </c>
      <c r="J46" s="41">
        <v>1.0155891200511009E-2</v>
      </c>
      <c r="K46" s="41">
        <v>3.5147796282479184E-5</v>
      </c>
      <c r="L46" s="41">
        <v>11.5288</v>
      </c>
      <c r="M46" s="41">
        <v>4.2099999999999999E-2</v>
      </c>
      <c r="N46" s="41">
        <v>2.4921569749780533E-3</v>
      </c>
      <c r="O46" s="41">
        <v>2819222528.1879001</v>
      </c>
      <c r="P46" s="41">
        <v>14036102.529999999</v>
      </c>
      <c r="Q46" s="41">
        <v>0.1046</v>
      </c>
      <c r="R46" s="41">
        <v>5.0000000000000001E-4</v>
      </c>
      <c r="S46" s="41">
        <v>1</v>
      </c>
      <c r="T46" s="100">
        <v>42186</v>
      </c>
      <c r="U46" s="41">
        <v>15642684.409518648</v>
      </c>
      <c r="V46" s="3">
        <f>CurrentMtgRatesDataTable82523[[#This Row],[cum_df_pct]]*100</f>
        <v>0.05</v>
      </c>
      <c r="W46" s="3">
        <f>CurrentMtgRatesDataTable82523[[#This Row],[pct_dq]]*100</f>
        <v>0.24921569749780534</v>
      </c>
      <c r="X46"/>
    </row>
    <row r="47" spans="3:24">
      <c r="C47" s="41" t="s">
        <v>119</v>
      </c>
      <c r="D47" s="41" t="s">
        <v>123</v>
      </c>
      <c r="E47" s="41">
        <v>25596405582.549999</v>
      </c>
      <c r="F47" s="42">
        <v>42186</v>
      </c>
      <c r="G47" s="41">
        <v>111023</v>
      </c>
      <c r="H47" s="41">
        <v>213566636.27537459</v>
      </c>
      <c r="I47" s="41">
        <v>487606.48</v>
      </c>
      <c r="J47" s="41">
        <v>8.3436182313414622E-3</v>
      </c>
      <c r="K47" s="41">
        <v>1.9049802849366439E-5</v>
      </c>
      <c r="L47" s="41">
        <v>9.5654000000000003</v>
      </c>
      <c r="M47" s="41">
        <v>2.2800000000000001E-2</v>
      </c>
      <c r="N47" s="41">
        <v>2.3781506709480617E-3</v>
      </c>
      <c r="O47" s="41">
        <v>3032789164.4633002</v>
      </c>
      <c r="P47" s="41">
        <v>14523709.01</v>
      </c>
      <c r="Q47" s="41">
        <v>0.1125</v>
      </c>
      <c r="R47" s="41">
        <v>5.0000000000000001E-4</v>
      </c>
      <c r="S47" s="41">
        <v>1</v>
      </c>
      <c r="T47" s="100">
        <v>42217</v>
      </c>
      <c r="U47" s="41">
        <v>17743947.61537458</v>
      </c>
      <c r="V47" s="3">
        <f>CurrentMtgRatesDataTable82523[[#This Row],[cum_df_pct]]*100</f>
        <v>0.05</v>
      </c>
      <c r="W47" s="3">
        <f>CurrentMtgRatesDataTable82523[[#This Row],[pct_dq]]*100</f>
        <v>0.23781506709480618</v>
      </c>
      <c r="X47"/>
    </row>
    <row r="48" spans="3:24">
      <c r="C48" s="41" t="s">
        <v>119</v>
      </c>
      <c r="D48" s="41" t="s">
        <v>123</v>
      </c>
      <c r="E48" s="41">
        <v>25336974824.919998</v>
      </c>
      <c r="F48" s="42">
        <v>42217</v>
      </c>
      <c r="G48" s="41">
        <v>110128</v>
      </c>
      <c r="H48" s="41">
        <v>193875942.33242217</v>
      </c>
      <c r="I48" s="41">
        <v>1127551.3799999999</v>
      </c>
      <c r="J48" s="41">
        <v>7.6518978162198308E-3</v>
      </c>
      <c r="K48" s="41">
        <v>4.4502210220101135E-5</v>
      </c>
      <c r="L48" s="41">
        <v>8.8055000000000003</v>
      </c>
      <c r="M48" s="41">
        <v>5.33E-2</v>
      </c>
      <c r="N48" s="41">
        <v>2.6327520854775377E-3</v>
      </c>
      <c r="O48" s="41">
        <v>3226665106.7957001</v>
      </c>
      <c r="P48" s="41">
        <v>15651260.390000001</v>
      </c>
      <c r="Q48" s="41">
        <v>0.1197</v>
      </c>
      <c r="R48" s="41">
        <v>5.0000000000000001E-4</v>
      </c>
      <c r="S48" s="41">
        <v>1</v>
      </c>
      <c r="T48" s="100">
        <v>42248</v>
      </c>
      <c r="U48" s="41">
        <v>13908933.942422178</v>
      </c>
      <c r="V48" s="3">
        <f>CurrentMtgRatesDataTable82523[[#This Row],[cum_df_pct]]*100</f>
        <v>0.05</v>
      </c>
      <c r="W48" s="3">
        <f>CurrentMtgRatesDataTable82523[[#This Row],[pct_dq]]*100</f>
        <v>0.26327520854775377</v>
      </c>
      <c r="X48"/>
    </row>
    <row r="49" spans="3:24">
      <c r="C49" s="41" t="s">
        <v>127</v>
      </c>
      <c r="D49" s="41" t="s">
        <v>131</v>
      </c>
      <c r="E49" s="41">
        <v>46843320654.029999</v>
      </c>
      <c r="F49" s="42">
        <v>41730</v>
      </c>
      <c r="G49" s="41">
        <v>192365</v>
      </c>
      <c r="H49" s="41">
        <v>189045589.95623809</v>
      </c>
      <c r="I49" s="41">
        <v>0</v>
      </c>
      <c r="J49" s="41">
        <v>4.0357000169238474E-3</v>
      </c>
      <c r="K49" s="41">
        <v>0</v>
      </c>
      <c r="L49" s="41">
        <v>4.7366999999999999</v>
      </c>
      <c r="M49" s="41">
        <v>0</v>
      </c>
      <c r="N49" s="41">
        <v>1.3427046482151752E-3</v>
      </c>
      <c r="O49" s="41">
        <v>189045589.9562</v>
      </c>
      <c r="P49" s="41">
        <v>0</v>
      </c>
      <c r="Q49" s="41">
        <v>4.3E-3</v>
      </c>
      <c r="R49" s="41">
        <v>0</v>
      </c>
      <c r="S49" s="41">
        <v>1</v>
      </c>
      <c r="T49" s="100">
        <v>41760</v>
      </c>
      <c r="U49" s="41">
        <v>23238273.296238098</v>
      </c>
      <c r="V49" s="3">
        <f>CurrentMtgRatesDataTable82523[[#This Row],[cum_df_pct]]*100</f>
        <v>0</v>
      </c>
      <c r="W49" s="3">
        <f>CurrentMtgRatesDataTable82523[[#This Row],[pct_dq]]*100</f>
        <v>0.13427046482151753</v>
      </c>
      <c r="X49"/>
    </row>
    <row r="50" spans="3:24">
      <c r="C50" s="41" t="s">
        <v>127</v>
      </c>
      <c r="D50" s="41" t="s">
        <v>131</v>
      </c>
      <c r="E50" s="41">
        <v>46579971572.120003</v>
      </c>
      <c r="F50" s="42">
        <v>41760</v>
      </c>
      <c r="G50" s="41">
        <v>191641</v>
      </c>
      <c r="H50" s="41">
        <v>221238820.44516179</v>
      </c>
      <c r="I50" s="41">
        <v>0</v>
      </c>
      <c r="J50" s="41">
        <v>4.7496555489008113E-3</v>
      </c>
      <c r="K50" s="41">
        <v>0</v>
      </c>
      <c r="L50" s="41">
        <v>5.5529999999999999</v>
      </c>
      <c r="M50" s="41">
        <v>0</v>
      </c>
      <c r="N50" s="41">
        <v>1.8740335147015858E-3</v>
      </c>
      <c r="O50" s="41">
        <v>410284410.40130001</v>
      </c>
      <c r="P50" s="41">
        <v>0</v>
      </c>
      <c r="Q50" s="41">
        <v>9.2999999999999992E-3</v>
      </c>
      <c r="R50" s="41">
        <v>0</v>
      </c>
      <c r="S50" s="41">
        <v>1</v>
      </c>
      <c r="T50" s="100">
        <v>41791</v>
      </c>
      <c r="U50" s="41">
        <v>25981846.315161791</v>
      </c>
      <c r="V50" s="3">
        <f>CurrentMtgRatesDataTable82523[[#This Row],[cum_df_pct]]*100</f>
        <v>0</v>
      </c>
      <c r="W50" s="3">
        <f>CurrentMtgRatesDataTable82523[[#This Row],[pct_dq]]*100</f>
        <v>0.18740335147015857</v>
      </c>
      <c r="X50"/>
    </row>
    <row r="51" spans="3:24">
      <c r="C51" s="41" t="s">
        <v>127</v>
      </c>
      <c r="D51" s="41" t="s">
        <v>131</v>
      </c>
      <c r="E51" s="41">
        <v>46283604208.870003</v>
      </c>
      <c r="F51" s="42">
        <v>41791</v>
      </c>
      <c r="G51" s="41">
        <v>190795</v>
      </c>
      <c r="H51" s="41">
        <v>262311059.2349849</v>
      </c>
      <c r="I51" s="41">
        <v>0</v>
      </c>
      <c r="J51" s="41">
        <v>5.667472611925811E-3</v>
      </c>
      <c r="K51" s="41">
        <v>0</v>
      </c>
      <c r="L51" s="41">
        <v>6.5929000000000002</v>
      </c>
      <c r="M51" s="41">
        <v>0</v>
      </c>
      <c r="N51" s="41">
        <v>2.0110733018964366E-3</v>
      </c>
      <c r="O51" s="41">
        <v>672595469.63629997</v>
      </c>
      <c r="P51" s="41">
        <v>0</v>
      </c>
      <c r="Q51" s="41">
        <v>1.5299999999999999E-2</v>
      </c>
      <c r="R51" s="41">
        <v>0</v>
      </c>
      <c r="S51" s="41">
        <v>1</v>
      </c>
      <c r="T51" s="100">
        <v>41821</v>
      </c>
      <c r="U51" s="41">
        <v>23627409.464984909</v>
      </c>
      <c r="V51" s="3">
        <f>CurrentMtgRatesDataTable82523[[#This Row],[cum_df_pct]]*100</f>
        <v>0</v>
      </c>
      <c r="W51" s="3">
        <f>CurrentMtgRatesDataTable82523[[#This Row],[pct_dq]]*100</f>
        <v>0.20110733018964366</v>
      </c>
      <c r="X51"/>
    </row>
    <row r="52" spans="3:24">
      <c r="C52" s="41" t="s">
        <v>127</v>
      </c>
      <c r="D52" s="41" t="s">
        <v>131</v>
      </c>
      <c r="E52" s="41">
        <v>45948352311.720001</v>
      </c>
      <c r="F52" s="42">
        <v>41821</v>
      </c>
      <c r="G52" s="41">
        <v>189785</v>
      </c>
      <c r="H52" s="41">
        <v>253090590.81425351</v>
      </c>
      <c r="I52" s="41">
        <v>0</v>
      </c>
      <c r="J52" s="41">
        <v>5.508153787479729E-3</v>
      </c>
      <c r="K52" s="41">
        <v>0</v>
      </c>
      <c r="L52" s="41">
        <v>6.4131</v>
      </c>
      <c r="M52" s="41">
        <v>0</v>
      </c>
      <c r="N52" s="41">
        <v>1.949034500790082E-3</v>
      </c>
      <c r="O52" s="41">
        <v>925686060.45060003</v>
      </c>
      <c r="P52" s="41">
        <v>0</v>
      </c>
      <c r="Q52" s="41">
        <v>2.1100000000000001E-2</v>
      </c>
      <c r="R52" s="41">
        <v>0</v>
      </c>
      <c r="S52" s="41">
        <v>1</v>
      </c>
      <c r="T52" s="100">
        <v>41852</v>
      </c>
      <c r="U52" s="41">
        <v>24941599.774253499</v>
      </c>
      <c r="V52" s="3">
        <f>CurrentMtgRatesDataTable82523[[#This Row],[cum_df_pct]]*100</f>
        <v>0</v>
      </c>
      <c r="W52" s="3">
        <f>CurrentMtgRatesDataTable82523[[#This Row],[pct_dq]]*100</f>
        <v>0.19490345007900819</v>
      </c>
      <c r="X52"/>
    </row>
    <row r="53" spans="3:24">
      <c r="C53" s="41" t="s">
        <v>127</v>
      </c>
      <c r="D53" s="41" t="s">
        <v>131</v>
      </c>
      <c r="E53" s="41">
        <v>45618170579.690002</v>
      </c>
      <c r="F53" s="42">
        <v>41852</v>
      </c>
      <c r="G53" s="41">
        <v>188791</v>
      </c>
      <c r="H53" s="41">
        <v>249850227.96812096</v>
      </c>
      <c r="I53" s="41">
        <v>0</v>
      </c>
      <c r="J53" s="41">
        <v>5.4769892083168853E-3</v>
      </c>
      <c r="K53" s="41">
        <v>0</v>
      </c>
      <c r="L53" s="41">
        <v>6.3779000000000003</v>
      </c>
      <c r="M53" s="41">
        <v>0</v>
      </c>
      <c r="N53" s="41">
        <v>2.1721218690018184E-3</v>
      </c>
      <c r="O53" s="41">
        <v>1175536288.4187</v>
      </c>
      <c r="P53" s="41">
        <v>0</v>
      </c>
      <c r="Q53" s="41">
        <v>2.6800000000000001E-2</v>
      </c>
      <c r="R53" s="41">
        <v>0</v>
      </c>
      <c r="S53" s="41">
        <v>1</v>
      </c>
      <c r="T53" s="100">
        <v>41883</v>
      </c>
      <c r="U53" s="41">
        <v>25899412.938120969</v>
      </c>
      <c r="V53" s="3">
        <f>CurrentMtgRatesDataTable82523[[#This Row],[cum_df_pct]]*100</f>
        <v>0</v>
      </c>
      <c r="W53" s="3">
        <f>CurrentMtgRatesDataTable82523[[#This Row],[pct_dq]]*100</f>
        <v>0.21721218690018185</v>
      </c>
      <c r="X53"/>
    </row>
    <row r="54" spans="3:24">
      <c r="C54" s="41" t="s">
        <v>127</v>
      </c>
      <c r="D54" s="41" t="s">
        <v>131</v>
      </c>
      <c r="E54" s="41">
        <v>45293815126.349998</v>
      </c>
      <c r="F54" s="42">
        <v>41883</v>
      </c>
      <c r="G54" s="41">
        <v>187832</v>
      </c>
      <c r="H54" s="41">
        <v>224815805.15957615</v>
      </c>
      <c r="I54" s="41">
        <v>630479.42000000004</v>
      </c>
      <c r="J54" s="41">
        <v>4.9634989795502554E-3</v>
      </c>
      <c r="K54" s="41">
        <v>1.3919768477025777E-5</v>
      </c>
      <c r="L54" s="41">
        <v>5.7961999999999998</v>
      </c>
      <c r="M54" s="41">
        <v>1.67E-2</v>
      </c>
      <c r="N54" s="41">
        <v>1.8639041304976344E-3</v>
      </c>
      <c r="O54" s="41">
        <v>1400352093.5783</v>
      </c>
      <c r="P54" s="41">
        <v>630479.42000000004</v>
      </c>
      <c r="Q54" s="41">
        <v>3.1899999999999998E-2</v>
      </c>
      <c r="R54" s="41">
        <v>0</v>
      </c>
      <c r="S54" s="41">
        <v>1</v>
      </c>
      <c r="T54" s="100">
        <v>41913</v>
      </c>
      <c r="U54" s="41">
        <v>21703239.409576144</v>
      </c>
      <c r="V54" s="3">
        <f>CurrentMtgRatesDataTable82523[[#This Row],[cum_df_pct]]*100</f>
        <v>0</v>
      </c>
      <c r="W54" s="3">
        <f>CurrentMtgRatesDataTable82523[[#This Row],[pct_dq]]*100</f>
        <v>0.18639041304976345</v>
      </c>
      <c r="X54"/>
    </row>
    <row r="55" spans="3:24">
      <c r="C55" s="41" t="s">
        <v>127</v>
      </c>
      <c r="D55" s="41" t="s">
        <v>131</v>
      </c>
      <c r="E55" s="41">
        <v>44992548281.370003</v>
      </c>
      <c r="F55" s="42">
        <v>41913</v>
      </c>
      <c r="G55" s="41">
        <v>186906</v>
      </c>
      <c r="H55" s="41">
        <v>221575846.1038112</v>
      </c>
      <c r="I55" s="41">
        <v>589314.56000000006</v>
      </c>
      <c r="J55" s="41">
        <v>4.9247231945641718E-3</v>
      </c>
      <c r="K55" s="41">
        <v>1.3098048065973108E-5</v>
      </c>
      <c r="L55" s="41">
        <v>5.7521000000000004</v>
      </c>
      <c r="M55" s="41">
        <v>1.5699999999999999E-2</v>
      </c>
      <c r="N55" s="41">
        <v>1.9366292779215487E-3</v>
      </c>
      <c r="O55" s="41">
        <v>1621927939.6821001</v>
      </c>
      <c r="P55" s="41">
        <v>1219793.98</v>
      </c>
      <c r="Q55" s="41">
        <v>3.6999999999999998E-2</v>
      </c>
      <c r="R55" s="41">
        <v>0</v>
      </c>
      <c r="S55" s="41">
        <v>1</v>
      </c>
      <c r="T55" s="100">
        <v>41944</v>
      </c>
      <c r="U55" s="41">
        <v>26446810.813811209</v>
      </c>
      <c r="V55" s="3">
        <f>CurrentMtgRatesDataTable82523[[#This Row],[cum_df_pct]]*100</f>
        <v>0</v>
      </c>
      <c r="W55" s="3">
        <f>CurrentMtgRatesDataTable82523[[#This Row],[pct_dq]]*100</f>
        <v>0.19366292779215485</v>
      </c>
      <c r="X55"/>
    </row>
    <row r="56" spans="3:24">
      <c r="C56" s="41" t="s">
        <v>127</v>
      </c>
      <c r="D56" s="41" t="s">
        <v>131</v>
      </c>
      <c r="E56" s="41">
        <v>44692983979.010002</v>
      </c>
      <c r="F56" s="42">
        <v>41944</v>
      </c>
      <c r="G56" s="41">
        <v>186013</v>
      </c>
      <c r="H56" s="41">
        <v>188682089.18745494</v>
      </c>
      <c r="I56" s="41">
        <v>1279410.8799999999</v>
      </c>
      <c r="J56" s="41">
        <v>4.2217384562209855E-3</v>
      </c>
      <c r="K56" s="41">
        <v>2.8626660520158456E-5</v>
      </c>
      <c r="L56" s="41">
        <v>4.95</v>
      </c>
      <c r="M56" s="41">
        <v>3.4299999999999997E-2</v>
      </c>
      <c r="N56" s="41">
        <v>2.9608005950586607E-3</v>
      </c>
      <c r="O56" s="41">
        <v>1810610028.8696001</v>
      </c>
      <c r="P56" s="41">
        <v>2499204.86</v>
      </c>
      <c r="Q56" s="41">
        <v>4.1300000000000003E-2</v>
      </c>
      <c r="R56" s="41">
        <v>0</v>
      </c>
      <c r="S56" s="41">
        <v>1</v>
      </c>
      <c r="T56" s="100">
        <v>41974</v>
      </c>
      <c r="U56" s="41">
        <v>20464044.897454932</v>
      </c>
      <c r="V56" s="3">
        <f>CurrentMtgRatesDataTable82523[[#This Row],[cum_df_pct]]*100</f>
        <v>0</v>
      </c>
      <c r="W56" s="3">
        <f>CurrentMtgRatesDataTable82523[[#This Row],[pct_dq]]*100</f>
        <v>0.29608005950586608</v>
      </c>
      <c r="X56"/>
    </row>
    <row r="57" spans="3:24">
      <c r="C57" s="41" t="s">
        <v>127</v>
      </c>
      <c r="D57" s="41" t="s">
        <v>131</v>
      </c>
      <c r="E57" s="41">
        <v>44430801216.199997</v>
      </c>
      <c r="F57" s="42">
        <v>41974</v>
      </c>
      <c r="G57" s="41">
        <v>185262</v>
      </c>
      <c r="H57" s="41">
        <v>240831712.80334321</v>
      </c>
      <c r="I57" s="41">
        <v>1058047.3700000001</v>
      </c>
      <c r="J57" s="41">
        <v>5.4203774456251103E-3</v>
      </c>
      <c r="K57" s="41">
        <v>2.3813375879753962E-5</v>
      </c>
      <c r="L57" s="41">
        <v>6.3140000000000001</v>
      </c>
      <c r="M57" s="41">
        <v>2.8500000000000001E-2</v>
      </c>
      <c r="N57" s="41">
        <v>2.2982648546695148E-3</v>
      </c>
      <c r="O57" s="41">
        <v>2051441741.6729</v>
      </c>
      <c r="P57" s="41">
        <v>3557252.23</v>
      </c>
      <c r="Q57" s="41">
        <v>4.6800000000000001E-2</v>
      </c>
      <c r="R57" s="41">
        <v>0</v>
      </c>
      <c r="S57" s="41">
        <v>1</v>
      </c>
      <c r="T57" s="100">
        <v>42005</v>
      </c>
      <c r="U57" s="41">
        <v>30629933.363343202</v>
      </c>
      <c r="V57" s="3">
        <f>CurrentMtgRatesDataTable82523[[#This Row],[cum_df_pct]]*100</f>
        <v>0</v>
      </c>
      <c r="W57" s="3">
        <f>CurrentMtgRatesDataTable82523[[#This Row],[pct_dq]]*100</f>
        <v>0.22982648546695147</v>
      </c>
      <c r="X57"/>
    </row>
    <row r="58" spans="3:24">
      <c r="C58" s="41" t="s">
        <v>127</v>
      </c>
      <c r="D58" s="41" t="s">
        <v>131</v>
      </c>
      <c r="E58" s="41">
        <v>44111679844.889999</v>
      </c>
      <c r="F58" s="42">
        <v>42005</v>
      </c>
      <c r="G58" s="41">
        <v>184331</v>
      </c>
      <c r="H58" s="41">
        <v>168327350.7422705</v>
      </c>
      <c r="I58" s="41">
        <v>1328617.17</v>
      </c>
      <c r="J58" s="41">
        <v>3.8159360816491313E-3</v>
      </c>
      <c r="K58" s="41">
        <v>3.0119396374652238E-5</v>
      </c>
      <c r="L58" s="41">
        <v>4.4842000000000004</v>
      </c>
      <c r="M58" s="41">
        <v>3.61E-2</v>
      </c>
      <c r="N58" s="41">
        <v>2.3242529568249242E-3</v>
      </c>
      <c r="O58" s="41">
        <v>2219769092.4152002</v>
      </c>
      <c r="P58" s="41">
        <v>4885869.4000000004</v>
      </c>
      <c r="Q58" s="41">
        <v>5.0700000000000002E-2</v>
      </c>
      <c r="R58" s="41">
        <v>1E-4</v>
      </c>
      <c r="S58" s="41">
        <v>1</v>
      </c>
      <c r="T58" s="100">
        <v>42036</v>
      </c>
      <c r="U58" s="41">
        <v>25383783.312270511</v>
      </c>
      <c r="V58" s="3">
        <f>CurrentMtgRatesDataTable82523[[#This Row],[cum_df_pct]]*100</f>
        <v>0.01</v>
      </c>
      <c r="W58" s="3">
        <f>CurrentMtgRatesDataTable82523[[#This Row],[pct_dq]]*100</f>
        <v>0.23242529568249243</v>
      </c>
      <c r="X58"/>
    </row>
    <row r="59" spans="3:24">
      <c r="C59" s="41" t="s">
        <v>127</v>
      </c>
      <c r="D59" s="41" t="s">
        <v>131</v>
      </c>
      <c r="E59" s="41">
        <v>43868030945.089996</v>
      </c>
      <c r="F59" s="42">
        <v>42036</v>
      </c>
      <c r="G59" s="41">
        <v>183693</v>
      </c>
      <c r="H59" s="41">
        <v>238450021.49468789</v>
      </c>
      <c r="I59" s="41">
        <v>1912262.85</v>
      </c>
      <c r="J59" s="41">
        <v>5.4356217126124914E-3</v>
      </c>
      <c r="K59" s="41">
        <v>4.3591262447899618E-5</v>
      </c>
      <c r="L59" s="41">
        <v>6.3311999999999999</v>
      </c>
      <c r="M59" s="41">
        <v>5.2200000000000003E-2</v>
      </c>
      <c r="N59" s="41">
        <v>2.968619476288026E-3</v>
      </c>
      <c r="O59" s="41">
        <v>2458219113.9099002</v>
      </c>
      <c r="P59" s="41">
        <v>6798132.25</v>
      </c>
      <c r="Q59" s="41">
        <v>5.6099999999999997E-2</v>
      </c>
      <c r="R59" s="41">
        <v>1E-4</v>
      </c>
      <c r="S59" s="41">
        <v>1</v>
      </c>
      <c r="T59" s="100">
        <v>42064</v>
      </c>
      <c r="U59" s="41">
        <v>20488144.944687895</v>
      </c>
      <c r="V59" s="3">
        <f>CurrentMtgRatesDataTable82523[[#This Row],[cum_df_pct]]*100</f>
        <v>0.01</v>
      </c>
      <c r="W59" s="3">
        <f>CurrentMtgRatesDataTable82523[[#This Row],[pct_dq]]*100</f>
        <v>0.29686194762880258</v>
      </c>
      <c r="X59"/>
    </row>
    <row r="60" spans="3:24">
      <c r="C60" s="41" t="s">
        <v>127</v>
      </c>
      <c r="D60" s="41" t="s">
        <v>131</v>
      </c>
      <c r="E60" s="41">
        <v>43554150851.370003</v>
      </c>
      <c r="F60" s="42">
        <v>42064</v>
      </c>
      <c r="G60" s="41">
        <v>182808</v>
      </c>
      <c r="H60" s="41">
        <v>328343818.68155468</v>
      </c>
      <c r="I60" s="41">
        <v>1764565.8</v>
      </c>
      <c r="J60" s="41">
        <v>7.5387491723128523E-3</v>
      </c>
      <c r="K60" s="41">
        <v>4.0514296927097485E-5</v>
      </c>
      <c r="L60" s="41">
        <v>8.6806000000000001</v>
      </c>
      <c r="M60" s="41">
        <v>4.8599999999999997E-2</v>
      </c>
      <c r="N60" s="41">
        <v>2.0174474924296703E-3</v>
      </c>
      <c r="O60" s="41">
        <v>2786562932.5914001</v>
      </c>
      <c r="P60" s="41">
        <v>8562698.0500000007</v>
      </c>
      <c r="Q60" s="41">
        <v>6.3600000000000004E-2</v>
      </c>
      <c r="R60" s="41">
        <v>1E-4</v>
      </c>
      <c r="S60" s="41">
        <v>1</v>
      </c>
      <c r="T60" s="100">
        <v>42095</v>
      </c>
      <c r="U60" s="41">
        <v>26741888.701554693</v>
      </c>
      <c r="V60" s="3">
        <f>CurrentMtgRatesDataTable82523[[#This Row],[cum_df_pct]]*100</f>
        <v>0.01</v>
      </c>
      <c r="W60" s="3">
        <f>CurrentMtgRatesDataTable82523[[#This Row],[pct_dq]]*100</f>
        <v>0.20174474924296704</v>
      </c>
      <c r="X60"/>
    </row>
    <row r="61" spans="3:24">
      <c r="C61" s="41" t="s">
        <v>127</v>
      </c>
      <c r="D61" s="41" t="s">
        <v>131</v>
      </c>
      <c r="E61" s="41">
        <v>43150144906.599998</v>
      </c>
      <c r="F61" s="42">
        <v>42095</v>
      </c>
      <c r="G61" s="41">
        <v>181553</v>
      </c>
      <c r="H61" s="41">
        <v>317025931.1331144</v>
      </c>
      <c r="I61" s="41">
        <v>1339386.98</v>
      </c>
      <c r="J61" s="41">
        <v>7.3470420972937198E-3</v>
      </c>
      <c r="K61" s="41">
        <v>3.1040150221955224E-5</v>
      </c>
      <c r="L61" s="41">
        <v>8.4687000000000001</v>
      </c>
      <c r="M61" s="41">
        <v>3.7199999999999997E-2</v>
      </c>
      <c r="N61" s="41">
        <v>2.08585835956795E-3</v>
      </c>
      <c r="O61" s="41">
        <v>3103588863.7245002</v>
      </c>
      <c r="P61" s="41">
        <v>9902085.0299999993</v>
      </c>
      <c r="Q61" s="41">
        <v>7.0900000000000005E-2</v>
      </c>
      <c r="R61" s="41">
        <v>2.0000000000000001E-4</v>
      </c>
      <c r="S61" s="41">
        <v>1</v>
      </c>
      <c r="T61" s="100">
        <v>42125</v>
      </c>
      <c r="U61" s="41">
        <v>24577210.653114386</v>
      </c>
      <c r="V61" s="3">
        <f>CurrentMtgRatesDataTable82523[[#This Row],[cum_df_pct]]*100</f>
        <v>0.02</v>
      </c>
      <c r="W61" s="3">
        <f>CurrentMtgRatesDataTable82523[[#This Row],[pct_dq]]*100</f>
        <v>0.208585835956795</v>
      </c>
      <c r="X61"/>
    </row>
    <row r="62" spans="3:24">
      <c r="C62" s="41" t="s">
        <v>127</v>
      </c>
      <c r="D62" s="41" t="s">
        <v>131</v>
      </c>
      <c r="E62" s="41">
        <v>42757567815.25</v>
      </c>
      <c r="F62" s="42">
        <v>42125</v>
      </c>
      <c r="G62" s="41">
        <v>180316</v>
      </c>
      <c r="H62" s="41">
        <v>335145017.96223652</v>
      </c>
      <c r="I62" s="41">
        <v>1075767.42</v>
      </c>
      <c r="J62" s="41">
        <v>7.8382619752918447E-3</v>
      </c>
      <c r="K62" s="41">
        <v>2.5159696282264085E-5</v>
      </c>
      <c r="L62" s="41">
        <v>9.0107999999999997</v>
      </c>
      <c r="M62" s="41">
        <v>3.0099999999999998E-2</v>
      </c>
      <c r="N62" s="41">
        <v>2.7374010076002177E-3</v>
      </c>
      <c r="O62" s="41">
        <v>3438733881.6868</v>
      </c>
      <c r="P62" s="41">
        <v>10977852.449999999</v>
      </c>
      <c r="Q62" s="41">
        <v>7.85E-2</v>
      </c>
      <c r="R62" s="41">
        <v>2.0000000000000001E-4</v>
      </c>
      <c r="S62" s="41">
        <v>1</v>
      </c>
      <c r="T62" s="100">
        <v>42156</v>
      </c>
      <c r="U62" s="41">
        <v>21453378.792236499</v>
      </c>
      <c r="V62" s="3">
        <f>CurrentMtgRatesDataTable82523[[#This Row],[cum_df_pct]]*100</f>
        <v>0.02</v>
      </c>
      <c r="W62" s="3">
        <f>CurrentMtgRatesDataTable82523[[#This Row],[pct_dq]]*100</f>
        <v>0.27374010076002175</v>
      </c>
      <c r="X62"/>
    </row>
    <row r="63" spans="3:24">
      <c r="C63" s="41" t="s">
        <v>127</v>
      </c>
      <c r="D63" s="41" t="s">
        <v>131</v>
      </c>
      <c r="E63" s="41">
        <v>42347878129.330002</v>
      </c>
      <c r="F63" s="42">
        <v>42156</v>
      </c>
      <c r="G63" s="41">
        <v>178974</v>
      </c>
      <c r="H63" s="41">
        <v>408575961.05314469</v>
      </c>
      <c r="I63" s="41">
        <v>1365228.41</v>
      </c>
      <c r="J63" s="41">
        <v>9.6480857861486642E-3</v>
      </c>
      <c r="K63" s="41">
        <v>3.2238413594905651E-5</v>
      </c>
      <c r="L63" s="41">
        <v>10.9826</v>
      </c>
      <c r="M63" s="41">
        <v>3.8600000000000002E-2</v>
      </c>
      <c r="N63" s="41">
        <v>2.4754173630578201E-3</v>
      </c>
      <c r="O63" s="41">
        <v>3847309842.7399001</v>
      </c>
      <c r="P63" s="41">
        <v>12343080.859999999</v>
      </c>
      <c r="Q63" s="41">
        <v>8.7800000000000003E-2</v>
      </c>
      <c r="R63" s="41">
        <v>2.0000000000000001E-4</v>
      </c>
      <c r="S63" s="41">
        <v>1</v>
      </c>
      <c r="T63" s="100">
        <v>42186</v>
      </c>
      <c r="U63" s="41">
        <v>25857410.633144666</v>
      </c>
      <c r="V63" s="3">
        <f>CurrentMtgRatesDataTable82523[[#This Row],[cum_df_pct]]*100</f>
        <v>0.02</v>
      </c>
      <c r="W63" s="3">
        <f>CurrentMtgRatesDataTable82523[[#This Row],[pct_dq]]*100</f>
        <v>0.247541736305782</v>
      </c>
      <c r="X63"/>
    </row>
    <row r="64" spans="3:24">
      <c r="C64" s="41" t="s">
        <v>127</v>
      </c>
      <c r="D64" s="41" t="s">
        <v>131</v>
      </c>
      <c r="E64" s="41">
        <v>41864144489.480003</v>
      </c>
      <c r="F64" s="42">
        <v>42186</v>
      </c>
      <c r="G64" s="41">
        <v>177344</v>
      </c>
      <c r="H64" s="41">
        <v>367761006.76005304</v>
      </c>
      <c r="I64" s="41">
        <v>1266510.4099999999</v>
      </c>
      <c r="J64" s="41">
        <v>8.7846296931367446E-3</v>
      </c>
      <c r="K64" s="41">
        <v>3.0252867350920311E-5</v>
      </c>
      <c r="L64" s="41">
        <v>10.046799999999999</v>
      </c>
      <c r="M64" s="41">
        <v>3.6200000000000003E-2</v>
      </c>
      <c r="N64" s="41">
        <v>2.2513608262957415E-3</v>
      </c>
      <c r="O64" s="41">
        <v>4215070849.5</v>
      </c>
      <c r="P64" s="41">
        <v>13609591.27</v>
      </c>
      <c r="Q64" s="41">
        <v>9.6199999999999994E-2</v>
      </c>
      <c r="R64" s="41">
        <v>2.9999999999999997E-4</v>
      </c>
      <c r="S64" s="41">
        <v>1</v>
      </c>
      <c r="T64" s="100">
        <v>42217</v>
      </c>
      <c r="U64" s="41">
        <v>27233452.450053036</v>
      </c>
      <c r="V64" s="3">
        <f>CurrentMtgRatesDataTable82523[[#This Row],[cum_df_pct]]*100</f>
        <v>0.03</v>
      </c>
      <c r="W64" s="3">
        <f>CurrentMtgRatesDataTable82523[[#This Row],[pct_dq]]*100</f>
        <v>0.22513608262957416</v>
      </c>
      <c r="X64"/>
    </row>
    <row r="65" spans="3:24">
      <c r="C65" s="41" t="s">
        <v>127</v>
      </c>
      <c r="D65" s="41" t="s">
        <v>131</v>
      </c>
      <c r="E65" s="41">
        <v>41419615589.410004</v>
      </c>
      <c r="F65" s="42">
        <v>42217</v>
      </c>
      <c r="G65" s="41">
        <v>175822</v>
      </c>
      <c r="H65" s="41">
        <v>301317100.81402081</v>
      </c>
      <c r="I65" s="41">
        <v>1120425.67</v>
      </c>
      <c r="J65" s="41">
        <v>7.2747440198614576E-3</v>
      </c>
      <c r="K65" s="41">
        <v>2.7050605227887867E-5</v>
      </c>
      <c r="L65" s="41">
        <v>8.3887</v>
      </c>
      <c r="M65" s="41">
        <v>3.2399999999999998E-2</v>
      </c>
      <c r="N65" s="41">
        <v>2.4640160198901974E-3</v>
      </c>
      <c r="O65" s="41">
        <v>4516387950.3140001</v>
      </c>
      <c r="P65" s="41">
        <v>14730016.939999999</v>
      </c>
      <c r="Q65" s="41">
        <v>0.1031</v>
      </c>
      <c r="R65" s="41">
        <v>2.9999999999999997E-4</v>
      </c>
      <c r="S65" s="41">
        <v>1</v>
      </c>
      <c r="T65" s="100">
        <v>42248</v>
      </c>
      <c r="U65" s="41">
        <v>22326337.214020815</v>
      </c>
      <c r="V65" s="3">
        <f>CurrentMtgRatesDataTable82523[[#This Row],[cum_df_pct]]*100</f>
        <v>0.03</v>
      </c>
      <c r="W65" s="3">
        <f>CurrentMtgRatesDataTable82523[[#This Row],[pct_dq]]*100</f>
        <v>0.24640160198901975</v>
      </c>
      <c r="X65"/>
    </row>
    <row r="66" spans="3:24">
      <c r="C66" s="41" t="s">
        <v>127</v>
      </c>
      <c r="D66" s="41" t="s">
        <v>138</v>
      </c>
      <c r="E66" s="41">
        <v>13975158090.879999</v>
      </c>
      <c r="F66" s="42">
        <v>41730</v>
      </c>
      <c r="G66" s="41">
        <v>62584</v>
      </c>
      <c r="H66" s="41">
        <v>61980179.561385565</v>
      </c>
      <c r="I66" s="41">
        <v>0</v>
      </c>
      <c r="J66" s="41">
        <v>4.4350252897556123E-3</v>
      </c>
      <c r="K66" s="41">
        <v>0</v>
      </c>
      <c r="L66" s="41">
        <v>5.1940999999999997</v>
      </c>
      <c r="M66" s="41">
        <v>0</v>
      </c>
      <c r="N66" s="41">
        <v>1.6185182924521539E-3</v>
      </c>
      <c r="O66" s="41">
        <v>61980179.561300002</v>
      </c>
      <c r="P66" s="41">
        <v>0</v>
      </c>
      <c r="Q66" s="41">
        <v>4.7999999999999996E-3</v>
      </c>
      <c r="R66" s="41">
        <v>0</v>
      </c>
      <c r="S66" s="41">
        <v>2</v>
      </c>
      <c r="T66" s="100">
        <v>41760</v>
      </c>
      <c r="U66" s="41">
        <v>5313356.4913855633</v>
      </c>
      <c r="V66" s="3">
        <f>CurrentMtgRatesDataTable82523[[#This Row],[cum_df_pct]]*100</f>
        <v>0</v>
      </c>
      <c r="W66" s="3">
        <f>CurrentMtgRatesDataTable82523[[#This Row],[pct_dq]]*100</f>
        <v>0.16185182924521538</v>
      </c>
      <c r="X66"/>
    </row>
    <row r="67" spans="3:24">
      <c r="C67" s="41" t="s">
        <v>127</v>
      </c>
      <c r="D67" s="41" t="s">
        <v>138</v>
      </c>
      <c r="E67" s="41">
        <v>13891379324.02</v>
      </c>
      <c r="F67" s="42">
        <v>41760</v>
      </c>
      <c r="G67" s="41">
        <v>62340</v>
      </c>
      <c r="H67" s="41">
        <v>76066183.705455422</v>
      </c>
      <c r="I67" s="41">
        <v>0</v>
      </c>
      <c r="J67" s="41">
        <v>5.475783356799358E-3</v>
      </c>
      <c r="K67" s="41">
        <v>0</v>
      </c>
      <c r="L67" s="41">
        <v>6.3765999999999998</v>
      </c>
      <c r="M67" s="41">
        <v>0</v>
      </c>
      <c r="N67" s="41">
        <v>2.0520279264644578E-3</v>
      </c>
      <c r="O67" s="41">
        <v>138046363.26679999</v>
      </c>
      <c r="P67" s="41">
        <v>0</v>
      </c>
      <c r="Q67" s="41">
        <v>1.0800000000000001E-2</v>
      </c>
      <c r="R67" s="41">
        <v>0</v>
      </c>
      <c r="S67" s="41">
        <v>2</v>
      </c>
      <c r="T67" s="100">
        <v>41791</v>
      </c>
      <c r="U67" s="41">
        <v>5956012.0454554278</v>
      </c>
      <c r="V67" s="3">
        <f>CurrentMtgRatesDataTable82523[[#This Row],[cum_df_pct]]*100</f>
        <v>0</v>
      </c>
      <c r="W67" s="3">
        <f>CurrentMtgRatesDataTable82523[[#This Row],[pct_dq]]*100</f>
        <v>0.20520279264644578</v>
      </c>
      <c r="X67"/>
    </row>
    <row r="68" spans="3:24">
      <c r="C68" s="41" t="s">
        <v>127</v>
      </c>
      <c r="D68" s="41" t="s">
        <v>138</v>
      </c>
      <c r="E68" s="41">
        <v>13793286662.5</v>
      </c>
      <c r="F68" s="42">
        <v>41791</v>
      </c>
      <c r="G68" s="41">
        <v>62022</v>
      </c>
      <c r="H68" s="41">
        <v>85020599.411476418</v>
      </c>
      <c r="I68" s="41">
        <v>0</v>
      </c>
      <c r="J68" s="41">
        <v>6.1639115819018759E-3</v>
      </c>
      <c r="K68" s="41">
        <v>0</v>
      </c>
      <c r="L68" s="41">
        <v>7.1509999999999998</v>
      </c>
      <c r="M68" s="41">
        <v>0</v>
      </c>
      <c r="N68" s="41">
        <v>2.5308105873638803E-3</v>
      </c>
      <c r="O68" s="41">
        <v>223066962.67829999</v>
      </c>
      <c r="P68" s="41">
        <v>0</v>
      </c>
      <c r="Q68" s="41">
        <v>1.7500000000000002E-2</v>
      </c>
      <c r="R68" s="41">
        <v>0</v>
      </c>
      <c r="S68" s="41">
        <v>2</v>
      </c>
      <c r="T68" s="100">
        <v>41821</v>
      </c>
      <c r="U68" s="41">
        <v>5195523.7614764161</v>
      </c>
      <c r="V68" s="3">
        <f>CurrentMtgRatesDataTable82523[[#This Row],[cum_df_pct]]*100</f>
        <v>0</v>
      </c>
      <c r="W68" s="3">
        <f>CurrentMtgRatesDataTable82523[[#This Row],[pct_dq]]*100</f>
        <v>0.25308105873638803</v>
      </c>
      <c r="X68"/>
    </row>
    <row r="69" spans="3:24">
      <c r="C69" s="41" t="s">
        <v>127</v>
      </c>
      <c r="D69" s="41" t="s">
        <v>138</v>
      </c>
      <c r="E69" s="41">
        <v>13686612088.84</v>
      </c>
      <c r="F69" s="42">
        <v>41821</v>
      </c>
      <c r="G69" s="41">
        <v>61667</v>
      </c>
      <c r="H69" s="41">
        <v>90556916.337019905</v>
      </c>
      <c r="I69" s="41">
        <v>0</v>
      </c>
      <c r="J69" s="41">
        <v>6.6164596285197266E-3</v>
      </c>
      <c r="K69" s="41">
        <v>0</v>
      </c>
      <c r="L69" s="41">
        <v>7.657</v>
      </c>
      <c r="M69" s="41">
        <v>0</v>
      </c>
      <c r="N69" s="41">
        <v>2.5368214160399073E-3</v>
      </c>
      <c r="O69" s="41">
        <v>313623879.01529998</v>
      </c>
      <c r="P69" s="41">
        <v>0</v>
      </c>
      <c r="Q69" s="41">
        <v>2.47E-2</v>
      </c>
      <c r="R69" s="41">
        <v>0</v>
      </c>
      <c r="S69" s="41">
        <v>2</v>
      </c>
      <c r="T69" s="100">
        <v>41852</v>
      </c>
      <c r="U69" s="41">
        <v>5481772.8270199057</v>
      </c>
      <c r="V69" s="3">
        <f>CurrentMtgRatesDataTable82523[[#This Row],[cum_df_pct]]*100</f>
        <v>0</v>
      </c>
      <c r="W69" s="3">
        <f>CurrentMtgRatesDataTable82523[[#This Row],[pct_dq]]*100</f>
        <v>0.25368214160399072</v>
      </c>
      <c r="X69"/>
    </row>
    <row r="70" spans="3:24">
      <c r="C70" s="41" t="s">
        <v>127</v>
      </c>
      <c r="D70" s="41" t="s">
        <v>138</v>
      </c>
      <c r="E70" s="41">
        <v>13574009600.459999</v>
      </c>
      <c r="F70" s="42">
        <v>41852</v>
      </c>
      <c r="G70" s="41">
        <v>61297</v>
      </c>
      <c r="H70" s="41">
        <v>79791644.284615993</v>
      </c>
      <c r="I70" s="41">
        <v>0</v>
      </c>
      <c r="J70" s="41">
        <v>5.8782663806213886E-3</v>
      </c>
      <c r="K70" s="41">
        <v>0</v>
      </c>
      <c r="L70" s="41">
        <v>6.8301999999999996</v>
      </c>
      <c r="M70" s="41">
        <v>0</v>
      </c>
      <c r="N70" s="41">
        <v>3.7599228880956762E-3</v>
      </c>
      <c r="O70" s="41">
        <v>393415523.2999</v>
      </c>
      <c r="P70" s="41">
        <v>0</v>
      </c>
      <c r="Q70" s="41">
        <v>3.1E-2</v>
      </c>
      <c r="R70" s="41">
        <v>0</v>
      </c>
      <c r="S70" s="41">
        <v>2</v>
      </c>
      <c r="T70" s="100">
        <v>41883</v>
      </c>
      <c r="U70" s="41">
        <v>5513086.5546159893</v>
      </c>
      <c r="V70" s="3">
        <f>CurrentMtgRatesDataTable82523[[#This Row],[cum_df_pct]]*100</f>
        <v>0</v>
      </c>
      <c r="W70" s="3">
        <f>CurrentMtgRatesDataTable82523[[#This Row],[pct_dq]]*100</f>
        <v>0.37599228880956764</v>
      </c>
      <c r="X70"/>
    </row>
    <row r="71" spans="3:24">
      <c r="C71" s="41" t="s">
        <v>127</v>
      </c>
      <c r="D71" s="41" t="s">
        <v>138</v>
      </c>
      <c r="E71" s="41">
        <v>13472080962.18</v>
      </c>
      <c r="F71" s="42">
        <v>41883</v>
      </c>
      <c r="G71" s="41">
        <v>60964</v>
      </c>
      <c r="H71" s="41">
        <v>72601387.95771192</v>
      </c>
      <c r="I71" s="41">
        <v>729572.15</v>
      </c>
      <c r="J71" s="41">
        <v>5.3890255084960426E-3</v>
      </c>
      <c r="K71" s="41">
        <v>5.4154376896050323E-5</v>
      </c>
      <c r="L71" s="41">
        <v>6.2785000000000002</v>
      </c>
      <c r="M71" s="41">
        <v>6.4899999999999999E-2</v>
      </c>
      <c r="N71" s="41">
        <v>2.3360284100391463E-3</v>
      </c>
      <c r="O71" s="41">
        <v>466016911.25760001</v>
      </c>
      <c r="P71" s="41">
        <v>729572.15</v>
      </c>
      <c r="Q71" s="41">
        <v>3.6700000000000003E-2</v>
      </c>
      <c r="R71" s="41">
        <v>0</v>
      </c>
      <c r="S71" s="41">
        <v>2</v>
      </c>
      <c r="T71" s="100">
        <v>41913</v>
      </c>
      <c r="U71" s="41">
        <v>5000511.4577119248</v>
      </c>
      <c r="V71" s="3">
        <f>CurrentMtgRatesDataTable82523[[#This Row],[cum_df_pct]]*100</f>
        <v>0</v>
      </c>
      <c r="W71" s="3">
        <f>CurrentMtgRatesDataTable82523[[#This Row],[pct_dq]]*100</f>
        <v>0.23360284100391462</v>
      </c>
      <c r="X71"/>
    </row>
    <row r="72" spans="3:24">
      <c r="C72" s="41" t="s">
        <v>127</v>
      </c>
      <c r="D72" s="41" t="s">
        <v>138</v>
      </c>
      <c r="E72" s="41">
        <v>13376083076.65</v>
      </c>
      <c r="F72" s="42">
        <v>41913</v>
      </c>
      <c r="G72" s="41">
        <v>60637</v>
      </c>
      <c r="H72" s="41">
        <v>73756732.122647971</v>
      </c>
      <c r="I72" s="41">
        <v>0</v>
      </c>
      <c r="J72" s="41">
        <v>5.5140755107451183E-3</v>
      </c>
      <c r="K72" s="41">
        <v>0</v>
      </c>
      <c r="L72" s="41">
        <v>6.4198000000000004</v>
      </c>
      <c r="M72" s="41">
        <v>0</v>
      </c>
      <c r="N72" s="41">
        <v>2.8481514043901487E-3</v>
      </c>
      <c r="O72" s="41">
        <v>539773643.38030005</v>
      </c>
      <c r="P72" s="41">
        <v>729572.15</v>
      </c>
      <c r="Q72" s="41">
        <v>4.2500000000000003E-2</v>
      </c>
      <c r="R72" s="41">
        <v>0</v>
      </c>
      <c r="S72" s="41">
        <v>2</v>
      </c>
      <c r="T72" s="100">
        <v>41944</v>
      </c>
      <c r="U72" s="41">
        <v>6013484.7726479778</v>
      </c>
      <c r="V72" s="3">
        <f>CurrentMtgRatesDataTable82523[[#This Row],[cum_df_pct]]*100</f>
        <v>0</v>
      </c>
      <c r="W72" s="3">
        <f>CurrentMtgRatesDataTable82523[[#This Row],[pct_dq]]*100</f>
        <v>0.28481514043901485</v>
      </c>
      <c r="X72"/>
    </row>
    <row r="73" spans="3:24">
      <c r="C73" s="41" t="s">
        <v>127</v>
      </c>
      <c r="D73" s="41" t="s">
        <v>138</v>
      </c>
      <c r="E73" s="41">
        <v>13278993689.370001</v>
      </c>
      <c r="F73" s="42">
        <v>41944</v>
      </c>
      <c r="G73" s="41">
        <v>60330</v>
      </c>
      <c r="H73" s="41">
        <v>68981589.486341402</v>
      </c>
      <c r="I73" s="41">
        <v>1106164.8600000001</v>
      </c>
      <c r="J73" s="41">
        <v>5.1947904412035402E-3</v>
      </c>
      <c r="K73" s="41">
        <v>8.3301859001973835E-5</v>
      </c>
      <c r="L73" s="41">
        <v>6.0586000000000002</v>
      </c>
      <c r="M73" s="41">
        <v>9.9900000000000003E-2</v>
      </c>
      <c r="N73" s="41">
        <v>4.3145607777390375E-3</v>
      </c>
      <c r="O73" s="41">
        <v>608755232.86660004</v>
      </c>
      <c r="P73" s="41">
        <v>1835737.01</v>
      </c>
      <c r="Q73" s="41">
        <v>4.7899999999999998E-2</v>
      </c>
      <c r="R73" s="41">
        <v>1E-4</v>
      </c>
      <c r="S73" s="41">
        <v>2</v>
      </c>
      <c r="T73" s="100">
        <v>41974</v>
      </c>
      <c r="U73" s="41">
        <v>3984754.3263414055</v>
      </c>
      <c r="V73" s="3">
        <f>CurrentMtgRatesDataTable82523[[#This Row],[cum_df_pct]]*100</f>
        <v>0.01</v>
      </c>
      <c r="W73" s="3">
        <f>CurrentMtgRatesDataTable82523[[#This Row],[pct_dq]]*100</f>
        <v>0.43145607777390377</v>
      </c>
      <c r="X73"/>
    </row>
    <row r="74" spans="3:24">
      <c r="C74" s="41" t="s">
        <v>127</v>
      </c>
      <c r="D74" s="41" t="s">
        <v>138</v>
      </c>
      <c r="E74" s="41">
        <v>13188223110.76</v>
      </c>
      <c r="F74" s="42">
        <v>41974</v>
      </c>
      <c r="G74" s="41">
        <v>60033</v>
      </c>
      <c r="H74" s="41">
        <v>85889374.26822345</v>
      </c>
      <c r="I74" s="41">
        <v>109743.21</v>
      </c>
      <c r="J74" s="41">
        <v>6.5125812284861995E-3</v>
      </c>
      <c r="K74" s="41">
        <v>8.3213037175920058E-6</v>
      </c>
      <c r="L74" s="41">
        <v>7.5411000000000001</v>
      </c>
      <c r="M74" s="41">
        <v>9.9000000000000008E-3</v>
      </c>
      <c r="N74" s="41">
        <v>3.4645197943854746E-3</v>
      </c>
      <c r="O74" s="41">
        <v>694644607.13479996</v>
      </c>
      <c r="P74" s="41">
        <v>1945480.22</v>
      </c>
      <c r="Q74" s="41">
        <v>5.4699999999999999E-2</v>
      </c>
      <c r="R74" s="41">
        <v>1E-4</v>
      </c>
      <c r="S74" s="41">
        <v>2</v>
      </c>
      <c r="T74" s="100">
        <v>42005</v>
      </c>
      <c r="U74" s="41">
        <v>6711768.8182234447</v>
      </c>
      <c r="V74" s="3">
        <f>CurrentMtgRatesDataTable82523[[#This Row],[cum_df_pct]]*100</f>
        <v>0.01</v>
      </c>
      <c r="W74" s="3">
        <f>CurrentMtgRatesDataTable82523[[#This Row],[pct_dq]]*100</f>
        <v>0.34645197943854744</v>
      </c>
      <c r="X74"/>
    </row>
    <row r="75" spans="3:24">
      <c r="C75" s="41" t="s">
        <v>127</v>
      </c>
      <c r="D75" s="41" t="s">
        <v>138</v>
      </c>
      <c r="E75" s="41">
        <v>13079589990.01</v>
      </c>
      <c r="F75" s="42">
        <v>42005</v>
      </c>
      <c r="G75" s="41">
        <v>59682</v>
      </c>
      <c r="H75" s="41">
        <v>67555962.401873916</v>
      </c>
      <c r="I75" s="41">
        <v>728256.97</v>
      </c>
      <c r="J75" s="41">
        <v>5.1649908333114549E-3</v>
      </c>
      <c r="K75" s="41">
        <v>5.5678883707840389E-5</v>
      </c>
      <c r="L75" s="41">
        <v>6.0248999999999997</v>
      </c>
      <c r="M75" s="41">
        <v>6.6699999999999995E-2</v>
      </c>
      <c r="N75" s="41">
        <v>3.4958263106812451E-3</v>
      </c>
      <c r="O75" s="41">
        <v>762200569.53670001</v>
      </c>
      <c r="P75" s="41">
        <v>2673737.19</v>
      </c>
      <c r="Q75" s="41">
        <v>0.06</v>
      </c>
      <c r="R75" s="41">
        <v>2.0000000000000001E-4</v>
      </c>
      <c r="S75" s="41">
        <v>2</v>
      </c>
      <c r="T75" s="100">
        <v>42036</v>
      </c>
      <c r="U75" s="41">
        <v>5010284.8518739175</v>
      </c>
      <c r="V75" s="3">
        <f>CurrentMtgRatesDataTable82523[[#This Row],[cum_df_pct]]*100</f>
        <v>0.02</v>
      </c>
      <c r="W75" s="3">
        <f>CurrentMtgRatesDataTable82523[[#This Row],[pct_dq]]*100</f>
        <v>0.34958263106812448</v>
      </c>
      <c r="X75"/>
    </row>
    <row r="76" spans="3:24">
      <c r="C76" s="41" t="s">
        <v>127</v>
      </c>
      <c r="D76" s="41" t="s">
        <v>138</v>
      </c>
      <c r="E76" s="41">
        <v>12989465528.1</v>
      </c>
      <c r="F76" s="42">
        <v>42036</v>
      </c>
      <c r="G76" s="41">
        <v>59403</v>
      </c>
      <c r="H76" s="41">
        <v>98632277.958345905</v>
      </c>
      <c r="I76" s="41">
        <v>954901.87</v>
      </c>
      <c r="J76" s="41">
        <v>7.5932514501828845E-3</v>
      </c>
      <c r="K76" s="41">
        <v>7.3513561272730494E-5</v>
      </c>
      <c r="L76" s="41">
        <v>8.7408000000000001</v>
      </c>
      <c r="M76" s="41">
        <v>8.8099999999999998E-2</v>
      </c>
      <c r="N76" s="41">
        <v>4.628878881115509E-3</v>
      </c>
      <c r="O76" s="41">
        <v>860832847.495</v>
      </c>
      <c r="P76" s="41">
        <v>3628639.06</v>
      </c>
      <c r="Q76" s="41">
        <v>6.7799999999999999E-2</v>
      </c>
      <c r="R76" s="41">
        <v>2.0000000000000001E-4</v>
      </c>
      <c r="S76" s="41">
        <v>2</v>
      </c>
      <c r="T76" s="100">
        <v>42064</v>
      </c>
      <c r="U76" s="41">
        <v>4334847.6783459103</v>
      </c>
      <c r="V76" s="3">
        <f>CurrentMtgRatesDataTable82523[[#This Row],[cum_df_pct]]*100</f>
        <v>0.02</v>
      </c>
      <c r="W76" s="3">
        <f>CurrentMtgRatesDataTable82523[[#This Row],[pct_dq]]*100</f>
        <v>0.4628878881115509</v>
      </c>
      <c r="X76"/>
    </row>
    <row r="77" spans="3:24">
      <c r="C77" s="41" t="s">
        <v>127</v>
      </c>
      <c r="D77" s="41" t="s">
        <v>138</v>
      </c>
      <c r="E77" s="41">
        <v>12868564575.280001</v>
      </c>
      <c r="F77" s="42">
        <v>42064</v>
      </c>
      <c r="G77" s="41">
        <v>59011</v>
      </c>
      <c r="H77" s="41">
        <v>135982103.65013644</v>
      </c>
      <c r="I77" s="41">
        <v>1661851.02</v>
      </c>
      <c r="J77" s="41">
        <v>1.0566998584391661E-2</v>
      </c>
      <c r="K77" s="41">
        <v>1.2914035674129108E-4</v>
      </c>
      <c r="L77" s="41">
        <v>11.9687</v>
      </c>
      <c r="M77" s="41">
        <v>0.15479999999999999</v>
      </c>
      <c r="N77" s="41">
        <v>3.0818659251385136E-3</v>
      </c>
      <c r="O77" s="41">
        <v>996814951.14520001</v>
      </c>
      <c r="P77" s="41">
        <v>5290490.08</v>
      </c>
      <c r="Q77" s="41">
        <v>7.85E-2</v>
      </c>
      <c r="R77" s="41">
        <v>4.0000000000000002E-4</v>
      </c>
      <c r="S77" s="41">
        <v>2</v>
      </c>
      <c r="T77" s="100">
        <v>42095</v>
      </c>
      <c r="U77" s="41">
        <v>6532549.2201364404</v>
      </c>
      <c r="V77" s="3">
        <f>CurrentMtgRatesDataTable82523[[#This Row],[cum_df_pct]]*100</f>
        <v>0.04</v>
      </c>
      <c r="W77" s="3">
        <f>CurrentMtgRatesDataTable82523[[#This Row],[pct_dq]]*100</f>
        <v>0.30818659251385133</v>
      </c>
      <c r="X77"/>
    </row>
    <row r="78" spans="3:24">
      <c r="C78" s="41" t="s">
        <v>127</v>
      </c>
      <c r="D78" s="41" t="s">
        <v>138</v>
      </c>
      <c r="E78" s="41">
        <v>12709590708.01</v>
      </c>
      <c r="F78" s="42">
        <v>42095</v>
      </c>
      <c r="G78" s="41">
        <v>58463</v>
      </c>
      <c r="H78" s="41">
        <v>127438582.87746523</v>
      </c>
      <c r="I78" s="41">
        <v>1260591.1599999999</v>
      </c>
      <c r="J78" s="41">
        <v>1.0026961985262772E-2</v>
      </c>
      <c r="K78" s="41">
        <v>9.9184245107557573E-5</v>
      </c>
      <c r="L78" s="41">
        <v>11.3904</v>
      </c>
      <c r="M78" s="41">
        <v>0.11890000000000001</v>
      </c>
      <c r="N78" s="41">
        <v>3.3989189299994263E-3</v>
      </c>
      <c r="O78" s="41">
        <v>1124253534.0225999</v>
      </c>
      <c r="P78" s="41">
        <v>6551081.2400000002</v>
      </c>
      <c r="Q78" s="41">
        <v>8.8499999999999995E-2</v>
      </c>
      <c r="R78" s="41">
        <v>5.0000000000000001E-4</v>
      </c>
      <c r="S78" s="41">
        <v>2</v>
      </c>
      <c r="T78" s="100">
        <v>42125</v>
      </c>
      <c r="U78" s="41">
        <v>5465163.7674652264</v>
      </c>
      <c r="V78" s="3">
        <f>CurrentMtgRatesDataTable82523[[#This Row],[cum_df_pct]]*100</f>
        <v>0.05</v>
      </c>
      <c r="W78" s="3">
        <f>CurrentMtgRatesDataTable82523[[#This Row],[pct_dq]]*100</f>
        <v>0.33989189299994266</v>
      </c>
      <c r="X78"/>
    </row>
    <row r="79" spans="3:24">
      <c r="C79" s="41" t="s">
        <v>127</v>
      </c>
      <c r="D79" s="41" t="s">
        <v>138</v>
      </c>
      <c r="E79" s="41">
        <v>12559682919.58</v>
      </c>
      <c r="F79" s="42">
        <v>42125</v>
      </c>
      <c r="G79" s="41">
        <v>57929</v>
      </c>
      <c r="H79" s="41">
        <v>134322126.6737633</v>
      </c>
      <c r="I79" s="41">
        <v>948614.99</v>
      </c>
      <c r="J79" s="41">
        <v>1.0694706827698727E-2</v>
      </c>
      <c r="K79" s="41">
        <v>7.5528577916656668E-5</v>
      </c>
      <c r="L79" s="41">
        <v>12.105</v>
      </c>
      <c r="M79" s="41">
        <v>9.0499999999999997E-2</v>
      </c>
      <c r="N79" s="41">
        <v>4.9327434288501731E-3</v>
      </c>
      <c r="O79" s="41">
        <v>1258575660.6963999</v>
      </c>
      <c r="P79" s="41">
        <v>7499696.2300000004</v>
      </c>
      <c r="Q79" s="41">
        <v>9.9099999999999994E-2</v>
      </c>
      <c r="R79" s="41">
        <v>5.0000000000000001E-4</v>
      </c>
      <c r="S79" s="41">
        <v>2</v>
      </c>
      <c r="T79" s="100">
        <v>42156</v>
      </c>
      <c r="U79" s="41">
        <v>5212057.7937633023</v>
      </c>
      <c r="V79" s="3">
        <f>CurrentMtgRatesDataTable82523[[#This Row],[cum_df_pct]]*100</f>
        <v>0.05</v>
      </c>
      <c r="W79" s="3">
        <f>CurrentMtgRatesDataTable82523[[#This Row],[pct_dq]]*100</f>
        <v>0.49327434288501731</v>
      </c>
      <c r="X79"/>
    </row>
    <row r="80" spans="3:24">
      <c r="C80" s="41" t="s">
        <v>127</v>
      </c>
      <c r="D80" s="41" t="s">
        <v>138</v>
      </c>
      <c r="E80" s="41">
        <v>12403070778.74</v>
      </c>
      <c r="F80" s="42">
        <v>42156</v>
      </c>
      <c r="G80" s="41">
        <v>57358</v>
      </c>
      <c r="H80" s="41">
        <v>144397403.13509718</v>
      </c>
      <c r="I80" s="41">
        <v>1228539.8600000001</v>
      </c>
      <c r="J80" s="41">
        <v>1.1642068783692467E-2</v>
      </c>
      <c r="K80" s="41">
        <v>9.905126576442907E-5</v>
      </c>
      <c r="L80" s="41">
        <v>13.1097</v>
      </c>
      <c r="M80" s="41">
        <v>0.1187</v>
      </c>
      <c r="N80" s="41">
        <v>3.7744523114586152E-3</v>
      </c>
      <c r="O80" s="41">
        <v>1402973063.8315001</v>
      </c>
      <c r="P80" s="41">
        <v>8728236.0899999999</v>
      </c>
      <c r="Q80" s="41">
        <v>0.1105</v>
      </c>
      <c r="R80" s="41">
        <v>5.9999999999999995E-4</v>
      </c>
      <c r="S80" s="41">
        <v>2</v>
      </c>
      <c r="T80" s="100">
        <v>42186</v>
      </c>
      <c r="U80" s="41">
        <v>5156681.7750971764</v>
      </c>
      <c r="V80" s="3">
        <f>CurrentMtgRatesDataTable82523[[#This Row],[cum_df_pct]]*100</f>
        <v>0.06</v>
      </c>
      <c r="W80" s="3">
        <f>CurrentMtgRatesDataTable82523[[#This Row],[pct_dq]]*100</f>
        <v>0.37744523114586154</v>
      </c>
      <c r="X80"/>
    </row>
    <row r="81" spans="3:24">
      <c r="C81" s="41" t="s">
        <v>127</v>
      </c>
      <c r="D81" s="41" t="s">
        <v>138</v>
      </c>
      <c r="E81" s="41">
        <v>12236122551.93</v>
      </c>
      <c r="F81" s="42">
        <v>42186</v>
      </c>
      <c r="G81" s="41">
        <v>56742</v>
      </c>
      <c r="H81" s="41">
        <v>138350690.77781704</v>
      </c>
      <c r="I81" s="41">
        <v>476096.87</v>
      </c>
      <c r="J81" s="41">
        <v>1.130674281747816E-2</v>
      </c>
      <c r="K81" s="41">
        <v>3.8909128931934847E-5</v>
      </c>
      <c r="L81" s="41">
        <v>12.7553</v>
      </c>
      <c r="M81" s="41">
        <v>4.6600000000000003E-2</v>
      </c>
      <c r="N81" s="41">
        <v>3.8141332200566039E-3</v>
      </c>
      <c r="O81" s="41">
        <v>1541323754.6092999</v>
      </c>
      <c r="P81" s="41">
        <v>9204332.9600000009</v>
      </c>
      <c r="Q81" s="41">
        <v>0.12139999999999999</v>
      </c>
      <c r="R81" s="41">
        <v>6.9999999999999999E-4</v>
      </c>
      <c r="S81" s="41">
        <v>2</v>
      </c>
      <c r="T81" s="100">
        <v>42217</v>
      </c>
      <c r="U81" s="41">
        <v>6003853.3678170517</v>
      </c>
      <c r="V81" s="3">
        <f>CurrentMtgRatesDataTable82523[[#This Row],[cum_df_pct]]*100</f>
        <v>6.9999999999999993E-2</v>
      </c>
      <c r="W81" s="3">
        <f>CurrentMtgRatesDataTable82523[[#This Row],[pct_dq]]*100</f>
        <v>0.38141332200566042</v>
      </c>
      <c r="X81"/>
    </row>
    <row r="82" spans="3:24">
      <c r="C82" s="41" t="s">
        <v>127</v>
      </c>
      <c r="D82" s="41" t="s">
        <v>138</v>
      </c>
      <c r="E82" s="41">
        <v>12076103034.459999</v>
      </c>
      <c r="F82" s="42">
        <v>42217</v>
      </c>
      <c r="G82" s="41">
        <v>56145</v>
      </c>
      <c r="H82" s="41">
        <v>105581475.98017268</v>
      </c>
      <c r="I82" s="41">
        <v>520800.05</v>
      </c>
      <c r="J82" s="41">
        <v>8.7430088728862772E-3</v>
      </c>
      <c r="K82" s="41">
        <v>4.3126499377643668E-5</v>
      </c>
      <c r="L82" s="41">
        <v>10.0015</v>
      </c>
      <c r="M82" s="41">
        <v>5.1700000000000003E-2</v>
      </c>
      <c r="N82" s="41">
        <v>4.1811443721470219E-3</v>
      </c>
      <c r="O82" s="41">
        <v>1646905230.5895</v>
      </c>
      <c r="P82" s="41">
        <v>9725133.0099999998</v>
      </c>
      <c r="Q82" s="41">
        <v>0.12970000000000001</v>
      </c>
      <c r="R82" s="41">
        <v>6.9999999999999999E-4</v>
      </c>
      <c r="S82" s="41">
        <v>2</v>
      </c>
      <c r="T82" s="100">
        <v>42248</v>
      </c>
      <c r="U82" s="41">
        <v>4818314.5701726815</v>
      </c>
      <c r="V82" s="3">
        <f>CurrentMtgRatesDataTable82523[[#This Row],[cum_df_pct]]*100</f>
        <v>6.9999999999999993E-2</v>
      </c>
      <c r="W82" s="3">
        <f>CurrentMtgRatesDataTable82523[[#This Row],[pct_dq]]*100</f>
        <v>0.41811443721470221</v>
      </c>
      <c r="X82"/>
    </row>
    <row r="83" spans="3:24">
      <c r="C83" s="41" t="s">
        <v>142</v>
      </c>
      <c r="D83" s="41" t="s">
        <v>146</v>
      </c>
      <c r="E83" s="41">
        <v>136083939.11000001</v>
      </c>
      <c r="F83" s="42">
        <v>41791</v>
      </c>
      <c r="G83" s="41">
        <v>1669</v>
      </c>
      <c r="H83" s="41">
        <v>885612.07960020751</v>
      </c>
      <c r="I83" s="41">
        <v>0</v>
      </c>
      <c r="J83" s="41">
        <v>6.5078368938478875E-3</v>
      </c>
      <c r="K83" s="41">
        <v>0</v>
      </c>
      <c r="L83" s="41">
        <v>7.5358000000000001</v>
      </c>
      <c r="M83" s="41">
        <v>0</v>
      </c>
      <c r="N83" s="41">
        <v>1.3289279483144438E-3</v>
      </c>
      <c r="O83" s="41">
        <v>885612.07960000006</v>
      </c>
      <c r="P83" s="41">
        <v>0</v>
      </c>
      <c r="Q83" s="41">
        <v>0</v>
      </c>
      <c r="R83" s="41">
        <v>0</v>
      </c>
      <c r="S83" s="41">
        <v>1</v>
      </c>
      <c r="T83" s="100">
        <v>41821</v>
      </c>
      <c r="U83" s="41">
        <v>31431.9896002075</v>
      </c>
      <c r="V83" s="3">
        <f>CurrentMtgRatesDataTable82523[[#This Row],[cum_df_pct]]*100</f>
        <v>0</v>
      </c>
      <c r="W83" s="3">
        <f>CurrentMtgRatesDataTable82523[[#This Row],[pct_dq]]*100</f>
        <v>0.13289279483144439</v>
      </c>
      <c r="X83"/>
    </row>
    <row r="84" spans="3:24">
      <c r="C84" s="41" t="s">
        <v>142</v>
      </c>
      <c r="D84" s="41" t="s">
        <v>146</v>
      </c>
      <c r="E84" s="41">
        <v>58820797423.540001</v>
      </c>
      <c r="F84" s="42">
        <v>41821</v>
      </c>
      <c r="G84" s="41">
        <v>245287</v>
      </c>
      <c r="H84" s="41">
        <v>333902812.31825882</v>
      </c>
      <c r="I84" s="41">
        <v>0</v>
      </c>
      <c r="J84" s="41">
        <v>5.6766114528163701E-3</v>
      </c>
      <c r="K84" s="41">
        <v>0</v>
      </c>
      <c r="L84" s="41">
        <v>6.6032000000000002</v>
      </c>
      <c r="M84" s="41">
        <v>0</v>
      </c>
      <c r="N84" s="41">
        <v>1.8344708362762955E-3</v>
      </c>
      <c r="O84" s="41">
        <v>334788424.39780003</v>
      </c>
      <c r="P84" s="41">
        <v>0</v>
      </c>
      <c r="Q84" s="41">
        <v>6.0000000000000001E-3</v>
      </c>
      <c r="R84" s="41">
        <v>0</v>
      </c>
      <c r="S84" s="41">
        <v>1</v>
      </c>
      <c r="T84" s="100">
        <v>41852</v>
      </c>
      <c r="U84" s="41">
        <v>29312002.488258824</v>
      </c>
      <c r="V84" s="3">
        <f>CurrentMtgRatesDataTable82523[[#This Row],[cum_df_pct]]*100</f>
        <v>0</v>
      </c>
      <c r="W84" s="3">
        <f>CurrentMtgRatesDataTable82523[[#This Row],[pct_dq]]*100</f>
        <v>0.18344708362762954</v>
      </c>
      <c r="X84"/>
    </row>
    <row r="85" spans="3:24">
      <c r="C85" s="41" t="s">
        <v>142</v>
      </c>
      <c r="D85" s="41" t="s">
        <v>146</v>
      </c>
      <c r="E85" s="41">
        <v>58394790404</v>
      </c>
      <c r="F85" s="42">
        <v>41852</v>
      </c>
      <c r="G85" s="41">
        <v>243984</v>
      </c>
      <c r="H85" s="41">
        <v>313708618.26945579</v>
      </c>
      <c r="I85" s="41">
        <v>0</v>
      </c>
      <c r="J85" s="41">
        <v>5.3722021450729783E-3</v>
      </c>
      <c r="K85" s="41">
        <v>0</v>
      </c>
      <c r="L85" s="41">
        <v>6.2595000000000001</v>
      </c>
      <c r="M85" s="41">
        <v>0</v>
      </c>
      <c r="N85" s="41">
        <v>2.4604233501993749E-3</v>
      </c>
      <c r="O85" s="41">
        <v>648497042.66729999</v>
      </c>
      <c r="P85" s="41">
        <v>0</v>
      </c>
      <c r="Q85" s="41">
        <v>1.17E-2</v>
      </c>
      <c r="R85" s="41">
        <v>0</v>
      </c>
      <c r="S85" s="41">
        <v>1</v>
      </c>
      <c r="T85" s="100">
        <v>41883</v>
      </c>
      <c r="U85" s="41">
        <v>32001829.189455777</v>
      </c>
      <c r="V85" s="3">
        <f>CurrentMtgRatesDataTable82523[[#This Row],[cum_df_pct]]*100</f>
        <v>0</v>
      </c>
      <c r="W85" s="3">
        <f>CurrentMtgRatesDataTable82523[[#This Row],[pct_dq]]*100</f>
        <v>0.2460423350199375</v>
      </c>
      <c r="X85"/>
    </row>
    <row r="86" spans="3:24">
      <c r="C86" s="41" t="s">
        <v>142</v>
      </c>
      <c r="D86" s="41" t="s">
        <v>146</v>
      </c>
      <c r="E86" s="41">
        <v>57990235747.93</v>
      </c>
      <c r="F86" s="42">
        <v>41883</v>
      </c>
      <c r="G86" s="41">
        <v>242780</v>
      </c>
      <c r="H86" s="41">
        <v>290380813.61701071</v>
      </c>
      <c r="I86" s="41">
        <v>0</v>
      </c>
      <c r="J86" s="41">
        <v>5.007408745141652E-3</v>
      </c>
      <c r="K86" s="41">
        <v>0</v>
      </c>
      <c r="L86" s="41">
        <v>5.8460999999999999</v>
      </c>
      <c r="M86" s="41">
        <v>0</v>
      </c>
      <c r="N86" s="41">
        <v>2.1564241889543241E-3</v>
      </c>
      <c r="O86" s="41">
        <v>938877856.28429997</v>
      </c>
      <c r="P86" s="41">
        <v>0</v>
      </c>
      <c r="Q86" s="41">
        <v>1.6899999999999998E-2</v>
      </c>
      <c r="R86" s="41">
        <v>0</v>
      </c>
      <c r="S86" s="41">
        <v>1</v>
      </c>
      <c r="T86" s="100">
        <v>41913</v>
      </c>
      <c r="U86" s="41">
        <v>29056255.82701071</v>
      </c>
      <c r="V86" s="3">
        <f>CurrentMtgRatesDataTable82523[[#This Row],[cum_df_pct]]*100</f>
        <v>0</v>
      </c>
      <c r="W86" s="3">
        <f>CurrentMtgRatesDataTable82523[[#This Row],[pct_dq]]*100</f>
        <v>0.2156424188954324</v>
      </c>
      <c r="X86"/>
    </row>
    <row r="87" spans="3:24">
      <c r="C87" s="41" t="s">
        <v>142</v>
      </c>
      <c r="D87" s="41" t="s">
        <v>146</v>
      </c>
      <c r="E87" s="41">
        <v>57609407449.07</v>
      </c>
      <c r="F87" s="42">
        <v>41913</v>
      </c>
      <c r="G87" s="41">
        <v>241669</v>
      </c>
      <c r="H87" s="41">
        <v>295501177.88760555</v>
      </c>
      <c r="I87" s="41">
        <v>0</v>
      </c>
      <c r="J87" s="41">
        <v>5.1293910312971962E-3</v>
      </c>
      <c r="K87" s="41">
        <v>0</v>
      </c>
      <c r="L87" s="41">
        <v>5.9844999999999997</v>
      </c>
      <c r="M87" s="41">
        <v>0</v>
      </c>
      <c r="N87" s="41">
        <v>1.9359806845539852E-3</v>
      </c>
      <c r="O87" s="41">
        <v>1234379034.1719</v>
      </c>
      <c r="P87" s="41">
        <v>0</v>
      </c>
      <c r="Q87" s="41">
        <v>2.23E-2</v>
      </c>
      <c r="R87" s="41">
        <v>0</v>
      </c>
      <c r="S87" s="41">
        <v>1</v>
      </c>
      <c r="T87" s="100">
        <v>41944</v>
      </c>
      <c r="U87" s="41">
        <v>34130534.057605527</v>
      </c>
      <c r="V87" s="3">
        <f>CurrentMtgRatesDataTable82523[[#This Row],[cum_df_pct]]*100</f>
        <v>0</v>
      </c>
      <c r="W87" s="3">
        <f>CurrentMtgRatesDataTable82523[[#This Row],[pct_dq]]*100</f>
        <v>0.19359806845539854</v>
      </c>
      <c r="X87"/>
    </row>
    <row r="88" spans="3:24">
      <c r="C88" s="41" t="s">
        <v>142</v>
      </c>
      <c r="D88" s="41" t="s">
        <v>146</v>
      </c>
      <c r="E88" s="41">
        <v>57219331894.339996</v>
      </c>
      <c r="F88" s="42">
        <v>41944</v>
      </c>
      <c r="G88" s="41">
        <v>240497</v>
      </c>
      <c r="H88" s="41">
        <v>269632560.53948385</v>
      </c>
      <c r="I88" s="41">
        <v>988146.77</v>
      </c>
      <c r="J88" s="41">
        <v>4.7122633489915886E-3</v>
      </c>
      <c r="K88" s="41">
        <v>1.7269456620442385E-5</v>
      </c>
      <c r="L88" s="41">
        <v>5.5103999999999997</v>
      </c>
      <c r="M88" s="41">
        <v>2.07E-2</v>
      </c>
      <c r="N88" s="41">
        <v>3.5336973541279801E-3</v>
      </c>
      <c r="O88" s="41">
        <v>1504011594.7114</v>
      </c>
      <c r="P88" s="41">
        <v>988146.77</v>
      </c>
      <c r="Q88" s="41">
        <v>2.7199999999999998E-2</v>
      </c>
      <c r="R88" s="41">
        <v>0</v>
      </c>
      <c r="S88" s="41">
        <v>1</v>
      </c>
      <c r="T88" s="100">
        <v>41974</v>
      </c>
      <c r="U88" s="41">
        <v>22754223.729483817</v>
      </c>
      <c r="V88" s="3">
        <f>CurrentMtgRatesDataTable82523[[#This Row],[cum_df_pct]]*100</f>
        <v>0</v>
      </c>
      <c r="W88" s="3">
        <f>CurrentMtgRatesDataTable82523[[#This Row],[pct_dq]]*100</f>
        <v>0.35336973541279804</v>
      </c>
      <c r="X88"/>
    </row>
    <row r="89" spans="3:24">
      <c r="C89" s="41" t="s">
        <v>142</v>
      </c>
      <c r="D89" s="41" t="s">
        <v>146</v>
      </c>
      <c r="E89" s="41">
        <v>56862214421.93</v>
      </c>
      <c r="F89" s="42">
        <v>41974</v>
      </c>
      <c r="G89" s="41">
        <v>239437</v>
      </c>
      <c r="H89" s="41">
        <v>324368464.93637729</v>
      </c>
      <c r="I89" s="41">
        <v>995162.46</v>
      </c>
      <c r="J89" s="41">
        <v>5.7044641724554148E-3</v>
      </c>
      <c r="K89" s="41">
        <v>1.7501296249486135E-5</v>
      </c>
      <c r="L89" s="41">
        <v>6.6345999999999998</v>
      </c>
      <c r="M89" s="41">
        <v>2.0899999999999998E-2</v>
      </c>
      <c r="N89" s="41">
        <v>2.6664097193781753E-3</v>
      </c>
      <c r="O89" s="41">
        <v>1828380059.6477001</v>
      </c>
      <c r="P89" s="41">
        <v>1983309.23</v>
      </c>
      <c r="Q89" s="41">
        <v>3.3000000000000002E-2</v>
      </c>
      <c r="R89" s="41">
        <v>0</v>
      </c>
      <c r="S89" s="41">
        <v>1</v>
      </c>
      <c r="T89" s="100">
        <v>42005</v>
      </c>
      <c r="U89" s="41">
        <v>37648906.186377287</v>
      </c>
      <c r="V89" s="3">
        <f>CurrentMtgRatesDataTable82523[[#This Row],[cum_df_pct]]*100</f>
        <v>0</v>
      </c>
      <c r="W89" s="3">
        <f>CurrentMtgRatesDataTable82523[[#This Row],[pct_dq]]*100</f>
        <v>0.26664097193781755</v>
      </c>
      <c r="X89"/>
    </row>
    <row r="90" spans="3:24">
      <c r="C90" s="41" t="s">
        <v>142</v>
      </c>
      <c r="D90" s="41" t="s">
        <v>146</v>
      </c>
      <c r="E90" s="41">
        <v>56443379084.279999</v>
      </c>
      <c r="F90" s="42">
        <v>42005</v>
      </c>
      <c r="G90" s="41">
        <v>238200</v>
      </c>
      <c r="H90" s="41">
        <v>250732312.68293372</v>
      </c>
      <c r="I90" s="41">
        <v>3152261.46</v>
      </c>
      <c r="J90" s="41">
        <v>4.442191745971583E-3</v>
      </c>
      <c r="K90" s="41">
        <v>5.5848205956860119E-5</v>
      </c>
      <c r="L90" s="41">
        <v>5.2023000000000001</v>
      </c>
      <c r="M90" s="41">
        <v>6.6900000000000001E-2</v>
      </c>
      <c r="N90" s="41">
        <v>2.5259221838422408E-3</v>
      </c>
      <c r="O90" s="41">
        <v>2079112372.3306999</v>
      </c>
      <c r="P90" s="41">
        <v>5135570.6900000004</v>
      </c>
      <c r="Q90" s="41">
        <v>3.7600000000000001E-2</v>
      </c>
      <c r="R90" s="41">
        <v>0</v>
      </c>
      <c r="S90" s="41">
        <v>1</v>
      </c>
      <c r="T90" s="100">
        <v>42036</v>
      </c>
      <c r="U90" s="41">
        <v>28808706.632933713</v>
      </c>
      <c r="V90" s="3">
        <f>CurrentMtgRatesDataTable82523[[#This Row],[cum_df_pct]]*100</f>
        <v>0</v>
      </c>
      <c r="W90" s="3">
        <f>CurrentMtgRatesDataTable82523[[#This Row],[pct_dq]]*100</f>
        <v>0.25259221838422408</v>
      </c>
      <c r="X90"/>
    </row>
    <row r="91" spans="3:24">
      <c r="C91" s="41" t="s">
        <v>142</v>
      </c>
      <c r="D91" s="41" t="s">
        <v>146</v>
      </c>
      <c r="E91" s="41">
        <v>56099182833.809998</v>
      </c>
      <c r="F91" s="42">
        <v>42036</v>
      </c>
      <c r="G91" s="41">
        <v>237262</v>
      </c>
      <c r="H91" s="41">
        <v>354119922.58969641</v>
      </c>
      <c r="I91" s="41">
        <v>1565142.67</v>
      </c>
      <c r="J91" s="41">
        <v>6.3123900331802062E-3</v>
      </c>
      <c r="K91" s="41">
        <v>2.7899562719774872E-5</v>
      </c>
      <c r="L91" s="41">
        <v>7.3173000000000004</v>
      </c>
      <c r="M91" s="41">
        <v>3.3399999999999999E-2</v>
      </c>
      <c r="N91" s="41">
        <v>3.6601522768750609E-3</v>
      </c>
      <c r="O91" s="41">
        <v>2433232294.9204001</v>
      </c>
      <c r="P91" s="41">
        <v>6700713.3600000003</v>
      </c>
      <c r="Q91" s="41">
        <v>4.3999999999999997E-2</v>
      </c>
      <c r="R91" s="41">
        <v>1E-4</v>
      </c>
      <c r="S91" s="41">
        <v>1</v>
      </c>
      <c r="T91" s="100">
        <v>42064</v>
      </c>
      <c r="U91" s="41">
        <v>26933639.099696379</v>
      </c>
      <c r="V91" s="3">
        <f>CurrentMtgRatesDataTable82523[[#This Row],[cum_df_pct]]*100</f>
        <v>0.01</v>
      </c>
      <c r="W91" s="3">
        <f>CurrentMtgRatesDataTable82523[[#This Row],[pct_dq]]*100</f>
        <v>0.36601522768750611</v>
      </c>
      <c r="X91"/>
    </row>
    <row r="92" spans="3:24">
      <c r="C92" s="41" t="s">
        <v>142</v>
      </c>
      <c r="D92" s="41" t="s">
        <v>146</v>
      </c>
      <c r="E92" s="41">
        <v>55653432312.110001</v>
      </c>
      <c r="F92" s="42">
        <v>42064</v>
      </c>
      <c r="G92" s="41">
        <v>236002</v>
      </c>
      <c r="H92" s="41">
        <v>487814450.29419518</v>
      </c>
      <c r="I92" s="41">
        <v>1218933.53</v>
      </c>
      <c r="J92" s="41">
        <v>8.7652177058637291E-3</v>
      </c>
      <c r="K92" s="41">
        <v>2.19022166173705E-5</v>
      </c>
      <c r="L92" s="41">
        <v>10.025700000000001</v>
      </c>
      <c r="M92" s="41">
        <v>2.6200000000000001E-2</v>
      </c>
      <c r="N92" s="41">
        <v>2.5815532457058787E-3</v>
      </c>
      <c r="O92" s="41">
        <v>2921046745.2146001</v>
      </c>
      <c r="P92" s="41">
        <v>7919646.8899999997</v>
      </c>
      <c r="Q92" s="41">
        <v>5.28E-2</v>
      </c>
      <c r="R92" s="41">
        <v>1E-4</v>
      </c>
      <c r="S92" s="41">
        <v>1</v>
      </c>
      <c r="T92" s="100">
        <v>42095</v>
      </c>
      <c r="U92" s="41">
        <v>34019494.344195195</v>
      </c>
      <c r="V92" s="3">
        <f>CurrentMtgRatesDataTable82523[[#This Row],[cum_df_pct]]*100</f>
        <v>0.01</v>
      </c>
      <c r="W92" s="3">
        <f>CurrentMtgRatesDataTable82523[[#This Row],[pct_dq]]*100</f>
        <v>0.25815532457058787</v>
      </c>
      <c r="X92"/>
    </row>
    <row r="93" spans="3:24">
      <c r="C93" s="41" t="s">
        <v>142</v>
      </c>
      <c r="D93" s="41" t="s">
        <v>146</v>
      </c>
      <c r="E93" s="41">
        <v>55075070733.809998</v>
      </c>
      <c r="F93" s="42">
        <v>42095</v>
      </c>
      <c r="G93" s="41">
        <v>234235</v>
      </c>
      <c r="H93" s="41">
        <v>460755768.29040724</v>
      </c>
      <c r="I93" s="41">
        <v>1169883.44</v>
      </c>
      <c r="J93" s="41">
        <v>8.3659587205496613E-3</v>
      </c>
      <c r="K93" s="41">
        <v>2.1241614843389044E-5</v>
      </c>
      <c r="L93" s="41">
        <v>9.5898000000000003</v>
      </c>
      <c r="M93" s="41">
        <v>2.5399999999999999E-2</v>
      </c>
      <c r="N93" s="41">
        <v>2.5583556738584812E-3</v>
      </c>
      <c r="O93" s="41">
        <v>3381802513.5050001</v>
      </c>
      <c r="P93" s="41">
        <v>9089530.3300000001</v>
      </c>
      <c r="Q93" s="41">
        <v>6.1100000000000002E-2</v>
      </c>
      <c r="R93" s="41">
        <v>1E-4</v>
      </c>
      <c r="S93" s="41">
        <v>1</v>
      </c>
      <c r="T93" s="100">
        <v>42125</v>
      </c>
      <c r="U93" s="41">
        <v>30139169.090407223</v>
      </c>
      <c r="V93" s="3">
        <f>CurrentMtgRatesDataTable82523[[#This Row],[cum_df_pct]]*100</f>
        <v>0.01</v>
      </c>
      <c r="W93" s="3">
        <f>CurrentMtgRatesDataTable82523[[#This Row],[pct_dq]]*100</f>
        <v>0.25583556738584812</v>
      </c>
      <c r="X93"/>
    </row>
    <row r="94" spans="3:24">
      <c r="C94" s="41" t="s">
        <v>142</v>
      </c>
      <c r="D94" s="41" t="s">
        <v>146</v>
      </c>
      <c r="E94" s="41">
        <v>54523128292.610001</v>
      </c>
      <c r="F94" s="42">
        <v>42125</v>
      </c>
      <c r="G94" s="41">
        <v>232491</v>
      </c>
      <c r="H94" s="41">
        <v>486527986.37828553</v>
      </c>
      <c r="I94" s="41">
        <v>2336918.65</v>
      </c>
      <c r="J94" s="41">
        <v>8.9233322007356078E-3</v>
      </c>
      <c r="K94" s="41">
        <v>4.28610522393071E-5</v>
      </c>
      <c r="L94" s="41">
        <v>10.197699999999999</v>
      </c>
      <c r="M94" s="41">
        <v>5.1400000000000001E-2</v>
      </c>
      <c r="N94" s="41">
        <v>3.1863415284545779E-3</v>
      </c>
      <c r="O94" s="41">
        <v>3868330499.8832998</v>
      </c>
      <c r="P94" s="41">
        <v>11426448.98</v>
      </c>
      <c r="Q94" s="41">
        <v>6.9900000000000004E-2</v>
      </c>
      <c r="R94" s="41">
        <v>2.0000000000000001E-4</v>
      </c>
      <c r="S94" s="41">
        <v>1</v>
      </c>
      <c r="T94" s="100">
        <v>42156</v>
      </c>
      <c r="U94" s="41">
        <v>30154368.698285509</v>
      </c>
      <c r="V94" s="3">
        <f>CurrentMtgRatesDataTable82523[[#This Row],[cum_df_pct]]*100</f>
        <v>0.02</v>
      </c>
      <c r="W94" s="3">
        <f>CurrentMtgRatesDataTable82523[[#This Row],[pct_dq]]*100</f>
        <v>0.31863415284545782</v>
      </c>
      <c r="X94"/>
    </row>
    <row r="95" spans="3:24">
      <c r="C95" s="41" t="s">
        <v>142</v>
      </c>
      <c r="D95" s="41" t="s">
        <v>146</v>
      </c>
      <c r="E95" s="41">
        <v>53944428669.5</v>
      </c>
      <c r="F95" s="42">
        <v>42156</v>
      </c>
      <c r="G95" s="41">
        <v>230558</v>
      </c>
      <c r="H95" s="41">
        <v>543575357.90156722</v>
      </c>
      <c r="I95" s="41">
        <v>1629666.04</v>
      </c>
      <c r="J95" s="41">
        <v>1.0076580127150422E-2</v>
      </c>
      <c r="K95" s="41">
        <v>3.0210089905380863E-5</v>
      </c>
      <c r="L95" s="41">
        <v>11.4437</v>
      </c>
      <c r="M95" s="41">
        <v>3.6200000000000003E-2</v>
      </c>
      <c r="N95" s="41">
        <v>3.0187975234238292E-3</v>
      </c>
      <c r="O95" s="41">
        <v>4411905857.7847996</v>
      </c>
      <c r="P95" s="41">
        <v>13056115.02</v>
      </c>
      <c r="Q95" s="41">
        <v>7.9799999999999996E-2</v>
      </c>
      <c r="R95" s="41">
        <v>2.0000000000000001E-4</v>
      </c>
      <c r="S95" s="41">
        <v>1</v>
      </c>
      <c r="T95" s="100">
        <v>42186</v>
      </c>
      <c r="U95" s="41">
        <v>29573374.981567167</v>
      </c>
      <c r="V95" s="3">
        <f>CurrentMtgRatesDataTable82523[[#This Row],[cum_df_pct]]*100</f>
        <v>0.02</v>
      </c>
      <c r="W95" s="3">
        <f>CurrentMtgRatesDataTable82523[[#This Row],[pct_dq]]*100</f>
        <v>0.3018797523423829</v>
      </c>
      <c r="X95"/>
    </row>
    <row r="96" spans="3:24">
      <c r="C96" s="41" t="s">
        <v>142</v>
      </c>
      <c r="D96" s="41" t="s">
        <v>146</v>
      </c>
      <c r="E96" s="41">
        <v>53309345633.239998</v>
      </c>
      <c r="F96" s="42">
        <v>42186</v>
      </c>
      <c r="G96" s="41">
        <v>228450</v>
      </c>
      <c r="H96" s="41">
        <v>474078009.18819487</v>
      </c>
      <c r="I96" s="41">
        <v>2119204.48</v>
      </c>
      <c r="J96" s="41">
        <v>8.8929624544592575E-3</v>
      </c>
      <c r="K96" s="41">
        <v>3.9752963665691883E-5</v>
      </c>
      <c r="L96" s="41">
        <v>10.1647</v>
      </c>
      <c r="M96" s="41">
        <v>4.7600000000000003E-2</v>
      </c>
      <c r="N96" s="41">
        <v>2.6982672873086177E-3</v>
      </c>
      <c r="O96" s="41">
        <v>4885983866.9729996</v>
      </c>
      <c r="P96" s="41">
        <v>15175319.5</v>
      </c>
      <c r="Q96" s="41">
        <v>8.8400000000000006E-2</v>
      </c>
      <c r="R96" s="41">
        <v>2.0000000000000001E-4</v>
      </c>
      <c r="S96" s="41">
        <v>1</v>
      </c>
      <c r="T96" s="100">
        <v>42217</v>
      </c>
      <c r="U96" s="41">
        <v>35315384.418194883</v>
      </c>
      <c r="V96" s="3">
        <f>CurrentMtgRatesDataTable82523[[#This Row],[cum_df_pct]]*100</f>
        <v>0.02</v>
      </c>
      <c r="W96" s="3">
        <f>CurrentMtgRatesDataTable82523[[#This Row],[pct_dq]]*100</f>
        <v>0.26982672873086178</v>
      </c>
      <c r="X96"/>
    </row>
    <row r="97" spans="3:24">
      <c r="C97" s="41" t="s">
        <v>142</v>
      </c>
      <c r="D97" s="41" t="s">
        <v>146</v>
      </c>
      <c r="E97" s="41">
        <v>52743247301.639999</v>
      </c>
      <c r="F97" s="42">
        <v>42217</v>
      </c>
      <c r="G97" s="41">
        <v>226514</v>
      </c>
      <c r="H97" s="41">
        <v>427580127.11973941</v>
      </c>
      <c r="I97" s="41">
        <v>2472881.38</v>
      </c>
      <c r="J97" s="41">
        <v>8.1068221809400074E-3</v>
      </c>
      <c r="K97" s="41">
        <v>4.6885269802549838E-5</v>
      </c>
      <c r="L97" s="41">
        <v>9.3058999999999994</v>
      </c>
      <c r="M97" s="41">
        <v>5.62E-2</v>
      </c>
      <c r="N97" s="41">
        <v>2.9095237460896417E-3</v>
      </c>
      <c r="O97" s="41">
        <v>5313563994.0928001</v>
      </c>
      <c r="P97" s="41">
        <v>17648200.879999999</v>
      </c>
      <c r="Q97" s="41">
        <v>9.6100000000000005E-2</v>
      </c>
      <c r="R97" s="41">
        <v>2.9999999999999997E-4</v>
      </c>
      <c r="S97" s="41">
        <v>1</v>
      </c>
      <c r="T97" s="100">
        <v>42248</v>
      </c>
      <c r="U97" s="41">
        <v>29471969.609739389</v>
      </c>
      <c r="V97" s="3">
        <f>CurrentMtgRatesDataTable82523[[#This Row],[cum_df_pct]]*100</f>
        <v>0.03</v>
      </c>
      <c r="W97" s="3">
        <f>CurrentMtgRatesDataTable82523[[#This Row],[pct_dq]]*100</f>
        <v>0.29095237460896417</v>
      </c>
      <c r="X97"/>
    </row>
    <row r="98" spans="3:24">
      <c r="C98" s="41" t="s">
        <v>142</v>
      </c>
      <c r="D98" s="41" t="s">
        <v>153</v>
      </c>
      <c r="E98" s="41">
        <v>19009515994.049999</v>
      </c>
      <c r="F98" s="42">
        <v>41791</v>
      </c>
      <c r="G98" s="41">
        <v>85810</v>
      </c>
      <c r="H98" s="41">
        <v>108338671.97970842</v>
      </c>
      <c r="I98" s="41">
        <v>0</v>
      </c>
      <c r="J98" s="41">
        <v>5.6991809793378503E-3</v>
      </c>
      <c r="K98" s="41">
        <v>0</v>
      </c>
      <c r="L98" s="41">
        <v>6.6285999999999996</v>
      </c>
      <c r="M98" s="41">
        <v>0</v>
      </c>
      <c r="N98" s="41">
        <v>2.0278039552435439E-3</v>
      </c>
      <c r="O98" s="41">
        <v>108338671.9797</v>
      </c>
      <c r="P98" s="41">
        <v>0</v>
      </c>
      <c r="Q98" s="41">
        <v>6.1999999999999998E-3</v>
      </c>
      <c r="R98" s="41">
        <v>0</v>
      </c>
      <c r="S98" s="41">
        <v>2</v>
      </c>
      <c r="T98" s="100">
        <v>41821</v>
      </c>
      <c r="U98" s="41">
        <v>8288432.589708413</v>
      </c>
      <c r="V98" s="3">
        <f>CurrentMtgRatesDataTable82523[[#This Row],[cum_df_pct]]*100</f>
        <v>0</v>
      </c>
      <c r="W98" s="3">
        <f>CurrentMtgRatesDataTable82523[[#This Row],[pct_dq]]*100</f>
        <v>0.2027803955243544</v>
      </c>
      <c r="X98"/>
    </row>
    <row r="99" spans="3:24">
      <c r="C99" s="41" t="s">
        <v>142</v>
      </c>
      <c r="D99" s="41" t="s">
        <v>153</v>
      </c>
      <c r="E99" s="41">
        <v>18872505590.029999</v>
      </c>
      <c r="F99" s="42">
        <v>41821</v>
      </c>
      <c r="G99" s="41">
        <v>85388</v>
      </c>
      <c r="H99" s="41">
        <v>117449134.02124524</v>
      </c>
      <c r="I99" s="41">
        <v>0</v>
      </c>
      <c r="J99" s="41">
        <v>6.2232931107616936E-3</v>
      </c>
      <c r="K99" s="41">
        <v>0</v>
      </c>
      <c r="L99" s="41">
        <v>7.2175000000000002</v>
      </c>
      <c r="M99" s="41">
        <v>0</v>
      </c>
      <c r="N99" s="41">
        <v>2.346565165856687E-3</v>
      </c>
      <c r="O99" s="41">
        <v>225787806.0009</v>
      </c>
      <c r="P99" s="41">
        <v>0</v>
      </c>
      <c r="Q99" s="41">
        <v>1.2999999999999999E-2</v>
      </c>
      <c r="R99" s="41">
        <v>0</v>
      </c>
      <c r="S99" s="41">
        <v>2</v>
      </c>
      <c r="T99" s="100">
        <v>41852</v>
      </c>
      <c r="U99" s="41">
        <v>7587928.521245244</v>
      </c>
      <c r="V99" s="3">
        <f>CurrentMtgRatesDataTable82523[[#This Row],[cum_df_pct]]*100</f>
        <v>0</v>
      </c>
      <c r="W99" s="3">
        <f>CurrentMtgRatesDataTable82523[[#This Row],[pct_dq]]*100</f>
        <v>0.23465651658566869</v>
      </c>
      <c r="X99"/>
    </row>
    <row r="100" spans="3:24">
      <c r="C100" s="41" t="s">
        <v>142</v>
      </c>
      <c r="D100" s="41" t="s">
        <v>153</v>
      </c>
      <c r="E100" s="41">
        <v>18726075279.77</v>
      </c>
      <c r="F100" s="42">
        <v>41852</v>
      </c>
      <c r="G100" s="41">
        <v>84916</v>
      </c>
      <c r="H100" s="41">
        <v>98563995.121998608</v>
      </c>
      <c r="I100" s="41">
        <v>0</v>
      </c>
      <c r="J100" s="41">
        <v>5.2634625061279364E-3</v>
      </c>
      <c r="K100" s="41">
        <v>0</v>
      </c>
      <c r="L100" s="41">
        <v>6.1364000000000001</v>
      </c>
      <c r="M100" s="41">
        <v>0</v>
      </c>
      <c r="N100" s="41">
        <v>3.163206766235297E-3</v>
      </c>
      <c r="O100" s="41">
        <v>324351801.12290001</v>
      </c>
      <c r="P100" s="41">
        <v>0</v>
      </c>
      <c r="Q100" s="41">
        <v>1.8700000000000001E-2</v>
      </c>
      <c r="R100" s="41">
        <v>0</v>
      </c>
      <c r="S100" s="41">
        <v>2</v>
      </c>
      <c r="T100" s="100">
        <v>41883</v>
      </c>
      <c r="U100" s="41">
        <v>7201287.8719986016</v>
      </c>
      <c r="V100" s="3">
        <f>CurrentMtgRatesDataTable82523[[#This Row],[cum_df_pct]]*100</f>
        <v>0</v>
      </c>
      <c r="W100" s="3">
        <f>CurrentMtgRatesDataTable82523[[#This Row],[pct_dq]]*100</f>
        <v>0.3163206766235297</v>
      </c>
      <c r="X100"/>
    </row>
    <row r="101" spans="3:24">
      <c r="C101" s="41" t="s">
        <v>142</v>
      </c>
      <c r="D101" s="41" t="s">
        <v>153</v>
      </c>
      <c r="E101" s="41">
        <v>18598755669.990002</v>
      </c>
      <c r="F101" s="42">
        <v>41883</v>
      </c>
      <c r="G101" s="41">
        <v>84505</v>
      </c>
      <c r="H101" s="41">
        <v>98506658.585874498</v>
      </c>
      <c r="I101" s="41">
        <v>0</v>
      </c>
      <c r="J101" s="41">
        <v>5.296411240286349E-3</v>
      </c>
      <c r="K101" s="41">
        <v>0</v>
      </c>
      <c r="L101" s="41">
        <v>6.1737000000000002</v>
      </c>
      <c r="M101" s="41">
        <v>0</v>
      </c>
      <c r="N101" s="41">
        <v>2.8536687287977333E-3</v>
      </c>
      <c r="O101" s="41">
        <v>422858459.70880002</v>
      </c>
      <c r="P101" s="41">
        <v>0</v>
      </c>
      <c r="Q101" s="41">
        <v>2.4299999999999999E-2</v>
      </c>
      <c r="R101" s="41">
        <v>0</v>
      </c>
      <c r="S101" s="41">
        <v>2</v>
      </c>
      <c r="T101" s="100">
        <v>41913</v>
      </c>
      <c r="U101" s="41">
        <v>7568757.105874503</v>
      </c>
      <c r="V101" s="3">
        <f>CurrentMtgRatesDataTable82523[[#This Row],[cum_df_pct]]*100</f>
        <v>0</v>
      </c>
      <c r="W101" s="3">
        <f>CurrentMtgRatesDataTable82523[[#This Row],[pct_dq]]*100</f>
        <v>0.2853668728797733</v>
      </c>
      <c r="X101"/>
    </row>
    <row r="102" spans="3:24">
      <c r="C102" s="41" t="s">
        <v>142</v>
      </c>
      <c r="D102" s="41" t="s">
        <v>153</v>
      </c>
      <c r="E102" s="41">
        <v>18471604608.700001</v>
      </c>
      <c r="F102" s="42">
        <v>41913</v>
      </c>
      <c r="G102" s="41">
        <v>84098</v>
      </c>
      <c r="H102" s="41">
        <v>104378210.04342352</v>
      </c>
      <c r="I102" s="41">
        <v>0</v>
      </c>
      <c r="J102" s="41">
        <v>5.6507386474839386E-3</v>
      </c>
      <c r="K102" s="41">
        <v>0</v>
      </c>
      <c r="L102" s="41">
        <v>6.5739999999999998</v>
      </c>
      <c r="M102" s="41">
        <v>0</v>
      </c>
      <c r="N102" s="41">
        <v>2.8893045623585431E-3</v>
      </c>
      <c r="O102" s="41">
        <v>527236669.75220001</v>
      </c>
      <c r="P102" s="41">
        <v>0</v>
      </c>
      <c r="Q102" s="41">
        <v>3.04E-2</v>
      </c>
      <c r="R102" s="41">
        <v>0</v>
      </c>
      <c r="S102" s="41">
        <v>2</v>
      </c>
      <c r="T102" s="100">
        <v>41944</v>
      </c>
      <c r="U102" s="41">
        <v>8761063.8634235244</v>
      </c>
      <c r="V102" s="3">
        <f>CurrentMtgRatesDataTable82523[[#This Row],[cum_df_pct]]*100</f>
        <v>0</v>
      </c>
      <c r="W102" s="3">
        <f>CurrentMtgRatesDataTable82523[[#This Row],[pct_dq]]*100</f>
        <v>0.28893045623585428</v>
      </c>
      <c r="X102"/>
    </row>
    <row r="103" spans="3:24">
      <c r="C103" s="41" t="s">
        <v>142</v>
      </c>
      <c r="D103" s="41" t="s">
        <v>153</v>
      </c>
      <c r="E103" s="41">
        <v>18337431049.060001</v>
      </c>
      <c r="F103" s="42">
        <v>41944</v>
      </c>
      <c r="G103" s="41">
        <v>83681</v>
      </c>
      <c r="H103" s="41">
        <v>98888606.233000815</v>
      </c>
      <c r="I103" s="41">
        <v>1343350.28</v>
      </c>
      <c r="J103" s="41">
        <v>5.3927186402737675E-3</v>
      </c>
      <c r="K103" s="41">
        <v>7.3257277772769691E-5</v>
      </c>
      <c r="L103" s="41">
        <v>6.2827000000000002</v>
      </c>
      <c r="M103" s="41">
        <v>8.7800000000000003E-2</v>
      </c>
      <c r="N103" s="41">
        <v>4.5080761464805939E-3</v>
      </c>
      <c r="O103" s="41">
        <v>626125275.98520005</v>
      </c>
      <c r="P103" s="41">
        <v>1343350.28</v>
      </c>
      <c r="Q103" s="41">
        <v>3.61E-2</v>
      </c>
      <c r="R103" s="41">
        <v>0</v>
      </c>
      <c r="S103" s="41">
        <v>2</v>
      </c>
      <c r="T103" s="100">
        <v>41974</v>
      </c>
      <c r="U103" s="41">
        <v>5085457.4630008116</v>
      </c>
      <c r="V103" s="3">
        <f>CurrentMtgRatesDataTable82523[[#This Row],[cum_df_pct]]*100</f>
        <v>0</v>
      </c>
      <c r="W103" s="3">
        <f>CurrentMtgRatesDataTable82523[[#This Row],[pct_dq]]*100</f>
        <v>0.45080761464805941</v>
      </c>
      <c r="X103"/>
    </row>
    <row r="104" spans="3:24">
      <c r="C104" s="41" t="s">
        <v>142</v>
      </c>
      <c r="D104" s="41" t="s">
        <v>153</v>
      </c>
      <c r="E104" s="41">
        <v>18209432914.700001</v>
      </c>
      <c r="F104" s="42">
        <v>41974</v>
      </c>
      <c r="G104" s="41">
        <v>83286</v>
      </c>
      <c r="H104" s="41">
        <v>111818922.12520769</v>
      </c>
      <c r="I104" s="41">
        <v>668160.39</v>
      </c>
      <c r="J104" s="41">
        <v>6.1407141369536657E-3</v>
      </c>
      <c r="K104" s="41">
        <v>3.6693091604220773E-5</v>
      </c>
      <c r="L104" s="41">
        <v>7.125</v>
      </c>
      <c r="M104" s="41">
        <v>4.3999999999999997E-2</v>
      </c>
      <c r="N104" s="41">
        <v>3.8986259606519761E-3</v>
      </c>
      <c r="O104" s="41">
        <v>737944198.11039996</v>
      </c>
      <c r="P104" s="41">
        <v>2011510.67</v>
      </c>
      <c r="Q104" s="41">
        <v>4.2500000000000003E-2</v>
      </c>
      <c r="R104" s="41">
        <v>1E-4</v>
      </c>
      <c r="S104" s="41">
        <v>2</v>
      </c>
      <c r="T104" s="100">
        <v>42005</v>
      </c>
      <c r="U104" s="41">
        <v>9559673.0552076902</v>
      </c>
      <c r="V104" s="3">
        <f>CurrentMtgRatesDataTable82523[[#This Row],[cum_df_pct]]*100</f>
        <v>0.01</v>
      </c>
      <c r="W104" s="3">
        <f>CurrentMtgRatesDataTable82523[[#This Row],[pct_dq]]*100</f>
        <v>0.38986259606519763</v>
      </c>
      <c r="X104"/>
    </row>
    <row r="105" spans="3:24">
      <c r="C105" s="41" t="s">
        <v>142</v>
      </c>
      <c r="D105" s="41" t="s">
        <v>153</v>
      </c>
      <c r="E105" s="41">
        <v>18066921542.220001</v>
      </c>
      <c r="F105" s="42">
        <v>42005</v>
      </c>
      <c r="G105" s="41">
        <v>82852</v>
      </c>
      <c r="H105" s="41">
        <v>97814919.138011202</v>
      </c>
      <c r="I105" s="41">
        <v>1328824.8400000001</v>
      </c>
      <c r="J105" s="41">
        <v>5.4140335368939698E-3</v>
      </c>
      <c r="K105" s="41">
        <v>7.3550152796906352E-5</v>
      </c>
      <c r="L105" s="41">
        <v>6.3068</v>
      </c>
      <c r="M105" s="41">
        <v>8.8200000000000001E-2</v>
      </c>
      <c r="N105" s="41">
        <v>3.8818321099202786E-3</v>
      </c>
      <c r="O105" s="41">
        <v>835759117.24839997</v>
      </c>
      <c r="P105" s="41">
        <v>3340335.51</v>
      </c>
      <c r="Q105" s="41">
        <v>4.8099999999999997E-2</v>
      </c>
      <c r="R105" s="41">
        <v>1E-4</v>
      </c>
      <c r="S105" s="41">
        <v>2</v>
      </c>
      <c r="T105" s="100">
        <v>42036</v>
      </c>
      <c r="U105" s="41">
        <v>7214756.5280112056</v>
      </c>
      <c r="V105" s="3">
        <f>CurrentMtgRatesDataTable82523[[#This Row],[cum_df_pct]]*100</f>
        <v>0.01</v>
      </c>
      <c r="W105" s="3">
        <f>CurrentMtgRatesDataTable82523[[#This Row],[pct_dq]]*100</f>
        <v>0.38818321099202785</v>
      </c>
      <c r="X105"/>
    </row>
    <row r="106" spans="3:24">
      <c r="C106" s="41" t="s">
        <v>142</v>
      </c>
      <c r="D106" s="41" t="s">
        <v>153</v>
      </c>
      <c r="E106" s="41">
        <v>17939471570.869999</v>
      </c>
      <c r="F106" s="42">
        <v>42036</v>
      </c>
      <c r="G106" s="41">
        <v>82485</v>
      </c>
      <c r="H106" s="41">
        <v>161109887.67789453</v>
      </c>
      <c r="I106" s="41">
        <v>1701390.72</v>
      </c>
      <c r="J106" s="41">
        <v>8.9807487941564422E-3</v>
      </c>
      <c r="K106" s="41">
        <v>9.4840626340561074E-5</v>
      </c>
      <c r="L106" s="41">
        <v>10.260199999999999</v>
      </c>
      <c r="M106" s="41">
        <v>0.1137</v>
      </c>
      <c r="N106" s="41">
        <v>4.7895038457831862E-3</v>
      </c>
      <c r="O106" s="41">
        <v>996869004.92630005</v>
      </c>
      <c r="P106" s="41">
        <v>5041726.2300000004</v>
      </c>
      <c r="Q106" s="41">
        <v>5.74E-2</v>
      </c>
      <c r="R106" s="41">
        <v>2.0000000000000001E-4</v>
      </c>
      <c r="S106" s="41">
        <v>2</v>
      </c>
      <c r="T106" s="100">
        <v>42064</v>
      </c>
      <c r="U106" s="41">
        <v>6531926.307894541</v>
      </c>
      <c r="V106" s="3">
        <f>CurrentMtgRatesDataTable82523[[#This Row],[cum_df_pct]]*100</f>
        <v>0.02</v>
      </c>
      <c r="W106" s="3">
        <f>CurrentMtgRatesDataTable82523[[#This Row],[pct_dq]]*100</f>
        <v>0.47895038457831862</v>
      </c>
      <c r="X106"/>
    </row>
    <row r="107" spans="3:24">
      <c r="C107" s="41" t="s">
        <v>142</v>
      </c>
      <c r="D107" s="41" t="s">
        <v>153</v>
      </c>
      <c r="E107" s="41">
        <v>17748114215.599998</v>
      </c>
      <c r="F107" s="42">
        <v>42064</v>
      </c>
      <c r="G107" s="41">
        <v>81889</v>
      </c>
      <c r="H107" s="41">
        <v>191804093.71033198</v>
      </c>
      <c r="I107" s="41">
        <v>1522877.3</v>
      </c>
      <c r="J107" s="41">
        <v>1.0807012586257901E-2</v>
      </c>
      <c r="K107" s="41">
        <v>8.5805020268657151E-5</v>
      </c>
      <c r="L107" s="41">
        <v>12.224600000000001</v>
      </c>
      <c r="M107" s="41">
        <v>0.10290000000000001</v>
      </c>
      <c r="N107" s="41">
        <v>3.1914942045061152E-3</v>
      </c>
      <c r="O107" s="41">
        <v>1188673098.6366</v>
      </c>
      <c r="P107" s="41">
        <v>6564603.5300000003</v>
      </c>
      <c r="Q107" s="41">
        <v>6.8500000000000005E-2</v>
      </c>
      <c r="R107" s="41">
        <v>2.9999999999999997E-4</v>
      </c>
      <c r="S107" s="41">
        <v>2</v>
      </c>
      <c r="T107" s="100">
        <v>42095</v>
      </c>
      <c r="U107" s="41">
        <v>8881230.8303319626</v>
      </c>
      <c r="V107" s="3">
        <f>CurrentMtgRatesDataTable82523[[#This Row],[cum_df_pct]]*100</f>
        <v>0.03</v>
      </c>
      <c r="W107" s="3">
        <f>CurrentMtgRatesDataTable82523[[#This Row],[pct_dq]]*100</f>
        <v>0.31914942045061151</v>
      </c>
      <c r="X107"/>
    </row>
    <row r="108" spans="3:24">
      <c r="C108" s="41" t="s">
        <v>142</v>
      </c>
      <c r="D108" s="41" t="s">
        <v>153</v>
      </c>
      <c r="E108" s="41">
        <v>17526098496.200001</v>
      </c>
      <c r="F108" s="42">
        <v>42095</v>
      </c>
      <c r="G108" s="41">
        <v>81159</v>
      </c>
      <c r="H108" s="41">
        <v>180978186.43728969</v>
      </c>
      <c r="I108" s="41">
        <v>578094.54</v>
      </c>
      <c r="J108" s="41">
        <v>1.032621073518041E-2</v>
      </c>
      <c r="K108" s="41">
        <v>3.29847821022655E-5</v>
      </c>
      <c r="L108" s="41">
        <v>11.7113</v>
      </c>
      <c r="M108" s="41">
        <v>3.95E-2</v>
      </c>
      <c r="N108" s="41">
        <v>3.304409769382316E-3</v>
      </c>
      <c r="O108" s="41">
        <v>1369651285.0739</v>
      </c>
      <c r="P108" s="41">
        <v>7142698.0700000003</v>
      </c>
      <c r="Q108" s="41">
        <v>7.8899999999999998E-2</v>
      </c>
      <c r="R108" s="41">
        <v>4.0000000000000002E-4</v>
      </c>
      <c r="S108" s="41">
        <v>2</v>
      </c>
      <c r="T108" s="100">
        <v>42125</v>
      </c>
      <c r="U108" s="41">
        <v>8286399.8072896907</v>
      </c>
      <c r="V108" s="3">
        <f>CurrentMtgRatesDataTable82523[[#This Row],[cum_df_pct]]*100</f>
        <v>0.04</v>
      </c>
      <c r="W108" s="3">
        <f>CurrentMtgRatesDataTable82523[[#This Row],[pct_dq]]*100</f>
        <v>0.3304409769382316</v>
      </c>
      <c r="X108"/>
    </row>
    <row r="109" spans="3:24">
      <c r="C109" s="41" t="s">
        <v>142</v>
      </c>
      <c r="D109" s="41" t="s">
        <v>153</v>
      </c>
      <c r="E109" s="41">
        <v>17316499356.259998</v>
      </c>
      <c r="F109" s="42">
        <v>42125</v>
      </c>
      <c r="G109" s="41">
        <v>80447</v>
      </c>
      <c r="H109" s="41">
        <v>210310858.19399664</v>
      </c>
      <c r="I109" s="41">
        <v>1176150.69</v>
      </c>
      <c r="J109" s="41">
        <v>1.2145113967158047E-2</v>
      </c>
      <c r="K109" s="41">
        <v>6.7920811579900289E-5</v>
      </c>
      <c r="L109" s="41">
        <v>13.6389</v>
      </c>
      <c r="M109" s="41">
        <v>8.14E-2</v>
      </c>
      <c r="N109" s="41">
        <v>4.7528073068791137E-3</v>
      </c>
      <c r="O109" s="41">
        <v>1579962143.2679</v>
      </c>
      <c r="P109" s="41">
        <v>8318848.7599999998</v>
      </c>
      <c r="Q109" s="41">
        <v>9.11E-2</v>
      </c>
      <c r="R109" s="41">
        <v>4.0000000000000002E-4</v>
      </c>
      <c r="S109" s="41">
        <v>2</v>
      </c>
      <c r="T109" s="100">
        <v>42156</v>
      </c>
      <c r="U109" s="41">
        <v>6951754.4539966509</v>
      </c>
      <c r="V109" s="3">
        <f>CurrentMtgRatesDataTable82523[[#This Row],[cum_df_pct]]*100</f>
        <v>0.04</v>
      </c>
      <c r="W109" s="3">
        <f>CurrentMtgRatesDataTable82523[[#This Row],[pct_dq]]*100</f>
        <v>0.47528073068791138</v>
      </c>
      <c r="X109"/>
    </row>
    <row r="110" spans="3:24">
      <c r="C110" s="41" t="s">
        <v>142</v>
      </c>
      <c r="D110" s="41" t="s">
        <v>153</v>
      </c>
      <c r="E110" s="41">
        <v>17076873749.98</v>
      </c>
      <c r="F110" s="42">
        <v>42156</v>
      </c>
      <c r="G110" s="41">
        <v>79578</v>
      </c>
      <c r="H110" s="41">
        <v>207515090.5588398</v>
      </c>
      <c r="I110" s="41">
        <v>1925334.44</v>
      </c>
      <c r="J110" s="41">
        <v>1.2151819682984002E-2</v>
      </c>
      <c r="K110" s="41">
        <v>1.1274513521552825E-4</v>
      </c>
      <c r="L110" s="41">
        <v>13.646000000000001</v>
      </c>
      <c r="M110" s="41">
        <v>0.13519999999999999</v>
      </c>
      <c r="N110" s="41">
        <v>4.5705999571550044E-3</v>
      </c>
      <c r="O110" s="41">
        <v>1787477233.8268001</v>
      </c>
      <c r="P110" s="41">
        <v>10244183.199999999</v>
      </c>
      <c r="Q110" s="41">
        <v>0.10299999999999999</v>
      </c>
      <c r="R110" s="41">
        <v>5.0000000000000001E-4</v>
      </c>
      <c r="S110" s="41">
        <v>2</v>
      </c>
      <c r="T110" s="100">
        <v>42186</v>
      </c>
      <c r="U110" s="41">
        <v>7467619.9788397979</v>
      </c>
      <c r="V110" s="3">
        <f>CurrentMtgRatesDataTable82523[[#This Row],[cum_df_pct]]*100</f>
        <v>0.05</v>
      </c>
      <c r="W110" s="3">
        <f>CurrentMtgRatesDataTable82523[[#This Row],[pct_dq]]*100</f>
        <v>0.45705999571550043</v>
      </c>
      <c r="X110"/>
    </row>
    <row r="111" spans="3:24">
      <c r="C111" s="41" t="s">
        <v>142</v>
      </c>
      <c r="D111" s="41" t="s">
        <v>153</v>
      </c>
      <c r="E111" s="41">
        <v>16839120604.129999</v>
      </c>
      <c r="F111" s="42">
        <v>42186</v>
      </c>
      <c r="G111" s="41">
        <v>78672</v>
      </c>
      <c r="H111" s="41">
        <v>200022739.30610654</v>
      </c>
      <c r="I111" s="41">
        <v>1239809.68</v>
      </c>
      <c r="J111" s="41">
        <v>1.1878455176397306E-2</v>
      </c>
      <c r="K111" s="41">
        <v>7.3626747449977972E-5</v>
      </c>
      <c r="L111" s="41">
        <v>13.3588</v>
      </c>
      <c r="M111" s="41">
        <v>8.8300000000000003E-2</v>
      </c>
      <c r="N111" s="41">
        <v>4.4455584243300594E-3</v>
      </c>
      <c r="O111" s="41">
        <v>1987499973.1329</v>
      </c>
      <c r="P111" s="41">
        <v>11483992.880000001</v>
      </c>
      <c r="Q111" s="41">
        <v>0.11459999999999999</v>
      </c>
      <c r="R111" s="41">
        <v>5.9999999999999995E-4</v>
      </c>
      <c r="S111" s="41">
        <v>2</v>
      </c>
      <c r="T111" s="100">
        <v>42217</v>
      </c>
      <c r="U111" s="41">
        <v>8003529.6561065409</v>
      </c>
      <c r="V111" s="3">
        <f>CurrentMtgRatesDataTable82523[[#This Row],[cum_df_pct]]*100</f>
        <v>0.06</v>
      </c>
      <c r="W111" s="3">
        <f>CurrentMtgRatesDataTable82523[[#This Row],[pct_dq]]*100</f>
        <v>0.44455584243300594</v>
      </c>
      <c r="X111"/>
    </row>
    <row r="112" spans="3:24">
      <c r="C112" s="41" t="s">
        <v>142</v>
      </c>
      <c r="D112" s="41" t="s">
        <v>153</v>
      </c>
      <c r="E112" s="41">
        <v>16609979568.030001</v>
      </c>
      <c r="F112" s="42">
        <v>42217</v>
      </c>
      <c r="G112" s="41">
        <v>77805</v>
      </c>
      <c r="H112" s="41">
        <v>158414515.28774077</v>
      </c>
      <c r="I112" s="41">
        <v>1665513.43</v>
      </c>
      <c r="J112" s="41">
        <v>9.5373094613944356E-3</v>
      </c>
      <c r="K112" s="41">
        <v>1.0027185302537584E-4</v>
      </c>
      <c r="L112" s="41">
        <v>10.863099999999999</v>
      </c>
      <c r="M112" s="41">
        <v>0.1202</v>
      </c>
      <c r="N112" s="41">
        <v>4.5551493733097734E-3</v>
      </c>
      <c r="O112" s="41">
        <v>2145914488.4205999</v>
      </c>
      <c r="P112" s="41">
        <v>13149506.310000001</v>
      </c>
      <c r="Q112" s="41">
        <v>0.1237</v>
      </c>
      <c r="R112" s="41">
        <v>6.9999999999999999E-4</v>
      </c>
      <c r="S112" s="41">
        <v>2</v>
      </c>
      <c r="T112" s="100">
        <v>42248</v>
      </c>
      <c r="U112" s="41">
        <v>6639093.7377407728</v>
      </c>
      <c r="V112" s="3">
        <f>CurrentMtgRatesDataTable82523[[#This Row],[cum_df_pct]]*100</f>
        <v>6.9999999999999993E-2</v>
      </c>
      <c r="W112" s="3">
        <f>CurrentMtgRatesDataTable82523[[#This Row],[pct_dq]]*100</f>
        <v>0.45551493733097737</v>
      </c>
      <c r="X112"/>
    </row>
    <row r="113" spans="3:24">
      <c r="C113" s="41" t="s">
        <v>157</v>
      </c>
      <c r="D113" s="41" t="s">
        <v>161</v>
      </c>
      <c r="E113" s="41">
        <v>35527112178.290001</v>
      </c>
      <c r="F113" s="42">
        <v>41944</v>
      </c>
      <c r="G113" s="41">
        <v>153851</v>
      </c>
      <c r="H113" s="41">
        <v>306544686.31436342</v>
      </c>
      <c r="I113" s="41">
        <v>0</v>
      </c>
      <c r="J113" s="41">
        <v>8.6284718210698687E-3</v>
      </c>
      <c r="K113" s="41">
        <v>0</v>
      </c>
      <c r="L113" s="41">
        <v>9.8765999999999998</v>
      </c>
      <c r="M113" s="41">
        <v>0</v>
      </c>
      <c r="N113" s="41">
        <v>3.0018273591955404E-3</v>
      </c>
      <c r="O113" s="41">
        <v>306544686.3143</v>
      </c>
      <c r="P113" s="41">
        <v>0</v>
      </c>
      <c r="Q113" s="41">
        <v>9.4000000000000004E-3</v>
      </c>
      <c r="R113" s="41">
        <v>0</v>
      </c>
      <c r="S113" s="41">
        <v>1</v>
      </c>
      <c r="T113" s="100">
        <v>41974</v>
      </c>
      <c r="U113" s="41">
        <v>15567743.974363448</v>
      </c>
      <c r="V113" s="3">
        <f>CurrentMtgRatesDataTable82523[[#This Row],[cum_df_pct]]*100</f>
        <v>0</v>
      </c>
      <c r="W113" s="3">
        <f>CurrentMtgRatesDataTable82523[[#This Row],[pct_dq]]*100</f>
        <v>0.30018273591955402</v>
      </c>
      <c r="X113"/>
    </row>
    <row r="114" spans="3:24">
      <c r="C114" s="41" t="s">
        <v>157</v>
      </c>
      <c r="D114" s="41" t="s">
        <v>161</v>
      </c>
      <c r="E114" s="41">
        <v>35170867236.010002</v>
      </c>
      <c r="F114" s="42">
        <v>41974</v>
      </c>
      <c r="G114" s="41">
        <v>152774</v>
      </c>
      <c r="H114" s="41">
        <v>365006129.36474377</v>
      </c>
      <c r="I114" s="41">
        <v>0</v>
      </c>
      <c r="J114" s="41">
        <v>1.0378081578580724E-2</v>
      </c>
      <c r="K114" s="41">
        <v>0</v>
      </c>
      <c r="L114" s="41">
        <v>11.7668</v>
      </c>
      <c r="M114" s="41">
        <v>0</v>
      </c>
      <c r="N114" s="41">
        <v>2.1421870499928942E-3</v>
      </c>
      <c r="O114" s="41">
        <v>671550815.67910004</v>
      </c>
      <c r="P114" s="41">
        <v>0</v>
      </c>
      <c r="Q114" s="41">
        <v>2.06E-2</v>
      </c>
      <c r="R114" s="41">
        <v>0</v>
      </c>
      <c r="S114" s="41">
        <v>1</v>
      </c>
      <c r="T114" s="100">
        <v>42005</v>
      </c>
      <c r="U114" s="41">
        <v>23729612.874743756</v>
      </c>
      <c r="V114" s="3">
        <f>CurrentMtgRatesDataTable82523[[#This Row],[cum_df_pct]]*100</f>
        <v>0</v>
      </c>
      <c r="W114" s="3">
        <f>CurrentMtgRatesDataTable82523[[#This Row],[pct_dq]]*100</f>
        <v>0.21421870499928941</v>
      </c>
      <c r="X114"/>
    </row>
    <row r="115" spans="3:24">
      <c r="C115" s="41" t="s">
        <v>157</v>
      </c>
      <c r="D115" s="41" t="s">
        <v>161</v>
      </c>
      <c r="E115" s="41">
        <v>34751762988</v>
      </c>
      <c r="F115" s="42">
        <v>42005</v>
      </c>
      <c r="G115" s="41">
        <v>151519</v>
      </c>
      <c r="H115" s="41">
        <v>302914339.08878326</v>
      </c>
      <c r="I115" s="41">
        <v>0</v>
      </c>
      <c r="J115" s="41">
        <v>8.7165171790962517E-3</v>
      </c>
      <c r="K115" s="41">
        <v>0</v>
      </c>
      <c r="L115" s="41">
        <v>9.9725999999999999</v>
      </c>
      <c r="M115" s="41">
        <v>0</v>
      </c>
      <c r="N115" s="41">
        <v>2.587940120363254E-3</v>
      </c>
      <c r="O115" s="41">
        <v>974465154.76779997</v>
      </c>
      <c r="P115" s="41">
        <v>0</v>
      </c>
      <c r="Q115" s="41">
        <v>2.9899999999999999E-2</v>
      </c>
      <c r="R115" s="41">
        <v>0</v>
      </c>
      <c r="S115" s="41">
        <v>1</v>
      </c>
      <c r="T115" s="100">
        <v>42036</v>
      </c>
      <c r="U115" s="41">
        <v>19861083.008783266</v>
      </c>
      <c r="V115" s="3">
        <f>CurrentMtgRatesDataTable82523[[#This Row],[cum_df_pct]]*100</f>
        <v>0</v>
      </c>
      <c r="W115" s="3">
        <f>CurrentMtgRatesDataTable82523[[#This Row],[pct_dq]]*100</f>
        <v>0.2587940120363254</v>
      </c>
      <c r="X115"/>
    </row>
    <row r="116" spans="3:24">
      <c r="C116" s="41" t="s">
        <v>157</v>
      </c>
      <c r="D116" s="41" t="s">
        <v>161</v>
      </c>
      <c r="E116" s="41">
        <v>34395371767.400002</v>
      </c>
      <c r="F116" s="42">
        <v>42036</v>
      </c>
      <c r="G116" s="41">
        <v>150483</v>
      </c>
      <c r="H116" s="41">
        <v>553509051.64551353</v>
      </c>
      <c r="I116" s="41">
        <v>0</v>
      </c>
      <c r="J116" s="41">
        <v>1.609254452571815E-2</v>
      </c>
      <c r="K116" s="41">
        <v>0</v>
      </c>
      <c r="L116" s="41">
        <v>17.690300000000001</v>
      </c>
      <c r="M116" s="41">
        <v>0</v>
      </c>
      <c r="N116" s="41">
        <v>3.6591657761725024E-3</v>
      </c>
      <c r="O116" s="41">
        <v>1527974206.4133999</v>
      </c>
      <c r="P116" s="41">
        <v>0</v>
      </c>
      <c r="Q116" s="41">
        <v>4.7E-2</v>
      </c>
      <c r="R116" s="41">
        <v>0</v>
      </c>
      <c r="S116" s="41">
        <v>1</v>
      </c>
      <c r="T116" s="100">
        <v>42064</v>
      </c>
      <c r="U116" s="41">
        <v>16534048.475513533</v>
      </c>
      <c r="V116" s="3">
        <f>CurrentMtgRatesDataTable82523[[#This Row],[cum_df_pct]]*100</f>
        <v>0</v>
      </c>
      <c r="W116" s="3">
        <f>CurrentMtgRatesDataTable82523[[#This Row],[pct_dq]]*100</f>
        <v>0.36591657761725022</v>
      </c>
      <c r="X116"/>
    </row>
    <row r="117" spans="3:24">
      <c r="C117" s="41" t="s">
        <v>157</v>
      </c>
      <c r="D117" s="41" t="s">
        <v>161</v>
      </c>
      <c r="E117" s="41">
        <v>33790068518.200001</v>
      </c>
      <c r="F117" s="42">
        <v>42064</v>
      </c>
      <c r="G117" s="41">
        <v>148610</v>
      </c>
      <c r="H117" s="41">
        <v>621169553.59032929</v>
      </c>
      <c r="I117" s="41">
        <v>460223.59</v>
      </c>
      <c r="J117" s="41">
        <v>1.8383198993981179E-2</v>
      </c>
      <c r="K117" s="41">
        <v>1.362008454502288E-5</v>
      </c>
      <c r="L117" s="41">
        <v>19.960599999999999</v>
      </c>
      <c r="M117" s="41">
        <v>1.6299999999999999E-2</v>
      </c>
      <c r="N117" s="41">
        <v>2.411435640508153E-3</v>
      </c>
      <c r="O117" s="41">
        <v>2149143760.0036998</v>
      </c>
      <c r="P117" s="41">
        <v>460223.59</v>
      </c>
      <c r="Q117" s="41">
        <v>6.6100000000000006E-2</v>
      </c>
      <c r="R117" s="41">
        <v>0</v>
      </c>
      <c r="S117" s="41">
        <v>1</v>
      </c>
      <c r="T117" s="100">
        <v>42095</v>
      </c>
      <c r="U117" s="41">
        <v>20686605.570329297</v>
      </c>
      <c r="V117" s="3">
        <f>CurrentMtgRatesDataTable82523[[#This Row],[cum_df_pct]]*100</f>
        <v>0</v>
      </c>
      <c r="W117" s="3">
        <f>CurrentMtgRatesDataTable82523[[#This Row],[pct_dq]]*100</f>
        <v>0.2411435640508153</v>
      </c>
      <c r="X117"/>
    </row>
    <row r="118" spans="3:24">
      <c r="C118" s="41" t="s">
        <v>157</v>
      </c>
      <c r="D118" s="41" t="s">
        <v>161</v>
      </c>
      <c r="E118" s="41">
        <v>33116529300.200001</v>
      </c>
      <c r="F118" s="42">
        <v>42095</v>
      </c>
      <c r="G118" s="41">
        <v>146454</v>
      </c>
      <c r="H118" s="41">
        <v>472872041.15099728</v>
      </c>
      <c r="I118" s="41">
        <v>1134193.8700000001</v>
      </c>
      <c r="J118" s="41">
        <v>1.4279033798029719E-2</v>
      </c>
      <c r="K118" s="41">
        <v>3.4248572962419414E-5</v>
      </c>
      <c r="L118" s="41">
        <v>15.851100000000001</v>
      </c>
      <c r="M118" s="41">
        <v>4.1000000000000002E-2</v>
      </c>
      <c r="N118" s="41">
        <v>2.6410684425034778E-3</v>
      </c>
      <c r="O118" s="41">
        <v>2622015801.1546998</v>
      </c>
      <c r="P118" s="41">
        <v>1594417.46</v>
      </c>
      <c r="Q118" s="41">
        <v>8.0600000000000005E-2</v>
      </c>
      <c r="R118" s="41">
        <v>0</v>
      </c>
      <c r="S118" s="41">
        <v>1</v>
      </c>
      <c r="T118" s="100">
        <v>42125</v>
      </c>
      <c r="U118" s="41">
        <v>18148507.500997275</v>
      </c>
      <c r="V118" s="3">
        <f>CurrentMtgRatesDataTable82523[[#This Row],[cum_df_pct]]*100</f>
        <v>0</v>
      </c>
      <c r="W118" s="3">
        <f>CurrentMtgRatesDataTable82523[[#This Row],[pct_dq]]*100</f>
        <v>0.26410684425034775</v>
      </c>
      <c r="X118"/>
    </row>
    <row r="119" spans="3:24">
      <c r="C119" s="3" t="s">
        <v>157</v>
      </c>
      <c r="D119" s="3" t="s">
        <v>161</v>
      </c>
      <c r="E119" s="3">
        <v>32591728032.889999</v>
      </c>
      <c r="F119" s="100">
        <v>42125</v>
      </c>
      <c r="G119" s="3">
        <v>144746</v>
      </c>
      <c r="H119" s="3">
        <v>403583037.64766067</v>
      </c>
      <c r="I119" s="3">
        <v>945723.28</v>
      </c>
      <c r="J119" s="3">
        <v>1.2382989856824534E-2</v>
      </c>
      <c r="K119" s="3">
        <v>2.9017279447276368E-5</v>
      </c>
      <c r="L119" s="3">
        <v>13.8881</v>
      </c>
      <c r="M119" s="3">
        <v>3.4799999999999998E-2</v>
      </c>
      <c r="N119" s="3">
        <v>3.1398920811050259E-3</v>
      </c>
      <c r="O119" s="3">
        <v>3025598838.8023</v>
      </c>
      <c r="P119" s="3">
        <v>2540140.7400000002</v>
      </c>
      <c r="Q119" s="3">
        <v>9.3100000000000002E-2</v>
      </c>
      <c r="R119" s="3">
        <v>0</v>
      </c>
      <c r="S119" s="3">
        <v>1</v>
      </c>
      <c r="T119" s="100">
        <v>42156</v>
      </c>
      <c r="U119" s="3">
        <v>17283960.147660669</v>
      </c>
      <c r="V119" s="96">
        <f>CurrentMtgRatesDataTable82523[[#This Row],[cum_df_pct]]*100</f>
        <v>0</v>
      </c>
      <c r="W119" s="96">
        <f>CurrentMtgRatesDataTable82523[[#This Row],[pct_dq]]*100</f>
        <v>0.31398920811050257</v>
      </c>
      <c r="X119"/>
    </row>
    <row r="120" spans="3:24">
      <c r="C120" s="3" t="s">
        <v>157</v>
      </c>
      <c r="D120" s="3" t="s">
        <v>161</v>
      </c>
      <c r="E120" s="3">
        <v>32136335636.279999</v>
      </c>
      <c r="F120" s="100">
        <v>42156</v>
      </c>
      <c r="G120" s="3">
        <v>143199</v>
      </c>
      <c r="H120" s="3">
        <v>422292042.13783801</v>
      </c>
      <c r="I120" s="3">
        <v>433689.45</v>
      </c>
      <c r="J120" s="3">
        <v>1.3140640766182925E-2</v>
      </c>
      <c r="K120" s="3">
        <v>1.3495298745585374E-5</v>
      </c>
      <c r="L120" s="3">
        <v>14.6775</v>
      </c>
      <c r="M120" s="3">
        <v>1.61E-2</v>
      </c>
      <c r="N120" s="3">
        <v>2.931828874217795E-3</v>
      </c>
      <c r="O120" s="3">
        <v>3447890880.9401999</v>
      </c>
      <c r="P120" s="3">
        <v>2973830.19</v>
      </c>
      <c r="Q120" s="3">
        <v>0.106</v>
      </c>
      <c r="R120" s="3">
        <v>0</v>
      </c>
      <c r="S120" s="3">
        <v>1</v>
      </c>
      <c r="T120" s="100">
        <v>42186</v>
      </c>
      <c r="U120" s="3">
        <v>20864405.317838024</v>
      </c>
      <c r="V120" s="96">
        <f>CurrentMtgRatesDataTable82523[[#This Row],[cum_df_pct]]*100</f>
        <v>0</v>
      </c>
      <c r="W120" s="96">
        <f>CurrentMtgRatesDataTable82523[[#This Row],[pct_dq]]*100</f>
        <v>0.2931828874217795</v>
      </c>
      <c r="X120"/>
    </row>
    <row r="121" spans="3:24">
      <c r="C121" s="3" t="s">
        <v>157</v>
      </c>
      <c r="D121" s="3" t="s">
        <v>161</v>
      </c>
      <c r="E121" s="3">
        <v>31662447939.110001</v>
      </c>
      <c r="F121" s="100">
        <v>42186</v>
      </c>
      <c r="G121" s="3">
        <v>141560</v>
      </c>
      <c r="H121" s="3">
        <v>363989634.88820261</v>
      </c>
      <c r="I121" s="3">
        <v>855982.24</v>
      </c>
      <c r="J121" s="3">
        <v>1.1495941046257398E-2</v>
      </c>
      <c r="K121" s="3">
        <v>2.7034619737745421E-5</v>
      </c>
      <c r="L121" s="3">
        <v>12.955399999999999</v>
      </c>
      <c r="M121" s="3">
        <v>3.2399999999999998E-2</v>
      </c>
      <c r="N121" s="3">
        <v>2.9470062295702216E-3</v>
      </c>
      <c r="O121" s="3">
        <v>3811880515.8284001</v>
      </c>
      <c r="P121" s="3">
        <v>3829812.43</v>
      </c>
      <c r="Q121" s="3">
        <v>0.1173</v>
      </c>
      <c r="R121" s="3">
        <v>1E-4</v>
      </c>
      <c r="S121" s="3">
        <v>1</v>
      </c>
      <c r="T121" s="100">
        <v>42217</v>
      </c>
      <c r="U121" s="3">
        <v>21048220.438202631</v>
      </c>
      <c r="V121" s="96">
        <f>CurrentMtgRatesDataTable82523[[#This Row],[cum_df_pct]]*100</f>
        <v>0.01</v>
      </c>
      <c r="W121" s="96">
        <f>CurrentMtgRatesDataTable82523[[#This Row],[pct_dq]]*100</f>
        <v>0.29470062295702215</v>
      </c>
      <c r="X121"/>
    </row>
    <row r="122" spans="3:24">
      <c r="C122" s="3" t="s">
        <v>157</v>
      </c>
      <c r="D122" s="3" t="s">
        <v>161</v>
      </c>
      <c r="E122" s="3">
        <v>31247000290.34</v>
      </c>
      <c r="F122" s="100">
        <v>42217</v>
      </c>
      <c r="G122" s="3">
        <v>140101</v>
      </c>
      <c r="H122" s="3">
        <v>297010875.89867163</v>
      </c>
      <c r="I122" s="3">
        <v>977651.24</v>
      </c>
      <c r="J122" s="3">
        <v>9.5052604454480202E-3</v>
      </c>
      <c r="K122" s="3">
        <v>3.1287843022238538E-5</v>
      </c>
      <c r="L122" s="3">
        <v>10.8284</v>
      </c>
      <c r="M122" s="3">
        <v>3.7499999999999999E-2</v>
      </c>
      <c r="N122" s="3">
        <v>3.3519594689663678E-3</v>
      </c>
      <c r="O122" s="3">
        <v>4108891391.7270999</v>
      </c>
      <c r="P122" s="3">
        <v>4807463.67</v>
      </c>
      <c r="Q122" s="3">
        <v>0.12640000000000001</v>
      </c>
      <c r="R122" s="3">
        <v>1E-4</v>
      </c>
      <c r="S122" s="3">
        <v>1</v>
      </c>
      <c r="T122" s="100">
        <v>42248</v>
      </c>
      <c r="U122" s="3">
        <v>16885692.598671608</v>
      </c>
      <c r="V122" s="96">
        <f>CurrentMtgRatesDataTable82523[[#This Row],[cum_df_pct]]*100</f>
        <v>0.01</v>
      </c>
      <c r="W122" s="96">
        <f>CurrentMtgRatesDataTable82523[[#This Row],[pct_dq]]*100</f>
        <v>0.33519594689663679</v>
      </c>
      <c r="X122"/>
    </row>
    <row r="123" spans="3:24">
      <c r="C123" s="3" t="s">
        <v>157</v>
      </c>
      <c r="D123" s="3" t="s">
        <v>168</v>
      </c>
      <c r="E123" s="3">
        <v>17873514986.919998</v>
      </c>
      <c r="F123" s="100">
        <v>41944</v>
      </c>
      <c r="G123" s="3">
        <v>80187</v>
      </c>
      <c r="H123" s="3">
        <v>149128192.89470837</v>
      </c>
      <c r="I123" s="3">
        <v>0</v>
      </c>
      <c r="J123" s="3">
        <v>8.3435291269703653E-3</v>
      </c>
      <c r="K123" s="3">
        <v>0</v>
      </c>
      <c r="L123" s="3">
        <v>9.5653000000000006</v>
      </c>
      <c r="M123" s="3">
        <v>0</v>
      </c>
      <c r="N123" s="3">
        <v>3.2164451056253401E-3</v>
      </c>
      <c r="O123" s="3">
        <v>149128192.89469999</v>
      </c>
      <c r="P123" s="3">
        <v>0</v>
      </c>
      <c r="Q123" s="3">
        <v>9.1000000000000004E-3</v>
      </c>
      <c r="R123" s="3">
        <v>0</v>
      </c>
      <c r="S123" s="3">
        <v>2</v>
      </c>
      <c r="T123" s="100">
        <v>41974</v>
      </c>
      <c r="U123" s="3">
        <v>4688802.0847083759</v>
      </c>
      <c r="V123" s="96">
        <f>CurrentMtgRatesDataTable82523[[#This Row],[cum_df_pct]]*100</f>
        <v>0</v>
      </c>
      <c r="W123" s="96">
        <f>CurrentMtgRatesDataTable82523[[#This Row],[pct_dq]]*100</f>
        <v>0.32164451056253401</v>
      </c>
      <c r="X123"/>
    </row>
    <row r="124" spans="3:24">
      <c r="C124" s="3" t="s">
        <v>157</v>
      </c>
      <c r="D124" s="3" t="s">
        <v>168</v>
      </c>
      <c r="E124" s="3">
        <v>17699821725.32</v>
      </c>
      <c r="F124" s="100">
        <v>41974</v>
      </c>
      <c r="G124" s="3">
        <v>79642</v>
      </c>
      <c r="H124" s="3">
        <v>159460049.24966848</v>
      </c>
      <c r="I124" s="3">
        <v>0</v>
      </c>
      <c r="J124" s="3">
        <v>9.0091330706205484E-3</v>
      </c>
      <c r="K124" s="3">
        <v>0</v>
      </c>
      <c r="L124" s="3">
        <v>10.291</v>
      </c>
      <c r="M124" s="3">
        <v>0</v>
      </c>
      <c r="N124" s="3">
        <v>2.5712173148555941E-3</v>
      </c>
      <c r="O124" s="3">
        <v>308588242.14429998</v>
      </c>
      <c r="P124" s="3">
        <v>0</v>
      </c>
      <c r="Q124" s="3">
        <v>1.89E-2</v>
      </c>
      <c r="R124" s="3">
        <v>0</v>
      </c>
      <c r="S124" s="3">
        <v>2</v>
      </c>
      <c r="T124" s="100">
        <v>42005</v>
      </c>
      <c r="U124" s="3">
        <v>8681563.81966847</v>
      </c>
      <c r="V124" s="96">
        <f>CurrentMtgRatesDataTable82523[[#This Row],[cum_df_pct]]*100</f>
        <v>0</v>
      </c>
      <c r="W124" s="96">
        <f>CurrentMtgRatesDataTable82523[[#This Row],[pct_dq]]*100</f>
        <v>0.25712173148555939</v>
      </c>
      <c r="X124"/>
    </row>
    <row r="125" spans="3:24">
      <c r="C125" s="3" t="s">
        <v>157</v>
      </c>
      <c r="D125" s="3" t="s">
        <v>168</v>
      </c>
      <c r="E125" s="3">
        <v>17513118566.099998</v>
      </c>
      <c r="F125" s="100">
        <v>42005</v>
      </c>
      <c r="G125" s="3">
        <v>79070</v>
      </c>
      <c r="H125" s="3">
        <v>139034276.73565033</v>
      </c>
      <c r="I125" s="3">
        <v>0</v>
      </c>
      <c r="J125" s="3">
        <v>7.9388645837628162E-3</v>
      </c>
      <c r="K125" s="3">
        <v>0</v>
      </c>
      <c r="L125" s="3">
        <v>9.1213999999999995</v>
      </c>
      <c r="M125" s="3">
        <v>0</v>
      </c>
      <c r="N125" s="3">
        <v>3.2286578182284167E-3</v>
      </c>
      <c r="O125" s="3">
        <v>447622518.88</v>
      </c>
      <c r="P125" s="3">
        <v>0</v>
      </c>
      <c r="Q125" s="3">
        <v>2.75E-2</v>
      </c>
      <c r="R125" s="3">
        <v>0</v>
      </c>
      <c r="S125" s="3">
        <v>2</v>
      </c>
      <c r="T125" s="100">
        <v>42036</v>
      </c>
      <c r="U125" s="3">
        <v>6517022.9456503196</v>
      </c>
      <c r="V125" s="96">
        <f>CurrentMtgRatesDataTable82523[[#This Row],[cum_df_pct]]*100</f>
        <v>0</v>
      </c>
      <c r="W125" s="96">
        <f>CurrentMtgRatesDataTable82523[[#This Row],[pct_dq]]*100</f>
        <v>0.32286578182284165</v>
      </c>
      <c r="X125"/>
    </row>
    <row r="126" spans="3:24">
      <c r="C126" s="3" t="s">
        <v>157</v>
      </c>
      <c r="D126" s="3" t="s">
        <v>168</v>
      </c>
      <c r="E126" s="3">
        <v>17348665474.91</v>
      </c>
      <c r="F126" s="100">
        <v>42036</v>
      </c>
      <c r="G126" s="3">
        <v>78570</v>
      </c>
      <c r="H126" s="3">
        <v>266067199.79801279</v>
      </c>
      <c r="I126" s="3">
        <v>0</v>
      </c>
      <c r="J126" s="3">
        <v>1.5336464939208419E-2</v>
      </c>
      <c r="K126" s="3">
        <v>0</v>
      </c>
      <c r="L126" s="3">
        <v>16.928000000000001</v>
      </c>
      <c r="M126" s="3">
        <v>0</v>
      </c>
      <c r="N126" s="3">
        <v>4.014035593153384E-3</v>
      </c>
      <c r="O126" s="3">
        <v>713689718.67799997</v>
      </c>
      <c r="P126" s="3">
        <v>0</v>
      </c>
      <c r="Q126" s="3">
        <v>4.3900000000000002E-2</v>
      </c>
      <c r="R126" s="3">
        <v>0</v>
      </c>
      <c r="S126" s="3">
        <v>2</v>
      </c>
      <c r="T126" s="100">
        <v>42064</v>
      </c>
      <c r="U126" s="3">
        <v>5724264.1180127878</v>
      </c>
      <c r="V126" s="96">
        <f>CurrentMtgRatesDataTable82523[[#This Row],[cum_df_pct]]*100</f>
        <v>0</v>
      </c>
      <c r="W126" s="96">
        <f>CurrentMtgRatesDataTable82523[[#This Row],[pct_dq]]*100</f>
        <v>0.40140355931533839</v>
      </c>
      <c r="X126"/>
    </row>
    <row r="127" spans="3:24">
      <c r="C127" s="3" t="s">
        <v>157</v>
      </c>
      <c r="D127" s="3" t="s">
        <v>168</v>
      </c>
      <c r="E127" s="3">
        <v>17057041264.99</v>
      </c>
      <c r="F127" s="100">
        <v>42064</v>
      </c>
      <c r="G127" s="3">
        <v>77607</v>
      </c>
      <c r="H127" s="3">
        <v>299313898.82639503</v>
      </c>
      <c r="I127" s="3">
        <v>435292.85</v>
      </c>
      <c r="J127" s="3">
        <v>1.7547820526221287E-2</v>
      </c>
      <c r="K127" s="3">
        <v>2.5519833319126066E-5</v>
      </c>
      <c r="L127" s="3">
        <v>19.139299999999999</v>
      </c>
      <c r="M127" s="3">
        <v>3.0599999999999999E-2</v>
      </c>
      <c r="N127" s="3">
        <v>2.6875394845934245E-3</v>
      </c>
      <c r="O127" s="3">
        <v>1013003617.5044</v>
      </c>
      <c r="P127" s="3">
        <v>435292.85</v>
      </c>
      <c r="Q127" s="3">
        <v>6.2300000000000001E-2</v>
      </c>
      <c r="R127" s="3">
        <v>0</v>
      </c>
      <c r="S127" s="3">
        <v>2</v>
      </c>
      <c r="T127" s="100">
        <v>42095</v>
      </c>
      <c r="U127" s="3">
        <v>7645681.4063950609</v>
      </c>
      <c r="V127" s="96">
        <f>CurrentMtgRatesDataTable82523[[#This Row],[cum_df_pct]]*100</f>
        <v>0</v>
      </c>
      <c r="W127" s="96">
        <f>CurrentMtgRatesDataTable82523[[#This Row],[pct_dq]]*100</f>
        <v>0.26875394845934247</v>
      </c>
      <c r="X127"/>
    </row>
    <row r="128" spans="3:24">
      <c r="C128" s="3" t="s">
        <v>157</v>
      </c>
      <c r="D128" s="3" t="s">
        <v>168</v>
      </c>
      <c r="E128" s="3">
        <v>16731906995.01</v>
      </c>
      <c r="F128" s="100">
        <v>42095</v>
      </c>
      <c r="G128" s="3">
        <v>76483</v>
      </c>
      <c r="H128" s="3">
        <v>228978475.54796386</v>
      </c>
      <c r="I128" s="3">
        <v>565654.87</v>
      </c>
      <c r="J128" s="3">
        <v>1.3685139154565746E-2</v>
      </c>
      <c r="K128" s="3">
        <v>3.3806957579234495E-5</v>
      </c>
      <c r="L128" s="3">
        <v>15.2407</v>
      </c>
      <c r="M128" s="3">
        <v>4.0500000000000001E-2</v>
      </c>
      <c r="N128" s="3">
        <v>3.3032725000493564E-3</v>
      </c>
      <c r="O128" s="3">
        <v>1241982093.0523</v>
      </c>
      <c r="P128" s="3">
        <v>1000947.72</v>
      </c>
      <c r="Q128" s="3">
        <v>7.6399999999999996E-2</v>
      </c>
      <c r="R128" s="3">
        <v>0</v>
      </c>
      <c r="S128" s="3">
        <v>2</v>
      </c>
      <c r="T128" s="100">
        <v>42125</v>
      </c>
      <c r="U128" s="3">
        <v>5694032.7979638474</v>
      </c>
      <c r="V128" s="96">
        <f>CurrentMtgRatesDataTable82523[[#This Row],[cum_df_pct]]*100</f>
        <v>0</v>
      </c>
      <c r="W128" s="96">
        <f>CurrentMtgRatesDataTable82523[[#This Row],[pct_dq]]*100</f>
        <v>0.33032725000493562</v>
      </c>
      <c r="X128"/>
    </row>
    <row r="129" spans="3:24">
      <c r="C129" s="3" t="s">
        <v>157</v>
      </c>
      <c r="D129" s="3" t="s">
        <v>168</v>
      </c>
      <c r="E129" s="3">
        <v>16477130294.34</v>
      </c>
      <c r="F129" s="100">
        <v>42125</v>
      </c>
      <c r="G129" s="3">
        <v>75601</v>
      </c>
      <c r="H129" s="3">
        <v>240286301.17953798</v>
      </c>
      <c r="I129" s="3">
        <v>1213501.9099999999</v>
      </c>
      <c r="J129" s="3">
        <v>1.4583018819853471E-2</v>
      </c>
      <c r="K129" s="3">
        <v>7.3647649094384221E-5</v>
      </c>
      <c r="L129" s="3">
        <v>16.161999999999999</v>
      </c>
      <c r="M129" s="3">
        <v>8.8300000000000003E-2</v>
      </c>
      <c r="N129" s="3">
        <v>4.6288452854074515E-3</v>
      </c>
      <c r="O129" s="3">
        <v>1482268394.2319</v>
      </c>
      <c r="P129" s="3">
        <v>2214449.63</v>
      </c>
      <c r="Q129" s="3">
        <v>9.1200000000000003E-2</v>
      </c>
      <c r="R129" s="3">
        <v>1E-4</v>
      </c>
      <c r="S129" s="3">
        <v>2</v>
      </c>
      <c r="T129" s="100">
        <v>42156</v>
      </c>
      <c r="U129" s="3">
        <v>6676994.5095379911</v>
      </c>
      <c r="V129" s="96">
        <f>CurrentMtgRatesDataTable82523[[#This Row],[cum_df_pct]]*100</f>
        <v>0.01</v>
      </c>
      <c r="W129" s="96">
        <f>CurrentMtgRatesDataTable82523[[#This Row],[pct_dq]]*100</f>
        <v>0.46288452854074513</v>
      </c>
      <c r="X129"/>
    </row>
    <row r="130" spans="3:24">
      <c r="C130" s="3" t="s">
        <v>157</v>
      </c>
      <c r="D130" s="3" t="s">
        <v>168</v>
      </c>
      <c r="E130" s="3">
        <v>16210833900.969999</v>
      </c>
      <c r="F130" s="100">
        <v>42156</v>
      </c>
      <c r="G130" s="3">
        <v>74636</v>
      </c>
      <c r="H130" s="3">
        <v>235366996.54717857</v>
      </c>
      <c r="I130" s="3">
        <v>599196.77</v>
      </c>
      <c r="J130" s="3">
        <v>1.4519117152455373E-2</v>
      </c>
      <c r="K130" s="3">
        <v>3.6962735764268497E-5</v>
      </c>
      <c r="L130" s="3">
        <v>16.096800000000002</v>
      </c>
      <c r="M130" s="3">
        <v>4.4299999999999999E-2</v>
      </c>
      <c r="N130" s="3">
        <v>4.0175027730129922E-3</v>
      </c>
      <c r="O130" s="3">
        <v>1717635390.7790999</v>
      </c>
      <c r="P130" s="3">
        <v>2813646.4</v>
      </c>
      <c r="Q130" s="3">
        <v>0.1057</v>
      </c>
      <c r="R130" s="3">
        <v>1E-4</v>
      </c>
      <c r="S130" s="3">
        <v>2</v>
      </c>
      <c r="T130" s="100">
        <v>42186</v>
      </c>
      <c r="U130" s="3">
        <v>5835329.8871785635</v>
      </c>
      <c r="V130" s="96">
        <f>CurrentMtgRatesDataTable82523[[#This Row],[cum_df_pct]]*100</f>
        <v>0.01</v>
      </c>
      <c r="W130" s="96">
        <f>CurrentMtgRatesDataTable82523[[#This Row],[pct_dq]]*100</f>
        <v>0.4017502773012992</v>
      </c>
      <c r="X130"/>
    </row>
    <row r="131" spans="3:24">
      <c r="C131" s="3" t="s">
        <v>157</v>
      </c>
      <c r="D131" s="3" t="s">
        <v>168</v>
      </c>
      <c r="E131" s="3">
        <v>15949926047.98</v>
      </c>
      <c r="F131" s="100">
        <v>42186</v>
      </c>
      <c r="G131" s="3">
        <v>73679</v>
      </c>
      <c r="H131" s="3">
        <v>204142521.71796325</v>
      </c>
      <c r="I131" s="3">
        <v>1399255.62</v>
      </c>
      <c r="J131" s="3">
        <v>1.2798963525214412E-2</v>
      </c>
      <c r="K131" s="3">
        <v>8.7728031828536955E-5</v>
      </c>
      <c r="L131" s="3">
        <v>14.3224</v>
      </c>
      <c r="M131" s="3">
        <v>0.1052</v>
      </c>
      <c r="N131" s="3">
        <v>4.3853310823882075E-3</v>
      </c>
      <c r="O131" s="3">
        <v>1921777912.497</v>
      </c>
      <c r="P131" s="3">
        <v>4212902.0199999996</v>
      </c>
      <c r="Q131" s="3">
        <v>0.1182</v>
      </c>
      <c r="R131" s="3">
        <v>2.0000000000000001E-4</v>
      </c>
      <c r="S131" s="3">
        <v>2</v>
      </c>
      <c r="T131" s="100">
        <v>42217</v>
      </c>
      <c r="U131" s="3">
        <v>7296272.8579632631</v>
      </c>
      <c r="V131" s="96">
        <f>CurrentMtgRatesDataTable82523[[#This Row],[cum_df_pct]]*100</f>
        <v>0.02</v>
      </c>
      <c r="W131" s="96">
        <f>CurrentMtgRatesDataTable82523[[#This Row],[pct_dq]]*100</f>
        <v>0.43853310823882075</v>
      </c>
      <c r="X131"/>
    </row>
    <row r="132" spans="3:24">
      <c r="C132" s="3" t="s">
        <v>157</v>
      </c>
      <c r="D132" s="3" t="s">
        <v>168</v>
      </c>
      <c r="E132" s="3">
        <v>15719664578.120001</v>
      </c>
      <c r="F132" s="100">
        <v>42217</v>
      </c>
      <c r="G132" s="3">
        <v>72806</v>
      </c>
      <c r="H132" s="3">
        <v>181483280.15656433</v>
      </c>
      <c r="I132" s="3">
        <v>536098.79</v>
      </c>
      <c r="J132" s="3">
        <v>1.1544984261888679E-2</v>
      </c>
      <c r="K132" s="3">
        <v>3.4103704143038082E-5</v>
      </c>
      <c r="L132" s="3">
        <v>13.007199999999999</v>
      </c>
      <c r="M132" s="3">
        <v>4.0899999999999999E-2</v>
      </c>
      <c r="N132" s="3">
        <v>4.6300077840913077E-3</v>
      </c>
      <c r="O132" s="3">
        <v>2103261192.6536</v>
      </c>
      <c r="P132" s="3">
        <v>4749000.8099999996</v>
      </c>
      <c r="Q132" s="3">
        <v>0.12939999999999999</v>
      </c>
      <c r="R132" s="3">
        <v>2.0000000000000001E-4</v>
      </c>
      <c r="S132" s="3">
        <v>2</v>
      </c>
      <c r="T132" s="100">
        <v>42248</v>
      </c>
      <c r="U132" s="3">
        <v>6027517.1165643213</v>
      </c>
      <c r="V132" s="96">
        <f>CurrentMtgRatesDataTable82523[[#This Row],[cum_df_pct]]*100</f>
        <v>0.02</v>
      </c>
      <c r="W132" s="96">
        <f>CurrentMtgRatesDataTable82523[[#This Row],[pct_dq]]*100</f>
        <v>0.46300077840913079</v>
      </c>
      <c r="X132"/>
    </row>
    <row r="133" spans="3:24">
      <c r="C133" s="3" t="s">
        <v>172</v>
      </c>
      <c r="D133" s="3" t="s">
        <v>176</v>
      </c>
      <c r="E133" s="3">
        <v>30759036044.639999</v>
      </c>
      <c r="F133" s="100">
        <v>42036</v>
      </c>
      <c r="G133" s="3">
        <v>144212</v>
      </c>
      <c r="H133" s="3">
        <v>1070031450.4169977</v>
      </c>
      <c r="I133" s="3">
        <v>0</v>
      </c>
      <c r="J133" s="3">
        <v>3.4787548246443145E-2</v>
      </c>
      <c r="K133" s="3">
        <v>0</v>
      </c>
      <c r="L133" s="3">
        <v>34.615400000000001</v>
      </c>
      <c r="M133" s="3">
        <v>0</v>
      </c>
      <c r="N133" s="3">
        <v>4.2664858111790003E-3</v>
      </c>
      <c r="O133" s="3">
        <v>1070031450.4169</v>
      </c>
      <c r="P133" s="3">
        <v>0</v>
      </c>
      <c r="Q133" s="3">
        <v>4.0300000000000002E-2</v>
      </c>
      <c r="R133" s="3">
        <v>0</v>
      </c>
      <c r="S133" s="3">
        <v>1</v>
      </c>
      <c r="T133" s="100">
        <v>42064</v>
      </c>
      <c r="U133" s="3">
        <v>15438143.746997638</v>
      </c>
      <c r="V133" s="96">
        <f>CurrentMtgRatesDataTable82523[[#This Row],[cum_df_pct]]*100</f>
        <v>0</v>
      </c>
      <c r="W133" s="96">
        <f>CurrentMtgRatesDataTable82523[[#This Row],[pct_dq]]*100</f>
        <v>0.42664858111790005</v>
      </c>
      <c r="X133"/>
    </row>
    <row r="134" spans="3:24">
      <c r="C134" s="3" t="s">
        <v>172</v>
      </c>
      <c r="D134" s="3" t="s">
        <v>176</v>
      </c>
      <c r="E134" s="3">
        <v>29646838128.07</v>
      </c>
      <c r="F134" s="100">
        <v>42064</v>
      </c>
      <c r="G134" s="3">
        <v>140569</v>
      </c>
      <c r="H134" s="3">
        <v>1180390010.9542236</v>
      </c>
      <c r="I134" s="3">
        <v>0</v>
      </c>
      <c r="J134" s="3">
        <v>3.9815038819826648E-2</v>
      </c>
      <c r="K134" s="3">
        <v>0</v>
      </c>
      <c r="L134" s="3">
        <v>38.587200000000003</v>
      </c>
      <c r="M134" s="3">
        <v>0</v>
      </c>
      <c r="N134" s="3">
        <v>2.4192243628197358E-3</v>
      </c>
      <c r="O134" s="3">
        <v>2250421461.3712001</v>
      </c>
      <c r="P134" s="3">
        <v>0</v>
      </c>
      <c r="Q134" s="3">
        <v>8.48E-2</v>
      </c>
      <c r="R134" s="3">
        <v>0</v>
      </c>
      <c r="S134" s="3">
        <v>1</v>
      </c>
      <c r="T134" s="100">
        <v>42095</v>
      </c>
      <c r="U134" s="3">
        <v>19321627.964223746</v>
      </c>
      <c r="V134" s="96">
        <f>CurrentMtgRatesDataTable82523[[#This Row],[cum_df_pct]]*100</f>
        <v>0</v>
      </c>
      <c r="W134" s="96">
        <f>CurrentMtgRatesDataTable82523[[#This Row],[pct_dq]]*100</f>
        <v>0.24192243628197357</v>
      </c>
      <c r="X134"/>
    </row>
    <row r="135" spans="3:24">
      <c r="C135" s="3" t="s">
        <v>172</v>
      </c>
      <c r="D135" s="3" t="s">
        <v>176</v>
      </c>
      <c r="E135" s="3">
        <v>28425220037.98</v>
      </c>
      <c r="F135" s="100">
        <v>42095</v>
      </c>
      <c r="G135" s="3">
        <v>136410</v>
      </c>
      <c r="H135" s="3">
        <v>779950732.87219262</v>
      </c>
      <c r="I135" s="3">
        <v>0</v>
      </c>
      <c r="J135" s="3">
        <v>2.7438687610159967E-2</v>
      </c>
      <c r="K135" s="3">
        <v>0</v>
      </c>
      <c r="L135" s="3">
        <v>28.385000000000002</v>
      </c>
      <c r="M135" s="3">
        <v>0</v>
      </c>
      <c r="N135" s="3">
        <v>3.4634807051082453E-3</v>
      </c>
      <c r="O135" s="3">
        <v>3030372194.2434001</v>
      </c>
      <c r="P135" s="3">
        <v>0</v>
      </c>
      <c r="Q135" s="3">
        <v>0.1142</v>
      </c>
      <c r="R135" s="3">
        <v>0</v>
      </c>
      <c r="S135" s="3">
        <v>1</v>
      </c>
      <c r="T135" s="100">
        <v>42125</v>
      </c>
      <c r="U135" s="3">
        <v>18166721.422192656</v>
      </c>
      <c r="V135" s="96">
        <f>CurrentMtgRatesDataTable82523[[#This Row],[cum_df_pct]]*100</f>
        <v>0</v>
      </c>
      <c r="W135" s="96">
        <f>CurrentMtgRatesDataTable82523[[#This Row],[pct_dq]]*100</f>
        <v>0.34634807051082456</v>
      </c>
      <c r="X135"/>
    </row>
    <row r="136" spans="3:24">
      <c r="C136" s="3" t="s">
        <v>172</v>
      </c>
      <c r="D136" s="3" t="s">
        <v>176</v>
      </c>
      <c r="E136" s="3">
        <v>27605940986.669998</v>
      </c>
      <c r="F136" s="100">
        <v>42125</v>
      </c>
      <c r="G136" s="3">
        <v>133595</v>
      </c>
      <c r="H136" s="3">
        <v>661745303.59997869</v>
      </c>
      <c r="I136" s="3">
        <v>0</v>
      </c>
      <c r="J136" s="3">
        <v>2.3971119257246608E-2</v>
      </c>
      <c r="K136" s="3">
        <v>0</v>
      </c>
      <c r="L136" s="3">
        <v>25.260100000000001</v>
      </c>
      <c r="M136" s="3">
        <v>0</v>
      </c>
      <c r="N136" s="3">
        <v>4.1035236326376259E-3</v>
      </c>
      <c r="O136" s="3">
        <v>3692117497.8432999</v>
      </c>
      <c r="P136" s="3">
        <v>0</v>
      </c>
      <c r="Q136" s="3">
        <v>0.1391</v>
      </c>
      <c r="R136" s="3">
        <v>0</v>
      </c>
      <c r="S136" s="3">
        <v>1</v>
      </c>
      <c r="T136" s="100">
        <v>42156</v>
      </c>
      <c r="U136" s="3">
        <v>17648972.109978672</v>
      </c>
      <c r="V136" s="96">
        <f>CurrentMtgRatesDataTable82523[[#This Row],[cum_df_pct]]*100</f>
        <v>0</v>
      </c>
      <c r="W136" s="96">
        <f>CurrentMtgRatesDataTable82523[[#This Row],[pct_dq]]*100</f>
        <v>0.41035236326376257</v>
      </c>
      <c r="X136"/>
    </row>
    <row r="137" spans="3:24">
      <c r="C137" s="3" t="s">
        <v>172</v>
      </c>
      <c r="D137" s="3" t="s">
        <v>176</v>
      </c>
      <c r="E137" s="3">
        <v>26905103057.73</v>
      </c>
      <c r="F137" s="100">
        <v>42156</v>
      </c>
      <c r="G137" s="3">
        <v>131082</v>
      </c>
      <c r="H137" s="3">
        <v>589952550.43391192</v>
      </c>
      <c r="I137" s="3">
        <v>914789.29</v>
      </c>
      <c r="J137" s="3">
        <v>2.1927161890740832E-2</v>
      </c>
      <c r="K137" s="3">
        <v>3.4000586730225345E-5</v>
      </c>
      <c r="L137" s="3">
        <v>23.360099999999999</v>
      </c>
      <c r="M137" s="3">
        <v>4.07E-2</v>
      </c>
      <c r="N137" s="3">
        <v>3.7794974169699188E-3</v>
      </c>
      <c r="O137" s="3">
        <v>4282070048.2772999</v>
      </c>
      <c r="P137" s="3">
        <v>914789.29</v>
      </c>
      <c r="Q137" s="3">
        <v>0.16139999999999999</v>
      </c>
      <c r="R137" s="3">
        <v>0</v>
      </c>
      <c r="S137" s="3">
        <v>1</v>
      </c>
      <c r="T137" s="100">
        <v>42186</v>
      </c>
      <c r="U137" s="3">
        <v>18430000.373911891</v>
      </c>
      <c r="V137" s="96">
        <f>CurrentMtgRatesDataTable82523[[#This Row],[cum_df_pct]]*100</f>
        <v>0</v>
      </c>
      <c r="W137" s="96">
        <f>CurrentMtgRatesDataTable82523[[#This Row],[pct_dq]]*100</f>
        <v>0.37794974169699186</v>
      </c>
      <c r="X137"/>
    </row>
    <row r="138" spans="3:24">
      <c r="C138" s="3" t="s">
        <v>172</v>
      </c>
      <c r="D138" s="3" t="s">
        <v>176</v>
      </c>
      <c r="E138" s="3">
        <v>26275202203.860001</v>
      </c>
      <c r="F138" s="100">
        <v>42186</v>
      </c>
      <c r="G138" s="3">
        <v>128738</v>
      </c>
      <c r="H138" s="3">
        <v>442260275.5130083</v>
      </c>
      <c r="I138" s="3">
        <v>906830.68</v>
      </c>
      <c r="J138" s="3">
        <v>1.6831850506103332E-2</v>
      </c>
      <c r="K138" s="3">
        <v>3.4512795485424681E-5</v>
      </c>
      <c r="L138" s="3">
        <v>18.429400000000001</v>
      </c>
      <c r="M138" s="3">
        <v>4.1399999999999999E-2</v>
      </c>
      <c r="N138" s="3">
        <v>3.4430094036235421E-3</v>
      </c>
      <c r="O138" s="3">
        <v>4724330323.7903004</v>
      </c>
      <c r="P138" s="3">
        <v>1821619.97</v>
      </c>
      <c r="Q138" s="3">
        <v>0.17810000000000001</v>
      </c>
      <c r="R138" s="3">
        <v>0</v>
      </c>
      <c r="S138" s="3">
        <v>1</v>
      </c>
      <c r="T138" s="100">
        <v>42217</v>
      </c>
      <c r="U138" s="3">
        <v>18375367.483008299</v>
      </c>
      <c r="V138" s="96">
        <f>CurrentMtgRatesDataTable82523[[#This Row],[cum_df_pct]]*100</f>
        <v>0</v>
      </c>
      <c r="W138" s="96">
        <f>CurrentMtgRatesDataTable82523[[#This Row],[pct_dq]]*100</f>
        <v>0.3443009403623542</v>
      </c>
      <c r="X138"/>
    </row>
    <row r="139" spans="3:24">
      <c r="C139" s="3" t="s">
        <v>172</v>
      </c>
      <c r="D139" s="3" t="s">
        <v>176</v>
      </c>
      <c r="E139" s="3">
        <v>25791849501.52</v>
      </c>
      <c r="F139" s="100">
        <v>42217</v>
      </c>
      <c r="G139" s="3">
        <v>126905</v>
      </c>
      <c r="H139" s="3">
        <v>368049642.8583833</v>
      </c>
      <c r="I139" s="3">
        <v>1462382.01</v>
      </c>
      <c r="J139" s="3">
        <v>1.4269998079691528E-2</v>
      </c>
      <c r="K139" s="3">
        <v>5.6699385203601506E-5</v>
      </c>
      <c r="L139" s="3">
        <v>15.841900000000001</v>
      </c>
      <c r="M139" s="3">
        <v>6.8000000000000005E-2</v>
      </c>
      <c r="N139" s="3">
        <v>3.6927772909184733E-3</v>
      </c>
      <c r="O139" s="3">
        <v>5092379966.6485996</v>
      </c>
      <c r="P139" s="3">
        <v>3284001.98</v>
      </c>
      <c r="Q139" s="3">
        <v>0.19189999999999999</v>
      </c>
      <c r="R139" s="3">
        <v>1E-4</v>
      </c>
      <c r="S139" s="3">
        <v>1</v>
      </c>
      <c r="T139" s="100">
        <v>42248</v>
      </c>
      <c r="U139" s="3">
        <v>14417440.248383313</v>
      </c>
      <c r="V139" s="96">
        <f>CurrentMtgRatesDataTable82523[[#This Row],[cum_df_pct]]*100</f>
        <v>0.01</v>
      </c>
      <c r="W139" s="96">
        <f>CurrentMtgRatesDataTable82523[[#This Row],[pct_dq]]*100</f>
        <v>0.36927772909184731</v>
      </c>
      <c r="X139"/>
    </row>
    <row r="140" spans="3:24">
      <c r="C140" s="3" t="s">
        <v>172</v>
      </c>
      <c r="D140" s="3" t="s">
        <v>183</v>
      </c>
      <c r="E140" s="3">
        <v>18492658575.889999</v>
      </c>
      <c r="F140" s="100">
        <v>42036</v>
      </c>
      <c r="G140" s="3">
        <v>87351</v>
      </c>
      <c r="H140" s="3">
        <v>521274231.01928973</v>
      </c>
      <c r="I140" s="3">
        <v>0</v>
      </c>
      <c r="J140" s="3">
        <v>2.8188171477891585E-2</v>
      </c>
      <c r="K140" s="3">
        <v>0</v>
      </c>
      <c r="L140" s="3">
        <v>29.0444</v>
      </c>
      <c r="M140" s="3">
        <v>0</v>
      </c>
      <c r="N140" s="3">
        <v>4.2477568878286336E-3</v>
      </c>
      <c r="O140" s="3">
        <v>521274231.01920003</v>
      </c>
      <c r="P140" s="3">
        <v>0</v>
      </c>
      <c r="Q140" s="3">
        <v>3.2300000000000002E-2</v>
      </c>
      <c r="R140" s="3">
        <v>0</v>
      </c>
      <c r="S140" s="3">
        <v>2</v>
      </c>
      <c r="T140" s="100">
        <v>42064</v>
      </c>
      <c r="U140" s="3">
        <v>5807826.7092897436</v>
      </c>
      <c r="V140" s="96">
        <f>CurrentMtgRatesDataTable82523[[#This Row],[cum_df_pct]]*100</f>
        <v>0</v>
      </c>
      <c r="W140" s="96">
        <f>CurrentMtgRatesDataTable82523[[#This Row],[pct_dq]]*100</f>
        <v>0.42477568878286337</v>
      </c>
      <c r="X140"/>
    </row>
    <row r="141" spans="3:24">
      <c r="C141" s="3" t="s">
        <v>172</v>
      </c>
      <c r="D141" s="3" t="s">
        <v>183</v>
      </c>
      <c r="E141" s="3">
        <v>17947022505.650002</v>
      </c>
      <c r="F141" s="100">
        <v>42064</v>
      </c>
      <c r="G141" s="3">
        <v>85424</v>
      </c>
      <c r="H141" s="3">
        <v>622493468.15151644</v>
      </c>
      <c r="I141" s="3">
        <v>0</v>
      </c>
      <c r="J141" s="3">
        <v>3.4685055304050902E-2</v>
      </c>
      <c r="K141" s="3">
        <v>0</v>
      </c>
      <c r="L141" s="3">
        <v>34.5321</v>
      </c>
      <c r="M141" s="3">
        <v>0</v>
      </c>
      <c r="N141" s="3">
        <v>2.2750364322074064E-3</v>
      </c>
      <c r="O141" s="3">
        <v>1143767699.1708</v>
      </c>
      <c r="P141" s="3">
        <v>0</v>
      </c>
      <c r="Q141" s="3">
        <v>7.0999999999999994E-2</v>
      </c>
      <c r="R141" s="3">
        <v>0</v>
      </c>
      <c r="S141" s="3">
        <v>2</v>
      </c>
      <c r="T141" s="100">
        <v>42095</v>
      </c>
      <c r="U141" s="3">
        <v>7225577.6415164731</v>
      </c>
      <c r="V141" s="96">
        <f>CurrentMtgRatesDataTable82523[[#This Row],[cum_df_pct]]*100</f>
        <v>0</v>
      </c>
      <c r="W141" s="96">
        <f>CurrentMtgRatesDataTable82523[[#This Row],[pct_dq]]*100</f>
        <v>0.22750364322074063</v>
      </c>
      <c r="X141"/>
    </row>
    <row r="142" spans="3:24">
      <c r="C142" s="3" t="s">
        <v>172</v>
      </c>
      <c r="D142" s="3" t="s">
        <v>183</v>
      </c>
      <c r="E142" s="3">
        <v>17300263315.970001</v>
      </c>
      <c r="F142" s="100">
        <v>42095</v>
      </c>
      <c r="G142" s="3">
        <v>83074</v>
      </c>
      <c r="H142" s="3">
        <v>407486011.29891062</v>
      </c>
      <c r="I142" s="3">
        <v>0</v>
      </c>
      <c r="J142" s="3">
        <v>2.3553746197767827E-2</v>
      </c>
      <c r="K142" s="3">
        <v>0</v>
      </c>
      <c r="L142" s="3">
        <v>24.875699999999998</v>
      </c>
      <c r="M142" s="3">
        <v>0</v>
      </c>
      <c r="N142" s="3">
        <v>3.7018386836275281E-3</v>
      </c>
      <c r="O142" s="3">
        <v>1551253710.4697001</v>
      </c>
      <c r="P142" s="3">
        <v>0</v>
      </c>
      <c r="Q142" s="3">
        <v>9.6299999999999997E-2</v>
      </c>
      <c r="R142" s="3">
        <v>0</v>
      </c>
      <c r="S142" s="3">
        <v>2</v>
      </c>
      <c r="T142" s="100">
        <v>42125</v>
      </c>
      <c r="U142" s="3">
        <v>5669350.2989106057</v>
      </c>
      <c r="V142" s="96">
        <f>CurrentMtgRatesDataTable82523[[#This Row],[cum_df_pct]]*100</f>
        <v>0</v>
      </c>
      <c r="W142" s="96">
        <f>CurrentMtgRatesDataTable82523[[#This Row],[pct_dq]]*100</f>
        <v>0.3701838683627528</v>
      </c>
      <c r="X142"/>
    </row>
    <row r="143" spans="3:24">
      <c r="C143" s="3" t="s">
        <v>172</v>
      </c>
      <c r="D143" s="3" t="s">
        <v>183</v>
      </c>
      <c r="E143" s="3">
        <v>16869979490.84</v>
      </c>
      <c r="F143" s="100">
        <v>42125</v>
      </c>
      <c r="G143" s="3">
        <v>81464</v>
      </c>
      <c r="H143" s="3">
        <v>385631632.21185124</v>
      </c>
      <c r="I143" s="3">
        <v>0</v>
      </c>
      <c r="J143" s="3">
        <v>2.2859045704308061E-2</v>
      </c>
      <c r="K143" s="3">
        <v>0</v>
      </c>
      <c r="L143" s="3">
        <v>24.2318</v>
      </c>
      <c r="M143" s="3">
        <v>0</v>
      </c>
      <c r="N143" s="3">
        <v>4.7509371557635021E-3</v>
      </c>
      <c r="O143" s="3">
        <v>1936885342.6815</v>
      </c>
      <c r="P143" s="3">
        <v>0</v>
      </c>
      <c r="Q143" s="3">
        <v>0.1203</v>
      </c>
      <c r="R143" s="3">
        <v>0</v>
      </c>
      <c r="S143" s="3">
        <v>2</v>
      </c>
      <c r="T143" s="100">
        <v>42156</v>
      </c>
      <c r="U143" s="3">
        <v>6028033.0718512246</v>
      </c>
      <c r="V143" s="96">
        <f>CurrentMtgRatesDataTable82523[[#This Row],[cum_df_pct]]*100</f>
        <v>0</v>
      </c>
      <c r="W143" s="96">
        <f>CurrentMtgRatesDataTable82523[[#This Row],[pct_dq]]*100</f>
        <v>0.47509371557635022</v>
      </c>
      <c r="X143"/>
    </row>
    <row r="144" spans="3:24">
      <c r="C144" s="3" t="s">
        <v>172</v>
      </c>
      <c r="D144" s="3" t="s">
        <v>183</v>
      </c>
      <c r="E144" s="3">
        <v>16461150315.379999</v>
      </c>
      <c r="F144" s="100">
        <v>42156</v>
      </c>
      <c r="G144" s="3">
        <v>79915</v>
      </c>
      <c r="H144" s="3">
        <v>360080016.27246946</v>
      </c>
      <c r="I144" s="3">
        <v>861420.51</v>
      </c>
      <c r="J144" s="3">
        <v>2.1874535459167704E-2</v>
      </c>
      <c r="K144" s="3">
        <v>5.2330517217569943E-5</v>
      </c>
      <c r="L144" s="3">
        <v>23.310600000000001</v>
      </c>
      <c r="M144" s="3">
        <v>6.2700000000000006E-2</v>
      </c>
      <c r="N144" s="3">
        <v>4.0573108482946391E-3</v>
      </c>
      <c r="O144" s="3">
        <v>2296965358.954</v>
      </c>
      <c r="P144" s="3">
        <v>861420.51</v>
      </c>
      <c r="Q144" s="3">
        <v>0.1426</v>
      </c>
      <c r="R144" s="3">
        <v>0</v>
      </c>
      <c r="S144" s="3">
        <v>2</v>
      </c>
      <c r="T144" s="100">
        <v>42186</v>
      </c>
      <c r="U144" s="3">
        <v>5297119.0824694568</v>
      </c>
      <c r="V144" s="96">
        <f>CurrentMtgRatesDataTable82523[[#This Row],[cum_df_pct]]*100</f>
        <v>0</v>
      </c>
      <c r="W144" s="96">
        <f>CurrentMtgRatesDataTable82523[[#This Row],[pct_dq]]*100</f>
        <v>0.40573108482946391</v>
      </c>
      <c r="X144"/>
    </row>
    <row r="145" spans="3:24">
      <c r="C145" s="3" t="s">
        <v>172</v>
      </c>
      <c r="D145" s="3" t="s">
        <v>183</v>
      </c>
      <c r="E145" s="3">
        <v>16077376892.59</v>
      </c>
      <c r="F145" s="100">
        <v>42186</v>
      </c>
      <c r="G145" s="3">
        <v>78442</v>
      </c>
      <c r="H145" s="3">
        <v>289039416.80191743</v>
      </c>
      <c r="I145" s="3">
        <v>1012999.14</v>
      </c>
      <c r="J145" s="3">
        <v>1.7978020838407698E-2</v>
      </c>
      <c r="K145" s="3">
        <v>6.3007737317328626E-5</v>
      </c>
      <c r="L145" s="3">
        <v>19.563199999999998</v>
      </c>
      <c r="M145" s="3">
        <v>7.5499999999999998E-2</v>
      </c>
      <c r="N145" s="3">
        <v>4.6581296171838045E-3</v>
      </c>
      <c r="O145" s="3">
        <v>2586004775.7558999</v>
      </c>
      <c r="P145" s="3">
        <v>1874419.65</v>
      </c>
      <c r="Q145" s="3">
        <v>0.16059999999999999</v>
      </c>
      <c r="R145" s="3">
        <v>1E-4</v>
      </c>
      <c r="S145" s="3">
        <v>2</v>
      </c>
      <c r="T145" s="100">
        <v>42217</v>
      </c>
      <c r="U145" s="3">
        <v>6818295.0419174414</v>
      </c>
      <c r="V145" s="96">
        <f>CurrentMtgRatesDataTable82523[[#This Row],[cum_df_pct]]*100</f>
        <v>0.01</v>
      </c>
      <c r="W145" s="96">
        <f>CurrentMtgRatesDataTable82523[[#This Row],[pct_dq]]*100</f>
        <v>0.46581296171838044</v>
      </c>
      <c r="X145"/>
    </row>
    <row r="146" spans="3:24">
      <c r="C146" s="3" t="s">
        <v>172</v>
      </c>
      <c r="D146" s="3" t="s">
        <v>183</v>
      </c>
      <c r="E146" s="3">
        <v>15764100282.889999</v>
      </c>
      <c r="F146" s="100">
        <v>42217</v>
      </c>
      <c r="G146" s="3">
        <v>77214</v>
      </c>
      <c r="H146" s="3">
        <v>243441553.06967899</v>
      </c>
      <c r="I146" s="3">
        <v>817214.08</v>
      </c>
      <c r="J146" s="3">
        <v>1.5442781300617898E-2</v>
      </c>
      <c r="K146" s="3">
        <v>5.1840198002735733E-5</v>
      </c>
      <c r="L146" s="3">
        <v>17.035599999999999</v>
      </c>
      <c r="M146" s="3">
        <v>6.2100000000000002E-2</v>
      </c>
      <c r="N146" s="3">
        <v>5.0769512388135866E-3</v>
      </c>
      <c r="O146" s="3">
        <v>2829446328.8256001</v>
      </c>
      <c r="P146" s="3">
        <v>2691633.73</v>
      </c>
      <c r="Q146" s="3">
        <v>0.1757</v>
      </c>
      <c r="R146" s="3">
        <v>1E-4</v>
      </c>
      <c r="S146" s="3">
        <v>2</v>
      </c>
      <c r="T146" s="100">
        <v>42248</v>
      </c>
      <c r="U146" s="3">
        <v>5422864.9196790066</v>
      </c>
      <c r="V146" s="96">
        <f>CurrentMtgRatesDataTable82523[[#This Row],[cum_df_pct]]*100</f>
        <v>0.01</v>
      </c>
      <c r="W146" s="96">
        <f>CurrentMtgRatesDataTable82523[[#This Row],[pct_dq]]*100</f>
        <v>0.50769512388135862</v>
      </c>
      <c r="X146"/>
    </row>
    <row r="147" spans="3:24">
      <c r="C147" s="3" t="s">
        <v>187</v>
      </c>
      <c r="D147" s="3" t="s">
        <v>191</v>
      </c>
      <c r="E147" s="3">
        <v>27206489792.02</v>
      </c>
      <c r="F147" s="100">
        <v>42125</v>
      </c>
      <c r="G147" s="3">
        <v>131933</v>
      </c>
      <c r="H147" s="3">
        <v>645945079.91746867</v>
      </c>
      <c r="I147" s="3">
        <v>0</v>
      </c>
      <c r="J147" s="3">
        <v>2.3742316074414432E-2</v>
      </c>
      <c r="K147" s="3">
        <v>0</v>
      </c>
      <c r="L147" s="3">
        <v>25.049600000000002</v>
      </c>
      <c r="M147" s="3">
        <v>0</v>
      </c>
      <c r="N147" s="3">
        <v>3.6024783872981576E-3</v>
      </c>
      <c r="O147" s="3">
        <v>645945079.9174</v>
      </c>
      <c r="P147" s="3">
        <v>0</v>
      </c>
      <c r="Q147" s="3">
        <v>2.4799999999999999E-2</v>
      </c>
      <c r="R147" s="3">
        <v>0</v>
      </c>
      <c r="S147" s="3">
        <v>1</v>
      </c>
      <c r="T147" s="100">
        <v>42156</v>
      </c>
      <c r="U147" s="3">
        <v>14845553.377468619</v>
      </c>
      <c r="V147" s="96">
        <f>CurrentMtgRatesDataTable82523[[#This Row],[cum_df_pct]]*100</f>
        <v>0</v>
      </c>
      <c r="W147" s="96">
        <f>CurrentMtgRatesDataTable82523[[#This Row],[pct_dq]]*100</f>
        <v>0.36024783872981575</v>
      </c>
      <c r="X147"/>
    </row>
    <row r="148" spans="3:24">
      <c r="C148" s="3" t="s">
        <v>187</v>
      </c>
      <c r="D148" s="3" t="s">
        <v>191</v>
      </c>
      <c r="E148" s="3">
        <v>26524443952.279999</v>
      </c>
      <c r="F148" s="100">
        <v>42156</v>
      </c>
      <c r="G148" s="3">
        <v>129578</v>
      </c>
      <c r="H148" s="3">
        <v>562577571.46067512</v>
      </c>
      <c r="I148" s="3">
        <v>0</v>
      </c>
      <c r="J148" s="3">
        <v>2.1209778137962317E-2</v>
      </c>
      <c r="K148" s="3">
        <v>0</v>
      </c>
      <c r="L148" s="3">
        <v>22.6829</v>
      </c>
      <c r="M148" s="3">
        <v>0</v>
      </c>
      <c r="N148" s="3">
        <v>2.9730011879559705E-3</v>
      </c>
      <c r="O148" s="3">
        <v>1208522651.3780999</v>
      </c>
      <c r="P148" s="3">
        <v>0</v>
      </c>
      <c r="Q148" s="3">
        <v>4.6399999999999997E-2</v>
      </c>
      <c r="R148" s="3">
        <v>0</v>
      </c>
      <c r="S148" s="3">
        <v>1</v>
      </c>
      <c r="T148" s="100">
        <v>42186</v>
      </c>
      <c r="U148" s="3">
        <v>16154781.08067511</v>
      </c>
      <c r="V148" s="96">
        <f>CurrentMtgRatesDataTable82523[[#This Row],[cum_df_pct]]*100</f>
        <v>0</v>
      </c>
      <c r="W148" s="96">
        <f>CurrentMtgRatesDataTable82523[[#This Row],[pct_dq]]*100</f>
        <v>0.29730011879559703</v>
      </c>
      <c r="X148"/>
    </row>
    <row r="149" spans="3:24">
      <c r="C149" s="3" t="s">
        <v>187</v>
      </c>
      <c r="D149" s="3" t="s">
        <v>191</v>
      </c>
      <c r="E149" s="3">
        <v>25924742487.139999</v>
      </c>
      <c r="F149" s="100">
        <v>42186</v>
      </c>
      <c r="G149" s="3">
        <v>127405</v>
      </c>
      <c r="H149" s="3">
        <v>415706926.18089086</v>
      </c>
      <c r="I149" s="3">
        <v>0</v>
      </c>
      <c r="J149" s="3">
        <v>1.6035141964750577E-2</v>
      </c>
      <c r="K149" s="3">
        <v>0</v>
      </c>
      <c r="L149" s="3">
        <v>17.6326</v>
      </c>
      <c r="M149" s="3">
        <v>0</v>
      </c>
      <c r="N149" s="3">
        <v>3.2688664827447223E-3</v>
      </c>
      <c r="O149" s="3">
        <v>1624229577.559</v>
      </c>
      <c r="P149" s="3">
        <v>0</v>
      </c>
      <c r="Q149" s="3">
        <v>6.2399999999999997E-2</v>
      </c>
      <c r="R149" s="3">
        <v>0</v>
      </c>
      <c r="S149" s="3">
        <v>1</v>
      </c>
      <c r="T149" s="100">
        <v>42217</v>
      </c>
      <c r="U149" s="3">
        <v>17486807.800890859</v>
      </c>
      <c r="V149" s="96">
        <f>CurrentMtgRatesDataTable82523[[#This Row],[cum_df_pct]]*100</f>
        <v>0</v>
      </c>
      <c r="W149" s="96">
        <f>CurrentMtgRatesDataTable82523[[#This Row],[pct_dq]]*100</f>
        <v>0.32688664827447222</v>
      </c>
      <c r="X149"/>
    </row>
    <row r="150" spans="3:24">
      <c r="C150" s="3" t="s">
        <v>187</v>
      </c>
      <c r="D150" s="3" t="s">
        <v>191</v>
      </c>
      <c r="E150" s="3">
        <v>25472222636.240002</v>
      </c>
      <c r="F150" s="100">
        <v>42217</v>
      </c>
      <c r="G150" s="3">
        <v>125731</v>
      </c>
      <c r="H150" s="3">
        <v>361029665.53430843</v>
      </c>
      <c r="I150" s="3">
        <v>0</v>
      </c>
      <c r="J150" s="3">
        <v>1.4173465374029122E-2</v>
      </c>
      <c r="K150" s="3">
        <v>0</v>
      </c>
      <c r="L150" s="3">
        <v>15.742900000000001</v>
      </c>
      <c r="M150" s="3">
        <v>0</v>
      </c>
      <c r="N150" s="3">
        <v>4.0300187186630551E-3</v>
      </c>
      <c r="O150" s="3">
        <v>1985259243.0933001</v>
      </c>
      <c r="P150" s="3">
        <v>0</v>
      </c>
      <c r="Q150" s="3">
        <v>7.6300000000000007E-2</v>
      </c>
      <c r="R150" s="3">
        <v>0</v>
      </c>
      <c r="S150" s="3">
        <v>1</v>
      </c>
      <c r="T150" s="100">
        <v>42248</v>
      </c>
      <c r="U150" s="3">
        <v>14109303.204308441</v>
      </c>
      <c r="V150" s="96">
        <f>CurrentMtgRatesDataTable82523[[#This Row],[cum_df_pct]]*100</f>
        <v>0</v>
      </c>
      <c r="W150" s="96">
        <f>CurrentMtgRatesDataTable82523[[#This Row],[pct_dq]]*100</f>
        <v>0.40300187186630548</v>
      </c>
      <c r="X150"/>
    </row>
    <row r="151" spans="3:24">
      <c r="C151" s="3" t="s">
        <v>187</v>
      </c>
      <c r="D151" s="3" t="s">
        <v>198</v>
      </c>
      <c r="E151" s="3">
        <v>16616937598.799999</v>
      </c>
      <c r="F151" s="100">
        <v>42125</v>
      </c>
      <c r="G151" s="3">
        <v>80059</v>
      </c>
      <c r="H151" s="3">
        <v>326072768.59389263</v>
      </c>
      <c r="I151" s="3">
        <v>0</v>
      </c>
      <c r="J151" s="3">
        <v>1.9622915874549601E-2</v>
      </c>
      <c r="K151" s="3">
        <v>0</v>
      </c>
      <c r="L151" s="3">
        <v>21.165199999999999</v>
      </c>
      <c r="M151" s="3">
        <v>0</v>
      </c>
      <c r="N151" s="3">
        <v>3.5251960285528324E-3</v>
      </c>
      <c r="O151" s="3">
        <v>326072768.59380001</v>
      </c>
      <c r="P151" s="3">
        <v>0</v>
      </c>
      <c r="Q151" s="3">
        <v>2.0400000000000001E-2</v>
      </c>
      <c r="R151" s="3">
        <v>0</v>
      </c>
      <c r="S151" s="3">
        <v>2</v>
      </c>
      <c r="T151" s="100">
        <v>42156</v>
      </c>
      <c r="U151" s="3">
        <v>6221747.8238926344</v>
      </c>
      <c r="V151" s="96">
        <f>CurrentMtgRatesDataTable82523[[#This Row],[cum_df_pct]]*100</f>
        <v>0</v>
      </c>
      <c r="W151" s="96">
        <f>CurrentMtgRatesDataTable82523[[#This Row],[pct_dq]]*100</f>
        <v>0.35251960285528322</v>
      </c>
      <c r="X151"/>
    </row>
    <row r="152" spans="3:24">
      <c r="C152" s="3" t="s">
        <v>187</v>
      </c>
      <c r="D152" s="3" t="s">
        <v>198</v>
      </c>
      <c r="E152" s="3">
        <v>16269256589.57</v>
      </c>
      <c r="F152" s="100">
        <v>42156</v>
      </c>
      <c r="G152" s="3">
        <v>78787</v>
      </c>
      <c r="H152" s="3">
        <v>305332182.37665015</v>
      </c>
      <c r="I152" s="3">
        <v>0</v>
      </c>
      <c r="J152" s="3">
        <v>1.8767432961404918E-2</v>
      </c>
      <c r="K152" s="3">
        <v>0</v>
      </c>
      <c r="L152" s="3">
        <v>20.335699999999999</v>
      </c>
      <c r="M152" s="3">
        <v>0</v>
      </c>
      <c r="N152" s="3">
        <v>3.4817721656879444E-3</v>
      </c>
      <c r="O152" s="3">
        <v>631404950.97049999</v>
      </c>
      <c r="P152" s="3">
        <v>0</v>
      </c>
      <c r="Q152" s="3">
        <v>3.9600000000000003E-2</v>
      </c>
      <c r="R152" s="3">
        <v>0</v>
      </c>
      <c r="S152" s="3">
        <v>2</v>
      </c>
      <c r="T152" s="100">
        <v>42186</v>
      </c>
      <c r="U152" s="3">
        <v>6056168.7066501584</v>
      </c>
      <c r="V152" s="96">
        <f>CurrentMtgRatesDataTable82523[[#This Row],[cum_df_pct]]*100</f>
        <v>0</v>
      </c>
      <c r="W152" s="96">
        <f>CurrentMtgRatesDataTable82523[[#This Row],[pct_dq]]*100</f>
        <v>0.34817721656879447</v>
      </c>
      <c r="X152"/>
    </row>
    <row r="153" spans="3:24">
      <c r="C153" s="3" t="s">
        <v>187</v>
      </c>
      <c r="D153" s="3" t="s">
        <v>198</v>
      </c>
      <c r="E153" s="3">
        <v>15941708275.5</v>
      </c>
      <c r="F153" s="100">
        <v>42186</v>
      </c>
      <c r="G153" s="3">
        <v>77574</v>
      </c>
      <c r="H153" s="3">
        <v>242422740.89808458</v>
      </c>
      <c r="I153" s="3">
        <v>0</v>
      </c>
      <c r="J153" s="3">
        <v>1.5206823303287501E-2</v>
      </c>
      <c r="K153" s="3">
        <v>0</v>
      </c>
      <c r="L153" s="3">
        <v>16.796700000000001</v>
      </c>
      <c r="M153" s="3">
        <v>0</v>
      </c>
      <c r="N153" s="3">
        <v>3.9151815653233318E-3</v>
      </c>
      <c r="O153" s="3">
        <v>873827691.86860001</v>
      </c>
      <c r="P153" s="3">
        <v>0</v>
      </c>
      <c r="Q153" s="3">
        <v>5.4800000000000001E-2</v>
      </c>
      <c r="R153" s="3">
        <v>0</v>
      </c>
      <c r="S153" s="3">
        <v>2</v>
      </c>
      <c r="T153" s="100">
        <v>42217</v>
      </c>
      <c r="U153" s="3">
        <v>7474765.5780845908</v>
      </c>
      <c r="V153" s="96">
        <f>CurrentMtgRatesDataTable82523[[#This Row],[cum_df_pct]]*100</f>
        <v>0</v>
      </c>
      <c r="W153" s="96">
        <f>CurrentMtgRatesDataTable82523[[#This Row],[pct_dq]]*100</f>
        <v>0.39151815653233318</v>
      </c>
      <c r="X153"/>
    </row>
    <row r="154" spans="3:24">
      <c r="C154" s="3" t="s">
        <v>187</v>
      </c>
      <c r="D154" s="3" t="s">
        <v>198</v>
      </c>
      <c r="E154" s="3">
        <v>15676855463.42</v>
      </c>
      <c r="F154" s="100">
        <v>42217</v>
      </c>
      <c r="G154" s="3">
        <v>76585</v>
      </c>
      <c r="H154" s="3">
        <v>210289040.87036365</v>
      </c>
      <c r="I154" s="3">
        <v>0</v>
      </c>
      <c r="J154" s="3">
        <v>1.3413980970931771E-2</v>
      </c>
      <c r="K154" s="3">
        <v>0</v>
      </c>
      <c r="L154" s="3">
        <v>14.960699999999999</v>
      </c>
      <c r="M154" s="3">
        <v>0</v>
      </c>
      <c r="N154" s="3">
        <v>4.9237611700963359E-3</v>
      </c>
      <c r="O154" s="3">
        <v>1084116732.7388999</v>
      </c>
      <c r="P154" s="3">
        <v>0</v>
      </c>
      <c r="Q154" s="3">
        <v>6.7900000000000002E-2</v>
      </c>
      <c r="R154" s="3">
        <v>0</v>
      </c>
      <c r="S154" s="3">
        <v>2</v>
      </c>
      <c r="T154" s="100">
        <v>42248</v>
      </c>
      <c r="U154" s="3">
        <v>5748710.1503636558</v>
      </c>
      <c r="V154" s="96">
        <f>CurrentMtgRatesDataTable82523[[#This Row],[cum_df_pct]]*100</f>
        <v>0</v>
      </c>
      <c r="W154" s="96">
        <f>CurrentMtgRatesDataTable82523[[#This Row],[pct_dq]]*100</f>
        <v>0.49237611700963357</v>
      </c>
      <c r="X154"/>
    </row>
    <row r="155" spans="3:24">
      <c r="C155" s="3" t="s">
        <v>202</v>
      </c>
      <c r="D155" s="3" t="s">
        <v>230</v>
      </c>
      <c r="E155" s="3">
        <v>27745977471.580002</v>
      </c>
      <c r="F155" s="100">
        <v>42186</v>
      </c>
      <c r="G155" s="3">
        <v>130771</v>
      </c>
      <c r="H155" s="3">
        <v>353484815.65770537</v>
      </c>
      <c r="I155" s="3">
        <v>0</v>
      </c>
      <c r="J155" s="3">
        <v>1.2740038299958156E-2</v>
      </c>
      <c r="K155" s="3">
        <v>0</v>
      </c>
      <c r="L155" s="3">
        <v>14.260999999999999</v>
      </c>
      <c r="M155" s="3">
        <v>0</v>
      </c>
      <c r="N155" s="3">
        <v>2.7854082307664707E-3</v>
      </c>
      <c r="O155" s="3">
        <v>353484815.6577</v>
      </c>
      <c r="P155" s="3">
        <v>0</v>
      </c>
      <c r="Q155" s="3">
        <v>1.2699999999999999E-2</v>
      </c>
      <c r="R155" s="3">
        <v>0</v>
      </c>
      <c r="S155" s="3">
        <v>1</v>
      </c>
      <c r="T155" s="100">
        <v>42217</v>
      </c>
      <c r="U155" s="3">
        <v>18590470.36770536</v>
      </c>
      <c r="V155" s="96">
        <f>CurrentMtgRatesDataTable82523[[#This Row],[cum_df_pct]]*100</f>
        <v>0</v>
      </c>
      <c r="W155" s="96">
        <f>CurrentMtgRatesDataTable82523[[#This Row],[pct_dq]]*100</f>
        <v>0.27854082307664707</v>
      </c>
      <c r="X155"/>
    </row>
    <row r="156" spans="3:24">
      <c r="C156" s="3" t="s">
        <v>202</v>
      </c>
      <c r="D156" s="3" t="s">
        <v>230</v>
      </c>
      <c r="E156" s="3">
        <v>27354849593.349998</v>
      </c>
      <c r="F156" s="100">
        <v>42217</v>
      </c>
      <c r="G156" s="3">
        <v>129402</v>
      </c>
      <c r="H156" s="3">
        <v>314038419.34265858</v>
      </c>
      <c r="I156" s="3">
        <v>0</v>
      </c>
      <c r="J156" s="3">
        <v>1.1480173497974623E-2</v>
      </c>
      <c r="K156" s="3">
        <v>0</v>
      </c>
      <c r="L156" s="3">
        <v>12.938800000000001</v>
      </c>
      <c r="M156" s="3">
        <v>0</v>
      </c>
      <c r="N156" s="3">
        <v>3.1858315423231491E-3</v>
      </c>
      <c r="O156" s="3">
        <v>667523235.00030005</v>
      </c>
      <c r="P156" s="3">
        <v>0</v>
      </c>
      <c r="Q156" s="3">
        <v>2.4E-2</v>
      </c>
      <c r="R156" s="3">
        <v>0</v>
      </c>
      <c r="S156" s="3">
        <v>1</v>
      </c>
      <c r="T156" s="100">
        <v>42248</v>
      </c>
      <c r="U156" s="3">
        <v>16828863.042658556</v>
      </c>
      <c r="V156" s="96">
        <f>CurrentMtgRatesDataTable82523[[#This Row],[cum_df_pct]]*100</f>
        <v>0</v>
      </c>
      <c r="W156" s="96">
        <f>CurrentMtgRatesDataTable82523[[#This Row],[pct_dq]]*100</f>
        <v>0.31858315423231492</v>
      </c>
      <c r="X156"/>
    </row>
    <row r="157" spans="3:24">
      <c r="C157" s="3" t="s">
        <v>202</v>
      </c>
      <c r="D157" s="3" t="s">
        <v>231</v>
      </c>
      <c r="E157" s="3">
        <v>19775051818.029999</v>
      </c>
      <c r="F157" s="100">
        <v>42186</v>
      </c>
      <c r="G157" s="3">
        <v>92475</v>
      </c>
      <c r="H157" s="3">
        <v>221497233.62201992</v>
      </c>
      <c r="I157" s="3">
        <v>0</v>
      </c>
      <c r="J157" s="3">
        <v>1.1200842134839248E-2</v>
      </c>
      <c r="K157" s="3">
        <v>0</v>
      </c>
      <c r="L157" s="3">
        <v>12.6431</v>
      </c>
      <c r="M157" s="3">
        <v>0</v>
      </c>
      <c r="N157" s="3">
        <v>2.9994536957885414E-3</v>
      </c>
      <c r="O157" s="3">
        <v>221497233.62200001</v>
      </c>
      <c r="P157" s="3">
        <v>0</v>
      </c>
      <c r="Q157" s="3">
        <v>1.12E-2</v>
      </c>
      <c r="R157" s="3">
        <v>0</v>
      </c>
      <c r="S157" s="3">
        <v>2</v>
      </c>
      <c r="T157" s="100">
        <v>42217</v>
      </c>
      <c r="U157" s="3">
        <v>9013228.6220199019</v>
      </c>
      <c r="V157" s="96">
        <f>CurrentMtgRatesDataTable82523[[#This Row],[cum_df_pct]]*100</f>
        <v>0</v>
      </c>
      <c r="W157" s="96">
        <f>CurrentMtgRatesDataTable82523[[#This Row],[pct_dq]]*100</f>
        <v>0.29994536957885415</v>
      </c>
      <c r="X157"/>
    </row>
    <row r="158" spans="3:24">
      <c r="C158" s="3" t="s">
        <v>202</v>
      </c>
      <c r="D158" s="3" t="s">
        <v>231</v>
      </c>
      <c r="E158" s="3">
        <v>19527197471.060001</v>
      </c>
      <c r="F158" s="100">
        <v>42217</v>
      </c>
      <c r="G158" s="3">
        <v>91612</v>
      </c>
      <c r="H158" s="3">
        <v>206417327.02674514</v>
      </c>
      <c r="I158" s="3">
        <v>0</v>
      </c>
      <c r="J158" s="3">
        <v>1.0570760465379784E-2</v>
      </c>
      <c r="K158" s="3">
        <v>0</v>
      </c>
      <c r="L158" s="3">
        <v>11.972799999999999</v>
      </c>
      <c r="M158" s="3">
        <v>0</v>
      </c>
      <c r="N158" s="3">
        <v>4.4362147772809722E-3</v>
      </c>
      <c r="O158" s="3">
        <v>427914560.6487</v>
      </c>
      <c r="P158" s="3">
        <v>0</v>
      </c>
      <c r="Q158" s="3">
        <v>2.1600000000000001E-2</v>
      </c>
      <c r="R158" s="3">
        <v>0</v>
      </c>
      <c r="S158" s="3">
        <v>2</v>
      </c>
      <c r="T158" s="100">
        <v>42248</v>
      </c>
      <c r="U158" s="3">
        <v>6014386.8667451544</v>
      </c>
      <c r="V158" s="96">
        <f>CurrentMtgRatesDataTable82523[[#This Row],[cum_df_pct]]*100</f>
        <v>0</v>
      </c>
      <c r="W158" s="96">
        <f>CurrentMtgRatesDataTable82523[[#This Row],[pct_dq]]*100</f>
        <v>0.44362147772809724</v>
      </c>
      <c r="X158"/>
    </row>
  </sheetData>
  <pageMargins left="0.7" right="0.7" top="0.75" bottom="0.75" header="0.3" footer="0.3"/>
  <pageSetup orientation="portrait" horizontalDpi="300" verticalDpi="30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3:I48"/>
  <sheetViews>
    <sheetView workbookViewId="0">
      <selection activeCell="C15" sqref="C15:Q15"/>
    </sheetView>
  </sheetViews>
  <sheetFormatPr defaultRowHeight="15"/>
  <cols>
    <col min="2" max="2" width="8.42578125" bestFit="1" customWidth="1"/>
    <col min="3" max="3" width="9.140625" style="93"/>
    <col min="4" max="4" width="18.5703125" style="93" bestFit="1" customWidth="1"/>
    <col min="5" max="5" width="16.28515625" style="93" bestFit="1" customWidth="1"/>
    <col min="6" max="6" width="11" style="93" bestFit="1" customWidth="1"/>
    <col min="7" max="8" width="11" style="93" customWidth="1"/>
    <col min="9" max="9" width="10.42578125" style="93" bestFit="1" customWidth="1"/>
  </cols>
  <sheetData>
    <row r="3" spans="2:9">
      <c r="B3" s="3" t="s">
        <v>104</v>
      </c>
      <c r="C3" s="41" t="s">
        <v>105</v>
      </c>
      <c r="D3" s="41" t="s">
        <v>106</v>
      </c>
      <c r="E3" s="41" t="s">
        <v>107</v>
      </c>
      <c r="F3" s="41" t="s">
        <v>108</v>
      </c>
      <c r="G3" s="41" t="s">
        <v>33</v>
      </c>
      <c r="H3" s="41" t="s">
        <v>110</v>
      </c>
      <c r="I3" s="3" t="s">
        <v>215</v>
      </c>
    </row>
    <row r="4" spans="2:9">
      <c r="B4" s="41" t="s">
        <v>111</v>
      </c>
      <c r="C4" s="41" t="s">
        <v>112</v>
      </c>
      <c r="D4" s="41" t="s">
        <v>113</v>
      </c>
      <c r="E4" s="41" t="s">
        <v>114</v>
      </c>
      <c r="F4" s="42">
        <v>41569</v>
      </c>
      <c r="G4" s="42" t="s">
        <v>115</v>
      </c>
      <c r="H4" s="96">
        <v>1</v>
      </c>
      <c r="I4" s="3" t="str">
        <f>CurrentMtgRatesDataTable82524[[#This Row],[BloombergDealName]]</f>
        <v>CAS 2013-C01</v>
      </c>
    </row>
    <row r="5" spans="2:9">
      <c r="B5" s="41" t="s">
        <v>111</v>
      </c>
      <c r="C5" s="41" t="s">
        <v>116</v>
      </c>
      <c r="D5" s="41" t="s">
        <v>117</v>
      </c>
      <c r="E5" s="41" t="s">
        <v>118</v>
      </c>
      <c r="F5" s="42">
        <v>41569</v>
      </c>
      <c r="G5" s="42" t="s">
        <v>115</v>
      </c>
      <c r="H5" s="96">
        <v>1</v>
      </c>
      <c r="I5" s="3" t="str">
        <f>CurrentMtgRatesDataTable82524[[#This Row],[BloombergDealName]]</f>
        <v>CAS 2013-C01</v>
      </c>
    </row>
    <row r="6" spans="2:9">
      <c r="B6" s="41" t="s">
        <v>119</v>
      </c>
      <c r="C6" s="41" t="s">
        <v>120</v>
      </c>
      <c r="D6" s="41" t="s">
        <v>121</v>
      </c>
      <c r="E6" s="41" t="s">
        <v>122</v>
      </c>
      <c r="F6" s="42">
        <v>41653</v>
      </c>
      <c r="G6" s="42" t="s">
        <v>123</v>
      </c>
      <c r="H6" s="96">
        <v>1</v>
      </c>
      <c r="I6" s="3" t="str">
        <f>CurrentMtgRatesDataTable82524[[#This Row],[BloombergDealName]]</f>
        <v>CAS 2014-C01</v>
      </c>
    </row>
    <row r="7" spans="2:9">
      <c r="B7" s="41" t="s">
        <v>119</v>
      </c>
      <c r="C7" s="41" t="s">
        <v>124</v>
      </c>
      <c r="D7" s="41" t="s">
        <v>125</v>
      </c>
      <c r="E7" s="41" t="s">
        <v>126</v>
      </c>
      <c r="F7" s="42">
        <v>41653</v>
      </c>
      <c r="G7" s="42" t="s">
        <v>123</v>
      </c>
      <c r="H7" s="96">
        <v>1</v>
      </c>
      <c r="I7" s="3" t="str">
        <f>CurrentMtgRatesDataTable82524[[#This Row],[BloombergDealName]]</f>
        <v>CAS 2014-C01</v>
      </c>
    </row>
    <row r="8" spans="2:9">
      <c r="B8" s="41" t="s">
        <v>127</v>
      </c>
      <c r="C8" s="41" t="s">
        <v>128</v>
      </c>
      <c r="D8" s="41" t="s">
        <v>129</v>
      </c>
      <c r="E8" s="41" t="s">
        <v>130</v>
      </c>
      <c r="F8" s="42">
        <v>41780</v>
      </c>
      <c r="G8" s="42" t="s">
        <v>131</v>
      </c>
      <c r="H8" s="96">
        <v>1</v>
      </c>
      <c r="I8" s="3" t="str">
        <f>CurrentMtgRatesDataTable82524[[#This Row],[BloombergDealName]]</f>
        <v>CAS 2014-C02</v>
      </c>
    </row>
    <row r="9" spans="2:9">
      <c r="B9" s="41" t="s">
        <v>127</v>
      </c>
      <c r="C9" s="41" t="s">
        <v>132</v>
      </c>
      <c r="D9" s="41" t="s">
        <v>133</v>
      </c>
      <c r="E9" s="41" t="s">
        <v>134</v>
      </c>
      <c r="F9" s="42">
        <v>41780</v>
      </c>
      <c r="G9" s="42" t="s">
        <v>131</v>
      </c>
      <c r="H9" s="96">
        <v>1</v>
      </c>
      <c r="I9" s="3" t="str">
        <f>CurrentMtgRatesDataTable82524[[#This Row],[BloombergDealName]]</f>
        <v>CAS 2014-C02</v>
      </c>
    </row>
    <row r="10" spans="2:9">
      <c r="B10" s="41" t="s">
        <v>127</v>
      </c>
      <c r="C10" s="41" t="s">
        <v>135</v>
      </c>
      <c r="D10" s="41" t="s">
        <v>136</v>
      </c>
      <c r="E10" s="41" t="s">
        <v>137</v>
      </c>
      <c r="F10" s="42">
        <v>41780</v>
      </c>
      <c r="G10" s="42" t="s">
        <v>138</v>
      </c>
      <c r="H10" s="96">
        <v>2</v>
      </c>
      <c r="I10" s="3" t="str">
        <f>CurrentMtgRatesDataTable82524[[#This Row],[BloombergDealName]]</f>
        <v>CAS 2014-C02</v>
      </c>
    </row>
    <row r="11" spans="2:9">
      <c r="B11" s="41" t="s">
        <v>127</v>
      </c>
      <c r="C11" s="41" t="s">
        <v>139</v>
      </c>
      <c r="D11" s="41" t="s">
        <v>140</v>
      </c>
      <c r="E11" s="41" t="s">
        <v>141</v>
      </c>
      <c r="F11" s="42">
        <v>41780</v>
      </c>
      <c r="G11" s="42" t="s">
        <v>138</v>
      </c>
      <c r="H11" s="96">
        <v>2</v>
      </c>
      <c r="I11" s="3" t="str">
        <f>CurrentMtgRatesDataTable82524[[#This Row],[BloombergDealName]]</f>
        <v>CAS 2014-C02</v>
      </c>
    </row>
    <row r="12" spans="2:9">
      <c r="B12" s="41" t="s">
        <v>142</v>
      </c>
      <c r="C12" s="41" t="s">
        <v>143</v>
      </c>
      <c r="D12" s="41" t="s">
        <v>144</v>
      </c>
      <c r="E12" s="41" t="s">
        <v>145</v>
      </c>
      <c r="F12" s="42">
        <v>41843</v>
      </c>
      <c r="G12" s="42" t="s">
        <v>146</v>
      </c>
      <c r="H12" s="96">
        <v>1</v>
      </c>
      <c r="I12" s="3" t="str">
        <f>CurrentMtgRatesDataTable82524[[#This Row],[BloombergDealName]]</f>
        <v>CAS 2014-C03</v>
      </c>
    </row>
    <row r="13" spans="2:9">
      <c r="B13" s="41" t="s">
        <v>142</v>
      </c>
      <c r="C13" s="41" t="s">
        <v>147</v>
      </c>
      <c r="D13" s="41" t="s">
        <v>148</v>
      </c>
      <c r="E13" s="41" t="s">
        <v>149</v>
      </c>
      <c r="F13" s="42">
        <v>41843</v>
      </c>
      <c r="G13" s="42" t="s">
        <v>146</v>
      </c>
      <c r="H13" s="96">
        <v>1</v>
      </c>
      <c r="I13" s="3" t="str">
        <f>CurrentMtgRatesDataTable82524[[#This Row],[BloombergDealName]]</f>
        <v>CAS 2014-C03</v>
      </c>
    </row>
    <row r="14" spans="2:9">
      <c r="B14" s="41" t="s">
        <v>142</v>
      </c>
      <c r="C14" s="41" t="s">
        <v>150</v>
      </c>
      <c r="D14" s="41" t="s">
        <v>151</v>
      </c>
      <c r="E14" s="41" t="s">
        <v>152</v>
      </c>
      <c r="F14" s="42">
        <v>41843</v>
      </c>
      <c r="G14" s="42" t="s">
        <v>153</v>
      </c>
      <c r="H14" s="96">
        <v>2</v>
      </c>
      <c r="I14" s="3" t="str">
        <f>CurrentMtgRatesDataTable82524[[#This Row],[BloombergDealName]]</f>
        <v>CAS 2014-C03</v>
      </c>
    </row>
    <row r="15" spans="2:9">
      <c r="B15" s="41" t="s">
        <v>142</v>
      </c>
      <c r="C15" s="41" t="s">
        <v>154</v>
      </c>
      <c r="D15" s="41" t="s">
        <v>155</v>
      </c>
      <c r="E15" s="41" t="s">
        <v>156</v>
      </c>
      <c r="F15" s="42">
        <v>41843</v>
      </c>
      <c r="G15" s="42" t="s">
        <v>153</v>
      </c>
      <c r="H15" s="96">
        <v>2</v>
      </c>
      <c r="I15" s="3" t="str">
        <f>CurrentMtgRatesDataTable82524[[#This Row],[BloombergDealName]]</f>
        <v>CAS 2014-C03</v>
      </c>
    </row>
    <row r="16" spans="2:9">
      <c r="B16" s="41" t="s">
        <v>157</v>
      </c>
      <c r="C16" s="41" t="s">
        <v>158</v>
      </c>
      <c r="D16" s="41" t="s">
        <v>159</v>
      </c>
      <c r="E16" s="41" t="s">
        <v>160</v>
      </c>
      <c r="F16" s="42">
        <v>41962</v>
      </c>
      <c r="G16" s="42" t="s">
        <v>161</v>
      </c>
      <c r="H16" s="96">
        <v>1</v>
      </c>
      <c r="I16" s="3" t="str">
        <f>CurrentMtgRatesDataTable82524[[#This Row],[BloombergDealName]]</f>
        <v>CAS 2014-C04</v>
      </c>
    </row>
    <row r="17" spans="2:9">
      <c r="B17" s="41" t="s">
        <v>157</v>
      </c>
      <c r="C17" s="41" t="s">
        <v>162</v>
      </c>
      <c r="D17" s="41" t="s">
        <v>163</v>
      </c>
      <c r="E17" s="41" t="s">
        <v>164</v>
      </c>
      <c r="F17" s="42">
        <v>41962</v>
      </c>
      <c r="G17" s="42" t="s">
        <v>161</v>
      </c>
      <c r="H17" s="96">
        <v>1</v>
      </c>
      <c r="I17" s="3" t="str">
        <f>CurrentMtgRatesDataTable82524[[#This Row],[BloombergDealName]]</f>
        <v>CAS 2014-C04</v>
      </c>
    </row>
    <row r="18" spans="2:9">
      <c r="B18" s="41" t="s">
        <v>157</v>
      </c>
      <c r="C18" s="41" t="s">
        <v>165</v>
      </c>
      <c r="D18" s="41" t="s">
        <v>166</v>
      </c>
      <c r="E18" s="41" t="s">
        <v>167</v>
      </c>
      <c r="F18" s="42">
        <v>41962</v>
      </c>
      <c r="G18" s="42" t="s">
        <v>168</v>
      </c>
      <c r="H18" s="96">
        <v>2</v>
      </c>
      <c r="I18" s="3" t="str">
        <f>CurrentMtgRatesDataTable82524[[#This Row],[BloombergDealName]]</f>
        <v>CAS 2014-C04</v>
      </c>
    </row>
    <row r="19" spans="2:9">
      <c r="B19" s="41" t="s">
        <v>157</v>
      </c>
      <c r="C19" s="41" t="s">
        <v>169</v>
      </c>
      <c r="D19" s="41" t="s">
        <v>170</v>
      </c>
      <c r="E19" s="41" t="s">
        <v>171</v>
      </c>
      <c r="F19" s="42">
        <v>41962</v>
      </c>
      <c r="G19" s="42" t="s">
        <v>168</v>
      </c>
      <c r="H19" s="96">
        <v>2</v>
      </c>
      <c r="I19" s="3" t="str">
        <f>CurrentMtgRatesDataTable82524[[#This Row],[BloombergDealName]]</f>
        <v>CAS 2014-C04</v>
      </c>
    </row>
    <row r="20" spans="2:9">
      <c r="B20" s="41" t="s">
        <v>172</v>
      </c>
      <c r="C20" s="41" t="s">
        <v>173</v>
      </c>
      <c r="D20" s="41" t="s">
        <v>174</v>
      </c>
      <c r="E20" s="41" t="s">
        <v>175</v>
      </c>
      <c r="F20" s="42">
        <v>42054</v>
      </c>
      <c r="G20" s="42" t="s">
        <v>176</v>
      </c>
      <c r="H20" s="96">
        <v>1</v>
      </c>
      <c r="I20" s="3" t="str">
        <f>CurrentMtgRatesDataTable82524[[#This Row],[BloombergDealName]]</f>
        <v>CAS 2015-C01</v>
      </c>
    </row>
    <row r="21" spans="2:9">
      <c r="B21" s="41" t="s">
        <v>172</v>
      </c>
      <c r="C21" s="41" t="s">
        <v>177</v>
      </c>
      <c r="D21" s="41" t="s">
        <v>178</v>
      </c>
      <c r="E21" s="41" t="s">
        <v>179</v>
      </c>
      <c r="F21" s="42">
        <v>42054</v>
      </c>
      <c r="G21" s="42" t="s">
        <v>176</v>
      </c>
      <c r="H21" s="96">
        <v>1</v>
      </c>
      <c r="I21" s="3" t="str">
        <f>CurrentMtgRatesDataTable82524[[#This Row],[BloombergDealName]]</f>
        <v>CAS 2015-C01</v>
      </c>
    </row>
    <row r="22" spans="2:9">
      <c r="B22" s="41" t="s">
        <v>172</v>
      </c>
      <c r="C22" s="41" t="s">
        <v>180</v>
      </c>
      <c r="D22" s="41" t="s">
        <v>181</v>
      </c>
      <c r="E22" s="41" t="s">
        <v>182</v>
      </c>
      <c r="F22" s="42">
        <v>42054</v>
      </c>
      <c r="G22" s="42" t="s">
        <v>183</v>
      </c>
      <c r="H22" s="96">
        <v>2</v>
      </c>
      <c r="I22" s="3" t="str">
        <f>CurrentMtgRatesDataTable82524[[#This Row],[BloombergDealName]]</f>
        <v>CAS 2015-C01</v>
      </c>
    </row>
    <row r="23" spans="2:9">
      <c r="B23" s="41" t="s">
        <v>172</v>
      </c>
      <c r="C23" s="41" t="s">
        <v>184</v>
      </c>
      <c r="D23" s="41" t="s">
        <v>185</v>
      </c>
      <c r="E23" s="41" t="s">
        <v>186</v>
      </c>
      <c r="F23" s="42">
        <v>42054</v>
      </c>
      <c r="G23" s="42" t="s">
        <v>183</v>
      </c>
      <c r="H23" s="96">
        <v>2</v>
      </c>
      <c r="I23" s="3" t="str">
        <f>CurrentMtgRatesDataTable82524[[#This Row],[BloombergDealName]]</f>
        <v>CAS 2015-C01</v>
      </c>
    </row>
    <row r="24" spans="2:9">
      <c r="B24" s="41" t="s">
        <v>187</v>
      </c>
      <c r="C24" s="41" t="s">
        <v>188</v>
      </c>
      <c r="D24" s="41" t="s">
        <v>189</v>
      </c>
      <c r="E24" s="41" t="s">
        <v>190</v>
      </c>
      <c r="F24" s="42">
        <v>42143</v>
      </c>
      <c r="G24" s="42" t="s">
        <v>191</v>
      </c>
      <c r="H24" s="96">
        <v>1</v>
      </c>
      <c r="I24" s="3" t="str">
        <f>CurrentMtgRatesDataTable82524[[#This Row],[BloombergDealName]]</f>
        <v>CAS 2015-C02</v>
      </c>
    </row>
    <row r="25" spans="2:9">
      <c r="B25" s="41" t="s">
        <v>187</v>
      </c>
      <c r="C25" s="41" t="s">
        <v>192</v>
      </c>
      <c r="D25" s="41" t="s">
        <v>193</v>
      </c>
      <c r="E25" s="41" t="s">
        <v>194</v>
      </c>
      <c r="F25" s="42">
        <v>42143</v>
      </c>
      <c r="G25" s="42" t="s">
        <v>191</v>
      </c>
      <c r="H25" s="96">
        <v>1</v>
      </c>
      <c r="I25" s="3" t="str">
        <f>CurrentMtgRatesDataTable82524[[#This Row],[BloombergDealName]]</f>
        <v>CAS 2015-C02</v>
      </c>
    </row>
    <row r="26" spans="2:9">
      <c r="B26" s="41" t="s">
        <v>187</v>
      </c>
      <c r="C26" s="41" t="s">
        <v>195</v>
      </c>
      <c r="D26" s="41" t="s">
        <v>196</v>
      </c>
      <c r="E26" s="41" t="s">
        <v>197</v>
      </c>
      <c r="F26" s="42">
        <v>42143</v>
      </c>
      <c r="G26" s="42" t="s">
        <v>198</v>
      </c>
      <c r="H26" s="96">
        <v>2</v>
      </c>
      <c r="I26" s="3" t="str">
        <f>CurrentMtgRatesDataTable82524[[#This Row],[BloombergDealName]]</f>
        <v>CAS 2015-C02</v>
      </c>
    </row>
    <row r="27" spans="2:9">
      <c r="B27" s="41" t="s">
        <v>187</v>
      </c>
      <c r="C27" s="41" t="s">
        <v>199</v>
      </c>
      <c r="D27" s="41" t="s">
        <v>200</v>
      </c>
      <c r="E27" s="41" t="s">
        <v>201</v>
      </c>
      <c r="F27" s="42">
        <v>42143</v>
      </c>
      <c r="G27" s="42" t="s">
        <v>198</v>
      </c>
      <c r="H27" s="96">
        <v>2</v>
      </c>
      <c r="I27" s="3" t="str">
        <f>CurrentMtgRatesDataTable82524[[#This Row],[BloombergDealName]]</f>
        <v>CAS 2015-C02</v>
      </c>
    </row>
    <row r="28" spans="2:9">
      <c r="B28" s="41" t="s">
        <v>202</v>
      </c>
      <c r="C28" s="41" t="s">
        <v>203</v>
      </c>
      <c r="D28" s="41" t="s">
        <v>204</v>
      </c>
      <c r="E28" s="41" t="s">
        <v>205</v>
      </c>
      <c r="F28" s="42"/>
      <c r="G28" s="42" t="s">
        <v>230</v>
      </c>
      <c r="H28" s="96">
        <v>1</v>
      </c>
      <c r="I28" s="3" t="str">
        <f>CurrentMtgRatesDataTable82524[[#This Row],[BloombergDealName]]</f>
        <v>CAS 2015-C03</v>
      </c>
    </row>
    <row r="29" spans="2:9">
      <c r="B29" s="41" t="s">
        <v>202</v>
      </c>
      <c r="C29" s="41" t="s">
        <v>206</v>
      </c>
      <c r="D29" s="41" t="s">
        <v>207</v>
      </c>
      <c r="E29" s="41" t="s">
        <v>208</v>
      </c>
      <c r="F29" s="42"/>
      <c r="G29" s="42" t="s">
        <v>230</v>
      </c>
      <c r="H29" s="96">
        <v>1</v>
      </c>
      <c r="I29" s="3" t="str">
        <f>CurrentMtgRatesDataTable82524[[#This Row],[BloombergDealName]]</f>
        <v>CAS 2015-C03</v>
      </c>
    </row>
    <row r="30" spans="2:9">
      <c r="B30" s="41" t="s">
        <v>202</v>
      </c>
      <c r="C30" s="41" t="s">
        <v>209</v>
      </c>
      <c r="D30" s="41" t="s">
        <v>210</v>
      </c>
      <c r="E30" s="41" t="s">
        <v>211</v>
      </c>
      <c r="F30" s="42"/>
      <c r="G30" s="42" t="s">
        <v>231</v>
      </c>
      <c r="H30" s="96">
        <v>2</v>
      </c>
      <c r="I30" s="3" t="str">
        <f>CurrentMtgRatesDataTable82524[[#This Row],[BloombergDealName]]</f>
        <v>CAS 2015-C03</v>
      </c>
    </row>
    <row r="31" spans="2:9">
      <c r="B31" s="41" t="s">
        <v>202</v>
      </c>
      <c r="C31" s="41" t="s">
        <v>212</v>
      </c>
      <c r="D31" s="41" t="s">
        <v>213</v>
      </c>
      <c r="E31" s="41" t="s">
        <v>214</v>
      </c>
      <c r="F31" s="42"/>
      <c r="G31" s="42" t="s">
        <v>231</v>
      </c>
      <c r="H31" s="96">
        <v>2</v>
      </c>
      <c r="I31" s="3" t="str">
        <f>CurrentMtgRatesDataTable82524[[#This Row],[BloombergDealName]]</f>
        <v>CAS 2015-C03</v>
      </c>
    </row>
    <row r="32" spans="2:9">
      <c r="I32"/>
    </row>
    <row r="33" spans="9:9">
      <c r="I33"/>
    </row>
    <row r="34" spans="9:9">
      <c r="I34"/>
    </row>
    <row r="35" spans="9:9">
      <c r="I35"/>
    </row>
    <row r="36" spans="9:9">
      <c r="I36"/>
    </row>
    <row r="37" spans="9:9">
      <c r="I37"/>
    </row>
    <row r="38" spans="9:9">
      <c r="I38"/>
    </row>
    <row r="39" spans="9:9">
      <c r="I39"/>
    </row>
    <row r="40" spans="9:9">
      <c r="I40"/>
    </row>
    <row r="41" spans="9:9">
      <c r="I41"/>
    </row>
    <row r="42" spans="9:9">
      <c r="I42"/>
    </row>
    <row r="43" spans="9:9">
      <c r="I43"/>
    </row>
    <row r="44" spans="9:9">
      <c r="I44"/>
    </row>
    <row r="45" spans="9:9">
      <c r="I45"/>
    </row>
    <row r="46" spans="9:9">
      <c r="I46"/>
    </row>
    <row r="47" spans="9:9">
      <c r="I47"/>
    </row>
    <row r="48" spans="9:9">
      <c r="I48"/>
    </row>
  </sheetData>
  <pageMargins left="0.7" right="0.7" top="0.75" bottom="0.75" header="0.3" footer="0.3"/>
  <pageSetup orientation="portrait" horizontalDpi="300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14</vt:i4>
      </vt:variant>
    </vt:vector>
  </HeadingPairs>
  <TitlesOfParts>
    <vt:vector size="20" baseType="lpstr">
      <vt:lpstr>Collateral Report</vt:lpstr>
      <vt:lpstr>Performance Report</vt:lpstr>
      <vt:lpstr>Performance Pivot</vt:lpstr>
      <vt:lpstr>Colleteral Data</vt:lpstr>
      <vt:lpstr>Performance Data</vt:lpstr>
      <vt:lpstr>Deal Pool Mapping</vt:lpstr>
      <vt:lpstr>'Performance Pivot'!CurrentCloseDate</vt:lpstr>
      <vt:lpstr>'Performance Report'!CurrentCloseDate</vt:lpstr>
      <vt:lpstr>'Performance Pivot'!DatabaseEnv</vt:lpstr>
      <vt:lpstr>'Performance Report'!DatabaseEnv</vt:lpstr>
      <vt:lpstr>LatestUpdateDate</vt:lpstr>
      <vt:lpstr>'Performance Pivot'!PDFReportDir</vt:lpstr>
      <vt:lpstr>'Performance Report'!PDFReportDir</vt:lpstr>
      <vt:lpstr>'Performance Pivot'!PDFReportName</vt:lpstr>
      <vt:lpstr>'Performance Report'!PDFReportName</vt:lpstr>
      <vt:lpstr>'Collateral Report'!Print_Area</vt:lpstr>
      <vt:lpstr>'Performance Pivot'!Print_Area</vt:lpstr>
      <vt:lpstr>'Performance Report'!Print_Area</vt:lpstr>
      <vt:lpstr>'Performance Pivot'!SaveRatesToDB</vt:lpstr>
      <vt:lpstr>'Performance Report'!SaveRatesToDB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Lien Chen</dc:creator>
  <cp:lastModifiedBy>Lien Chen</cp:lastModifiedBy>
  <cp:lastPrinted>2015-11-24T16:38:09Z</cp:lastPrinted>
  <dcterms:created xsi:type="dcterms:W3CDTF">2015-03-12T13:39:23Z</dcterms:created>
  <dcterms:modified xsi:type="dcterms:W3CDTF">2015-11-30T19:11:17Z</dcterms:modified>
</cp:coreProperties>
</file>