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4"/>
  </bookViews>
  <sheets>
    <sheet name="Collateral Report" sheetId="14" r:id="rId1"/>
    <sheet name="Performance Report" sheetId="17" r:id="rId2"/>
    <sheet name="Performance Pivot" sheetId="7" r:id="rId3"/>
    <sheet name="Colleteral Data" sheetId="15" r:id="rId4"/>
    <sheet name="Performance Data" sheetId="16" r:id="rId5"/>
  </sheets>
  <functionGroups builtInGroupCount="17"/>
  <definedNames>
    <definedName name="CurrentCloseDate" localSheetId="2">'Performance Pivot'!$AK$2</definedName>
    <definedName name="CurrentCloseDate" localSheetId="1">'Performance Report'!$AL$2</definedName>
    <definedName name="DatabaseEnv" localSheetId="2">'Performance Pivot'!$AK$1</definedName>
    <definedName name="DatabaseEnv" localSheetId="1">'Performance Report'!$AL$1</definedName>
    <definedName name="LatestUpdateDate">'Performance Report'!$AM$12</definedName>
    <definedName name="PDFReportDir" localSheetId="2">'Performance Pivot'!$AK$3</definedName>
    <definedName name="PDFReportDir" localSheetId="1">'Performance Report'!$AL$3</definedName>
    <definedName name="PDFReportName" localSheetId="2">'Performance Pivot'!$AK$4</definedName>
    <definedName name="PDFReportName" localSheetId="1">'Performance Report'!$AL$4</definedName>
    <definedName name="_xlnm.Print_Area" localSheetId="0">'Collateral Report'!$B$1:$R$47</definedName>
    <definedName name="_xlnm.Print_Area" localSheetId="2">'Performance Pivot'!$C$1:$AF$74</definedName>
    <definedName name="_xlnm.Print_Area" localSheetId="1">'Performance Report'!$C$1:$AH$72</definedName>
    <definedName name="Query_from_Agency_11" localSheetId="3" hidden="1">'Colleteral Data'!$B$3:$AE$17</definedName>
    <definedName name="Query_from_Agency_11" localSheetId="4" hidden="1">'Performance Data'!$C$3:$R$135</definedName>
    <definedName name="SaveRatesToDB" localSheetId="2">'Performance Pivot'!$AM$1</definedName>
    <definedName name="SaveRatesToDB" localSheetId="1">'Performance Report'!$AN$1</definedName>
  </definedNames>
  <calcPr calcId="145621"/>
  <pivotCaches>
    <pivotCache cacheId="76" r:id="rId6"/>
  </pivotCaches>
</workbook>
</file>

<file path=xl/calcChain.xml><?xml version="1.0" encoding="utf-8"?>
<calcChain xmlns="http://schemas.openxmlformats.org/spreadsheetml/2006/main">
  <c r="S4" i="16" l="1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C46" i="17"/>
  <c r="T46" i="17"/>
  <c r="T16" i="17"/>
  <c r="AH46" i="17"/>
  <c r="U46" i="17"/>
  <c r="H46" i="17"/>
  <c r="H72" i="17" s="1"/>
  <c r="K46" i="17"/>
  <c r="K72" i="17" s="1"/>
  <c r="L46" i="17"/>
  <c r="L72" i="17" s="1"/>
  <c r="P46" i="17"/>
  <c r="P72" i="17" s="1"/>
  <c r="V16" i="17"/>
  <c r="X16" i="17"/>
  <c r="AB16" i="17"/>
  <c r="AD16" i="17"/>
  <c r="AF16" i="17"/>
  <c r="E16" i="17"/>
  <c r="E46" i="17" s="1"/>
  <c r="E72" i="17" s="1"/>
  <c r="F16" i="17"/>
  <c r="W46" i="17" s="1"/>
  <c r="G16" i="17"/>
  <c r="G46" i="17" s="1"/>
  <c r="G72" i="17" s="1"/>
  <c r="H16" i="17"/>
  <c r="Y16" i="17" s="1"/>
  <c r="I16" i="17"/>
  <c r="Z16" i="17" s="1"/>
  <c r="J16" i="17"/>
  <c r="AA16" i="17" s="1"/>
  <c r="K16" i="17"/>
  <c r="AB46" i="17" s="1"/>
  <c r="L16" i="17"/>
  <c r="AC46" i="17" s="1"/>
  <c r="M16" i="17"/>
  <c r="M46" i="17" s="1"/>
  <c r="M72" i="17" s="1"/>
  <c r="N16" i="17"/>
  <c r="N46" i="17" s="1"/>
  <c r="N72" i="17" s="1"/>
  <c r="O16" i="17"/>
  <c r="O46" i="17" s="1"/>
  <c r="O72" i="17" s="1"/>
  <c r="P16" i="17"/>
  <c r="AG16" i="17" s="1"/>
  <c r="D16" i="17"/>
  <c r="U16" i="17" s="1"/>
  <c r="Z46" i="17" l="1"/>
  <c r="W16" i="17"/>
  <c r="J46" i="17"/>
  <c r="J72" i="17" s="1"/>
  <c r="AG46" i="17"/>
  <c r="Y46" i="17"/>
  <c r="AA46" i="17"/>
  <c r="AE16" i="17"/>
  <c r="AC16" i="17"/>
  <c r="D46" i="17"/>
  <c r="D72" i="17" s="1"/>
  <c r="I46" i="17"/>
  <c r="I72" i="17" s="1"/>
  <c r="AF46" i="17"/>
  <c r="X46" i="17"/>
  <c r="AD46" i="17"/>
  <c r="V46" i="17"/>
  <c r="AE46" i="17"/>
  <c r="F46" i="17"/>
  <c r="F72" i="17" s="1"/>
  <c r="AL4" i="17"/>
  <c r="AH41" i="17"/>
  <c r="U71" i="17"/>
  <c r="V71" i="17"/>
  <c r="W71" i="17"/>
  <c r="X71" i="17"/>
  <c r="Y71" i="17"/>
  <c r="Z71" i="17"/>
  <c r="AA71" i="17"/>
  <c r="AB71" i="17"/>
  <c r="AC71" i="17"/>
  <c r="AD71" i="17"/>
  <c r="AE71" i="17"/>
  <c r="AG71" i="17"/>
  <c r="AH71" i="17"/>
  <c r="V41" i="17"/>
  <c r="W41" i="17"/>
  <c r="X41" i="17"/>
  <c r="Y41" i="17"/>
  <c r="Z41" i="17"/>
  <c r="AA41" i="17"/>
  <c r="AB41" i="17"/>
  <c r="AC41" i="17"/>
  <c r="AD41" i="17"/>
  <c r="AE41" i="17"/>
  <c r="AG41" i="17"/>
  <c r="U41" i="17"/>
  <c r="D41" i="17"/>
  <c r="E41" i="17"/>
  <c r="F41" i="17"/>
  <c r="G41" i="17"/>
  <c r="H41" i="17"/>
  <c r="I41" i="17"/>
  <c r="J41" i="17"/>
  <c r="K41" i="17"/>
  <c r="L41" i="17"/>
  <c r="M41" i="17"/>
  <c r="N41" i="17"/>
  <c r="P41" i="17"/>
  <c r="Q41" i="17"/>
  <c r="C40" i="17"/>
  <c r="C39" i="17"/>
  <c r="J39" i="17" s="1"/>
  <c r="C38" i="17"/>
  <c r="P38" i="17" s="1"/>
  <c r="C37" i="17"/>
  <c r="N37" i="17" s="1"/>
  <c r="C36" i="17"/>
  <c r="E36" i="17" s="1"/>
  <c r="C35" i="17"/>
  <c r="Q35" i="17" s="1"/>
  <c r="C34" i="17"/>
  <c r="P34" i="17" s="1"/>
  <c r="C33" i="17"/>
  <c r="G33" i="17" s="1"/>
  <c r="C32" i="17"/>
  <c r="C62" i="17" s="1"/>
  <c r="M62" i="17" s="1"/>
  <c r="C31" i="17"/>
  <c r="J31" i="17" s="1"/>
  <c r="C30" i="17"/>
  <c r="C60" i="17" s="1"/>
  <c r="H60" i="17" s="1"/>
  <c r="C29" i="17"/>
  <c r="N29" i="17" s="1"/>
  <c r="C28" i="17"/>
  <c r="K28" i="17" s="1"/>
  <c r="C27" i="17"/>
  <c r="D27" i="17" s="1"/>
  <c r="C26" i="17"/>
  <c r="P26" i="17" s="1"/>
  <c r="C25" i="17"/>
  <c r="M25" i="17" s="1"/>
  <c r="C24" i="17"/>
  <c r="L24" i="17" s="1"/>
  <c r="C23" i="17"/>
  <c r="J23" i="17" s="1"/>
  <c r="C22" i="17"/>
  <c r="C52" i="17" s="1"/>
  <c r="G52" i="17" s="1"/>
  <c r="C21" i="17"/>
  <c r="T21" i="17" s="1"/>
  <c r="AH21" i="17" s="1"/>
  <c r="C20" i="17"/>
  <c r="M20" i="17" s="1"/>
  <c r="C19" i="17"/>
  <c r="L19" i="17" s="1"/>
  <c r="C18" i="17"/>
  <c r="P18" i="17" s="1"/>
  <c r="C17" i="17"/>
  <c r="J18" i="17" l="1"/>
  <c r="D40" i="17"/>
  <c r="D43" i="14" s="1"/>
  <c r="AM12" i="17"/>
  <c r="Q30" i="17"/>
  <c r="D31" i="17"/>
  <c r="I31" i="17"/>
  <c r="O18" i="17"/>
  <c r="K35" i="17"/>
  <c r="O22" i="17"/>
  <c r="D39" i="17"/>
  <c r="E24" i="17"/>
  <c r="K39" i="17"/>
  <c r="O26" i="17"/>
  <c r="Q26" i="17"/>
  <c r="M37" i="17"/>
  <c r="F24" i="17"/>
  <c r="I18" i="17"/>
  <c r="K24" i="17"/>
  <c r="K32" i="17"/>
  <c r="I39" i="17"/>
  <c r="M32" i="17"/>
  <c r="E21" i="17"/>
  <c r="L27" i="17"/>
  <c r="Q34" i="17"/>
  <c r="Q62" i="17"/>
  <c r="N32" i="17"/>
  <c r="J22" i="17"/>
  <c r="H29" i="17"/>
  <c r="I35" i="17"/>
  <c r="Q22" i="17"/>
  <c r="Q18" i="17"/>
  <c r="M21" i="17"/>
  <c r="D23" i="17"/>
  <c r="M24" i="17"/>
  <c r="Q27" i="17"/>
  <c r="P29" i="17"/>
  <c r="K31" i="17"/>
  <c r="O33" i="17"/>
  <c r="L35" i="17"/>
  <c r="G38" i="17"/>
  <c r="L39" i="17"/>
  <c r="G21" i="17"/>
  <c r="M29" i="17"/>
  <c r="O37" i="17"/>
  <c r="H40" i="17"/>
  <c r="H43" i="14" s="1"/>
  <c r="E20" i="17"/>
  <c r="O21" i="17"/>
  <c r="I23" i="17"/>
  <c r="N24" i="17"/>
  <c r="E28" i="17"/>
  <c r="G30" i="17"/>
  <c r="L31" i="17"/>
  <c r="G34" i="17"/>
  <c r="N36" i="17"/>
  <c r="I38" i="17"/>
  <c r="Q39" i="17"/>
  <c r="O29" i="17"/>
  <c r="P37" i="17"/>
  <c r="N40" i="17"/>
  <c r="N43" i="14" s="1"/>
  <c r="F20" i="17"/>
  <c r="P21" i="17"/>
  <c r="K23" i="17"/>
  <c r="G26" i="17"/>
  <c r="F28" i="17"/>
  <c r="I30" i="17"/>
  <c r="Q31" i="17"/>
  <c r="I34" i="17"/>
  <c r="E37" i="17"/>
  <c r="J38" i="17"/>
  <c r="AF21" i="17"/>
  <c r="H21" i="17"/>
  <c r="P40" i="17"/>
  <c r="Q43" i="14" s="1"/>
  <c r="K20" i="17"/>
  <c r="G22" i="17"/>
  <c r="L23" i="17"/>
  <c r="I26" i="17"/>
  <c r="E29" i="17"/>
  <c r="J30" i="17"/>
  <c r="E32" i="17"/>
  <c r="J34" i="17"/>
  <c r="G37" i="17"/>
  <c r="O38" i="17"/>
  <c r="AG21" i="17"/>
  <c r="G18" i="17"/>
  <c r="I22" i="17"/>
  <c r="Q23" i="17"/>
  <c r="J26" i="17"/>
  <c r="G29" i="17"/>
  <c r="O30" i="17"/>
  <c r="F32" i="17"/>
  <c r="O34" i="17"/>
  <c r="H37" i="17"/>
  <c r="Q38" i="17"/>
  <c r="E25" i="17"/>
  <c r="H25" i="17"/>
  <c r="E33" i="17"/>
  <c r="L17" i="17"/>
  <c r="K17" i="17"/>
  <c r="F17" i="17"/>
  <c r="E17" i="17"/>
  <c r="O17" i="17"/>
  <c r="P33" i="17"/>
  <c r="G17" i="17"/>
  <c r="D19" i="17"/>
  <c r="G25" i="17"/>
  <c r="T20" i="17"/>
  <c r="X20" i="17" s="1"/>
  <c r="L20" i="17"/>
  <c r="D20" i="17"/>
  <c r="J20" i="17"/>
  <c r="Q20" i="17"/>
  <c r="I20" i="17"/>
  <c r="P20" i="17"/>
  <c r="H20" i="17"/>
  <c r="O20" i="17"/>
  <c r="G20" i="17"/>
  <c r="L28" i="17"/>
  <c r="D28" i="17"/>
  <c r="J28" i="17"/>
  <c r="Q28" i="17"/>
  <c r="I28" i="17"/>
  <c r="P28" i="17"/>
  <c r="H28" i="17"/>
  <c r="O28" i="17"/>
  <c r="G28" i="17"/>
  <c r="L36" i="17"/>
  <c r="D36" i="17"/>
  <c r="J36" i="17"/>
  <c r="Q36" i="17"/>
  <c r="I36" i="17"/>
  <c r="P36" i="17"/>
  <c r="H36" i="17"/>
  <c r="O36" i="17"/>
  <c r="G36" i="17"/>
  <c r="M17" i="17"/>
  <c r="I19" i="17"/>
  <c r="N20" i="17"/>
  <c r="N17" i="17"/>
  <c r="K19" i="17"/>
  <c r="M28" i="17"/>
  <c r="F36" i="17"/>
  <c r="T55" i="17"/>
  <c r="AE55" i="17" s="1"/>
  <c r="N25" i="17"/>
  <c r="F25" i="17"/>
  <c r="L25" i="17"/>
  <c r="D25" i="17"/>
  <c r="K25" i="17"/>
  <c r="J25" i="17"/>
  <c r="Q25" i="17"/>
  <c r="I25" i="17"/>
  <c r="N33" i="17"/>
  <c r="F33" i="17"/>
  <c r="L33" i="17"/>
  <c r="D33" i="17"/>
  <c r="K33" i="17"/>
  <c r="J33" i="17"/>
  <c r="Q33" i="17"/>
  <c r="I33" i="17"/>
  <c r="C57" i="17"/>
  <c r="Q57" i="17" s="1"/>
  <c r="J27" i="17"/>
  <c r="P27" i="17"/>
  <c r="H27" i="17"/>
  <c r="O27" i="17"/>
  <c r="G27" i="17"/>
  <c r="N27" i="17"/>
  <c r="F27" i="17"/>
  <c r="M27" i="17"/>
  <c r="E27" i="17"/>
  <c r="O25" i="17"/>
  <c r="I27" i="17"/>
  <c r="N28" i="17"/>
  <c r="H33" i="17"/>
  <c r="K36" i="17"/>
  <c r="J19" i="17"/>
  <c r="P19" i="17"/>
  <c r="H19" i="17"/>
  <c r="O19" i="17"/>
  <c r="G19" i="17"/>
  <c r="N19" i="17"/>
  <c r="F19" i="17"/>
  <c r="M19" i="17"/>
  <c r="E19" i="17"/>
  <c r="J35" i="17"/>
  <c r="P35" i="17"/>
  <c r="H35" i="17"/>
  <c r="O35" i="17"/>
  <c r="G35" i="17"/>
  <c r="N35" i="17"/>
  <c r="F35" i="17"/>
  <c r="M35" i="17"/>
  <c r="E35" i="17"/>
  <c r="Q19" i="17"/>
  <c r="P25" i="17"/>
  <c r="K27" i="17"/>
  <c r="M33" i="17"/>
  <c r="D35" i="17"/>
  <c r="M36" i="17"/>
  <c r="E40" i="17"/>
  <c r="E43" i="14" s="1"/>
  <c r="K18" i="17"/>
  <c r="I21" i="17"/>
  <c r="Q21" i="17"/>
  <c r="K22" i="17"/>
  <c r="E23" i="17"/>
  <c r="M23" i="17"/>
  <c r="G24" i="17"/>
  <c r="O24" i="17"/>
  <c r="K26" i="17"/>
  <c r="I29" i="17"/>
  <c r="Q29" i="17"/>
  <c r="K30" i="17"/>
  <c r="E31" i="17"/>
  <c r="M31" i="17"/>
  <c r="G32" i="17"/>
  <c r="O32" i="17"/>
  <c r="K34" i="17"/>
  <c r="I37" i="17"/>
  <c r="Q37" i="17"/>
  <c r="K38" i="17"/>
  <c r="E39" i="17"/>
  <c r="M39" i="17"/>
  <c r="Q40" i="17"/>
  <c r="D18" i="17"/>
  <c r="L18" i="17"/>
  <c r="J21" i="17"/>
  <c r="D22" i="17"/>
  <c r="L22" i="17"/>
  <c r="F23" i="17"/>
  <c r="N23" i="17"/>
  <c r="H24" i="17"/>
  <c r="P24" i="17"/>
  <c r="D26" i="17"/>
  <c r="L26" i="17"/>
  <c r="J29" i="17"/>
  <c r="D30" i="17"/>
  <c r="L30" i="17"/>
  <c r="F31" i="17"/>
  <c r="N31" i="17"/>
  <c r="H32" i="17"/>
  <c r="P32" i="17"/>
  <c r="D34" i="17"/>
  <c r="L34" i="17"/>
  <c r="J37" i="17"/>
  <c r="D38" i="17"/>
  <c r="L38" i="17"/>
  <c r="F39" i="17"/>
  <c r="N39" i="17"/>
  <c r="E18" i="17"/>
  <c r="M18" i="17"/>
  <c r="K21" i="17"/>
  <c r="E22" i="17"/>
  <c r="M22" i="17"/>
  <c r="G23" i="17"/>
  <c r="O23" i="17"/>
  <c r="I24" i="17"/>
  <c r="Q24" i="17"/>
  <c r="E26" i="17"/>
  <c r="M26" i="17"/>
  <c r="K29" i="17"/>
  <c r="E30" i="17"/>
  <c r="M30" i="17"/>
  <c r="G31" i="17"/>
  <c r="O31" i="17"/>
  <c r="I32" i="17"/>
  <c r="Q32" i="17"/>
  <c r="E34" i="17"/>
  <c r="M34" i="17"/>
  <c r="K37" i="17"/>
  <c r="E38" i="17"/>
  <c r="M38" i="17"/>
  <c r="G39" i="17"/>
  <c r="O39" i="17"/>
  <c r="F40" i="17"/>
  <c r="F43" i="14" s="1"/>
  <c r="F18" i="17"/>
  <c r="N18" i="17"/>
  <c r="D21" i="17"/>
  <c r="L21" i="17"/>
  <c r="F22" i="17"/>
  <c r="N22" i="17"/>
  <c r="H23" i="17"/>
  <c r="P23" i="17"/>
  <c r="J24" i="17"/>
  <c r="F26" i="17"/>
  <c r="N26" i="17"/>
  <c r="D29" i="17"/>
  <c r="L29" i="17"/>
  <c r="F30" i="17"/>
  <c r="N30" i="17"/>
  <c r="H31" i="17"/>
  <c r="P31" i="17"/>
  <c r="J32" i="17"/>
  <c r="F34" i="17"/>
  <c r="N34" i="17"/>
  <c r="D37" i="17"/>
  <c r="L37" i="17"/>
  <c r="F38" i="17"/>
  <c r="N38" i="17"/>
  <c r="H39" i="17"/>
  <c r="P39" i="17"/>
  <c r="M40" i="17"/>
  <c r="M43" i="14" s="1"/>
  <c r="H18" i="17"/>
  <c r="F21" i="17"/>
  <c r="N21" i="17"/>
  <c r="H22" i="17"/>
  <c r="P22" i="17"/>
  <c r="D24" i="17"/>
  <c r="H26" i="17"/>
  <c r="F29" i="17"/>
  <c r="H30" i="17"/>
  <c r="P30" i="17"/>
  <c r="D32" i="17"/>
  <c r="L32" i="17"/>
  <c r="H34" i="17"/>
  <c r="F37" i="17"/>
  <c r="H38" i="17"/>
  <c r="Q52" i="17"/>
  <c r="Q60" i="17"/>
  <c r="H17" i="17"/>
  <c r="P17" i="17"/>
  <c r="I17" i="17"/>
  <c r="Q17" i="17"/>
  <c r="J17" i="17"/>
  <c r="D17" i="17"/>
  <c r="K52" i="17"/>
  <c r="K40" i="17"/>
  <c r="K43" i="14" s="1"/>
  <c r="J40" i="17"/>
  <c r="J43" i="14" s="1"/>
  <c r="L40" i="17"/>
  <c r="L43" i="14" s="1"/>
  <c r="G40" i="17"/>
  <c r="G43" i="14" s="1"/>
  <c r="O40" i="17"/>
  <c r="P43" i="14" s="1"/>
  <c r="I40" i="17"/>
  <c r="I43" i="14" s="1"/>
  <c r="T36" i="17"/>
  <c r="Z36" i="17" s="1"/>
  <c r="C47" i="17"/>
  <c r="Q47" i="17" s="1"/>
  <c r="C66" i="17"/>
  <c r="M66" i="17" s="1"/>
  <c r="T17" i="17"/>
  <c r="T22" i="17"/>
  <c r="P52" i="17"/>
  <c r="T37" i="17"/>
  <c r="T30" i="17"/>
  <c r="T67" i="17"/>
  <c r="T29" i="17"/>
  <c r="T63" i="17"/>
  <c r="T33" i="17"/>
  <c r="T25" i="17"/>
  <c r="T51" i="17"/>
  <c r="T38" i="17"/>
  <c r="T48" i="17"/>
  <c r="C48" i="17"/>
  <c r="Q48" i="17" s="1"/>
  <c r="T18" i="17"/>
  <c r="T56" i="17"/>
  <c r="T26" i="17"/>
  <c r="T64" i="17"/>
  <c r="T34" i="17"/>
  <c r="C50" i="17"/>
  <c r="Q50" i="17" s="1"/>
  <c r="F66" i="17"/>
  <c r="T57" i="17"/>
  <c r="T27" i="17"/>
  <c r="C58" i="17"/>
  <c r="Q58" i="17" s="1"/>
  <c r="T58" i="17"/>
  <c r="T28" i="17"/>
  <c r="C64" i="17"/>
  <c r="Q64" i="17" s="1"/>
  <c r="T50" i="17"/>
  <c r="J60" i="17"/>
  <c r="D60" i="17"/>
  <c r="L60" i="17"/>
  <c r="E60" i="17"/>
  <c r="M60" i="17"/>
  <c r="F60" i="17"/>
  <c r="N60" i="17"/>
  <c r="I60" i="17"/>
  <c r="K60" i="17"/>
  <c r="P60" i="17"/>
  <c r="C56" i="17"/>
  <c r="Q56" i="17" s="1"/>
  <c r="N62" i="17"/>
  <c r="T49" i="17"/>
  <c r="C49" i="17"/>
  <c r="Q49" i="17" s="1"/>
  <c r="T19" i="17"/>
  <c r="T65" i="17"/>
  <c r="T35" i="17"/>
  <c r="C65" i="17"/>
  <c r="Q65" i="17" s="1"/>
  <c r="T53" i="17"/>
  <c r="T23" i="17"/>
  <c r="T61" i="17"/>
  <c r="T31" i="17"/>
  <c r="C61" i="17"/>
  <c r="Q61" i="17" s="1"/>
  <c r="T69" i="17"/>
  <c r="C69" i="17"/>
  <c r="T39" i="17"/>
  <c r="W21" i="17"/>
  <c r="AE21" i="17"/>
  <c r="Z21" i="17"/>
  <c r="AA21" i="17"/>
  <c r="V21" i="17"/>
  <c r="X21" i="17"/>
  <c r="AB21" i="17"/>
  <c r="AC21" i="17"/>
  <c r="U21" i="17"/>
  <c r="Y21" i="17"/>
  <c r="AD21" i="17"/>
  <c r="C53" i="17"/>
  <c r="Q53" i="17" s="1"/>
  <c r="H62" i="17"/>
  <c r="J62" i="17"/>
  <c r="K62" i="17"/>
  <c r="D62" i="17"/>
  <c r="L62" i="17"/>
  <c r="P62" i="17"/>
  <c r="F62" i="17"/>
  <c r="G62" i="17"/>
  <c r="E62" i="17"/>
  <c r="I62" i="17"/>
  <c r="AA20" i="17"/>
  <c r="W20" i="17"/>
  <c r="AE20" i="17"/>
  <c r="U20" i="17"/>
  <c r="T66" i="17"/>
  <c r="G60" i="17"/>
  <c r="C51" i="17"/>
  <c r="Q51" i="17" s="1"/>
  <c r="C59" i="17"/>
  <c r="Q59" i="17" s="1"/>
  <c r="C63" i="17"/>
  <c r="Q63" i="17" s="1"/>
  <c r="T60" i="17"/>
  <c r="J52" i="17"/>
  <c r="D52" i="17"/>
  <c r="L52" i="17"/>
  <c r="E52" i="17"/>
  <c r="M52" i="17"/>
  <c r="F52" i="17"/>
  <c r="N52" i="17"/>
  <c r="H52" i="17"/>
  <c r="I52" i="17"/>
  <c r="T59" i="17"/>
  <c r="T54" i="17"/>
  <c r="C54" i="17"/>
  <c r="Q54" i="17" s="1"/>
  <c r="T62" i="17"/>
  <c r="T70" i="17"/>
  <c r="C70" i="17"/>
  <c r="T40" i="17"/>
  <c r="T32" i="17"/>
  <c r="T24" i="17"/>
  <c r="C68" i="17"/>
  <c r="T47" i="17"/>
  <c r="C55" i="17"/>
  <c r="Q55" i="17" s="1"/>
  <c r="C67" i="17"/>
  <c r="T68" i="17"/>
  <c r="T52" i="17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D41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D40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D39" i="14"/>
  <c r="D42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D38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D37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D35" i="14"/>
  <c r="D34" i="14"/>
  <c r="D33" i="14"/>
  <c r="D32" i="14"/>
  <c r="D31" i="14"/>
  <c r="D30" i="14"/>
  <c r="D29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D28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D27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D25" i="14"/>
  <c r="D24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D23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E22" i="14"/>
  <c r="D22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D21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D19" i="14"/>
  <c r="D18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D17" i="14"/>
  <c r="Q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D16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D15" i="14"/>
  <c r="U36" i="17" l="1"/>
  <c r="N66" i="17"/>
  <c r="AD20" i="17"/>
  <c r="AC20" i="17"/>
  <c r="V20" i="17"/>
  <c r="AB20" i="17"/>
  <c r="Z20" i="17"/>
  <c r="W36" i="17"/>
  <c r="V36" i="17"/>
  <c r="AA36" i="17"/>
  <c r="X36" i="17"/>
  <c r="H66" i="17"/>
  <c r="AB55" i="17"/>
  <c r="F57" i="17"/>
  <c r="Z55" i="17"/>
  <c r="H57" i="17"/>
  <c r="U55" i="17"/>
  <c r="G57" i="17"/>
  <c r="Y55" i="17"/>
  <c r="I57" i="17"/>
  <c r="V55" i="17"/>
  <c r="AG56" i="17"/>
  <c r="AF56" i="17"/>
  <c r="AH56" i="17"/>
  <c r="AH60" i="17"/>
  <c r="AG60" i="17"/>
  <c r="AF60" i="17"/>
  <c r="Y37" i="17"/>
  <c r="AH37" i="17"/>
  <c r="AG37" i="17"/>
  <c r="AF37" i="17"/>
  <c r="AF70" i="17"/>
  <c r="AG70" i="17"/>
  <c r="AH70" i="17"/>
  <c r="AG31" i="17"/>
  <c r="AF31" i="17"/>
  <c r="AH31" i="17"/>
  <c r="AF50" i="17"/>
  <c r="AH50" i="17"/>
  <c r="AG50" i="17"/>
  <c r="AG18" i="17"/>
  <c r="AF18" i="17"/>
  <c r="AH18" i="17"/>
  <c r="U51" i="17"/>
  <c r="AH51" i="17"/>
  <c r="AG51" i="17"/>
  <c r="AF51" i="17"/>
  <c r="AG23" i="17"/>
  <c r="AF23" i="17"/>
  <c r="AH23" i="17"/>
  <c r="AG28" i="17"/>
  <c r="AH28" i="17"/>
  <c r="AF28" i="17"/>
  <c r="AG48" i="17"/>
  <c r="AF48" i="17"/>
  <c r="AH48" i="17"/>
  <c r="AH33" i="17"/>
  <c r="AG33" i="17"/>
  <c r="AF33" i="17"/>
  <c r="AG17" i="17"/>
  <c r="AH17" i="17"/>
  <c r="AF17" i="17"/>
  <c r="Q68" i="17"/>
  <c r="P68" i="17"/>
  <c r="O68" i="17"/>
  <c r="AF54" i="17"/>
  <c r="AH54" i="17"/>
  <c r="AG54" i="17"/>
  <c r="AA55" i="17"/>
  <c r="X55" i="17"/>
  <c r="AH53" i="17"/>
  <c r="AG53" i="17"/>
  <c r="AF53" i="17"/>
  <c r="AF58" i="17"/>
  <c r="AH58" i="17"/>
  <c r="AG58" i="17"/>
  <c r="N57" i="17"/>
  <c r="L57" i="17"/>
  <c r="AC63" i="17"/>
  <c r="AG63" i="17"/>
  <c r="AH63" i="17"/>
  <c r="AF63" i="17"/>
  <c r="G66" i="17"/>
  <c r="Q66" i="17"/>
  <c r="AH52" i="17"/>
  <c r="AG52" i="17"/>
  <c r="AF52" i="17"/>
  <c r="AG57" i="17"/>
  <c r="AF57" i="17"/>
  <c r="AH57" i="17"/>
  <c r="AG26" i="17"/>
  <c r="AF26" i="17"/>
  <c r="AH26" i="17"/>
  <c r="AH68" i="17"/>
  <c r="AG68" i="17"/>
  <c r="AF68" i="17"/>
  <c r="O70" i="17"/>
  <c r="P70" i="17"/>
  <c r="Q45" i="14" s="1"/>
  <c r="Q70" i="17"/>
  <c r="AG65" i="17"/>
  <c r="AF65" i="17"/>
  <c r="AH65" i="17"/>
  <c r="AC38" i="17"/>
  <c r="AH38" i="17"/>
  <c r="AG38" i="17"/>
  <c r="AF38" i="17"/>
  <c r="Q67" i="17"/>
  <c r="O67" i="17"/>
  <c r="P67" i="17"/>
  <c r="AF62" i="17"/>
  <c r="AH62" i="17"/>
  <c r="AG62" i="17"/>
  <c r="AH61" i="17"/>
  <c r="AG61" i="17"/>
  <c r="AF61" i="17"/>
  <c r="AF47" i="17"/>
  <c r="AG47" i="17"/>
  <c r="AH47" i="17"/>
  <c r="AG49" i="17"/>
  <c r="AF49" i="17"/>
  <c r="AH49" i="17"/>
  <c r="E57" i="17"/>
  <c r="AG24" i="17"/>
  <c r="AF24" i="17"/>
  <c r="AH24" i="17"/>
  <c r="AH59" i="17"/>
  <c r="AG59" i="17"/>
  <c r="AF59" i="17"/>
  <c r="AG39" i="17"/>
  <c r="AF39" i="17"/>
  <c r="AH39" i="17"/>
  <c r="X51" i="17"/>
  <c r="AG34" i="17"/>
  <c r="AF34" i="17"/>
  <c r="AH34" i="17"/>
  <c r="P57" i="17"/>
  <c r="D57" i="17"/>
  <c r="AH29" i="17"/>
  <c r="AG29" i="17"/>
  <c r="AF29" i="17"/>
  <c r="Y20" i="17"/>
  <c r="AG20" i="17"/>
  <c r="AH20" i="17"/>
  <c r="AF20" i="17"/>
  <c r="AG40" i="17"/>
  <c r="Q44" i="14" s="1"/>
  <c r="AF40" i="17"/>
  <c r="P44" i="14" s="1"/>
  <c r="AH40" i="17"/>
  <c r="AH69" i="17"/>
  <c r="AG69" i="17"/>
  <c r="AF69" i="17"/>
  <c r="AH35" i="17"/>
  <c r="AG35" i="17"/>
  <c r="AF35" i="17"/>
  <c r="AB30" i="17"/>
  <c r="AH30" i="17"/>
  <c r="AG30" i="17"/>
  <c r="AF30" i="17"/>
  <c r="AH19" i="17"/>
  <c r="AG19" i="17"/>
  <c r="AF19" i="17"/>
  <c r="M57" i="17"/>
  <c r="AG25" i="17"/>
  <c r="AH25" i="17"/>
  <c r="AF25" i="17"/>
  <c r="Z22" i="17"/>
  <c r="AH22" i="17"/>
  <c r="AG22" i="17"/>
  <c r="AF22" i="17"/>
  <c r="AC55" i="17"/>
  <c r="AF55" i="17"/>
  <c r="AG55" i="17"/>
  <c r="AH55" i="17"/>
  <c r="AD55" i="17"/>
  <c r="AG32" i="17"/>
  <c r="AF32" i="17"/>
  <c r="AH32" i="17"/>
  <c r="AF66" i="17"/>
  <c r="AH66" i="17"/>
  <c r="AG66" i="17"/>
  <c r="W55" i="17"/>
  <c r="Q69" i="17"/>
  <c r="P69" i="17"/>
  <c r="O69" i="17"/>
  <c r="AD22" i="17"/>
  <c r="AH27" i="17"/>
  <c r="AG27" i="17"/>
  <c r="AF27" i="17"/>
  <c r="AG64" i="17"/>
  <c r="AF64" i="17"/>
  <c r="AH64" i="17"/>
  <c r="J57" i="17"/>
  <c r="K57" i="17"/>
  <c r="Y67" i="17"/>
  <c r="AH67" i="17"/>
  <c r="AG67" i="17"/>
  <c r="AF67" i="17"/>
  <c r="AE36" i="17"/>
  <c r="AG36" i="17"/>
  <c r="AH36" i="17"/>
  <c r="AF36" i="17"/>
  <c r="M47" i="17"/>
  <c r="AB36" i="17"/>
  <c r="L66" i="17"/>
  <c r="U37" i="17"/>
  <c r="AD36" i="17"/>
  <c r="I66" i="17"/>
  <c r="V51" i="17"/>
  <c r="AC36" i="17"/>
  <c r="Y36" i="17"/>
  <c r="E66" i="17"/>
  <c r="E47" i="17"/>
  <c r="F47" i="17"/>
  <c r="AB17" i="17"/>
  <c r="G47" i="17"/>
  <c r="AD29" i="17"/>
  <c r="N47" i="17"/>
  <c r="K47" i="17"/>
  <c r="AA29" i="17"/>
  <c r="AE17" i="17"/>
  <c r="AE51" i="17"/>
  <c r="Z25" i="17"/>
  <c r="AD25" i="17"/>
  <c r="P47" i="17"/>
  <c r="L47" i="17"/>
  <c r="D47" i="17"/>
  <c r="W51" i="17"/>
  <c r="H47" i="17"/>
  <c r="I47" i="17"/>
  <c r="X25" i="17"/>
  <c r="AC17" i="17"/>
  <c r="AB51" i="17"/>
  <c r="V17" i="17"/>
  <c r="J47" i="17"/>
  <c r="AA17" i="17"/>
  <c r="AA51" i="17"/>
  <c r="U17" i="17"/>
  <c r="Z17" i="17"/>
  <c r="AD17" i="17"/>
  <c r="Z63" i="17"/>
  <c r="Z51" i="17"/>
  <c r="AC29" i="17"/>
  <c r="W22" i="17"/>
  <c r="K66" i="17"/>
  <c r="D66" i="17"/>
  <c r="Y17" i="17"/>
  <c r="X29" i="17"/>
  <c r="X22" i="17"/>
  <c r="W33" i="17"/>
  <c r="W17" i="17"/>
  <c r="AA63" i="17"/>
  <c r="AC51" i="17"/>
  <c r="AB29" i="17"/>
  <c r="V22" i="17"/>
  <c r="AC22" i="17"/>
  <c r="U33" i="17"/>
  <c r="AC33" i="17"/>
  <c r="AD51" i="17"/>
  <c r="AE22" i="17"/>
  <c r="P66" i="17"/>
  <c r="X63" i="17"/>
  <c r="U29" i="17"/>
  <c r="Y51" i="17"/>
  <c r="U22" i="17"/>
  <c r="J66" i="17"/>
  <c r="AE63" i="17"/>
  <c r="AE25" i="17"/>
  <c r="W38" i="17"/>
  <c r="AC37" i="17"/>
  <c r="U25" i="17"/>
  <c r="AE67" i="17"/>
  <c r="AB22" i="17"/>
  <c r="AE38" i="17"/>
  <c r="W63" i="17"/>
  <c r="W25" i="17"/>
  <c r="AC25" i="17"/>
  <c r="AA22" i="17"/>
  <c r="X38" i="17"/>
  <c r="Y63" i="17"/>
  <c r="AA30" i="17"/>
  <c r="AB25" i="17"/>
  <c r="AA25" i="17"/>
  <c r="Y22" i="17"/>
  <c r="U63" i="17"/>
  <c r="AD63" i="17"/>
  <c r="X17" i="17"/>
  <c r="X67" i="17"/>
  <c r="U38" i="17"/>
  <c r="AD37" i="17"/>
  <c r="AD38" i="17"/>
  <c r="Z67" i="17"/>
  <c r="Y30" i="17"/>
  <c r="Z33" i="17"/>
  <c r="AB33" i="17"/>
  <c r="W30" i="17"/>
  <c r="U67" i="17"/>
  <c r="Z37" i="17"/>
  <c r="Z29" i="17"/>
  <c r="AB38" i="17"/>
  <c r="V63" i="17"/>
  <c r="AB63" i="17"/>
  <c r="AB37" i="17"/>
  <c r="Z38" i="17"/>
  <c r="AD33" i="17"/>
  <c r="V37" i="17"/>
  <c r="AD67" i="17"/>
  <c r="AA38" i="17"/>
  <c r="V30" i="17"/>
  <c r="X30" i="17"/>
  <c r="AA37" i="17"/>
  <c r="X37" i="17"/>
  <c r="AE30" i="17"/>
  <c r="AA33" i="17"/>
  <c r="V33" i="17"/>
  <c r="Y33" i="17"/>
  <c r="V29" i="17"/>
  <c r="Y29" i="17"/>
  <c r="X33" i="17"/>
  <c r="U30" i="17"/>
  <c r="AB67" i="17"/>
  <c r="AE37" i="17"/>
  <c r="AE29" i="17"/>
  <c r="Y38" i="17"/>
  <c r="AD30" i="17"/>
  <c r="V67" i="17"/>
  <c r="Z30" i="17"/>
  <c r="AC67" i="17"/>
  <c r="AE33" i="17"/>
  <c r="W67" i="17"/>
  <c r="AA67" i="17"/>
  <c r="AC30" i="17"/>
  <c r="W37" i="17"/>
  <c r="W29" i="17"/>
  <c r="V38" i="17"/>
  <c r="V25" i="17"/>
  <c r="Y25" i="17"/>
  <c r="G67" i="17"/>
  <c r="I67" i="17"/>
  <c r="J67" i="17"/>
  <c r="K67" i="17"/>
  <c r="N67" i="17"/>
  <c r="E67" i="17"/>
  <c r="F67" i="17"/>
  <c r="D67" i="17"/>
  <c r="H67" i="17"/>
  <c r="M67" i="17"/>
  <c r="L67" i="17"/>
  <c r="F64" i="17"/>
  <c r="N64" i="17"/>
  <c r="H64" i="17"/>
  <c r="I64" i="17"/>
  <c r="J64" i="17"/>
  <c r="E64" i="17"/>
  <c r="G64" i="17"/>
  <c r="L64" i="17"/>
  <c r="M64" i="17"/>
  <c r="D64" i="17"/>
  <c r="K64" i="17"/>
  <c r="P64" i="17"/>
  <c r="U58" i="17"/>
  <c r="AC58" i="17"/>
  <c r="X58" i="17"/>
  <c r="Y58" i="17"/>
  <c r="AD58" i="17"/>
  <c r="AE58" i="17"/>
  <c r="V58" i="17"/>
  <c r="W58" i="17"/>
  <c r="Z58" i="17"/>
  <c r="AA58" i="17"/>
  <c r="AB58" i="17"/>
  <c r="X28" i="17"/>
  <c r="Y28" i="17"/>
  <c r="AA28" i="17"/>
  <c r="AB28" i="17"/>
  <c r="U28" i="17"/>
  <c r="V28" i="17"/>
  <c r="W28" i="17"/>
  <c r="Z28" i="17"/>
  <c r="AC28" i="17"/>
  <c r="AD28" i="17"/>
  <c r="AE28" i="17"/>
  <c r="D58" i="17"/>
  <c r="L58" i="17"/>
  <c r="F58" i="17"/>
  <c r="N58" i="17"/>
  <c r="G58" i="17"/>
  <c r="P58" i="17"/>
  <c r="H58" i="17"/>
  <c r="E58" i="17"/>
  <c r="J58" i="17"/>
  <c r="K58" i="17"/>
  <c r="I58" i="17"/>
  <c r="M58" i="17"/>
  <c r="X32" i="17"/>
  <c r="U32" i="17"/>
  <c r="Y32" i="17"/>
  <c r="AA32" i="17"/>
  <c r="AB32" i="17"/>
  <c r="V32" i="17"/>
  <c r="W32" i="17"/>
  <c r="Z32" i="17"/>
  <c r="AC32" i="17"/>
  <c r="AD32" i="17"/>
  <c r="AE32" i="17"/>
  <c r="Z49" i="17"/>
  <c r="AB49" i="17"/>
  <c r="U49" i="17"/>
  <c r="AC49" i="17"/>
  <c r="V49" i="17"/>
  <c r="AD49" i="17"/>
  <c r="X49" i="17"/>
  <c r="Y49" i="17"/>
  <c r="W49" i="17"/>
  <c r="AA49" i="17"/>
  <c r="AE49" i="17"/>
  <c r="K55" i="17"/>
  <c r="E55" i="17"/>
  <c r="M55" i="17"/>
  <c r="F55" i="17"/>
  <c r="N55" i="17"/>
  <c r="G55" i="17"/>
  <c r="P55" i="17"/>
  <c r="J55" i="17"/>
  <c r="L55" i="17"/>
  <c r="D55" i="17"/>
  <c r="I55" i="17"/>
  <c r="H55" i="17"/>
  <c r="X40" i="17"/>
  <c r="G44" i="14" s="1"/>
  <c r="U40" i="17"/>
  <c r="D44" i="14" s="1"/>
  <c r="Y40" i="17"/>
  <c r="H44" i="14" s="1"/>
  <c r="AA40" i="17"/>
  <c r="J44" i="14" s="1"/>
  <c r="AB40" i="17"/>
  <c r="K44" i="14" s="1"/>
  <c r="V40" i="17"/>
  <c r="E44" i="14" s="1"/>
  <c r="Z40" i="17"/>
  <c r="I44" i="14" s="1"/>
  <c r="W40" i="17"/>
  <c r="F44" i="14" s="1"/>
  <c r="AC40" i="17"/>
  <c r="L44" i="14" s="1"/>
  <c r="AD40" i="17"/>
  <c r="M44" i="14" s="1"/>
  <c r="AE40" i="17"/>
  <c r="N44" i="14" s="1"/>
  <c r="Y54" i="17"/>
  <c r="AB54" i="17"/>
  <c r="U54" i="17"/>
  <c r="AC54" i="17"/>
  <c r="AE54" i="17"/>
  <c r="W54" i="17"/>
  <c r="X54" i="17"/>
  <c r="V54" i="17"/>
  <c r="Z54" i="17"/>
  <c r="AA54" i="17"/>
  <c r="AD54" i="17"/>
  <c r="K63" i="17"/>
  <c r="E63" i="17"/>
  <c r="M63" i="17"/>
  <c r="F63" i="17"/>
  <c r="N63" i="17"/>
  <c r="G63" i="17"/>
  <c r="P63" i="17"/>
  <c r="D63" i="17"/>
  <c r="I63" i="17"/>
  <c r="J63" i="17"/>
  <c r="H63" i="17"/>
  <c r="L63" i="17"/>
  <c r="E53" i="17"/>
  <c r="M53" i="17"/>
  <c r="G53" i="17"/>
  <c r="P53" i="17"/>
  <c r="H53" i="17"/>
  <c r="I53" i="17"/>
  <c r="D53" i="17"/>
  <c r="F53" i="17"/>
  <c r="K53" i="17"/>
  <c r="L53" i="17"/>
  <c r="J53" i="17"/>
  <c r="N53" i="17"/>
  <c r="AB23" i="17"/>
  <c r="AC23" i="17"/>
  <c r="W23" i="17"/>
  <c r="AE23" i="17"/>
  <c r="X23" i="17"/>
  <c r="V23" i="17"/>
  <c r="Y23" i="17"/>
  <c r="U23" i="17"/>
  <c r="Z23" i="17"/>
  <c r="AA23" i="17"/>
  <c r="AD23" i="17"/>
  <c r="AB27" i="17"/>
  <c r="AC27" i="17"/>
  <c r="W27" i="17"/>
  <c r="AE27" i="17"/>
  <c r="U27" i="17"/>
  <c r="X27" i="17"/>
  <c r="V27" i="17"/>
  <c r="Y27" i="17"/>
  <c r="Z27" i="17"/>
  <c r="AA27" i="17"/>
  <c r="AD27" i="17"/>
  <c r="X34" i="17"/>
  <c r="Y34" i="17"/>
  <c r="AA34" i="17"/>
  <c r="AB34" i="17"/>
  <c r="AD34" i="17"/>
  <c r="U34" i="17"/>
  <c r="AE34" i="17"/>
  <c r="V34" i="17"/>
  <c r="W34" i="17"/>
  <c r="Z34" i="17"/>
  <c r="AC34" i="17"/>
  <c r="W56" i="17"/>
  <c r="AE56" i="17"/>
  <c r="Z56" i="17"/>
  <c r="AA56" i="17"/>
  <c r="AD56" i="17"/>
  <c r="V56" i="17"/>
  <c r="X56" i="17"/>
  <c r="U56" i="17"/>
  <c r="Y56" i="17"/>
  <c r="AB56" i="17"/>
  <c r="AC56" i="17"/>
  <c r="X24" i="17"/>
  <c r="U24" i="17"/>
  <c r="Y24" i="17"/>
  <c r="AA24" i="17"/>
  <c r="AB24" i="17"/>
  <c r="V24" i="17"/>
  <c r="W24" i="17"/>
  <c r="Z24" i="17"/>
  <c r="AC24" i="17"/>
  <c r="AD24" i="17"/>
  <c r="AE24" i="17"/>
  <c r="I49" i="17"/>
  <c r="K49" i="17"/>
  <c r="D49" i="17"/>
  <c r="L49" i="17"/>
  <c r="E49" i="17"/>
  <c r="M49" i="17"/>
  <c r="H49" i="17"/>
  <c r="J49" i="17"/>
  <c r="P49" i="17"/>
  <c r="F49" i="17"/>
  <c r="G49" i="17"/>
  <c r="N49" i="17"/>
  <c r="H54" i="17"/>
  <c r="J54" i="17"/>
  <c r="K54" i="17"/>
  <c r="D54" i="17"/>
  <c r="L54" i="17"/>
  <c r="G54" i="17"/>
  <c r="I54" i="17"/>
  <c r="N54" i="17"/>
  <c r="P54" i="17"/>
  <c r="E54" i="17"/>
  <c r="F54" i="17"/>
  <c r="M54" i="17"/>
  <c r="V69" i="17"/>
  <c r="AD69" i="17"/>
  <c r="Y69" i="17"/>
  <c r="Z69" i="17"/>
  <c r="AB69" i="17"/>
  <c r="AC69" i="17"/>
  <c r="U69" i="17"/>
  <c r="AE69" i="17"/>
  <c r="W69" i="17"/>
  <c r="AA69" i="17"/>
  <c r="X69" i="17"/>
  <c r="E61" i="17"/>
  <c r="M61" i="17"/>
  <c r="G61" i="17"/>
  <c r="P61" i="17"/>
  <c r="H61" i="17"/>
  <c r="I61" i="17"/>
  <c r="L61" i="17"/>
  <c r="N61" i="17"/>
  <c r="D61" i="17"/>
  <c r="J61" i="17"/>
  <c r="F61" i="17"/>
  <c r="K61" i="17"/>
  <c r="V53" i="17"/>
  <c r="AD53" i="17"/>
  <c r="X53" i="17"/>
  <c r="Y53" i="17"/>
  <c r="Z53" i="17"/>
  <c r="AC53" i="17"/>
  <c r="AE53" i="17"/>
  <c r="U53" i="17"/>
  <c r="W53" i="17"/>
  <c r="AA53" i="17"/>
  <c r="AB53" i="17"/>
  <c r="Z57" i="17"/>
  <c r="U57" i="17"/>
  <c r="AC57" i="17"/>
  <c r="V57" i="17"/>
  <c r="AD57" i="17"/>
  <c r="AE57" i="17"/>
  <c r="W57" i="17"/>
  <c r="X57" i="17"/>
  <c r="Y57" i="17"/>
  <c r="AA57" i="17"/>
  <c r="AB57" i="17"/>
  <c r="U66" i="17"/>
  <c r="AC66" i="17"/>
  <c r="X66" i="17"/>
  <c r="Y66" i="17"/>
  <c r="AB66" i="17"/>
  <c r="AD66" i="17"/>
  <c r="V66" i="17"/>
  <c r="W66" i="17"/>
  <c r="Z66" i="17"/>
  <c r="AA66" i="17"/>
  <c r="AE66" i="17"/>
  <c r="AB39" i="17"/>
  <c r="AC39" i="17"/>
  <c r="W39" i="17"/>
  <c r="AE39" i="17"/>
  <c r="X39" i="17"/>
  <c r="V39" i="17"/>
  <c r="Y39" i="17"/>
  <c r="U39" i="17"/>
  <c r="Z39" i="17"/>
  <c r="AA39" i="17"/>
  <c r="AD39" i="17"/>
  <c r="V61" i="17"/>
  <c r="AD61" i="17"/>
  <c r="Y61" i="17"/>
  <c r="Z61" i="17"/>
  <c r="AC61" i="17"/>
  <c r="AE61" i="17"/>
  <c r="U61" i="17"/>
  <c r="W61" i="17"/>
  <c r="X61" i="17"/>
  <c r="AA61" i="17"/>
  <c r="AB61" i="17"/>
  <c r="W19" i="17"/>
  <c r="AE19" i="17"/>
  <c r="Z19" i="17"/>
  <c r="AA19" i="17"/>
  <c r="V19" i="17"/>
  <c r="Y19" i="17"/>
  <c r="U19" i="17"/>
  <c r="AB19" i="17"/>
  <c r="X19" i="17"/>
  <c r="AC19" i="17"/>
  <c r="AD19" i="17"/>
  <c r="X26" i="17"/>
  <c r="Y26" i="17"/>
  <c r="AA26" i="17"/>
  <c r="AB26" i="17"/>
  <c r="AD26" i="17"/>
  <c r="AE26" i="17"/>
  <c r="V26" i="17"/>
  <c r="U26" i="17"/>
  <c r="Z26" i="17"/>
  <c r="AC26" i="17"/>
  <c r="W26" i="17"/>
  <c r="F48" i="17"/>
  <c r="N48" i="17"/>
  <c r="H48" i="17"/>
  <c r="I48" i="17"/>
  <c r="J48" i="17"/>
  <c r="E48" i="17"/>
  <c r="G48" i="17"/>
  <c r="L48" i="17"/>
  <c r="M48" i="17"/>
  <c r="K48" i="17"/>
  <c r="P48" i="17"/>
  <c r="D48" i="17"/>
  <c r="E69" i="17"/>
  <c r="M69" i="17"/>
  <c r="G69" i="17"/>
  <c r="H69" i="17"/>
  <c r="I69" i="17"/>
  <c r="D69" i="17"/>
  <c r="F69" i="17"/>
  <c r="K69" i="17"/>
  <c r="L69" i="17"/>
  <c r="J69" i="17"/>
  <c r="N69" i="17"/>
  <c r="I65" i="17"/>
  <c r="K65" i="17"/>
  <c r="D65" i="17"/>
  <c r="L65" i="17"/>
  <c r="E65" i="17"/>
  <c r="M65" i="17"/>
  <c r="H65" i="17"/>
  <c r="J65" i="17"/>
  <c r="P65" i="17"/>
  <c r="N65" i="17"/>
  <c r="F65" i="17"/>
  <c r="G65" i="17"/>
  <c r="AA60" i="17"/>
  <c r="V60" i="17"/>
  <c r="AD60" i="17"/>
  <c r="W60" i="17"/>
  <c r="AE60" i="17"/>
  <c r="AC60" i="17"/>
  <c r="U60" i="17"/>
  <c r="X60" i="17"/>
  <c r="Y60" i="17"/>
  <c r="Z60" i="17"/>
  <c r="AB60" i="17"/>
  <c r="W48" i="17"/>
  <c r="AE48" i="17"/>
  <c r="Y48" i="17"/>
  <c r="Z48" i="17"/>
  <c r="AA48" i="17"/>
  <c r="AD48" i="17"/>
  <c r="U48" i="17"/>
  <c r="V48" i="17"/>
  <c r="X48" i="17"/>
  <c r="AB48" i="17"/>
  <c r="AC48" i="17"/>
  <c r="H70" i="17"/>
  <c r="H45" i="14" s="1"/>
  <c r="J70" i="17"/>
  <c r="J45" i="14" s="1"/>
  <c r="K70" i="17"/>
  <c r="K45" i="14" s="1"/>
  <c r="D70" i="17"/>
  <c r="D45" i="14" s="1"/>
  <c r="L70" i="17"/>
  <c r="L45" i="14" s="1"/>
  <c r="G70" i="17"/>
  <c r="G45" i="14" s="1"/>
  <c r="I70" i="17"/>
  <c r="I45" i="14" s="1"/>
  <c r="N70" i="17"/>
  <c r="N45" i="14" s="1"/>
  <c r="M70" i="17"/>
  <c r="M45" i="14" s="1"/>
  <c r="E70" i="17"/>
  <c r="E45" i="14" s="1"/>
  <c r="F70" i="17"/>
  <c r="F45" i="14" s="1"/>
  <c r="G59" i="17"/>
  <c r="P59" i="17"/>
  <c r="I59" i="17"/>
  <c r="J59" i="17"/>
  <c r="K59" i="17"/>
  <c r="F59" i="17"/>
  <c r="H59" i="17"/>
  <c r="M59" i="17"/>
  <c r="N59" i="17"/>
  <c r="D59" i="17"/>
  <c r="E59" i="17"/>
  <c r="L59" i="17"/>
  <c r="F56" i="17"/>
  <c r="N56" i="17"/>
  <c r="H56" i="17"/>
  <c r="I56" i="17"/>
  <c r="J56" i="17"/>
  <c r="M56" i="17"/>
  <c r="P56" i="17"/>
  <c r="D56" i="17"/>
  <c r="E56" i="17"/>
  <c r="G56" i="17"/>
  <c r="K56" i="17"/>
  <c r="L56" i="17"/>
  <c r="W64" i="17"/>
  <c r="AE64" i="17"/>
  <c r="Z64" i="17"/>
  <c r="AA64" i="17"/>
  <c r="AC64" i="17"/>
  <c r="AD64" i="17"/>
  <c r="U64" i="17"/>
  <c r="V64" i="17"/>
  <c r="X64" i="17"/>
  <c r="Y64" i="17"/>
  <c r="AB64" i="17"/>
  <c r="J68" i="17"/>
  <c r="D68" i="17"/>
  <c r="L68" i="17"/>
  <c r="E68" i="17"/>
  <c r="M68" i="17"/>
  <c r="F68" i="17"/>
  <c r="N68" i="17"/>
  <c r="H68" i="17"/>
  <c r="I68" i="17"/>
  <c r="G68" i="17"/>
  <c r="K68" i="17"/>
  <c r="Y62" i="17"/>
  <c r="AB62" i="17"/>
  <c r="U62" i="17"/>
  <c r="AC62" i="17"/>
  <c r="AD62" i="17"/>
  <c r="AE62" i="17"/>
  <c r="V62" i="17"/>
  <c r="W62" i="17"/>
  <c r="X62" i="17"/>
  <c r="Z62" i="17"/>
  <c r="AA62" i="17"/>
  <c r="AA52" i="17"/>
  <c r="U52" i="17"/>
  <c r="AC52" i="17"/>
  <c r="V52" i="17"/>
  <c r="AD52" i="17"/>
  <c r="W52" i="17"/>
  <c r="AE52" i="17"/>
  <c r="Z52" i="17"/>
  <c r="AB52" i="17"/>
  <c r="X52" i="17"/>
  <c r="Y52" i="17"/>
  <c r="Y70" i="17"/>
  <c r="AB70" i="17"/>
  <c r="U70" i="17"/>
  <c r="AC70" i="17"/>
  <c r="AA70" i="17"/>
  <c r="AD70" i="17"/>
  <c r="V70" i="17"/>
  <c r="W70" i="17"/>
  <c r="X70" i="17"/>
  <c r="Z70" i="17"/>
  <c r="AE70" i="17"/>
  <c r="AB35" i="17"/>
  <c r="AC35" i="17"/>
  <c r="W35" i="17"/>
  <c r="AE35" i="17"/>
  <c r="U35" i="17"/>
  <c r="X35" i="17"/>
  <c r="V35" i="17"/>
  <c r="Y35" i="17"/>
  <c r="Z35" i="17"/>
  <c r="AD35" i="17"/>
  <c r="AA35" i="17"/>
  <c r="D50" i="17"/>
  <c r="L50" i="17"/>
  <c r="F50" i="17"/>
  <c r="N50" i="17"/>
  <c r="G50" i="17"/>
  <c r="P50" i="17"/>
  <c r="H50" i="17"/>
  <c r="K50" i="17"/>
  <c r="M50" i="17"/>
  <c r="E50" i="17"/>
  <c r="J50" i="17"/>
  <c r="I50" i="17"/>
  <c r="AA68" i="17"/>
  <c r="V68" i="17"/>
  <c r="AD68" i="17"/>
  <c r="W68" i="17"/>
  <c r="AE68" i="17"/>
  <c r="AB68" i="17"/>
  <c r="AC68" i="17"/>
  <c r="U68" i="17"/>
  <c r="X68" i="17"/>
  <c r="Y68" i="17"/>
  <c r="Z68" i="17"/>
  <c r="AE47" i="17"/>
  <c r="W47" i="17"/>
  <c r="AB47" i="17"/>
  <c r="AA47" i="17"/>
  <c r="V47" i="17"/>
  <c r="U47" i="17"/>
  <c r="AD47" i="17"/>
  <c r="AC47" i="17"/>
  <c r="Z47" i="17"/>
  <c r="Y47" i="17"/>
  <c r="X47" i="17"/>
  <c r="X59" i="17"/>
  <c r="AA59" i="17"/>
  <c r="AB59" i="17"/>
  <c r="AD59" i="17"/>
  <c r="AE59" i="17"/>
  <c r="V59" i="17"/>
  <c r="W59" i="17"/>
  <c r="U59" i="17"/>
  <c r="Y59" i="17"/>
  <c r="Z59" i="17"/>
  <c r="AC59" i="17"/>
  <c r="G51" i="17"/>
  <c r="P51" i="17"/>
  <c r="I51" i="17"/>
  <c r="J51" i="17"/>
  <c r="K51" i="17"/>
  <c r="N51" i="17"/>
  <c r="E51" i="17"/>
  <c r="F51" i="17"/>
  <c r="D51" i="17"/>
  <c r="H51" i="17"/>
  <c r="L51" i="17"/>
  <c r="M51" i="17"/>
  <c r="AB31" i="17"/>
  <c r="AC31" i="17"/>
  <c r="W31" i="17"/>
  <c r="AE31" i="17"/>
  <c r="X31" i="17"/>
  <c r="V31" i="17"/>
  <c r="Y31" i="17"/>
  <c r="Z31" i="17"/>
  <c r="U31" i="17"/>
  <c r="AA31" i="17"/>
  <c r="AD31" i="17"/>
  <c r="Z65" i="17"/>
  <c r="U65" i="17"/>
  <c r="AC65" i="17"/>
  <c r="V65" i="17"/>
  <c r="AD65" i="17"/>
  <c r="AB65" i="17"/>
  <c r="AE65" i="17"/>
  <c r="W65" i="17"/>
  <c r="X65" i="17"/>
  <c r="Y65" i="17"/>
  <c r="AA65" i="17"/>
  <c r="U50" i="17"/>
  <c r="AC50" i="17"/>
  <c r="W50" i="17"/>
  <c r="AE50" i="17"/>
  <c r="X50" i="17"/>
  <c r="Y50" i="17"/>
  <c r="V50" i="17"/>
  <c r="AA50" i="17"/>
  <c r="AB50" i="17"/>
  <c r="Z50" i="17"/>
  <c r="AD50" i="17"/>
  <c r="AA18" i="17"/>
  <c r="V18" i="17"/>
  <c r="AD18" i="17"/>
  <c r="W18" i="17"/>
  <c r="AE18" i="17"/>
  <c r="Y18" i="17"/>
  <c r="Z18" i="17"/>
  <c r="AC18" i="17"/>
  <c r="U18" i="17"/>
  <c r="X18" i="17"/>
  <c r="AB18" i="17"/>
  <c r="P45" i="14" l="1"/>
  <c r="O45" i="14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exec CRT_SurveillanceReports_CollateralSummary_FHL"/>
  </connection>
  <connection id="2" name="LoanLevelQuery1" type="1" refreshedVersion="4" savePassword="1" saveData="1">
    <dbPr connection="DSN=Agency" command="exec CRT_SurveillanceReports_PerformanceSummary_FHL"/>
  </connection>
</connections>
</file>

<file path=xl/sharedStrings.xml><?xml version="1.0" encoding="utf-8"?>
<sst xmlns="http://schemas.openxmlformats.org/spreadsheetml/2006/main" count="474" uniqueCount="126">
  <si>
    <t>Database Env</t>
  </si>
  <si>
    <t>Save Data to DB</t>
  </si>
  <si>
    <t>As of Date</t>
  </si>
  <si>
    <t>Report Name</t>
  </si>
  <si>
    <t>No</t>
  </si>
  <si>
    <t>Report Folder</t>
  </si>
  <si>
    <t>PROD</t>
  </si>
  <si>
    <t>CPR %</t>
  </si>
  <si>
    <t>CDR %</t>
  </si>
  <si>
    <t>Sum of CPR</t>
  </si>
  <si>
    <t>Column Labels</t>
  </si>
  <si>
    <t>Row Labels</t>
  </si>
  <si>
    <t>DealID</t>
  </si>
  <si>
    <t>beginDate</t>
  </si>
  <si>
    <t>CPR</t>
  </si>
  <si>
    <t>CDR</t>
  </si>
  <si>
    <t>pct_dq</t>
  </si>
  <si>
    <t>cum_pp_pct</t>
  </si>
  <si>
    <t>cum_df_pct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</si>
  <si>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</si>
  <si>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</si>
  <si>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</si>
  <si>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</si>
  <si>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</si>
  <si>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</si>
  <si>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</si>
  <si>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</si>
  <si>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</si>
  <si>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</si>
  <si>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</si>
  <si>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APL</t>
  </si>
  <si>
    <t>RPL</t>
  </si>
  <si>
    <t>lateNPL</t>
  </si>
  <si>
    <t>2nd</t>
  </si>
  <si>
    <t xml:space="preserve"> CurrentLoanCount 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</si>
  <si>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</si>
  <si>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</si>
  <si>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</si>
  <si>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</si>
  <si>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</si>
  <si>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</si>
  <si>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</si>
  <si>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</si>
  <si>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</si>
  <si>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</si>
  <si>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</si>
  <si>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</si>
  <si>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</si>
  <si>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</si>
  <si>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</si>
  <si>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</si>
  <si>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</si>
  <si>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</si>
  <si>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</si>
  <si>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</si>
  <si>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</si>
  <si>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</si>
  <si>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</si>
  <si>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</si>
  <si>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</si>
  <si>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</si>
  <si>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</si>
  <si>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STACR 2013-DN1</t>
  </si>
  <si>
    <t>13DN01</t>
  </si>
  <si>
    <t>STACR 2013-DN2</t>
  </si>
  <si>
    <t>13DN02</t>
  </si>
  <si>
    <t>STACR 2014-DN1</t>
  </si>
  <si>
    <t>14DN01</t>
  </si>
  <si>
    <t>STACR 2014-DN2</t>
  </si>
  <si>
    <t>14DN02</t>
  </si>
  <si>
    <t>STACR 2014-DN3</t>
  </si>
  <si>
    <t>14DN03</t>
  </si>
  <si>
    <t>STACR 2014-DN4</t>
  </si>
  <si>
    <t>14DN04</t>
  </si>
  <si>
    <t>STACR 2014-HQ1</t>
  </si>
  <si>
    <t>14HQ01</t>
  </si>
  <si>
    <t>STACR 2014-HQ2</t>
  </si>
  <si>
    <t>14HQ02</t>
  </si>
  <si>
    <t>STACR 2014-HQ3</t>
  </si>
  <si>
    <t>14HQ03</t>
  </si>
  <si>
    <t>STACR 2015-DN1</t>
  </si>
  <si>
    <t>15DN01</t>
  </si>
  <si>
    <t>STACR 2015-DNA1</t>
  </si>
  <si>
    <t>15DNA1</t>
  </si>
  <si>
    <t>STACR 2015-DNA2</t>
  </si>
  <si>
    <t>15DNA2</t>
  </si>
  <si>
    <t>STACR 2015-HQ1</t>
  </si>
  <si>
    <t>15HQ01</t>
  </si>
  <si>
    <t>STACR 2015-HQ2</t>
  </si>
  <si>
    <t>15HQ02</t>
  </si>
  <si>
    <t>smm</t>
  </si>
  <si>
    <t>mdr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</si>
  <si>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</si>
  <si>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</si>
  <si>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</si>
  <si>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</si>
  <si>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</si>
  <si>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</si>
  <si>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</si>
  <si>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</si>
  <si>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</si>
  <si>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</si>
  <si>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MI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</si>
  <si>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</si>
  <si>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</si>
  <si>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</si>
  <si>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</si>
  <si>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</si>
  <si>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</si>
  <si>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</si>
  <si>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</si>
  <si>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</si>
  <si>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Early NPL</t>
  </si>
  <si>
    <t>Current Month</t>
  </si>
  <si>
    <t>Cum_DF100</t>
  </si>
  <si>
    <t>DLQ100</t>
  </si>
  <si>
    <t>Sum of DLQ100</t>
  </si>
  <si>
    <t>Sum of Cum_DF100</t>
  </si>
  <si>
    <t>Cumulative Default</t>
  </si>
  <si>
    <t>Close Date:</t>
  </si>
  <si>
    <t>S:\IT\Production\Monthly Reports\CRT Surveillance Report\tmp</t>
  </si>
  <si>
    <t>Date</t>
  </si>
  <si>
    <t>Loan Characteristics</t>
  </si>
  <si>
    <t>Borrower Characteristics</t>
  </si>
  <si>
    <t>Property Characteristics</t>
  </si>
  <si>
    <t>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</si>
</sst>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7" fillId="0" borderId="0" xfId="0" applyFont="1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0" fontId="7" fillId="0" borderId="0" xfId="0" applyFont="1" applyAlignment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58" borderId="0" xfId="0" applyFont="1" applyFill="1"/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30" fillId="60" borderId="3" xfId="0" applyFont="1" applyFill="1" applyBorder="1" applyAlignment="1">
      <alignment horizontal="center" vertical="center"/>
    </xf>
    <xf numFmtId="194" fontId="7" fillId="0" borderId="39" xfId="526" applyNumberFormat="1" applyFont="1" applyBorder="1" applyAlignment="1">
      <alignment horizontal="center" vertical="center"/>
    </xf>
    <xf numFmtId="194" fontId="7" fillId="0" borderId="39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9" xfId="526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194" fontId="7" fillId="0" borderId="39" xfId="526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6" applyNumberFormat="1" applyFont="1" applyBorder="1" applyAlignment="1">
      <alignment horizontal="right" vertical="center"/>
    </xf>
    <xf numFmtId="196" fontId="7" fillId="0" borderId="39" xfId="527" applyNumberFormat="1" applyFont="1" applyBorder="1" applyAlignment="1">
      <alignment horizontal="right" vertical="center"/>
    </xf>
    <xf numFmtId="196" fontId="7" fillId="0" borderId="40" xfId="527" applyNumberFormat="1" applyFont="1" applyBorder="1" applyAlignment="1">
      <alignment horizontal="right" vertical="center"/>
    </xf>
    <xf numFmtId="0" fontId="129" fillId="57" borderId="38" xfId="0" applyFont="1" applyFill="1" applyBorder="1" applyAlignment="1">
      <alignment horizontal="center" vertical="center"/>
    </xf>
    <xf numFmtId="0" fontId="129" fillId="51" borderId="38" xfId="0" applyFont="1" applyFill="1" applyBorder="1" applyAlignment="1">
      <alignment horizontal="center" vertical="center"/>
    </xf>
    <xf numFmtId="0" fontId="129" fillId="53" borderId="38" xfId="0" applyFont="1" applyFill="1" applyBorder="1" applyAlignment="1">
      <alignment horizontal="center" vertical="center"/>
    </xf>
    <xf numFmtId="0" fontId="129" fillId="54" borderId="38" xfId="0" applyFont="1" applyFill="1" applyBorder="1" applyAlignment="1">
      <alignment horizontal="center" vertical="center"/>
    </xf>
    <xf numFmtId="0" fontId="131" fillId="0" borderId="0" xfId="0" applyFont="1"/>
    <xf numFmtId="14" fontId="131" fillId="0" borderId="0" xfId="0" applyNumberFormat="1" applyFont="1"/>
    <xf numFmtId="0" fontId="130" fillId="60" borderId="3" xfId="0" applyFont="1" applyFill="1" applyBorder="1" applyAlignment="1">
      <alignment horizontal="center" vertical="center" wrapText="1"/>
    </xf>
    <xf numFmtId="9" fontId="7" fillId="0" borderId="39" xfId="527" applyFont="1" applyBorder="1" applyAlignment="1">
      <alignment horizontal="right" vertical="center"/>
    </xf>
    <xf numFmtId="9" fontId="7" fillId="0" borderId="39" xfId="527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39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52" borderId="39" xfId="0" applyFont="1" applyFill="1" applyBorder="1" applyAlignment="1">
      <alignment horizontal="center" vertical="center"/>
    </xf>
    <xf numFmtId="0" fontId="5" fillId="61" borderId="41" xfId="0" applyFont="1" applyFill="1" applyBorder="1" applyAlignment="1">
      <alignment horizontal="center" vertical="center" wrapText="1"/>
    </xf>
    <xf numFmtId="0" fontId="7" fillId="55" borderId="39" xfId="0" applyFont="1" applyFill="1" applyBorder="1" applyAlignment="1">
      <alignment horizontal="center" vertical="center"/>
    </xf>
    <xf numFmtId="0" fontId="7" fillId="56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55" borderId="39" xfId="0" applyFont="1" applyFill="1" applyBorder="1" applyAlignment="1">
      <alignment horizontal="center" vertical="center" wrapText="1"/>
    </xf>
    <xf numFmtId="0" fontId="5" fillId="55" borderId="41" xfId="0" applyFont="1" applyFill="1" applyBorder="1" applyAlignment="1">
      <alignment horizontal="center" vertical="center" wrapText="1"/>
    </xf>
    <xf numFmtId="0" fontId="7" fillId="56" borderId="39" xfId="0" applyFont="1" applyFill="1" applyBorder="1" applyAlignment="1">
      <alignment horizontal="center" vertical="center" wrapText="1"/>
    </xf>
    <xf numFmtId="0" fontId="7" fillId="52" borderId="39" xfId="0" applyFont="1" applyFill="1" applyBorder="1" applyAlignment="1">
      <alignment horizontal="center" vertical="center" wrapText="1"/>
    </xf>
    <xf numFmtId="0" fontId="5" fillId="52" borderId="41" xfId="0" applyFont="1" applyFill="1" applyBorder="1" applyAlignment="1">
      <alignment horizontal="center" vertical="center" wrapText="1"/>
    </xf>
    <xf numFmtId="0" fontId="33" fillId="0" borderId="39" xfId="0" applyFont="1" applyFill="1" applyBorder="1" applyAlignment="1">
      <alignment horizontal="center" vertical="center" wrapText="1"/>
    </xf>
    <xf numFmtId="0" fontId="5" fillId="59" borderId="40" xfId="0" applyFont="1" applyFill="1" applyBorder="1" applyAlignment="1">
      <alignment horizontal="center" vertical="center" wrapText="1"/>
    </xf>
    <xf numFmtId="0" fontId="5" fillId="52" borderId="40" xfId="0" applyFont="1" applyFill="1" applyBorder="1" applyAlignment="1">
      <alignment horizontal="center" vertical="center" wrapText="1"/>
    </xf>
    <xf numFmtId="0" fontId="5" fillId="55" borderId="40" xfId="0" applyFont="1" applyFill="1" applyBorder="1" applyAlignment="1">
      <alignment horizontal="center" vertical="center" wrapText="1"/>
    </xf>
    <xf numFmtId="0" fontId="132" fillId="61" borderId="40" xfId="0" applyFont="1" applyFill="1" applyBorder="1" applyAlignment="1">
      <alignment horizontal="center" vertical="center" wrapText="1"/>
    </xf>
    <xf numFmtId="0" fontId="5" fillId="61" borderId="4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center"/>
    </xf>
    <xf numFmtId="0" fontId="6" fillId="5" borderId="3" xfId="1" applyFont="1" applyBorder="1" applyAlignment="1">
      <alignment horizontal="left" vertical="center"/>
    </xf>
    <xf numFmtId="0" fontId="6" fillId="5" borderId="3" xfId="1" applyFont="1" applyBorder="1" applyAlignment="1">
      <alignment horizontal="center" vertical="center"/>
    </xf>
    <xf numFmtId="14" fontId="6" fillId="5" borderId="3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8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2" fontId="0" fillId="0" borderId="39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164" fontId="0" fillId="0" borderId="40" xfId="0" applyNumberFormat="1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7" fillId="0" borderId="0" xfId="0" applyNumberFormat="1" applyFont="1" applyAlignment="1">
      <alignment horizontal="center" vertical="center"/>
    </xf>
    <xf numFmtId="194" fontId="7" fillId="0" borderId="40" xfId="526" applyNumberFormat="1" applyFont="1" applyBorder="1" applyAlignment="1">
      <alignment horizontal="left" vertical="center"/>
    </xf>
    <xf numFmtId="194" fontId="7" fillId="0" borderId="40" xfId="526" applyNumberFormat="1" applyFont="1" applyBorder="1" applyAlignment="1">
      <alignment horizontal="right" vertical="center"/>
    </xf>
    <xf numFmtId="9" fontId="7" fillId="0" borderId="40" xfId="527" applyNumberFormat="1" applyFont="1" applyBorder="1" applyAlignment="1">
      <alignment horizontal="right" vertical="center"/>
    </xf>
    <xf numFmtId="43" fontId="7" fillId="0" borderId="40" xfId="526" applyNumberFormat="1" applyFont="1" applyBorder="1" applyAlignment="1">
      <alignment horizontal="left" vertical="center"/>
    </xf>
    <xf numFmtId="195" fontId="7" fillId="0" borderId="40" xfId="526" applyNumberFormat="1" applyFont="1" applyBorder="1" applyAlignment="1">
      <alignment horizontal="right" vertical="center"/>
    </xf>
    <xf numFmtId="194" fontId="133" fillId="0" borderId="39" xfId="526" applyNumberFormat="1" applyFont="1" applyBorder="1" applyAlignment="1">
      <alignment horizontal="left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05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theme="0"/>
      </font>
    </dxf>
    <dxf>
      <font>
        <color auto="1"/>
      </font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7" tint="0.59999389629810485"/>
        </patternFill>
      </fill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numFmt numFmtId="2" formatCode="0.00"/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9" tint="0.79998168889431442"/>
        </patternFill>
      </fill>
      <alignment vertical="center" readingOrder="0"/>
    </dxf>
    <dxf>
      <font/>
      <fill>
        <patternFill patternType="none">
          <fgColor indexed="64"/>
          <bgColor indexed="65"/>
        </patternFill>
      </fill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color theme="0"/>
      </font>
    </dxf>
    <dxf>
      <numFmt numFmtId="164" formatCode="0.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numFmt numFmtId="2" formatCode="0.00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291353</xdr:colOff>
      <xdr:row>5</xdr:row>
      <xdr:rowOff>28576</xdr:rowOff>
    </xdr:from>
    <xdr:to>
      <xdr:col>38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24787412" y="981076"/>
          <a:ext cx="1568823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38</xdr:col>
      <xdr:colOff>276226</xdr:colOff>
      <xdr:row>5</xdr:row>
      <xdr:rowOff>28576</xdr:rowOff>
    </xdr:from>
    <xdr:to>
      <xdr:col>40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27451051" y="981076"/>
          <a:ext cx="16192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28.68838576389" createdVersion="4" refreshedVersion="4" minRefreshableVersion="3" recordCount="132">
  <cacheSource type="worksheet">
    <worksheetSource name="CurrentMtgRatesDataTable82523"/>
  </cacheSource>
  <cacheFields count="18">
    <cacheField name="DealName" numFmtId="0">
      <sharedItems count="14">
        <s v="STACR 2013-DN1"/>
        <s v="STACR 2013-DN2"/>
        <s v="STACR 2014-DN1"/>
        <s v="STACR 2014-DN2"/>
        <s v="STACR 2014-DN3"/>
        <s v="STACR 2014-DN4"/>
        <s v="STACR 2014-HQ1"/>
        <s v="STACR 2014-HQ2"/>
        <s v="STACR 2014-HQ3"/>
        <s v="STACR 2015-DN1"/>
        <s v="STACR 2015-DNA1"/>
        <s v="STACR 2015-HQ1"/>
        <s v="STACR 2015-HQ2"/>
        <s v="STACR 2015-DNA2" u="1"/>
      </sharedItems>
    </cacheField>
    <cacheField name="RefPoolId" numFmtId="0">
      <sharedItems/>
    </cacheField>
    <cacheField name="currentBalance" numFmtId="0">
      <sharedItems containsSemiMixedTypes="0" containsString="0" containsNumber="1" minValue="6767148341.4099998" maxValue="35184267786.93"/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 u="1"/>
      </sharedItems>
    </cacheField>
    <cacheField name="loanCount" numFmtId="0">
      <sharedItems containsSemiMixedTypes="0" containsString="0" containsNumber="1" containsInteger="1" minValue="32117" maxValue="147771"/>
    </cacheField>
    <cacheField name="prepaymentBalance" numFmtId="0">
      <sharedItems containsSemiMixedTypes="0" containsString="0" containsNumber="1" minValue="54493693.359999999" maxValue="1636253444.21"/>
    </cacheField>
    <cacheField name="defaultBalance" numFmtId="0">
      <sharedItems containsSemiMixedTypes="0" containsString="0" containsNumber="1" minValue="0" maxValue="2931733.85"/>
    </cacheField>
    <cacheField name="smm" numFmtId="0">
      <sharedItems containsSemiMixedTypes="0" containsString="0" containsNumber="1" minValue="2.1490550580072838E-3" maxValue="5.9295615051276868E-2"/>
    </cacheField>
    <cacheField name="mdr" numFmtId="0">
      <sharedItems containsSemiMixedTypes="0" containsString="0" containsNumber="1" minValue="0" maxValue="1.9081674190392611E-4"/>
    </cacheField>
    <cacheField name="CPR" numFmtId="0">
      <sharedItems containsSemiMixedTypes="0" containsString="0" containsNumber="1" minValue="2.5486" maxValue="51.978200000000001"/>
    </cacheField>
    <cacheField name="CDR" numFmtId="0">
      <sharedItems containsSemiMixedTypes="0" containsString="0" containsNumber="1" minValue="0" maxValue="0.22869999999999999"/>
    </cacheField>
    <cacheField name="pct_dq" numFmtId="0">
      <sharedItems containsSemiMixedTypes="0" containsString="0" containsNumber="1" minValue="0" maxValue="5.8858695835742637E-3"/>
    </cacheField>
    <cacheField name="cum_prepayment" numFmtId="0">
      <sharedItems containsSemiMixedTypes="0" containsString="0" containsNumber="1" minValue="54721277.009999998" maxValue="4430648801.6800003"/>
    </cacheField>
    <cacheField name="cum_default" numFmtId="0">
      <sharedItems containsSemiMixedTypes="0" containsString="0" containsNumber="1" minValue="0" maxValue="18293610.73"/>
    </cacheField>
    <cacheField name="cum_pp_pct" numFmtId="0">
      <sharedItems containsSemiMixedTypes="0" containsString="0" containsNumber="1" minValue="6.7999999999999996E-3" maxValue="0.28639999999999999"/>
    </cacheField>
    <cacheField name="cum_df_pct" numFmtId="0">
      <sharedItems containsSemiMixedTypes="0" containsString="0" containsNumber="1" minValue="0" maxValue="6.9999999999999999E-4"/>
    </cacheField>
    <cacheField name="Cum_DF100" numFmtId="0">
      <sharedItems containsSemiMixedTypes="0" containsString="0" containsNumber="1" minValue="0" maxValue="6.9999999999999993E-2"/>
    </cacheField>
    <cacheField name="DLQ100" numFmtId="0">
      <sharedItems containsSemiMixedTypes="0" containsString="0" containsNumber="1" minValue="0" maxValue="0.588586958357426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2">
  <r>
    <x v="0"/>
    <s v="13DN01"/>
    <n v="22584361082.810001"/>
    <x v="0"/>
    <n v="96389"/>
    <n v="139983562.75"/>
    <n v="0"/>
    <n v="6.1982520664066055E-3"/>
    <n v="0"/>
    <n v="7.1894999999999998"/>
    <n v="0"/>
    <n v="0"/>
    <n v="139983562.75"/>
    <n v="0"/>
    <n v="6.8999999999999999E-3"/>
    <n v="0"/>
    <n v="0"/>
    <n v="0"/>
  </r>
  <r>
    <x v="0"/>
    <s v="13DN01"/>
    <n v="22391372156.549999"/>
    <x v="1"/>
    <n v="95815"/>
    <n v="101319553.18000001"/>
    <n v="0"/>
    <n v="4.5249372156213148E-3"/>
    <n v="0"/>
    <n v="5.2968000000000002"/>
    <n v="0"/>
    <n v="1.2667221826199236E-3"/>
    <n v="241303115.93000001"/>
    <n v="0"/>
    <n v="1.1900000000000001E-2"/>
    <n v="0"/>
    <n v="0"/>
    <n v="0.12667221826199235"/>
  </r>
  <r>
    <x v="0"/>
    <s v="13DN01"/>
    <n v="22242256898.849998"/>
    <x v="2"/>
    <n v="95391"/>
    <n v="70147957.719999999"/>
    <n v="0"/>
    <n v="3.1538147427668138E-3"/>
    <n v="0"/>
    <n v="3.7195999999999998"/>
    <n v="0"/>
    <n v="1.0356345223757838E-3"/>
    <n v="311451073.64999998"/>
    <n v="0"/>
    <n v="1.5299999999999999E-2"/>
    <n v="0"/>
    <n v="0"/>
    <n v="0.10356345223757837"/>
  </r>
  <r>
    <x v="0"/>
    <s v="13DN01"/>
    <n v="22126259871.459999"/>
    <x v="3"/>
    <n v="95074"/>
    <n v="73281124.489999995"/>
    <n v="0"/>
    <n v="3.3119526262331903E-3"/>
    <n v="0"/>
    <n v="3.9026999999999998"/>
    <n v="0"/>
    <n v="1.3740292420236281E-3"/>
    <n v="384732198.13999999"/>
    <n v="0"/>
    <n v="1.9E-2"/>
    <n v="0"/>
    <n v="0"/>
    <n v="0.1374029242023628"/>
  </r>
  <r>
    <x v="0"/>
    <s v="13DN01"/>
    <n v="22004407481.799999"/>
    <x v="4"/>
    <n v="94744"/>
    <n v="67109639.599999994"/>
    <n v="0"/>
    <n v="3.0498271610133951E-3"/>
    <n v="0"/>
    <n v="3.5990000000000002"/>
    <n v="0"/>
    <n v="1.548422143072077E-3"/>
    <n v="451841837.74000001"/>
    <n v="0"/>
    <n v="2.23E-2"/>
    <n v="0"/>
    <n v="0"/>
    <n v="0.15484221430720771"/>
  </r>
  <r>
    <x v="0"/>
    <s v="13DN01"/>
    <n v="21889515190.82"/>
    <x v="5"/>
    <n v="94439"/>
    <n v="69191334.689999998"/>
    <n v="99020.6"/>
    <n v="3.1609349995571114E-3"/>
    <n v="4.5236543220256953E-6"/>
    <n v="3.7277999999999998"/>
    <n v="5.4000000000000003E-3"/>
    <n v="1.5094332223427496E-3"/>
    <n v="521033172.43000001"/>
    <n v="99020.6"/>
    <n v="2.5700000000000001E-2"/>
    <n v="0"/>
    <n v="0"/>
    <n v="0.15094332223427495"/>
  </r>
  <r>
    <x v="0"/>
    <s v="13DN01"/>
    <n v="21778303317.84"/>
    <x v="6"/>
    <n v="94127"/>
    <n v="57817994.990000002"/>
    <n v="302877.99"/>
    <n v="2.6548438666770514E-3"/>
    <n v="1.3907327195314305E-5"/>
    <n v="3.1396999999999999"/>
    <n v="1.66E-2"/>
    <n v="2.1700490437786459E-3"/>
    <n v="578851167.41999996"/>
    <n v="401898.59"/>
    <n v="2.8500000000000001E-2"/>
    <n v="0"/>
    <n v="0"/>
    <n v="0.2170049043778646"/>
  </r>
  <r>
    <x v="0"/>
    <s v="13DN01"/>
    <n v="21671804564.209999"/>
    <x v="7"/>
    <n v="93864"/>
    <n v="54493693.359999999"/>
    <n v="543640.77"/>
    <n v="2.5144972675692108E-3"/>
    <n v="2.5085163922980276E-5"/>
    <n v="2.976"/>
    <n v="0.03"/>
    <n v="2.1894667321964048E-3"/>
    <n v="633344860.77999997"/>
    <n v="945539.36"/>
    <n v="3.1199999999999999E-2"/>
    <n v="0"/>
    <n v="0"/>
    <n v="0.21894667321964048"/>
  </r>
  <r>
    <x v="0"/>
    <s v="13DN01"/>
    <n v="21571139506.34"/>
    <x v="8"/>
    <n v="93598"/>
    <n v="70113723.829999998"/>
    <n v="342970.55"/>
    <n v="3.2503486340808648E-3"/>
    <n v="1.5899510079159105E-5"/>
    <n v="3.8313999999999999"/>
    <n v="1.9E-2"/>
    <n v="2.3021683029496079E-3"/>
    <n v="703458584.61000001"/>
    <n v="1288509.9099999999"/>
    <n v="3.4700000000000002E-2"/>
    <n v="0"/>
    <n v="0"/>
    <n v="0.23021683029496079"/>
  </r>
  <r>
    <x v="0"/>
    <s v="13DN01"/>
    <n v="21453636186.810001"/>
    <x v="9"/>
    <n v="93266"/>
    <n v="72437890.239999995"/>
    <n v="1500559.89"/>
    <n v="3.3764854409405825E-3"/>
    <n v="6.9944315123725528E-5"/>
    <n v="3.9773000000000001"/>
    <n v="8.3900000000000002E-2"/>
    <n v="2.8763854780915659E-3"/>
    <n v="775896474.85000002"/>
    <n v="2789069.8"/>
    <n v="3.8300000000000001E-2"/>
    <n v="1E-4"/>
    <n v="0.01"/>
    <n v="0.2876385478091566"/>
  </r>
  <r>
    <x v="0"/>
    <s v="13DN01"/>
    <n v="21332337955.220001"/>
    <x v="10"/>
    <n v="92915"/>
    <n v="106211677.5"/>
    <n v="989919.88"/>
    <n v="4.9789046902854886E-3"/>
    <n v="4.6404659539802938E-5"/>
    <n v="5.8136999999999999"/>
    <n v="5.5599999999999997E-2"/>
    <n v="1.7641106928362412E-3"/>
    <n v="882108152.35000002"/>
    <n v="3778989.68"/>
    <n v="4.3499999999999997E-2"/>
    <n v="1E-4"/>
    <n v="0.01"/>
    <n v="0.17641106928362413"/>
  </r>
  <r>
    <x v="0"/>
    <s v="13DN01"/>
    <n v="21177637181.139999"/>
    <x v="11"/>
    <n v="92428"/>
    <n v="135194224.16"/>
    <n v="890745.91"/>
    <n v="6.3838200174851818E-3"/>
    <n v="4.2060684219921593E-5"/>
    <n v="7.3971999999999998"/>
    <n v="5.04E-2"/>
    <n v="1.7421491729425289E-3"/>
    <n v="1017302376.51"/>
    <n v="4669735.59"/>
    <n v="5.0200000000000002E-2"/>
    <n v="2.0000000000000001E-4"/>
    <n v="0.02"/>
    <n v="0.1742149172942529"/>
  </r>
  <r>
    <x v="0"/>
    <s v="13DN01"/>
    <n v="20996596520.740002"/>
    <x v="12"/>
    <n v="91814"/>
    <n v="125037203.51000001"/>
    <n v="680997.81"/>
    <n v="5.9551176966462565E-3"/>
    <n v="3.2433723690757432E-5"/>
    <n v="6.9165999999999999"/>
    <n v="3.8899999999999997E-2"/>
    <n v="1.8080148243312564E-3"/>
    <n v="1142339580.02"/>
    <n v="5350733.4000000004"/>
    <n v="5.6399999999999999E-2"/>
    <n v="2.0000000000000001E-4"/>
    <n v="0.02"/>
    <n v="0.18080148243312563"/>
  </r>
  <r>
    <x v="0"/>
    <s v="13DN01"/>
    <n v="20823941241.41"/>
    <x v="13"/>
    <n v="91234"/>
    <n v="115787279.48999999"/>
    <n v="690804.79"/>
    <n v="5.560296110505159E-3"/>
    <n v="3.3173585249380258E-5"/>
    <n v="6.4720000000000004"/>
    <n v="3.9800000000000002E-2"/>
    <n v="2.2194793062559818E-3"/>
    <n v="1258126859.51"/>
    <n v="6041538.1900000004"/>
    <n v="6.2100000000000002E-2"/>
    <n v="2.0000000000000001E-4"/>
    <n v="0.02"/>
    <n v="0.22194793062559817"/>
  </r>
  <r>
    <x v="0"/>
    <s v="13DN01"/>
    <n v="20661068570"/>
    <x v="14"/>
    <n v="90712"/>
    <n v="88425641.75"/>
    <n v="532919.80000000005"/>
    <n v="4.2798193835141022E-3"/>
    <n v="2.5793428747136673E-5"/>
    <n v="5.0166000000000004"/>
    <n v="3.09E-2"/>
    <n v="2.169147066530451E-3"/>
    <n v="1346552501.26"/>
    <n v="6574457.9900000002"/>
    <n v="6.6500000000000004E-2"/>
    <n v="2.9999999999999997E-4"/>
    <n v="0.03"/>
    <n v="0.2169147066530451"/>
  </r>
  <r>
    <x v="0"/>
    <s v="13DN01"/>
    <n v="20526568204.119999"/>
    <x v="15"/>
    <n v="90301"/>
    <n v="114141076.26000001"/>
    <n v="872088.56"/>
    <n v="5.5606507198358718E-3"/>
    <n v="4.2485843289915278E-5"/>
    <n v="6.4724000000000004"/>
    <n v="5.0900000000000001E-2"/>
    <n v="2.5668689206130666E-3"/>
    <n v="1460693577.52"/>
    <n v="7446546.5499999998"/>
    <n v="7.2099999999999997E-2"/>
    <n v="2.9999999999999997E-4"/>
    <n v="0.03"/>
    <n v="0.25668689206130668"/>
  </r>
  <r>
    <x v="0"/>
    <s v="13DN01"/>
    <n v="20365001794.889999"/>
    <x v="16"/>
    <n v="89760"/>
    <n v="91879899.010000005"/>
    <n v="994425.34"/>
    <n v="4.5116568088422442E-3"/>
    <n v="4.883011305452091E-5"/>
    <n v="5.2816000000000001"/>
    <n v="5.8500000000000003E-2"/>
    <n v="2.4419934930955218E-3"/>
    <n v="1552573476.53"/>
    <n v="8440971.8900000006"/>
    <n v="7.6600000000000001E-2"/>
    <n v="4.0000000000000002E-4"/>
    <n v="0.04"/>
    <n v="0.24419934930955217"/>
  </r>
  <r>
    <x v="0"/>
    <s v="13DN01"/>
    <n v="20227022657.540001"/>
    <x v="17"/>
    <n v="89344"/>
    <n v="104073902.45999999"/>
    <n v="401834.35"/>
    <n v="5.1452902496850923E-3"/>
    <n v="1.9866213471126398E-5"/>
    <n v="6.0025000000000004"/>
    <n v="2.3800000000000002E-2"/>
    <n v="2.2604713854392231E-3"/>
    <n v="1656647378.99"/>
    <n v="8842806.2400000002"/>
    <n v="8.1799999999999998E-2"/>
    <n v="4.0000000000000002E-4"/>
    <n v="0.04"/>
    <n v="0.2260471385439223"/>
  </r>
  <r>
    <x v="0"/>
    <s v="13DN01"/>
    <n v="20076676930.209999"/>
    <x v="18"/>
    <n v="88878"/>
    <n v="89278153.099999994"/>
    <n v="1559635.07"/>
    <n v="4.4468590798340925E-3"/>
    <n v="7.7683925254242087E-5"/>
    <n v="5.2076000000000002"/>
    <n v="9.3100000000000002E-2"/>
    <n v="3.1978297540562386E-3"/>
    <n v="1745925532.0899999"/>
    <n v="10402441.310000001"/>
    <n v="8.6199999999999999E-2"/>
    <n v="5.0000000000000001E-4"/>
    <n v="0.05"/>
    <n v="0.31978297540562384"/>
  </r>
  <r>
    <x v="0"/>
    <s v="13DN01"/>
    <n v="19939199442.470001"/>
    <x v="19"/>
    <n v="88484"/>
    <n v="137881693.41"/>
    <n v="515352.31"/>
    <n v="6.9151067879042035E-3"/>
    <n v="2.5846188633948481E-5"/>
    <n v="7.9896000000000003"/>
    <n v="3.1E-2"/>
    <n v="2.5090365666056388E-3"/>
    <n v="1883807225.5"/>
    <n v="10917793.619999999"/>
    <n v="9.2999999999999999E-2"/>
    <n v="5.0000000000000001E-4"/>
    <n v="0.05"/>
    <n v="0.25090365666056386"/>
  </r>
  <r>
    <x v="0"/>
    <s v="13DN01"/>
    <n v="19755112263.799999"/>
    <x v="20"/>
    <n v="87925"/>
    <n v="191691686.44"/>
    <n v="949391.26"/>
    <n v="9.703396461647194E-3"/>
    <n v="4.8058003787692958E-5"/>
    <n v="11.042299999999999"/>
    <n v="5.7599999999999998E-2"/>
    <n v="2.5015041079039803E-3"/>
    <n v="2075498911.9400001"/>
    <n v="11867184.880000001"/>
    <n v="0.1024"/>
    <n v="5.0000000000000001E-4"/>
    <n v="0.05"/>
    <n v="0.25015041079039801"/>
  </r>
  <r>
    <x v="0"/>
    <s v="13DN01"/>
    <n v="19517918050.32"/>
    <x v="21"/>
    <n v="87132"/>
    <n v="170280413.18000001"/>
    <n v="1177926.43"/>
    <n v="8.7243123339790958E-3"/>
    <n v="6.0351028576056945E-5"/>
    <n v="9.9810999999999996"/>
    <n v="7.2300000000000003E-2"/>
    <n v="3.000039093259744E-3"/>
    <n v="2245779325.1199999"/>
    <n v="13045111.310000001"/>
    <n v="0.1109"/>
    <n v="5.9999999999999995E-4"/>
    <n v="0.06"/>
    <n v="0.30000390932597443"/>
  </r>
  <r>
    <x v="0"/>
    <s v="13DN01"/>
    <n v="19298303853.59"/>
    <x v="22"/>
    <n v="86371"/>
    <n v="168340551.69"/>
    <n v="840844.9"/>
    <n v="8.7230749897579292E-3"/>
    <n v="4.3570922417805147E-5"/>
    <n v="9.9797999999999991"/>
    <n v="5.2200000000000003E-2"/>
    <n v="2.2129265340619865E-3"/>
    <n v="2414119876.8099999"/>
    <n v="13885956.210000001"/>
    <n v="0.1192"/>
    <n v="5.9999999999999995E-4"/>
    <n v="0.06"/>
    <n v="0.22129265340619866"/>
  </r>
  <r>
    <x v="0"/>
    <s v="13DN01"/>
    <n v="19082907230.220001"/>
    <x v="23"/>
    <n v="85631"/>
    <n v="191859748.56"/>
    <n v="2030630.68"/>
    <n v="1.0054010442191313E-2"/>
    <n v="1.06410970587556E-4"/>
    <n v="11.419499999999999"/>
    <n v="0.12759999999999999"/>
    <n v="2.2937126205111978E-3"/>
    <n v="2605979625.3699999"/>
    <n v="15916586.890000001"/>
    <n v="0.12859999999999999"/>
    <n v="6.9999999999999999E-4"/>
    <n v="6.9999999999999993E-2"/>
    <n v="0.2293712620511198"/>
  </r>
  <r>
    <x v="1"/>
    <s v="13DN02"/>
    <n v="35184267786.93"/>
    <x v="5"/>
    <n v="145598"/>
    <n v="255323382.09999999"/>
    <n v="0"/>
    <n v="7.2567484890177451E-3"/>
    <n v="0"/>
    <n v="8.3688000000000002"/>
    <n v="0"/>
    <n v="1.1134998982287603E-3"/>
    <n v="255323382.09999999"/>
    <n v="0"/>
    <n v="7.7000000000000002E-3"/>
    <n v="0"/>
    <n v="0"/>
    <n v="0.11134998982287603"/>
  </r>
  <r>
    <x v="1"/>
    <s v="13DN02"/>
    <n v="34859342835.760002"/>
    <x v="6"/>
    <n v="144497"/>
    <n v="74914647.040000007"/>
    <n v="0"/>
    <n v="2.1490550580072838E-3"/>
    <n v="0"/>
    <n v="2.5486"/>
    <n v="0"/>
    <n v="1.7538831299275424E-3"/>
    <n v="330238029.13999999"/>
    <n v="0"/>
    <n v="0.01"/>
    <n v="0"/>
    <n v="0"/>
    <n v="0.17538831299275423"/>
  </r>
  <r>
    <x v="1"/>
    <s v="13DN02"/>
    <n v="34710539920.269997"/>
    <x v="7"/>
    <n v="144155"/>
    <n v="76909619.870000005"/>
    <n v="0"/>
    <n v="2.2157425394897672E-3"/>
    <n v="0"/>
    <n v="2.6267"/>
    <n v="0"/>
    <n v="1.8421270287605088E-3"/>
    <n v="407147649.00999999"/>
    <n v="0"/>
    <n v="1.24E-2"/>
    <n v="0"/>
    <n v="0"/>
    <n v="0.18421270287605088"/>
  </r>
  <r>
    <x v="1"/>
    <s v="13DN02"/>
    <n v="34561418507.610001"/>
    <x v="8"/>
    <n v="143801"/>
    <n v="106255295.29000001"/>
    <n v="260106.15"/>
    <n v="3.0743904584415102E-3"/>
    <n v="7.5259107187029327E-6"/>
    <n v="3.6274999999999999"/>
    <n v="8.9999999999999993E-3"/>
    <n v="1.7825470643351869E-3"/>
    <n v="513402944.30000001"/>
    <n v="260106.15"/>
    <n v="1.5599999999999999E-2"/>
    <n v="0"/>
    <n v="0"/>
    <n v="0.17825470643351868"/>
  </r>
  <r>
    <x v="1"/>
    <s v="13DN02"/>
    <n v="34383902530.860001"/>
    <x v="9"/>
    <n v="143311"/>
    <n v="114846150.92"/>
    <n v="1118824.01"/>
    <n v="3.3401139040841591E-3"/>
    <n v="3.2539180478302043E-5"/>
    <n v="3.9352999999999998"/>
    <n v="3.9E-2"/>
    <n v="2.4791712180865094E-3"/>
    <n v="628249095.22000003"/>
    <n v="1378930.16"/>
    <n v="1.9099999999999999E-2"/>
    <n v="0"/>
    <n v="0"/>
    <n v="0.24791712180865094"/>
  </r>
  <r>
    <x v="1"/>
    <s v="13DN02"/>
    <n v="34194102666.93"/>
    <x v="10"/>
    <n v="142808"/>
    <n v="153343552.21000001"/>
    <n v="495173.75"/>
    <n v="4.4845028893915825E-3"/>
    <n v="1.4481261719989375E-5"/>
    <n v="5.2506000000000004"/>
    <n v="1.7299999999999999E-2"/>
    <n v="2.0046795170412454E-3"/>
    <n v="781592647.42999995"/>
    <n v="1874103.91"/>
    <n v="2.3800000000000002E-2"/>
    <n v="0"/>
    <n v="0"/>
    <n v="0.20046795170412454"/>
  </r>
  <r>
    <x v="1"/>
    <s v="13DN02"/>
    <n v="33969478822.689999"/>
    <x v="11"/>
    <n v="142132"/>
    <n v="168089678.15000001"/>
    <n v="600232.69999999995"/>
    <n v="4.9482560220418829E-3"/>
    <n v="1.7669764765395017E-5"/>
    <n v="5.7789000000000001"/>
    <n v="2.12E-2"/>
    <n v="2.0610782018602573E-3"/>
    <n v="949682325.58000004"/>
    <n v="2474336.61"/>
    <n v="2.9000000000000001E-2"/>
    <n v="0"/>
    <n v="0"/>
    <n v="0.20610782018602572"/>
  </r>
  <r>
    <x v="1"/>
    <s v="13DN02"/>
    <n v="33733163472.400002"/>
    <x v="12"/>
    <n v="141415"/>
    <n v="170343588.58000001"/>
    <n v="779358.81"/>
    <n v="5.0497365513724416E-3"/>
    <n v="2.3103638371706833E-5"/>
    <n v="5.8940999999999999"/>
    <n v="2.7699999999999999E-2"/>
    <n v="1.9825996525561487E-3"/>
    <n v="1120025914.1600001"/>
    <n v="3253695.42"/>
    <n v="3.4200000000000001E-2"/>
    <n v="0"/>
    <n v="0"/>
    <n v="0.19825996525561487"/>
  </r>
  <r>
    <x v="1"/>
    <s v="13DN02"/>
    <n v="33490133224.82"/>
    <x v="13"/>
    <n v="140635"/>
    <n v="157283570.87"/>
    <n v="722780.87"/>
    <n v="4.6964152042678342E-3"/>
    <n v="2.1581904889656789E-5"/>
    <n v="5.4923000000000002"/>
    <n v="2.58E-2"/>
    <n v="2.2383653709816768E-3"/>
    <n v="1277309485.03"/>
    <n v="3976476.29"/>
    <n v="3.9E-2"/>
    <n v="1E-4"/>
    <n v="0.01"/>
    <n v="0.22383653709816767"/>
  </r>
  <r>
    <x v="1"/>
    <s v="13DN02"/>
    <n v="33260667256.009998"/>
    <x v="14"/>
    <n v="139941"/>
    <n v="132800769.36"/>
    <n v="572154.51"/>
    <n v="3.9927271554061712E-3"/>
    <n v="1.7202135651581529E-5"/>
    <n v="4.6874000000000002"/>
    <n v="2.06E-2"/>
    <n v="2.2145809990234146E-3"/>
    <n v="1410110254.3900001"/>
    <n v="4548630.8"/>
    <n v="4.2999999999999997E-2"/>
    <n v="1E-4"/>
    <n v="0.01"/>
    <n v="0.22145809990234147"/>
  </r>
  <r>
    <x v="1"/>
    <s v="13DN02"/>
    <n v="33055593115.669998"/>
    <x v="15"/>
    <n v="139324"/>
    <n v="149898725.88999999"/>
    <n v="1498860.31"/>
    <n v="4.5347462187553525E-3"/>
    <n v="4.5343621720992976E-5"/>
    <n v="5.3079999999999998"/>
    <n v="5.4300000000000001E-2"/>
    <n v="2.5701887094479372E-3"/>
    <n v="1560008980.28"/>
    <n v="6047491.1100000003"/>
    <n v="4.7600000000000003E-2"/>
    <n v="1E-4"/>
    <n v="0.01"/>
    <n v="0.2570188709447937"/>
  </r>
  <r>
    <x v="1"/>
    <s v="13DN02"/>
    <n v="32833580707.720001"/>
    <x v="16"/>
    <n v="138650"/>
    <n v="126407170.72"/>
    <n v="1553912.54"/>
    <n v="3.8499355840978531E-3"/>
    <n v="4.7326928909542785E-5"/>
    <n v="4.5232999999999999"/>
    <n v="5.67E-2"/>
    <n v="2.514640221697994E-3"/>
    <n v="1686416151"/>
    <n v="7601403.6500000004"/>
    <n v="5.1499999999999997E-2"/>
    <n v="2.0000000000000001E-4"/>
    <n v="0.02"/>
    <n v="0.25146402216979941"/>
  </r>
  <r>
    <x v="1"/>
    <s v="13DN02"/>
    <n v="32634637088.779999"/>
    <x v="17"/>
    <n v="138086"/>
    <n v="142619560.99000001"/>
    <n v="1328887.02"/>
    <n v="4.3701898875729657E-3"/>
    <n v="4.072014088542998E-5"/>
    <n v="5.1199000000000003"/>
    <n v="4.8800000000000003E-2"/>
    <n v="2.1534383388060281E-3"/>
    <n v="1829035711.99"/>
    <n v="8930290.6699999999"/>
    <n v="5.5800000000000002E-2"/>
    <n v="2.0000000000000001E-4"/>
    <n v="0.02"/>
    <n v="0.2153438338806028"/>
  </r>
  <r>
    <x v="1"/>
    <s v="13DN02"/>
    <n v="32417706750.169998"/>
    <x v="18"/>
    <n v="137459"/>
    <n v="103510857.08"/>
    <n v="753052.33"/>
    <n v="3.1930345313354773E-3"/>
    <n v="2.3229660746932721E-5"/>
    <n v="3.7650000000000001"/>
    <n v="2.7799999999999998E-2"/>
    <n v="3.1372260189091467E-3"/>
    <n v="1932546569.0699999"/>
    <n v="9683343"/>
    <n v="5.8999999999999997E-2"/>
    <n v="2.0000000000000001E-4"/>
    <n v="0.02"/>
    <n v="0.31372260189091467"/>
  </r>
  <r>
    <x v="1"/>
    <s v="13DN02"/>
    <n v="32239798911.360001"/>
    <x v="19"/>
    <n v="137023"/>
    <n v="129099715.43000001"/>
    <n v="2259765.79"/>
    <n v="4.0043585812971835E-3"/>
    <n v="7.0092428188308275E-5"/>
    <n v="4.7008000000000001"/>
    <n v="8.4000000000000005E-2"/>
    <n v="2.5071003222516793E-3"/>
    <n v="2061646284.5"/>
    <n v="11943108.789999999"/>
    <n v="6.2899999999999998E-2"/>
    <n v="2.9999999999999997E-4"/>
    <n v="0.03"/>
    <n v="0.25071003222516791"/>
  </r>
  <r>
    <x v="1"/>
    <s v="13DN02"/>
    <n v="32038687612.509998"/>
    <x v="20"/>
    <n v="136465"/>
    <n v="202706002.22"/>
    <n v="1168297.3"/>
    <n v="6.3269134076781074E-3"/>
    <n v="3.6465204634156744E-5"/>
    <n v="7.3334999999999999"/>
    <n v="4.3700000000000003E-2"/>
    <n v="2.6006103189278691E-3"/>
    <n v="2264352286.7199998"/>
    <n v="13111406.09"/>
    <n v="6.9099999999999995E-2"/>
    <n v="4.0000000000000002E-4"/>
    <n v="0.04"/>
    <n v="0.2600610318927869"/>
  </r>
  <r>
    <x v="1"/>
    <s v="13DN02"/>
    <n v="31763545472.23"/>
    <x v="21"/>
    <n v="135631"/>
    <n v="204386465.34"/>
    <n v="1673286.98"/>
    <n v="6.4346237896739048E-3"/>
    <n v="5.2679477530709191E-5"/>
    <n v="7.4539999999999997"/>
    <n v="6.3100000000000003E-2"/>
    <n v="3.0653763936751175E-3"/>
    <n v="2468738752.0599999"/>
    <n v="14784693.07"/>
    <n v="7.5300000000000006E-2"/>
    <n v="4.0000000000000002E-4"/>
    <n v="0.04"/>
    <n v="0.30653763936751177"/>
  </r>
  <r>
    <x v="1"/>
    <s v="13DN02"/>
    <n v="31481839071.779999"/>
    <x v="22"/>
    <n v="134755"/>
    <n v="220484533.44"/>
    <n v="2931733.85"/>
    <n v="7.0035468047875285E-3"/>
    <n v="9.3124605691411981E-5"/>
    <n v="8.0878999999999994"/>
    <n v="0.1116"/>
    <n v="2.1280434159913291E-3"/>
    <n v="2689223285.5"/>
    <n v="17716426.920000002"/>
    <n v="8.2100000000000006E-2"/>
    <n v="5.0000000000000001E-4"/>
    <n v="0.05"/>
    <n v="0.21280434159913292"/>
  </r>
  <r>
    <x v="1"/>
    <s v="13DN02"/>
    <n v="31187038920.860001"/>
    <x v="23"/>
    <n v="133785"/>
    <n v="246981466.37"/>
    <n v="577183.81000000006"/>
    <n v="7.9193624953218019E-3"/>
    <n v="1.8507169323277449E-5"/>
    <n v="9.1"/>
    <n v="2.2200000000000001E-2"/>
    <n v="2.313786107206684E-3"/>
    <n v="2936204751.8699999"/>
    <n v="18293610.73"/>
    <n v="8.9599999999999999E-2"/>
    <n v="5.0000000000000001E-4"/>
    <n v="0.05"/>
    <n v="0.2313786107206684"/>
  </r>
  <r>
    <x v="2"/>
    <s v="14DN01"/>
    <n v="32312170855.900002"/>
    <x v="8"/>
    <n v="139513"/>
    <n v="207134927.44999999"/>
    <n v="0"/>
    <n v="6.4104305580006691E-3"/>
    <n v="0"/>
    <n v="7.4269999999999996"/>
    <n v="0"/>
    <n v="8.3035215336207978E-4"/>
    <n v="207134927.44999999"/>
    <n v="0"/>
    <n v="6.7999999999999996E-3"/>
    <n v="0"/>
    <n v="0"/>
    <n v="8.3035215336207974E-2"/>
  </r>
  <r>
    <x v="2"/>
    <s v="14DN01"/>
    <n v="32038558514.889999"/>
    <x v="9"/>
    <n v="138574"/>
    <n v="105706737.76000001"/>
    <n v="0"/>
    <n v="3.2993599793471524E-3"/>
    <n v="0"/>
    <n v="3.8881000000000001"/>
    <n v="0"/>
    <n v="1.5226672684829901E-3"/>
    <n v="312841665.20999998"/>
    <n v="0"/>
    <n v="1.03E-2"/>
    <n v="0"/>
    <n v="0"/>
    <n v="0.15226672684829901"/>
  </r>
  <r>
    <x v="2"/>
    <s v="14DN01"/>
    <n v="31865279462.52"/>
    <x v="10"/>
    <n v="138094"/>
    <n v="128322520.90000001"/>
    <n v="0"/>
    <n v="4.0270326532341628E-3"/>
    <n v="0"/>
    <n v="4.7267999999999999"/>
    <n v="0"/>
    <n v="1.1277179985904994E-3"/>
    <n v="441164186.11000001"/>
    <n v="0"/>
    <n v="1.4500000000000001E-2"/>
    <n v="0"/>
    <n v="0"/>
    <n v="0.11277179985904995"/>
  </r>
  <r>
    <x v="2"/>
    <s v="14DN01"/>
    <n v="31667475693.279999"/>
    <x v="11"/>
    <n v="137486"/>
    <n v="150016275.28999999"/>
    <n v="412038.9"/>
    <n v="4.7372350339194933E-3"/>
    <n v="1.3011422318307384E-5"/>
    <n v="5.5388000000000002"/>
    <n v="1.5599999999999999E-2"/>
    <n v="1.3793726491836981E-3"/>
    <n v="591180461.39999998"/>
    <n v="412038.9"/>
    <n v="1.95E-2"/>
    <n v="0"/>
    <n v="0"/>
    <n v="0.1379372649183698"/>
  </r>
  <r>
    <x v="2"/>
    <s v="14DN01"/>
    <n v="31454431558.75"/>
    <x v="12"/>
    <n v="136821"/>
    <n v="143509133.41999999"/>
    <n v="83561.429999999993"/>
    <n v="4.5624456176216795E-3"/>
    <n v="2.6565868737422743E-6"/>
    <n v="5.3395999999999999"/>
    <n v="3.0999999999999999E-3"/>
    <n v="1.6926852605984863E-3"/>
    <n v="734689594.82000005"/>
    <n v="495600.33"/>
    <n v="2.4199999999999999E-2"/>
    <n v="0"/>
    <n v="0"/>
    <n v="0.16926852605984863"/>
  </r>
  <r>
    <x v="2"/>
    <s v="14DN01"/>
    <n v="31244385455.200001"/>
    <x v="13"/>
    <n v="136164"/>
    <n v="128496974.15000001"/>
    <n v="681878.67"/>
    <n v="4.1126420724211833E-3"/>
    <n v="2.1824038465333776E-5"/>
    <n v="4.8250000000000002"/>
    <n v="2.6100000000000002E-2"/>
    <n v="2.0239341257222757E-3"/>
    <n v="863186568.97000003"/>
    <n v="1177479"/>
    <n v="2.8500000000000001E-2"/>
    <n v="0"/>
    <n v="0"/>
    <n v="0.20239341257222757"/>
  </r>
  <r>
    <x v="2"/>
    <s v="14DN01"/>
    <n v="31050179453.919998"/>
    <x v="14"/>
    <n v="135572"/>
    <n v="120807217.7"/>
    <n v="1164150.3500000001"/>
    <n v="3.8907091625439358E-3"/>
    <n v="3.7492548206610423E-5"/>
    <n v="4.5701999999999998"/>
    <n v="4.4900000000000002E-2"/>
    <n v="2.1676206490169876E-3"/>
    <n v="983993786.66999996"/>
    <n v="2341629.35"/>
    <n v="3.2500000000000001E-2"/>
    <n v="0"/>
    <n v="0"/>
    <n v="0.21676206490169875"/>
  </r>
  <r>
    <x v="2"/>
    <s v="14DN01"/>
    <n v="30864009327.299999"/>
    <x v="15"/>
    <n v="135011"/>
    <n v="134653590.77000001"/>
    <n v="736099.11"/>
    <n v="4.3628029444280746E-3"/>
    <n v="2.3849756594937964E-5"/>
    <n v="5.1115000000000004"/>
    <n v="2.86E-2"/>
    <n v="2.5084879073542232E-3"/>
    <n v="1118647377.4400001"/>
    <n v="3077728.46"/>
    <n v="3.6900000000000002E-2"/>
    <n v="1E-4"/>
    <n v="0.01"/>
    <n v="0.25084879073542232"/>
  </r>
  <r>
    <x v="2"/>
    <s v="14DN01"/>
    <n v="30665146300.130001"/>
    <x v="16"/>
    <n v="134366"/>
    <n v="124790143.37"/>
    <n v="1092294.03"/>
    <n v="4.0694455571363428E-3"/>
    <n v="3.5620049528195775E-5"/>
    <n v="4.7755000000000001"/>
    <n v="4.2700000000000002E-2"/>
    <n v="2.4358036540553974E-3"/>
    <n v="1243437520.8099999"/>
    <n v="4170022.49"/>
    <n v="4.1000000000000002E-2"/>
    <n v="1E-4"/>
    <n v="0.01"/>
    <n v="0.24358036540553973"/>
  </r>
  <r>
    <x v="2"/>
    <s v="14DN01"/>
    <n v="30475372228.66"/>
    <x v="17"/>
    <n v="133821"/>
    <n v="135091366.09"/>
    <n v="543257.96"/>
    <n v="4.4328044650741236E-3"/>
    <n v="1.7826130421767355E-5"/>
    <n v="5.1914999999999996"/>
    <n v="2.1299999999999999E-2"/>
    <n v="1.9498019037850725E-3"/>
    <n v="1378528886.9000001"/>
    <n v="4713280.45"/>
    <n v="4.5499999999999999E-2"/>
    <n v="1E-4"/>
    <n v="0.01"/>
    <n v="0.19498019037850725"/>
  </r>
  <r>
    <x v="2"/>
    <s v="14DN01"/>
    <n v="30274833486.439999"/>
    <x v="18"/>
    <n v="133208"/>
    <n v="108369472.09"/>
    <n v="1663331.74"/>
    <n v="3.5795233073218501E-3"/>
    <n v="5.4941069807865368E-5"/>
    <n v="4.2118000000000002"/>
    <n v="6.59E-2"/>
    <n v="3.1639523448709697E-3"/>
    <n v="1486898358.99"/>
    <n v="6376612.1900000004"/>
    <n v="4.9099999999999998E-2"/>
    <n v="2.0000000000000001E-4"/>
    <n v="0.02"/>
    <n v="0.31639523448709694"/>
  </r>
  <r>
    <x v="2"/>
    <s v="14DN01"/>
    <n v="30100359859.959999"/>
    <x v="19"/>
    <n v="132713"/>
    <n v="152940502"/>
    <n v="589675.86"/>
    <n v="5.081019054640739E-3"/>
    <n v="1.9590325921132812E-5"/>
    <n v="5.9295999999999998"/>
    <n v="2.35E-2"/>
    <n v="2.4825080357062314E-3"/>
    <n v="1639838860.99"/>
    <n v="6966288.0499999998"/>
    <n v="5.4100000000000002E-2"/>
    <n v="2.0000000000000001E-4"/>
    <n v="0.02"/>
    <n v="0.24825080357062315"/>
  </r>
  <r>
    <x v="2"/>
    <s v="14DN01"/>
    <n v="29884165860.82"/>
    <x v="20"/>
    <n v="132085"/>
    <n v="196999436.59"/>
    <n v="776531.93"/>
    <n v="6.5921008974280425E-3"/>
    <n v="2.5984728287767994E-5"/>
    <n v="7.6299000000000001"/>
    <n v="3.1099999999999999E-2"/>
    <n v="2.5249433576771596E-3"/>
    <n v="1836838297.5799999"/>
    <n v="7742819.9800000004"/>
    <n v="6.0600000000000001E-2"/>
    <n v="2.0000000000000001E-4"/>
    <n v="0.02"/>
    <n v="0.25249433576771596"/>
  </r>
  <r>
    <x v="2"/>
    <s v="14DN01"/>
    <n v="29622381783.93"/>
    <x v="21"/>
    <n v="131250"/>
    <n v="206483582.91999999"/>
    <n v="564733.91"/>
    <n v="6.9705260173243853E-3"/>
    <n v="1.9064432904796516E-5"/>
    <n v="8.0511999999999997"/>
    <n v="2.2800000000000001E-2"/>
    <n v="3.1499647857695201E-3"/>
    <n v="2043321880.5"/>
    <n v="8307553.8899999997"/>
    <n v="6.7500000000000004E-2"/>
    <n v="2.0000000000000001E-4"/>
    <n v="0.02"/>
    <n v="0.31499647857695201"/>
  </r>
  <r>
    <x v="2"/>
    <s v="14DN01"/>
    <n v="29346853284.540001"/>
    <x v="22"/>
    <n v="130339"/>
    <n v="237340935.86000001"/>
    <n v="1555789.72"/>
    <n v="8.0874407064634706E-3"/>
    <n v="5.3013851431205883E-5"/>
    <n v="9.2845999999999993"/>
    <n v="6.3500000000000001E-2"/>
    <n v="2.3592986031137709E-3"/>
    <n v="2280662816.3600001"/>
    <n v="9863343.6099999994"/>
    <n v="7.5300000000000006E-2"/>
    <n v="2.9999999999999997E-4"/>
    <n v="0.03"/>
    <n v="0.23592986031137708"/>
  </r>
  <r>
    <x v="2"/>
    <s v="14DN01"/>
    <n v="29042673167.91"/>
    <x v="23"/>
    <n v="129302"/>
    <n v="248521555.47"/>
    <n v="651600.99"/>
    <n v="8.557117109474547E-3"/>
    <n v="2.2435985359638686E-5"/>
    <n v="9.7987000000000002"/>
    <n v="2.69E-2"/>
    <n v="2.4597052332955335E-3"/>
    <n v="2529184371.8299999"/>
    <n v="10514944.6"/>
    <n v="8.3500000000000005E-2"/>
    <n v="2.9999999999999997E-4"/>
    <n v="0.03"/>
    <n v="0.24597052332955335"/>
  </r>
  <r>
    <x v="3"/>
    <s v="14DN02"/>
    <n v="28039544680.09"/>
    <x v="10"/>
    <n v="116677"/>
    <n v="369559914.37"/>
    <n v="0"/>
    <n v="1.317995418921381E-2"/>
    <n v="0"/>
    <n v="14.718299999999999"/>
    <n v="0"/>
    <n v="1.2582498026457525E-3"/>
    <n v="369559914.37"/>
    <n v="0"/>
    <n v="1.4999999999999999E-2"/>
    <n v="0"/>
    <n v="0"/>
    <n v="0.12582498026457525"/>
  </r>
  <r>
    <x v="3"/>
    <s v="14DN02"/>
    <n v="27609728254.779999"/>
    <x v="11"/>
    <n v="115265"/>
    <n v="207436533.11000001"/>
    <n v="0"/>
    <n v="7.5131682280895704E-3"/>
    <n v="0"/>
    <n v="8.6524000000000001"/>
    <n v="0"/>
    <n v="1.5944404332331151E-3"/>
    <n v="576996447.48000002"/>
    <n v="0"/>
    <n v="2.3400000000000001E-2"/>
    <n v="0"/>
    <n v="0"/>
    <n v="0.15944404332331152"/>
  </r>
  <r>
    <x v="3"/>
    <s v="14DN02"/>
    <n v="27348284475.400002"/>
    <x v="12"/>
    <n v="114528"/>
    <n v="202721399.50999999"/>
    <n v="0"/>
    <n v="7.4125819369894848E-3"/>
    <n v="0"/>
    <n v="8.5411999999999999"/>
    <n v="0"/>
    <n v="1.6220678949680691E-3"/>
    <n v="779717846.99000001"/>
    <n v="0"/>
    <n v="3.1600000000000003E-2"/>
    <n v="0"/>
    <n v="0"/>
    <n v="0.16220678949680692"/>
  </r>
  <r>
    <x v="3"/>
    <s v="14DN02"/>
    <n v="27089577370.52"/>
    <x v="13"/>
    <n v="113774"/>
    <n v="182482840.21000001"/>
    <n v="968154.6"/>
    <n v="6.7362749043322241E-3"/>
    <n v="3.5739007174530004E-5"/>
    <n v="7.7906000000000004"/>
    <n v="4.2799999999999998E-2"/>
    <n v="1.83497047924029E-3"/>
    <n v="962200687.20000005"/>
    <n v="968154.6"/>
    <n v="3.9100000000000003E-2"/>
    <n v="0"/>
    <n v="0"/>
    <n v="0.18349704792402902"/>
  </r>
  <r>
    <x v="3"/>
    <s v="14DN02"/>
    <n v="26851958095.509998"/>
    <x v="14"/>
    <n v="113066"/>
    <n v="162436003.41999999"/>
    <n v="77670.52"/>
    <n v="6.0493168819283029E-3"/>
    <n v="2.8925458517301774E-6"/>
    <n v="7.0224000000000002"/>
    <n v="3.3999999999999998E-3"/>
    <n v="1.7743349699315509E-3"/>
    <n v="1124636690.6199999"/>
    <n v="1045825.12"/>
    <n v="4.5699999999999998E-2"/>
    <n v="0"/>
    <n v="0"/>
    <n v="0.17743349699315508"/>
  </r>
  <r>
    <x v="3"/>
    <s v="14DN02"/>
    <n v="26637069814.950001"/>
    <x v="15"/>
    <n v="112446"/>
    <n v="172597846.72"/>
    <n v="867798.01"/>
    <n v="6.4796108550622114E-3"/>
    <n v="3.2578583756722003E-5"/>
    <n v="7.5042999999999997"/>
    <n v="3.9E-2"/>
    <n v="2.2391729474885548E-3"/>
    <n v="1297234537.3399999"/>
    <n v="1913623.13"/>
    <n v="5.2699999999999997E-2"/>
    <n v="0"/>
    <n v="0"/>
    <n v="0.22391729474885549"/>
  </r>
  <r>
    <x v="3"/>
    <s v="14DN02"/>
    <n v="26409684178.889999"/>
    <x v="16"/>
    <n v="111769"/>
    <n v="239512495.96000001"/>
    <n v="552007.49"/>
    <n v="9.0691162506005667E-3"/>
    <n v="2.0901707353291072E-5"/>
    <n v="10.3561"/>
    <n v="2.5000000000000001E-2"/>
    <n v="2.3875834479081689E-3"/>
    <n v="1536747033.3"/>
    <n v="2465630.62"/>
    <n v="6.2399999999999997E-2"/>
    <n v="1E-4"/>
    <n v="0.01"/>
    <n v="0.2387583447908169"/>
  </r>
  <r>
    <x v="3"/>
    <s v="14DN02"/>
    <n v="26117688939.689999"/>
    <x v="17"/>
    <n v="110925"/>
    <n v="260286629.65000001"/>
    <n v="491931.43"/>
    <n v="9.965913532818475E-3"/>
    <n v="1.8835182206815843E-5"/>
    <n v="11.3248"/>
    <n v="2.2499999999999999E-2"/>
    <n v="2.2911961585951207E-3"/>
    <n v="1797033662.95"/>
    <n v="2957562.05"/>
    <n v="7.2999999999999995E-2"/>
    <n v="1E-4"/>
    <n v="0.01"/>
    <n v="0.22911961585951207"/>
  </r>
  <r>
    <x v="3"/>
    <s v="14DN02"/>
    <n v="25803566156.799999"/>
    <x v="18"/>
    <n v="110015"/>
    <n v="216937573.77000001"/>
    <n v="701717.69"/>
    <n v="8.4072710125313657E-3"/>
    <n v="2.7194601154580204E-5"/>
    <n v="9.6349999999999998"/>
    <n v="3.2599999999999997E-2"/>
    <n v="3.6134533615784156E-3"/>
    <n v="2013971236.72"/>
    <n v="3659279.74"/>
    <n v="8.1799999999999998E-2"/>
    <n v="1E-4"/>
    <n v="0.01"/>
    <n v="0.36134533615784159"/>
  </r>
  <r>
    <x v="3"/>
    <s v="14DN02"/>
    <n v="25533693163.25"/>
    <x v="19"/>
    <n v="109248"/>
    <n v="408537204.06999999"/>
    <n v="773623.07"/>
    <n v="1.59999261155843E-2"/>
    <n v="3.0298126677321248E-5"/>
    <n v="17.597200000000001"/>
    <n v="3.6299999999999999E-2"/>
    <n v="2.8897348095416825E-3"/>
    <n v="2422508440.79"/>
    <n v="4432902.8099999996"/>
    <n v="9.8400000000000001E-2"/>
    <n v="1E-4"/>
    <n v="0.01"/>
    <n v="0.28897348095416825"/>
  </r>
  <r>
    <x v="3"/>
    <s v="14DN02"/>
    <n v="25073337969.040001"/>
    <x v="20"/>
    <n v="107817"/>
    <n v="459061248.75999999"/>
    <n v="726228"/>
    <n v="1.8308740915423331E-2"/>
    <n v="2.8964153113427904E-5"/>
    <n v="19.887699999999999"/>
    <n v="3.4700000000000002E-2"/>
    <n v="2.891733801838753E-3"/>
    <n v="2881569689.5500002"/>
    <n v="5159130.8099999996"/>
    <n v="0.1171"/>
    <n v="2.0000000000000001E-4"/>
    <n v="0.02"/>
    <n v="0.28917338018387528"/>
  </r>
  <r>
    <x v="3"/>
    <s v="14DN02"/>
    <n v="24561922452.779999"/>
    <x v="21"/>
    <n v="106156"/>
    <n v="305794241.72000003"/>
    <n v="851866.76"/>
    <n v="1.2449931079616661E-2"/>
    <n v="3.4682413872029094E-5"/>
    <n v="13.9582"/>
    <n v="4.1599999999999998E-2"/>
    <n v="3.4767765375114017E-3"/>
    <n v="3187363931.27"/>
    <n v="6010997.5700000003"/>
    <n v="0.1295"/>
    <n v="2.0000000000000001E-4"/>
    <n v="0.02"/>
    <n v="0.34767765375114018"/>
  </r>
  <r>
    <x v="3"/>
    <s v="14DN02"/>
    <n v="24201903933.830002"/>
    <x v="22"/>
    <n v="104991"/>
    <n v="296485141.12"/>
    <n v="1062221.53"/>
    <n v="1.2250488305821509E-2"/>
    <n v="4.3889998609373923E-5"/>
    <n v="13.7494"/>
    <n v="5.2600000000000001E-2"/>
    <n v="2.6331290473771878E-3"/>
    <n v="3483849072.3899999"/>
    <n v="7073219.0999999996"/>
    <n v="0.14149999999999999"/>
    <n v="2.0000000000000001E-4"/>
    <n v="0.02"/>
    <n v="0.26331290473771879"/>
  </r>
  <r>
    <x v="3"/>
    <s v="14DN02"/>
    <n v="23852978020.849998"/>
    <x v="23"/>
    <n v="103861"/>
    <n v="286045284.57999998"/>
    <n v="1003683.14"/>
    <n v="1.1992015601991771E-2"/>
    <n v="4.2077896484148679E-5"/>
    <n v="13.478199999999999"/>
    <n v="5.04E-2"/>
    <n v="2.8994875935216846E-3"/>
    <n v="3769894356.9699998"/>
    <n v="8076902.2400000002"/>
    <n v="0.1532"/>
    <n v="2.9999999999999997E-4"/>
    <n v="0.03"/>
    <n v="0.28994875935216846"/>
  </r>
  <r>
    <x v="4"/>
    <s v="14DN03"/>
    <n v="19673327276.75"/>
    <x v="14"/>
    <n v="87222"/>
    <n v="677671924.90999997"/>
    <n v="0"/>
    <n v="3.4446228407478116E-2"/>
    <n v="0"/>
    <n v="34.337400000000002"/>
    <n v="0"/>
    <n v="1.8750273449471043E-3"/>
    <n v="677671924.90999997"/>
    <n v="0"/>
    <n v="4.3799999999999999E-2"/>
    <n v="0"/>
    <n v="0"/>
    <n v="0.18750273449471044"/>
  </r>
  <r>
    <x v="4"/>
    <s v="14DN03"/>
    <n v="18959026495.110001"/>
    <x v="15"/>
    <n v="84869"/>
    <n v="222319195.37"/>
    <n v="0"/>
    <n v="1.1726298047388752E-2"/>
    <n v="0"/>
    <n v="13.198499999999999"/>
    <n v="0"/>
    <n v="2.1848072705992422E-3"/>
    <n v="899991120.27999997"/>
    <n v="0"/>
    <n v="5.8099999999999999E-2"/>
    <n v="0"/>
    <n v="0"/>
    <n v="0.21848072705992422"/>
  </r>
  <r>
    <x v="4"/>
    <s v="14DN03"/>
    <n v="18700722950.959999"/>
    <x v="16"/>
    <n v="84088"/>
    <n v="393046541.18000001"/>
    <n v="0"/>
    <n v="2.1017719058814409E-2"/>
    <n v="0"/>
    <n v="22.500599999999999"/>
    <n v="0"/>
    <n v="2.5633474783678984E-3"/>
    <n v="1293037661.46"/>
    <n v="0"/>
    <n v="8.3599999999999994E-2"/>
    <n v="0"/>
    <n v="0"/>
    <n v="0.25633474783678983"/>
  </r>
  <r>
    <x v="4"/>
    <s v="14DN03"/>
    <n v="18273757066.580002"/>
    <x v="17"/>
    <n v="82804"/>
    <n v="384470660.99000001"/>
    <n v="651418.92000000004"/>
    <n v="2.1039497219383526E-2"/>
    <n v="3.5647782644070983E-5"/>
    <n v="22.5213"/>
    <n v="4.2700000000000002E-2"/>
    <n v="2.5782310018865511E-3"/>
    <n v="1677508322.45"/>
    <n v="651418.92000000004"/>
    <n v="0.1084"/>
    <n v="0"/>
    <n v="0"/>
    <n v="0.25782310018865512"/>
  </r>
  <r>
    <x v="4"/>
    <s v="14DN03"/>
    <n v="17854723101.439999"/>
    <x v="18"/>
    <n v="81501"/>
    <n v="318244031.63"/>
    <n v="0"/>
    <n v="1.782408104689864E-2"/>
    <n v="0"/>
    <n v="19.411799999999999"/>
    <n v="0"/>
    <n v="4.1618114863963915E-3"/>
    <n v="1995752354.0799999"/>
    <n v="651418.92000000004"/>
    <n v="0.129"/>
    <n v="0"/>
    <n v="0"/>
    <n v="0.41618114863963918"/>
  </r>
  <r>
    <x v="4"/>
    <s v="14DN03"/>
    <n v="17502640487.57"/>
    <x v="19"/>
    <n v="80430"/>
    <n v="664625808.39999998"/>
    <n v="599297.27"/>
    <n v="3.7972888083486776E-2"/>
    <n v="3.4240391924041863E-5"/>
    <n v="37.158299999999997"/>
    <n v="4.1000000000000002E-2"/>
    <n v="3.6901987117811835E-3"/>
    <n v="2660378162.48"/>
    <n v="1250716.19"/>
    <n v="0.17199999999999999"/>
    <n v="0"/>
    <n v="0"/>
    <n v="0.36901987117811835"/>
  </r>
  <r>
    <x v="4"/>
    <s v="14DN03"/>
    <n v="16806094470.57"/>
    <x v="20"/>
    <n v="78205"/>
    <n v="674827471.32000005"/>
    <n v="645947.04"/>
    <n v="4.0153735450060957E-2"/>
    <n v="3.8435285552580375E-5"/>
    <n v="38.846600000000002"/>
    <n v="4.6100000000000002E-2"/>
    <n v="3.9045994484270194E-3"/>
    <n v="3335205633.8000002"/>
    <n v="1896663.23"/>
    <n v="0.21560000000000001"/>
    <n v="1E-4"/>
    <n v="0.01"/>
    <n v="0.39045994484270197"/>
  </r>
  <r>
    <x v="4"/>
    <s v="14DN03"/>
    <n v="16098208030.52"/>
    <x v="21"/>
    <n v="75849"/>
    <n v="424337416.35000002"/>
    <n v="1299799"/>
    <n v="2.6359295118159383E-2"/>
    <n v="8.0741843908077159E-5"/>
    <n v="27.4253"/>
    <n v="9.6799999999999997E-2"/>
    <n v="4.945494539458274E-3"/>
    <n v="3759543050.1500001"/>
    <n v="3196462.23"/>
    <n v="0.24299999999999999"/>
    <n v="2.0000000000000001E-4"/>
    <n v="0.02"/>
    <n v="0.49454945394582739"/>
  </r>
  <r>
    <x v="4"/>
    <s v="14DN03"/>
    <n v="15638257078.51"/>
    <x v="22"/>
    <n v="74283"/>
    <n v="369147435.13"/>
    <n v="778404.67"/>
    <n v="2.3605407768700785E-2"/>
    <n v="4.9775666565149326E-5"/>
    <n v="24.923400000000001"/>
    <n v="5.9700000000000003E-2"/>
    <n v="4.0934867388750778E-3"/>
    <n v="4128690485.2800002"/>
    <n v="3974866.9"/>
    <n v="0.26690000000000003"/>
    <n v="2.0000000000000001E-4"/>
    <n v="0.02"/>
    <n v="0.40934867388750779"/>
  </r>
  <r>
    <x v="4"/>
    <s v="14DN03"/>
    <n v="15236316428.049999"/>
    <x v="23"/>
    <n v="72925"/>
    <n v="301958316.39999998"/>
    <n v="1387142.57"/>
    <n v="1.981832799456015E-2"/>
    <n v="9.1041858873859821E-5"/>
    <n v="21.3535"/>
    <n v="0.1091"/>
    <n v="4.1318942079793227E-3"/>
    <n v="4430648801.6800003"/>
    <n v="5362009.47"/>
    <n v="0.28639999999999999"/>
    <n v="2.9999999999999997E-4"/>
    <n v="0.03"/>
    <n v="0.41318942079793225"/>
  </r>
  <r>
    <x v="5"/>
    <s v="14DN04"/>
    <n v="15740708858.99"/>
    <x v="15"/>
    <n v="69780"/>
    <n v="186342944.30000001"/>
    <n v="0"/>
    <n v="1.1838281615479715E-2"/>
    <n v="0"/>
    <n v="13.3165"/>
    <n v="0"/>
    <n v="0"/>
    <n v="186342944.30000001"/>
    <n v="0"/>
    <n v="1.46E-2"/>
    <n v="0"/>
    <n v="0"/>
    <n v="0"/>
  </r>
  <r>
    <x v="5"/>
    <s v="14DN04"/>
    <n v="15522385738.57"/>
    <x v="16"/>
    <n v="69127"/>
    <n v="322326176.44"/>
    <n v="0"/>
    <n v="2.0765247164234838E-2"/>
    <n v="0"/>
    <n v="22.260400000000001"/>
    <n v="0"/>
    <n v="1.9170658184365804E-3"/>
    <n v="508669120.74000001"/>
    <n v="0"/>
    <n v="3.9800000000000002E-2"/>
    <n v="0"/>
    <n v="0"/>
    <n v="0.19170658184365805"/>
  </r>
  <r>
    <x v="5"/>
    <s v="14DN04"/>
    <n v="15171194093.5"/>
    <x v="17"/>
    <n v="68132"/>
    <n v="305028267.93000001"/>
    <n v="0"/>
    <n v="2.0105752128020522E-2"/>
    <n v="0"/>
    <n v="21.629799999999999"/>
    <n v="0"/>
    <n v="1.7382168099278625E-3"/>
    <n v="813697388.66999996"/>
    <n v="0"/>
    <n v="6.3700000000000007E-2"/>
    <n v="0"/>
    <n v="0"/>
    <n v="0.17382168099278625"/>
  </r>
  <r>
    <x v="5"/>
    <s v="14DN04"/>
    <n v="14838043875"/>
    <x v="18"/>
    <n v="67165"/>
    <n v="288666454.70999998"/>
    <n v="0"/>
    <n v="1.9454481813223509E-2"/>
    <n v="0"/>
    <n v="21.002500000000001"/>
    <n v="0"/>
    <n v="3.5413995458346763E-3"/>
    <n v="1102363843.3800001"/>
    <n v="0"/>
    <n v="8.6300000000000002E-2"/>
    <n v="0"/>
    <n v="0"/>
    <n v="0.35413995458346764"/>
  </r>
  <r>
    <x v="5"/>
    <s v="14DN04"/>
    <n v="14519089510.52"/>
    <x v="19"/>
    <n v="66213"/>
    <n v="521738928.94999999"/>
    <n v="0"/>
    <n v="3.5934686439667386E-2"/>
    <n v="0"/>
    <n v="35.541899999999998"/>
    <n v="0"/>
    <n v="2.7748621000516908E-3"/>
    <n v="1624102772.3299999"/>
    <n v="0"/>
    <n v="0.12720000000000001"/>
    <n v="0"/>
    <n v="0"/>
    <n v="0.2774862100051691"/>
  </r>
  <r>
    <x v="5"/>
    <s v="14DN04"/>
    <n v="13971658579.58"/>
    <x v="20"/>
    <n v="64470"/>
    <n v="610942869.85000002"/>
    <n v="222479.34"/>
    <n v="4.3727297397812982E-2"/>
    <n v="1.5923616994560708E-5"/>
    <n v="41.523499999999999"/>
    <n v="1.9099999999999999E-2"/>
    <n v="3.0916978033755042E-3"/>
    <n v="2235045642.1799998"/>
    <n v="222479.34"/>
    <n v="0.17510000000000001"/>
    <n v="0"/>
    <n v="0"/>
    <n v="0.30916978033755044"/>
  </r>
  <r>
    <x v="5"/>
    <s v="14DN04"/>
    <n v="13334670468.51"/>
    <x v="21"/>
    <n v="62417"/>
    <n v="346591293.42000002"/>
    <n v="0"/>
    <n v="2.59917404212185E-2"/>
    <n v="0"/>
    <n v="27.0959"/>
    <n v="0"/>
    <n v="4.237643226613165E-3"/>
    <n v="2581636935.5999999"/>
    <n v="222479.34"/>
    <n v="0.20230000000000001"/>
    <n v="0"/>
    <n v="0"/>
    <n v="0.42376432266131647"/>
  </r>
  <r>
    <x v="5"/>
    <s v="14DN04"/>
    <n v="12960092254.6"/>
    <x v="22"/>
    <n v="61190"/>
    <n v="286518217.10000002"/>
    <n v="738752.75"/>
    <n v="2.2107729750018134E-2"/>
    <n v="5.7002121241674822E-5"/>
    <n v="23.529800000000002"/>
    <n v="6.83E-2"/>
    <n v="3.5782370579607648E-3"/>
    <n v="2868155152.6999998"/>
    <n v="961232.09"/>
    <n v="0.22470000000000001"/>
    <n v="0"/>
    <n v="0"/>
    <n v="0.35782370579607647"/>
  </r>
  <r>
    <x v="5"/>
    <s v="14DN04"/>
    <n v="12647606750.530001"/>
    <x v="23"/>
    <n v="60127"/>
    <n v="267435898.34"/>
    <n v="54403.1"/>
    <n v="2.1145178183911598E-2"/>
    <n v="4.3014541069376803E-6"/>
    <n v="22.621600000000001"/>
    <n v="5.1000000000000004E-3"/>
    <n v="3.9062777689486327E-3"/>
    <n v="3135591051.04"/>
    <n v="1015635.19"/>
    <n v="0.2457"/>
    <n v="0"/>
    <n v="0"/>
    <n v="0.39062777689486328"/>
  </r>
  <r>
    <x v="6"/>
    <s v="14HQ01"/>
    <n v="9940429900.0400009"/>
    <x v="14"/>
    <n v="45112"/>
    <n v="255498541.15000001"/>
    <n v="0"/>
    <n v="2.5702966946024326E-2"/>
    <n v="0"/>
    <n v="26.836099999999998"/>
    <n v="0"/>
    <n v="1.7774701574957941E-3"/>
    <n v="255498541.15000001"/>
    <n v="0"/>
    <n v="3.1199999999999999E-2"/>
    <n v="0"/>
    <n v="0"/>
    <n v="0.17774701574957941"/>
  </r>
  <r>
    <x v="6"/>
    <s v="14HQ01"/>
    <n v="9668617060.4899998"/>
    <x v="15"/>
    <n v="44147"/>
    <n v="96526009.129999995"/>
    <n v="0"/>
    <n v="9.9834349138146674E-3"/>
    <n v="0"/>
    <n v="11.3437"/>
    <n v="0"/>
    <n v="2.6546245827528134E-3"/>
    <n v="352024550.27999997"/>
    <n v="0"/>
    <n v="4.2999999999999997E-2"/>
    <n v="0"/>
    <n v="0"/>
    <n v="0.26546245827528137"/>
  </r>
  <r>
    <x v="6"/>
    <s v="14HQ01"/>
    <n v="9556067688.0200005"/>
    <x v="16"/>
    <n v="43762"/>
    <n v="153869136.05000001"/>
    <n v="0"/>
    <n v="1.6101721029341244E-2"/>
    <n v="0"/>
    <n v="17.6995"/>
    <n v="0"/>
    <n v="3.072914305202496E-3"/>
    <n v="505893686.32999998"/>
    <n v="0"/>
    <n v="6.1800000000000001E-2"/>
    <n v="0"/>
    <n v="0"/>
    <n v="0.3072914305202496"/>
  </r>
  <r>
    <x v="6"/>
    <s v="14HQ01"/>
    <n v="9385514861.4400005"/>
    <x v="17"/>
    <n v="43202"/>
    <n v="156498005.96000001"/>
    <n v="337571.16"/>
    <n v="1.6674418853990163E-2"/>
    <n v="3.5967250063914681E-5"/>
    <n v="18.272500000000001"/>
    <n v="4.3099999999999999E-2"/>
    <n v="3.5378818839678925E-3"/>
    <n v="662391692.28999996"/>
    <n v="337571.16"/>
    <n v="8.09E-2"/>
    <n v="0"/>
    <n v="0"/>
    <n v="0.35378818839678927"/>
  </r>
  <r>
    <x v="6"/>
    <s v="14HQ01"/>
    <n v="9212632603.0100002"/>
    <x v="18"/>
    <n v="42618"/>
    <n v="129260813.67"/>
    <n v="1497510.51"/>
    <n v="1.4030822593290785E-2"/>
    <n v="1.6254968308523728E-4"/>
    <n v="15.596500000000001"/>
    <n v="0.1948"/>
    <n v="5.1635036194168701E-3"/>
    <n v="791652505.96000004"/>
    <n v="1835081.67"/>
    <n v="9.6699999999999994E-2"/>
    <n v="2.0000000000000001E-4"/>
    <n v="0.02"/>
    <n v="0.51635036194168704"/>
  </r>
  <r>
    <x v="6"/>
    <s v="14HQ01"/>
    <n v="9066975658.4200001"/>
    <x v="19"/>
    <n v="42132"/>
    <n v="269712527.51999998"/>
    <n v="0"/>
    <n v="2.9746691474740298E-2"/>
    <n v="0"/>
    <n v="30.398"/>
    <n v="0"/>
    <n v="4.2606312132453432E-3"/>
    <n v="1061365033.48"/>
    <n v="1835081.67"/>
    <n v="0.12970000000000001"/>
    <n v="2.0000000000000001E-4"/>
    <n v="0.02"/>
    <n v="0.42606312132453433"/>
  </r>
  <r>
    <x v="6"/>
    <s v="14HQ01"/>
    <n v="8782262327.0300007"/>
    <x v="20"/>
    <n v="41141"/>
    <n v="292801159.38"/>
    <n v="793770.14"/>
    <n v="3.3340060735696557E-2"/>
    <n v="9.0383332954760244E-5"/>
    <n v="33.429000000000002"/>
    <n v="0.1084"/>
    <n v="5.3237138676784923E-3"/>
    <n v="1354166192.8599999"/>
    <n v="2628851.81"/>
    <n v="0.16539999999999999"/>
    <n v="2.9999999999999997E-4"/>
    <n v="0.03"/>
    <n v="0.53237138676784923"/>
  </r>
  <r>
    <x v="6"/>
    <s v="14HQ01"/>
    <n v="8474595278.0200005"/>
    <x v="21"/>
    <n v="40029"/>
    <n v="176721009.63999999"/>
    <n v="1277554.23"/>
    <n v="2.0853032368206379E-2"/>
    <n v="1.5075106103456154E-4"/>
    <n v="22.344000000000001"/>
    <n v="0.1807"/>
    <n v="5.8858695835742637E-3"/>
    <n v="1530887202.5"/>
    <n v="3906406.04"/>
    <n v="0.187"/>
    <n v="4.0000000000000002E-4"/>
    <n v="0.04"/>
    <n v="0.58858695835742636"/>
  </r>
  <r>
    <x v="6"/>
    <s v="14HQ01"/>
    <n v="8281394201.75"/>
    <x v="22"/>
    <n v="39324"/>
    <n v="169304692.94999999"/>
    <n v="1580228.66"/>
    <n v="2.0443984288807678E-2"/>
    <n v="1.9081674190392611E-4"/>
    <n v="21.953800000000001"/>
    <n v="0.22869999999999999"/>
    <n v="4.2740795025214906E-3"/>
    <n v="1700191895.45"/>
    <n v="5486634.7000000002"/>
    <n v="0.2077"/>
    <n v="5.9999999999999995E-4"/>
    <n v="0.06"/>
    <n v="0.42740795025214906"/>
  </r>
  <r>
    <x v="6"/>
    <s v="14HQ01"/>
    <n v="8096216510.6300001"/>
    <x v="23"/>
    <n v="38647"/>
    <n v="162666105.31999999"/>
    <n v="438173.31"/>
    <n v="2.0091619969207355E-2"/>
    <n v="5.4120750034870783E-5"/>
    <n v="21.616299999999999"/>
    <n v="6.4899999999999999E-2"/>
    <n v="5.1322419447953583E-3"/>
    <n v="1862858000.77"/>
    <n v="5924808.0099999998"/>
    <n v="0.2276"/>
    <n v="6.9999999999999999E-4"/>
    <n v="6.9999999999999993E-2"/>
    <n v="0.51322419447953582"/>
  </r>
  <r>
    <x v="7"/>
    <s v="14HQ02"/>
    <n v="33311753569.889999"/>
    <x v="15"/>
    <n v="147771"/>
    <n v="545653163.55999994"/>
    <n v="172175.28"/>
    <n v="1.6380199331601918E-2"/>
    <n v="5.1686045178848429E-6"/>
    <n v="17.9786"/>
    <n v="6.1999999999999998E-3"/>
    <n v="1.9867683813505873E-3"/>
    <n v="545653163.55999994"/>
    <n v="172175.28"/>
    <n v="1.7299999999999999E-2"/>
    <n v="0"/>
    <n v="0"/>
    <n v="0.19867683813505874"/>
  </r>
  <r>
    <x v="7"/>
    <s v="14HQ02"/>
    <n v="32702854732.900002"/>
    <x v="16"/>
    <n v="145469"/>
    <n v="200469688.75"/>
    <n v="0"/>
    <n v="6.1300363649391685E-3"/>
    <n v="0"/>
    <n v="7.1130000000000004"/>
    <n v="0"/>
    <n v="1.9704739462751367E-3"/>
    <n v="746122852.30999994"/>
    <n v="172175.28"/>
    <n v="2.3699999999999999E-2"/>
    <n v="0"/>
    <n v="0"/>
    <n v="0.19704739462751367"/>
  </r>
  <r>
    <x v="7"/>
    <s v="14HQ02"/>
    <n v="32439664423.18"/>
    <x v="17"/>
    <n v="144665"/>
    <n v="214390611.25999999"/>
    <n v="0"/>
    <n v="6.6089034850436252E-3"/>
    <n v="0"/>
    <n v="7.6486000000000001"/>
    <n v="0"/>
    <n v="1.8279100294153797E-3"/>
    <n v="960513463.57000005"/>
    <n v="172175.28"/>
    <n v="3.0599999999999999E-2"/>
    <n v="0"/>
    <n v="0"/>
    <n v="0.18279100294153797"/>
  </r>
  <r>
    <x v="7"/>
    <s v="14HQ02"/>
    <n v="32163282682.549999"/>
    <x v="18"/>
    <n v="143797"/>
    <n v="176728353.75999999"/>
    <n v="697801.46"/>
    <n v="5.4947237663611663E-3"/>
    <n v="2.1695592047841187E-5"/>
    <n v="6.3979999999999997"/>
    <n v="2.5999999999999999E-2"/>
    <n v="3.1173836097395102E-3"/>
    <n v="1137241817.3299999"/>
    <n v="869976.74"/>
    <n v="3.6200000000000003E-2"/>
    <n v="0"/>
    <n v="0"/>
    <n v="0.31173836097395102"/>
  </r>
  <r>
    <x v="7"/>
    <s v="14HQ02"/>
    <n v="31924370768.91"/>
    <x v="19"/>
    <n v="143082"/>
    <n v="320455389.75999999"/>
    <n v="1736088.91"/>
    <n v="1.0037954767524502E-2"/>
    <n v="5.4381303943842012E-5"/>
    <n v="11.402200000000001"/>
    <n v="6.5199999999999994E-2"/>
    <n v="2.5871680534557333E-3"/>
    <n v="1457697207.0899999"/>
    <n v="2606065.65"/>
    <n v="4.6399999999999997E-2"/>
    <n v="0"/>
    <n v="0"/>
    <n v="0.25871680534557334"/>
  </r>
  <r>
    <x v="7"/>
    <s v="14HQ02"/>
    <n v="31541680808.580002"/>
    <x v="20"/>
    <n v="141849"/>
    <n v="397132082.99000001"/>
    <n v="2205360.34"/>
    <n v="1.2590707686128499E-2"/>
    <n v="6.991892262761392E-5"/>
    <n v="14.1052"/>
    <n v="8.3799999999999999E-2"/>
    <n v="2.9512584597165222E-3"/>
    <n v="1854829290.0799999"/>
    <n v="4811425.99"/>
    <n v="5.91E-2"/>
    <n v="1E-4"/>
    <n v="0.01"/>
    <n v="0.2951258459716522"/>
  </r>
  <r>
    <x v="7"/>
    <s v="14HQ02"/>
    <n v="31080609964.099998"/>
    <x v="21"/>
    <n v="140266"/>
    <n v="333619868.43000001"/>
    <n v="1554543.77"/>
    <n v="1.07340193392392E-2"/>
    <n v="5.0016514212417096E-5"/>
    <n v="12.1469"/>
    <n v="0.06"/>
    <n v="3.4120372853844289E-3"/>
    <n v="2188449158.5100002"/>
    <n v="6365969.7599999998"/>
    <n v="6.9699999999999998E-2"/>
    <n v="2.0000000000000001E-4"/>
    <n v="0.02"/>
    <n v="0.34120372853844289"/>
  </r>
  <r>
    <x v="7"/>
    <s v="14HQ02"/>
    <n v="30681406216.549999"/>
    <x v="22"/>
    <n v="138896"/>
    <n v="336232647.26999998"/>
    <n v="1547448.28"/>
    <n v="1.0958840833332834E-2"/>
    <n v="5.0436028553517985E-5"/>
    <n v="12.386200000000001"/>
    <n v="6.0499999999999998E-2"/>
    <n v="2.5385131985243754E-3"/>
    <n v="2524681805.7800002"/>
    <n v="7913418.04"/>
    <n v="8.0500000000000002E-2"/>
    <n v="2.0000000000000001E-4"/>
    <n v="0.02"/>
    <n v="0.25385131985243753"/>
  </r>
  <r>
    <x v="7"/>
    <s v="14HQ02"/>
    <n v="30281605272.830002"/>
    <x v="23"/>
    <n v="137461"/>
    <n v="345240389.32999998"/>
    <n v="1536908.01"/>
    <n v="1.1400993646785464E-2"/>
    <n v="5.0753848620402634E-5"/>
    <n v="12.855"/>
    <n v="6.08E-2"/>
    <n v="2.9648472609394619E-3"/>
    <n v="2869922195.1100001"/>
    <n v="9450326.0500000007"/>
    <n v="9.1499999999999998E-2"/>
    <n v="2.9999999999999997E-4"/>
    <n v="0.03"/>
    <n v="0.29648472609394622"/>
  </r>
  <r>
    <x v="8"/>
    <s v="14HQ03"/>
    <n v="8000610178.8900003"/>
    <x v="15"/>
    <n v="36226"/>
    <n v="54721277.009999998"/>
    <n v="0"/>
    <n v="6.8396379509133888E-3"/>
    <n v="0"/>
    <n v="7.9057000000000004"/>
    <n v="0"/>
    <n v="0"/>
    <n v="54721277.009999998"/>
    <n v="0"/>
    <n v="8.0000000000000002E-3"/>
    <n v="0"/>
    <n v="0"/>
    <n v="0"/>
  </r>
  <r>
    <x v="8"/>
    <s v="14HQ03"/>
    <n v="7932337047.4300003"/>
    <x v="16"/>
    <n v="36025"/>
    <n v="118540857.56999999"/>
    <n v="0"/>
    <n v="1.4944001605227564E-2"/>
    <n v="0"/>
    <n v="16.529800000000002"/>
    <n v="0"/>
    <n v="1.6623303474317432E-3"/>
    <n v="173262134.58000001"/>
    <n v="0"/>
    <n v="2.53E-2"/>
    <n v="0"/>
    <n v="0"/>
    <n v="0.1662330347431743"/>
  </r>
  <r>
    <x v="8"/>
    <s v="14HQ03"/>
    <n v="7800430279.4899998"/>
    <x v="17"/>
    <n v="35630"/>
    <n v="102951973.47"/>
    <n v="0"/>
    <n v="1.3198242889330856E-2"/>
    <n v="0"/>
    <n v="14.737299999999999"/>
    <n v="0"/>
    <n v="1.8127235784901458E-3"/>
    <n v="276214108.05000001"/>
    <n v="0"/>
    <n v="4.0399999999999998E-2"/>
    <n v="0"/>
    <n v="0"/>
    <n v="0.18127235784901458"/>
  </r>
  <r>
    <x v="8"/>
    <s v="14HQ03"/>
    <n v="7683642798.5"/>
    <x v="18"/>
    <n v="35266"/>
    <n v="110312012.93000001"/>
    <n v="0"/>
    <n v="1.4356733625297508E-2"/>
    <n v="0"/>
    <n v="15.9307"/>
    <n v="0"/>
    <n v="3.2100016355282681E-3"/>
    <n v="386526120.98000002"/>
    <n v="0"/>
    <n v="5.6599999999999998E-2"/>
    <n v="0"/>
    <n v="0"/>
    <n v="0.32100016355282679"/>
  </r>
  <r>
    <x v="8"/>
    <s v="14HQ03"/>
    <n v="7560282083.3699999"/>
    <x v="19"/>
    <n v="34867"/>
    <n v="205572070.59"/>
    <n v="0"/>
    <n v="2.7191058259874629E-2"/>
    <n v="0"/>
    <n v="28.165900000000001"/>
    <n v="0"/>
    <n v="3.4388182085411268E-3"/>
    <n v="592098191.57000005"/>
    <n v="0"/>
    <n v="8.6699999999999999E-2"/>
    <n v="0"/>
    <n v="0"/>
    <n v="0.34388182085411267"/>
  </r>
  <r>
    <x v="8"/>
    <s v="14HQ03"/>
    <n v="7342769532.79"/>
    <x v="20"/>
    <n v="34126"/>
    <n v="256927354.15000001"/>
    <n v="1143031.8799999999"/>
    <n v="3.4990524079866692E-2"/>
    <n v="1.5566767755622137E-4"/>
    <n v="34.780200000000001"/>
    <n v="0.18659999999999999"/>
    <n v="4.1123124381280494E-3"/>
    <n v="849025545.72000003"/>
    <n v="1143031.8799999999"/>
    <n v="0.1244"/>
    <n v="1E-4"/>
    <n v="0.01"/>
    <n v="0.41123124381280496"/>
  </r>
  <r>
    <x v="8"/>
    <s v="14HQ03"/>
    <n v="7073056405.8999996"/>
    <x v="21"/>
    <n v="33186"/>
    <n v="146225708.41999999"/>
    <n v="600270.37"/>
    <n v="2.06736239651681E-2"/>
    <n v="8.4867182665089962E-5"/>
    <n v="22.173100000000002"/>
    <n v="0.1017"/>
    <n v="5.068074344790798E-3"/>
    <n v="995251254.13999999"/>
    <n v="1743302.25"/>
    <n v="0.14580000000000001"/>
    <n v="2.0000000000000001E-4"/>
    <n v="0.02"/>
    <n v="0.50680743447907983"/>
  </r>
  <r>
    <x v="8"/>
    <s v="14HQ03"/>
    <n v="6913666895.29"/>
    <x v="22"/>
    <n v="32636"/>
    <n v="134198992.48"/>
    <n v="631441.91"/>
    <n v="1.9410682422583061E-2"/>
    <n v="9.1332417306679283E-5"/>
    <n v="20.960100000000001"/>
    <n v="0.1095"/>
    <n v="3.7748294798205344E-3"/>
    <n v="1129450246.6199999"/>
    <n v="2374744.16"/>
    <n v="0.16550000000000001"/>
    <n v="2.9999999999999997E-4"/>
    <n v="0.03"/>
    <n v="0.37748294798205345"/>
  </r>
  <r>
    <x v="8"/>
    <s v="14HQ03"/>
    <n v="6767148341.4099998"/>
    <x v="23"/>
    <n v="32117"/>
    <n v="122353726.95"/>
    <n v="927611.53"/>
    <n v="1.808054453325408E-2"/>
    <n v="1.3707569026139056E-4"/>
    <n v="19.663900000000002"/>
    <n v="0.1643"/>
    <n v="4.4673961711471765E-3"/>
    <n v="1251803973.5699999"/>
    <n v="3302355.69"/>
    <n v="0.18340000000000001"/>
    <n v="4.0000000000000002E-4"/>
    <n v="0.04"/>
    <n v="0.44673961711471766"/>
  </r>
  <r>
    <x v="9"/>
    <s v="15DN01"/>
    <n v="27594847322.099998"/>
    <x v="19"/>
    <n v="121129"/>
    <n v="1636253444.21"/>
    <n v="0"/>
    <n v="5.9295615051276868E-2"/>
    <n v="0"/>
    <n v="51.978200000000001"/>
    <n v="0"/>
    <n v="1.5922864086589988E-3"/>
    <n v="1636253444.21"/>
    <n v="0"/>
    <n v="6.8699999999999997E-2"/>
    <n v="0"/>
    <n v="0"/>
    <n v="0.15922864086589988"/>
  </r>
  <r>
    <x v="9"/>
    <s v="15DN01"/>
    <n v="25907738596.080002"/>
    <x v="20"/>
    <n v="116083"/>
    <n v="1010110127.14"/>
    <n v="0"/>
    <n v="3.8988741660873322E-2"/>
    <n v="0"/>
    <n v="37.950000000000003"/>
    <n v="0"/>
    <n v="1.7318346328686824E-3"/>
    <n v="2646363571.3499999"/>
    <n v="0"/>
    <n v="0.1111"/>
    <n v="0"/>
    <n v="0"/>
    <n v="0.17318346328686823"/>
  </r>
  <r>
    <x v="9"/>
    <s v="15DN01"/>
    <n v="24847898745.950001"/>
    <x v="21"/>
    <n v="112863"/>
    <n v="560718993.75"/>
    <n v="0"/>
    <n v="2.2566052746870298E-2"/>
    <n v="0"/>
    <n v="23.9587"/>
    <n v="0"/>
    <n v="3.4222049864019157E-3"/>
    <n v="3207082565.0999999"/>
    <n v="0"/>
    <n v="0.13469999999999999"/>
    <n v="0"/>
    <n v="0"/>
    <n v="0.34222049864019155"/>
  </r>
  <r>
    <x v="9"/>
    <s v="15DN01"/>
    <n v="24235181840.02"/>
    <x v="22"/>
    <n v="110952"/>
    <n v="514233892.95999998"/>
    <n v="0"/>
    <n v="2.1218487088503546E-2"/>
    <n v="0"/>
    <n v="22.691099999999999"/>
    <n v="0"/>
    <n v="2.1156629027363504E-3"/>
    <n v="3721316458.0599999"/>
    <n v="0"/>
    <n v="0.15629999999999999"/>
    <n v="0"/>
    <n v="0"/>
    <n v="0.21156629027363505"/>
  </r>
  <r>
    <x v="9"/>
    <s v="15DN01"/>
    <n v="23671232853.060001"/>
    <x v="23"/>
    <n v="109136"/>
    <n v="419212565.88"/>
    <n v="551845.68999999994"/>
    <n v="1.7709790127209534E-2"/>
    <n v="2.3312925584636899E-5"/>
    <n v="19.299199999999999"/>
    <n v="2.7900000000000001E-2"/>
    <n v="2.7772949574741512E-3"/>
    <n v="4140529023.9400001"/>
    <n v="551845.68999999994"/>
    <n v="0.1739"/>
    <n v="0"/>
    <n v="0"/>
    <n v="0.27772949574741512"/>
  </r>
  <r>
    <x v="10"/>
    <s v="15DNA1"/>
    <n v="31802513580.400002"/>
    <x v="22"/>
    <n v="135794"/>
    <n v="473778644.73000002"/>
    <n v="0"/>
    <n v="1.4897521968892151E-2"/>
    <n v="0"/>
    <n v="16.482600000000001"/>
    <n v="0"/>
    <n v="5.5999090056126327E-4"/>
    <n v="473778644.73000002"/>
    <n v="0"/>
    <n v="1.43E-2"/>
    <n v="0"/>
    <n v="0"/>
    <n v="5.5999090056126327E-2"/>
  </r>
  <r>
    <x v="10"/>
    <s v="15DNA1"/>
    <n v="31255911118.709999"/>
    <x v="23"/>
    <n v="133819"/>
    <n v="281988775"/>
    <n v="0"/>
    <n v="9.0219342488211656E-3"/>
    <n v="0"/>
    <n v="10.3049"/>
    <n v="0"/>
    <n v="7.6209042857628578E-4"/>
    <n v="755767419.73000002"/>
    <n v="0"/>
    <n v="2.29E-2"/>
    <n v="0"/>
    <n v="0"/>
    <n v="7.6209042857628584E-2"/>
  </r>
  <r>
    <x v="11"/>
    <s v="15HQ01"/>
    <n v="16527604803.85"/>
    <x v="21"/>
    <n v="75508"/>
    <n v="677454078.88999999"/>
    <n v="0"/>
    <n v="4.0989247197645441E-2"/>
    <n v="0"/>
    <n v="39.482300000000002"/>
    <n v="0"/>
    <n v="2.0324079350067248E-3"/>
    <n v="677454078.88999999"/>
    <n v="0"/>
    <n v="4.3200000000000002E-2"/>
    <n v="0"/>
    <n v="0"/>
    <n v="0.20324079350067248"/>
  </r>
  <r>
    <x v="11"/>
    <s v="15HQ01"/>
    <n v="15821156242.959999"/>
    <x v="22"/>
    <n v="73077"/>
    <n v="245927412.13"/>
    <n v="0"/>
    <n v="1.5544212341587314E-2"/>
    <n v="0"/>
    <n v="17.138100000000001"/>
    <n v="0"/>
    <n v="1.6889907033116175E-3"/>
    <n v="923381491.01999998"/>
    <n v="0"/>
    <n v="5.8999999999999997E-2"/>
    <n v="0"/>
    <n v="0"/>
    <n v="0.16889907033116175"/>
  </r>
  <r>
    <x v="11"/>
    <s v="15HQ01"/>
    <n v="15548062345.92"/>
    <x v="23"/>
    <n v="72137"/>
    <n v="214052134.74000001"/>
    <n v="0"/>
    <n v="1.3767126087976478E-2"/>
    <n v="0"/>
    <n v="15.325200000000001"/>
    <n v="0"/>
    <n v="1.9443009127071546E-3"/>
    <n v="1137433625.76"/>
    <n v="0"/>
    <n v="7.2599999999999998E-2"/>
    <n v="0"/>
    <n v="0"/>
    <n v="0.19443009127071545"/>
  </r>
  <r>
    <x v="12"/>
    <s v="15HQ02"/>
    <n v="30324752420.939999"/>
    <x v="22"/>
    <n v="137280"/>
    <n v="333520002.19999999"/>
    <n v="0"/>
    <n v="1.0998276179484852E-2"/>
    <n v="0"/>
    <n v="12.428100000000001"/>
    <n v="0"/>
    <n v="0"/>
    <n v="333520002.19999999"/>
    <n v="0"/>
    <n v="1.0699999999999999E-2"/>
    <n v="0"/>
    <n v="0"/>
    <n v="0"/>
  </r>
  <r>
    <x v="12"/>
    <s v="15HQ02"/>
    <n v="29929673811.75"/>
    <x v="23"/>
    <n v="135863"/>
    <n v="339697050.11000001"/>
    <n v="0"/>
    <n v="1.1349841373033586E-2"/>
    <n v="0"/>
    <n v="12.8009"/>
    <n v="0"/>
    <n v="1.039931847428982E-3"/>
    <n v="673217052.30999994"/>
    <n v="0"/>
    <n v="2.1700000000000001E-2"/>
    <n v="0"/>
    <n v="0"/>
    <n v="0.10399318474289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5" cacheId="7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Z16:BM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dataField="1"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DLQ100" fld="17" baseField="0" baseItem="0"/>
  </dataFields>
  <formats count="14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3" type="button" dataOnly="0" labelOnly="1" outline="0" axis="axisRow" fieldPosition="0"/>
    </format>
    <format dxfId="84">
      <pivotArea field="3" type="button" dataOnly="0" labelOnly="1" outline="0" axis="axisRow" fieldPosition="0"/>
    </format>
    <format dxfId="83">
      <pivotArea type="all" dataOnly="0" outline="0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fieldPosition="0">
        <references count="1">
          <reference field="3" count="0"/>
        </references>
      </pivotArea>
    </format>
    <format dxfId="79">
      <pivotArea field="3" type="button" dataOnly="0" labelOnly="1" outline="0" axis="axisRow" fieldPosition="0"/>
    </format>
    <format dxfId="78">
      <pivotArea outline="0" collapsedLevelsAreSubtotals="1" fieldPosition="0"/>
    </format>
    <format dxfId="5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56">
      <pivotArea field="3" type="button" dataOnly="0" labelOnly="1" outline="0" axis="axisRow" fieldPosition="0"/>
    </format>
    <format dxfId="5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5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8" cacheId="7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9" baseField="0" baseItem="0" numFmtId="164"/>
  </dataFields>
  <formats count="14"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field="3" type="button" dataOnly="0" labelOnly="1" outline="0" axis="axisRow" fieldPosition="0"/>
    </format>
    <format dxfId="93">
      <pivotArea type="all" dataOnly="0" outline="0" fieldPosition="0"/>
    </format>
    <format dxfId="92">
      <pivotArea type="all" dataOnly="0" outline="0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dataOnly="0" labelOnly="1" fieldPosition="0">
        <references count="1">
          <reference field="3" count="0"/>
        </references>
      </pivotArea>
    </format>
    <format dxfId="88">
      <pivotArea field="3" type="button" dataOnly="0" labelOnly="1" outline="0" axis="axisRow" fieldPosition="0"/>
    </format>
    <format dxfId="7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2">
      <pivotArea field="3" type="button" dataOnly="0" labelOnly="1" outline="0" axis="axisRow" fieldPosition="0"/>
    </format>
    <format dxfId="7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9">
      <pivotArea field="3" type="button" dataOnly="0" labelOnly="1" outline="0" axis="axisRow" fieldPosition="0"/>
    </format>
    <format dxfId="49">
      <pivotArea field="3" type="button" dataOnly="0" labelOnly="1" outline="0" axis="axisRow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7" cacheId="7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dataField="1"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10" baseField="0" baseItem="0" numFmtId="2"/>
  </dataFields>
  <formats count="11">
    <format dxfId="104">
      <pivotArea outline="0" collapsedLevelsAreSubtotals="1" fieldPosition="0"/>
    </format>
    <format dxfId="103">
      <pivotArea field="3" type="button" dataOnly="0" labelOnly="1" outline="0" axis="axisRow" fieldPosition="0"/>
    </format>
    <format dxfId="102">
      <pivotArea type="all" dataOnly="0" outline="0" fieldPosition="0"/>
    </format>
    <format dxfId="101">
      <pivotArea type="all" dataOnly="0" outline="0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dataOnly="0" labelOnly="1" fieldPosition="0">
        <references count="1">
          <reference field="3" count="0"/>
        </references>
      </pivotArea>
    </format>
    <format dxfId="97">
      <pivotArea field="3" type="button" dataOnly="0" labelOnly="1" outline="0" axis="axisRow" fieldPosition="0"/>
    </format>
    <format dxfId="70">
      <pivotArea field="3" type="button" dataOnly="0" labelOnly="1" outline="0" axis="axisRow" fieldPosition="0"/>
    </format>
    <format dxfId="6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5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6" cacheId="76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I16:AV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dataField="1" showAll="0" defaultSubtotal="0"/>
    <pivotField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100" fld="16" baseField="0" baseItem="0"/>
  </dataFields>
  <formats count="13">
    <format dxfId="58">
      <pivotArea outline="0" collapsedLevelsAreSubtotals="1" fieldPosition="0"/>
    </format>
    <format dxfId="59">
      <pivotArea type="all" dataOnly="0" outline="0" fieldPosition="0"/>
    </format>
    <format dxfId="60">
      <pivotArea field="3" type="button" dataOnly="0" labelOnly="1" outline="0" axis="axisRow" fieldPosition="0"/>
    </format>
    <format dxfId="61">
      <pivotArea type="all" dataOnly="0" outline="0" fieldPosition="0"/>
    </format>
    <format dxfId="62">
      <pivotArea type="all" dataOnly="0" outline="0" fieldPosition="0"/>
    </format>
    <format dxfId="63">
      <pivotArea outline="0" collapsedLevelsAreSubtotals="1" fieldPosition="0"/>
    </format>
    <format dxfId="64">
      <pivotArea dataOnly="0" labelOnly="1" fieldPosition="0">
        <references count="1">
          <reference field="3" count="0"/>
        </references>
      </pivotArea>
    </format>
    <format dxfId="65">
      <pivotArea field="3" type="button" dataOnly="0" labelOnly="1" outline="0" axis="axisRow" fieldPosition="0"/>
    </format>
    <format dxfId="66">
      <pivotArea outline="0" collapsedLevelsAreSubtotals="1" fieldPosition="0"/>
    </format>
    <format dxfId="6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54">
      <pivotArea field="3" type="button" dataOnly="0" labelOnly="1" outline="0" axis="axisRow" fieldPosition="0"/>
    </format>
    <format dxfId="5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5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07">
    <queryTableFields count="30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22" unboundColumnsRight="2">
    <queryTableFields count="18">
      <queryTableField id="77" name="DealName" tableColumnId="1"/>
      <queryTableField id="78" name="RefPoolId" tableColumnId="2"/>
      <queryTableField id="80" name="CurrentBalance" tableColumnId="4"/>
      <queryTableField id="107" name="beginDate" tableColumnId="31"/>
      <queryTableField id="108" name="loanCount" tableColumnId="32"/>
      <queryTableField id="109" name="prepaymentBalance" tableColumnId="33"/>
      <queryTableField id="110" name="defaultBalance" tableColumnId="34"/>
      <queryTableField id="111" name="smm" tableColumnId="35"/>
      <queryTableField id="112" name="mdr" tableColumnId="36"/>
      <queryTableField id="113" name="CPR" tableColumnId="37"/>
      <queryTableField id="114" name="CDR" tableColumnId="38"/>
      <queryTableField id="115" name="pct_dq" tableColumnId="39"/>
      <queryTableField id="116" name="cum_prepayment" tableColumnId="40"/>
      <queryTableField id="117" name="cum_default" tableColumnId="41"/>
      <queryTableField id="118" name="cum_pp_pct" tableColumnId="42"/>
      <queryTableField id="119" name="cum_df_pct" tableColumnId="43"/>
      <queryTableField id="120" dataBound="0" tableColumnId="44"/>
      <queryTableField id="121" dataBound="0" tableColumnId="45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8252" displayName="CurrentMtgRatesDataTable8252" ref="B3:AE17" tableType="queryTable" totalsRowShown="0" headerRowDxfId="77" dataDxfId="76">
  <tableColumns count="30">
    <tableColumn id="1" uniqueName="1" name="DealName" queryTableFieldId="77" dataDxfId="47"/>
    <tableColumn id="2" uniqueName="2" name="RefPoolId" queryTableFieldId="78" dataDxfId="46"/>
    <tableColumn id="3" uniqueName="3" name="CurrentLoanCount" queryTableFieldId="79" dataDxfId="45"/>
    <tableColumn id="4" uniqueName="4" name="CurrentBalance" queryTableFieldId="80" dataDxfId="44"/>
    <tableColumn id="5" uniqueName="5" name="OriginalBalance" queryTableFieldId="81" dataDxfId="43"/>
    <tableColumn id="6" uniqueName="6" name="wavg_loanAge" queryTableFieldId="82" dataDxfId="42"/>
    <tableColumn id="7" uniqueName="7" name="wavg_origNoteRate" queryTableFieldId="83" dataDxfId="41"/>
    <tableColumn id="8" uniqueName="8" name="wavg_currentNoteRate" queryTableFieldId="84" dataDxfId="40"/>
    <tableColumn id="9" uniqueName="9" name="wavg_origLTV" queryTableFieldId="85" dataDxfId="39"/>
    <tableColumn id="10" uniqueName="10" name="wavg_origCLTV" queryTableFieldId="86" dataDxfId="38"/>
    <tableColumn id="11" uniqueName="11" name="wavg_currentLTV" queryTableFieldId="87" dataDxfId="37"/>
    <tableColumn id="12" uniqueName="12" name="wavg_origDTI" queryTableFieldId="88" dataDxfId="36"/>
    <tableColumn id="13" uniqueName="13" name="wavg_origFICO" queryTableFieldId="89" dataDxfId="35"/>
    <tableColumn id="14" uniqueName="14" name="wavg_origLoanSize" queryTableFieldId="90" dataDxfId="34"/>
    <tableColumn id="15" uniqueName="15" name="pct_mi" queryTableFieldId="91" dataDxfId="33"/>
    <tableColumn id="16" uniqueName="16" name="pct_2nd" queryTableFieldId="92" dataDxfId="32"/>
    <tableColumn id="17" uniqueName="17" name="pct_firstTimeHomeBuyer" queryTableFieldId="93" dataDxfId="31"/>
    <tableColumn id="18" uniqueName="18" name="pct_multiple_borrowers" queryTableFieldId="94" dataDxfId="30"/>
    <tableColumn id="19" uniqueName="19" name="pct_multiple_units" queryTableFieldId="95" dataDxfId="29"/>
    <tableColumn id="20" uniqueName="20" name="pct_sfr" queryTableFieldId="96" dataDxfId="28"/>
    <tableColumn id="21" uniqueName="21" name="pct_owner" queryTableFieldId="97" dataDxfId="27"/>
    <tableColumn id="22" uniqueName="22" name="pct_purchase" queryTableFieldId="98" dataDxfId="26"/>
    <tableColumn id="23" uniqueName="23" name="pct_broker" queryTableFieldId="99" dataDxfId="25"/>
    <tableColumn id="24" uniqueName="24" name="pct_current" queryTableFieldId="100" dataDxfId="24"/>
    <tableColumn id="25" uniqueName="25" name="pct_delinquent" queryTableFieldId="101" dataDxfId="23"/>
    <tableColumn id="26" uniqueName="26" name="pct_APL" queryTableFieldId="102" dataDxfId="22"/>
    <tableColumn id="27" uniqueName="27" name="pct_RPL" queryTableFieldId="103" dataDxfId="21"/>
    <tableColumn id="28" uniqueName="28" name="pct_earlyNPL" queryTableFieldId="104" dataDxfId="20"/>
    <tableColumn id="29" uniqueName="29" name="pct_lateNPL" queryTableFieldId="105" dataDxfId="19"/>
    <tableColumn id="30" uniqueName="30" name="pct_modified" queryTableFieldId="106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C3:T135" tableType="queryTable" totalsRowShown="0" headerRowDxfId="75" dataDxfId="74">
  <tableColumns count="18">
    <tableColumn id="1" uniqueName="1" name="DealName" queryTableFieldId="77" dataDxfId="17"/>
    <tableColumn id="2" uniqueName="2" name="RefPoolId" queryTableFieldId="78" dataDxfId="16"/>
    <tableColumn id="4" uniqueName="4" name="currentBalance" queryTableFieldId="80" dataDxfId="15"/>
    <tableColumn id="31" uniqueName="31" name="beginDate" queryTableFieldId="107" dataDxfId="14"/>
    <tableColumn id="32" uniqueName="32" name="loanCount" queryTableFieldId="108" dataDxfId="13"/>
    <tableColumn id="33" uniqueName="33" name="prepaymentBalance" queryTableFieldId="109" dataDxfId="12"/>
    <tableColumn id="34" uniqueName="34" name="defaultBalance" queryTableFieldId="110" dataDxfId="11"/>
    <tableColumn id="35" uniqueName="35" name="smm" queryTableFieldId="111" dataDxfId="10"/>
    <tableColumn id="36" uniqueName="36" name="mdr" queryTableFieldId="112" dataDxfId="9"/>
    <tableColumn id="37" uniqueName="37" name="CPR" queryTableFieldId="113" dataDxfId="8"/>
    <tableColumn id="38" uniqueName="38" name="CDR" queryTableFieldId="114" dataDxfId="7"/>
    <tableColumn id="39" uniqueName="39" name="pct_dq" queryTableFieldId="115" dataDxfId="6"/>
    <tableColumn id="40" uniqueName="40" name="cum_prepayment" queryTableFieldId="116" dataDxfId="5"/>
    <tableColumn id="41" uniqueName="41" name="cum_default" queryTableFieldId="117" dataDxfId="4"/>
    <tableColumn id="42" uniqueName="42" name="cum_pp_pct" queryTableFieldId="118" dataDxfId="3"/>
    <tableColumn id="43" uniqueName="43" name="cum_df_pct" queryTableFieldId="119" dataDxfId="2"/>
    <tableColumn id="44" uniqueName="44" name="Cum_DF100" queryTableFieldId="120" dataDxfId="1">
      <calculatedColumnFormula>CurrentMtgRatesDataTable82523[[#This Row],[cum_df_pct]]*100</calculatedColumnFormula>
    </tableColumn>
    <tableColumn id="45" uniqueName="45" name="DLQ100" queryTableFieldId="121" dataDxfId="0">
      <calculatedColumnFormula>CurrentMtgRatesDataTable82523[[#This Row],[pct_dq]]*100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4:Z76"/>
  <sheetViews>
    <sheetView showGridLines="0" zoomScale="85" zoomScaleNormal="85" workbookViewId="0">
      <selection activeCell="E59" sqref="E59"/>
    </sheetView>
  </sheetViews>
  <sheetFormatPr defaultRowHeight="15"/>
  <cols>
    <col min="1" max="1" width="12.28515625" customWidth="1"/>
    <col min="2" max="2" width="6" customWidth="1"/>
    <col min="3" max="3" width="21.85546875" bestFit="1" customWidth="1"/>
    <col min="4" max="17" width="10.7109375" style="35" customWidth="1"/>
    <col min="18" max="18" width="6.140625" customWidth="1"/>
    <col min="19" max="22" width="10.42578125" customWidth="1"/>
    <col min="23" max="23" width="14.85546875" bestFit="1" customWidth="1"/>
  </cols>
  <sheetData>
    <row r="4" spans="1:26">
      <c r="W4" t="s">
        <v>113</v>
      </c>
    </row>
    <row r="12" spans="1:26" s="2" customFormat="1" ht="30" customHeight="1">
      <c r="A12" s="24"/>
      <c r="B12"/>
      <c r="C12" s="30" t="s">
        <v>12</v>
      </c>
      <c r="D12" s="47" t="s">
        <v>62</v>
      </c>
      <c r="E12" s="47" t="s">
        <v>64</v>
      </c>
      <c r="F12" s="47" t="s">
        <v>66</v>
      </c>
      <c r="G12" s="47" t="s">
        <v>68</v>
      </c>
      <c r="H12" s="47" t="s">
        <v>70</v>
      </c>
      <c r="I12" s="47" t="s">
        <v>72</v>
      </c>
      <c r="J12" s="47" t="s">
        <v>74</v>
      </c>
      <c r="K12" s="47" t="s">
        <v>76</v>
      </c>
      <c r="L12" s="47" t="s">
        <v>78</v>
      </c>
      <c r="M12" s="47" t="s">
        <v>80</v>
      </c>
      <c r="N12" s="47" t="s">
        <v>82</v>
      </c>
      <c r="O12" s="47" t="s">
        <v>84</v>
      </c>
      <c r="P12" s="47" t="s">
        <v>86</v>
      </c>
      <c r="Q12" s="47" t="s">
        <v>88</v>
      </c>
      <c r="R12"/>
      <c r="S12"/>
      <c r="T12"/>
      <c r="U12"/>
      <c r="V12"/>
      <c r="W12"/>
      <c r="X12"/>
      <c r="Y12"/>
      <c r="Z12"/>
    </row>
    <row r="13" spans="1:26" s="2" customFormat="1" hidden="1">
      <c r="A13" s="24"/>
      <c r="B13"/>
      <c r="C13" s="31" t="s">
        <v>34</v>
      </c>
      <c r="D13" s="36">
        <v>84793</v>
      </c>
      <c r="E13" s="36">
        <v>132693</v>
      </c>
      <c r="F13" s="36">
        <v>128194</v>
      </c>
      <c r="G13" s="36">
        <v>102690</v>
      </c>
      <c r="H13" s="36">
        <v>71708</v>
      </c>
      <c r="I13" s="36">
        <v>59082</v>
      </c>
      <c r="J13" s="36">
        <v>37981</v>
      </c>
      <c r="K13" s="36">
        <v>135963</v>
      </c>
      <c r="L13" s="36">
        <v>31630</v>
      </c>
      <c r="M13" s="36">
        <v>107563</v>
      </c>
      <c r="N13" s="36">
        <v>132605</v>
      </c>
      <c r="O13" s="36">
        <v>141967</v>
      </c>
      <c r="P13" s="36">
        <v>71306</v>
      </c>
      <c r="Q13" s="36">
        <v>134396</v>
      </c>
      <c r="R13"/>
      <c r="S13"/>
      <c r="T13"/>
      <c r="U13"/>
      <c r="V13"/>
      <c r="W13"/>
      <c r="X13"/>
      <c r="Y13"/>
      <c r="Z13"/>
    </row>
    <row r="14" spans="1:26" s="2" customFormat="1">
      <c r="A14" s="24"/>
      <c r="B14"/>
      <c r="C14" s="97" t="s">
        <v>122</v>
      </c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/>
      <c r="S14"/>
      <c r="T14"/>
      <c r="U14"/>
      <c r="V14"/>
      <c r="W14"/>
      <c r="X14"/>
      <c r="Y14"/>
      <c r="Z14"/>
    </row>
    <row r="15" spans="1:26" s="19" customFormat="1" ht="16.5" customHeight="1">
      <c r="A15" s="25"/>
      <c r="B15" s="3"/>
      <c r="C15" s="32" t="s">
        <v>92</v>
      </c>
      <c r="D15" s="36">
        <f>VLOOKUP(D$12,'Colleteral Data'!$B:$AE,4,0)/1000000</f>
        <v>18844.87163786</v>
      </c>
      <c r="E15" s="36">
        <f>VLOOKUP(E$12,'Colleteral Data'!$B:$AE,4,0)/1000000</f>
        <v>30868.96389486</v>
      </c>
      <c r="F15" s="36">
        <f>VLOOKUP(F$12,'Colleteral Data'!$B:$AE,4,0)/1000000</f>
        <v>28730.000635919998</v>
      </c>
      <c r="G15" s="36">
        <f>VLOOKUP(G$12,'Colleteral Data'!$B:$AE,4,0)/1000000</f>
        <v>23516.001945110002</v>
      </c>
      <c r="H15" s="36">
        <f>VLOOKUP(H$12,'Colleteral Data'!$B:$AE,4,0)/1000000</f>
        <v>14903.59150959</v>
      </c>
      <c r="I15" s="36">
        <f>VLOOKUP(I$12,'Colleteral Data'!$B:$AE,4,0)/1000000</f>
        <v>12356.174994129999</v>
      </c>
      <c r="J15" s="36">
        <f>VLOOKUP(J$12,'Colleteral Data'!$B:$AE,4,0)/1000000</f>
        <v>7919.6786281699997</v>
      </c>
      <c r="K15" s="36">
        <f>VLOOKUP(K$12,'Colleteral Data'!$B:$AE,4,0)/1000000</f>
        <v>29875.609801369999</v>
      </c>
      <c r="L15" s="36">
        <f>VLOOKUP(L$12,'Colleteral Data'!$B:$AE,4,0)/1000000</f>
        <v>6632.7395464499996</v>
      </c>
      <c r="M15" s="36">
        <f>VLOOKUP(M$12,'Colleteral Data'!$B:$AE,4,0)/1000000</f>
        <v>23204.440894529998</v>
      </c>
      <c r="N15" s="36">
        <f>VLOOKUP(N$12,'Colleteral Data'!$B:$AE,4,0)/1000000</f>
        <v>30902.656949099997</v>
      </c>
      <c r="O15" s="36">
        <f>VLOOKUP(O$12,'Colleteral Data'!$B:$AE,4,0)/1000000</f>
        <v>31928.168573729999</v>
      </c>
      <c r="P15" s="36">
        <f>VLOOKUP(P$12,'Colleteral Data'!$B:$AE,4,0)/1000000</f>
        <v>15307.70436793</v>
      </c>
      <c r="Q15" s="36">
        <f>VLOOKUP(Q$12,'Colleteral Data'!$B:$AE,4,0)/1000000</f>
        <v>29531.552788639998</v>
      </c>
      <c r="R15"/>
      <c r="S15"/>
      <c r="T15"/>
      <c r="U15"/>
      <c r="V15"/>
      <c r="W15"/>
      <c r="X15"/>
      <c r="Y15"/>
      <c r="Z15"/>
    </row>
    <row r="16" spans="1:26" s="12" customFormat="1" ht="16.5" customHeight="1">
      <c r="A16" s="26"/>
      <c r="B16" s="10"/>
      <c r="C16" s="32" t="s">
        <v>93</v>
      </c>
      <c r="D16" s="36">
        <f>VLOOKUP(D$12,'Colleteral Data'!$B:$AE,5,0)/1000000</f>
        <v>20248.789000000001</v>
      </c>
      <c r="E16" s="36">
        <f>VLOOKUP(E$12,'Colleteral Data'!$B:$AE,5,0)/1000000</f>
        <v>32744.706999999999</v>
      </c>
      <c r="F16" s="36">
        <f>VLOOKUP(F$12,'Colleteral Data'!$B:$AE,5,0)/1000000</f>
        <v>30261.96</v>
      </c>
      <c r="G16" s="36">
        <f>VLOOKUP(G$12,'Colleteral Data'!$B:$AE,5,0)/1000000</f>
        <v>24605.428</v>
      </c>
      <c r="H16" s="36">
        <f>VLOOKUP(H$12,'Colleteral Data'!$B:$AE,5,0)/1000000</f>
        <v>15465.048000000001</v>
      </c>
      <c r="I16" s="36">
        <f>VLOOKUP(I$12,'Colleteral Data'!$B:$AE,5,0)/1000000</f>
        <v>12760.098</v>
      </c>
      <c r="J16" s="36">
        <f>VLOOKUP(J$12,'Colleteral Data'!$B:$AE,5,0)/1000000</f>
        <v>8182.8119999999999</v>
      </c>
      <c r="K16" s="36">
        <f>VLOOKUP(K$12,'Colleteral Data'!$B:$AE,5,0)/1000000</f>
        <v>31361.352999999999</v>
      </c>
      <c r="L16" s="36">
        <f>VLOOKUP(L$12,'Colleteral Data'!$B:$AE,5,0)/1000000</f>
        <v>6823.0929999999998</v>
      </c>
      <c r="M16" s="36">
        <f>VLOOKUP(M$12,'Colleteral Data'!$B:$AE,5,0)/1000000</f>
        <v>23801.938999999998</v>
      </c>
      <c r="N16" s="36">
        <f>VLOOKUP(N$12,'Colleteral Data'!$B:$AE,5,0)/1000000</f>
        <v>33002.088000000003</v>
      </c>
      <c r="O16" s="36">
        <f>VLOOKUP(O$12,'Colleteral Data'!$B:$AE,5,0)/1000000</f>
        <v>32518.882000000001</v>
      </c>
      <c r="P16" s="36">
        <f>VLOOKUP(P$12,'Colleteral Data'!$B:$AE,5,0)/1000000</f>
        <v>15648.312</v>
      </c>
      <c r="Q16" s="36">
        <f>VLOOKUP(Q$12,'Colleteral Data'!$B:$AE,5,0)/1000000</f>
        <v>31002.448</v>
      </c>
      <c r="R16"/>
      <c r="S16"/>
      <c r="T16"/>
      <c r="U16"/>
      <c r="V16"/>
      <c r="W16"/>
      <c r="X16"/>
      <c r="Y16"/>
      <c r="Z16"/>
    </row>
    <row r="17" spans="1:26" s="12" customFormat="1" ht="16.5" customHeight="1">
      <c r="A17" s="26"/>
      <c r="B17" s="10"/>
      <c r="C17" s="32" t="s">
        <v>94</v>
      </c>
      <c r="D17" s="38">
        <f>VLOOKUP(D$12,'Colleteral Data'!$B:$AE,6,0)</f>
        <v>34.160833355208474</v>
      </c>
      <c r="E17" s="38">
        <f>VLOOKUP(E$12,'Colleteral Data'!$B:$AE,6,0)</f>
        <v>28.388378680159597</v>
      </c>
      <c r="F17" s="38">
        <f>VLOOKUP(F$12,'Colleteral Data'!$B:$AE,6,0)</f>
        <v>25.215118808229086</v>
      </c>
      <c r="G17" s="38">
        <f>VLOOKUP(G$12,'Colleteral Data'!$B:$AE,6,0)</f>
        <v>22.542349212856827</v>
      </c>
      <c r="H17" s="38">
        <f>VLOOKUP(H$12,'Colleteral Data'!$B:$AE,6,0)</f>
        <v>19.160845104267484</v>
      </c>
      <c r="I17" s="38">
        <f>VLOOKUP(I$12,'Colleteral Data'!$B:$AE,6,0)</f>
        <v>16.380754353403461</v>
      </c>
      <c r="J17" s="38">
        <f>VLOOKUP(J$12,'Colleteral Data'!$B:$AE,6,0)</f>
        <v>19.223525697994017</v>
      </c>
      <c r="K17" s="38">
        <f>VLOOKUP(K$12,'Colleteral Data'!$B:$AE,6,0)</f>
        <v>25.212177659249964</v>
      </c>
      <c r="L17" s="38">
        <f>VLOOKUP(L$12,'Colleteral Data'!$B:$AE,6,0)</f>
        <v>16.378479154456411</v>
      </c>
      <c r="M17" s="38">
        <f>VLOOKUP(M$12,'Colleteral Data'!$B:$AE,6,0)</f>
        <v>12.505718981802586</v>
      </c>
      <c r="N17" s="38">
        <f>VLOOKUP(N$12,'Colleteral Data'!$B:$AE,6,0)</f>
        <v>31.459982571827823</v>
      </c>
      <c r="O17" s="38">
        <f>VLOOKUP(O$12,'Colleteral Data'!$B:$AE,6,0)</f>
        <v>8.7545979936163114</v>
      </c>
      <c r="P17" s="38">
        <f>VLOOKUP(P$12,'Colleteral Data'!$B:$AE,6,0)</f>
        <v>12.457811254545261</v>
      </c>
      <c r="Q17" s="38">
        <f>VLOOKUP(Q$12,'Colleteral Data'!$B:$AE,6,0)</f>
        <v>25.214556203142063</v>
      </c>
      <c r="R17"/>
      <c r="S17"/>
      <c r="T17"/>
      <c r="U17"/>
      <c r="V17"/>
      <c r="W17"/>
      <c r="X17"/>
      <c r="Y17"/>
      <c r="Z17"/>
    </row>
    <row r="18" spans="1:26" s="12" customFormat="1" ht="16.5" customHeight="1">
      <c r="A18" s="26"/>
      <c r="B18" s="10"/>
      <c r="C18" s="33" t="s">
        <v>95</v>
      </c>
      <c r="D18" s="38">
        <f>VLOOKUP(D$12,'Colleteral Data'!$B:$AE,7,0)</f>
        <v>3.8292562292607979</v>
      </c>
      <c r="E18" s="38">
        <f>VLOOKUP(E$12,'Colleteral Data'!$B:$AE,7,0)</f>
        <v>3.5940966808970574</v>
      </c>
      <c r="F18" s="38">
        <f>VLOOKUP(F$12,'Colleteral Data'!$B:$AE,7,0)</f>
        <v>3.7159873508281023</v>
      </c>
      <c r="G18" s="38">
        <f>VLOOKUP(G$12,'Colleteral Data'!$B:$AE,7,0)</f>
        <v>3.9738534854824619</v>
      </c>
      <c r="H18" s="38">
        <f>VLOOKUP(H$12,'Colleteral Data'!$B:$AE,7,0)</f>
        <v>4.5363102345626327</v>
      </c>
      <c r="I18" s="38">
        <f>VLOOKUP(I$12,'Colleteral Data'!$B:$AE,7,0)</f>
        <v>4.5668291499254359</v>
      </c>
      <c r="J18" s="38">
        <f>VLOOKUP(J$12,'Colleteral Data'!$B:$AE,7,0)</f>
        <v>4.551628633105123</v>
      </c>
      <c r="K18" s="38">
        <f>VLOOKUP(K$12,'Colleteral Data'!$B:$AE,7,0)</f>
        <v>3.7966968497144258</v>
      </c>
      <c r="L18" s="38">
        <f>VLOOKUP(L$12,'Colleteral Data'!$B:$AE,7,0)</f>
        <v>4.5605805664145285</v>
      </c>
      <c r="M18" s="38">
        <f>VLOOKUP(M$12,'Colleteral Data'!$B:$AE,7,0)</f>
        <v>4.519580303913048</v>
      </c>
      <c r="N18" s="38">
        <f>VLOOKUP(N$12,'Colleteral Data'!$B:$AE,7,0)</f>
        <v>3.6653300358472829</v>
      </c>
      <c r="O18" s="38">
        <f>VLOOKUP(O$12,'Colleteral Data'!$B:$AE,7,0)</f>
        <v>4.3795595322578489</v>
      </c>
      <c r="P18" s="38">
        <f>VLOOKUP(P$12,'Colleteral Data'!$B:$AE,7,0)</f>
        <v>4.5402168157034257</v>
      </c>
      <c r="Q18" s="38">
        <f>VLOOKUP(Q$12,'Colleteral Data'!$B:$AE,7,0)</f>
        <v>3.795555170355573</v>
      </c>
      <c r="R18"/>
      <c r="S18"/>
      <c r="T18"/>
      <c r="U18"/>
      <c r="V18"/>
      <c r="W18"/>
      <c r="X18"/>
      <c r="Y18"/>
      <c r="Z18"/>
    </row>
    <row r="19" spans="1:26" s="12" customFormat="1" ht="16.5" customHeight="1">
      <c r="A19" s="26"/>
      <c r="B19" s="10"/>
      <c r="C19" s="95" t="s">
        <v>96</v>
      </c>
      <c r="D19" s="96">
        <f>VLOOKUP(D$12,'Colleteral Data'!$B:$AE,8,0)</f>
        <v>3.8292601897346517</v>
      </c>
      <c r="E19" s="96">
        <f>VLOOKUP(E$12,'Colleteral Data'!$B:$AE,8,0)</f>
        <v>3.5941145618536998</v>
      </c>
      <c r="F19" s="96">
        <f>VLOOKUP(F$12,'Colleteral Data'!$B:$AE,8,0)</f>
        <v>3.7159927862796875</v>
      </c>
      <c r="G19" s="96">
        <f>VLOOKUP(G$12,'Colleteral Data'!$B:$AE,8,0)</f>
        <v>3.9738622374935595</v>
      </c>
      <c r="H19" s="96">
        <f>VLOOKUP(H$12,'Colleteral Data'!$B:$AE,8,0)</f>
        <v>4.5363102345626327</v>
      </c>
      <c r="I19" s="96">
        <f>VLOOKUP(I$12,'Colleteral Data'!$B:$AE,8,0)</f>
        <v>4.5668291499254359</v>
      </c>
      <c r="J19" s="96">
        <f>VLOOKUP(J$12,'Colleteral Data'!$B:$AE,8,0)</f>
        <v>4.5515971531745052</v>
      </c>
      <c r="K19" s="96">
        <f>VLOOKUP(K$12,'Colleteral Data'!$B:$AE,8,0)</f>
        <v>3.7966977189181481</v>
      </c>
      <c r="L19" s="96">
        <f>VLOOKUP(L$12,'Colleteral Data'!$B:$AE,8,0)</f>
        <v>4.5605126292845402</v>
      </c>
      <c r="M19" s="96">
        <f>VLOOKUP(M$12,'Colleteral Data'!$B:$AE,8,0)</f>
        <v>4.5195802139696912</v>
      </c>
      <c r="N19" s="96">
        <f>VLOOKUP(N$12,'Colleteral Data'!$B:$AE,8,0)</f>
        <v>3.6653302462496593</v>
      </c>
      <c r="O19" s="96">
        <f>VLOOKUP(O$12,'Colleteral Data'!$B:$AE,8,0)</f>
        <v>4.3795595322578489</v>
      </c>
      <c r="P19" s="96">
        <f>VLOOKUP(P$12,'Colleteral Data'!$B:$AE,8,0)</f>
        <v>4.5402168157034257</v>
      </c>
      <c r="Q19" s="96">
        <f>VLOOKUP(Q$12,'Colleteral Data'!$B:$AE,8,0)</f>
        <v>3.795555170355573</v>
      </c>
      <c r="R19"/>
      <c r="S19"/>
      <c r="T19"/>
      <c r="U19"/>
      <c r="V19"/>
      <c r="W19"/>
      <c r="X19"/>
      <c r="Y19"/>
      <c r="Z19"/>
    </row>
    <row r="20" spans="1:26" s="12" customFormat="1" ht="16.5" customHeight="1">
      <c r="A20" s="26"/>
      <c r="B20" s="10"/>
      <c r="C20" s="97" t="s">
        <v>123</v>
      </c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/>
      <c r="S20"/>
      <c r="T20"/>
      <c r="U20"/>
      <c r="V20"/>
      <c r="W20"/>
      <c r="X20"/>
      <c r="Y20"/>
      <c r="Z20"/>
    </row>
    <row r="21" spans="1:26" s="12" customFormat="1" ht="16.5" customHeight="1">
      <c r="A21" s="26"/>
      <c r="B21" s="10"/>
      <c r="C21" s="34" t="s">
        <v>97</v>
      </c>
      <c r="D21" s="38">
        <f>VLOOKUP(D$12,'Colleteral Data'!$B:$AE,9,0)</f>
        <v>74.826692598710054</v>
      </c>
      <c r="E21" s="38">
        <f>VLOOKUP(E$12,'Colleteral Data'!$B:$AE,9,0)</f>
        <v>74.283992916362493</v>
      </c>
      <c r="F21" s="38">
        <f>VLOOKUP(F$12,'Colleteral Data'!$B:$AE,9,0)</f>
        <v>74.830815239667871</v>
      </c>
      <c r="G21" s="38">
        <f>VLOOKUP(G$12,'Colleteral Data'!$B:$AE,9,0)</f>
        <v>75.281709742869268</v>
      </c>
      <c r="H21" s="38">
        <f>VLOOKUP(H$12,'Colleteral Data'!$B:$AE,9,0)</f>
        <v>75.917112759675746</v>
      </c>
      <c r="I21" s="38">
        <f>VLOOKUP(I$12,'Colleteral Data'!$B:$AE,9,0)</f>
        <v>75.876078813017998</v>
      </c>
      <c r="J21" s="38">
        <f>VLOOKUP(J$12,'Colleteral Data'!$B:$AE,9,0)</f>
        <v>92.31413329539798</v>
      </c>
      <c r="K21" s="38">
        <f>VLOOKUP(K$12,'Colleteral Data'!$B:$AE,9,0)</f>
        <v>91.538060510031599</v>
      </c>
      <c r="L21" s="38">
        <f>VLOOKUP(L$12,'Colleteral Data'!$B:$AE,9,0)</f>
        <v>92.369456020445057</v>
      </c>
      <c r="M21" s="38">
        <f>VLOOKUP(M$12,'Colleteral Data'!$B:$AE,9,0)</f>
        <v>76.213677098987063</v>
      </c>
      <c r="N21" s="38">
        <f>VLOOKUP(N$12,'Colleteral Data'!$B:$AE,9,0)</f>
        <v>74.468186906887354</v>
      </c>
      <c r="O21" s="38">
        <f>VLOOKUP(O$12,'Colleteral Data'!$B:$AE,9,0)</f>
        <v>75.957213727357228</v>
      </c>
      <c r="P21" s="38">
        <f>VLOOKUP(P$12,'Colleteral Data'!$B:$AE,9,0)</f>
        <v>92.482191295940098</v>
      </c>
      <c r="Q21" s="38">
        <f>VLOOKUP(Q$12,'Colleteral Data'!$B:$AE,9,0)</f>
        <v>91.535120058433876</v>
      </c>
      <c r="R21"/>
      <c r="S21"/>
      <c r="T21"/>
      <c r="U21"/>
      <c r="V21"/>
      <c r="W21"/>
      <c r="X21"/>
      <c r="Y21"/>
      <c r="Z21"/>
    </row>
    <row r="22" spans="1:26" s="12" customFormat="1" ht="16.5" customHeight="1">
      <c r="A22" s="26"/>
      <c r="B22" s="10"/>
      <c r="C22" s="34" t="s">
        <v>98</v>
      </c>
      <c r="D22" s="38">
        <f>VLOOKUP(D$12,'Colleteral Data'!$B:$AE,11,0)</f>
        <v>60.61871410066879</v>
      </c>
      <c r="E22" s="38">
        <f>VLOOKUP(E$12,'Colleteral Data'!$B:$AE,11,0)</f>
        <v>61.599118717611773</v>
      </c>
      <c r="F22" s="38">
        <f>VLOOKUP(F$12,'Colleteral Data'!$B:$AE,11,0)</f>
        <v>63.536959983013581</v>
      </c>
      <c r="G22" s="38">
        <f>VLOOKUP(G$12,'Colleteral Data'!$B:$AE,11,0)</f>
        <v>65.853191465946068</v>
      </c>
      <c r="H22" s="38">
        <f>VLOOKUP(H$12,'Colleteral Data'!$B:$AE,11,0)</f>
        <v>68.293092302147272</v>
      </c>
      <c r="I22" s="38">
        <f>VLOOKUP(I$12,'Colleteral Data'!$B:$AE,11,0)</f>
        <v>69.302217548040446</v>
      </c>
      <c r="J22" s="38">
        <f>VLOOKUP(J$12,'Colleteral Data'!$B:$AE,11,0)</f>
        <v>83.687363108518028</v>
      </c>
      <c r="K22" s="38">
        <f>VLOOKUP(K$12,'Colleteral Data'!$B:$AE,11,0)</f>
        <v>79.439633154000859</v>
      </c>
      <c r="L22" s="38">
        <f>VLOOKUP(L$12,'Colleteral Data'!$B:$AE,11,0)</f>
        <v>84.837973658007954</v>
      </c>
      <c r="M22" s="38">
        <f>VLOOKUP(M$12,'Colleteral Data'!$B:$AE,11,0)</f>
        <v>71.710370688618767</v>
      </c>
      <c r="N22" s="38">
        <f>VLOOKUP(N$12,'Colleteral Data'!$B:$AE,11,0)</f>
        <v>60.817591198192353</v>
      </c>
      <c r="O22" s="38">
        <f>VLOOKUP(O$12,'Colleteral Data'!$B:$AE,11,0)</f>
        <v>73.48700185597346</v>
      </c>
      <c r="P22" s="38">
        <f>VLOOKUP(P$12,'Colleteral Data'!$B:$AE,11,0)</f>
        <v>87.411302845692219</v>
      </c>
      <c r="Q22" s="38">
        <f>VLOOKUP(Q$12,'Colleteral Data'!$B:$AE,11,0)</f>
        <v>79.431489742485496</v>
      </c>
      <c r="R22"/>
      <c r="S22"/>
      <c r="T22"/>
      <c r="U22"/>
      <c r="V22"/>
      <c r="W22"/>
      <c r="X22"/>
      <c r="Y22"/>
      <c r="Z22"/>
    </row>
    <row r="23" spans="1:26" s="12" customFormat="1" ht="16.5" customHeight="1">
      <c r="A23" s="26"/>
      <c r="B23" s="10"/>
      <c r="C23" s="34" t="s">
        <v>99</v>
      </c>
      <c r="D23" s="38">
        <f>VLOOKUP(D$12,'Colleteral Data'!$B:$AE,12,0)</f>
        <v>32.199716089737045</v>
      </c>
      <c r="E23" s="38">
        <f>VLOOKUP(E$12,'Colleteral Data'!$B:$AE,12,0)</f>
        <v>32.138041426937541</v>
      </c>
      <c r="F23" s="38">
        <f>VLOOKUP(F$12,'Colleteral Data'!$B:$AE,12,0)</f>
        <v>32.83562607459271</v>
      </c>
      <c r="G23" s="38">
        <f>VLOOKUP(G$12,'Colleteral Data'!$B:$AE,12,0)</f>
        <v>33.067403096573123</v>
      </c>
      <c r="H23" s="38">
        <f>VLOOKUP(H$12,'Colleteral Data'!$B:$AE,12,0)</f>
        <v>34.478418486754144</v>
      </c>
      <c r="I23" s="38">
        <f>VLOOKUP(I$12,'Colleteral Data'!$B:$AE,12,0)</f>
        <v>34.776090603203308</v>
      </c>
      <c r="J23" s="38">
        <f>VLOOKUP(J$12,'Colleteral Data'!$B:$AE,12,0)</f>
        <v>34.722093165548237</v>
      </c>
      <c r="K23" s="38">
        <f>VLOOKUP(K$12,'Colleteral Data'!$B:$AE,12,0)</f>
        <v>33.148326786784679</v>
      </c>
      <c r="L23" s="38">
        <f>VLOOKUP(L$12,'Colleteral Data'!$B:$AE,12,0)</f>
        <v>34.914017671664006</v>
      </c>
      <c r="M23" s="38">
        <f>VLOOKUP(M$12,'Colleteral Data'!$B:$AE,12,0)</f>
        <v>34.480601611133359</v>
      </c>
      <c r="N23" s="38">
        <f>VLOOKUP(N$12,'Colleteral Data'!$B:$AE,12,0)</f>
        <v>31.995729143160492</v>
      </c>
      <c r="O23" s="38">
        <f>VLOOKUP(O$12,'Colleteral Data'!$B:$AE,12,0)</f>
        <v>34.62637025366481</v>
      </c>
      <c r="P23" s="38">
        <f>VLOOKUP(P$12,'Colleteral Data'!$B:$AE,12,0)</f>
        <v>34.741520116496403</v>
      </c>
      <c r="Q23" s="38">
        <f>VLOOKUP(Q$12,'Colleteral Data'!$B:$AE,12,0)</f>
        <v>33.120655391504528</v>
      </c>
      <c r="R23"/>
      <c r="S23"/>
      <c r="T23"/>
      <c r="U23"/>
      <c r="V23"/>
      <c r="W23"/>
      <c r="X23"/>
      <c r="Y23"/>
      <c r="Z23"/>
    </row>
    <row r="24" spans="1:26" s="10" customFormat="1" ht="16.5" customHeight="1">
      <c r="A24" s="27"/>
      <c r="C24" s="34" t="s">
        <v>100</v>
      </c>
      <c r="D24" s="38">
        <f>VLOOKUP(D$12,'Colleteral Data'!$B:$AE,13,0)</f>
        <v>766.69279975411825</v>
      </c>
      <c r="E24" s="38">
        <f>VLOOKUP(E$12,'Colleteral Data'!$B:$AE,13,0)</f>
        <v>764.25690807350782</v>
      </c>
      <c r="F24" s="38">
        <f>VLOOKUP(F$12,'Colleteral Data'!$B:$AE,13,0)</f>
        <v>761.35779383456008</v>
      </c>
      <c r="G24" s="38">
        <f>VLOOKUP(G$12,'Colleteral Data'!$B:$AE,13,0)</f>
        <v>760.03980686219052</v>
      </c>
      <c r="H24" s="38">
        <f>VLOOKUP(H$12,'Colleteral Data'!$B:$AE,13,0)</f>
        <v>753.80486724772629</v>
      </c>
      <c r="I24" s="38">
        <f>VLOOKUP(I$12,'Colleteral Data'!$B:$AE,13,0)</f>
        <v>751.52818465194696</v>
      </c>
      <c r="J24" s="38">
        <f>VLOOKUP(J$12,'Colleteral Data'!$B:$AE,13,0)</f>
        <v>751.27795762989172</v>
      </c>
      <c r="K24" s="38">
        <f>VLOOKUP(K$12,'Colleteral Data'!$B:$AE,13,0)</f>
        <v>757.09097000118993</v>
      </c>
      <c r="L24" s="38">
        <f>VLOOKUP(L$12,'Colleteral Data'!$B:$AE,13,0)</f>
        <v>748.63164981732359</v>
      </c>
      <c r="M24" s="38">
        <f>VLOOKUP(M$12,'Colleteral Data'!$B:$AE,13,0)</f>
        <v>752.26310007983295</v>
      </c>
      <c r="N24" s="38">
        <f>VLOOKUP(N$12,'Colleteral Data'!$B:$AE,13,0)</f>
        <v>766.36911300325562</v>
      </c>
      <c r="O24" s="38">
        <f>VLOOKUP(O$12,'Colleteral Data'!$B:$AE,13,0)</f>
        <v>751.69752539868739</v>
      </c>
      <c r="P24" s="38">
        <f>VLOOKUP(P$12,'Colleteral Data'!$B:$AE,13,0)</f>
        <v>748.1736456515589</v>
      </c>
      <c r="Q24" s="38">
        <f>VLOOKUP(Q$12,'Colleteral Data'!$B:$AE,13,0)</f>
        <v>757.39548421027462</v>
      </c>
      <c r="R24"/>
      <c r="S24"/>
      <c r="T24"/>
      <c r="U24"/>
      <c r="V24"/>
      <c r="W24"/>
      <c r="X24"/>
      <c r="Y24"/>
      <c r="Z24"/>
    </row>
    <row r="25" spans="1:26" s="10" customFormat="1" ht="16.5" customHeight="1">
      <c r="A25" s="27"/>
      <c r="C25" s="92" t="s">
        <v>101</v>
      </c>
      <c r="D25" s="93">
        <f>VLOOKUP(D$12,'Colleteral Data'!$B:$AE,14,0)</f>
        <v>306098.61692109733</v>
      </c>
      <c r="E25" s="93">
        <f>VLOOKUP(E$12,'Colleteral Data'!$B:$AE,14,0)</f>
        <v>313353.88862311956</v>
      </c>
      <c r="F25" s="93">
        <f>VLOOKUP(F$12,'Colleteral Data'!$B:$AE,14,0)</f>
        <v>302441.39287195506</v>
      </c>
      <c r="G25" s="93">
        <f>VLOOKUP(G$12,'Colleteral Data'!$B:$AE,14,0)</f>
        <v>303628.01495436393</v>
      </c>
      <c r="H25" s="93">
        <f>VLOOKUP(H$12,'Colleteral Data'!$B:$AE,14,0)</f>
        <v>280501.71368464432</v>
      </c>
      <c r="I25" s="93">
        <f>VLOOKUP(I$12,'Colleteral Data'!$B:$AE,14,0)</f>
        <v>280695.3374305836</v>
      </c>
      <c r="J25" s="93">
        <f>VLOOKUP(J$12,'Colleteral Data'!$B:$AE,14,0)</f>
        <v>257728.99219422165</v>
      </c>
      <c r="K25" s="93">
        <f>VLOOKUP(K$12,'Colleteral Data'!$B:$AE,14,0)</f>
        <v>274161.09979895339</v>
      </c>
      <c r="L25" s="93">
        <f>VLOOKUP(L$12,'Colleteral Data'!$B:$AE,14,0)</f>
        <v>258772.95562326038</v>
      </c>
      <c r="M25" s="93">
        <f>VLOOKUP(M$12,'Colleteral Data'!$B:$AE,14,0)</f>
        <v>284854.19919722789</v>
      </c>
      <c r="N25" s="93">
        <f>VLOOKUP(N$12,'Colleteral Data'!$B:$AE,14,0)</f>
        <v>314581.67473241792</v>
      </c>
      <c r="O25" s="93">
        <f>VLOOKUP(O$12,'Colleteral Data'!$B:$AE,14,0)</f>
        <v>294182.62573164713</v>
      </c>
      <c r="P25" s="93">
        <f>VLOOKUP(P$12,'Colleteral Data'!$B:$AE,14,0)</f>
        <v>261492.37113095744</v>
      </c>
      <c r="Q25" s="93">
        <f>VLOOKUP(Q$12,'Colleteral Data'!$B:$AE,14,0)</f>
        <v>274143.87870220235</v>
      </c>
      <c r="R25"/>
      <c r="S25"/>
      <c r="T25"/>
      <c r="U25"/>
      <c r="V25"/>
      <c r="W25"/>
      <c r="X25"/>
      <c r="Y25"/>
      <c r="Z25"/>
    </row>
    <row r="26" spans="1:26" s="10" customFormat="1" ht="16.5" customHeight="1">
      <c r="A26" s="27"/>
      <c r="C26" s="97" t="s">
        <v>124</v>
      </c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/>
      <c r="S26"/>
      <c r="T26"/>
      <c r="U26"/>
      <c r="V26"/>
      <c r="W26"/>
      <c r="X26"/>
      <c r="Y26"/>
      <c r="Z26"/>
    </row>
    <row r="27" spans="1:26" s="10" customFormat="1" ht="16.5" customHeight="1">
      <c r="A27" s="27"/>
      <c r="C27" s="34" t="s">
        <v>102</v>
      </c>
      <c r="D27" s="48">
        <f>VLOOKUP(D$12,'Colleteral Data'!$B:$AE,15,0)</f>
        <v>0</v>
      </c>
      <c r="E27" s="48">
        <f>VLOOKUP(E$12,'Colleteral Data'!$B:$AE,15,0)</f>
        <v>0</v>
      </c>
      <c r="F27" s="48">
        <f>VLOOKUP(F$12,'Colleteral Data'!$B:$AE,15,0)</f>
        <v>0</v>
      </c>
      <c r="G27" s="48">
        <f>VLOOKUP(G$12,'Colleteral Data'!$B:$AE,15,0)</f>
        <v>0</v>
      </c>
      <c r="H27" s="48">
        <f>VLOOKUP(H$12,'Colleteral Data'!$B:$AE,15,0)</f>
        <v>0</v>
      </c>
      <c r="I27" s="48">
        <f>VLOOKUP(I$12,'Colleteral Data'!$B:$AE,15,0)</f>
        <v>0</v>
      </c>
      <c r="J27" s="48">
        <f>VLOOKUP(J$12,'Colleteral Data'!$B:$AE,15,0)</f>
        <v>0.99801637525112175</v>
      </c>
      <c r="K27" s="48">
        <f>VLOOKUP(K$12,'Colleteral Data'!$B:$AE,15,0)</f>
        <v>0.99930456339341245</v>
      </c>
      <c r="L27" s="48">
        <f>VLOOKUP(L$12,'Colleteral Data'!$B:$AE,15,0)</f>
        <v>0.99787556214572881</v>
      </c>
      <c r="M27" s="48">
        <f>VLOOKUP(M$12,'Colleteral Data'!$B:$AE,15,0)</f>
        <v>0</v>
      </c>
      <c r="N27" s="48">
        <f>VLOOKUP(N$12,'Colleteral Data'!$B:$AE,15,0)</f>
        <v>0</v>
      </c>
      <c r="O27" s="48">
        <f>VLOOKUP(O$12,'Colleteral Data'!$B:$AE,15,0)</f>
        <v>0</v>
      </c>
      <c r="P27" s="48">
        <f>VLOOKUP(P$12,'Colleteral Data'!$B:$AE,15,0)</f>
        <v>0.99829433543773549</v>
      </c>
      <c r="Q27" s="48">
        <f>VLOOKUP(Q$12,'Colleteral Data'!$B:$AE,15,0)</f>
        <v>0.99931025504362114</v>
      </c>
      <c r="R27"/>
      <c r="S27"/>
      <c r="T27"/>
      <c r="U27"/>
      <c r="V27"/>
      <c r="W27"/>
      <c r="X27"/>
      <c r="Y27"/>
      <c r="Z27"/>
    </row>
    <row r="28" spans="1:26" s="10" customFormat="1" ht="16.5" customHeight="1">
      <c r="A28" s="27"/>
      <c r="C28" s="34" t="s">
        <v>33</v>
      </c>
      <c r="D28" s="49">
        <f>VLOOKUP(D$12,'Colleteral Data'!$B:$AE,16,0)</f>
        <v>7.0286712970702603E-2</v>
      </c>
      <c r="E28" s="49">
        <f>VLOOKUP(E$12,'Colleteral Data'!$B:$AE,16,0)</f>
        <v>9.3519772610854993E-2</v>
      </c>
      <c r="F28" s="49">
        <f>VLOOKUP(F$12,'Colleteral Data'!$B:$AE,16,0)</f>
        <v>8.0487457430783713E-2</v>
      </c>
      <c r="G28" s="49">
        <f>VLOOKUP(G$12,'Colleteral Data'!$B:$AE,16,0)</f>
        <v>9.0462926605275426E-2</v>
      </c>
      <c r="H28" s="49">
        <f>VLOOKUP(H$12,'Colleteral Data'!$B:$AE,16,0)</f>
        <v>6.2884593991115276E-2</v>
      </c>
      <c r="I28" s="49">
        <f>VLOOKUP(I$12,'Colleteral Data'!$B:$AE,16,0)</f>
        <v>6.7788188143006772E-2</v>
      </c>
      <c r="J28" s="49">
        <f>VLOOKUP(J$12,'Colleteral Data'!$B:$AE,16,0)</f>
        <v>1.6861054301499571E-3</v>
      </c>
      <c r="K28" s="49">
        <f>VLOOKUP(K$12,'Colleteral Data'!$B:$AE,16,0)</f>
        <v>3.9655796791323453E-3</v>
      </c>
      <c r="L28" s="49">
        <f>VLOOKUP(L$12,'Colleteral Data'!$B:$AE,16,0)</f>
        <v>1.4654595860321971E-3</v>
      </c>
      <c r="M28" s="49">
        <f>VLOOKUP(M$12,'Colleteral Data'!$B:$AE,16,0)</f>
        <v>6.4889682685478817E-2</v>
      </c>
      <c r="N28" s="49">
        <f>VLOOKUP(N$12,'Colleteral Data'!$B:$AE,16,0)</f>
        <v>9.528431146745639E-2</v>
      </c>
      <c r="O28" s="49">
        <f>VLOOKUP(O$12,'Colleteral Data'!$B:$AE,16,0)</f>
        <v>7.5041649686457254E-2</v>
      </c>
      <c r="P28" s="49">
        <f>VLOOKUP(P$12,'Colleteral Data'!$B:$AE,16,0)</f>
        <v>1.1663195173408148E-3</v>
      </c>
      <c r="Q28" s="49">
        <f>VLOOKUP(Q$12,'Colleteral Data'!$B:$AE,16,0)</f>
        <v>4.0987360788749868E-3</v>
      </c>
      <c r="R28"/>
      <c r="S28"/>
      <c r="T28"/>
      <c r="U28"/>
      <c r="V28"/>
      <c r="W28"/>
      <c r="X28"/>
      <c r="Y28"/>
      <c r="Z28"/>
    </row>
    <row r="29" spans="1:26" s="10" customFormat="1" ht="16.5" customHeight="1">
      <c r="A29" s="27"/>
      <c r="C29" s="34" t="s">
        <v>103</v>
      </c>
      <c r="D29" s="49">
        <f>VLOOKUP(D$12,'Colleteral Data'!$B:$AE,17,0)</f>
        <v>0.10501414254232247</v>
      </c>
      <c r="E29" s="49">
        <f>VLOOKUP(E$12,'Colleteral Data'!$B:$AE,17,0)</f>
        <v>7.4736240114756311E-2</v>
      </c>
      <c r="F29" s="49">
        <f>VLOOKUP(F$12,'Colleteral Data'!$B:$AE,17,0)</f>
        <v>0.11246820812945413</v>
      </c>
      <c r="G29" s="49">
        <f>VLOOKUP(G$12,'Colleteral Data'!$B:$AE,17,0)</f>
        <v>0.15007943610303573</v>
      </c>
      <c r="H29" s="49">
        <f>VLOOKUP(H$12,'Colleteral Data'!$B:$AE,17,0)</f>
        <v>0.18928094221817579</v>
      </c>
      <c r="I29" s="49">
        <f>VLOOKUP(I$12,'Colleteral Data'!$B:$AE,17,0)</f>
        <v>0.17352569864530049</v>
      </c>
      <c r="J29" s="49">
        <f>VLOOKUP(J$12,'Colleteral Data'!$B:$AE,17,0)</f>
        <v>0.39643030257093492</v>
      </c>
      <c r="K29" s="49">
        <f>VLOOKUP(K$12,'Colleteral Data'!$B:$AE,17,0)</f>
        <v>0.29719700246127995</v>
      </c>
      <c r="L29" s="49">
        <f>VLOOKUP(L$12,'Colleteral Data'!$B:$AE,17,0)</f>
        <v>0.39398331576861639</v>
      </c>
      <c r="M29" s="49">
        <f>VLOOKUP(M$12,'Colleteral Data'!$B:$AE,17,0)</f>
        <v>0.19349497638050903</v>
      </c>
      <c r="N29" s="49">
        <f>VLOOKUP(N$12,'Colleteral Data'!$B:$AE,17,0)</f>
        <v>8.1393873836251296E-2</v>
      </c>
      <c r="O29" s="49">
        <f>VLOOKUP(O$12,'Colleteral Data'!$B:$AE,17,0)</f>
        <v>0.17036935063997385</v>
      </c>
      <c r="P29" s="49">
        <f>VLOOKUP(P$12,'Colleteral Data'!$B:$AE,17,0)</f>
        <v>0.40593397711862678</v>
      </c>
      <c r="Q29" s="49">
        <f>VLOOKUP(Q$12,'Colleteral Data'!$B:$AE,17,0)</f>
        <v>0.29779204123505887</v>
      </c>
      <c r="R29"/>
      <c r="S29"/>
      <c r="T29"/>
      <c r="U29"/>
      <c r="V29"/>
      <c r="W29"/>
      <c r="X29"/>
      <c r="Y29"/>
      <c r="Z29"/>
    </row>
    <row r="30" spans="1:26" s="10" customFormat="1" ht="16.5" customHeight="1">
      <c r="A30" s="27"/>
      <c r="C30" s="34" t="s">
        <v>104</v>
      </c>
      <c r="D30" s="49">
        <f>VLOOKUP(D$12,'Colleteral Data'!$B:$AE,18,0)</f>
        <v>0.63129471675833448</v>
      </c>
      <c r="E30" s="49">
        <f>VLOOKUP(E$12,'Colleteral Data'!$B:$AE,18,0)</f>
        <v>0.60931048166284119</v>
      </c>
      <c r="F30" s="49">
        <f>VLOOKUP(F$12,'Colleteral Data'!$B:$AE,18,0)</f>
        <v>0.58662336641470481</v>
      </c>
      <c r="G30" s="49">
        <f>VLOOKUP(G$12,'Colleteral Data'!$B:$AE,18,0)</f>
        <v>0.58850832344431769</v>
      </c>
      <c r="H30" s="49">
        <f>VLOOKUP(H$12,'Colleteral Data'!$B:$AE,18,0)</f>
        <v>0.55742381848390743</v>
      </c>
      <c r="I30" s="49">
        <f>VLOOKUP(I$12,'Colleteral Data'!$B:$AE,18,0)</f>
        <v>0.54743106271183606</v>
      </c>
      <c r="J30" s="49">
        <f>VLOOKUP(J$12,'Colleteral Data'!$B:$AE,18,0)</f>
        <v>0.54258630000532393</v>
      </c>
      <c r="K30" s="49">
        <f>VLOOKUP(K$12,'Colleteral Data'!$B:$AE,18,0)</f>
        <v>0.56621639503386079</v>
      </c>
      <c r="L30" s="49">
        <f>VLOOKUP(L$12,'Colleteral Data'!$B:$AE,18,0)</f>
        <v>0.53975274066446977</v>
      </c>
      <c r="M30" s="49">
        <f>VLOOKUP(M$12,'Colleteral Data'!$B:$AE,18,0)</f>
        <v>0.552612513181164</v>
      </c>
      <c r="N30" s="49">
        <f>VLOOKUP(N$12,'Colleteral Data'!$B:$AE,18,0)</f>
        <v>0.62357859954437411</v>
      </c>
      <c r="O30" s="49">
        <f>VLOOKUP(O$12,'Colleteral Data'!$B:$AE,18,0)</f>
        <v>0.55562806941129561</v>
      </c>
      <c r="P30" s="49">
        <f>VLOOKUP(P$12,'Colleteral Data'!$B:$AE,18,0)</f>
        <v>0.54599575686868396</v>
      </c>
      <c r="Q30" s="49">
        <f>VLOOKUP(Q$12,'Colleteral Data'!$B:$AE,18,0)</f>
        <v>0.56770692301486936</v>
      </c>
      <c r="R30"/>
      <c r="S30"/>
      <c r="T30"/>
      <c r="U30"/>
      <c r="V30"/>
      <c r="W30"/>
      <c r="X30"/>
      <c r="Y30"/>
      <c r="Z30"/>
    </row>
    <row r="31" spans="1:26" s="10" customFormat="1" ht="16.5" customHeight="1">
      <c r="A31" s="27"/>
      <c r="C31" s="34" t="s">
        <v>105</v>
      </c>
      <c r="D31" s="49">
        <f>VLOOKUP(D$12,'Colleteral Data'!$B:$AE,19,0)</f>
        <v>2.3630007779695771E-2</v>
      </c>
      <c r="E31" s="49">
        <f>VLOOKUP(E$12,'Colleteral Data'!$B:$AE,19,0)</f>
        <v>2.8841972311168102E-2</v>
      </c>
      <c r="F31" s="49">
        <f>VLOOKUP(F$12,'Colleteral Data'!$B:$AE,19,0)</f>
        <v>3.2283576632099825E-2</v>
      </c>
      <c r="G31" s="49">
        <f>VLOOKUP(G$12,'Colleteral Data'!$B:$AE,19,0)</f>
        <v>2.9315808846637485E-2</v>
      </c>
      <c r="H31" s="49">
        <f>VLOOKUP(H$12,'Colleteral Data'!$B:$AE,19,0)</f>
        <v>3.498935750717886E-2</v>
      </c>
      <c r="I31" s="49">
        <f>VLOOKUP(I$12,'Colleteral Data'!$B:$AE,19,0)</f>
        <v>3.6391874004991054E-2</v>
      </c>
      <c r="J31" s="49">
        <f>VLOOKUP(J$12,'Colleteral Data'!$B:$AE,19,0)</f>
        <v>0</v>
      </c>
      <c r="K31" s="49">
        <f>VLOOKUP(K$12,'Colleteral Data'!$B:$AE,19,0)</f>
        <v>0</v>
      </c>
      <c r="L31" s="49">
        <f>VLOOKUP(L$12,'Colleteral Data'!$B:$AE,19,0)</f>
        <v>0</v>
      </c>
      <c r="M31" s="49">
        <f>VLOOKUP(M$12,'Colleteral Data'!$B:$AE,19,0)</f>
        <v>3.4019637397774465E-2</v>
      </c>
      <c r="N31" s="49">
        <f>VLOOKUP(N$12,'Colleteral Data'!$B:$AE,19,0)</f>
        <v>2.5401029397339923E-2</v>
      </c>
      <c r="O31" s="49">
        <f>VLOOKUP(O$12,'Colleteral Data'!$B:$AE,19,0)</f>
        <v>3.3118285136154578E-2</v>
      </c>
      <c r="P31" s="49">
        <f>VLOOKUP(P$12,'Colleteral Data'!$B:$AE,19,0)</f>
        <v>0</v>
      </c>
      <c r="Q31" s="49">
        <f>VLOOKUP(Q$12,'Colleteral Data'!$B:$AE,19,0)</f>
        <v>0</v>
      </c>
      <c r="R31"/>
      <c r="S31"/>
      <c r="T31"/>
      <c r="U31"/>
      <c r="V31"/>
      <c r="W31"/>
      <c r="X31"/>
      <c r="Y31"/>
      <c r="Z31"/>
    </row>
    <row r="32" spans="1:26" s="10" customFormat="1" ht="16.5" customHeight="1">
      <c r="A32" s="27"/>
      <c r="C32" s="34" t="s">
        <v>106</v>
      </c>
      <c r="D32" s="49">
        <f>VLOOKUP(D$12,'Colleteral Data'!$B:$AE,20,0)</f>
        <v>0.71571042737819468</v>
      </c>
      <c r="E32" s="49">
        <f>VLOOKUP(E$12,'Colleteral Data'!$B:$AE,20,0)</f>
        <v>0.67373260854385153</v>
      </c>
      <c r="F32" s="49">
        <f>VLOOKUP(F$12,'Colleteral Data'!$B:$AE,20,0)</f>
        <v>0.65722193410509666</v>
      </c>
      <c r="G32" s="49">
        <f>VLOOKUP(G$12,'Colleteral Data'!$B:$AE,20,0)</f>
        <v>0.63689731530977478</v>
      </c>
      <c r="H32" s="49">
        <f>VLOOKUP(H$12,'Colleteral Data'!$B:$AE,20,0)</f>
        <v>0.63150636996685361</v>
      </c>
      <c r="I32" s="49">
        <f>VLOOKUP(I$12,'Colleteral Data'!$B:$AE,20,0)</f>
        <v>0.6329560704251479</v>
      </c>
      <c r="J32" s="49">
        <f>VLOOKUP(J$12,'Colleteral Data'!$B:$AE,20,0)</f>
        <v>0.60735330321117542</v>
      </c>
      <c r="K32" s="49">
        <f>VLOOKUP(K$12,'Colleteral Data'!$B:$AE,20,0)</f>
        <v>0.62092425225440362</v>
      </c>
      <c r="L32" s="49">
        <f>VLOOKUP(L$12,'Colleteral Data'!$B:$AE,20,0)</f>
        <v>0.59680719831953377</v>
      </c>
      <c r="M32" s="49">
        <f>VLOOKUP(M$12,'Colleteral Data'!$B:$AE,20,0)</f>
        <v>0.61989908816940498</v>
      </c>
      <c r="N32" s="49">
        <f>VLOOKUP(N$12,'Colleteral Data'!$B:$AE,20,0)</f>
        <v>0.70198675552012002</v>
      </c>
      <c r="O32" s="49">
        <f>VLOOKUP(O$12,'Colleteral Data'!$B:$AE,20,0)</f>
        <v>0.62772848756475275</v>
      </c>
      <c r="P32" s="49">
        <f>VLOOKUP(P$12,'Colleteral Data'!$B:$AE,20,0)</f>
        <v>0.59745977775482362</v>
      </c>
      <c r="Q32" s="49">
        <f>VLOOKUP(Q$12,'Colleteral Data'!$B:$AE,20,0)</f>
        <v>0.6206539696466834</v>
      </c>
      <c r="R32"/>
      <c r="S32"/>
      <c r="T32"/>
      <c r="U32"/>
      <c r="V32"/>
      <c r="W32"/>
      <c r="X32"/>
      <c r="Y32"/>
      <c r="Z32"/>
    </row>
    <row r="33" spans="1:26" s="10" customFormat="1" ht="16.5" customHeight="1">
      <c r="A33" s="27"/>
      <c r="C33" s="34" t="s">
        <v>107</v>
      </c>
      <c r="D33" s="49">
        <f>VLOOKUP(D$12,'Colleteral Data'!$B:$AE,21,0)</f>
        <v>0.89395305003696268</v>
      </c>
      <c r="E33" s="49">
        <f>VLOOKUP(E$12,'Colleteral Data'!$B:$AE,21,0)</f>
        <v>0.88653955961789876</v>
      </c>
      <c r="F33" s="49">
        <f>VLOOKUP(F$12,'Colleteral Data'!$B:$AE,21,0)</f>
        <v>0.85746265877035666</v>
      </c>
      <c r="G33" s="49">
        <f>VLOOKUP(G$12,'Colleteral Data'!$B:$AE,21,0)</f>
        <v>0.87896531170546788</v>
      </c>
      <c r="H33" s="49">
        <f>VLOOKUP(H$12,'Colleteral Data'!$B:$AE,21,0)</f>
        <v>0.85486638953582639</v>
      </c>
      <c r="I33" s="49">
        <f>VLOOKUP(I$12,'Colleteral Data'!$B:$AE,21,0)</f>
        <v>0.84416041759729221</v>
      </c>
      <c r="J33" s="49">
        <f>VLOOKUP(J$12,'Colleteral Data'!$B:$AE,21,0)</f>
        <v>0.99548008661075282</v>
      </c>
      <c r="K33" s="49">
        <f>VLOOKUP(K$12,'Colleteral Data'!$B:$AE,21,0)</f>
        <v>0.99602556414347887</v>
      </c>
      <c r="L33" s="49">
        <f>VLOOKUP(L$12,'Colleteral Data'!$B:$AE,21,0)</f>
        <v>0.99510909148130766</v>
      </c>
      <c r="M33" s="49">
        <f>VLOOKUP(M$12,'Colleteral Data'!$B:$AE,21,0)</f>
        <v>0.84966590518488516</v>
      </c>
      <c r="N33" s="49">
        <f>VLOOKUP(N$12,'Colleteral Data'!$B:$AE,21,0)</f>
        <v>0.89209194671019643</v>
      </c>
      <c r="O33" s="49">
        <f>VLOOKUP(O$12,'Colleteral Data'!$B:$AE,21,0)</f>
        <v>0.8550530120080938</v>
      </c>
      <c r="P33" s="49">
        <f>VLOOKUP(P$12,'Colleteral Data'!$B:$AE,21,0)</f>
        <v>0.99488595389952739</v>
      </c>
      <c r="Q33" s="49">
        <f>VLOOKUP(Q$12,'Colleteral Data'!$B:$AE,21,0)</f>
        <v>0.99606576875447295</v>
      </c>
      <c r="R33"/>
      <c r="S33"/>
      <c r="T33"/>
      <c r="U33"/>
      <c r="V33"/>
      <c r="W33"/>
      <c r="X33"/>
      <c r="Y33"/>
      <c r="Z33"/>
    </row>
    <row r="34" spans="1:26" s="10" customFormat="1" ht="16.5" customHeight="1">
      <c r="A34" s="27"/>
      <c r="C34" s="34" t="s">
        <v>108</v>
      </c>
      <c r="D34" s="49">
        <f>VLOOKUP(D$12,'Colleteral Data'!$B:$AE,22,0)</f>
        <v>0.40084822924629987</v>
      </c>
      <c r="E34" s="49">
        <f>VLOOKUP(E$12,'Colleteral Data'!$B:$AE,22,0)</f>
        <v>0.26778516042439687</v>
      </c>
      <c r="F34" s="49">
        <f>VLOOKUP(F$12,'Colleteral Data'!$B:$AE,22,0)</f>
        <v>0.40785397233927956</v>
      </c>
      <c r="G34" s="49">
        <f>VLOOKUP(G$12,'Colleteral Data'!$B:$AE,22,0)</f>
        <v>0.51999656120851712</v>
      </c>
      <c r="H34" s="49">
        <f>VLOOKUP(H$12,'Colleteral Data'!$B:$AE,22,0)</f>
        <v>0.63627726128216144</v>
      </c>
      <c r="I34" s="49">
        <f>VLOOKUP(I$12,'Colleteral Data'!$B:$AE,22,0)</f>
        <v>0.60963829247470003</v>
      </c>
      <c r="J34" s="49">
        <f>VLOOKUP(J$12,'Colleteral Data'!$B:$AE,22,0)</f>
        <v>0.90576257158019879</v>
      </c>
      <c r="K34" s="49">
        <f>VLOOKUP(K$12,'Colleteral Data'!$B:$AE,22,0)</f>
        <v>0.71684535995606424</v>
      </c>
      <c r="L34" s="49">
        <f>VLOOKUP(L$12,'Colleteral Data'!$B:$AE,22,0)</f>
        <v>0.89881178197035971</v>
      </c>
      <c r="M34" s="49">
        <f>VLOOKUP(M$12,'Colleteral Data'!$B:$AE,22,0)</f>
        <v>0.67181533554444872</v>
      </c>
      <c r="N34" s="49">
        <f>VLOOKUP(N$12,'Colleteral Data'!$B:$AE,22,0)</f>
        <v>0.30733603070614296</v>
      </c>
      <c r="O34" s="49">
        <f>VLOOKUP(O$12,'Colleteral Data'!$B:$AE,22,0)</f>
        <v>0.61957617450367219</v>
      </c>
      <c r="P34" s="49">
        <f>VLOOKUP(P$12,'Colleteral Data'!$B:$AE,22,0)</f>
        <v>0.92472485564954643</v>
      </c>
      <c r="Q34" s="49">
        <f>VLOOKUP(Q$12,'Colleteral Data'!$B:$AE,22,0)</f>
        <v>0.71654250149351861</v>
      </c>
      <c r="R34"/>
      <c r="S34"/>
      <c r="T34"/>
      <c r="U34"/>
      <c r="V34"/>
      <c r="W34"/>
      <c r="X34"/>
      <c r="Y34"/>
      <c r="Z34"/>
    </row>
    <row r="35" spans="1:26" s="10" customFormat="1" ht="16.5" customHeight="1">
      <c r="A35" s="27"/>
      <c r="C35" s="95" t="s">
        <v>109</v>
      </c>
      <c r="D35" s="94">
        <f>VLOOKUP(D$12,'Colleteral Data'!$B:$AE,23,0)</f>
        <v>0.14074761608889366</v>
      </c>
      <c r="E35" s="94">
        <f>VLOOKUP(E$12,'Colleteral Data'!$B:$AE,23,0)</f>
        <v>0.12214959030185814</v>
      </c>
      <c r="F35" s="94">
        <f>VLOOKUP(F$12,'Colleteral Data'!$B:$AE,23,0)</f>
        <v>0.12274786113477829</v>
      </c>
      <c r="G35" s="94">
        <f>VLOOKUP(G$12,'Colleteral Data'!$B:$AE,23,0)</f>
        <v>9.9023718611497474E-2</v>
      </c>
      <c r="H35" s="94">
        <f>VLOOKUP(H$12,'Colleteral Data'!$B:$AE,23,0)</f>
        <v>0.123663518429371</v>
      </c>
      <c r="I35" s="94">
        <f>VLOOKUP(I$12,'Colleteral Data'!$B:$AE,23,0)</f>
        <v>0.11681066539893442</v>
      </c>
      <c r="J35" s="94">
        <f>VLOOKUP(J$12,'Colleteral Data'!$B:$AE,23,0)</f>
        <v>7.9505437242154225E-2</v>
      </c>
      <c r="K35" s="94">
        <f>VLOOKUP(K$12,'Colleteral Data'!$B:$AE,23,0)</f>
        <v>7.7128833318218445E-2</v>
      </c>
      <c r="L35" s="94">
        <f>VLOOKUP(L$12,'Colleteral Data'!$B:$AE,23,0)</f>
        <v>8.8609534730572051E-2</v>
      </c>
      <c r="M35" s="94">
        <f>VLOOKUP(M$12,'Colleteral Data'!$B:$AE,23,0)</f>
        <v>0.13026393858869248</v>
      </c>
      <c r="N35" s="94">
        <f>VLOOKUP(N$12,'Colleteral Data'!$B:$AE,23,0)</f>
        <v>0.12564977864866356</v>
      </c>
      <c r="O35" s="94">
        <f>VLOOKUP(O$12,'Colleteral Data'!$B:$AE,23,0)</f>
        <v>0.12119376364273396</v>
      </c>
      <c r="P35" s="94">
        <f>VLOOKUP(P$12,'Colleteral Data'!$B:$AE,23,0)</f>
        <v>0.10252488746503187</v>
      </c>
      <c r="Q35" s="94">
        <f>VLOOKUP(Q$12,'Colleteral Data'!$B:$AE,23,0)</f>
        <v>7.6888101069763209E-2</v>
      </c>
      <c r="R35"/>
      <c r="S35"/>
      <c r="T35"/>
      <c r="U35"/>
      <c r="V35"/>
      <c r="W35"/>
      <c r="X35"/>
      <c r="Y35"/>
      <c r="Z35"/>
    </row>
    <row r="36" spans="1:26" s="10" customFormat="1" ht="16.5" customHeight="1">
      <c r="A36" s="27"/>
      <c r="C36" s="97" t="s">
        <v>125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/>
      <c r="S36"/>
      <c r="T36"/>
      <c r="U36"/>
      <c r="V36"/>
      <c r="W36"/>
      <c r="X36"/>
      <c r="Y36"/>
      <c r="Z36"/>
    </row>
    <row r="37" spans="1:26" s="10" customFormat="1" ht="16.5" customHeight="1">
      <c r="A37" s="27"/>
      <c r="C37" s="34" t="s">
        <v>110</v>
      </c>
      <c r="D37" s="39">
        <f>VLOOKUP(D$12,'Colleteral Data'!$B:$AE,24,0)</f>
        <v>0.99739476567293961</v>
      </c>
      <c r="E37" s="39">
        <f>VLOOKUP(E$12,'Colleteral Data'!$B:$AE,24,0)</f>
        <v>0.99676694991869752</v>
      </c>
      <c r="F37" s="39">
        <f>VLOOKUP(F$12,'Colleteral Data'!$B:$AE,24,0)</f>
        <v>0.99716946758858305</v>
      </c>
      <c r="G37" s="39">
        <f>VLOOKUP(G$12,'Colleteral Data'!$B:$AE,24,0)</f>
        <v>0.99657111943568422</v>
      </c>
      <c r="H37" s="39">
        <f>VLOOKUP(H$12,'Colleteral Data'!$B:$AE,24,0)</f>
        <v>0.99467667261485604</v>
      </c>
      <c r="I37" s="39">
        <f>VLOOKUP(I$12,'Colleteral Data'!$B:$AE,24,0)</f>
        <v>0.99529690135680282</v>
      </c>
      <c r="J37" s="39">
        <f>VLOOKUP(J$12,'Colleteral Data'!$B:$AE,24,0)</f>
        <v>0.99383550107875007</v>
      </c>
      <c r="K37" s="39">
        <f>VLOOKUP(K$12,'Colleteral Data'!$B:$AE,24,0)</f>
        <v>0.99623484288729591</v>
      </c>
      <c r="L37" s="39">
        <f>VLOOKUP(L$12,'Colleteral Data'!$B:$AE,24,0)</f>
        <v>0.9940954436269156</v>
      </c>
      <c r="M37" s="39">
        <f>VLOOKUP(M$12,'Colleteral Data'!$B:$AE,24,0)</f>
        <v>0.99645083610355745</v>
      </c>
      <c r="N37" s="39">
        <f>VLOOKUP(N$12,'Colleteral Data'!$B:$AE,24,0)</f>
        <v>0.99881651417513262</v>
      </c>
      <c r="O37" s="39">
        <f>VLOOKUP(O$12,'Colleteral Data'!$B:$AE,24,0)</f>
        <v>0.99820730528067014</v>
      </c>
      <c r="P37" s="39">
        <f>VLOOKUP(P$12,'Colleteral Data'!$B:$AE,24,0)</f>
        <v>0.99735016690451772</v>
      </c>
      <c r="Q37" s="39">
        <f>VLOOKUP(Q$12,'Colleteral Data'!$B:$AE,24,0)</f>
        <v>0.99833313405589241</v>
      </c>
      <c r="R37"/>
      <c r="S37"/>
      <c r="T37"/>
      <c r="U37"/>
      <c r="V37"/>
      <c r="W37"/>
      <c r="X37"/>
      <c r="Y37"/>
      <c r="Z37"/>
    </row>
    <row r="38" spans="1:26" s="10" customFormat="1" ht="16.5" customHeight="1">
      <c r="A38" s="27"/>
      <c r="C38" s="34" t="s">
        <v>111</v>
      </c>
      <c r="D38" s="39">
        <f>VLOOKUP(D$12,'Colleteral Data'!$B:$AE,25,0)</f>
        <v>2.6052343270604097E-3</v>
      </c>
      <c r="E38" s="39">
        <f>VLOOKUP(E$12,'Colleteral Data'!$B:$AE,25,0)</f>
        <v>3.2330500813024655E-3</v>
      </c>
      <c r="F38" s="39">
        <f>VLOOKUP(F$12,'Colleteral Data'!$B:$AE,25,0)</f>
        <v>2.8305324114169103E-3</v>
      </c>
      <c r="G38" s="39">
        <f>VLOOKUP(G$12,'Colleteral Data'!$B:$AE,25,0)</f>
        <v>3.4288805643157903E-3</v>
      </c>
      <c r="H38" s="39">
        <f>VLOOKUP(H$12,'Colleteral Data'!$B:$AE,25,0)</f>
        <v>5.3233273851439966E-3</v>
      </c>
      <c r="I38" s="39">
        <f>VLOOKUP(I$12,'Colleteral Data'!$B:$AE,25,0)</f>
        <v>4.7030986431972023E-3</v>
      </c>
      <c r="J38" s="39">
        <f>VLOOKUP(J$12,'Colleteral Data'!$B:$AE,25,0)</f>
        <v>6.1644989212499184E-3</v>
      </c>
      <c r="K38" s="39">
        <f>VLOOKUP(K$12,'Colleteral Data'!$B:$AE,25,0)</f>
        <v>3.7651571127040808E-3</v>
      </c>
      <c r="L38" s="39">
        <f>VLOOKUP(L$12,'Colleteral Data'!$B:$AE,25,0)</f>
        <v>5.9045563730843577E-3</v>
      </c>
      <c r="M38" s="39">
        <f>VLOOKUP(M$12,'Colleteral Data'!$B:$AE,25,0)</f>
        <v>3.5491638964425093E-3</v>
      </c>
      <c r="N38" s="39">
        <f>VLOOKUP(N$12,'Colleteral Data'!$B:$AE,25,0)</f>
        <v>1.1834858248674031E-3</v>
      </c>
      <c r="O38" s="39">
        <f>VLOOKUP(O$12,'Colleteral Data'!$B:$AE,25,0)</f>
        <v>1.79269471932988E-3</v>
      </c>
      <c r="P38" s="39">
        <f>VLOOKUP(P$12,'Colleteral Data'!$B:$AE,25,0)</f>
        <v>2.6498330954823081E-3</v>
      </c>
      <c r="Q38" s="39">
        <f>VLOOKUP(Q$12,'Colleteral Data'!$B:$AE,25,0)</f>
        <v>1.6668659441076055E-3</v>
      </c>
      <c r="R38"/>
      <c r="S38"/>
      <c r="T38"/>
      <c r="U38"/>
      <c r="V38"/>
      <c r="W38"/>
      <c r="X38"/>
      <c r="Y38"/>
      <c r="Z38"/>
    </row>
    <row r="39" spans="1:26" s="10" customFormat="1" ht="16.5" customHeight="1">
      <c r="A39" s="27"/>
      <c r="C39" s="34" t="s">
        <v>30</v>
      </c>
      <c r="D39" s="39">
        <f>VLOOKUP(D$12,'Colleteral Data'!$B:$AE,26,0)</f>
        <v>0.97746113060718975</v>
      </c>
      <c r="E39" s="39">
        <f>VLOOKUP(E$12,'Colleteral Data'!$B:$AE,26,0)</f>
        <v>0.97970960481915326</v>
      </c>
      <c r="F39" s="39">
        <f>VLOOKUP(F$12,'Colleteral Data'!$B:$AE,26,0)</f>
        <v>0.98149129867803875</v>
      </c>
      <c r="G39" s="39">
        <f>VLOOKUP(G$12,'Colleteral Data'!$B:$AE,26,0)</f>
        <v>0.98145424869508102</v>
      </c>
      <c r="H39" s="39">
        <f>VLOOKUP(H$12,'Colleteral Data'!$B:$AE,26,0)</f>
        <v>0.97980849253575131</v>
      </c>
      <c r="I39" s="39">
        <f>VLOOKUP(I$12,'Colleteral Data'!$B:$AE,26,0)</f>
        <v>0.98203506134418994</v>
      </c>
      <c r="J39" s="39">
        <f>VLOOKUP(J$12,'Colleteral Data'!$B:$AE,26,0)</f>
        <v>0.98018477958666084</v>
      </c>
      <c r="K39" s="39">
        <f>VLOOKUP(K$12,'Colleteral Data'!$B:$AE,26,0)</f>
        <v>0.98681432852520601</v>
      </c>
      <c r="L39" s="39">
        <f>VLOOKUP(L$12,'Colleteral Data'!$B:$AE,26,0)</f>
        <v>0.98336518772562787</v>
      </c>
      <c r="M39" s="39">
        <f>VLOOKUP(M$12,'Colleteral Data'!$B:$AE,26,0)</f>
        <v>0.98926828604007855</v>
      </c>
      <c r="N39" s="39">
        <f>VLOOKUP(N$12,'Colleteral Data'!$B:$AE,26,0)</f>
        <v>0.99783014810213744</v>
      </c>
      <c r="O39" s="39">
        <f>VLOOKUP(O$12,'Colleteral Data'!$B:$AE,26,0)</f>
        <v>0.99820730528067014</v>
      </c>
      <c r="P39" s="39">
        <f>VLOOKUP(P$12,'Colleteral Data'!$B:$AE,26,0)</f>
        <v>0.99352357934951374</v>
      </c>
      <c r="Q39" s="39">
        <f>VLOOKUP(Q$12,'Colleteral Data'!$B:$AE,26,0)</f>
        <v>0.99761597253913847</v>
      </c>
      <c r="R39"/>
      <c r="S39"/>
      <c r="T39"/>
      <c r="U39"/>
      <c r="V39"/>
      <c r="W39"/>
      <c r="X39"/>
      <c r="Y39"/>
      <c r="Z39"/>
    </row>
    <row r="40" spans="1:26" s="10" customFormat="1" ht="16.5" customHeight="1">
      <c r="A40" s="27"/>
      <c r="C40" s="34" t="s">
        <v>31</v>
      </c>
      <c r="D40" s="39">
        <f>VLOOKUP(D$12,'Colleteral Data'!$B:$AE,27,0)</f>
        <v>1.9933635065749803E-2</v>
      </c>
      <c r="E40" s="39">
        <f>VLOOKUP(E$12,'Colleteral Data'!$B:$AE,27,0)</f>
        <v>1.7057345099544294E-2</v>
      </c>
      <c r="F40" s="39">
        <f>VLOOKUP(F$12,'Colleteral Data'!$B:$AE,27,0)</f>
        <v>1.5678168910544337E-2</v>
      </c>
      <c r="G40" s="39">
        <f>VLOOKUP(G$12,'Colleteral Data'!$B:$AE,27,0)</f>
        <v>1.5116870740603144E-2</v>
      </c>
      <c r="H40" s="39">
        <f>VLOOKUP(H$12,'Colleteral Data'!$B:$AE,27,0)</f>
        <v>1.4868180079104702E-2</v>
      </c>
      <c r="I40" s="39">
        <f>VLOOKUP(I$12,'Colleteral Data'!$B:$AE,27,0)</f>
        <v>1.3261840012612883E-2</v>
      </c>
      <c r="J40" s="39">
        <f>VLOOKUP(J$12,'Colleteral Data'!$B:$AE,27,0)</f>
        <v>1.3650721492089233E-2</v>
      </c>
      <c r="K40" s="39">
        <f>VLOOKUP(K$12,'Colleteral Data'!$B:$AE,27,0)</f>
        <v>9.4205143620899046E-3</v>
      </c>
      <c r="L40" s="39">
        <f>VLOOKUP(L$12,'Colleteral Data'!$B:$AE,27,0)</f>
        <v>1.0730255901287789E-2</v>
      </c>
      <c r="M40" s="39">
        <f>VLOOKUP(M$12,'Colleteral Data'!$B:$AE,27,0)</f>
        <v>7.1825500634789506E-3</v>
      </c>
      <c r="N40" s="39">
        <f>VLOOKUP(N$12,'Colleteral Data'!$B:$AE,27,0)</f>
        <v>9.8636607299514836E-4</v>
      </c>
      <c r="O40" s="39">
        <f>VLOOKUP(O$12,'Colleteral Data'!$B:$AE,27,0)</f>
        <v>0</v>
      </c>
      <c r="P40" s="39">
        <f>VLOOKUP(P$12,'Colleteral Data'!$B:$AE,27,0)</f>
        <v>3.8265875550039146E-3</v>
      </c>
      <c r="Q40" s="39">
        <f>VLOOKUP(Q$12,'Colleteral Data'!$B:$AE,27,0)</f>
        <v>7.1716151675393631E-4</v>
      </c>
      <c r="R40"/>
      <c r="S40"/>
      <c r="T40"/>
      <c r="U40"/>
      <c r="V40"/>
      <c r="W40"/>
      <c r="X40"/>
      <c r="Y40"/>
      <c r="Z40"/>
    </row>
    <row r="41" spans="1:26" s="10" customFormat="1" ht="16.5" customHeight="1">
      <c r="A41" s="27"/>
      <c r="C41" s="34" t="s">
        <v>112</v>
      </c>
      <c r="D41" s="39">
        <f>VLOOKUP(D$12,'Colleteral Data'!$B:$AE,28,0)</f>
        <v>2.3315077000433965E-3</v>
      </c>
      <c r="E41" s="39">
        <f>VLOOKUP(E$12,'Colleteral Data'!$B:$AE,28,0)</f>
        <v>2.999283505444001E-3</v>
      </c>
      <c r="F41" s="39">
        <f>VLOOKUP(F$12,'Colleteral Data'!$B:$AE,28,0)</f>
        <v>2.6510414515889219E-3</v>
      </c>
      <c r="G41" s="39">
        <f>VLOOKUP(G$12,'Colleteral Data'!$B:$AE,28,0)</f>
        <v>3.1259057012148986E-3</v>
      </c>
      <c r="H41" s="39">
        <f>VLOOKUP(H$12,'Colleteral Data'!$B:$AE,28,0)</f>
        <v>4.7958792002590466E-3</v>
      </c>
      <c r="I41" s="39">
        <f>VLOOKUP(I$12,'Colleteral Data'!$B:$AE,28,0)</f>
        <v>4.284710690416027E-3</v>
      </c>
      <c r="J41" s="39">
        <f>VLOOKUP(J$12,'Colleteral Data'!$B:$AE,28,0)</f>
        <v>5.4569332796255378E-3</v>
      </c>
      <c r="K41" s="39">
        <f>VLOOKUP(K$12,'Colleteral Data'!$B:$AE,28,0)</f>
        <v>3.2583719334002021E-3</v>
      </c>
      <c r="L41" s="39">
        <f>VLOOKUP(L$12,'Colleteral Data'!$B:$AE,28,0)</f>
        <v>5.0841820342619731E-3</v>
      </c>
      <c r="M41" s="39">
        <f>VLOOKUP(M$12,'Colleteral Data'!$B:$AE,28,0)</f>
        <v>3.4281744029761182E-3</v>
      </c>
      <c r="N41" s="39">
        <f>VLOOKUP(N$12,'Colleteral Data'!$B:$AE,28,0)</f>
        <v>1.129280043055209E-3</v>
      </c>
      <c r="O41" s="39">
        <f>VLOOKUP(O$12,'Colleteral Data'!$B:$AE,28,0)</f>
        <v>1.79269471932988E-3</v>
      </c>
      <c r="P41" s="39">
        <f>VLOOKUP(P$12,'Colleteral Data'!$B:$AE,28,0)</f>
        <v>2.5400054061311748E-3</v>
      </c>
      <c r="Q41" s="39">
        <f>VLOOKUP(Q$12,'Colleteral Data'!$B:$AE,28,0)</f>
        <v>1.6668659441076055E-3</v>
      </c>
      <c r="R41"/>
      <c r="S41"/>
      <c r="T41"/>
      <c r="U41"/>
      <c r="V41"/>
      <c r="W41"/>
      <c r="X41"/>
      <c r="Y41"/>
      <c r="Z41"/>
    </row>
    <row r="42" spans="1:26" ht="17.25" hidden="1" customHeight="1">
      <c r="A42" s="28"/>
      <c r="C42" s="34" t="s">
        <v>32</v>
      </c>
      <c r="D42" s="39">
        <f>VLOOKUP(D$12,'Colleteral Data'!$B:$AE,25,0)</f>
        <v>2.6052343270604097E-3</v>
      </c>
      <c r="E42" s="39">
        <v>2.3376657585846399E-4</v>
      </c>
      <c r="F42" s="39">
        <v>1.7949095982798801E-4</v>
      </c>
      <c r="G42" s="39">
        <v>3.0297486310089101E-4</v>
      </c>
      <c r="H42" s="39">
        <v>5.2744818488495004E-4</v>
      </c>
      <c r="I42" s="39">
        <v>4.1838795278117502E-4</v>
      </c>
      <c r="J42" s="39">
        <v>7.0756564162437999E-4</v>
      </c>
      <c r="K42" s="39">
        <v>5.06785179303878E-4</v>
      </c>
      <c r="L42" s="39">
        <v>8.2037433882238401E-4</v>
      </c>
      <c r="M42" s="39">
        <v>1.20989493466391E-4</v>
      </c>
      <c r="N42" s="39">
        <v>5.4205781812194099E-5</v>
      </c>
      <c r="O42" s="39">
        <v>0</v>
      </c>
      <c r="P42" s="39">
        <v>1.09827689351133E-4</v>
      </c>
      <c r="Q42" s="39">
        <v>0</v>
      </c>
    </row>
    <row r="43" spans="1:26" ht="17.25" customHeight="1">
      <c r="A43" s="28"/>
      <c r="C43" s="34" t="s">
        <v>14</v>
      </c>
      <c r="D43" s="39">
        <f>'Performance Report'!D40/100</f>
        <v>0.11419499999999999</v>
      </c>
      <c r="E43" s="39">
        <f>'Performance Report'!E40/100</f>
        <v>9.0999999999999998E-2</v>
      </c>
      <c r="F43" s="39">
        <f>'Performance Report'!F40/100</f>
        <v>9.7987000000000005E-2</v>
      </c>
      <c r="G43" s="39">
        <f>'Performance Report'!G40/100</f>
        <v>0.13478199999999999</v>
      </c>
      <c r="H43" s="39">
        <f>'Performance Report'!H40/100</f>
        <v>0.213535</v>
      </c>
      <c r="I43" s="39">
        <f>'Performance Report'!I40/100</f>
        <v>0.226216</v>
      </c>
      <c r="J43" s="39">
        <f>'Performance Report'!J40/100</f>
        <v>0.21616299999999999</v>
      </c>
      <c r="K43" s="39">
        <f>'Performance Report'!K40/100</f>
        <v>0.12855</v>
      </c>
      <c r="L43" s="39">
        <f>'Performance Report'!L40/100</f>
        <v>0.19663900000000001</v>
      </c>
      <c r="M43" s="39">
        <f>'Performance Report'!M40/100</f>
        <v>0.192992</v>
      </c>
      <c r="N43" s="39">
        <f>'Performance Report'!N40/100</f>
        <v>0.103049</v>
      </c>
      <c r="O43" s="39">
        <v>0</v>
      </c>
      <c r="P43" s="39">
        <f>'Performance Report'!O40/100</f>
        <v>0.153252</v>
      </c>
      <c r="Q43" s="39">
        <f>'Performance Report'!P40/100</f>
        <v>0.12800900000000001</v>
      </c>
    </row>
    <row r="44" spans="1:26" ht="17.25" customHeight="1">
      <c r="A44" s="28"/>
      <c r="C44" s="34" t="s">
        <v>15</v>
      </c>
      <c r="D44" s="39">
        <f>'Performance Report'!U40/100</f>
        <v>1.276E-3</v>
      </c>
      <c r="E44" s="39">
        <f>'Performance Report'!V40/100</f>
        <v>2.22E-4</v>
      </c>
      <c r="F44" s="39">
        <f>'Performance Report'!W40/100</f>
        <v>2.6899999999999998E-4</v>
      </c>
      <c r="G44" s="39">
        <f>'Performance Report'!X40/100</f>
        <v>5.04E-4</v>
      </c>
      <c r="H44" s="39">
        <f>'Performance Report'!Y40/100</f>
        <v>1.091E-3</v>
      </c>
      <c r="I44" s="39">
        <f>'Performance Report'!Z40/100</f>
        <v>5.1000000000000006E-5</v>
      </c>
      <c r="J44" s="39">
        <f>'Performance Report'!AA40/100</f>
        <v>6.4899999999999995E-4</v>
      </c>
      <c r="K44" s="39">
        <f>'Performance Report'!AB40/100</f>
        <v>6.0800000000000003E-4</v>
      </c>
      <c r="L44" s="39">
        <f>'Performance Report'!AC40/100</f>
        <v>1.6429999999999999E-3</v>
      </c>
      <c r="M44" s="39">
        <f>'Performance Report'!AD40/100</f>
        <v>2.7900000000000001E-4</v>
      </c>
      <c r="N44" s="39">
        <f>'Performance Report'!AE40/100</f>
        <v>0</v>
      </c>
      <c r="O44" s="39">
        <v>0</v>
      </c>
      <c r="P44" s="39">
        <f>'Performance Report'!AF40/100</f>
        <v>0</v>
      </c>
      <c r="Q44" s="39">
        <f>'Performance Report'!AG40/100</f>
        <v>0</v>
      </c>
    </row>
    <row r="45" spans="1:26" ht="17.25" customHeight="1">
      <c r="A45" s="28"/>
      <c r="C45" s="95" t="s">
        <v>118</v>
      </c>
      <c r="D45" s="40">
        <f>'Performance Report'!D70/100</f>
        <v>6.9999999999999988E-4</v>
      </c>
      <c r="E45" s="40">
        <f>'Performance Report'!E70/100</f>
        <v>5.0000000000000001E-4</v>
      </c>
      <c r="F45" s="40">
        <f>'Performance Report'!F70/100</f>
        <v>2.9999999999999997E-4</v>
      </c>
      <c r="G45" s="40">
        <f>'Performance Report'!G70/100</f>
        <v>2.9999999999999997E-4</v>
      </c>
      <c r="H45" s="40">
        <f>'Performance Report'!H70/100</f>
        <v>2.9999999999999997E-4</v>
      </c>
      <c r="I45" s="40">
        <f>'Performance Report'!I70/100</f>
        <v>0</v>
      </c>
      <c r="J45" s="40">
        <f>'Performance Report'!J70/100</f>
        <v>6.9999999999999988E-4</v>
      </c>
      <c r="K45" s="40">
        <f>'Performance Report'!K70/100</f>
        <v>2.9999999999999997E-4</v>
      </c>
      <c r="L45" s="40">
        <f>'Performance Report'!L70/100</f>
        <v>4.0000000000000002E-4</v>
      </c>
      <c r="M45" s="40">
        <f>'Performance Report'!M70/100</f>
        <v>0</v>
      </c>
      <c r="N45" s="40">
        <f>'Performance Report'!N70/100</f>
        <v>0</v>
      </c>
      <c r="O45" s="40">
        <f>'Performance Report'!O70/100</f>
        <v>0</v>
      </c>
      <c r="P45" s="40">
        <f>'Performance Report'!O70/100</f>
        <v>0</v>
      </c>
      <c r="Q45" s="40">
        <f>'Performance Report'!P70/100</f>
        <v>0</v>
      </c>
    </row>
    <row r="46" spans="1:26" ht="17.25" customHeight="1">
      <c r="A46" s="28"/>
    </row>
    <row r="47" spans="1:26" ht="17.25" customHeight="1">
      <c r="A47" s="28"/>
    </row>
    <row r="48" spans="1:26" ht="17.25" customHeight="1">
      <c r="A48" s="28"/>
    </row>
    <row r="49" spans="1:26" ht="17.25" hidden="1" customHeight="1">
      <c r="A49" s="28"/>
    </row>
    <row r="50" spans="1:26" s="3" customFormat="1" ht="16.5" customHeight="1">
      <c r="A50" s="29"/>
      <c r="C50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/>
      <c r="S50"/>
      <c r="T50"/>
      <c r="U50"/>
      <c r="V50"/>
      <c r="W50"/>
      <c r="X50"/>
      <c r="Y50"/>
      <c r="Z50"/>
    </row>
    <row r="51" spans="1:26" s="10" customFormat="1" ht="16.5" customHeight="1">
      <c r="A51" s="27"/>
      <c r="C51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/>
      <c r="S51"/>
      <c r="T51"/>
      <c r="U51"/>
      <c r="V51"/>
      <c r="W51"/>
      <c r="X51"/>
      <c r="Y51"/>
      <c r="Z51"/>
    </row>
    <row r="52" spans="1:26" s="10" customFormat="1" ht="16.5" customHeight="1">
      <c r="A52" s="27"/>
      <c r="C52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/>
      <c r="S52"/>
      <c r="T52"/>
      <c r="U52"/>
      <c r="V52"/>
      <c r="W52"/>
      <c r="X52"/>
      <c r="Y52"/>
      <c r="Z52"/>
    </row>
    <row r="53" spans="1:26" s="10" customFormat="1" ht="16.5" customHeight="1">
      <c r="A53" s="27"/>
      <c r="C53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/>
      <c r="S53"/>
      <c r="T53"/>
      <c r="U53"/>
      <c r="V53"/>
      <c r="W53"/>
      <c r="X53"/>
      <c r="Y53"/>
      <c r="Z53"/>
    </row>
    <row r="54" spans="1:26" s="10" customFormat="1" ht="16.5" customHeight="1">
      <c r="A54" s="27"/>
      <c r="C54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/>
      <c r="S54"/>
      <c r="T54"/>
      <c r="U54"/>
      <c r="V54"/>
      <c r="W54"/>
      <c r="X54"/>
      <c r="Y54"/>
      <c r="Z54"/>
    </row>
    <row r="55" spans="1:26" s="10" customFormat="1" ht="16.5" customHeight="1">
      <c r="A55" s="27"/>
      <c r="C5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/>
      <c r="S55"/>
      <c r="T55"/>
      <c r="U55"/>
      <c r="V55"/>
      <c r="W55"/>
      <c r="X55"/>
      <c r="Y55"/>
      <c r="Z55"/>
    </row>
    <row r="56" spans="1:26" s="10" customFormat="1" ht="16.5" customHeight="1">
      <c r="A56" s="27"/>
      <c r="C56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/>
      <c r="S56"/>
      <c r="T56"/>
      <c r="U56"/>
      <c r="V56"/>
      <c r="W56"/>
      <c r="X56"/>
      <c r="Y56"/>
      <c r="Z56"/>
    </row>
    <row r="57" spans="1:26" s="10" customFormat="1" ht="16.5" customHeight="1">
      <c r="A57" s="27"/>
      <c r="C57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/>
      <c r="S57"/>
      <c r="T57"/>
      <c r="U57"/>
      <c r="V57"/>
      <c r="W57"/>
      <c r="X57"/>
      <c r="Y57"/>
      <c r="Z57"/>
    </row>
    <row r="58" spans="1:26" s="10" customFormat="1" ht="16.5" customHeight="1">
      <c r="A58" s="27"/>
      <c r="C58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/>
      <c r="S58"/>
      <c r="T58"/>
      <c r="U58"/>
      <c r="V58"/>
      <c r="W58"/>
      <c r="X58"/>
      <c r="Y58"/>
      <c r="Z58"/>
    </row>
    <row r="59" spans="1:26" s="10" customFormat="1" ht="16.5" customHeight="1">
      <c r="A59" s="27"/>
      <c r="C59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/>
      <c r="S59"/>
      <c r="T59"/>
      <c r="U59"/>
      <c r="V59"/>
      <c r="W59"/>
      <c r="X59"/>
      <c r="Y59"/>
      <c r="Z59"/>
    </row>
    <row r="60" spans="1:26" s="10" customFormat="1" ht="16.5" customHeight="1">
      <c r="A60" s="27"/>
      <c r="C60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/>
      <c r="S60"/>
      <c r="T60"/>
      <c r="U60"/>
      <c r="V60"/>
      <c r="W60"/>
      <c r="X60"/>
      <c r="Y60"/>
      <c r="Z60"/>
    </row>
    <row r="61" spans="1:26" s="10" customFormat="1" ht="16.5" customHeight="1">
      <c r="A61" s="27"/>
      <c r="C61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/>
      <c r="S61"/>
      <c r="T61"/>
      <c r="U61"/>
      <c r="V61"/>
      <c r="W61"/>
      <c r="X61"/>
      <c r="Y61"/>
      <c r="Z61"/>
    </row>
    <row r="62" spans="1:26" s="10" customFormat="1" ht="16.5" customHeight="1">
      <c r="A62" s="27"/>
      <c r="C62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/>
      <c r="S62"/>
      <c r="T62"/>
      <c r="U62"/>
      <c r="V62"/>
      <c r="W62"/>
      <c r="X62"/>
      <c r="Y62"/>
      <c r="Z62"/>
    </row>
    <row r="63" spans="1:26" s="10" customFormat="1" ht="16.5" customHeight="1">
      <c r="A63" s="27"/>
      <c r="C63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/>
      <c r="S63"/>
      <c r="T63"/>
      <c r="U63"/>
      <c r="V63"/>
      <c r="W63"/>
      <c r="X63"/>
      <c r="Y63"/>
      <c r="Z63"/>
    </row>
    <row r="64" spans="1:26" s="10" customFormat="1" ht="16.5" customHeight="1">
      <c r="A64" s="27"/>
      <c r="C64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/>
      <c r="S64"/>
      <c r="T64"/>
      <c r="U64"/>
      <c r="V64"/>
      <c r="W64"/>
      <c r="X64"/>
      <c r="Y64"/>
      <c r="Z64"/>
    </row>
    <row r="65" spans="1:26" s="10" customFormat="1" ht="16.5" customHeight="1">
      <c r="A65" s="27"/>
      <c r="C6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/>
      <c r="S65"/>
      <c r="T65"/>
      <c r="U65"/>
      <c r="V65"/>
      <c r="W65"/>
      <c r="X65"/>
      <c r="Y65"/>
      <c r="Z65"/>
    </row>
    <row r="66" spans="1:26" s="10" customFormat="1" ht="16.5" customHeight="1">
      <c r="A66" s="27"/>
      <c r="C66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/>
      <c r="S66"/>
      <c r="T66"/>
      <c r="U66"/>
      <c r="V66"/>
      <c r="W66"/>
      <c r="X66"/>
      <c r="Y66"/>
      <c r="Z66"/>
    </row>
    <row r="67" spans="1:26" s="10" customFormat="1" ht="16.5" customHeight="1">
      <c r="A67" s="27"/>
      <c r="C67"/>
      <c r="D67" s="35"/>
      <c r="E67" s="35"/>
      <c r="F67" s="35"/>
      <c r="G67" s="23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/>
      <c r="S67"/>
      <c r="T67"/>
      <c r="U67"/>
      <c r="V67"/>
      <c r="W67"/>
      <c r="X67"/>
      <c r="Y67"/>
      <c r="Z67"/>
    </row>
    <row r="68" spans="1:26" s="10" customFormat="1" ht="16.5" customHeight="1">
      <c r="A68" s="27"/>
      <c r="C68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/>
      <c r="S68"/>
      <c r="T68"/>
      <c r="U68"/>
      <c r="V68"/>
      <c r="W68"/>
      <c r="X68"/>
      <c r="Y68"/>
      <c r="Z68"/>
    </row>
    <row r="69" spans="1:26" s="10" customFormat="1" ht="16.5" customHeight="1">
      <c r="A69" s="27"/>
      <c r="C69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/>
      <c r="S69"/>
      <c r="T69"/>
      <c r="U69"/>
      <c r="V69"/>
      <c r="W69"/>
      <c r="X69"/>
      <c r="Y69"/>
      <c r="Z69"/>
    </row>
    <row r="70" spans="1:26" s="10" customFormat="1" ht="16.5" customHeight="1">
      <c r="A70" s="27"/>
      <c r="C70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/>
      <c r="S70"/>
      <c r="T70"/>
      <c r="U70"/>
      <c r="V70"/>
      <c r="W70"/>
      <c r="X70"/>
      <c r="Y70"/>
      <c r="Z70"/>
    </row>
    <row r="71" spans="1:26" s="10" customFormat="1" ht="16.5" customHeight="1">
      <c r="A71" s="27"/>
      <c r="C71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/>
      <c r="S71"/>
      <c r="T71"/>
      <c r="U71"/>
      <c r="V71"/>
      <c r="W71"/>
      <c r="X71"/>
      <c r="Y71"/>
      <c r="Z71"/>
    </row>
    <row r="72" spans="1:26" s="10" customFormat="1" ht="16.5" customHeight="1">
      <c r="A72" s="22"/>
      <c r="C72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/>
      <c r="S72"/>
      <c r="T72"/>
      <c r="U72"/>
      <c r="V72"/>
      <c r="W72"/>
      <c r="X72"/>
      <c r="Y72"/>
      <c r="Z72"/>
    </row>
    <row r="73" spans="1:26" s="10" customFormat="1" ht="16.5" customHeight="1">
      <c r="A73" s="22"/>
      <c r="C73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/>
      <c r="S73"/>
      <c r="T73"/>
      <c r="U73"/>
      <c r="V73"/>
      <c r="W73"/>
      <c r="X73"/>
      <c r="Y73"/>
      <c r="Z73"/>
    </row>
    <row r="74" spans="1:26" s="10" customFormat="1" ht="16.5" customHeight="1">
      <c r="A74" s="22"/>
      <c r="C74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/>
      <c r="S74"/>
      <c r="T74"/>
      <c r="U74"/>
      <c r="V74"/>
      <c r="W74"/>
      <c r="X74"/>
      <c r="Y74"/>
      <c r="Z74"/>
    </row>
    <row r="75" spans="1:26" hidden="1">
      <c r="C75" s="5"/>
      <c r="D75" s="37">
        <v>1E-3</v>
      </c>
      <c r="E75" s="37">
        <v>1E-3</v>
      </c>
      <c r="F75" s="37">
        <v>1E-3</v>
      </c>
      <c r="G75" s="37"/>
      <c r="H75" s="37"/>
      <c r="I75" s="37"/>
      <c r="J75" s="37"/>
      <c r="K75" s="37"/>
      <c r="L75" s="37"/>
      <c r="M75" s="37"/>
      <c r="N75" s="37"/>
      <c r="O75" s="37"/>
      <c r="R75" s="9"/>
      <c r="S75" s="9">
        <v>0.01</v>
      </c>
      <c r="T75" s="9"/>
      <c r="U75" s="9"/>
      <c r="V75" s="9"/>
    </row>
    <row r="76" spans="1:26">
      <c r="C76" s="5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R76" s="9"/>
      <c r="S76" s="9"/>
      <c r="T76" s="9"/>
      <c r="U76" s="9"/>
      <c r="V76" s="9"/>
    </row>
  </sheetData>
  <pageMargins left="0.25" right="0.25" top="0.255" bottom="0.25" header="0.1" footer="0.1"/>
  <pageSetup scale="72" orientation="landscape" horizontalDpi="300" verticalDpi="300" r:id="rId1"/>
  <headerFooter scaleWithDoc="0">
    <oddHeader>&amp;L&amp;G&amp;C&amp;"-,Bold"&amp;10&amp;K2E398A
&amp;15Deal Collateral Summary&amp;R&amp;"-,Bold"&amp;10&amp;K2E398A
Latest Update Date: 05/01/2015</oddHeader>
    <oddFooter>&amp;L&amp;10&amp;K2E398AReport created on &amp;D &amp;T&amp;C&amp;G
&amp;8&amp;K2E398APage &amp;P of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:AU72"/>
  <sheetViews>
    <sheetView showGridLines="0" topLeftCell="A7" zoomScale="85" zoomScaleNormal="85" workbookViewId="0">
      <selection activeCell="U24" sqref="U24"/>
    </sheetView>
  </sheetViews>
  <sheetFormatPr defaultRowHeight="15"/>
  <cols>
    <col min="1" max="1" width="9.140625" style="57" customWidth="1"/>
    <col min="2" max="2" width="9.140625" style="57"/>
    <col min="3" max="3" width="16.42578125" style="57" customWidth="1"/>
    <col min="4" max="16" width="11" style="57" customWidth="1"/>
    <col min="17" max="17" width="11" style="57" hidden="1" customWidth="1"/>
    <col min="18" max="19" width="2.85546875" style="57" customWidth="1"/>
    <col min="20" max="20" width="15.140625" style="57" customWidth="1"/>
    <col min="21" max="33" width="11" style="57" customWidth="1"/>
    <col min="34" max="34" width="11" style="57" hidden="1" customWidth="1"/>
    <col min="35" max="35" width="13.28515625" style="57" customWidth="1"/>
    <col min="36" max="36" width="14.5703125" style="57" customWidth="1"/>
    <col min="37" max="37" width="13.28515625" style="57" bestFit="1" customWidth="1"/>
    <col min="38" max="38" width="14.5703125" style="57" customWidth="1"/>
    <col min="39" max="39" width="13.28515625" style="57" customWidth="1"/>
    <col min="40" max="40" width="14.42578125" style="57" customWidth="1"/>
    <col min="41" max="41" width="13.28515625" style="57" bestFit="1" customWidth="1"/>
    <col min="42" max="42" width="15.5703125" style="57" bestFit="1" customWidth="1"/>
    <col min="43" max="43" width="13.28515625" style="57" bestFit="1" customWidth="1"/>
    <col min="44" max="44" width="14.5703125" style="57" bestFit="1" customWidth="1"/>
    <col min="45" max="45" width="13.28515625" style="57" bestFit="1" customWidth="1"/>
    <col min="46" max="46" width="14.5703125" style="57" bestFit="1" customWidth="1"/>
    <col min="47" max="47" width="13.28515625" style="57" bestFit="1" customWidth="1"/>
    <col min="48" max="16384" width="9.140625" style="57"/>
  </cols>
  <sheetData>
    <row r="1" spans="2:40">
      <c r="AK1" s="69" t="s">
        <v>0</v>
      </c>
      <c r="AL1" s="70" t="s">
        <v>6</v>
      </c>
      <c r="AM1" s="57" t="s">
        <v>1</v>
      </c>
      <c r="AN1" s="71" t="s">
        <v>4</v>
      </c>
    </row>
    <row r="2" spans="2:40">
      <c r="AK2" s="69" t="s">
        <v>2</v>
      </c>
      <c r="AL2" s="72">
        <v>42214</v>
      </c>
    </row>
    <row r="3" spans="2:40">
      <c r="AK3" s="69" t="s">
        <v>5</v>
      </c>
      <c r="AL3" s="70" t="s">
        <v>120</v>
      </c>
    </row>
    <row r="4" spans="2:40">
      <c r="AK4" s="69" t="s">
        <v>3</v>
      </c>
      <c r="AL4" s="70" t="str">
        <f>PDFReportDir &amp; "\Surveillance Report Summary-FHL " &amp; TEXT(CurrentCloseDate, "yyyy-mm-dd") &amp; ".pdf"</f>
        <v>S:\IT\Production\Monthly Reports\CRT Surveillance Report\tmp\Surveillance Report Summary-FHL 2015-07-29.pdf</v>
      </c>
    </row>
    <row r="5" spans="2:40">
      <c r="AK5" s="73"/>
    </row>
    <row r="6" spans="2:40">
      <c r="AK6" s="73"/>
    </row>
    <row r="7" spans="2:40">
      <c r="AK7" s="73"/>
    </row>
    <row r="8" spans="2:40">
      <c r="AK8" s="73"/>
    </row>
    <row r="9" spans="2:40">
      <c r="AK9" s="73"/>
    </row>
    <row r="10" spans="2:40">
      <c r="AK10" s="73"/>
    </row>
    <row r="11" spans="2:40">
      <c r="AM11" s="74"/>
    </row>
    <row r="12" spans="2:40" ht="13.5" customHeight="1">
      <c r="AL12" s="57" t="s">
        <v>119</v>
      </c>
      <c r="AM12" s="75">
        <f>C40</f>
        <v>42125</v>
      </c>
    </row>
    <row r="14" spans="2:40" s="76" customFormat="1" ht="18" customHeight="1"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</row>
    <row r="15" spans="2:40" ht="19.5" customHeight="1">
      <c r="C15" s="41" t="s">
        <v>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77"/>
      <c r="S15" s="77"/>
      <c r="T15" s="42" t="s">
        <v>8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</row>
    <row r="16" spans="2:40" ht="25.5">
      <c r="C16" s="67" t="s">
        <v>121</v>
      </c>
      <c r="D16" s="68" t="str">
        <f>'Performance Pivot'!D17</f>
        <v>STACR 2013-DN1</v>
      </c>
      <c r="E16" s="68" t="str">
        <f>'Performance Pivot'!E17</f>
        <v>STACR 2013-DN2</v>
      </c>
      <c r="F16" s="68" t="str">
        <f>'Performance Pivot'!F17</f>
        <v>STACR 2014-DN1</v>
      </c>
      <c r="G16" s="68" t="str">
        <f>'Performance Pivot'!G17</f>
        <v>STACR 2014-DN2</v>
      </c>
      <c r="H16" s="68" t="str">
        <f>'Performance Pivot'!H17</f>
        <v>STACR 2014-DN3</v>
      </c>
      <c r="I16" s="68" t="str">
        <f>'Performance Pivot'!I17</f>
        <v>STACR 2014-DN4</v>
      </c>
      <c r="J16" s="68" t="str">
        <f>'Performance Pivot'!J17</f>
        <v>STACR 2014-HQ1</v>
      </c>
      <c r="K16" s="68" t="str">
        <f>'Performance Pivot'!K17</f>
        <v>STACR 2014-HQ2</v>
      </c>
      <c r="L16" s="68" t="str">
        <f>'Performance Pivot'!L17</f>
        <v>STACR 2014-HQ3</v>
      </c>
      <c r="M16" s="68" t="str">
        <f>'Performance Pivot'!M17</f>
        <v>STACR 2015-DN1</v>
      </c>
      <c r="N16" s="68" t="str">
        <f>'Performance Pivot'!N17</f>
        <v>STACR 2015-DNA1</v>
      </c>
      <c r="O16" s="68" t="str">
        <f>'Performance Pivot'!O17</f>
        <v>STACR 2015-HQ1</v>
      </c>
      <c r="P16" s="68" t="str">
        <f>'Performance Pivot'!P17</f>
        <v>STACR 2015-HQ2</v>
      </c>
      <c r="Q16" s="54" t="s">
        <v>88</v>
      </c>
      <c r="R16" s="77"/>
      <c r="S16" s="77"/>
      <c r="T16" s="65" t="str">
        <f>C16</f>
        <v>Date</v>
      </c>
      <c r="U16" s="65" t="str">
        <f>D16</f>
        <v>STACR 2013-DN1</v>
      </c>
      <c r="V16" s="65" t="str">
        <f t="shared" ref="V16:AG16" si="0">E16</f>
        <v>STACR 2013-DN2</v>
      </c>
      <c r="W16" s="65" t="str">
        <f t="shared" si="0"/>
        <v>STACR 2014-DN1</v>
      </c>
      <c r="X16" s="65" t="str">
        <f t="shared" si="0"/>
        <v>STACR 2014-DN2</v>
      </c>
      <c r="Y16" s="65" t="str">
        <f t="shared" si="0"/>
        <v>STACR 2014-DN3</v>
      </c>
      <c r="Z16" s="65" t="str">
        <f t="shared" si="0"/>
        <v>STACR 2014-DN4</v>
      </c>
      <c r="AA16" s="65" t="str">
        <f t="shared" si="0"/>
        <v>STACR 2014-HQ1</v>
      </c>
      <c r="AB16" s="65" t="str">
        <f t="shared" si="0"/>
        <v>STACR 2014-HQ2</v>
      </c>
      <c r="AC16" s="65" t="str">
        <f t="shared" si="0"/>
        <v>STACR 2014-HQ3</v>
      </c>
      <c r="AD16" s="65" t="str">
        <f t="shared" si="0"/>
        <v>STACR 2015-DN1</v>
      </c>
      <c r="AE16" s="65" t="str">
        <f t="shared" si="0"/>
        <v>STACR 2015-DNA1</v>
      </c>
      <c r="AF16" s="65" t="str">
        <f t="shared" si="0"/>
        <v>STACR 2015-HQ1</v>
      </c>
      <c r="AG16" s="65" t="str">
        <f t="shared" si="0"/>
        <v>STACR 2015-HQ2</v>
      </c>
      <c r="AH16" s="62" t="s">
        <v>88</v>
      </c>
    </row>
    <row r="17" spans="3:34" s="50" customFormat="1" ht="21" customHeight="1">
      <c r="C17" s="78">
        <f>'Performance Pivot'!C41</f>
        <v>41426</v>
      </c>
      <c r="D17" s="79">
        <f>IF(VLOOKUP($C17,'Performance Pivot'!$C:$P,2,0)="","",VLOOKUP($C17,'Performance Pivot'!$C:$P,2,0))</f>
        <v>7.1894999999999998</v>
      </c>
      <c r="E17" s="79" t="str">
        <f>IF(VLOOKUP($C17,'Performance Pivot'!$C:$P,3,0)="","",VLOOKUP($C17,'Performance Pivot'!$C:$P,3,0))</f>
        <v/>
      </c>
      <c r="F17" s="79" t="str">
        <f>IF(VLOOKUP($C17,'Performance Pivot'!$C:$P,4,0)="","",VLOOKUP($C17,'Performance Pivot'!$C:$P,4,0))</f>
        <v/>
      </c>
      <c r="G17" s="79" t="str">
        <f>IF(VLOOKUP($C17,'Performance Pivot'!$C:$P,5,0)="","",VLOOKUP($C17,'Performance Pivot'!$C:$P,5,0))</f>
        <v/>
      </c>
      <c r="H17" s="79" t="str">
        <f>IF(VLOOKUP($C17,'Performance Pivot'!$C:$P,6,0)="","",VLOOKUP($C17,'Performance Pivot'!$C:$P,6,0))</f>
        <v/>
      </c>
      <c r="I17" s="79" t="str">
        <f>IF(VLOOKUP($C17,'Performance Pivot'!$C:$P,7,0)="","",VLOOKUP($C17,'Performance Pivot'!$C:$P,7,0))</f>
        <v/>
      </c>
      <c r="J17" s="79" t="str">
        <f>IF(VLOOKUP($C17,'Performance Pivot'!$C:$P,8,0)="","",VLOOKUP($C17,'Performance Pivot'!$C:$P,8,0))</f>
        <v/>
      </c>
      <c r="K17" s="79" t="str">
        <f>IF(VLOOKUP($C17,'Performance Pivot'!$C:$P,9,0)="","",VLOOKUP($C17,'Performance Pivot'!$C:$P,9,0))</f>
        <v/>
      </c>
      <c r="L17" s="79" t="str">
        <f>IF(VLOOKUP($C17,'Performance Pivot'!$C:$P,10,0)="","",VLOOKUP($C17,'Performance Pivot'!$C:$P,10,0))</f>
        <v/>
      </c>
      <c r="M17" s="79" t="str">
        <f>IF(VLOOKUP($C17,'Performance Pivot'!$C:$P,11,0)="","",VLOOKUP($C17,'Performance Pivot'!$C:$P,11,0))</f>
        <v/>
      </c>
      <c r="N17" s="79" t="str">
        <f>IF(VLOOKUP($C17,'Performance Pivot'!$C:$P,12,0)="","",VLOOKUP($C17,'Performance Pivot'!$C:$P,12,0))</f>
        <v/>
      </c>
      <c r="O17" s="79" t="str">
        <f>IF(VLOOKUP($C17,'Performance Pivot'!$C:$P,13,0)="","",VLOOKUP($C17,'Performance Pivot'!$C:$P,13,0))</f>
        <v/>
      </c>
      <c r="P17" s="79" t="str">
        <f>IF(VLOOKUP($C17,'Performance Pivot'!$C:$P,14,0)="","",VLOOKUP($C17,'Performance Pivot'!$C:$P,14,0))</f>
        <v/>
      </c>
      <c r="Q17" s="79" t="str">
        <f>IF(VLOOKUP($C17,'Performance Pivot'!$C:$Q,15,0)="","",VLOOKUP($C17,'Performance Pivot'!$C:$Q,15,0))</f>
        <v/>
      </c>
      <c r="R17" s="52"/>
      <c r="S17" s="52"/>
      <c r="T17" s="78">
        <f>C17</f>
        <v>41426</v>
      </c>
      <c r="U17" s="80">
        <f>IF(VLOOKUP($T17,'Performance Pivot'!$S:$AF,2,0)="","",VLOOKUP($T17,'Performance Pivot'!$S:$AF,2,0))</f>
        <v>0</v>
      </c>
      <c r="V17" s="80" t="str">
        <f>IF(VLOOKUP($T17,'Performance Pivot'!$S:$AF,3,0)="","",VLOOKUP($T17,'Performance Pivot'!$S:$AF,3,0))</f>
        <v/>
      </c>
      <c r="W17" s="80" t="str">
        <f>IF(VLOOKUP($T17,'Performance Pivot'!$S:$AF,4,0)="","",VLOOKUP($T17,'Performance Pivot'!$S:$AF,4,0))</f>
        <v/>
      </c>
      <c r="X17" s="80" t="str">
        <f>IF(VLOOKUP($T17,'Performance Pivot'!$S:$AF,5,0)="","",VLOOKUP($T17,'Performance Pivot'!$S:$AF,5,0))</f>
        <v/>
      </c>
      <c r="Y17" s="80" t="str">
        <f>IF(VLOOKUP($T17,'Performance Pivot'!$S:$AF,6,0)="","",VLOOKUP($T17,'Performance Pivot'!$S:$AF,6,0))</f>
        <v/>
      </c>
      <c r="Z17" s="80" t="str">
        <f>IF(VLOOKUP($T17,'Performance Pivot'!$S:$AF,7,0)="","",VLOOKUP($T17,'Performance Pivot'!$S:$AF,7,0))</f>
        <v/>
      </c>
      <c r="AA17" s="80" t="str">
        <f>IF(VLOOKUP($T17,'Performance Pivot'!$S:$AF,8,0)="","",VLOOKUP($T17,'Performance Pivot'!$S:$AF,8,0))</f>
        <v/>
      </c>
      <c r="AB17" s="80" t="str">
        <f>IF(VLOOKUP($T17,'Performance Pivot'!$S:$AF,9,0)="","",VLOOKUP($T17,'Performance Pivot'!$S:$AF,9,0))</f>
        <v/>
      </c>
      <c r="AC17" s="80" t="str">
        <f>IF(VLOOKUP($T17,'Performance Pivot'!$S:$AF,10,0)="","",VLOOKUP($T17,'Performance Pivot'!$S:$AF,10,0))</f>
        <v/>
      </c>
      <c r="AD17" s="80" t="str">
        <f>IF(VLOOKUP($T17,'Performance Pivot'!$S:$AF,11,0)="","",VLOOKUP($T17,'Performance Pivot'!$S:$AF,11,0))</f>
        <v/>
      </c>
      <c r="AE17" s="80" t="str">
        <f>IF(VLOOKUP($T17,'Performance Pivot'!$S:$AF,12,0)="","",VLOOKUP($T17,'Performance Pivot'!$S:$AF,12,0))</f>
        <v/>
      </c>
      <c r="AF17" s="80" t="str">
        <f>IF(VLOOKUP($T17,'Performance Pivot'!$S:$AF,13,0)="","",VLOOKUP($T17,'Performance Pivot'!$S:$AF,13,0))</f>
        <v/>
      </c>
      <c r="AG17" s="80" t="str">
        <f>IF(VLOOKUP($T17,'Performance Pivot'!$S:$AF,14,0)="","",VLOOKUP($T17,'Performance Pivot'!$S:$AF,14,0))</f>
        <v/>
      </c>
      <c r="AH17" s="80" t="str">
        <f>IF(VLOOKUP($T17,'Performance Pivot'!$S:$AG,15,0)="","",VLOOKUP($T17,'Performance Pivot'!$S:$AG,15,0))</f>
        <v/>
      </c>
    </row>
    <row r="18" spans="3:34" s="81" customFormat="1" ht="21" customHeight="1">
      <c r="C18" s="78">
        <f>'Performance Pivot'!C40</f>
        <v>41456</v>
      </c>
      <c r="D18" s="79">
        <f>IF(VLOOKUP($C18,'Performance Pivot'!$C:$P,2,0)="","",VLOOKUP($C18,'Performance Pivot'!$C:$P,2,0))</f>
        <v>5.2968000000000002</v>
      </c>
      <c r="E18" s="79" t="str">
        <f>IF(VLOOKUP($C18,'Performance Pivot'!$C:$P,3,0)="","",VLOOKUP($C18,'Performance Pivot'!$C:$P,3,0))</f>
        <v/>
      </c>
      <c r="F18" s="79" t="str">
        <f>IF(VLOOKUP($C18,'Performance Pivot'!$C:$P,4,0)="","",VLOOKUP($C18,'Performance Pivot'!$C:$P,4,0))</f>
        <v/>
      </c>
      <c r="G18" s="79" t="str">
        <f>IF(VLOOKUP($C18,'Performance Pivot'!$C:$P,5,0)="","",VLOOKUP($C18,'Performance Pivot'!$C:$P,5,0))</f>
        <v/>
      </c>
      <c r="H18" s="79" t="str">
        <f>IF(VLOOKUP($C18,'Performance Pivot'!$C:$P,6,0)="","",VLOOKUP($C18,'Performance Pivot'!$C:$P,6,0))</f>
        <v/>
      </c>
      <c r="I18" s="79" t="str">
        <f>IF(VLOOKUP($C18,'Performance Pivot'!$C:$P,7,0)="","",VLOOKUP($C18,'Performance Pivot'!$C:$P,7,0))</f>
        <v/>
      </c>
      <c r="J18" s="79" t="str">
        <f>IF(VLOOKUP($C18,'Performance Pivot'!$C:$P,8,0)="","",VLOOKUP($C18,'Performance Pivot'!$C:$P,8,0))</f>
        <v/>
      </c>
      <c r="K18" s="79" t="str">
        <f>IF(VLOOKUP($C18,'Performance Pivot'!$C:$P,9,0)="","",VLOOKUP($C18,'Performance Pivot'!$C:$P,9,0))</f>
        <v/>
      </c>
      <c r="L18" s="79" t="str">
        <f>IF(VLOOKUP($C18,'Performance Pivot'!$C:$P,10,0)="","",VLOOKUP($C18,'Performance Pivot'!$C:$P,10,0))</f>
        <v/>
      </c>
      <c r="M18" s="79" t="str">
        <f>IF(VLOOKUP($C18,'Performance Pivot'!$C:$P,11,0)="","",VLOOKUP($C18,'Performance Pivot'!$C:$P,11,0))</f>
        <v/>
      </c>
      <c r="N18" s="79" t="str">
        <f>IF(VLOOKUP($C18,'Performance Pivot'!$C:$P,12,0)="","",VLOOKUP($C18,'Performance Pivot'!$C:$P,12,0))</f>
        <v/>
      </c>
      <c r="O18" s="79" t="str">
        <f>IF(VLOOKUP($C18,'Performance Pivot'!$C:$P,13,0)="","",VLOOKUP($C18,'Performance Pivot'!$C:$P,13,0))</f>
        <v/>
      </c>
      <c r="P18" s="79" t="str">
        <f>IF(VLOOKUP($C18,'Performance Pivot'!$C:$P,14,0)="","",VLOOKUP($C18,'Performance Pivot'!$C:$P,14,0))</f>
        <v/>
      </c>
      <c r="Q18" s="79" t="str">
        <f>IF(VLOOKUP($C18,'Performance Pivot'!$C:$Q,15,0)="","",VLOOKUP($C18,'Performance Pivot'!$C:$Q,15,0))</f>
        <v/>
      </c>
      <c r="R18" s="82"/>
      <c r="S18" s="82"/>
      <c r="T18" s="78">
        <f t="shared" ref="T18:T40" si="1">C18</f>
        <v>41456</v>
      </c>
      <c r="U18" s="80">
        <f>IF(VLOOKUP($T18,'Performance Pivot'!$S:$AF,2,0)="","",VLOOKUP($T18,'Performance Pivot'!$S:$AF,2,0))</f>
        <v>0</v>
      </c>
      <c r="V18" s="80" t="str">
        <f>IF(VLOOKUP($T18,'Performance Pivot'!$S:$AF,3,0)="","",VLOOKUP($T18,'Performance Pivot'!$S:$AF,3,0))</f>
        <v/>
      </c>
      <c r="W18" s="80" t="str">
        <f>IF(VLOOKUP($T18,'Performance Pivot'!$S:$AF,4,0)="","",VLOOKUP($T18,'Performance Pivot'!$S:$AF,4,0))</f>
        <v/>
      </c>
      <c r="X18" s="80" t="str">
        <f>IF(VLOOKUP($T18,'Performance Pivot'!$S:$AF,5,0)="","",VLOOKUP($T18,'Performance Pivot'!$S:$AF,5,0))</f>
        <v/>
      </c>
      <c r="Y18" s="80" t="str">
        <f>IF(VLOOKUP($T18,'Performance Pivot'!$S:$AF,6,0)="","",VLOOKUP($T18,'Performance Pivot'!$S:$AF,6,0))</f>
        <v/>
      </c>
      <c r="Z18" s="80" t="str">
        <f>IF(VLOOKUP($T18,'Performance Pivot'!$S:$AF,7,0)="","",VLOOKUP($T18,'Performance Pivot'!$S:$AF,7,0))</f>
        <v/>
      </c>
      <c r="AA18" s="80" t="str">
        <f>IF(VLOOKUP($T18,'Performance Pivot'!$S:$AF,8,0)="","",VLOOKUP($T18,'Performance Pivot'!$S:$AF,8,0))</f>
        <v/>
      </c>
      <c r="AB18" s="80" t="str">
        <f>IF(VLOOKUP($T18,'Performance Pivot'!$S:$AF,9,0)="","",VLOOKUP($T18,'Performance Pivot'!$S:$AF,9,0))</f>
        <v/>
      </c>
      <c r="AC18" s="80" t="str">
        <f>IF(VLOOKUP($T18,'Performance Pivot'!$S:$AF,10,0)="","",VLOOKUP($T18,'Performance Pivot'!$S:$AF,10,0))</f>
        <v/>
      </c>
      <c r="AD18" s="80" t="str">
        <f>IF(VLOOKUP($T18,'Performance Pivot'!$S:$AF,11,0)="","",VLOOKUP($T18,'Performance Pivot'!$S:$AF,11,0))</f>
        <v/>
      </c>
      <c r="AE18" s="80" t="str">
        <f>IF(VLOOKUP($T18,'Performance Pivot'!$S:$AF,12,0)="","",VLOOKUP($T18,'Performance Pivot'!$S:$AF,12,0))</f>
        <v/>
      </c>
      <c r="AF18" s="80" t="str">
        <f>IF(VLOOKUP($T18,'Performance Pivot'!$S:$AF,13,0)="","",VLOOKUP($T18,'Performance Pivot'!$S:$AF,13,0))</f>
        <v/>
      </c>
      <c r="AG18" s="80" t="str">
        <f>IF(VLOOKUP($T18,'Performance Pivot'!$S:$AF,14,0)="","",VLOOKUP($T18,'Performance Pivot'!$S:$AF,14,0))</f>
        <v/>
      </c>
      <c r="AH18" s="80" t="str">
        <f>IF(VLOOKUP($T18,'Performance Pivot'!$S:$AG,15,0)="","",VLOOKUP($T18,'Performance Pivot'!$S:$AG,15,0))</f>
        <v/>
      </c>
    </row>
    <row r="19" spans="3:34" s="81" customFormat="1" ht="21" customHeight="1">
      <c r="C19" s="78">
        <f>'Performance Pivot'!C39</f>
        <v>41487</v>
      </c>
      <c r="D19" s="79">
        <f>IF(VLOOKUP($C19,'Performance Pivot'!$C:$P,2,0)="","",VLOOKUP($C19,'Performance Pivot'!$C:$P,2,0))</f>
        <v>3.7195999999999998</v>
      </c>
      <c r="E19" s="79" t="str">
        <f>IF(VLOOKUP($C19,'Performance Pivot'!$C:$P,3,0)="","",VLOOKUP($C19,'Performance Pivot'!$C:$P,3,0))</f>
        <v/>
      </c>
      <c r="F19" s="79" t="str">
        <f>IF(VLOOKUP($C19,'Performance Pivot'!$C:$P,4,0)="","",VLOOKUP($C19,'Performance Pivot'!$C:$P,4,0))</f>
        <v/>
      </c>
      <c r="G19" s="79" t="str">
        <f>IF(VLOOKUP($C19,'Performance Pivot'!$C:$P,5,0)="","",VLOOKUP($C19,'Performance Pivot'!$C:$P,5,0))</f>
        <v/>
      </c>
      <c r="H19" s="79" t="str">
        <f>IF(VLOOKUP($C19,'Performance Pivot'!$C:$P,6,0)="","",VLOOKUP($C19,'Performance Pivot'!$C:$P,6,0))</f>
        <v/>
      </c>
      <c r="I19" s="79" t="str">
        <f>IF(VLOOKUP($C19,'Performance Pivot'!$C:$P,7,0)="","",VLOOKUP($C19,'Performance Pivot'!$C:$P,7,0))</f>
        <v/>
      </c>
      <c r="J19" s="79" t="str">
        <f>IF(VLOOKUP($C19,'Performance Pivot'!$C:$P,8,0)="","",VLOOKUP($C19,'Performance Pivot'!$C:$P,8,0))</f>
        <v/>
      </c>
      <c r="K19" s="79" t="str">
        <f>IF(VLOOKUP($C19,'Performance Pivot'!$C:$P,9,0)="","",VLOOKUP($C19,'Performance Pivot'!$C:$P,9,0))</f>
        <v/>
      </c>
      <c r="L19" s="79" t="str">
        <f>IF(VLOOKUP($C19,'Performance Pivot'!$C:$P,10,0)="","",VLOOKUP($C19,'Performance Pivot'!$C:$P,10,0))</f>
        <v/>
      </c>
      <c r="M19" s="79" t="str">
        <f>IF(VLOOKUP($C19,'Performance Pivot'!$C:$P,11,0)="","",VLOOKUP($C19,'Performance Pivot'!$C:$P,11,0))</f>
        <v/>
      </c>
      <c r="N19" s="79" t="str">
        <f>IF(VLOOKUP($C19,'Performance Pivot'!$C:$P,12,0)="","",VLOOKUP($C19,'Performance Pivot'!$C:$P,12,0))</f>
        <v/>
      </c>
      <c r="O19" s="79" t="str">
        <f>IF(VLOOKUP($C19,'Performance Pivot'!$C:$P,13,0)="","",VLOOKUP($C19,'Performance Pivot'!$C:$P,13,0))</f>
        <v/>
      </c>
      <c r="P19" s="79" t="str">
        <f>IF(VLOOKUP($C19,'Performance Pivot'!$C:$P,14,0)="","",VLOOKUP($C19,'Performance Pivot'!$C:$P,14,0))</f>
        <v/>
      </c>
      <c r="Q19" s="79" t="str">
        <f>IF(VLOOKUP($C19,'Performance Pivot'!$C:$Q,15,0)="","",VLOOKUP($C19,'Performance Pivot'!$C:$Q,15,0))</f>
        <v/>
      </c>
      <c r="R19" s="82"/>
      <c r="S19" s="82"/>
      <c r="T19" s="78">
        <f t="shared" si="1"/>
        <v>41487</v>
      </c>
      <c r="U19" s="80">
        <f>IF(VLOOKUP($T19,'Performance Pivot'!$S:$AF,2,0)="","",VLOOKUP($T19,'Performance Pivot'!$S:$AF,2,0))</f>
        <v>0</v>
      </c>
      <c r="V19" s="80" t="str">
        <f>IF(VLOOKUP($T19,'Performance Pivot'!$S:$AF,3,0)="","",VLOOKUP($T19,'Performance Pivot'!$S:$AF,3,0))</f>
        <v/>
      </c>
      <c r="W19" s="80" t="str">
        <f>IF(VLOOKUP($T19,'Performance Pivot'!$S:$AF,4,0)="","",VLOOKUP($T19,'Performance Pivot'!$S:$AF,4,0))</f>
        <v/>
      </c>
      <c r="X19" s="80" t="str">
        <f>IF(VLOOKUP($T19,'Performance Pivot'!$S:$AF,5,0)="","",VLOOKUP($T19,'Performance Pivot'!$S:$AF,5,0))</f>
        <v/>
      </c>
      <c r="Y19" s="80" t="str">
        <f>IF(VLOOKUP($T19,'Performance Pivot'!$S:$AF,6,0)="","",VLOOKUP($T19,'Performance Pivot'!$S:$AF,6,0))</f>
        <v/>
      </c>
      <c r="Z19" s="80" t="str">
        <f>IF(VLOOKUP($T19,'Performance Pivot'!$S:$AF,7,0)="","",VLOOKUP($T19,'Performance Pivot'!$S:$AF,7,0))</f>
        <v/>
      </c>
      <c r="AA19" s="80" t="str">
        <f>IF(VLOOKUP($T19,'Performance Pivot'!$S:$AF,8,0)="","",VLOOKUP($T19,'Performance Pivot'!$S:$AF,8,0))</f>
        <v/>
      </c>
      <c r="AB19" s="80" t="str">
        <f>IF(VLOOKUP($T19,'Performance Pivot'!$S:$AF,9,0)="","",VLOOKUP($T19,'Performance Pivot'!$S:$AF,9,0))</f>
        <v/>
      </c>
      <c r="AC19" s="80" t="str">
        <f>IF(VLOOKUP($T19,'Performance Pivot'!$S:$AF,10,0)="","",VLOOKUP($T19,'Performance Pivot'!$S:$AF,10,0))</f>
        <v/>
      </c>
      <c r="AD19" s="80" t="str">
        <f>IF(VLOOKUP($T19,'Performance Pivot'!$S:$AF,11,0)="","",VLOOKUP($T19,'Performance Pivot'!$S:$AF,11,0))</f>
        <v/>
      </c>
      <c r="AE19" s="80" t="str">
        <f>IF(VLOOKUP($T19,'Performance Pivot'!$S:$AF,12,0)="","",VLOOKUP($T19,'Performance Pivot'!$S:$AF,12,0))</f>
        <v/>
      </c>
      <c r="AF19" s="80" t="str">
        <f>IF(VLOOKUP($T19,'Performance Pivot'!$S:$AF,13,0)="","",VLOOKUP($T19,'Performance Pivot'!$S:$AF,13,0))</f>
        <v/>
      </c>
      <c r="AG19" s="80" t="str">
        <f>IF(VLOOKUP($T19,'Performance Pivot'!$S:$AF,14,0)="","",VLOOKUP($T19,'Performance Pivot'!$S:$AF,14,0))</f>
        <v/>
      </c>
      <c r="AH19" s="80" t="str">
        <f>IF(VLOOKUP($T19,'Performance Pivot'!$S:$AG,15,0)="","",VLOOKUP($T19,'Performance Pivot'!$S:$AG,15,0))</f>
        <v/>
      </c>
    </row>
    <row r="20" spans="3:34" s="81" customFormat="1" ht="21" customHeight="1">
      <c r="C20" s="78">
        <f>'Performance Pivot'!C38</f>
        <v>41518</v>
      </c>
      <c r="D20" s="79">
        <f>IF(VLOOKUP($C20,'Performance Pivot'!$C:$P,2,0)="","",VLOOKUP($C20,'Performance Pivot'!$C:$P,2,0))</f>
        <v>3.9026999999999998</v>
      </c>
      <c r="E20" s="79" t="str">
        <f>IF(VLOOKUP($C20,'Performance Pivot'!$C:$P,3,0)="","",VLOOKUP($C20,'Performance Pivot'!$C:$P,3,0))</f>
        <v/>
      </c>
      <c r="F20" s="79" t="str">
        <f>IF(VLOOKUP($C20,'Performance Pivot'!$C:$P,4,0)="","",VLOOKUP($C20,'Performance Pivot'!$C:$P,4,0))</f>
        <v/>
      </c>
      <c r="G20" s="79" t="str">
        <f>IF(VLOOKUP($C20,'Performance Pivot'!$C:$P,5,0)="","",VLOOKUP($C20,'Performance Pivot'!$C:$P,5,0))</f>
        <v/>
      </c>
      <c r="H20" s="79" t="str">
        <f>IF(VLOOKUP($C20,'Performance Pivot'!$C:$P,6,0)="","",VLOOKUP($C20,'Performance Pivot'!$C:$P,6,0))</f>
        <v/>
      </c>
      <c r="I20" s="79" t="str">
        <f>IF(VLOOKUP($C20,'Performance Pivot'!$C:$P,7,0)="","",VLOOKUP($C20,'Performance Pivot'!$C:$P,7,0))</f>
        <v/>
      </c>
      <c r="J20" s="79" t="str">
        <f>IF(VLOOKUP($C20,'Performance Pivot'!$C:$P,8,0)="","",VLOOKUP($C20,'Performance Pivot'!$C:$P,8,0))</f>
        <v/>
      </c>
      <c r="K20" s="79" t="str">
        <f>IF(VLOOKUP($C20,'Performance Pivot'!$C:$P,9,0)="","",VLOOKUP($C20,'Performance Pivot'!$C:$P,9,0))</f>
        <v/>
      </c>
      <c r="L20" s="79" t="str">
        <f>IF(VLOOKUP($C20,'Performance Pivot'!$C:$P,10,0)="","",VLOOKUP($C20,'Performance Pivot'!$C:$P,10,0))</f>
        <v/>
      </c>
      <c r="M20" s="79" t="str">
        <f>IF(VLOOKUP($C20,'Performance Pivot'!$C:$P,11,0)="","",VLOOKUP($C20,'Performance Pivot'!$C:$P,11,0))</f>
        <v/>
      </c>
      <c r="N20" s="79" t="str">
        <f>IF(VLOOKUP($C20,'Performance Pivot'!$C:$P,12,0)="","",VLOOKUP($C20,'Performance Pivot'!$C:$P,12,0))</f>
        <v/>
      </c>
      <c r="O20" s="79" t="str">
        <f>IF(VLOOKUP($C20,'Performance Pivot'!$C:$P,13,0)="","",VLOOKUP($C20,'Performance Pivot'!$C:$P,13,0))</f>
        <v/>
      </c>
      <c r="P20" s="79" t="str">
        <f>IF(VLOOKUP($C20,'Performance Pivot'!$C:$P,14,0)="","",VLOOKUP($C20,'Performance Pivot'!$C:$P,14,0))</f>
        <v/>
      </c>
      <c r="Q20" s="79" t="str">
        <f>IF(VLOOKUP($C20,'Performance Pivot'!$C:$Q,15,0)="","",VLOOKUP($C20,'Performance Pivot'!$C:$Q,15,0))</f>
        <v/>
      </c>
      <c r="R20" s="82"/>
      <c r="S20" s="82"/>
      <c r="T20" s="78">
        <f t="shared" si="1"/>
        <v>41518</v>
      </c>
      <c r="U20" s="80">
        <f>IF(VLOOKUP($T20,'Performance Pivot'!$S:$AF,2,0)="","",VLOOKUP($T20,'Performance Pivot'!$S:$AF,2,0))</f>
        <v>0</v>
      </c>
      <c r="V20" s="80" t="str">
        <f>IF(VLOOKUP($T20,'Performance Pivot'!$S:$AF,3,0)="","",VLOOKUP($T20,'Performance Pivot'!$S:$AF,3,0))</f>
        <v/>
      </c>
      <c r="W20" s="80" t="str">
        <f>IF(VLOOKUP($T20,'Performance Pivot'!$S:$AF,4,0)="","",VLOOKUP($T20,'Performance Pivot'!$S:$AF,4,0))</f>
        <v/>
      </c>
      <c r="X20" s="80" t="str">
        <f>IF(VLOOKUP($T20,'Performance Pivot'!$S:$AF,5,0)="","",VLOOKUP($T20,'Performance Pivot'!$S:$AF,5,0))</f>
        <v/>
      </c>
      <c r="Y20" s="80" t="str">
        <f>IF(VLOOKUP($T20,'Performance Pivot'!$S:$AF,6,0)="","",VLOOKUP($T20,'Performance Pivot'!$S:$AF,6,0))</f>
        <v/>
      </c>
      <c r="Z20" s="80" t="str">
        <f>IF(VLOOKUP($T20,'Performance Pivot'!$S:$AF,7,0)="","",VLOOKUP($T20,'Performance Pivot'!$S:$AF,7,0))</f>
        <v/>
      </c>
      <c r="AA20" s="80" t="str">
        <f>IF(VLOOKUP($T20,'Performance Pivot'!$S:$AF,8,0)="","",VLOOKUP($T20,'Performance Pivot'!$S:$AF,8,0))</f>
        <v/>
      </c>
      <c r="AB20" s="80" t="str">
        <f>IF(VLOOKUP($T20,'Performance Pivot'!$S:$AF,9,0)="","",VLOOKUP($T20,'Performance Pivot'!$S:$AF,9,0))</f>
        <v/>
      </c>
      <c r="AC20" s="80" t="str">
        <f>IF(VLOOKUP($T20,'Performance Pivot'!$S:$AF,10,0)="","",VLOOKUP($T20,'Performance Pivot'!$S:$AF,10,0))</f>
        <v/>
      </c>
      <c r="AD20" s="80" t="str">
        <f>IF(VLOOKUP($T20,'Performance Pivot'!$S:$AF,11,0)="","",VLOOKUP($T20,'Performance Pivot'!$S:$AF,11,0))</f>
        <v/>
      </c>
      <c r="AE20" s="80" t="str">
        <f>IF(VLOOKUP($T20,'Performance Pivot'!$S:$AF,12,0)="","",VLOOKUP($T20,'Performance Pivot'!$S:$AF,12,0))</f>
        <v/>
      </c>
      <c r="AF20" s="80" t="str">
        <f>IF(VLOOKUP($T20,'Performance Pivot'!$S:$AF,13,0)="","",VLOOKUP($T20,'Performance Pivot'!$S:$AF,13,0))</f>
        <v/>
      </c>
      <c r="AG20" s="80" t="str">
        <f>IF(VLOOKUP($T20,'Performance Pivot'!$S:$AF,14,0)="","",VLOOKUP($T20,'Performance Pivot'!$S:$AF,14,0))</f>
        <v/>
      </c>
      <c r="AH20" s="80" t="str">
        <f>IF(VLOOKUP($T20,'Performance Pivot'!$S:$AG,15,0)="","",VLOOKUP($T20,'Performance Pivot'!$S:$AG,15,0))</f>
        <v/>
      </c>
    </row>
    <row r="21" spans="3:34" s="81" customFormat="1" ht="21" customHeight="1">
      <c r="C21" s="78">
        <f>'Performance Pivot'!C37</f>
        <v>41548</v>
      </c>
      <c r="D21" s="79">
        <f>IF(VLOOKUP($C21,'Performance Pivot'!$C:$P,2,0)="","",VLOOKUP($C21,'Performance Pivot'!$C:$P,2,0))</f>
        <v>3.5990000000000002</v>
      </c>
      <c r="E21" s="79" t="str">
        <f>IF(VLOOKUP($C21,'Performance Pivot'!$C:$P,3,0)="","",VLOOKUP($C21,'Performance Pivot'!$C:$P,3,0))</f>
        <v/>
      </c>
      <c r="F21" s="79" t="str">
        <f>IF(VLOOKUP($C21,'Performance Pivot'!$C:$P,4,0)="","",VLOOKUP($C21,'Performance Pivot'!$C:$P,4,0))</f>
        <v/>
      </c>
      <c r="G21" s="79" t="str">
        <f>IF(VLOOKUP($C21,'Performance Pivot'!$C:$P,5,0)="","",VLOOKUP($C21,'Performance Pivot'!$C:$P,5,0))</f>
        <v/>
      </c>
      <c r="H21" s="79" t="str">
        <f>IF(VLOOKUP($C21,'Performance Pivot'!$C:$P,6,0)="","",VLOOKUP($C21,'Performance Pivot'!$C:$P,6,0))</f>
        <v/>
      </c>
      <c r="I21" s="79" t="str">
        <f>IF(VLOOKUP($C21,'Performance Pivot'!$C:$P,7,0)="","",VLOOKUP($C21,'Performance Pivot'!$C:$P,7,0))</f>
        <v/>
      </c>
      <c r="J21" s="79" t="str">
        <f>IF(VLOOKUP($C21,'Performance Pivot'!$C:$P,8,0)="","",VLOOKUP($C21,'Performance Pivot'!$C:$P,8,0))</f>
        <v/>
      </c>
      <c r="K21" s="79" t="str">
        <f>IF(VLOOKUP($C21,'Performance Pivot'!$C:$P,9,0)="","",VLOOKUP($C21,'Performance Pivot'!$C:$P,9,0))</f>
        <v/>
      </c>
      <c r="L21" s="79" t="str">
        <f>IF(VLOOKUP($C21,'Performance Pivot'!$C:$P,10,0)="","",VLOOKUP($C21,'Performance Pivot'!$C:$P,10,0))</f>
        <v/>
      </c>
      <c r="M21" s="79" t="str">
        <f>IF(VLOOKUP($C21,'Performance Pivot'!$C:$P,11,0)="","",VLOOKUP($C21,'Performance Pivot'!$C:$P,11,0))</f>
        <v/>
      </c>
      <c r="N21" s="79" t="str">
        <f>IF(VLOOKUP($C21,'Performance Pivot'!$C:$P,12,0)="","",VLOOKUP($C21,'Performance Pivot'!$C:$P,12,0))</f>
        <v/>
      </c>
      <c r="O21" s="79" t="str">
        <f>IF(VLOOKUP($C21,'Performance Pivot'!$C:$P,13,0)="","",VLOOKUP($C21,'Performance Pivot'!$C:$P,13,0))</f>
        <v/>
      </c>
      <c r="P21" s="79" t="str">
        <f>IF(VLOOKUP($C21,'Performance Pivot'!$C:$P,14,0)="","",VLOOKUP($C21,'Performance Pivot'!$C:$P,14,0))</f>
        <v/>
      </c>
      <c r="Q21" s="79" t="str">
        <f>IF(VLOOKUP($C21,'Performance Pivot'!$C:$Q,15,0)="","",VLOOKUP($C21,'Performance Pivot'!$C:$Q,15,0))</f>
        <v/>
      </c>
      <c r="R21" s="82"/>
      <c r="S21" s="82"/>
      <c r="T21" s="78">
        <f t="shared" si="1"/>
        <v>41548</v>
      </c>
      <c r="U21" s="80">
        <f>IF(VLOOKUP($T21,'Performance Pivot'!$S:$AF,2,0)="","",VLOOKUP($T21,'Performance Pivot'!$S:$AF,2,0))</f>
        <v>0</v>
      </c>
      <c r="V21" s="80" t="str">
        <f>IF(VLOOKUP($T21,'Performance Pivot'!$S:$AF,3,0)="","",VLOOKUP($T21,'Performance Pivot'!$S:$AF,3,0))</f>
        <v/>
      </c>
      <c r="W21" s="80" t="str">
        <f>IF(VLOOKUP($T21,'Performance Pivot'!$S:$AF,4,0)="","",VLOOKUP($T21,'Performance Pivot'!$S:$AF,4,0))</f>
        <v/>
      </c>
      <c r="X21" s="80" t="str">
        <f>IF(VLOOKUP($T21,'Performance Pivot'!$S:$AF,5,0)="","",VLOOKUP($T21,'Performance Pivot'!$S:$AF,5,0))</f>
        <v/>
      </c>
      <c r="Y21" s="80" t="str">
        <f>IF(VLOOKUP($T21,'Performance Pivot'!$S:$AF,6,0)="","",VLOOKUP($T21,'Performance Pivot'!$S:$AF,6,0))</f>
        <v/>
      </c>
      <c r="Z21" s="80" t="str">
        <f>IF(VLOOKUP($T21,'Performance Pivot'!$S:$AF,7,0)="","",VLOOKUP($T21,'Performance Pivot'!$S:$AF,7,0))</f>
        <v/>
      </c>
      <c r="AA21" s="80" t="str">
        <f>IF(VLOOKUP($T21,'Performance Pivot'!$S:$AF,8,0)="","",VLOOKUP($T21,'Performance Pivot'!$S:$AF,8,0))</f>
        <v/>
      </c>
      <c r="AB21" s="80" t="str">
        <f>IF(VLOOKUP($T21,'Performance Pivot'!$S:$AF,9,0)="","",VLOOKUP($T21,'Performance Pivot'!$S:$AF,9,0))</f>
        <v/>
      </c>
      <c r="AC21" s="80" t="str">
        <f>IF(VLOOKUP($T21,'Performance Pivot'!$S:$AF,10,0)="","",VLOOKUP($T21,'Performance Pivot'!$S:$AF,10,0))</f>
        <v/>
      </c>
      <c r="AD21" s="80" t="str">
        <f>IF(VLOOKUP($T21,'Performance Pivot'!$S:$AF,11,0)="","",VLOOKUP($T21,'Performance Pivot'!$S:$AF,11,0))</f>
        <v/>
      </c>
      <c r="AE21" s="80" t="str">
        <f>IF(VLOOKUP($T21,'Performance Pivot'!$S:$AF,12,0)="","",VLOOKUP($T21,'Performance Pivot'!$S:$AF,12,0))</f>
        <v/>
      </c>
      <c r="AF21" s="80" t="str">
        <f>IF(VLOOKUP($T21,'Performance Pivot'!$S:$AF,13,0)="","",VLOOKUP($T21,'Performance Pivot'!$S:$AF,13,0))</f>
        <v/>
      </c>
      <c r="AG21" s="80" t="str">
        <f>IF(VLOOKUP($T21,'Performance Pivot'!$S:$AF,14,0)="","",VLOOKUP($T21,'Performance Pivot'!$S:$AF,14,0))</f>
        <v/>
      </c>
      <c r="AH21" s="80" t="str">
        <f>IF(VLOOKUP($T21,'Performance Pivot'!$S:$AG,15,0)="","",VLOOKUP($T21,'Performance Pivot'!$S:$AG,15,0))</f>
        <v/>
      </c>
    </row>
    <row r="22" spans="3:34" s="81" customFormat="1" ht="21" customHeight="1">
      <c r="C22" s="78">
        <f>'Performance Pivot'!C36</f>
        <v>41579</v>
      </c>
      <c r="D22" s="79">
        <f>IF(VLOOKUP($C22,'Performance Pivot'!$C:$P,2,0)="","",VLOOKUP($C22,'Performance Pivot'!$C:$P,2,0))</f>
        <v>3.7277999999999998</v>
      </c>
      <c r="E22" s="79">
        <f>IF(VLOOKUP($C22,'Performance Pivot'!$C:$P,3,0)="","",VLOOKUP($C22,'Performance Pivot'!$C:$P,3,0))</f>
        <v>8.3688000000000002</v>
      </c>
      <c r="F22" s="79" t="str">
        <f>IF(VLOOKUP($C22,'Performance Pivot'!$C:$P,4,0)="","",VLOOKUP($C22,'Performance Pivot'!$C:$P,4,0))</f>
        <v/>
      </c>
      <c r="G22" s="79" t="str">
        <f>IF(VLOOKUP($C22,'Performance Pivot'!$C:$P,5,0)="","",VLOOKUP($C22,'Performance Pivot'!$C:$P,5,0))</f>
        <v/>
      </c>
      <c r="H22" s="79" t="str">
        <f>IF(VLOOKUP($C22,'Performance Pivot'!$C:$P,6,0)="","",VLOOKUP($C22,'Performance Pivot'!$C:$P,6,0))</f>
        <v/>
      </c>
      <c r="I22" s="79" t="str">
        <f>IF(VLOOKUP($C22,'Performance Pivot'!$C:$P,7,0)="","",VLOOKUP($C22,'Performance Pivot'!$C:$P,7,0))</f>
        <v/>
      </c>
      <c r="J22" s="79" t="str">
        <f>IF(VLOOKUP($C22,'Performance Pivot'!$C:$P,8,0)="","",VLOOKUP($C22,'Performance Pivot'!$C:$P,8,0))</f>
        <v/>
      </c>
      <c r="K22" s="79" t="str">
        <f>IF(VLOOKUP($C22,'Performance Pivot'!$C:$P,9,0)="","",VLOOKUP($C22,'Performance Pivot'!$C:$P,9,0))</f>
        <v/>
      </c>
      <c r="L22" s="79" t="str">
        <f>IF(VLOOKUP($C22,'Performance Pivot'!$C:$P,10,0)="","",VLOOKUP($C22,'Performance Pivot'!$C:$P,10,0))</f>
        <v/>
      </c>
      <c r="M22" s="79" t="str">
        <f>IF(VLOOKUP($C22,'Performance Pivot'!$C:$P,11,0)="","",VLOOKUP($C22,'Performance Pivot'!$C:$P,11,0))</f>
        <v/>
      </c>
      <c r="N22" s="79" t="str">
        <f>IF(VLOOKUP($C22,'Performance Pivot'!$C:$P,12,0)="","",VLOOKUP($C22,'Performance Pivot'!$C:$P,12,0))</f>
        <v/>
      </c>
      <c r="O22" s="79" t="str">
        <f>IF(VLOOKUP($C22,'Performance Pivot'!$C:$P,13,0)="","",VLOOKUP($C22,'Performance Pivot'!$C:$P,13,0))</f>
        <v/>
      </c>
      <c r="P22" s="79" t="str">
        <f>IF(VLOOKUP($C22,'Performance Pivot'!$C:$P,14,0)="","",VLOOKUP($C22,'Performance Pivot'!$C:$P,14,0))</f>
        <v/>
      </c>
      <c r="Q22" s="79" t="str">
        <f>IF(VLOOKUP($C22,'Performance Pivot'!$C:$Q,15,0)="","",VLOOKUP($C22,'Performance Pivot'!$C:$Q,15,0))</f>
        <v/>
      </c>
      <c r="R22" s="82"/>
      <c r="S22" s="82"/>
      <c r="T22" s="78">
        <f t="shared" si="1"/>
        <v>41579</v>
      </c>
      <c r="U22" s="80">
        <f>IF(VLOOKUP($T22,'Performance Pivot'!$S:$AF,2,0)="","",VLOOKUP($T22,'Performance Pivot'!$S:$AF,2,0))</f>
        <v>5.4000000000000003E-3</v>
      </c>
      <c r="V22" s="80">
        <f>IF(VLOOKUP($T22,'Performance Pivot'!$S:$AF,3,0)="","",VLOOKUP($T22,'Performance Pivot'!$S:$AF,3,0))</f>
        <v>0</v>
      </c>
      <c r="W22" s="80" t="str">
        <f>IF(VLOOKUP($T22,'Performance Pivot'!$S:$AF,4,0)="","",VLOOKUP($T22,'Performance Pivot'!$S:$AF,4,0))</f>
        <v/>
      </c>
      <c r="X22" s="80" t="str">
        <f>IF(VLOOKUP($T22,'Performance Pivot'!$S:$AF,5,0)="","",VLOOKUP($T22,'Performance Pivot'!$S:$AF,5,0))</f>
        <v/>
      </c>
      <c r="Y22" s="80" t="str">
        <f>IF(VLOOKUP($T22,'Performance Pivot'!$S:$AF,6,0)="","",VLOOKUP($T22,'Performance Pivot'!$S:$AF,6,0))</f>
        <v/>
      </c>
      <c r="Z22" s="80" t="str">
        <f>IF(VLOOKUP($T22,'Performance Pivot'!$S:$AF,7,0)="","",VLOOKUP($T22,'Performance Pivot'!$S:$AF,7,0))</f>
        <v/>
      </c>
      <c r="AA22" s="80" t="str">
        <f>IF(VLOOKUP($T22,'Performance Pivot'!$S:$AF,8,0)="","",VLOOKUP($T22,'Performance Pivot'!$S:$AF,8,0))</f>
        <v/>
      </c>
      <c r="AB22" s="80" t="str">
        <f>IF(VLOOKUP($T22,'Performance Pivot'!$S:$AF,9,0)="","",VLOOKUP($T22,'Performance Pivot'!$S:$AF,9,0))</f>
        <v/>
      </c>
      <c r="AC22" s="80" t="str">
        <f>IF(VLOOKUP($T22,'Performance Pivot'!$S:$AF,10,0)="","",VLOOKUP($T22,'Performance Pivot'!$S:$AF,10,0))</f>
        <v/>
      </c>
      <c r="AD22" s="80" t="str">
        <f>IF(VLOOKUP($T22,'Performance Pivot'!$S:$AF,11,0)="","",VLOOKUP($T22,'Performance Pivot'!$S:$AF,11,0))</f>
        <v/>
      </c>
      <c r="AE22" s="80" t="str">
        <f>IF(VLOOKUP($T22,'Performance Pivot'!$S:$AF,12,0)="","",VLOOKUP($T22,'Performance Pivot'!$S:$AF,12,0))</f>
        <v/>
      </c>
      <c r="AF22" s="80" t="str">
        <f>IF(VLOOKUP($T22,'Performance Pivot'!$S:$AF,13,0)="","",VLOOKUP($T22,'Performance Pivot'!$S:$AF,13,0))</f>
        <v/>
      </c>
      <c r="AG22" s="80" t="str">
        <f>IF(VLOOKUP($T22,'Performance Pivot'!$S:$AF,14,0)="","",VLOOKUP($T22,'Performance Pivot'!$S:$AF,14,0))</f>
        <v/>
      </c>
      <c r="AH22" s="80" t="str">
        <f>IF(VLOOKUP($T22,'Performance Pivot'!$S:$AG,15,0)="","",VLOOKUP($T22,'Performance Pivot'!$S:$AG,15,0))</f>
        <v/>
      </c>
    </row>
    <row r="23" spans="3:34" s="81" customFormat="1" ht="21" customHeight="1">
      <c r="C23" s="78">
        <f>'Performance Pivot'!C35</f>
        <v>41609</v>
      </c>
      <c r="D23" s="79">
        <f>IF(VLOOKUP($C23,'Performance Pivot'!$C:$P,2,0)="","",VLOOKUP($C23,'Performance Pivot'!$C:$P,2,0))</f>
        <v>3.1396999999999999</v>
      </c>
      <c r="E23" s="79">
        <f>IF(VLOOKUP($C23,'Performance Pivot'!$C:$P,3,0)="","",VLOOKUP($C23,'Performance Pivot'!$C:$P,3,0))</f>
        <v>2.5486</v>
      </c>
      <c r="F23" s="79" t="str">
        <f>IF(VLOOKUP($C23,'Performance Pivot'!$C:$P,4,0)="","",VLOOKUP($C23,'Performance Pivot'!$C:$P,4,0))</f>
        <v/>
      </c>
      <c r="G23" s="79" t="str">
        <f>IF(VLOOKUP($C23,'Performance Pivot'!$C:$P,5,0)="","",VLOOKUP($C23,'Performance Pivot'!$C:$P,5,0))</f>
        <v/>
      </c>
      <c r="H23" s="79" t="str">
        <f>IF(VLOOKUP($C23,'Performance Pivot'!$C:$P,6,0)="","",VLOOKUP($C23,'Performance Pivot'!$C:$P,6,0))</f>
        <v/>
      </c>
      <c r="I23" s="79" t="str">
        <f>IF(VLOOKUP($C23,'Performance Pivot'!$C:$P,7,0)="","",VLOOKUP($C23,'Performance Pivot'!$C:$P,7,0))</f>
        <v/>
      </c>
      <c r="J23" s="79" t="str">
        <f>IF(VLOOKUP($C23,'Performance Pivot'!$C:$P,8,0)="","",VLOOKUP($C23,'Performance Pivot'!$C:$P,8,0))</f>
        <v/>
      </c>
      <c r="K23" s="79" t="str">
        <f>IF(VLOOKUP($C23,'Performance Pivot'!$C:$P,9,0)="","",VLOOKUP($C23,'Performance Pivot'!$C:$P,9,0))</f>
        <v/>
      </c>
      <c r="L23" s="79" t="str">
        <f>IF(VLOOKUP($C23,'Performance Pivot'!$C:$P,10,0)="","",VLOOKUP($C23,'Performance Pivot'!$C:$P,10,0))</f>
        <v/>
      </c>
      <c r="M23" s="79" t="str">
        <f>IF(VLOOKUP($C23,'Performance Pivot'!$C:$P,11,0)="","",VLOOKUP($C23,'Performance Pivot'!$C:$P,11,0))</f>
        <v/>
      </c>
      <c r="N23" s="79" t="str">
        <f>IF(VLOOKUP($C23,'Performance Pivot'!$C:$P,12,0)="","",VLOOKUP($C23,'Performance Pivot'!$C:$P,12,0))</f>
        <v/>
      </c>
      <c r="O23" s="79" t="str">
        <f>IF(VLOOKUP($C23,'Performance Pivot'!$C:$P,13,0)="","",VLOOKUP($C23,'Performance Pivot'!$C:$P,13,0))</f>
        <v/>
      </c>
      <c r="P23" s="79" t="str">
        <f>IF(VLOOKUP($C23,'Performance Pivot'!$C:$P,14,0)="","",VLOOKUP($C23,'Performance Pivot'!$C:$P,14,0))</f>
        <v/>
      </c>
      <c r="Q23" s="79" t="str">
        <f>IF(VLOOKUP($C23,'Performance Pivot'!$C:$Q,15,0)="","",VLOOKUP($C23,'Performance Pivot'!$C:$Q,15,0))</f>
        <v/>
      </c>
      <c r="R23" s="82"/>
      <c r="S23" s="82"/>
      <c r="T23" s="78">
        <f t="shared" si="1"/>
        <v>41609</v>
      </c>
      <c r="U23" s="80">
        <f>IF(VLOOKUP($T23,'Performance Pivot'!$S:$AF,2,0)="","",VLOOKUP($T23,'Performance Pivot'!$S:$AF,2,0))</f>
        <v>1.66E-2</v>
      </c>
      <c r="V23" s="80">
        <f>IF(VLOOKUP($T23,'Performance Pivot'!$S:$AF,3,0)="","",VLOOKUP($T23,'Performance Pivot'!$S:$AF,3,0))</f>
        <v>0</v>
      </c>
      <c r="W23" s="80" t="str">
        <f>IF(VLOOKUP($T23,'Performance Pivot'!$S:$AF,4,0)="","",VLOOKUP($T23,'Performance Pivot'!$S:$AF,4,0))</f>
        <v/>
      </c>
      <c r="X23" s="80" t="str">
        <f>IF(VLOOKUP($T23,'Performance Pivot'!$S:$AF,5,0)="","",VLOOKUP($T23,'Performance Pivot'!$S:$AF,5,0))</f>
        <v/>
      </c>
      <c r="Y23" s="80" t="str">
        <f>IF(VLOOKUP($T23,'Performance Pivot'!$S:$AF,6,0)="","",VLOOKUP($T23,'Performance Pivot'!$S:$AF,6,0))</f>
        <v/>
      </c>
      <c r="Z23" s="80" t="str">
        <f>IF(VLOOKUP($T23,'Performance Pivot'!$S:$AF,7,0)="","",VLOOKUP($T23,'Performance Pivot'!$S:$AF,7,0))</f>
        <v/>
      </c>
      <c r="AA23" s="80" t="str">
        <f>IF(VLOOKUP($T23,'Performance Pivot'!$S:$AF,8,0)="","",VLOOKUP($T23,'Performance Pivot'!$S:$AF,8,0))</f>
        <v/>
      </c>
      <c r="AB23" s="80" t="str">
        <f>IF(VLOOKUP($T23,'Performance Pivot'!$S:$AF,9,0)="","",VLOOKUP($T23,'Performance Pivot'!$S:$AF,9,0))</f>
        <v/>
      </c>
      <c r="AC23" s="80" t="str">
        <f>IF(VLOOKUP($T23,'Performance Pivot'!$S:$AF,10,0)="","",VLOOKUP($T23,'Performance Pivot'!$S:$AF,10,0))</f>
        <v/>
      </c>
      <c r="AD23" s="80" t="str">
        <f>IF(VLOOKUP($T23,'Performance Pivot'!$S:$AF,11,0)="","",VLOOKUP($T23,'Performance Pivot'!$S:$AF,11,0))</f>
        <v/>
      </c>
      <c r="AE23" s="80" t="str">
        <f>IF(VLOOKUP($T23,'Performance Pivot'!$S:$AF,12,0)="","",VLOOKUP($T23,'Performance Pivot'!$S:$AF,12,0))</f>
        <v/>
      </c>
      <c r="AF23" s="80" t="str">
        <f>IF(VLOOKUP($T23,'Performance Pivot'!$S:$AF,13,0)="","",VLOOKUP($T23,'Performance Pivot'!$S:$AF,13,0))</f>
        <v/>
      </c>
      <c r="AG23" s="80" t="str">
        <f>IF(VLOOKUP($T23,'Performance Pivot'!$S:$AF,14,0)="","",VLOOKUP($T23,'Performance Pivot'!$S:$AF,14,0))</f>
        <v/>
      </c>
      <c r="AH23" s="80" t="str">
        <f>IF(VLOOKUP($T23,'Performance Pivot'!$S:$AG,15,0)="","",VLOOKUP($T23,'Performance Pivot'!$S:$AG,15,0))</f>
        <v/>
      </c>
    </row>
    <row r="24" spans="3:34" s="81" customFormat="1" ht="21" customHeight="1">
      <c r="C24" s="78">
        <f>'Performance Pivot'!C34</f>
        <v>41640</v>
      </c>
      <c r="D24" s="79">
        <f>IF(VLOOKUP($C24,'Performance Pivot'!$C:$P,2,0)="","",VLOOKUP($C24,'Performance Pivot'!$C:$P,2,0))</f>
        <v>2.976</v>
      </c>
      <c r="E24" s="79">
        <f>IF(VLOOKUP($C24,'Performance Pivot'!$C:$P,3,0)="","",VLOOKUP($C24,'Performance Pivot'!$C:$P,3,0))</f>
        <v>2.6267</v>
      </c>
      <c r="F24" s="79" t="str">
        <f>IF(VLOOKUP($C24,'Performance Pivot'!$C:$P,4,0)="","",VLOOKUP($C24,'Performance Pivot'!$C:$P,4,0))</f>
        <v/>
      </c>
      <c r="G24" s="79" t="str">
        <f>IF(VLOOKUP($C24,'Performance Pivot'!$C:$P,5,0)="","",VLOOKUP($C24,'Performance Pivot'!$C:$P,5,0))</f>
        <v/>
      </c>
      <c r="H24" s="79" t="str">
        <f>IF(VLOOKUP($C24,'Performance Pivot'!$C:$P,6,0)="","",VLOOKUP($C24,'Performance Pivot'!$C:$P,6,0))</f>
        <v/>
      </c>
      <c r="I24" s="79" t="str">
        <f>IF(VLOOKUP($C24,'Performance Pivot'!$C:$P,7,0)="","",VLOOKUP($C24,'Performance Pivot'!$C:$P,7,0))</f>
        <v/>
      </c>
      <c r="J24" s="79" t="str">
        <f>IF(VLOOKUP($C24,'Performance Pivot'!$C:$P,8,0)="","",VLOOKUP($C24,'Performance Pivot'!$C:$P,8,0))</f>
        <v/>
      </c>
      <c r="K24" s="79" t="str">
        <f>IF(VLOOKUP($C24,'Performance Pivot'!$C:$P,9,0)="","",VLOOKUP($C24,'Performance Pivot'!$C:$P,9,0))</f>
        <v/>
      </c>
      <c r="L24" s="79" t="str">
        <f>IF(VLOOKUP($C24,'Performance Pivot'!$C:$P,10,0)="","",VLOOKUP($C24,'Performance Pivot'!$C:$P,10,0))</f>
        <v/>
      </c>
      <c r="M24" s="79" t="str">
        <f>IF(VLOOKUP($C24,'Performance Pivot'!$C:$P,11,0)="","",VLOOKUP($C24,'Performance Pivot'!$C:$P,11,0))</f>
        <v/>
      </c>
      <c r="N24" s="79" t="str">
        <f>IF(VLOOKUP($C24,'Performance Pivot'!$C:$P,12,0)="","",VLOOKUP($C24,'Performance Pivot'!$C:$P,12,0))</f>
        <v/>
      </c>
      <c r="O24" s="79" t="str">
        <f>IF(VLOOKUP($C24,'Performance Pivot'!$C:$P,13,0)="","",VLOOKUP($C24,'Performance Pivot'!$C:$P,13,0))</f>
        <v/>
      </c>
      <c r="P24" s="79" t="str">
        <f>IF(VLOOKUP($C24,'Performance Pivot'!$C:$P,14,0)="","",VLOOKUP($C24,'Performance Pivot'!$C:$P,14,0))</f>
        <v/>
      </c>
      <c r="Q24" s="79" t="str">
        <f>IF(VLOOKUP($C24,'Performance Pivot'!$C:$Q,15,0)="","",VLOOKUP($C24,'Performance Pivot'!$C:$Q,15,0))</f>
        <v/>
      </c>
      <c r="R24" s="82"/>
      <c r="S24" s="82"/>
      <c r="T24" s="78">
        <f t="shared" si="1"/>
        <v>41640</v>
      </c>
      <c r="U24" s="80">
        <f>IF(VLOOKUP($T24,'Performance Pivot'!$S:$AF,2,0)="","",VLOOKUP($T24,'Performance Pivot'!$S:$AF,2,0))</f>
        <v>0.03</v>
      </c>
      <c r="V24" s="80">
        <f>IF(VLOOKUP($T24,'Performance Pivot'!$S:$AF,3,0)="","",VLOOKUP($T24,'Performance Pivot'!$S:$AF,3,0))</f>
        <v>0</v>
      </c>
      <c r="W24" s="80" t="str">
        <f>IF(VLOOKUP($T24,'Performance Pivot'!$S:$AF,4,0)="","",VLOOKUP($T24,'Performance Pivot'!$S:$AF,4,0))</f>
        <v/>
      </c>
      <c r="X24" s="80" t="str">
        <f>IF(VLOOKUP($T24,'Performance Pivot'!$S:$AF,5,0)="","",VLOOKUP($T24,'Performance Pivot'!$S:$AF,5,0))</f>
        <v/>
      </c>
      <c r="Y24" s="80" t="str">
        <f>IF(VLOOKUP($T24,'Performance Pivot'!$S:$AF,6,0)="","",VLOOKUP($T24,'Performance Pivot'!$S:$AF,6,0))</f>
        <v/>
      </c>
      <c r="Z24" s="80" t="str">
        <f>IF(VLOOKUP($T24,'Performance Pivot'!$S:$AF,7,0)="","",VLOOKUP($T24,'Performance Pivot'!$S:$AF,7,0))</f>
        <v/>
      </c>
      <c r="AA24" s="80" t="str">
        <f>IF(VLOOKUP($T24,'Performance Pivot'!$S:$AF,8,0)="","",VLOOKUP($T24,'Performance Pivot'!$S:$AF,8,0))</f>
        <v/>
      </c>
      <c r="AB24" s="80" t="str">
        <f>IF(VLOOKUP($T24,'Performance Pivot'!$S:$AF,9,0)="","",VLOOKUP($T24,'Performance Pivot'!$S:$AF,9,0))</f>
        <v/>
      </c>
      <c r="AC24" s="80" t="str">
        <f>IF(VLOOKUP($T24,'Performance Pivot'!$S:$AF,10,0)="","",VLOOKUP($T24,'Performance Pivot'!$S:$AF,10,0))</f>
        <v/>
      </c>
      <c r="AD24" s="80" t="str">
        <f>IF(VLOOKUP($T24,'Performance Pivot'!$S:$AF,11,0)="","",VLOOKUP($T24,'Performance Pivot'!$S:$AF,11,0))</f>
        <v/>
      </c>
      <c r="AE24" s="80" t="str">
        <f>IF(VLOOKUP($T24,'Performance Pivot'!$S:$AF,12,0)="","",VLOOKUP($T24,'Performance Pivot'!$S:$AF,12,0))</f>
        <v/>
      </c>
      <c r="AF24" s="80" t="str">
        <f>IF(VLOOKUP($T24,'Performance Pivot'!$S:$AF,13,0)="","",VLOOKUP($T24,'Performance Pivot'!$S:$AF,13,0))</f>
        <v/>
      </c>
      <c r="AG24" s="80" t="str">
        <f>IF(VLOOKUP($T24,'Performance Pivot'!$S:$AF,14,0)="","",VLOOKUP($T24,'Performance Pivot'!$S:$AF,14,0))</f>
        <v/>
      </c>
      <c r="AH24" s="80" t="str">
        <f>IF(VLOOKUP($T24,'Performance Pivot'!$S:$AG,15,0)="","",VLOOKUP($T24,'Performance Pivot'!$S:$AG,15,0))</f>
        <v/>
      </c>
    </row>
    <row r="25" spans="3:34" s="81" customFormat="1" ht="21" customHeight="1">
      <c r="C25" s="78">
        <f>'Performance Pivot'!C33</f>
        <v>41671</v>
      </c>
      <c r="D25" s="79">
        <f>IF(VLOOKUP($C25,'Performance Pivot'!$C:$P,2,0)="","",VLOOKUP($C25,'Performance Pivot'!$C:$P,2,0))</f>
        <v>3.8313999999999999</v>
      </c>
      <c r="E25" s="79">
        <f>IF(VLOOKUP($C25,'Performance Pivot'!$C:$P,3,0)="","",VLOOKUP($C25,'Performance Pivot'!$C:$P,3,0))</f>
        <v>3.6274999999999999</v>
      </c>
      <c r="F25" s="79">
        <f>IF(VLOOKUP($C25,'Performance Pivot'!$C:$P,4,0)="","",VLOOKUP($C25,'Performance Pivot'!$C:$P,4,0))</f>
        <v>7.4269999999999996</v>
      </c>
      <c r="G25" s="79" t="str">
        <f>IF(VLOOKUP($C25,'Performance Pivot'!$C:$P,5,0)="","",VLOOKUP($C25,'Performance Pivot'!$C:$P,5,0))</f>
        <v/>
      </c>
      <c r="H25" s="79" t="str">
        <f>IF(VLOOKUP($C25,'Performance Pivot'!$C:$P,6,0)="","",VLOOKUP($C25,'Performance Pivot'!$C:$P,6,0))</f>
        <v/>
      </c>
      <c r="I25" s="79" t="str">
        <f>IF(VLOOKUP($C25,'Performance Pivot'!$C:$P,7,0)="","",VLOOKUP($C25,'Performance Pivot'!$C:$P,7,0))</f>
        <v/>
      </c>
      <c r="J25" s="79" t="str">
        <f>IF(VLOOKUP($C25,'Performance Pivot'!$C:$P,8,0)="","",VLOOKUP($C25,'Performance Pivot'!$C:$P,8,0))</f>
        <v/>
      </c>
      <c r="K25" s="79" t="str">
        <f>IF(VLOOKUP($C25,'Performance Pivot'!$C:$P,9,0)="","",VLOOKUP($C25,'Performance Pivot'!$C:$P,9,0))</f>
        <v/>
      </c>
      <c r="L25" s="79" t="str">
        <f>IF(VLOOKUP($C25,'Performance Pivot'!$C:$P,10,0)="","",VLOOKUP($C25,'Performance Pivot'!$C:$P,10,0))</f>
        <v/>
      </c>
      <c r="M25" s="79" t="str">
        <f>IF(VLOOKUP($C25,'Performance Pivot'!$C:$P,11,0)="","",VLOOKUP($C25,'Performance Pivot'!$C:$P,11,0))</f>
        <v/>
      </c>
      <c r="N25" s="79" t="str">
        <f>IF(VLOOKUP($C25,'Performance Pivot'!$C:$P,12,0)="","",VLOOKUP($C25,'Performance Pivot'!$C:$P,12,0))</f>
        <v/>
      </c>
      <c r="O25" s="79" t="str">
        <f>IF(VLOOKUP($C25,'Performance Pivot'!$C:$P,13,0)="","",VLOOKUP($C25,'Performance Pivot'!$C:$P,13,0))</f>
        <v/>
      </c>
      <c r="P25" s="79" t="str">
        <f>IF(VLOOKUP($C25,'Performance Pivot'!$C:$P,14,0)="","",VLOOKUP($C25,'Performance Pivot'!$C:$P,14,0))</f>
        <v/>
      </c>
      <c r="Q25" s="79" t="str">
        <f>IF(VLOOKUP($C25,'Performance Pivot'!$C:$Q,15,0)="","",VLOOKUP($C25,'Performance Pivot'!$C:$Q,15,0))</f>
        <v/>
      </c>
      <c r="R25" s="82"/>
      <c r="S25" s="82"/>
      <c r="T25" s="78">
        <f t="shared" si="1"/>
        <v>41671</v>
      </c>
      <c r="U25" s="80">
        <f>IF(VLOOKUP($T25,'Performance Pivot'!$S:$AF,2,0)="","",VLOOKUP($T25,'Performance Pivot'!$S:$AF,2,0))</f>
        <v>1.9E-2</v>
      </c>
      <c r="V25" s="80">
        <f>IF(VLOOKUP($T25,'Performance Pivot'!$S:$AF,3,0)="","",VLOOKUP($T25,'Performance Pivot'!$S:$AF,3,0))</f>
        <v>8.9999999999999993E-3</v>
      </c>
      <c r="W25" s="80">
        <f>IF(VLOOKUP($T25,'Performance Pivot'!$S:$AF,4,0)="","",VLOOKUP($T25,'Performance Pivot'!$S:$AF,4,0))</f>
        <v>0</v>
      </c>
      <c r="X25" s="80" t="str">
        <f>IF(VLOOKUP($T25,'Performance Pivot'!$S:$AF,5,0)="","",VLOOKUP($T25,'Performance Pivot'!$S:$AF,5,0))</f>
        <v/>
      </c>
      <c r="Y25" s="80" t="str">
        <f>IF(VLOOKUP($T25,'Performance Pivot'!$S:$AF,6,0)="","",VLOOKUP($T25,'Performance Pivot'!$S:$AF,6,0))</f>
        <v/>
      </c>
      <c r="Z25" s="80" t="str">
        <f>IF(VLOOKUP($T25,'Performance Pivot'!$S:$AF,7,0)="","",VLOOKUP($T25,'Performance Pivot'!$S:$AF,7,0))</f>
        <v/>
      </c>
      <c r="AA25" s="80" t="str">
        <f>IF(VLOOKUP($T25,'Performance Pivot'!$S:$AF,8,0)="","",VLOOKUP($T25,'Performance Pivot'!$S:$AF,8,0))</f>
        <v/>
      </c>
      <c r="AB25" s="80" t="str">
        <f>IF(VLOOKUP($T25,'Performance Pivot'!$S:$AF,9,0)="","",VLOOKUP($T25,'Performance Pivot'!$S:$AF,9,0))</f>
        <v/>
      </c>
      <c r="AC25" s="80" t="str">
        <f>IF(VLOOKUP($T25,'Performance Pivot'!$S:$AF,10,0)="","",VLOOKUP($T25,'Performance Pivot'!$S:$AF,10,0))</f>
        <v/>
      </c>
      <c r="AD25" s="80" t="str">
        <f>IF(VLOOKUP($T25,'Performance Pivot'!$S:$AF,11,0)="","",VLOOKUP($T25,'Performance Pivot'!$S:$AF,11,0))</f>
        <v/>
      </c>
      <c r="AE25" s="80" t="str">
        <f>IF(VLOOKUP($T25,'Performance Pivot'!$S:$AF,12,0)="","",VLOOKUP($T25,'Performance Pivot'!$S:$AF,12,0))</f>
        <v/>
      </c>
      <c r="AF25" s="80" t="str">
        <f>IF(VLOOKUP($T25,'Performance Pivot'!$S:$AF,13,0)="","",VLOOKUP($T25,'Performance Pivot'!$S:$AF,13,0))</f>
        <v/>
      </c>
      <c r="AG25" s="80" t="str">
        <f>IF(VLOOKUP($T25,'Performance Pivot'!$S:$AF,14,0)="","",VLOOKUP($T25,'Performance Pivot'!$S:$AF,14,0))</f>
        <v/>
      </c>
      <c r="AH25" s="80" t="str">
        <f>IF(VLOOKUP($T25,'Performance Pivot'!$S:$AG,15,0)="","",VLOOKUP($T25,'Performance Pivot'!$S:$AG,15,0))</f>
        <v/>
      </c>
    </row>
    <row r="26" spans="3:34" s="81" customFormat="1" ht="21" customHeight="1">
      <c r="C26" s="78">
        <f>'Performance Pivot'!C32</f>
        <v>41699</v>
      </c>
      <c r="D26" s="79">
        <f>IF(VLOOKUP($C26,'Performance Pivot'!$C:$P,2,0)="","",VLOOKUP($C26,'Performance Pivot'!$C:$P,2,0))</f>
        <v>3.9773000000000001</v>
      </c>
      <c r="E26" s="79">
        <f>IF(VLOOKUP($C26,'Performance Pivot'!$C:$P,3,0)="","",VLOOKUP($C26,'Performance Pivot'!$C:$P,3,0))</f>
        <v>3.9352999999999998</v>
      </c>
      <c r="F26" s="79">
        <f>IF(VLOOKUP($C26,'Performance Pivot'!$C:$P,4,0)="","",VLOOKUP($C26,'Performance Pivot'!$C:$P,4,0))</f>
        <v>3.8881000000000001</v>
      </c>
      <c r="G26" s="79" t="str">
        <f>IF(VLOOKUP($C26,'Performance Pivot'!$C:$P,5,0)="","",VLOOKUP($C26,'Performance Pivot'!$C:$P,5,0))</f>
        <v/>
      </c>
      <c r="H26" s="79" t="str">
        <f>IF(VLOOKUP($C26,'Performance Pivot'!$C:$P,6,0)="","",VLOOKUP($C26,'Performance Pivot'!$C:$P,6,0))</f>
        <v/>
      </c>
      <c r="I26" s="79" t="str">
        <f>IF(VLOOKUP($C26,'Performance Pivot'!$C:$P,7,0)="","",VLOOKUP($C26,'Performance Pivot'!$C:$P,7,0))</f>
        <v/>
      </c>
      <c r="J26" s="79" t="str">
        <f>IF(VLOOKUP($C26,'Performance Pivot'!$C:$P,8,0)="","",VLOOKUP($C26,'Performance Pivot'!$C:$P,8,0))</f>
        <v/>
      </c>
      <c r="K26" s="79" t="str">
        <f>IF(VLOOKUP($C26,'Performance Pivot'!$C:$P,9,0)="","",VLOOKUP($C26,'Performance Pivot'!$C:$P,9,0))</f>
        <v/>
      </c>
      <c r="L26" s="79" t="str">
        <f>IF(VLOOKUP($C26,'Performance Pivot'!$C:$P,10,0)="","",VLOOKUP($C26,'Performance Pivot'!$C:$P,10,0))</f>
        <v/>
      </c>
      <c r="M26" s="79" t="str">
        <f>IF(VLOOKUP($C26,'Performance Pivot'!$C:$P,11,0)="","",VLOOKUP($C26,'Performance Pivot'!$C:$P,11,0))</f>
        <v/>
      </c>
      <c r="N26" s="79" t="str">
        <f>IF(VLOOKUP($C26,'Performance Pivot'!$C:$P,12,0)="","",VLOOKUP($C26,'Performance Pivot'!$C:$P,12,0))</f>
        <v/>
      </c>
      <c r="O26" s="79" t="str">
        <f>IF(VLOOKUP($C26,'Performance Pivot'!$C:$P,13,0)="","",VLOOKUP($C26,'Performance Pivot'!$C:$P,13,0))</f>
        <v/>
      </c>
      <c r="P26" s="79" t="str">
        <f>IF(VLOOKUP($C26,'Performance Pivot'!$C:$P,14,0)="","",VLOOKUP($C26,'Performance Pivot'!$C:$P,14,0))</f>
        <v/>
      </c>
      <c r="Q26" s="79" t="str">
        <f>IF(VLOOKUP($C26,'Performance Pivot'!$C:$Q,15,0)="","",VLOOKUP($C26,'Performance Pivot'!$C:$Q,15,0))</f>
        <v/>
      </c>
      <c r="R26" s="82"/>
      <c r="S26" s="82"/>
      <c r="T26" s="78">
        <f t="shared" si="1"/>
        <v>41699</v>
      </c>
      <c r="U26" s="80">
        <f>IF(VLOOKUP($T26,'Performance Pivot'!$S:$AF,2,0)="","",VLOOKUP($T26,'Performance Pivot'!$S:$AF,2,0))</f>
        <v>8.3900000000000002E-2</v>
      </c>
      <c r="V26" s="80">
        <f>IF(VLOOKUP($T26,'Performance Pivot'!$S:$AF,3,0)="","",VLOOKUP($T26,'Performance Pivot'!$S:$AF,3,0))</f>
        <v>3.9E-2</v>
      </c>
      <c r="W26" s="80">
        <f>IF(VLOOKUP($T26,'Performance Pivot'!$S:$AF,4,0)="","",VLOOKUP($T26,'Performance Pivot'!$S:$AF,4,0))</f>
        <v>0</v>
      </c>
      <c r="X26" s="80" t="str">
        <f>IF(VLOOKUP($T26,'Performance Pivot'!$S:$AF,5,0)="","",VLOOKUP($T26,'Performance Pivot'!$S:$AF,5,0))</f>
        <v/>
      </c>
      <c r="Y26" s="80" t="str">
        <f>IF(VLOOKUP($T26,'Performance Pivot'!$S:$AF,6,0)="","",VLOOKUP($T26,'Performance Pivot'!$S:$AF,6,0))</f>
        <v/>
      </c>
      <c r="Z26" s="80" t="str">
        <f>IF(VLOOKUP($T26,'Performance Pivot'!$S:$AF,7,0)="","",VLOOKUP($T26,'Performance Pivot'!$S:$AF,7,0))</f>
        <v/>
      </c>
      <c r="AA26" s="80" t="str">
        <f>IF(VLOOKUP($T26,'Performance Pivot'!$S:$AF,8,0)="","",VLOOKUP($T26,'Performance Pivot'!$S:$AF,8,0))</f>
        <v/>
      </c>
      <c r="AB26" s="80" t="str">
        <f>IF(VLOOKUP($T26,'Performance Pivot'!$S:$AF,9,0)="","",VLOOKUP($T26,'Performance Pivot'!$S:$AF,9,0))</f>
        <v/>
      </c>
      <c r="AC26" s="80" t="str">
        <f>IF(VLOOKUP($T26,'Performance Pivot'!$S:$AF,10,0)="","",VLOOKUP($T26,'Performance Pivot'!$S:$AF,10,0))</f>
        <v/>
      </c>
      <c r="AD26" s="80" t="str">
        <f>IF(VLOOKUP($T26,'Performance Pivot'!$S:$AF,11,0)="","",VLOOKUP($T26,'Performance Pivot'!$S:$AF,11,0))</f>
        <v/>
      </c>
      <c r="AE26" s="80" t="str">
        <f>IF(VLOOKUP($T26,'Performance Pivot'!$S:$AF,12,0)="","",VLOOKUP($T26,'Performance Pivot'!$S:$AF,12,0))</f>
        <v/>
      </c>
      <c r="AF26" s="80" t="str">
        <f>IF(VLOOKUP($T26,'Performance Pivot'!$S:$AF,13,0)="","",VLOOKUP($T26,'Performance Pivot'!$S:$AF,13,0))</f>
        <v/>
      </c>
      <c r="AG26" s="80" t="str">
        <f>IF(VLOOKUP($T26,'Performance Pivot'!$S:$AF,14,0)="","",VLOOKUP($T26,'Performance Pivot'!$S:$AF,14,0))</f>
        <v/>
      </c>
      <c r="AH26" s="80" t="str">
        <f>IF(VLOOKUP($T26,'Performance Pivot'!$S:$AG,15,0)="","",VLOOKUP($T26,'Performance Pivot'!$S:$AG,15,0))</f>
        <v/>
      </c>
    </row>
    <row r="27" spans="3:34" s="81" customFormat="1" ht="21" customHeight="1">
      <c r="C27" s="78">
        <f>'Performance Pivot'!C31</f>
        <v>41730</v>
      </c>
      <c r="D27" s="79">
        <f>IF(VLOOKUP($C27,'Performance Pivot'!$C:$P,2,0)="","",VLOOKUP($C27,'Performance Pivot'!$C:$P,2,0))</f>
        <v>5.8136999999999999</v>
      </c>
      <c r="E27" s="79">
        <f>IF(VLOOKUP($C27,'Performance Pivot'!$C:$P,3,0)="","",VLOOKUP($C27,'Performance Pivot'!$C:$P,3,0))</f>
        <v>5.2506000000000004</v>
      </c>
      <c r="F27" s="79">
        <f>IF(VLOOKUP($C27,'Performance Pivot'!$C:$P,4,0)="","",VLOOKUP($C27,'Performance Pivot'!$C:$P,4,0))</f>
        <v>4.7267999999999999</v>
      </c>
      <c r="G27" s="79">
        <f>IF(VLOOKUP($C27,'Performance Pivot'!$C:$P,5,0)="","",VLOOKUP($C27,'Performance Pivot'!$C:$P,5,0))</f>
        <v>14.718299999999999</v>
      </c>
      <c r="H27" s="79" t="str">
        <f>IF(VLOOKUP($C27,'Performance Pivot'!$C:$P,6,0)="","",VLOOKUP($C27,'Performance Pivot'!$C:$P,6,0))</f>
        <v/>
      </c>
      <c r="I27" s="79" t="str">
        <f>IF(VLOOKUP($C27,'Performance Pivot'!$C:$P,7,0)="","",VLOOKUP($C27,'Performance Pivot'!$C:$P,7,0))</f>
        <v/>
      </c>
      <c r="J27" s="79" t="str">
        <f>IF(VLOOKUP($C27,'Performance Pivot'!$C:$P,8,0)="","",VLOOKUP($C27,'Performance Pivot'!$C:$P,8,0))</f>
        <v/>
      </c>
      <c r="K27" s="79" t="str">
        <f>IF(VLOOKUP($C27,'Performance Pivot'!$C:$P,9,0)="","",VLOOKUP($C27,'Performance Pivot'!$C:$P,9,0))</f>
        <v/>
      </c>
      <c r="L27" s="79" t="str">
        <f>IF(VLOOKUP($C27,'Performance Pivot'!$C:$P,10,0)="","",VLOOKUP($C27,'Performance Pivot'!$C:$P,10,0))</f>
        <v/>
      </c>
      <c r="M27" s="79" t="str">
        <f>IF(VLOOKUP($C27,'Performance Pivot'!$C:$P,11,0)="","",VLOOKUP($C27,'Performance Pivot'!$C:$P,11,0))</f>
        <v/>
      </c>
      <c r="N27" s="79" t="str">
        <f>IF(VLOOKUP($C27,'Performance Pivot'!$C:$P,12,0)="","",VLOOKUP($C27,'Performance Pivot'!$C:$P,12,0))</f>
        <v/>
      </c>
      <c r="O27" s="79" t="str">
        <f>IF(VLOOKUP($C27,'Performance Pivot'!$C:$P,13,0)="","",VLOOKUP($C27,'Performance Pivot'!$C:$P,13,0))</f>
        <v/>
      </c>
      <c r="P27" s="79" t="str">
        <f>IF(VLOOKUP($C27,'Performance Pivot'!$C:$P,14,0)="","",VLOOKUP($C27,'Performance Pivot'!$C:$P,14,0))</f>
        <v/>
      </c>
      <c r="Q27" s="79" t="str">
        <f>IF(VLOOKUP($C27,'Performance Pivot'!$C:$Q,15,0)="","",VLOOKUP($C27,'Performance Pivot'!$C:$Q,15,0))</f>
        <v/>
      </c>
      <c r="R27" s="82"/>
      <c r="S27" s="82"/>
      <c r="T27" s="78">
        <f t="shared" si="1"/>
        <v>41730</v>
      </c>
      <c r="U27" s="80">
        <f>IF(VLOOKUP($T27,'Performance Pivot'!$S:$AF,2,0)="","",VLOOKUP($T27,'Performance Pivot'!$S:$AF,2,0))</f>
        <v>5.5599999999999997E-2</v>
      </c>
      <c r="V27" s="80">
        <f>IF(VLOOKUP($T27,'Performance Pivot'!$S:$AF,3,0)="","",VLOOKUP($T27,'Performance Pivot'!$S:$AF,3,0))</f>
        <v>1.7299999999999999E-2</v>
      </c>
      <c r="W27" s="80">
        <f>IF(VLOOKUP($T27,'Performance Pivot'!$S:$AF,4,0)="","",VLOOKUP($T27,'Performance Pivot'!$S:$AF,4,0))</f>
        <v>0</v>
      </c>
      <c r="X27" s="80">
        <f>IF(VLOOKUP($T27,'Performance Pivot'!$S:$AF,5,0)="","",VLOOKUP($T27,'Performance Pivot'!$S:$AF,5,0))</f>
        <v>0</v>
      </c>
      <c r="Y27" s="80" t="str">
        <f>IF(VLOOKUP($T27,'Performance Pivot'!$S:$AF,6,0)="","",VLOOKUP($T27,'Performance Pivot'!$S:$AF,6,0))</f>
        <v/>
      </c>
      <c r="Z27" s="80" t="str">
        <f>IF(VLOOKUP($T27,'Performance Pivot'!$S:$AF,7,0)="","",VLOOKUP($T27,'Performance Pivot'!$S:$AF,7,0))</f>
        <v/>
      </c>
      <c r="AA27" s="80" t="str">
        <f>IF(VLOOKUP($T27,'Performance Pivot'!$S:$AF,8,0)="","",VLOOKUP($T27,'Performance Pivot'!$S:$AF,8,0))</f>
        <v/>
      </c>
      <c r="AB27" s="80" t="str">
        <f>IF(VLOOKUP($T27,'Performance Pivot'!$S:$AF,9,0)="","",VLOOKUP($T27,'Performance Pivot'!$S:$AF,9,0))</f>
        <v/>
      </c>
      <c r="AC27" s="80" t="str">
        <f>IF(VLOOKUP($T27,'Performance Pivot'!$S:$AF,10,0)="","",VLOOKUP($T27,'Performance Pivot'!$S:$AF,10,0))</f>
        <v/>
      </c>
      <c r="AD27" s="80" t="str">
        <f>IF(VLOOKUP($T27,'Performance Pivot'!$S:$AF,11,0)="","",VLOOKUP($T27,'Performance Pivot'!$S:$AF,11,0))</f>
        <v/>
      </c>
      <c r="AE27" s="80" t="str">
        <f>IF(VLOOKUP($T27,'Performance Pivot'!$S:$AF,12,0)="","",VLOOKUP($T27,'Performance Pivot'!$S:$AF,12,0))</f>
        <v/>
      </c>
      <c r="AF27" s="80" t="str">
        <f>IF(VLOOKUP($T27,'Performance Pivot'!$S:$AF,13,0)="","",VLOOKUP($T27,'Performance Pivot'!$S:$AF,13,0))</f>
        <v/>
      </c>
      <c r="AG27" s="80" t="str">
        <f>IF(VLOOKUP($T27,'Performance Pivot'!$S:$AF,14,0)="","",VLOOKUP($T27,'Performance Pivot'!$S:$AF,14,0))</f>
        <v/>
      </c>
      <c r="AH27" s="80" t="str">
        <f>IF(VLOOKUP($T27,'Performance Pivot'!$S:$AG,15,0)="","",VLOOKUP($T27,'Performance Pivot'!$S:$AG,15,0))</f>
        <v/>
      </c>
    </row>
    <row r="28" spans="3:34" s="81" customFormat="1" ht="21" customHeight="1">
      <c r="C28" s="78">
        <f>'Performance Pivot'!C30</f>
        <v>41760</v>
      </c>
      <c r="D28" s="79">
        <f>IF(VLOOKUP($C28,'Performance Pivot'!$C:$P,2,0)="","",VLOOKUP($C28,'Performance Pivot'!$C:$P,2,0))</f>
        <v>7.3971999999999998</v>
      </c>
      <c r="E28" s="79">
        <f>IF(VLOOKUP($C28,'Performance Pivot'!$C:$P,3,0)="","",VLOOKUP($C28,'Performance Pivot'!$C:$P,3,0))</f>
        <v>5.7789000000000001</v>
      </c>
      <c r="F28" s="79">
        <f>IF(VLOOKUP($C28,'Performance Pivot'!$C:$P,4,0)="","",VLOOKUP($C28,'Performance Pivot'!$C:$P,4,0))</f>
        <v>5.5388000000000002</v>
      </c>
      <c r="G28" s="79">
        <f>IF(VLOOKUP($C28,'Performance Pivot'!$C:$P,5,0)="","",VLOOKUP($C28,'Performance Pivot'!$C:$P,5,0))</f>
        <v>8.6524000000000001</v>
      </c>
      <c r="H28" s="79" t="str">
        <f>IF(VLOOKUP($C28,'Performance Pivot'!$C:$P,6,0)="","",VLOOKUP($C28,'Performance Pivot'!$C:$P,6,0))</f>
        <v/>
      </c>
      <c r="I28" s="79" t="str">
        <f>IF(VLOOKUP($C28,'Performance Pivot'!$C:$P,7,0)="","",VLOOKUP($C28,'Performance Pivot'!$C:$P,7,0))</f>
        <v/>
      </c>
      <c r="J28" s="79" t="str">
        <f>IF(VLOOKUP($C28,'Performance Pivot'!$C:$P,8,0)="","",VLOOKUP($C28,'Performance Pivot'!$C:$P,8,0))</f>
        <v/>
      </c>
      <c r="K28" s="79" t="str">
        <f>IF(VLOOKUP($C28,'Performance Pivot'!$C:$P,9,0)="","",VLOOKUP($C28,'Performance Pivot'!$C:$P,9,0))</f>
        <v/>
      </c>
      <c r="L28" s="79" t="str">
        <f>IF(VLOOKUP($C28,'Performance Pivot'!$C:$P,10,0)="","",VLOOKUP($C28,'Performance Pivot'!$C:$P,10,0))</f>
        <v/>
      </c>
      <c r="M28" s="79" t="str">
        <f>IF(VLOOKUP($C28,'Performance Pivot'!$C:$P,11,0)="","",VLOOKUP($C28,'Performance Pivot'!$C:$P,11,0))</f>
        <v/>
      </c>
      <c r="N28" s="79" t="str">
        <f>IF(VLOOKUP($C28,'Performance Pivot'!$C:$P,12,0)="","",VLOOKUP($C28,'Performance Pivot'!$C:$P,12,0))</f>
        <v/>
      </c>
      <c r="O28" s="79" t="str">
        <f>IF(VLOOKUP($C28,'Performance Pivot'!$C:$P,13,0)="","",VLOOKUP($C28,'Performance Pivot'!$C:$P,13,0))</f>
        <v/>
      </c>
      <c r="P28" s="79" t="str">
        <f>IF(VLOOKUP($C28,'Performance Pivot'!$C:$P,14,0)="","",VLOOKUP($C28,'Performance Pivot'!$C:$P,14,0))</f>
        <v/>
      </c>
      <c r="Q28" s="79" t="str">
        <f>IF(VLOOKUP($C28,'Performance Pivot'!$C:$Q,15,0)="","",VLOOKUP($C28,'Performance Pivot'!$C:$Q,15,0))</f>
        <v/>
      </c>
      <c r="R28" s="82"/>
      <c r="S28" s="82"/>
      <c r="T28" s="78">
        <f t="shared" si="1"/>
        <v>41760</v>
      </c>
      <c r="U28" s="80">
        <f>IF(VLOOKUP($T28,'Performance Pivot'!$S:$AF,2,0)="","",VLOOKUP($T28,'Performance Pivot'!$S:$AF,2,0))</f>
        <v>5.04E-2</v>
      </c>
      <c r="V28" s="80">
        <f>IF(VLOOKUP($T28,'Performance Pivot'!$S:$AF,3,0)="","",VLOOKUP($T28,'Performance Pivot'!$S:$AF,3,0))</f>
        <v>2.12E-2</v>
      </c>
      <c r="W28" s="80">
        <f>IF(VLOOKUP($T28,'Performance Pivot'!$S:$AF,4,0)="","",VLOOKUP($T28,'Performance Pivot'!$S:$AF,4,0))</f>
        <v>1.5599999999999999E-2</v>
      </c>
      <c r="X28" s="80">
        <f>IF(VLOOKUP($T28,'Performance Pivot'!$S:$AF,5,0)="","",VLOOKUP($T28,'Performance Pivot'!$S:$AF,5,0))</f>
        <v>0</v>
      </c>
      <c r="Y28" s="80" t="str">
        <f>IF(VLOOKUP($T28,'Performance Pivot'!$S:$AF,6,0)="","",VLOOKUP($T28,'Performance Pivot'!$S:$AF,6,0))</f>
        <v/>
      </c>
      <c r="Z28" s="80" t="str">
        <f>IF(VLOOKUP($T28,'Performance Pivot'!$S:$AF,7,0)="","",VLOOKUP($T28,'Performance Pivot'!$S:$AF,7,0))</f>
        <v/>
      </c>
      <c r="AA28" s="80" t="str">
        <f>IF(VLOOKUP($T28,'Performance Pivot'!$S:$AF,8,0)="","",VLOOKUP($T28,'Performance Pivot'!$S:$AF,8,0))</f>
        <v/>
      </c>
      <c r="AB28" s="80" t="str">
        <f>IF(VLOOKUP($T28,'Performance Pivot'!$S:$AF,9,0)="","",VLOOKUP($T28,'Performance Pivot'!$S:$AF,9,0))</f>
        <v/>
      </c>
      <c r="AC28" s="80" t="str">
        <f>IF(VLOOKUP($T28,'Performance Pivot'!$S:$AF,10,0)="","",VLOOKUP($T28,'Performance Pivot'!$S:$AF,10,0))</f>
        <v/>
      </c>
      <c r="AD28" s="80" t="str">
        <f>IF(VLOOKUP($T28,'Performance Pivot'!$S:$AF,11,0)="","",VLOOKUP($T28,'Performance Pivot'!$S:$AF,11,0))</f>
        <v/>
      </c>
      <c r="AE28" s="80" t="str">
        <f>IF(VLOOKUP($T28,'Performance Pivot'!$S:$AF,12,0)="","",VLOOKUP($T28,'Performance Pivot'!$S:$AF,12,0))</f>
        <v/>
      </c>
      <c r="AF28" s="80" t="str">
        <f>IF(VLOOKUP($T28,'Performance Pivot'!$S:$AF,13,0)="","",VLOOKUP($T28,'Performance Pivot'!$S:$AF,13,0))</f>
        <v/>
      </c>
      <c r="AG28" s="80" t="str">
        <f>IF(VLOOKUP($T28,'Performance Pivot'!$S:$AF,14,0)="","",VLOOKUP($T28,'Performance Pivot'!$S:$AF,14,0))</f>
        <v/>
      </c>
      <c r="AH28" s="80" t="str">
        <f>IF(VLOOKUP($T28,'Performance Pivot'!$S:$AG,15,0)="","",VLOOKUP($T28,'Performance Pivot'!$S:$AG,15,0))</f>
        <v/>
      </c>
    </row>
    <row r="29" spans="3:34" s="81" customFormat="1" ht="21" customHeight="1">
      <c r="C29" s="78">
        <f>'Performance Pivot'!C29</f>
        <v>41791</v>
      </c>
      <c r="D29" s="79">
        <f>IF(VLOOKUP($C29,'Performance Pivot'!$C:$P,2,0)="","",VLOOKUP($C29,'Performance Pivot'!$C:$P,2,0))</f>
        <v>6.9165999999999999</v>
      </c>
      <c r="E29" s="79">
        <f>IF(VLOOKUP($C29,'Performance Pivot'!$C:$P,3,0)="","",VLOOKUP($C29,'Performance Pivot'!$C:$P,3,0))</f>
        <v>5.8940999999999999</v>
      </c>
      <c r="F29" s="79">
        <f>IF(VLOOKUP($C29,'Performance Pivot'!$C:$P,4,0)="","",VLOOKUP($C29,'Performance Pivot'!$C:$P,4,0))</f>
        <v>5.3395999999999999</v>
      </c>
      <c r="G29" s="79">
        <f>IF(VLOOKUP($C29,'Performance Pivot'!$C:$P,5,0)="","",VLOOKUP($C29,'Performance Pivot'!$C:$P,5,0))</f>
        <v>8.5411999999999999</v>
      </c>
      <c r="H29" s="79" t="str">
        <f>IF(VLOOKUP($C29,'Performance Pivot'!$C:$P,6,0)="","",VLOOKUP($C29,'Performance Pivot'!$C:$P,6,0))</f>
        <v/>
      </c>
      <c r="I29" s="79" t="str">
        <f>IF(VLOOKUP($C29,'Performance Pivot'!$C:$P,7,0)="","",VLOOKUP($C29,'Performance Pivot'!$C:$P,7,0))</f>
        <v/>
      </c>
      <c r="J29" s="79" t="str">
        <f>IF(VLOOKUP($C29,'Performance Pivot'!$C:$P,8,0)="","",VLOOKUP($C29,'Performance Pivot'!$C:$P,8,0))</f>
        <v/>
      </c>
      <c r="K29" s="79" t="str">
        <f>IF(VLOOKUP($C29,'Performance Pivot'!$C:$P,9,0)="","",VLOOKUP($C29,'Performance Pivot'!$C:$P,9,0))</f>
        <v/>
      </c>
      <c r="L29" s="79" t="str">
        <f>IF(VLOOKUP($C29,'Performance Pivot'!$C:$P,10,0)="","",VLOOKUP($C29,'Performance Pivot'!$C:$P,10,0))</f>
        <v/>
      </c>
      <c r="M29" s="79" t="str">
        <f>IF(VLOOKUP($C29,'Performance Pivot'!$C:$P,11,0)="","",VLOOKUP($C29,'Performance Pivot'!$C:$P,11,0))</f>
        <v/>
      </c>
      <c r="N29" s="79" t="str">
        <f>IF(VLOOKUP($C29,'Performance Pivot'!$C:$P,12,0)="","",VLOOKUP($C29,'Performance Pivot'!$C:$P,12,0))</f>
        <v/>
      </c>
      <c r="O29" s="79" t="str">
        <f>IF(VLOOKUP($C29,'Performance Pivot'!$C:$P,13,0)="","",VLOOKUP($C29,'Performance Pivot'!$C:$P,13,0))</f>
        <v/>
      </c>
      <c r="P29" s="79" t="str">
        <f>IF(VLOOKUP($C29,'Performance Pivot'!$C:$P,14,0)="","",VLOOKUP($C29,'Performance Pivot'!$C:$P,14,0))</f>
        <v/>
      </c>
      <c r="Q29" s="79" t="str">
        <f>IF(VLOOKUP($C29,'Performance Pivot'!$C:$Q,15,0)="","",VLOOKUP($C29,'Performance Pivot'!$C:$Q,15,0))</f>
        <v/>
      </c>
      <c r="R29" s="82"/>
      <c r="S29" s="82"/>
      <c r="T29" s="78">
        <f t="shared" si="1"/>
        <v>41791</v>
      </c>
      <c r="U29" s="80">
        <f>IF(VLOOKUP($T29,'Performance Pivot'!$S:$AF,2,0)="","",VLOOKUP($T29,'Performance Pivot'!$S:$AF,2,0))</f>
        <v>3.8899999999999997E-2</v>
      </c>
      <c r="V29" s="80">
        <f>IF(VLOOKUP($T29,'Performance Pivot'!$S:$AF,3,0)="","",VLOOKUP($T29,'Performance Pivot'!$S:$AF,3,0))</f>
        <v>2.7699999999999999E-2</v>
      </c>
      <c r="W29" s="80">
        <f>IF(VLOOKUP($T29,'Performance Pivot'!$S:$AF,4,0)="","",VLOOKUP($T29,'Performance Pivot'!$S:$AF,4,0))</f>
        <v>3.0999999999999999E-3</v>
      </c>
      <c r="X29" s="80">
        <f>IF(VLOOKUP($T29,'Performance Pivot'!$S:$AF,5,0)="","",VLOOKUP($T29,'Performance Pivot'!$S:$AF,5,0))</f>
        <v>0</v>
      </c>
      <c r="Y29" s="80" t="str">
        <f>IF(VLOOKUP($T29,'Performance Pivot'!$S:$AF,6,0)="","",VLOOKUP($T29,'Performance Pivot'!$S:$AF,6,0))</f>
        <v/>
      </c>
      <c r="Z29" s="80" t="str">
        <f>IF(VLOOKUP($T29,'Performance Pivot'!$S:$AF,7,0)="","",VLOOKUP($T29,'Performance Pivot'!$S:$AF,7,0))</f>
        <v/>
      </c>
      <c r="AA29" s="80" t="str">
        <f>IF(VLOOKUP($T29,'Performance Pivot'!$S:$AF,8,0)="","",VLOOKUP($T29,'Performance Pivot'!$S:$AF,8,0))</f>
        <v/>
      </c>
      <c r="AB29" s="80" t="str">
        <f>IF(VLOOKUP($T29,'Performance Pivot'!$S:$AF,9,0)="","",VLOOKUP($T29,'Performance Pivot'!$S:$AF,9,0))</f>
        <v/>
      </c>
      <c r="AC29" s="80" t="str">
        <f>IF(VLOOKUP($T29,'Performance Pivot'!$S:$AF,10,0)="","",VLOOKUP($T29,'Performance Pivot'!$S:$AF,10,0))</f>
        <v/>
      </c>
      <c r="AD29" s="80" t="str">
        <f>IF(VLOOKUP($T29,'Performance Pivot'!$S:$AF,11,0)="","",VLOOKUP($T29,'Performance Pivot'!$S:$AF,11,0))</f>
        <v/>
      </c>
      <c r="AE29" s="80" t="str">
        <f>IF(VLOOKUP($T29,'Performance Pivot'!$S:$AF,12,0)="","",VLOOKUP($T29,'Performance Pivot'!$S:$AF,12,0))</f>
        <v/>
      </c>
      <c r="AF29" s="80" t="str">
        <f>IF(VLOOKUP($T29,'Performance Pivot'!$S:$AF,13,0)="","",VLOOKUP($T29,'Performance Pivot'!$S:$AF,13,0))</f>
        <v/>
      </c>
      <c r="AG29" s="80" t="str">
        <f>IF(VLOOKUP($T29,'Performance Pivot'!$S:$AF,14,0)="","",VLOOKUP($T29,'Performance Pivot'!$S:$AF,14,0))</f>
        <v/>
      </c>
      <c r="AH29" s="80" t="str">
        <f>IF(VLOOKUP($T29,'Performance Pivot'!$S:$AG,15,0)="","",VLOOKUP($T29,'Performance Pivot'!$S:$AG,15,0))</f>
        <v/>
      </c>
    </row>
    <row r="30" spans="3:34" s="81" customFormat="1" ht="21" customHeight="1">
      <c r="C30" s="78">
        <f>'Performance Pivot'!C28</f>
        <v>41821</v>
      </c>
      <c r="D30" s="79">
        <f>IF(VLOOKUP($C30,'Performance Pivot'!$C:$P,2,0)="","",VLOOKUP($C30,'Performance Pivot'!$C:$P,2,0))</f>
        <v>6.4720000000000004</v>
      </c>
      <c r="E30" s="79">
        <f>IF(VLOOKUP($C30,'Performance Pivot'!$C:$P,3,0)="","",VLOOKUP($C30,'Performance Pivot'!$C:$P,3,0))</f>
        <v>5.4923000000000002</v>
      </c>
      <c r="F30" s="79">
        <f>IF(VLOOKUP($C30,'Performance Pivot'!$C:$P,4,0)="","",VLOOKUP($C30,'Performance Pivot'!$C:$P,4,0))</f>
        <v>4.8250000000000002</v>
      </c>
      <c r="G30" s="79">
        <f>IF(VLOOKUP($C30,'Performance Pivot'!$C:$P,5,0)="","",VLOOKUP($C30,'Performance Pivot'!$C:$P,5,0))</f>
        <v>7.7906000000000004</v>
      </c>
      <c r="H30" s="79" t="str">
        <f>IF(VLOOKUP($C30,'Performance Pivot'!$C:$P,6,0)="","",VLOOKUP($C30,'Performance Pivot'!$C:$P,6,0))</f>
        <v/>
      </c>
      <c r="I30" s="79" t="str">
        <f>IF(VLOOKUP($C30,'Performance Pivot'!$C:$P,7,0)="","",VLOOKUP($C30,'Performance Pivot'!$C:$P,7,0))</f>
        <v/>
      </c>
      <c r="J30" s="79" t="str">
        <f>IF(VLOOKUP($C30,'Performance Pivot'!$C:$P,8,0)="","",VLOOKUP($C30,'Performance Pivot'!$C:$P,8,0))</f>
        <v/>
      </c>
      <c r="K30" s="79" t="str">
        <f>IF(VLOOKUP($C30,'Performance Pivot'!$C:$P,9,0)="","",VLOOKUP($C30,'Performance Pivot'!$C:$P,9,0))</f>
        <v/>
      </c>
      <c r="L30" s="79" t="str">
        <f>IF(VLOOKUP($C30,'Performance Pivot'!$C:$P,10,0)="","",VLOOKUP($C30,'Performance Pivot'!$C:$P,10,0))</f>
        <v/>
      </c>
      <c r="M30" s="79" t="str">
        <f>IF(VLOOKUP($C30,'Performance Pivot'!$C:$P,11,0)="","",VLOOKUP($C30,'Performance Pivot'!$C:$P,11,0))</f>
        <v/>
      </c>
      <c r="N30" s="79" t="str">
        <f>IF(VLOOKUP($C30,'Performance Pivot'!$C:$P,12,0)="","",VLOOKUP($C30,'Performance Pivot'!$C:$P,12,0))</f>
        <v/>
      </c>
      <c r="O30" s="79" t="str">
        <f>IF(VLOOKUP($C30,'Performance Pivot'!$C:$P,13,0)="","",VLOOKUP($C30,'Performance Pivot'!$C:$P,13,0))</f>
        <v/>
      </c>
      <c r="P30" s="79" t="str">
        <f>IF(VLOOKUP($C30,'Performance Pivot'!$C:$P,14,0)="","",VLOOKUP($C30,'Performance Pivot'!$C:$P,14,0))</f>
        <v/>
      </c>
      <c r="Q30" s="79" t="str">
        <f>IF(VLOOKUP($C30,'Performance Pivot'!$C:$Q,15,0)="","",VLOOKUP($C30,'Performance Pivot'!$C:$Q,15,0))</f>
        <v/>
      </c>
      <c r="R30" s="82"/>
      <c r="S30" s="82"/>
      <c r="T30" s="78">
        <f t="shared" si="1"/>
        <v>41821</v>
      </c>
      <c r="U30" s="80">
        <f>IF(VLOOKUP($T30,'Performance Pivot'!$S:$AF,2,0)="","",VLOOKUP($T30,'Performance Pivot'!$S:$AF,2,0))</f>
        <v>3.9800000000000002E-2</v>
      </c>
      <c r="V30" s="80">
        <f>IF(VLOOKUP($T30,'Performance Pivot'!$S:$AF,3,0)="","",VLOOKUP($T30,'Performance Pivot'!$S:$AF,3,0))</f>
        <v>2.58E-2</v>
      </c>
      <c r="W30" s="80">
        <f>IF(VLOOKUP($T30,'Performance Pivot'!$S:$AF,4,0)="","",VLOOKUP($T30,'Performance Pivot'!$S:$AF,4,0))</f>
        <v>2.6100000000000002E-2</v>
      </c>
      <c r="X30" s="80">
        <f>IF(VLOOKUP($T30,'Performance Pivot'!$S:$AF,5,0)="","",VLOOKUP($T30,'Performance Pivot'!$S:$AF,5,0))</f>
        <v>4.2799999999999998E-2</v>
      </c>
      <c r="Y30" s="80" t="str">
        <f>IF(VLOOKUP($T30,'Performance Pivot'!$S:$AF,6,0)="","",VLOOKUP($T30,'Performance Pivot'!$S:$AF,6,0))</f>
        <v/>
      </c>
      <c r="Z30" s="80" t="str">
        <f>IF(VLOOKUP($T30,'Performance Pivot'!$S:$AF,7,0)="","",VLOOKUP($T30,'Performance Pivot'!$S:$AF,7,0))</f>
        <v/>
      </c>
      <c r="AA30" s="80" t="str">
        <f>IF(VLOOKUP($T30,'Performance Pivot'!$S:$AF,8,0)="","",VLOOKUP($T30,'Performance Pivot'!$S:$AF,8,0))</f>
        <v/>
      </c>
      <c r="AB30" s="80" t="str">
        <f>IF(VLOOKUP($T30,'Performance Pivot'!$S:$AF,9,0)="","",VLOOKUP($T30,'Performance Pivot'!$S:$AF,9,0))</f>
        <v/>
      </c>
      <c r="AC30" s="80" t="str">
        <f>IF(VLOOKUP($T30,'Performance Pivot'!$S:$AF,10,0)="","",VLOOKUP($T30,'Performance Pivot'!$S:$AF,10,0))</f>
        <v/>
      </c>
      <c r="AD30" s="80" t="str">
        <f>IF(VLOOKUP($T30,'Performance Pivot'!$S:$AF,11,0)="","",VLOOKUP($T30,'Performance Pivot'!$S:$AF,11,0))</f>
        <v/>
      </c>
      <c r="AE30" s="80" t="str">
        <f>IF(VLOOKUP($T30,'Performance Pivot'!$S:$AF,12,0)="","",VLOOKUP($T30,'Performance Pivot'!$S:$AF,12,0))</f>
        <v/>
      </c>
      <c r="AF30" s="80" t="str">
        <f>IF(VLOOKUP($T30,'Performance Pivot'!$S:$AF,13,0)="","",VLOOKUP($T30,'Performance Pivot'!$S:$AF,13,0))</f>
        <v/>
      </c>
      <c r="AG30" s="80" t="str">
        <f>IF(VLOOKUP($T30,'Performance Pivot'!$S:$AF,14,0)="","",VLOOKUP($T30,'Performance Pivot'!$S:$AF,14,0))</f>
        <v/>
      </c>
      <c r="AH30" s="80" t="str">
        <f>IF(VLOOKUP($T30,'Performance Pivot'!$S:$AG,15,0)="","",VLOOKUP($T30,'Performance Pivot'!$S:$AG,15,0))</f>
        <v/>
      </c>
    </row>
    <row r="31" spans="3:34" s="81" customFormat="1" ht="21" customHeight="1">
      <c r="C31" s="78">
        <f>'Performance Pivot'!C27</f>
        <v>41852</v>
      </c>
      <c r="D31" s="79">
        <f>IF(VLOOKUP($C31,'Performance Pivot'!$C:$P,2,0)="","",VLOOKUP($C31,'Performance Pivot'!$C:$P,2,0))</f>
        <v>5.0166000000000004</v>
      </c>
      <c r="E31" s="79">
        <f>IF(VLOOKUP($C31,'Performance Pivot'!$C:$P,3,0)="","",VLOOKUP($C31,'Performance Pivot'!$C:$P,3,0))</f>
        <v>4.6874000000000002</v>
      </c>
      <c r="F31" s="79">
        <f>IF(VLOOKUP($C31,'Performance Pivot'!$C:$P,4,0)="","",VLOOKUP($C31,'Performance Pivot'!$C:$P,4,0))</f>
        <v>4.5701999999999998</v>
      </c>
      <c r="G31" s="79">
        <f>IF(VLOOKUP($C31,'Performance Pivot'!$C:$P,5,0)="","",VLOOKUP($C31,'Performance Pivot'!$C:$P,5,0))</f>
        <v>7.0224000000000002</v>
      </c>
      <c r="H31" s="79">
        <f>IF(VLOOKUP($C31,'Performance Pivot'!$C:$P,6,0)="","",VLOOKUP($C31,'Performance Pivot'!$C:$P,6,0))</f>
        <v>34.337400000000002</v>
      </c>
      <c r="I31" s="79" t="str">
        <f>IF(VLOOKUP($C31,'Performance Pivot'!$C:$P,7,0)="","",VLOOKUP($C31,'Performance Pivot'!$C:$P,7,0))</f>
        <v/>
      </c>
      <c r="J31" s="79">
        <f>IF(VLOOKUP($C31,'Performance Pivot'!$C:$P,8,0)="","",VLOOKUP($C31,'Performance Pivot'!$C:$P,8,0))</f>
        <v>26.836099999999998</v>
      </c>
      <c r="K31" s="79" t="str">
        <f>IF(VLOOKUP($C31,'Performance Pivot'!$C:$P,9,0)="","",VLOOKUP($C31,'Performance Pivot'!$C:$P,9,0))</f>
        <v/>
      </c>
      <c r="L31" s="79" t="str">
        <f>IF(VLOOKUP($C31,'Performance Pivot'!$C:$P,10,0)="","",VLOOKUP($C31,'Performance Pivot'!$C:$P,10,0))</f>
        <v/>
      </c>
      <c r="M31" s="79" t="str">
        <f>IF(VLOOKUP($C31,'Performance Pivot'!$C:$P,11,0)="","",VLOOKUP($C31,'Performance Pivot'!$C:$P,11,0))</f>
        <v/>
      </c>
      <c r="N31" s="79" t="str">
        <f>IF(VLOOKUP($C31,'Performance Pivot'!$C:$P,12,0)="","",VLOOKUP($C31,'Performance Pivot'!$C:$P,12,0))</f>
        <v/>
      </c>
      <c r="O31" s="79" t="str">
        <f>IF(VLOOKUP($C31,'Performance Pivot'!$C:$P,13,0)="","",VLOOKUP($C31,'Performance Pivot'!$C:$P,13,0))</f>
        <v/>
      </c>
      <c r="P31" s="79" t="str">
        <f>IF(VLOOKUP($C31,'Performance Pivot'!$C:$P,14,0)="","",VLOOKUP($C31,'Performance Pivot'!$C:$P,14,0))</f>
        <v/>
      </c>
      <c r="Q31" s="79" t="str">
        <f>IF(VLOOKUP($C31,'Performance Pivot'!$C:$Q,15,0)="","",VLOOKUP($C31,'Performance Pivot'!$C:$Q,15,0))</f>
        <v/>
      </c>
      <c r="R31" s="82"/>
      <c r="S31" s="82"/>
      <c r="T31" s="78">
        <f t="shared" si="1"/>
        <v>41852</v>
      </c>
      <c r="U31" s="80">
        <f>IF(VLOOKUP($T31,'Performance Pivot'!$S:$AF,2,0)="","",VLOOKUP($T31,'Performance Pivot'!$S:$AF,2,0))</f>
        <v>3.09E-2</v>
      </c>
      <c r="V31" s="80">
        <f>IF(VLOOKUP($T31,'Performance Pivot'!$S:$AF,3,0)="","",VLOOKUP($T31,'Performance Pivot'!$S:$AF,3,0))</f>
        <v>2.06E-2</v>
      </c>
      <c r="W31" s="80">
        <f>IF(VLOOKUP($T31,'Performance Pivot'!$S:$AF,4,0)="","",VLOOKUP($T31,'Performance Pivot'!$S:$AF,4,0))</f>
        <v>4.4900000000000002E-2</v>
      </c>
      <c r="X31" s="80">
        <f>IF(VLOOKUP($T31,'Performance Pivot'!$S:$AF,5,0)="","",VLOOKUP($T31,'Performance Pivot'!$S:$AF,5,0))</f>
        <v>3.3999999999999998E-3</v>
      </c>
      <c r="Y31" s="80">
        <f>IF(VLOOKUP($T31,'Performance Pivot'!$S:$AF,6,0)="","",VLOOKUP($T31,'Performance Pivot'!$S:$AF,6,0))</f>
        <v>0</v>
      </c>
      <c r="Z31" s="80" t="str">
        <f>IF(VLOOKUP($T31,'Performance Pivot'!$S:$AF,7,0)="","",VLOOKUP($T31,'Performance Pivot'!$S:$AF,7,0))</f>
        <v/>
      </c>
      <c r="AA31" s="80">
        <f>IF(VLOOKUP($T31,'Performance Pivot'!$S:$AF,8,0)="","",VLOOKUP($T31,'Performance Pivot'!$S:$AF,8,0))</f>
        <v>0</v>
      </c>
      <c r="AB31" s="80" t="str">
        <f>IF(VLOOKUP($T31,'Performance Pivot'!$S:$AF,9,0)="","",VLOOKUP($T31,'Performance Pivot'!$S:$AF,9,0))</f>
        <v/>
      </c>
      <c r="AC31" s="80" t="str">
        <f>IF(VLOOKUP($T31,'Performance Pivot'!$S:$AF,10,0)="","",VLOOKUP($T31,'Performance Pivot'!$S:$AF,10,0))</f>
        <v/>
      </c>
      <c r="AD31" s="80" t="str">
        <f>IF(VLOOKUP($T31,'Performance Pivot'!$S:$AF,11,0)="","",VLOOKUP($T31,'Performance Pivot'!$S:$AF,11,0))</f>
        <v/>
      </c>
      <c r="AE31" s="80" t="str">
        <f>IF(VLOOKUP($T31,'Performance Pivot'!$S:$AF,12,0)="","",VLOOKUP($T31,'Performance Pivot'!$S:$AF,12,0))</f>
        <v/>
      </c>
      <c r="AF31" s="80" t="str">
        <f>IF(VLOOKUP($T31,'Performance Pivot'!$S:$AF,13,0)="","",VLOOKUP($T31,'Performance Pivot'!$S:$AF,13,0))</f>
        <v/>
      </c>
      <c r="AG31" s="80" t="str">
        <f>IF(VLOOKUP($T31,'Performance Pivot'!$S:$AF,14,0)="","",VLOOKUP($T31,'Performance Pivot'!$S:$AF,14,0))</f>
        <v/>
      </c>
      <c r="AH31" s="80" t="str">
        <f>IF(VLOOKUP($T31,'Performance Pivot'!$S:$AG,15,0)="","",VLOOKUP($T31,'Performance Pivot'!$S:$AG,15,0))</f>
        <v/>
      </c>
    </row>
    <row r="32" spans="3:34" s="81" customFormat="1" ht="21" customHeight="1">
      <c r="C32" s="78">
        <f>'Performance Pivot'!C26</f>
        <v>41883</v>
      </c>
      <c r="D32" s="79">
        <f>IF(VLOOKUP($C32,'Performance Pivot'!$C:$P,2,0)="","",VLOOKUP($C32,'Performance Pivot'!$C:$P,2,0))</f>
        <v>6.4724000000000004</v>
      </c>
      <c r="E32" s="79">
        <f>IF(VLOOKUP($C32,'Performance Pivot'!$C:$P,3,0)="","",VLOOKUP($C32,'Performance Pivot'!$C:$P,3,0))</f>
        <v>5.3079999999999998</v>
      </c>
      <c r="F32" s="79">
        <f>IF(VLOOKUP($C32,'Performance Pivot'!$C:$P,4,0)="","",VLOOKUP($C32,'Performance Pivot'!$C:$P,4,0))</f>
        <v>5.1115000000000004</v>
      </c>
      <c r="G32" s="79">
        <f>IF(VLOOKUP($C32,'Performance Pivot'!$C:$P,5,0)="","",VLOOKUP($C32,'Performance Pivot'!$C:$P,5,0))</f>
        <v>7.5042999999999997</v>
      </c>
      <c r="H32" s="79">
        <f>IF(VLOOKUP($C32,'Performance Pivot'!$C:$P,6,0)="","",VLOOKUP($C32,'Performance Pivot'!$C:$P,6,0))</f>
        <v>13.198499999999999</v>
      </c>
      <c r="I32" s="79">
        <f>IF(VLOOKUP($C32,'Performance Pivot'!$C:$P,7,0)="","",VLOOKUP($C32,'Performance Pivot'!$C:$P,7,0))</f>
        <v>13.3165</v>
      </c>
      <c r="J32" s="79">
        <f>IF(VLOOKUP($C32,'Performance Pivot'!$C:$P,8,0)="","",VLOOKUP($C32,'Performance Pivot'!$C:$P,8,0))</f>
        <v>11.3437</v>
      </c>
      <c r="K32" s="79">
        <f>IF(VLOOKUP($C32,'Performance Pivot'!$C:$P,9,0)="","",VLOOKUP($C32,'Performance Pivot'!$C:$P,9,0))</f>
        <v>17.9786</v>
      </c>
      <c r="L32" s="79">
        <f>IF(VLOOKUP($C32,'Performance Pivot'!$C:$P,10,0)="","",VLOOKUP($C32,'Performance Pivot'!$C:$P,10,0))</f>
        <v>7.9057000000000004</v>
      </c>
      <c r="M32" s="79" t="str">
        <f>IF(VLOOKUP($C32,'Performance Pivot'!$C:$P,11,0)="","",VLOOKUP($C32,'Performance Pivot'!$C:$P,11,0))</f>
        <v/>
      </c>
      <c r="N32" s="79" t="str">
        <f>IF(VLOOKUP($C32,'Performance Pivot'!$C:$P,12,0)="","",VLOOKUP($C32,'Performance Pivot'!$C:$P,12,0))</f>
        <v/>
      </c>
      <c r="O32" s="79" t="str">
        <f>IF(VLOOKUP($C32,'Performance Pivot'!$C:$P,13,0)="","",VLOOKUP($C32,'Performance Pivot'!$C:$P,13,0))</f>
        <v/>
      </c>
      <c r="P32" s="79" t="str">
        <f>IF(VLOOKUP($C32,'Performance Pivot'!$C:$P,14,0)="","",VLOOKUP($C32,'Performance Pivot'!$C:$P,14,0))</f>
        <v/>
      </c>
      <c r="Q32" s="79" t="str">
        <f>IF(VLOOKUP($C32,'Performance Pivot'!$C:$Q,15,0)="","",VLOOKUP($C32,'Performance Pivot'!$C:$Q,15,0))</f>
        <v/>
      </c>
      <c r="R32" s="82"/>
      <c r="S32" s="82"/>
      <c r="T32" s="78">
        <f t="shared" si="1"/>
        <v>41883</v>
      </c>
      <c r="U32" s="80">
        <f>IF(VLOOKUP($T32,'Performance Pivot'!$S:$AF,2,0)="","",VLOOKUP($T32,'Performance Pivot'!$S:$AF,2,0))</f>
        <v>5.0900000000000001E-2</v>
      </c>
      <c r="V32" s="80">
        <f>IF(VLOOKUP($T32,'Performance Pivot'!$S:$AF,3,0)="","",VLOOKUP($T32,'Performance Pivot'!$S:$AF,3,0))</f>
        <v>5.4300000000000001E-2</v>
      </c>
      <c r="W32" s="80">
        <f>IF(VLOOKUP($T32,'Performance Pivot'!$S:$AF,4,0)="","",VLOOKUP($T32,'Performance Pivot'!$S:$AF,4,0))</f>
        <v>2.86E-2</v>
      </c>
      <c r="X32" s="80">
        <f>IF(VLOOKUP($T32,'Performance Pivot'!$S:$AF,5,0)="","",VLOOKUP($T32,'Performance Pivot'!$S:$AF,5,0))</f>
        <v>3.9E-2</v>
      </c>
      <c r="Y32" s="80">
        <f>IF(VLOOKUP($T32,'Performance Pivot'!$S:$AF,6,0)="","",VLOOKUP($T32,'Performance Pivot'!$S:$AF,6,0))</f>
        <v>0</v>
      </c>
      <c r="Z32" s="80">
        <f>IF(VLOOKUP($T32,'Performance Pivot'!$S:$AF,7,0)="","",VLOOKUP($T32,'Performance Pivot'!$S:$AF,7,0))</f>
        <v>0</v>
      </c>
      <c r="AA32" s="80">
        <f>IF(VLOOKUP($T32,'Performance Pivot'!$S:$AF,8,0)="","",VLOOKUP($T32,'Performance Pivot'!$S:$AF,8,0))</f>
        <v>0</v>
      </c>
      <c r="AB32" s="80">
        <f>IF(VLOOKUP($T32,'Performance Pivot'!$S:$AF,9,0)="","",VLOOKUP($T32,'Performance Pivot'!$S:$AF,9,0))</f>
        <v>6.1999999999999998E-3</v>
      </c>
      <c r="AC32" s="80">
        <f>IF(VLOOKUP($T32,'Performance Pivot'!$S:$AF,10,0)="","",VLOOKUP($T32,'Performance Pivot'!$S:$AF,10,0))</f>
        <v>0</v>
      </c>
      <c r="AD32" s="80" t="str">
        <f>IF(VLOOKUP($T32,'Performance Pivot'!$S:$AF,11,0)="","",VLOOKUP($T32,'Performance Pivot'!$S:$AF,11,0))</f>
        <v/>
      </c>
      <c r="AE32" s="80" t="str">
        <f>IF(VLOOKUP($T32,'Performance Pivot'!$S:$AF,12,0)="","",VLOOKUP($T32,'Performance Pivot'!$S:$AF,12,0))</f>
        <v/>
      </c>
      <c r="AF32" s="80" t="str">
        <f>IF(VLOOKUP($T32,'Performance Pivot'!$S:$AF,13,0)="","",VLOOKUP($T32,'Performance Pivot'!$S:$AF,13,0))</f>
        <v/>
      </c>
      <c r="AG32" s="80" t="str">
        <f>IF(VLOOKUP($T32,'Performance Pivot'!$S:$AF,14,0)="","",VLOOKUP($T32,'Performance Pivot'!$S:$AF,14,0))</f>
        <v/>
      </c>
      <c r="AH32" s="80" t="str">
        <f>IF(VLOOKUP($T32,'Performance Pivot'!$S:$AG,15,0)="","",VLOOKUP($T32,'Performance Pivot'!$S:$AG,15,0))</f>
        <v/>
      </c>
    </row>
    <row r="33" spans="3:47" s="81" customFormat="1" ht="21" customHeight="1">
      <c r="C33" s="78">
        <f>'Performance Pivot'!C25</f>
        <v>41913</v>
      </c>
      <c r="D33" s="79">
        <f>IF(VLOOKUP($C33,'Performance Pivot'!$C:$P,2,0)="","",VLOOKUP($C33,'Performance Pivot'!$C:$P,2,0))</f>
        <v>5.2816000000000001</v>
      </c>
      <c r="E33" s="79">
        <f>IF(VLOOKUP($C33,'Performance Pivot'!$C:$P,3,0)="","",VLOOKUP($C33,'Performance Pivot'!$C:$P,3,0))</f>
        <v>4.5232999999999999</v>
      </c>
      <c r="F33" s="79">
        <f>IF(VLOOKUP($C33,'Performance Pivot'!$C:$P,4,0)="","",VLOOKUP($C33,'Performance Pivot'!$C:$P,4,0))</f>
        <v>4.7755000000000001</v>
      </c>
      <c r="G33" s="79">
        <f>IF(VLOOKUP($C33,'Performance Pivot'!$C:$P,5,0)="","",VLOOKUP($C33,'Performance Pivot'!$C:$P,5,0))</f>
        <v>10.3561</v>
      </c>
      <c r="H33" s="79">
        <f>IF(VLOOKUP($C33,'Performance Pivot'!$C:$P,6,0)="","",VLOOKUP($C33,'Performance Pivot'!$C:$P,6,0))</f>
        <v>22.500599999999999</v>
      </c>
      <c r="I33" s="79">
        <f>IF(VLOOKUP($C33,'Performance Pivot'!$C:$P,7,0)="","",VLOOKUP($C33,'Performance Pivot'!$C:$P,7,0))</f>
        <v>22.260400000000001</v>
      </c>
      <c r="J33" s="79">
        <f>IF(VLOOKUP($C33,'Performance Pivot'!$C:$P,8,0)="","",VLOOKUP($C33,'Performance Pivot'!$C:$P,8,0))</f>
        <v>17.6995</v>
      </c>
      <c r="K33" s="79">
        <f>IF(VLOOKUP($C33,'Performance Pivot'!$C:$P,9,0)="","",VLOOKUP($C33,'Performance Pivot'!$C:$P,9,0))</f>
        <v>7.1130000000000004</v>
      </c>
      <c r="L33" s="79">
        <f>IF(VLOOKUP($C33,'Performance Pivot'!$C:$P,10,0)="","",VLOOKUP($C33,'Performance Pivot'!$C:$P,10,0))</f>
        <v>16.529800000000002</v>
      </c>
      <c r="M33" s="79" t="str">
        <f>IF(VLOOKUP($C33,'Performance Pivot'!$C:$P,11,0)="","",VLOOKUP($C33,'Performance Pivot'!$C:$P,11,0))</f>
        <v/>
      </c>
      <c r="N33" s="79" t="str">
        <f>IF(VLOOKUP($C33,'Performance Pivot'!$C:$P,12,0)="","",VLOOKUP($C33,'Performance Pivot'!$C:$P,12,0))</f>
        <v/>
      </c>
      <c r="O33" s="79" t="str">
        <f>IF(VLOOKUP($C33,'Performance Pivot'!$C:$P,13,0)="","",VLOOKUP($C33,'Performance Pivot'!$C:$P,13,0))</f>
        <v/>
      </c>
      <c r="P33" s="79" t="str">
        <f>IF(VLOOKUP($C33,'Performance Pivot'!$C:$P,14,0)="","",VLOOKUP($C33,'Performance Pivot'!$C:$P,14,0))</f>
        <v/>
      </c>
      <c r="Q33" s="79" t="str">
        <f>IF(VLOOKUP($C33,'Performance Pivot'!$C:$Q,15,0)="","",VLOOKUP($C33,'Performance Pivot'!$C:$Q,15,0))</f>
        <v/>
      </c>
      <c r="R33" s="82"/>
      <c r="S33" s="82"/>
      <c r="T33" s="78">
        <f t="shared" si="1"/>
        <v>41913</v>
      </c>
      <c r="U33" s="80">
        <f>IF(VLOOKUP($T33,'Performance Pivot'!$S:$AF,2,0)="","",VLOOKUP($T33,'Performance Pivot'!$S:$AF,2,0))</f>
        <v>5.8500000000000003E-2</v>
      </c>
      <c r="V33" s="80">
        <f>IF(VLOOKUP($T33,'Performance Pivot'!$S:$AF,3,0)="","",VLOOKUP($T33,'Performance Pivot'!$S:$AF,3,0))</f>
        <v>5.67E-2</v>
      </c>
      <c r="W33" s="80">
        <f>IF(VLOOKUP($T33,'Performance Pivot'!$S:$AF,4,0)="","",VLOOKUP($T33,'Performance Pivot'!$S:$AF,4,0))</f>
        <v>4.2700000000000002E-2</v>
      </c>
      <c r="X33" s="80">
        <f>IF(VLOOKUP($T33,'Performance Pivot'!$S:$AF,5,0)="","",VLOOKUP($T33,'Performance Pivot'!$S:$AF,5,0))</f>
        <v>2.5000000000000001E-2</v>
      </c>
      <c r="Y33" s="80">
        <f>IF(VLOOKUP($T33,'Performance Pivot'!$S:$AF,6,0)="","",VLOOKUP($T33,'Performance Pivot'!$S:$AF,6,0))</f>
        <v>0</v>
      </c>
      <c r="Z33" s="80">
        <f>IF(VLOOKUP($T33,'Performance Pivot'!$S:$AF,7,0)="","",VLOOKUP($T33,'Performance Pivot'!$S:$AF,7,0))</f>
        <v>0</v>
      </c>
      <c r="AA33" s="80">
        <f>IF(VLOOKUP($T33,'Performance Pivot'!$S:$AF,8,0)="","",VLOOKUP($T33,'Performance Pivot'!$S:$AF,8,0))</f>
        <v>0</v>
      </c>
      <c r="AB33" s="80">
        <f>IF(VLOOKUP($T33,'Performance Pivot'!$S:$AF,9,0)="","",VLOOKUP($T33,'Performance Pivot'!$S:$AF,9,0))</f>
        <v>0</v>
      </c>
      <c r="AC33" s="80">
        <f>IF(VLOOKUP($T33,'Performance Pivot'!$S:$AF,10,0)="","",VLOOKUP($T33,'Performance Pivot'!$S:$AF,10,0))</f>
        <v>0</v>
      </c>
      <c r="AD33" s="80" t="str">
        <f>IF(VLOOKUP($T33,'Performance Pivot'!$S:$AF,11,0)="","",VLOOKUP($T33,'Performance Pivot'!$S:$AF,11,0))</f>
        <v/>
      </c>
      <c r="AE33" s="80" t="str">
        <f>IF(VLOOKUP($T33,'Performance Pivot'!$S:$AF,12,0)="","",VLOOKUP($T33,'Performance Pivot'!$S:$AF,12,0))</f>
        <v/>
      </c>
      <c r="AF33" s="80" t="str">
        <f>IF(VLOOKUP($T33,'Performance Pivot'!$S:$AF,13,0)="","",VLOOKUP($T33,'Performance Pivot'!$S:$AF,13,0))</f>
        <v/>
      </c>
      <c r="AG33" s="80" t="str">
        <f>IF(VLOOKUP($T33,'Performance Pivot'!$S:$AF,14,0)="","",VLOOKUP($T33,'Performance Pivot'!$S:$AF,14,0))</f>
        <v/>
      </c>
      <c r="AH33" s="80" t="str">
        <f>IF(VLOOKUP($T33,'Performance Pivot'!$S:$AG,15,0)="","",VLOOKUP($T33,'Performance Pivot'!$S:$AG,15,0))</f>
        <v/>
      </c>
    </row>
    <row r="34" spans="3:47" s="81" customFormat="1" ht="21" customHeight="1">
      <c r="C34" s="78">
        <f>'Performance Pivot'!C24</f>
        <v>41944</v>
      </c>
      <c r="D34" s="79">
        <f>IF(VLOOKUP($C34,'Performance Pivot'!$C:$P,2,0)="","",VLOOKUP($C34,'Performance Pivot'!$C:$P,2,0))</f>
        <v>6.0025000000000004</v>
      </c>
      <c r="E34" s="79">
        <f>IF(VLOOKUP($C34,'Performance Pivot'!$C:$P,3,0)="","",VLOOKUP($C34,'Performance Pivot'!$C:$P,3,0))</f>
        <v>5.1199000000000003</v>
      </c>
      <c r="F34" s="79">
        <f>IF(VLOOKUP($C34,'Performance Pivot'!$C:$P,4,0)="","",VLOOKUP($C34,'Performance Pivot'!$C:$P,4,0))</f>
        <v>5.1914999999999996</v>
      </c>
      <c r="G34" s="79">
        <f>IF(VLOOKUP($C34,'Performance Pivot'!$C:$P,5,0)="","",VLOOKUP($C34,'Performance Pivot'!$C:$P,5,0))</f>
        <v>11.3248</v>
      </c>
      <c r="H34" s="79">
        <f>IF(VLOOKUP($C34,'Performance Pivot'!$C:$P,6,0)="","",VLOOKUP($C34,'Performance Pivot'!$C:$P,6,0))</f>
        <v>22.5213</v>
      </c>
      <c r="I34" s="79">
        <f>IF(VLOOKUP($C34,'Performance Pivot'!$C:$P,7,0)="","",VLOOKUP($C34,'Performance Pivot'!$C:$P,7,0))</f>
        <v>21.629799999999999</v>
      </c>
      <c r="J34" s="79">
        <f>IF(VLOOKUP($C34,'Performance Pivot'!$C:$P,8,0)="","",VLOOKUP($C34,'Performance Pivot'!$C:$P,8,0))</f>
        <v>18.272500000000001</v>
      </c>
      <c r="K34" s="79">
        <f>IF(VLOOKUP($C34,'Performance Pivot'!$C:$P,9,0)="","",VLOOKUP($C34,'Performance Pivot'!$C:$P,9,0))</f>
        <v>7.6486000000000001</v>
      </c>
      <c r="L34" s="79">
        <f>IF(VLOOKUP($C34,'Performance Pivot'!$C:$P,10,0)="","",VLOOKUP($C34,'Performance Pivot'!$C:$P,10,0))</f>
        <v>14.737299999999999</v>
      </c>
      <c r="M34" s="79" t="str">
        <f>IF(VLOOKUP($C34,'Performance Pivot'!$C:$P,11,0)="","",VLOOKUP($C34,'Performance Pivot'!$C:$P,11,0))</f>
        <v/>
      </c>
      <c r="N34" s="79" t="str">
        <f>IF(VLOOKUP($C34,'Performance Pivot'!$C:$P,12,0)="","",VLOOKUP($C34,'Performance Pivot'!$C:$P,12,0))</f>
        <v/>
      </c>
      <c r="O34" s="79" t="str">
        <f>IF(VLOOKUP($C34,'Performance Pivot'!$C:$P,13,0)="","",VLOOKUP($C34,'Performance Pivot'!$C:$P,13,0))</f>
        <v/>
      </c>
      <c r="P34" s="79" t="str">
        <f>IF(VLOOKUP($C34,'Performance Pivot'!$C:$P,14,0)="","",VLOOKUP($C34,'Performance Pivot'!$C:$P,14,0))</f>
        <v/>
      </c>
      <c r="Q34" s="79" t="str">
        <f>IF(VLOOKUP($C34,'Performance Pivot'!$C:$Q,15,0)="","",VLOOKUP($C34,'Performance Pivot'!$C:$Q,15,0))</f>
        <v/>
      </c>
      <c r="R34" s="82"/>
      <c r="S34" s="82"/>
      <c r="T34" s="78">
        <f t="shared" si="1"/>
        <v>41944</v>
      </c>
      <c r="U34" s="80">
        <f>IF(VLOOKUP($T34,'Performance Pivot'!$S:$AF,2,0)="","",VLOOKUP($T34,'Performance Pivot'!$S:$AF,2,0))</f>
        <v>2.3800000000000002E-2</v>
      </c>
      <c r="V34" s="80">
        <f>IF(VLOOKUP($T34,'Performance Pivot'!$S:$AF,3,0)="","",VLOOKUP($T34,'Performance Pivot'!$S:$AF,3,0))</f>
        <v>4.8800000000000003E-2</v>
      </c>
      <c r="W34" s="80">
        <f>IF(VLOOKUP($T34,'Performance Pivot'!$S:$AF,4,0)="","",VLOOKUP($T34,'Performance Pivot'!$S:$AF,4,0))</f>
        <v>2.1299999999999999E-2</v>
      </c>
      <c r="X34" s="80">
        <f>IF(VLOOKUP($T34,'Performance Pivot'!$S:$AF,5,0)="","",VLOOKUP($T34,'Performance Pivot'!$S:$AF,5,0))</f>
        <v>2.2499999999999999E-2</v>
      </c>
      <c r="Y34" s="80">
        <f>IF(VLOOKUP($T34,'Performance Pivot'!$S:$AF,6,0)="","",VLOOKUP($T34,'Performance Pivot'!$S:$AF,6,0))</f>
        <v>4.2700000000000002E-2</v>
      </c>
      <c r="Z34" s="80">
        <f>IF(VLOOKUP($T34,'Performance Pivot'!$S:$AF,7,0)="","",VLOOKUP($T34,'Performance Pivot'!$S:$AF,7,0))</f>
        <v>0</v>
      </c>
      <c r="AA34" s="80">
        <f>IF(VLOOKUP($T34,'Performance Pivot'!$S:$AF,8,0)="","",VLOOKUP($T34,'Performance Pivot'!$S:$AF,8,0))</f>
        <v>4.3099999999999999E-2</v>
      </c>
      <c r="AB34" s="80">
        <f>IF(VLOOKUP($T34,'Performance Pivot'!$S:$AF,9,0)="","",VLOOKUP($T34,'Performance Pivot'!$S:$AF,9,0))</f>
        <v>0</v>
      </c>
      <c r="AC34" s="80">
        <f>IF(VLOOKUP($T34,'Performance Pivot'!$S:$AF,10,0)="","",VLOOKUP($T34,'Performance Pivot'!$S:$AF,10,0))</f>
        <v>0</v>
      </c>
      <c r="AD34" s="80" t="str">
        <f>IF(VLOOKUP($T34,'Performance Pivot'!$S:$AF,11,0)="","",VLOOKUP($T34,'Performance Pivot'!$S:$AF,11,0))</f>
        <v/>
      </c>
      <c r="AE34" s="80" t="str">
        <f>IF(VLOOKUP($T34,'Performance Pivot'!$S:$AF,12,0)="","",VLOOKUP($T34,'Performance Pivot'!$S:$AF,12,0))</f>
        <v/>
      </c>
      <c r="AF34" s="80" t="str">
        <f>IF(VLOOKUP($T34,'Performance Pivot'!$S:$AF,13,0)="","",VLOOKUP($T34,'Performance Pivot'!$S:$AF,13,0))</f>
        <v/>
      </c>
      <c r="AG34" s="80" t="str">
        <f>IF(VLOOKUP($T34,'Performance Pivot'!$S:$AF,14,0)="","",VLOOKUP($T34,'Performance Pivot'!$S:$AF,14,0))</f>
        <v/>
      </c>
      <c r="AH34" s="80" t="str">
        <f>IF(VLOOKUP($T34,'Performance Pivot'!$S:$AG,15,0)="","",VLOOKUP($T34,'Performance Pivot'!$S:$AG,15,0))</f>
        <v/>
      </c>
    </row>
    <row r="35" spans="3:47" s="81" customFormat="1" ht="21" customHeight="1">
      <c r="C35" s="78">
        <f>'Performance Pivot'!C23</f>
        <v>41974</v>
      </c>
      <c r="D35" s="79">
        <f>IF(VLOOKUP($C35,'Performance Pivot'!$C:$P,2,0)="","",VLOOKUP($C35,'Performance Pivot'!$C:$P,2,0))</f>
        <v>5.2076000000000002</v>
      </c>
      <c r="E35" s="79">
        <f>IF(VLOOKUP($C35,'Performance Pivot'!$C:$P,3,0)="","",VLOOKUP($C35,'Performance Pivot'!$C:$P,3,0))</f>
        <v>3.7650000000000001</v>
      </c>
      <c r="F35" s="79">
        <f>IF(VLOOKUP($C35,'Performance Pivot'!$C:$P,4,0)="","",VLOOKUP($C35,'Performance Pivot'!$C:$P,4,0))</f>
        <v>4.2118000000000002</v>
      </c>
      <c r="G35" s="79">
        <f>IF(VLOOKUP($C35,'Performance Pivot'!$C:$P,5,0)="","",VLOOKUP($C35,'Performance Pivot'!$C:$P,5,0))</f>
        <v>9.6349999999999998</v>
      </c>
      <c r="H35" s="79">
        <f>IF(VLOOKUP($C35,'Performance Pivot'!$C:$P,6,0)="","",VLOOKUP($C35,'Performance Pivot'!$C:$P,6,0))</f>
        <v>19.411799999999999</v>
      </c>
      <c r="I35" s="79">
        <f>IF(VLOOKUP($C35,'Performance Pivot'!$C:$P,7,0)="","",VLOOKUP($C35,'Performance Pivot'!$C:$P,7,0))</f>
        <v>21.002500000000001</v>
      </c>
      <c r="J35" s="79">
        <f>IF(VLOOKUP($C35,'Performance Pivot'!$C:$P,8,0)="","",VLOOKUP($C35,'Performance Pivot'!$C:$P,8,0))</f>
        <v>15.596500000000001</v>
      </c>
      <c r="K35" s="79">
        <f>IF(VLOOKUP($C35,'Performance Pivot'!$C:$P,9,0)="","",VLOOKUP($C35,'Performance Pivot'!$C:$P,9,0))</f>
        <v>6.3979999999999997</v>
      </c>
      <c r="L35" s="79">
        <f>IF(VLOOKUP($C35,'Performance Pivot'!$C:$P,10,0)="","",VLOOKUP($C35,'Performance Pivot'!$C:$P,10,0))</f>
        <v>15.9307</v>
      </c>
      <c r="M35" s="79" t="str">
        <f>IF(VLOOKUP($C35,'Performance Pivot'!$C:$P,11,0)="","",VLOOKUP($C35,'Performance Pivot'!$C:$P,11,0))</f>
        <v/>
      </c>
      <c r="N35" s="79" t="str">
        <f>IF(VLOOKUP($C35,'Performance Pivot'!$C:$P,12,0)="","",VLOOKUP($C35,'Performance Pivot'!$C:$P,12,0))</f>
        <v/>
      </c>
      <c r="O35" s="79" t="str">
        <f>IF(VLOOKUP($C35,'Performance Pivot'!$C:$P,13,0)="","",VLOOKUP($C35,'Performance Pivot'!$C:$P,13,0))</f>
        <v/>
      </c>
      <c r="P35" s="79" t="str">
        <f>IF(VLOOKUP($C35,'Performance Pivot'!$C:$P,14,0)="","",VLOOKUP($C35,'Performance Pivot'!$C:$P,14,0))</f>
        <v/>
      </c>
      <c r="Q35" s="79" t="str">
        <f>IF(VLOOKUP($C35,'Performance Pivot'!$C:$Q,15,0)="","",VLOOKUP($C35,'Performance Pivot'!$C:$Q,15,0))</f>
        <v/>
      </c>
      <c r="R35" s="82"/>
      <c r="S35" s="82"/>
      <c r="T35" s="78">
        <f t="shared" si="1"/>
        <v>41974</v>
      </c>
      <c r="U35" s="80">
        <f>IF(VLOOKUP($T35,'Performance Pivot'!$S:$AF,2,0)="","",VLOOKUP($T35,'Performance Pivot'!$S:$AF,2,0))</f>
        <v>9.3100000000000002E-2</v>
      </c>
      <c r="V35" s="80">
        <f>IF(VLOOKUP($T35,'Performance Pivot'!$S:$AF,3,0)="","",VLOOKUP($T35,'Performance Pivot'!$S:$AF,3,0))</f>
        <v>2.7799999999999998E-2</v>
      </c>
      <c r="W35" s="80">
        <f>IF(VLOOKUP($T35,'Performance Pivot'!$S:$AF,4,0)="","",VLOOKUP($T35,'Performance Pivot'!$S:$AF,4,0))</f>
        <v>6.59E-2</v>
      </c>
      <c r="X35" s="80">
        <f>IF(VLOOKUP($T35,'Performance Pivot'!$S:$AF,5,0)="","",VLOOKUP($T35,'Performance Pivot'!$S:$AF,5,0))</f>
        <v>3.2599999999999997E-2</v>
      </c>
      <c r="Y35" s="80">
        <f>IF(VLOOKUP($T35,'Performance Pivot'!$S:$AF,6,0)="","",VLOOKUP($T35,'Performance Pivot'!$S:$AF,6,0))</f>
        <v>0</v>
      </c>
      <c r="Z35" s="80">
        <f>IF(VLOOKUP($T35,'Performance Pivot'!$S:$AF,7,0)="","",VLOOKUP($T35,'Performance Pivot'!$S:$AF,7,0))</f>
        <v>0</v>
      </c>
      <c r="AA35" s="80">
        <f>IF(VLOOKUP($T35,'Performance Pivot'!$S:$AF,8,0)="","",VLOOKUP($T35,'Performance Pivot'!$S:$AF,8,0))</f>
        <v>0.1948</v>
      </c>
      <c r="AB35" s="80">
        <f>IF(VLOOKUP($T35,'Performance Pivot'!$S:$AF,9,0)="","",VLOOKUP($T35,'Performance Pivot'!$S:$AF,9,0))</f>
        <v>2.5999999999999999E-2</v>
      </c>
      <c r="AC35" s="80">
        <f>IF(VLOOKUP($T35,'Performance Pivot'!$S:$AF,10,0)="","",VLOOKUP($T35,'Performance Pivot'!$S:$AF,10,0))</f>
        <v>0</v>
      </c>
      <c r="AD35" s="80" t="str">
        <f>IF(VLOOKUP($T35,'Performance Pivot'!$S:$AF,11,0)="","",VLOOKUP($T35,'Performance Pivot'!$S:$AF,11,0))</f>
        <v/>
      </c>
      <c r="AE35" s="80" t="str">
        <f>IF(VLOOKUP($T35,'Performance Pivot'!$S:$AF,12,0)="","",VLOOKUP($T35,'Performance Pivot'!$S:$AF,12,0))</f>
        <v/>
      </c>
      <c r="AF35" s="80" t="str">
        <f>IF(VLOOKUP($T35,'Performance Pivot'!$S:$AF,13,0)="","",VLOOKUP($T35,'Performance Pivot'!$S:$AF,13,0))</f>
        <v/>
      </c>
      <c r="AG35" s="80" t="str">
        <f>IF(VLOOKUP($T35,'Performance Pivot'!$S:$AF,14,0)="","",VLOOKUP($T35,'Performance Pivot'!$S:$AF,14,0))</f>
        <v/>
      </c>
      <c r="AH35" s="80" t="str">
        <f>IF(VLOOKUP($T35,'Performance Pivot'!$S:$AG,15,0)="","",VLOOKUP($T35,'Performance Pivot'!$S:$AG,15,0))</f>
        <v/>
      </c>
    </row>
    <row r="36" spans="3:47" s="81" customFormat="1" ht="21" customHeight="1">
      <c r="C36" s="78">
        <f>'Performance Pivot'!C22</f>
        <v>42005</v>
      </c>
      <c r="D36" s="79">
        <f>IF(VLOOKUP($C36,'Performance Pivot'!$C:$P,2,0)="","",VLOOKUP($C36,'Performance Pivot'!$C:$P,2,0))</f>
        <v>7.9896000000000003</v>
      </c>
      <c r="E36" s="79">
        <f>IF(VLOOKUP($C36,'Performance Pivot'!$C:$P,3,0)="","",VLOOKUP($C36,'Performance Pivot'!$C:$P,3,0))</f>
        <v>4.7008000000000001</v>
      </c>
      <c r="F36" s="79">
        <f>IF(VLOOKUP($C36,'Performance Pivot'!$C:$P,4,0)="","",VLOOKUP($C36,'Performance Pivot'!$C:$P,4,0))</f>
        <v>5.9295999999999998</v>
      </c>
      <c r="G36" s="79">
        <f>IF(VLOOKUP($C36,'Performance Pivot'!$C:$P,5,0)="","",VLOOKUP($C36,'Performance Pivot'!$C:$P,5,0))</f>
        <v>17.597200000000001</v>
      </c>
      <c r="H36" s="79">
        <f>IF(VLOOKUP($C36,'Performance Pivot'!$C:$P,6,0)="","",VLOOKUP($C36,'Performance Pivot'!$C:$P,6,0))</f>
        <v>37.158299999999997</v>
      </c>
      <c r="I36" s="79">
        <f>IF(VLOOKUP($C36,'Performance Pivot'!$C:$P,7,0)="","",VLOOKUP($C36,'Performance Pivot'!$C:$P,7,0))</f>
        <v>35.541899999999998</v>
      </c>
      <c r="J36" s="79">
        <f>IF(VLOOKUP($C36,'Performance Pivot'!$C:$P,8,0)="","",VLOOKUP($C36,'Performance Pivot'!$C:$P,8,0))</f>
        <v>30.398</v>
      </c>
      <c r="K36" s="79">
        <f>IF(VLOOKUP($C36,'Performance Pivot'!$C:$P,9,0)="","",VLOOKUP($C36,'Performance Pivot'!$C:$P,9,0))</f>
        <v>11.402200000000001</v>
      </c>
      <c r="L36" s="79">
        <f>IF(VLOOKUP($C36,'Performance Pivot'!$C:$P,10,0)="","",VLOOKUP($C36,'Performance Pivot'!$C:$P,10,0))</f>
        <v>28.165900000000001</v>
      </c>
      <c r="M36" s="79">
        <f>IF(VLOOKUP($C36,'Performance Pivot'!$C:$P,11,0)="","",VLOOKUP($C36,'Performance Pivot'!$C:$P,11,0))</f>
        <v>51.978200000000001</v>
      </c>
      <c r="N36" s="79" t="str">
        <f>IF(VLOOKUP($C36,'Performance Pivot'!$C:$P,12,0)="","",VLOOKUP($C36,'Performance Pivot'!$C:$P,12,0))</f>
        <v/>
      </c>
      <c r="O36" s="79" t="str">
        <f>IF(VLOOKUP($C36,'Performance Pivot'!$C:$P,13,0)="","",VLOOKUP($C36,'Performance Pivot'!$C:$P,13,0))</f>
        <v/>
      </c>
      <c r="P36" s="79" t="str">
        <f>IF(VLOOKUP($C36,'Performance Pivot'!$C:$P,14,0)="","",VLOOKUP($C36,'Performance Pivot'!$C:$P,14,0))</f>
        <v/>
      </c>
      <c r="Q36" s="79" t="str">
        <f>IF(VLOOKUP($C36,'Performance Pivot'!$C:$Q,15,0)="","",VLOOKUP($C36,'Performance Pivot'!$C:$Q,15,0))</f>
        <v/>
      </c>
      <c r="R36" s="82"/>
      <c r="S36" s="82"/>
      <c r="T36" s="78">
        <f t="shared" si="1"/>
        <v>42005</v>
      </c>
      <c r="U36" s="80">
        <f>IF(VLOOKUP($T36,'Performance Pivot'!$S:$AF,2,0)="","",VLOOKUP($T36,'Performance Pivot'!$S:$AF,2,0))</f>
        <v>3.1E-2</v>
      </c>
      <c r="V36" s="80">
        <f>IF(VLOOKUP($T36,'Performance Pivot'!$S:$AF,3,0)="","",VLOOKUP($T36,'Performance Pivot'!$S:$AF,3,0))</f>
        <v>8.4000000000000005E-2</v>
      </c>
      <c r="W36" s="80">
        <f>IF(VLOOKUP($T36,'Performance Pivot'!$S:$AF,4,0)="","",VLOOKUP($T36,'Performance Pivot'!$S:$AF,4,0))</f>
        <v>2.35E-2</v>
      </c>
      <c r="X36" s="80">
        <f>IF(VLOOKUP($T36,'Performance Pivot'!$S:$AF,5,0)="","",VLOOKUP($T36,'Performance Pivot'!$S:$AF,5,0))</f>
        <v>3.6299999999999999E-2</v>
      </c>
      <c r="Y36" s="80">
        <f>IF(VLOOKUP($T36,'Performance Pivot'!$S:$AF,6,0)="","",VLOOKUP($T36,'Performance Pivot'!$S:$AF,6,0))</f>
        <v>4.1000000000000002E-2</v>
      </c>
      <c r="Z36" s="80">
        <f>IF(VLOOKUP($T36,'Performance Pivot'!$S:$AF,7,0)="","",VLOOKUP($T36,'Performance Pivot'!$S:$AF,7,0))</f>
        <v>0</v>
      </c>
      <c r="AA36" s="80">
        <f>IF(VLOOKUP($T36,'Performance Pivot'!$S:$AF,8,0)="","",VLOOKUP($T36,'Performance Pivot'!$S:$AF,8,0))</f>
        <v>0</v>
      </c>
      <c r="AB36" s="80">
        <f>IF(VLOOKUP($T36,'Performance Pivot'!$S:$AF,9,0)="","",VLOOKUP($T36,'Performance Pivot'!$S:$AF,9,0))</f>
        <v>6.5199999999999994E-2</v>
      </c>
      <c r="AC36" s="80">
        <f>IF(VLOOKUP($T36,'Performance Pivot'!$S:$AF,10,0)="","",VLOOKUP($T36,'Performance Pivot'!$S:$AF,10,0))</f>
        <v>0</v>
      </c>
      <c r="AD36" s="80">
        <f>IF(VLOOKUP($T36,'Performance Pivot'!$S:$AF,11,0)="","",VLOOKUP($T36,'Performance Pivot'!$S:$AF,11,0))</f>
        <v>0</v>
      </c>
      <c r="AE36" s="80" t="str">
        <f>IF(VLOOKUP($T36,'Performance Pivot'!$S:$AF,12,0)="","",VLOOKUP($T36,'Performance Pivot'!$S:$AF,12,0))</f>
        <v/>
      </c>
      <c r="AF36" s="80" t="str">
        <f>IF(VLOOKUP($T36,'Performance Pivot'!$S:$AF,13,0)="","",VLOOKUP($T36,'Performance Pivot'!$S:$AF,13,0))</f>
        <v/>
      </c>
      <c r="AG36" s="80" t="str">
        <f>IF(VLOOKUP($T36,'Performance Pivot'!$S:$AF,14,0)="","",VLOOKUP($T36,'Performance Pivot'!$S:$AF,14,0))</f>
        <v/>
      </c>
      <c r="AH36" s="80" t="str">
        <f>IF(VLOOKUP($T36,'Performance Pivot'!$S:$AG,15,0)="","",VLOOKUP($T36,'Performance Pivot'!$S:$AG,15,0))</f>
        <v/>
      </c>
    </row>
    <row r="37" spans="3:47" s="81" customFormat="1" ht="21" customHeight="1">
      <c r="C37" s="78">
        <f>'Performance Pivot'!C21</f>
        <v>42036</v>
      </c>
      <c r="D37" s="79">
        <f>IF(VLOOKUP($C37,'Performance Pivot'!$C:$P,2,0)="","",VLOOKUP($C37,'Performance Pivot'!$C:$P,2,0))</f>
        <v>11.042299999999999</v>
      </c>
      <c r="E37" s="79">
        <f>IF(VLOOKUP($C37,'Performance Pivot'!$C:$P,3,0)="","",VLOOKUP($C37,'Performance Pivot'!$C:$P,3,0))</f>
        <v>7.3334999999999999</v>
      </c>
      <c r="F37" s="79">
        <f>IF(VLOOKUP($C37,'Performance Pivot'!$C:$P,4,0)="","",VLOOKUP($C37,'Performance Pivot'!$C:$P,4,0))</f>
        <v>7.6299000000000001</v>
      </c>
      <c r="G37" s="79">
        <f>IF(VLOOKUP($C37,'Performance Pivot'!$C:$P,5,0)="","",VLOOKUP($C37,'Performance Pivot'!$C:$P,5,0))</f>
        <v>19.887699999999999</v>
      </c>
      <c r="H37" s="79">
        <f>IF(VLOOKUP($C37,'Performance Pivot'!$C:$P,6,0)="","",VLOOKUP($C37,'Performance Pivot'!$C:$P,6,0))</f>
        <v>38.846600000000002</v>
      </c>
      <c r="I37" s="79">
        <f>IF(VLOOKUP($C37,'Performance Pivot'!$C:$P,7,0)="","",VLOOKUP($C37,'Performance Pivot'!$C:$P,7,0))</f>
        <v>41.523499999999999</v>
      </c>
      <c r="J37" s="79">
        <f>IF(VLOOKUP($C37,'Performance Pivot'!$C:$P,8,0)="","",VLOOKUP($C37,'Performance Pivot'!$C:$P,8,0))</f>
        <v>33.429000000000002</v>
      </c>
      <c r="K37" s="79">
        <f>IF(VLOOKUP($C37,'Performance Pivot'!$C:$P,9,0)="","",VLOOKUP($C37,'Performance Pivot'!$C:$P,9,0))</f>
        <v>14.1052</v>
      </c>
      <c r="L37" s="79">
        <f>IF(VLOOKUP($C37,'Performance Pivot'!$C:$P,10,0)="","",VLOOKUP($C37,'Performance Pivot'!$C:$P,10,0))</f>
        <v>34.780200000000001</v>
      </c>
      <c r="M37" s="79">
        <f>IF(VLOOKUP($C37,'Performance Pivot'!$C:$P,11,0)="","",VLOOKUP($C37,'Performance Pivot'!$C:$P,11,0))</f>
        <v>37.950000000000003</v>
      </c>
      <c r="N37" s="79" t="str">
        <f>IF(VLOOKUP($C37,'Performance Pivot'!$C:$P,12,0)="","",VLOOKUP($C37,'Performance Pivot'!$C:$P,12,0))</f>
        <v/>
      </c>
      <c r="O37" s="79" t="str">
        <f>IF(VLOOKUP($C37,'Performance Pivot'!$C:$P,13,0)="","",VLOOKUP($C37,'Performance Pivot'!$C:$P,13,0))</f>
        <v/>
      </c>
      <c r="P37" s="79" t="str">
        <f>IF(VLOOKUP($C37,'Performance Pivot'!$C:$P,14,0)="","",VLOOKUP($C37,'Performance Pivot'!$C:$P,14,0))</f>
        <v/>
      </c>
      <c r="Q37" s="79" t="str">
        <f>IF(VLOOKUP($C37,'Performance Pivot'!$C:$Q,15,0)="","",VLOOKUP($C37,'Performance Pivot'!$C:$Q,15,0))</f>
        <v/>
      </c>
      <c r="R37" s="82"/>
      <c r="S37" s="82"/>
      <c r="T37" s="78">
        <f t="shared" si="1"/>
        <v>42036</v>
      </c>
      <c r="U37" s="80">
        <f>IF(VLOOKUP($T37,'Performance Pivot'!$S:$AF,2,0)="","",VLOOKUP($T37,'Performance Pivot'!$S:$AF,2,0))</f>
        <v>5.7599999999999998E-2</v>
      </c>
      <c r="V37" s="80">
        <f>IF(VLOOKUP($T37,'Performance Pivot'!$S:$AF,3,0)="","",VLOOKUP($T37,'Performance Pivot'!$S:$AF,3,0))</f>
        <v>4.3700000000000003E-2</v>
      </c>
      <c r="W37" s="80">
        <f>IF(VLOOKUP($T37,'Performance Pivot'!$S:$AF,4,0)="","",VLOOKUP($T37,'Performance Pivot'!$S:$AF,4,0))</f>
        <v>3.1099999999999999E-2</v>
      </c>
      <c r="X37" s="80">
        <f>IF(VLOOKUP($T37,'Performance Pivot'!$S:$AF,5,0)="","",VLOOKUP($T37,'Performance Pivot'!$S:$AF,5,0))</f>
        <v>3.4700000000000002E-2</v>
      </c>
      <c r="Y37" s="80">
        <f>IF(VLOOKUP($T37,'Performance Pivot'!$S:$AF,6,0)="","",VLOOKUP($T37,'Performance Pivot'!$S:$AF,6,0))</f>
        <v>4.6100000000000002E-2</v>
      </c>
      <c r="Z37" s="80">
        <f>IF(VLOOKUP($T37,'Performance Pivot'!$S:$AF,7,0)="","",VLOOKUP($T37,'Performance Pivot'!$S:$AF,7,0))</f>
        <v>1.9099999999999999E-2</v>
      </c>
      <c r="AA37" s="80">
        <f>IF(VLOOKUP($T37,'Performance Pivot'!$S:$AF,8,0)="","",VLOOKUP($T37,'Performance Pivot'!$S:$AF,8,0))</f>
        <v>0.1084</v>
      </c>
      <c r="AB37" s="80">
        <f>IF(VLOOKUP($T37,'Performance Pivot'!$S:$AF,9,0)="","",VLOOKUP($T37,'Performance Pivot'!$S:$AF,9,0))</f>
        <v>8.3799999999999999E-2</v>
      </c>
      <c r="AC37" s="80">
        <f>IF(VLOOKUP($T37,'Performance Pivot'!$S:$AF,10,0)="","",VLOOKUP($T37,'Performance Pivot'!$S:$AF,10,0))</f>
        <v>0.18659999999999999</v>
      </c>
      <c r="AD37" s="80">
        <f>IF(VLOOKUP($T37,'Performance Pivot'!$S:$AF,11,0)="","",VLOOKUP($T37,'Performance Pivot'!$S:$AF,11,0))</f>
        <v>0</v>
      </c>
      <c r="AE37" s="80" t="str">
        <f>IF(VLOOKUP($T37,'Performance Pivot'!$S:$AF,12,0)="","",VLOOKUP($T37,'Performance Pivot'!$S:$AF,12,0))</f>
        <v/>
      </c>
      <c r="AF37" s="80" t="str">
        <f>IF(VLOOKUP($T37,'Performance Pivot'!$S:$AF,13,0)="","",VLOOKUP($T37,'Performance Pivot'!$S:$AF,13,0))</f>
        <v/>
      </c>
      <c r="AG37" s="80" t="str">
        <f>IF(VLOOKUP($T37,'Performance Pivot'!$S:$AF,14,0)="","",VLOOKUP($T37,'Performance Pivot'!$S:$AF,14,0))</f>
        <v/>
      </c>
      <c r="AH37" s="80" t="str">
        <f>IF(VLOOKUP($T37,'Performance Pivot'!$S:$AG,15,0)="","",VLOOKUP($T37,'Performance Pivot'!$S:$AG,15,0))</f>
        <v/>
      </c>
    </row>
    <row r="38" spans="3:47" s="81" customFormat="1" ht="21" customHeight="1">
      <c r="C38" s="78">
        <f>'Performance Pivot'!C20</f>
        <v>42064</v>
      </c>
      <c r="D38" s="79">
        <f>IF(VLOOKUP($C38,'Performance Pivot'!$C:$P,2,0)="","",VLOOKUP($C38,'Performance Pivot'!$C:$P,2,0))</f>
        <v>9.9810999999999996</v>
      </c>
      <c r="E38" s="79">
        <f>IF(VLOOKUP($C38,'Performance Pivot'!$C:$P,3,0)="","",VLOOKUP($C38,'Performance Pivot'!$C:$P,3,0))</f>
        <v>7.4539999999999997</v>
      </c>
      <c r="F38" s="79">
        <f>IF(VLOOKUP($C38,'Performance Pivot'!$C:$P,4,0)="","",VLOOKUP($C38,'Performance Pivot'!$C:$P,4,0))</f>
        <v>8.0511999999999997</v>
      </c>
      <c r="G38" s="79">
        <f>IF(VLOOKUP($C38,'Performance Pivot'!$C:$P,5,0)="","",VLOOKUP($C38,'Performance Pivot'!$C:$P,5,0))</f>
        <v>13.9582</v>
      </c>
      <c r="H38" s="79">
        <f>IF(VLOOKUP($C38,'Performance Pivot'!$C:$P,6,0)="","",VLOOKUP($C38,'Performance Pivot'!$C:$P,6,0))</f>
        <v>27.4253</v>
      </c>
      <c r="I38" s="79">
        <f>IF(VLOOKUP($C38,'Performance Pivot'!$C:$P,7,0)="","",VLOOKUP($C38,'Performance Pivot'!$C:$P,7,0))</f>
        <v>27.0959</v>
      </c>
      <c r="J38" s="79">
        <f>IF(VLOOKUP($C38,'Performance Pivot'!$C:$P,8,0)="","",VLOOKUP($C38,'Performance Pivot'!$C:$P,8,0))</f>
        <v>22.344000000000001</v>
      </c>
      <c r="K38" s="79">
        <f>IF(VLOOKUP($C38,'Performance Pivot'!$C:$P,9,0)="","",VLOOKUP($C38,'Performance Pivot'!$C:$P,9,0))</f>
        <v>12.1469</v>
      </c>
      <c r="L38" s="79">
        <f>IF(VLOOKUP($C38,'Performance Pivot'!$C:$P,10,0)="","",VLOOKUP($C38,'Performance Pivot'!$C:$P,10,0))</f>
        <v>22.173100000000002</v>
      </c>
      <c r="M38" s="79">
        <f>IF(VLOOKUP($C38,'Performance Pivot'!$C:$P,11,0)="","",VLOOKUP($C38,'Performance Pivot'!$C:$P,11,0))</f>
        <v>23.9587</v>
      </c>
      <c r="N38" s="79" t="str">
        <f>IF(VLOOKUP($C38,'Performance Pivot'!$C:$P,12,0)="","",VLOOKUP($C38,'Performance Pivot'!$C:$P,12,0))</f>
        <v/>
      </c>
      <c r="O38" s="79">
        <f>IF(VLOOKUP($C38,'Performance Pivot'!$C:$P,13,0)="","",VLOOKUP($C38,'Performance Pivot'!$C:$P,13,0))</f>
        <v>39.482300000000002</v>
      </c>
      <c r="P38" s="79" t="str">
        <f>IF(VLOOKUP($C38,'Performance Pivot'!$C:$P,14,0)="","",VLOOKUP($C38,'Performance Pivot'!$C:$P,14,0))</f>
        <v/>
      </c>
      <c r="Q38" s="79" t="str">
        <f>IF(VLOOKUP($C38,'Performance Pivot'!$C:$Q,15,0)="","",VLOOKUP($C38,'Performance Pivot'!$C:$Q,15,0))</f>
        <v/>
      </c>
      <c r="R38" s="82"/>
      <c r="S38" s="82"/>
      <c r="T38" s="78">
        <f t="shared" si="1"/>
        <v>42064</v>
      </c>
      <c r="U38" s="80">
        <f>IF(VLOOKUP($T38,'Performance Pivot'!$S:$AF,2,0)="","",VLOOKUP($T38,'Performance Pivot'!$S:$AF,2,0))</f>
        <v>7.2300000000000003E-2</v>
      </c>
      <c r="V38" s="80">
        <f>IF(VLOOKUP($T38,'Performance Pivot'!$S:$AF,3,0)="","",VLOOKUP($T38,'Performance Pivot'!$S:$AF,3,0))</f>
        <v>6.3100000000000003E-2</v>
      </c>
      <c r="W38" s="80">
        <f>IF(VLOOKUP($T38,'Performance Pivot'!$S:$AF,4,0)="","",VLOOKUP($T38,'Performance Pivot'!$S:$AF,4,0))</f>
        <v>2.2800000000000001E-2</v>
      </c>
      <c r="X38" s="80">
        <f>IF(VLOOKUP($T38,'Performance Pivot'!$S:$AF,5,0)="","",VLOOKUP($T38,'Performance Pivot'!$S:$AF,5,0))</f>
        <v>4.1599999999999998E-2</v>
      </c>
      <c r="Y38" s="80">
        <f>IF(VLOOKUP($T38,'Performance Pivot'!$S:$AF,6,0)="","",VLOOKUP($T38,'Performance Pivot'!$S:$AF,6,0))</f>
        <v>9.6799999999999997E-2</v>
      </c>
      <c r="Z38" s="80">
        <f>IF(VLOOKUP($T38,'Performance Pivot'!$S:$AF,7,0)="","",VLOOKUP($T38,'Performance Pivot'!$S:$AF,7,0))</f>
        <v>0</v>
      </c>
      <c r="AA38" s="80">
        <f>IF(VLOOKUP($T38,'Performance Pivot'!$S:$AF,8,0)="","",VLOOKUP($T38,'Performance Pivot'!$S:$AF,8,0))</f>
        <v>0.1807</v>
      </c>
      <c r="AB38" s="80">
        <f>IF(VLOOKUP($T38,'Performance Pivot'!$S:$AF,9,0)="","",VLOOKUP($T38,'Performance Pivot'!$S:$AF,9,0))</f>
        <v>0.06</v>
      </c>
      <c r="AC38" s="80">
        <f>IF(VLOOKUP($T38,'Performance Pivot'!$S:$AF,10,0)="","",VLOOKUP($T38,'Performance Pivot'!$S:$AF,10,0))</f>
        <v>0.1017</v>
      </c>
      <c r="AD38" s="80">
        <f>IF(VLOOKUP($T38,'Performance Pivot'!$S:$AF,11,0)="","",VLOOKUP($T38,'Performance Pivot'!$S:$AF,11,0))</f>
        <v>0</v>
      </c>
      <c r="AE38" s="80" t="str">
        <f>IF(VLOOKUP($T38,'Performance Pivot'!$S:$AF,12,0)="","",VLOOKUP($T38,'Performance Pivot'!$S:$AF,12,0))</f>
        <v/>
      </c>
      <c r="AF38" s="80">
        <f>IF(VLOOKUP($T38,'Performance Pivot'!$S:$AF,13,0)="","",VLOOKUP($T38,'Performance Pivot'!$S:$AF,13,0))</f>
        <v>0</v>
      </c>
      <c r="AG38" s="80" t="str">
        <f>IF(VLOOKUP($T38,'Performance Pivot'!$S:$AF,14,0)="","",VLOOKUP($T38,'Performance Pivot'!$S:$AF,14,0))</f>
        <v/>
      </c>
      <c r="AH38" s="80" t="str">
        <f>IF(VLOOKUP($T38,'Performance Pivot'!$S:$AG,15,0)="","",VLOOKUP($T38,'Performance Pivot'!$S:$AG,15,0))</f>
        <v/>
      </c>
    </row>
    <row r="39" spans="3:47" s="81" customFormat="1" ht="21" customHeight="1">
      <c r="C39" s="78">
        <f>'Performance Pivot'!C19</f>
        <v>42095</v>
      </c>
      <c r="D39" s="79">
        <f>IF(VLOOKUP($C39,'Performance Pivot'!$C:$P,2,0)="","",VLOOKUP($C39,'Performance Pivot'!$C:$P,2,0))</f>
        <v>9.9797999999999991</v>
      </c>
      <c r="E39" s="79">
        <f>IF(VLOOKUP($C39,'Performance Pivot'!$C:$P,3,0)="","",VLOOKUP($C39,'Performance Pivot'!$C:$P,3,0))</f>
        <v>8.0878999999999994</v>
      </c>
      <c r="F39" s="79">
        <f>IF(VLOOKUP($C39,'Performance Pivot'!$C:$P,4,0)="","",VLOOKUP($C39,'Performance Pivot'!$C:$P,4,0))</f>
        <v>9.2845999999999993</v>
      </c>
      <c r="G39" s="79">
        <f>IF(VLOOKUP($C39,'Performance Pivot'!$C:$P,5,0)="","",VLOOKUP($C39,'Performance Pivot'!$C:$P,5,0))</f>
        <v>13.7494</v>
      </c>
      <c r="H39" s="79">
        <f>IF(VLOOKUP($C39,'Performance Pivot'!$C:$P,6,0)="","",VLOOKUP($C39,'Performance Pivot'!$C:$P,6,0))</f>
        <v>24.923400000000001</v>
      </c>
      <c r="I39" s="79">
        <f>IF(VLOOKUP($C39,'Performance Pivot'!$C:$P,7,0)="","",VLOOKUP($C39,'Performance Pivot'!$C:$P,7,0))</f>
        <v>23.529800000000002</v>
      </c>
      <c r="J39" s="79">
        <f>IF(VLOOKUP($C39,'Performance Pivot'!$C:$P,8,0)="","",VLOOKUP($C39,'Performance Pivot'!$C:$P,8,0))</f>
        <v>21.953800000000001</v>
      </c>
      <c r="K39" s="79">
        <f>IF(VLOOKUP($C39,'Performance Pivot'!$C:$P,9,0)="","",VLOOKUP($C39,'Performance Pivot'!$C:$P,9,0))</f>
        <v>12.386200000000001</v>
      </c>
      <c r="L39" s="79">
        <f>IF(VLOOKUP($C39,'Performance Pivot'!$C:$P,10,0)="","",VLOOKUP($C39,'Performance Pivot'!$C:$P,10,0))</f>
        <v>20.960100000000001</v>
      </c>
      <c r="M39" s="79">
        <f>IF(VLOOKUP($C39,'Performance Pivot'!$C:$P,11,0)="","",VLOOKUP($C39,'Performance Pivot'!$C:$P,11,0))</f>
        <v>22.691099999999999</v>
      </c>
      <c r="N39" s="79">
        <f>IF(VLOOKUP($C39,'Performance Pivot'!$C:$P,12,0)="","",VLOOKUP($C39,'Performance Pivot'!$C:$P,12,0))</f>
        <v>16.482600000000001</v>
      </c>
      <c r="O39" s="79">
        <f>IF(VLOOKUP($C39,'Performance Pivot'!$C:$P,13,0)="","",VLOOKUP($C39,'Performance Pivot'!$C:$P,13,0))</f>
        <v>17.138100000000001</v>
      </c>
      <c r="P39" s="79">
        <f>IF(VLOOKUP($C39,'Performance Pivot'!$C:$P,14,0)="","",VLOOKUP($C39,'Performance Pivot'!$C:$P,14,0))</f>
        <v>12.428100000000001</v>
      </c>
      <c r="Q39" s="79" t="str">
        <f>IF(VLOOKUP($C39,'Performance Pivot'!$C:$Q,15,0)="","",VLOOKUP($C39,'Performance Pivot'!$C:$Q,15,0))</f>
        <v/>
      </c>
      <c r="R39" s="82"/>
      <c r="S39" s="82"/>
      <c r="T39" s="78">
        <f t="shared" si="1"/>
        <v>42095</v>
      </c>
      <c r="U39" s="80">
        <f>IF(VLOOKUP($T39,'Performance Pivot'!$S:$AF,2,0)="","",VLOOKUP($T39,'Performance Pivot'!$S:$AF,2,0))</f>
        <v>5.2200000000000003E-2</v>
      </c>
      <c r="V39" s="80">
        <f>IF(VLOOKUP($T39,'Performance Pivot'!$S:$AF,3,0)="","",VLOOKUP($T39,'Performance Pivot'!$S:$AF,3,0))</f>
        <v>0.1116</v>
      </c>
      <c r="W39" s="80">
        <f>IF(VLOOKUP($T39,'Performance Pivot'!$S:$AF,4,0)="","",VLOOKUP($T39,'Performance Pivot'!$S:$AF,4,0))</f>
        <v>6.3500000000000001E-2</v>
      </c>
      <c r="X39" s="80">
        <f>IF(VLOOKUP($T39,'Performance Pivot'!$S:$AF,5,0)="","",VLOOKUP($T39,'Performance Pivot'!$S:$AF,5,0))</f>
        <v>5.2600000000000001E-2</v>
      </c>
      <c r="Y39" s="80">
        <f>IF(VLOOKUP($T39,'Performance Pivot'!$S:$AF,6,0)="","",VLOOKUP($T39,'Performance Pivot'!$S:$AF,6,0))</f>
        <v>5.9700000000000003E-2</v>
      </c>
      <c r="Z39" s="80">
        <f>IF(VLOOKUP($T39,'Performance Pivot'!$S:$AF,7,0)="","",VLOOKUP($T39,'Performance Pivot'!$S:$AF,7,0))</f>
        <v>6.83E-2</v>
      </c>
      <c r="AA39" s="80">
        <f>IF(VLOOKUP($T39,'Performance Pivot'!$S:$AF,8,0)="","",VLOOKUP($T39,'Performance Pivot'!$S:$AF,8,0))</f>
        <v>0.22869999999999999</v>
      </c>
      <c r="AB39" s="80">
        <f>IF(VLOOKUP($T39,'Performance Pivot'!$S:$AF,9,0)="","",VLOOKUP($T39,'Performance Pivot'!$S:$AF,9,0))</f>
        <v>6.0499999999999998E-2</v>
      </c>
      <c r="AC39" s="80">
        <f>IF(VLOOKUP($T39,'Performance Pivot'!$S:$AF,10,0)="","",VLOOKUP($T39,'Performance Pivot'!$S:$AF,10,0))</f>
        <v>0.1095</v>
      </c>
      <c r="AD39" s="80">
        <f>IF(VLOOKUP($T39,'Performance Pivot'!$S:$AF,11,0)="","",VLOOKUP($T39,'Performance Pivot'!$S:$AF,11,0))</f>
        <v>0</v>
      </c>
      <c r="AE39" s="80">
        <f>IF(VLOOKUP($T39,'Performance Pivot'!$S:$AF,12,0)="","",VLOOKUP($T39,'Performance Pivot'!$S:$AF,12,0))</f>
        <v>0</v>
      </c>
      <c r="AF39" s="80">
        <f>IF(VLOOKUP($T39,'Performance Pivot'!$S:$AF,13,0)="","",VLOOKUP($T39,'Performance Pivot'!$S:$AF,13,0))</f>
        <v>0</v>
      </c>
      <c r="AG39" s="80">
        <f>IF(VLOOKUP($T39,'Performance Pivot'!$S:$AF,14,0)="","",VLOOKUP($T39,'Performance Pivot'!$S:$AF,14,0))</f>
        <v>0</v>
      </c>
      <c r="AH39" s="80" t="str">
        <f>IF(VLOOKUP($T39,'Performance Pivot'!$S:$AG,15,0)="","",VLOOKUP($T39,'Performance Pivot'!$S:$AG,15,0))</f>
        <v/>
      </c>
    </row>
    <row r="40" spans="3:47" s="81" customFormat="1" ht="21" customHeight="1">
      <c r="C40" s="83">
        <f>'Performance Pivot'!C18</f>
        <v>42125</v>
      </c>
      <c r="D40" s="84">
        <f>IF(VLOOKUP($C40,'Performance Pivot'!$C:$Q,2,0)="","",VLOOKUP($C40,'Performance Pivot'!$C:$Q,2,0))</f>
        <v>11.419499999999999</v>
      </c>
      <c r="E40" s="84">
        <f>IF(VLOOKUP($C40,'Performance Pivot'!$C:$P,3,0)="","",VLOOKUP($C40,'Performance Pivot'!$C:$P,3,0))</f>
        <v>9.1</v>
      </c>
      <c r="F40" s="84">
        <f>IF(VLOOKUP($C40,'Performance Pivot'!$C:$P,4,0)="","",VLOOKUP($C40,'Performance Pivot'!$C:$P,4,0))</f>
        <v>9.7987000000000002</v>
      </c>
      <c r="G40" s="84">
        <f>IF(VLOOKUP($C40,'Performance Pivot'!$C:$P,5,0)="","",VLOOKUP($C40,'Performance Pivot'!$C:$P,5,0))</f>
        <v>13.478199999999999</v>
      </c>
      <c r="H40" s="84">
        <f>IF(VLOOKUP($C40,'Performance Pivot'!$C:$P,6,0)="","",VLOOKUP($C40,'Performance Pivot'!$C:$P,6,0))</f>
        <v>21.3535</v>
      </c>
      <c r="I40" s="84">
        <f>IF(VLOOKUP($C40,'Performance Pivot'!$C:$P,7,0)="","",VLOOKUP($C40,'Performance Pivot'!$C:$P,7,0))</f>
        <v>22.621600000000001</v>
      </c>
      <c r="J40" s="84">
        <f>IF(VLOOKUP($C40,'Performance Pivot'!$C:$P,8,0)="","",VLOOKUP($C40,'Performance Pivot'!$C:$P,8,0))</f>
        <v>21.616299999999999</v>
      </c>
      <c r="K40" s="84">
        <f>IF(VLOOKUP($C40,'Performance Pivot'!$C:$P,9,0)="","",VLOOKUP($C40,'Performance Pivot'!$C:$P,9,0))</f>
        <v>12.855</v>
      </c>
      <c r="L40" s="84">
        <f>IF(VLOOKUP($C40,'Performance Pivot'!$C:$P,10,0)="","",VLOOKUP($C40,'Performance Pivot'!$C:$P,10,0))</f>
        <v>19.663900000000002</v>
      </c>
      <c r="M40" s="84">
        <f>IF(VLOOKUP($C40,'Performance Pivot'!$C:$P,11,0)="","",VLOOKUP($C40,'Performance Pivot'!$C:$P,11,0))</f>
        <v>19.299199999999999</v>
      </c>
      <c r="N40" s="84">
        <f>IF(VLOOKUP($C40,'Performance Pivot'!$C:$P,12,0)="","",VLOOKUP($C40,'Performance Pivot'!$C:$P,12,0))</f>
        <v>10.3049</v>
      </c>
      <c r="O40" s="84">
        <f>IF(VLOOKUP($C40,'Performance Pivot'!$C:$P,13,0)="","",VLOOKUP($C40,'Performance Pivot'!$C:$P,13,0))</f>
        <v>15.325200000000001</v>
      </c>
      <c r="P40" s="84">
        <f>IF(VLOOKUP($C40,'Performance Pivot'!$C:$P,14,0)="","",VLOOKUP($C40,'Performance Pivot'!$C:$P,14,0))</f>
        <v>12.8009</v>
      </c>
      <c r="Q40" s="84" t="str">
        <f>IF(VLOOKUP($C40,'Performance Pivot'!$C:$Q,15,0)="","",VLOOKUP($C40,'Performance Pivot'!$C:$Q,15,0))</f>
        <v/>
      </c>
      <c r="R40" s="82"/>
      <c r="S40" s="82"/>
      <c r="T40" s="83">
        <f t="shared" si="1"/>
        <v>42125</v>
      </c>
      <c r="U40" s="85">
        <f>IF(VLOOKUP($T40,'Performance Pivot'!$S:$AF,2,0)="","",VLOOKUP($T40,'Performance Pivot'!$S:$AF,2,0))</f>
        <v>0.12759999999999999</v>
      </c>
      <c r="V40" s="85">
        <f>IF(VLOOKUP($T40,'Performance Pivot'!$S:$AF,3,0)="","",VLOOKUP($T40,'Performance Pivot'!$S:$AF,3,0))</f>
        <v>2.2200000000000001E-2</v>
      </c>
      <c r="W40" s="85">
        <f>IF(VLOOKUP($T40,'Performance Pivot'!$S:$AF,4,0)="","",VLOOKUP($T40,'Performance Pivot'!$S:$AF,4,0))</f>
        <v>2.69E-2</v>
      </c>
      <c r="X40" s="85">
        <f>IF(VLOOKUP($T40,'Performance Pivot'!$S:$AF,5,0)="","",VLOOKUP($T40,'Performance Pivot'!$S:$AF,5,0))</f>
        <v>5.04E-2</v>
      </c>
      <c r="Y40" s="85">
        <f>IF(VLOOKUP($T40,'Performance Pivot'!$S:$AF,6,0)="","",VLOOKUP($T40,'Performance Pivot'!$S:$AF,6,0))</f>
        <v>0.1091</v>
      </c>
      <c r="Z40" s="85">
        <f>IF(VLOOKUP($T40,'Performance Pivot'!$S:$AF,7,0)="","",VLOOKUP($T40,'Performance Pivot'!$S:$AF,7,0))</f>
        <v>5.1000000000000004E-3</v>
      </c>
      <c r="AA40" s="85">
        <f>IF(VLOOKUP($T40,'Performance Pivot'!$S:$AF,8,0)="","",VLOOKUP($T40,'Performance Pivot'!$S:$AF,8,0))</f>
        <v>6.4899999999999999E-2</v>
      </c>
      <c r="AB40" s="85">
        <f>IF(VLOOKUP($T40,'Performance Pivot'!$S:$AF,9,0)="","",VLOOKUP($T40,'Performance Pivot'!$S:$AF,9,0))</f>
        <v>6.08E-2</v>
      </c>
      <c r="AC40" s="85">
        <f>IF(VLOOKUP($T40,'Performance Pivot'!$S:$AF,10,0)="","",VLOOKUP($T40,'Performance Pivot'!$S:$AF,10,0))</f>
        <v>0.1643</v>
      </c>
      <c r="AD40" s="85">
        <f>IF(VLOOKUP($T40,'Performance Pivot'!$S:$AF,11,0)="","",VLOOKUP($T40,'Performance Pivot'!$S:$AF,11,0))</f>
        <v>2.7900000000000001E-2</v>
      </c>
      <c r="AE40" s="85">
        <f>IF(VLOOKUP($T40,'Performance Pivot'!$S:$AF,12,0)="","",VLOOKUP($T40,'Performance Pivot'!$S:$AF,12,0))</f>
        <v>0</v>
      </c>
      <c r="AF40" s="85">
        <f>IF(VLOOKUP($T40,'Performance Pivot'!$S:$AF,13,0)="","",VLOOKUP($T40,'Performance Pivot'!$S:$AF,13,0))</f>
        <v>0</v>
      </c>
      <c r="AG40" s="85">
        <f>IF(VLOOKUP($T40,'Performance Pivot'!$S:$AF,14,0)="","",VLOOKUP($T40,'Performance Pivot'!$S:$AF,14,0))</f>
        <v>0</v>
      </c>
      <c r="AH40" s="85" t="str">
        <f>IF(VLOOKUP($T40,'Performance Pivot'!$S:$AG,15,0)="","",VLOOKUP($T40,'Performance Pivot'!$S:$AG,15,0))</f>
        <v/>
      </c>
    </row>
    <row r="41" spans="3:47" ht="17.25" hidden="1" customHeight="1">
      <c r="C41" s="86"/>
      <c r="D41" s="57" t="e">
        <f>VLOOKUP($C41,'Performance Pivot'!$C:$P,2,0)</f>
        <v>#N/A</v>
      </c>
      <c r="E41" s="57" t="e">
        <f>VLOOKUP($C41,'Performance Pivot'!$C:$P,3,0)</f>
        <v>#N/A</v>
      </c>
      <c r="F41" s="57" t="e">
        <f>VLOOKUP($C41,'Performance Pivot'!$C:$P,4,0)</f>
        <v>#N/A</v>
      </c>
      <c r="G41" s="57" t="e">
        <f>VLOOKUP($C41,'Performance Pivot'!$C:$P,5,0)</f>
        <v>#N/A</v>
      </c>
      <c r="H41" s="57" t="e">
        <f>VLOOKUP($C41,'Performance Pivot'!$C:$P,6,0)</f>
        <v>#N/A</v>
      </c>
      <c r="I41" s="57" t="e">
        <f>VLOOKUP($C41,'Performance Pivot'!$C:$P,7,0)</f>
        <v>#N/A</v>
      </c>
      <c r="J41" s="57" t="e">
        <f>VLOOKUP($C41,'Performance Pivot'!$C:$P,8,0)</f>
        <v>#N/A</v>
      </c>
      <c r="K41" s="57" t="e">
        <f>VLOOKUP($C41,'Performance Pivot'!$C:$P,9,0)</f>
        <v>#N/A</v>
      </c>
      <c r="L41" s="57" t="e">
        <f>VLOOKUP($C41,'Performance Pivot'!$C:$P,10,0)</f>
        <v>#N/A</v>
      </c>
      <c r="M41" s="57" t="e">
        <f>VLOOKUP($C41,'Performance Pivot'!$C:$P,11,0)</f>
        <v>#N/A</v>
      </c>
      <c r="N41" s="57" t="e">
        <f>VLOOKUP($C41,'Performance Pivot'!$C:$P,12,0)</f>
        <v>#N/A</v>
      </c>
      <c r="P41" s="57" t="e">
        <f>VLOOKUP($C41,'Performance Pivot'!$C:$P,13,0)</f>
        <v>#N/A</v>
      </c>
      <c r="Q41" s="57" t="e">
        <f>VLOOKUP($C41,'Performance Pivot'!$C:$P,14,0)</f>
        <v>#N/A</v>
      </c>
      <c r="R41" s="77"/>
      <c r="S41" s="77"/>
      <c r="T41" s="86"/>
      <c r="U41" s="80" t="e">
        <f>IF(VLOOKUP($T41,'Performance Pivot'!$S:$AF,2,0)="","",VLOOKUP($T41,'Performance Pivot'!$S:$AF,2,0))</f>
        <v>#N/A</v>
      </c>
      <c r="V41" s="80" t="e">
        <f>IF(VLOOKUP($T41,'Performance Pivot'!$S:$AF,3,0)="","",VLOOKUP($T41,'Performance Pivot'!$S:$AF,3,0))</f>
        <v>#N/A</v>
      </c>
      <c r="W41" s="80" t="e">
        <f>IF(VLOOKUP($T41,'Performance Pivot'!$S:$AF,4,0)="","",VLOOKUP($T41,'Performance Pivot'!$S:$AF,4,0))</f>
        <v>#N/A</v>
      </c>
      <c r="X41" s="80" t="e">
        <f>IF(VLOOKUP($T41,'Performance Pivot'!$S:$AF,5,0)="","",VLOOKUP($T41,'Performance Pivot'!$S:$AF,5,0))</f>
        <v>#N/A</v>
      </c>
      <c r="Y41" s="80" t="e">
        <f>IF(VLOOKUP($T41,'Performance Pivot'!$S:$AF,6,0)="","",VLOOKUP($T41,'Performance Pivot'!$S:$AF,6,0))</f>
        <v>#N/A</v>
      </c>
      <c r="Z41" s="80" t="e">
        <f>IF(VLOOKUP($T41,'Performance Pivot'!$S:$AF,7,0)="","",VLOOKUP($T41,'Performance Pivot'!$S:$AF,7,0))</f>
        <v>#N/A</v>
      </c>
      <c r="AA41" s="80" t="e">
        <f>IF(VLOOKUP($T41,'Performance Pivot'!$S:$AF,8,0)="","",VLOOKUP($T41,'Performance Pivot'!$S:$AF,8,0))</f>
        <v>#N/A</v>
      </c>
      <c r="AB41" s="80" t="e">
        <f>IF(VLOOKUP($T41,'Performance Pivot'!$S:$AF,9,0)="","",VLOOKUP($T41,'Performance Pivot'!$S:$AF,9,0))</f>
        <v>#N/A</v>
      </c>
      <c r="AC41" s="80" t="e">
        <f>IF(VLOOKUP($T41,'Performance Pivot'!$S:$AF,10,0)="","",VLOOKUP($T41,'Performance Pivot'!$S:$AF,10,0))</f>
        <v>#N/A</v>
      </c>
      <c r="AD41" s="80" t="e">
        <f>IF(VLOOKUP($T41,'Performance Pivot'!$S:$AF,11,0)="","",VLOOKUP($T41,'Performance Pivot'!$S:$AF,11,0))</f>
        <v>#N/A</v>
      </c>
      <c r="AE41" s="80" t="e">
        <f>IF(VLOOKUP($T41,'Performance Pivot'!$S:$AF,12,0)="","",VLOOKUP($T41,'Performance Pivot'!$S:$AF,12,0))</f>
        <v>#N/A</v>
      </c>
      <c r="AF41" s="80"/>
      <c r="AG41" s="80" t="e">
        <f>IF(VLOOKUP($T41,'Performance Pivot'!$S:$AF,13,0)="","",VLOOKUP($T41,'Performance Pivot'!$S:$AF,13,0))</f>
        <v>#N/A</v>
      </c>
      <c r="AH41" s="80" t="e">
        <f>IF(VLOOKUP($T41,'Performance Pivot'!$S:$AG,15,0)="","",VLOOKUP($T41,'Performance Pivot'!$S:$AG,15,0))</f>
        <v>#N/A</v>
      </c>
    </row>
    <row r="42" spans="3:47" ht="17.25" customHeight="1">
      <c r="C42" s="86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77"/>
      <c r="S42" s="77"/>
      <c r="T42" s="86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</row>
    <row r="43" spans="3:47" ht="17.25" customHeight="1">
      <c r="C43" s="86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77"/>
      <c r="S43" s="77"/>
      <c r="T43" s="86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</row>
    <row r="44" spans="3:47" ht="17.25" customHeight="1">
      <c r="C44" s="86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</row>
    <row r="45" spans="3:47" ht="17.25" customHeight="1">
      <c r="C45" s="43" t="s">
        <v>19</v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77"/>
      <c r="S45" s="77"/>
      <c r="T45" s="44" t="s">
        <v>20</v>
      </c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</row>
    <row r="46" spans="3:47" ht="25.5">
      <c r="C46" s="66" t="str">
        <f>C16</f>
        <v>Date</v>
      </c>
      <c r="D46" s="66" t="str">
        <f>D16</f>
        <v>STACR 2013-DN1</v>
      </c>
      <c r="E46" s="66" t="str">
        <f t="shared" ref="E46:P46" si="2">E16</f>
        <v>STACR 2013-DN2</v>
      </c>
      <c r="F46" s="66" t="str">
        <f t="shared" si="2"/>
        <v>STACR 2014-DN1</v>
      </c>
      <c r="G46" s="66" t="str">
        <f t="shared" si="2"/>
        <v>STACR 2014-DN2</v>
      </c>
      <c r="H46" s="66" t="str">
        <f t="shared" si="2"/>
        <v>STACR 2014-DN3</v>
      </c>
      <c r="I46" s="66" t="str">
        <f t="shared" si="2"/>
        <v>STACR 2014-DN4</v>
      </c>
      <c r="J46" s="66" t="str">
        <f t="shared" si="2"/>
        <v>STACR 2014-HQ1</v>
      </c>
      <c r="K46" s="66" t="str">
        <f t="shared" si="2"/>
        <v>STACR 2014-HQ2</v>
      </c>
      <c r="L46" s="66" t="str">
        <f t="shared" si="2"/>
        <v>STACR 2014-HQ3</v>
      </c>
      <c r="M46" s="66" t="str">
        <f t="shared" si="2"/>
        <v>STACR 2015-DN1</v>
      </c>
      <c r="N46" s="66" t="str">
        <f t="shared" si="2"/>
        <v>STACR 2015-DNA1</v>
      </c>
      <c r="O46" s="66" t="str">
        <f t="shared" si="2"/>
        <v>STACR 2015-HQ1</v>
      </c>
      <c r="P46" s="66" t="str">
        <f t="shared" si="2"/>
        <v>STACR 2015-HQ2</v>
      </c>
      <c r="Q46" s="59" t="s">
        <v>88</v>
      </c>
      <c r="R46" s="52"/>
      <c r="S46" s="52"/>
      <c r="T46" s="64" t="str">
        <f>C16</f>
        <v>Date</v>
      </c>
      <c r="U46" s="64" t="str">
        <f>D16</f>
        <v>STACR 2013-DN1</v>
      </c>
      <c r="V46" s="64" t="str">
        <f t="shared" ref="V46:AH46" si="3">E16</f>
        <v>STACR 2013-DN2</v>
      </c>
      <c r="W46" s="64" t="str">
        <f t="shared" si="3"/>
        <v>STACR 2014-DN1</v>
      </c>
      <c r="X46" s="64" t="str">
        <f t="shared" si="3"/>
        <v>STACR 2014-DN2</v>
      </c>
      <c r="Y46" s="64" t="str">
        <f t="shared" si="3"/>
        <v>STACR 2014-DN3</v>
      </c>
      <c r="Z46" s="64" t="str">
        <f t="shared" si="3"/>
        <v>STACR 2014-DN4</v>
      </c>
      <c r="AA46" s="64" t="str">
        <f t="shared" si="3"/>
        <v>STACR 2014-HQ1</v>
      </c>
      <c r="AB46" s="64" t="str">
        <f t="shared" si="3"/>
        <v>STACR 2014-HQ2</v>
      </c>
      <c r="AC46" s="64" t="str">
        <f t="shared" si="3"/>
        <v>STACR 2014-HQ3</v>
      </c>
      <c r="AD46" s="64" t="str">
        <f t="shared" si="3"/>
        <v>STACR 2015-DN1</v>
      </c>
      <c r="AE46" s="64" t="str">
        <f t="shared" si="3"/>
        <v>STACR 2015-DNA1</v>
      </c>
      <c r="AF46" s="64" t="str">
        <f t="shared" si="3"/>
        <v>STACR 2015-HQ1</v>
      </c>
      <c r="AG46" s="64" t="str">
        <f t="shared" si="3"/>
        <v>STACR 2015-HQ2</v>
      </c>
      <c r="AH46" s="64" t="str">
        <f t="shared" si="3"/>
        <v>STACR 2015-HQ2</v>
      </c>
    </row>
    <row r="47" spans="3:47" s="81" customFormat="1" ht="21" customHeight="1">
      <c r="C47" s="78">
        <f>C17</f>
        <v>41426</v>
      </c>
      <c r="D47" s="80">
        <f>IF(VLOOKUP($C47,'Performance Pivot'!$AI:$AV,2,0)="","",VLOOKUP($C47,'Performance Pivot'!$AI:$AV,2,0))</f>
        <v>0</v>
      </c>
      <c r="E47" s="80" t="str">
        <f>IF(VLOOKUP($C47,'Performance Pivot'!$AI:$AV,3,0)="","",VLOOKUP($C47,'Performance Pivot'!$AI:$AV,3,0))</f>
        <v/>
      </c>
      <c r="F47" s="80" t="str">
        <f>IF(VLOOKUP($C47,'Performance Pivot'!$AI:$AV,4,0)="","",VLOOKUP($C47,'Performance Pivot'!$AI:$AV,4,0))</f>
        <v/>
      </c>
      <c r="G47" s="80" t="str">
        <f>IF(VLOOKUP($C47,'Performance Pivot'!$AI:$AV,5,0)="","",VLOOKUP($C47,'Performance Pivot'!$AI:$AV,5,0))</f>
        <v/>
      </c>
      <c r="H47" s="80" t="str">
        <f>IF(VLOOKUP($C47,'Performance Pivot'!$AI:$AV,6,0)="","",VLOOKUP($C47,'Performance Pivot'!$AI:$AV,6,0))</f>
        <v/>
      </c>
      <c r="I47" s="80" t="str">
        <f>IF(VLOOKUP($C47,'Performance Pivot'!$AI:$AV,7,0)="","",VLOOKUP($C47,'Performance Pivot'!$AI:$AV,7,0))</f>
        <v/>
      </c>
      <c r="J47" s="80" t="str">
        <f>IF(VLOOKUP($C47,'Performance Pivot'!$AI:$AV,8,0)="","",VLOOKUP($C47,'Performance Pivot'!$AI:$AV,8,0))</f>
        <v/>
      </c>
      <c r="K47" s="80" t="str">
        <f>IF(VLOOKUP($C47,'Performance Pivot'!$AI:$AV,9,0)="","",VLOOKUP($C47,'Performance Pivot'!$AI:$AV,9,0))</f>
        <v/>
      </c>
      <c r="L47" s="80" t="str">
        <f>IF(VLOOKUP($C47,'Performance Pivot'!$AI:$AV,10,0)="","",VLOOKUP($C47,'Performance Pivot'!$AI:$AV,10,0))</f>
        <v/>
      </c>
      <c r="M47" s="80" t="str">
        <f>IF(VLOOKUP($C47,'Performance Pivot'!$AI:$AV,11,0)="","",VLOOKUP($C47,'Performance Pivot'!$AI:$AV,11,0))</f>
        <v/>
      </c>
      <c r="N47" s="80" t="str">
        <f>IF(VLOOKUP($C47,'Performance Pivot'!$AI:$AV,12,0)="","",VLOOKUP($C47,'Performance Pivot'!$AI:$AV,12,0))</f>
        <v/>
      </c>
      <c r="O47" s="80"/>
      <c r="P47" s="80" t="str">
        <f>IF(VLOOKUP($C47,'Performance Pivot'!$AI:$AV,13,0)="","",VLOOKUP($C47,'Performance Pivot'!$AI:$AV,13,0))</f>
        <v/>
      </c>
      <c r="Q47" s="80" t="str">
        <f>IF(VLOOKUP($C47,'Performance Pivot'!$AI:$AW,15,0)="","",VLOOKUP($C47,'Performance Pivot'!$AI:$AW,15,0))</f>
        <v/>
      </c>
      <c r="R47" s="57"/>
      <c r="S47" s="57"/>
      <c r="T47" s="78">
        <f>C17</f>
        <v>41426</v>
      </c>
      <c r="U47" s="80">
        <f>IF(VLOOKUP($T47,'Performance Pivot'!$AZ:$BM,2,0)="","",VLOOKUP($T47,'Performance Pivot'!$AZ:$BM,2,0))</f>
        <v>0</v>
      </c>
      <c r="V47" s="80" t="str">
        <f>IF(VLOOKUP($T47,'Performance Pivot'!$AZ:$BM,3,0)="","",VLOOKUP($T47,'Performance Pivot'!$AZ:$BM,3,0))</f>
        <v/>
      </c>
      <c r="W47" s="80" t="str">
        <f>IF(VLOOKUP($T47,'Performance Pivot'!$AZ:$BM,4,0)="","",VLOOKUP($T47,'Performance Pivot'!$AZ:$BM,4,0))</f>
        <v/>
      </c>
      <c r="X47" s="80" t="str">
        <f>IF(VLOOKUP($T47,'Performance Pivot'!$AZ:$BM,5,0)="","",VLOOKUP($T47,'Performance Pivot'!$AZ:$BM,5,0))</f>
        <v/>
      </c>
      <c r="Y47" s="80" t="str">
        <f>IF(VLOOKUP($T47,'Performance Pivot'!$AZ:$BM,6,0)="","",VLOOKUP($T47,'Performance Pivot'!$AZ:$BM,6,0))</f>
        <v/>
      </c>
      <c r="Z47" s="80" t="str">
        <f>IF(VLOOKUP($T47,'Performance Pivot'!$AZ:$BM,7,0)="","",VLOOKUP($T47,'Performance Pivot'!$AZ:$BM,7,0))</f>
        <v/>
      </c>
      <c r="AA47" s="80" t="str">
        <f>IF(VLOOKUP($T47,'Performance Pivot'!$AZ:$BM,8,0)="","",VLOOKUP($T47,'Performance Pivot'!$AZ:$BM,8,0))</f>
        <v/>
      </c>
      <c r="AB47" s="80" t="str">
        <f>IF(VLOOKUP($T47,'Performance Pivot'!$AZ:$BM,9,0)="","",VLOOKUP($T47,'Performance Pivot'!$AZ:$BM,9,0))</f>
        <v/>
      </c>
      <c r="AC47" s="80" t="str">
        <f>IF(VLOOKUP($T47,'Performance Pivot'!$AZ:$BM,10,0)="","",VLOOKUP($T47,'Performance Pivot'!$AZ:$BM,10,0))</f>
        <v/>
      </c>
      <c r="AD47" s="80" t="str">
        <f>IF(VLOOKUP($T47,'Performance Pivot'!$AZ:$BM,11,0)="","",VLOOKUP($T47,'Performance Pivot'!$AZ:$BM,11,0))</f>
        <v/>
      </c>
      <c r="AE47" s="80" t="str">
        <f>IF(VLOOKUP($T47,'Performance Pivot'!$AZ:$BM,12,0)="","",VLOOKUP($T47,'Performance Pivot'!$AZ:$BM,12,0))</f>
        <v/>
      </c>
      <c r="AF47" s="80" t="str">
        <f>IF(VLOOKUP($T47,'Performance Pivot'!$AZ:$BM,13,0)="","",VLOOKUP($T47,'Performance Pivot'!$AZ:$BM,13,0))</f>
        <v/>
      </c>
      <c r="AG47" s="80" t="str">
        <f>IF(VLOOKUP($T47,'Performance Pivot'!$AZ:$BM,14,0)="","",VLOOKUP($T47,'Performance Pivot'!$AZ:$BM,14,0))</f>
        <v/>
      </c>
      <c r="AH47" s="80" t="str">
        <f>IF(VLOOKUP($T47,'Performance Pivot'!$AZ:$BN,15,0)="","",VLOOKUP($T47,'Performance Pivot'!$AZ:$BN,15,0))</f>
        <v/>
      </c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</row>
    <row r="48" spans="3:47" s="81" customFormat="1" ht="21" customHeight="1">
      <c r="C48" s="78">
        <f t="shared" ref="C48:C70" si="4">C18</f>
        <v>41456</v>
      </c>
      <c r="D48" s="80">
        <f>IF(VLOOKUP($C48,'Performance Pivot'!$AI:$AV,2,0)="","",VLOOKUP($C48,'Performance Pivot'!$AI:$AV,2,0))</f>
        <v>0</v>
      </c>
      <c r="E48" s="80" t="str">
        <f>IF(VLOOKUP($C48,'Performance Pivot'!$AI:$AV,3,0)="","",VLOOKUP($C48,'Performance Pivot'!$AI:$AV,3,0))</f>
        <v/>
      </c>
      <c r="F48" s="80" t="str">
        <f>IF(VLOOKUP($C48,'Performance Pivot'!$AI:$AV,4,0)="","",VLOOKUP($C48,'Performance Pivot'!$AI:$AV,4,0))</f>
        <v/>
      </c>
      <c r="G48" s="80" t="str">
        <f>IF(VLOOKUP($C48,'Performance Pivot'!$AI:$AV,5,0)="","",VLOOKUP($C48,'Performance Pivot'!$AI:$AV,5,0))</f>
        <v/>
      </c>
      <c r="H48" s="80" t="str">
        <f>IF(VLOOKUP($C48,'Performance Pivot'!$AI:$AV,6,0)="","",VLOOKUP($C48,'Performance Pivot'!$AI:$AV,6,0))</f>
        <v/>
      </c>
      <c r="I48" s="80" t="str">
        <f>IF(VLOOKUP($C48,'Performance Pivot'!$AI:$AV,7,0)="","",VLOOKUP($C48,'Performance Pivot'!$AI:$AV,7,0))</f>
        <v/>
      </c>
      <c r="J48" s="80" t="str">
        <f>IF(VLOOKUP($C48,'Performance Pivot'!$AI:$AV,8,0)="","",VLOOKUP($C48,'Performance Pivot'!$AI:$AV,8,0))</f>
        <v/>
      </c>
      <c r="K48" s="80" t="str">
        <f>IF(VLOOKUP($C48,'Performance Pivot'!$AI:$AV,9,0)="","",VLOOKUP($C48,'Performance Pivot'!$AI:$AV,9,0))</f>
        <v/>
      </c>
      <c r="L48" s="80" t="str">
        <f>IF(VLOOKUP($C48,'Performance Pivot'!$AI:$AV,10,0)="","",VLOOKUP($C48,'Performance Pivot'!$AI:$AV,10,0))</f>
        <v/>
      </c>
      <c r="M48" s="80" t="str">
        <f>IF(VLOOKUP($C48,'Performance Pivot'!$AI:$AV,11,0)="","",VLOOKUP($C48,'Performance Pivot'!$AI:$AV,11,0))</f>
        <v/>
      </c>
      <c r="N48" s="80" t="str">
        <f>IF(VLOOKUP($C48,'Performance Pivot'!$AI:$AV,12,0)="","",VLOOKUP($C48,'Performance Pivot'!$AI:$AV,12,0))</f>
        <v/>
      </c>
      <c r="O48" s="80"/>
      <c r="P48" s="80" t="str">
        <f>IF(VLOOKUP($C48,'Performance Pivot'!$AI:$AV,13,0)="","",VLOOKUP($C48,'Performance Pivot'!$AI:$AV,13,0))</f>
        <v/>
      </c>
      <c r="Q48" s="80" t="str">
        <f>IF(VLOOKUP($C48,'Performance Pivot'!$AI:$AW,15,0)="","",VLOOKUP($C48,'Performance Pivot'!$AI:$AW,15,0))</f>
        <v/>
      </c>
      <c r="R48" s="57"/>
      <c r="S48" s="57"/>
      <c r="T48" s="78">
        <f t="shared" ref="T48:T70" si="5">C18</f>
        <v>41456</v>
      </c>
      <c r="U48" s="80">
        <f>IF(VLOOKUP($T48,'Performance Pivot'!$AZ:$BM,2,0)="","",VLOOKUP($T48,'Performance Pivot'!$AZ:$BM,2,0))</f>
        <v>0.12667221826199235</v>
      </c>
      <c r="V48" s="80" t="str">
        <f>IF(VLOOKUP($T48,'Performance Pivot'!$AZ:$BM,3,0)="","",VLOOKUP($T48,'Performance Pivot'!$AZ:$BM,3,0))</f>
        <v/>
      </c>
      <c r="W48" s="80" t="str">
        <f>IF(VLOOKUP($T48,'Performance Pivot'!$AZ:$BM,4,0)="","",VLOOKUP($T48,'Performance Pivot'!$AZ:$BM,4,0))</f>
        <v/>
      </c>
      <c r="X48" s="80" t="str">
        <f>IF(VLOOKUP($T48,'Performance Pivot'!$AZ:$BM,5,0)="","",VLOOKUP($T48,'Performance Pivot'!$AZ:$BM,5,0))</f>
        <v/>
      </c>
      <c r="Y48" s="80" t="str">
        <f>IF(VLOOKUP($T48,'Performance Pivot'!$AZ:$BM,6,0)="","",VLOOKUP($T48,'Performance Pivot'!$AZ:$BM,6,0))</f>
        <v/>
      </c>
      <c r="Z48" s="80" t="str">
        <f>IF(VLOOKUP($T48,'Performance Pivot'!$AZ:$BM,7,0)="","",VLOOKUP($T48,'Performance Pivot'!$AZ:$BM,7,0))</f>
        <v/>
      </c>
      <c r="AA48" s="80" t="str">
        <f>IF(VLOOKUP($T48,'Performance Pivot'!$AZ:$BM,8,0)="","",VLOOKUP($T48,'Performance Pivot'!$AZ:$BM,8,0))</f>
        <v/>
      </c>
      <c r="AB48" s="80" t="str">
        <f>IF(VLOOKUP($T48,'Performance Pivot'!$AZ:$BM,9,0)="","",VLOOKUP($T48,'Performance Pivot'!$AZ:$BM,9,0))</f>
        <v/>
      </c>
      <c r="AC48" s="80" t="str">
        <f>IF(VLOOKUP($T48,'Performance Pivot'!$AZ:$BM,10,0)="","",VLOOKUP($T48,'Performance Pivot'!$AZ:$BM,10,0))</f>
        <v/>
      </c>
      <c r="AD48" s="80" t="str">
        <f>IF(VLOOKUP($T48,'Performance Pivot'!$AZ:$BM,11,0)="","",VLOOKUP($T48,'Performance Pivot'!$AZ:$BM,11,0))</f>
        <v/>
      </c>
      <c r="AE48" s="80" t="str">
        <f>IF(VLOOKUP($T48,'Performance Pivot'!$AZ:$BM,12,0)="","",VLOOKUP($T48,'Performance Pivot'!$AZ:$BM,12,0))</f>
        <v/>
      </c>
      <c r="AF48" s="80" t="str">
        <f>IF(VLOOKUP($T48,'Performance Pivot'!$AZ:$BM,13,0)="","",VLOOKUP($T48,'Performance Pivot'!$AZ:$BM,13,0))</f>
        <v/>
      </c>
      <c r="AG48" s="80" t="str">
        <f>IF(VLOOKUP($T48,'Performance Pivot'!$AZ:$BM,14,0)="","",VLOOKUP($T48,'Performance Pivot'!$AZ:$BM,14,0))</f>
        <v/>
      </c>
      <c r="AH48" s="80" t="str">
        <f>IF(VLOOKUP($T48,'Performance Pivot'!$AZ:$BN,15,0)="","",VLOOKUP($T48,'Performance Pivot'!$AZ:$BN,15,0))</f>
        <v/>
      </c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</row>
    <row r="49" spans="3:47" s="81" customFormat="1" ht="21" customHeight="1">
      <c r="C49" s="78">
        <f t="shared" si="4"/>
        <v>41487</v>
      </c>
      <c r="D49" s="80">
        <f>IF(VLOOKUP($C49,'Performance Pivot'!$AI:$AV,2,0)="","",VLOOKUP($C49,'Performance Pivot'!$AI:$AV,2,0))</f>
        <v>0</v>
      </c>
      <c r="E49" s="80" t="str">
        <f>IF(VLOOKUP($C49,'Performance Pivot'!$AI:$AV,3,0)="","",VLOOKUP($C49,'Performance Pivot'!$AI:$AV,3,0))</f>
        <v/>
      </c>
      <c r="F49" s="80" t="str">
        <f>IF(VLOOKUP($C49,'Performance Pivot'!$AI:$AV,4,0)="","",VLOOKUP($C49,'Performance Pivot'!$AI:$AV,4,0))</f>
        <v/>
      </c>
      <c r="G49" s="80" t="str">
        <f>IF(VLOOKUP($C49,'Performance Pivot'!$AI:$AV,5,0)="","",VLOOKUP($C49,'Performance Pivot'!$AI:$AV,5,0))</f>
        <v/>
      </c>
      <c r="H49" s="80" t="str">
        <f>IF(VLOOKUP($C49,'Performance Pivot'!$AI:$AV,6,0)="","",VLOOKUP($C49,'Performance Pivot'!$AI:$AV,6,0))</f>
        <v/>
      </c>
      <c r="I49" s="80" t="str">
        <f>IF(VLOOKUP($C49,'Performance Pivot'!$AI:$AV,7,0)="","",VLOOKUP($C49,'Performance Pivot'!$AI:$AV,7,0))</f>
        <v/>
      </c>
      <c r="J49" s="80" t="str">
        <f>IF(VLOOKUP($C49,'Performance Pivot'!$AI:$AV,8,0)="","",VLOOKUP($C49,'Performance Pivot'!$AI:$AV,8,0))</f>
        <v/>
      </c>
      <c r="K49" s="80" t="str">
        <f>IF(VLOOKUP($C49,'Performance Pivot'!$AI:$AV,9,0)="","",VLOOKUP($C49,'Performance Pivot'!$AI:$AV,9,0))</f>
        <v/>
      </c>
      <c r="L49" s="80" t="str">
        <f>IF(VLOOKUP($C49,'Performance Pivot'!$AI:$AV,10,0)="","",VLOOKUP($C49,'Performance Pivot'!$AI:$AV,10,0))</f>
        <v/>
      </c>
      <c r="M49" s="80" t="str">
        <f>IF(VLOOKUP($C49,'Performance Pivot'!$AI:$AV,11,0)="","",VLOOKUP($C49,'Performance Pivot'!$AI:$AV,11,0))</f>
        <v/>
      </c>
      <c r="N49" s="80" t="str">
        <f>IF(VLOOKUP($C49,'Performance Pivot'!$AI:$AV,12,0)="","",VLOOKUP($C49,'Performance Pivot'!$AI:$AV,12,0))</f>
        <v/>
      </c>
      <c r="O49" s="80"/>
      <c r="P49" s="80" t="str">
        <f>IF(VLOOKUP($C49,'Performance Pivot'!$AI:$AV,13,0)="","",VLOOKUP($C49,'Performance Pivot'!$AI:$AV,13,0))</f>
        <v/>
      </c>
      <c r="Q49" s="80" t="str">
        <f>IF(VLOOKUP($C49,'Performance Pivot'!$AI:$AW,15,0)="","",VLOOKUP($C49,'Performance Pivot'!$AI:$AW,15,0))</f>
        <v/>
      </c>
      <c r="R49" s="57"/>
      <c r="S49" s="57"/>
      <c r="T49" s="78">
        <f t="shared" si="5"/>
        <v>41487</v>
      </c>
      <c r="U49" s="80">
        <f>IF(VLOOKUP($T49,'Performance Pivot'!$AZ:$BM,2,0)="","",VLOOKUP($T49,'Performance Pivot'!$AZ:$BM,2,0))</f>
        <v>0.10356345223757837</v>
      </c>
      <c r="V49" s="80" t="str">
        <f>IF(VLOOKUP($T49,'Performance Pivot'!$AZ:$BM,3,0)="","",VLOOKUP($T49,'Performance Pivot'!$AZ:$BM,3,0))</f>
        <v/>
      </c>
      <c r="W49" s="80" t="str">
        <f>IF(VLOOKUP($T49,'Performance Pivot'!$AZ:$BM,4,0)="","",VLOOKUP($T49,'Performance Pivot'!$AZ:$BM,4,0))</f>
        <v/>
      </c>
      <c r="X49" s="80" t="str">
        <f>IF(VLOOKUP($T49,'Performance Pivot'!$AZ:$BM,5,0)="","",VLOOKUP($T49,'Performance Pivot'!$AZ:$BM,5,0))</f>
        <v/>
      </c>
      <c r="Y49" s="80" t="str">
        <f>IF(VLOOKUP($T49,'Performance Pivot'!$AZ:$BM,6,0)="","",VLOOKUP($T49,'Performance Pivot'!$AZ:$BM,6,0))</f>
        <v/>
      </c>
      <c r="Z49" s="80" t="str">
        <f>IF(VLOOKUP($T49,'Performance Pivot'!$AZ:$BM,7,0)="","",VLOOKUP($T49,'Performance Pivot'!$AZ:$BM,7,0))</f>
        <v/>
      </c>
      <c r="AA49" s="80" t="str">
        <f>IF(VLOOKUP($T49,'Performance Pivot'!$AZ:$BM,8,0)="","",VLOOKUP($T49,'Performance Pivot'!$AZ:$BM,8,0))</f>
        <v/>
      </c>
      <c r="AB49" s="80" t="str">
        <f>IF(VLOOKUP($T49,'Performance Pivot'!$AZ:$BM,9,0)="","",VLOOKUP($T49,'Performance Pivot'!$AZ:$BM,9,0))</f>
        <v/>
      </c>
      <c r="AC49" s="80" t="str">
        <f>IF(VLOOKUP($T49,'Performance Pivot'!$AZ:$BM,10,0)="","",VLOOKUP($T49,'Performance Pivot'!$AZ:$BM,10,0))</f>
        <v/>
      </c>
      <c r="AD49" s="80" t="str">
        <f>IF(VLOOKUP($T49,'Performance Pivot'!$AZ:$BM,11,0)="","",VLOOKUP($T49,'Performance Pivot'!$AZ:$BM,11,0))</f>
        <v/>
      </c>
      <c r="AE49" s="80" t="str">
        <f>IF(VLOOKUP($T49,'Performance Pivot'!$AZ:$BM,12,0)="","",VLOOKUP($T49,'Performance Pivot'!$AZ:$BM,12,0))</f>
        <v/>
      </c>
      <c r="AF49" s="80" t="str">
        <f>IF(VLOOKUP($T49,'Performance Pivot'!$AZ:$BM,13,0)="","",VLOOKUP($T49,'Performance Pivot'!$AZ:$BM,13,0))</f>
        <v/>
      </c>
      <c r="AG49" s="80" t="str">
        <f>IF(VLOOKUP($T49,'Performance Pivot'!$AZ:$BM,14,0)="","",VLOOKUP($T49,'Performance Pivot'!$AZ:$BM,14,0))</f>
        <v/>
      </c>
      <c r="AH49" s="80" t="str">
        <f>IF(VLOOKUP($T49,'Performance Pivot'!$AZ:$BN,15,0)="","",VLOOKUP($T49,'Performance Pivot'!$AZ:$BN,15,0))</f>
        <v/>
      </c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</row>
    <row r="50" spans="3:47" s="81" customFormat="1" ht="21" customHeight="1">
      <c r="C50" s="78">
        <f t="shared" si="4"/>
        <v>41518</v>
      </c>
      <c r="D50" s="80">
        <f>IF(VLOOKUP($C50,'Performance Pivot'!$AI:$AV,2,0)="","",VLOOKUP($C50,'Performance Pivot'!$AI:$AV,2,0))</f>
        <v>0</v>
      </c>
      <c r="E50" s="80" t="str">
        <f>IF(VLOOKUP($C50,'Performance Pivot'!$AI:$AV,3,0)="","",VLOOKUP($C50,'Performance Pivot'!$AI:$AV,3,0))</f>
        <v/>
      </c>
      <c r="F50" s="80" t="str">
        <f>IF(VLOOKUP($C50,'Performance Pivot'!$AI:$AV,4,0)="","",VLOOKUP($C50,'Performance Pivot'!$AI:$AV,4,0))</f>
        <v/>
      </c>
      <c r="G50" s="80" t="str">
        <f>IF(VLOOKUP($C50,'Performance Pivot'!$AI:$AV,5,0)="","",VLOOKUP($C50,'Performance Pivot'!$AI:$AV,5,0))</f>
        <v/>
      </c>
      <c r="H50" s="80" t="str">
        <f>IF(VLOOKUP($C50,'Performance Pivot'!$AI:$AV,6,0)="","",VLOOKUP($C50,'Performance Pivot'!$AI:$AV,6,0))</f>
        <v/>
      </c>
      <c r="I50" s="80" t="str">
        <f>IF(VLOOKUP($C50,'Performance Pivot'!$AI:$AV,7,0)="","",VLOOKUP($C50,'Performance Pivot'!$AI:$AV,7,0))</f>
        <v/>
      </c>
      <c r="J50" s="80" t="str">
        <f>IF(VLOOKUP($C50,'Performance Pivot'!$AI:$AV,8,0)="","",VLOOKUP($C50,'Performance Pivot'!$AI:$AV,8,0))</f>
        <v/>
      </c>
      <c r="K50" s="80" t="str">
        <f>IF(VLOOKUP($C50,'Performance Pivot'!$AI:$AV,9,0)="","",VLOOKUP($C50,'Performance Pivot'!$AI:$AV,9,0))</f>
        <v/>
      </c>
      <c r="L50" s="80" t="str">
        <f>IF(VLOOKUP($C50,'Performance Pivot'!$AI:$AV,10,0)="","",VLOOKUP($C50,'Performance Pivot'!$AI:$AV,10,0))</f>
        <v/>
      </c>
      <c r="M50" s="80" t="str">
        <f>IF(VLOOKUP($C50,'Performance Pivot'!$AI:$AV,11,0)="","",VLOOKUP($C50,'Performance Pivot'!$AI:$AV,11,0))</f>
        <v/>
      </c>
      <c r="N50" s="80" t="str">
        <f>IF(VLOOKUP($C50,'Performance Pivot'!$AI:$AV,12,0)="","",VLOOKUP($C50,'Performance Pivot'!$AI:$AV,12,0))</f>
        <v/>
      </c>
      <c r="O50" s="80"/>
      <c r="P50" s="80" t="str">
        <f>IF(VLOOKUP($C50,'Performance Pivot'!$AI:$AV,13,0)="","",VLOOKUP($C50,'Performance Pivot'!$AI:$AV,13,0))</f>
        <v/>
      </c>
      <c r="Q50" s="80" t="str">
        <f>IF(VLOOKUP($C50,'Performance Pivot'!$AI:$AW,15,0)="","",VLOOKUP($C50,'Performance Pivot'!$AI:$AW,15,0))</f>
        <v/>
      </c>
      <c r="R50" s="57"/>
      <c r="S50" s="57"/>
      <c r="T50" s="78">
        <f t="shared" si="5"/>
        <v>41518</v>
      </c>
      <c r="U50" s="80">
        <f>IF(VLOOKUP($T50,'Performance Pivot'!$AZ:$BM,2,0)="","",VLOOKUP($T50,'Performance Pivot'!$AZ:$BM,2,0))</f>
        <v>0.1374029242023628</v>
      </c>
      <c r="V50" s="80" t="str">
        <f>IF(VLOOKUP($T50,'Performance Pivot'!$AZ:$BM,3,0)="","",VLOOKUP($T50,'Performance Pivot'!$AZ:$BM,3,0))</f>
        <v/>
      </c>
      <c r="W50" s="80" t="str">
        <f>IF(VLOOKUP($T50,'Performance Pivot'!$AZ:$BM,4,0)="","",VLOOKUP($T50,'Performance Pivot'!$AZ:$BM,4,0))</f>
        <v/>
      </c>
      <c r="X50" s="80" t="str">
        <f>IF(VLOOKUP($T50,'Performance Pivot'!$AZ:$BM,5,0)="","",VLOOKUP($T50,'Performance Pivot'!$AZ:$BM,5,0))</f>
        <v/>
      </c>
      <c r="Y50" s="80" t="str">
        <f>IF(VLOOKUP($T50,'Performance Pivot'!$AZ:$BM,6,0)="","",VLOOKUP($T50,'Performance Pivot'!$AZ:$BM,6,0))</f>
        <v/>
      </c>
      <c r="Z50" s="80" t="str">
        <f>IF(VLOOKUP($T50,'Performance Pivot'!$AZ:$BM,7,0)="","",VLOOKUP($T50,'Performance Pivot'!$AZ:$BM,7,0))</f>
        <v/>
      </c>
      <c r="AA50" s="80" t="str">
        <f>IF(VLOOKUP($T50,'Performance Pivot'!$AZ:$BM,8,0)="","",VLOOKUP($T50,'Performance Pivot'!$AZ:$BM,8,0))</f>
        <v/>
      </c>
      <c r="AB50" s="80" t="str">
        <f>IF(VLOOKUP($T50,'Performance Pivot'!$AZ:$BM,9,0)="","",VLOOKUP($T50,'Performance Pivot'!$AZ:$BM,9,0))</f>
        <v/>
      </c>
      <c r="AC50" s="80" t="str">
        <f>IF(VLOOKUP($T50,'Performance Pivot'!$AZ:$BM,10,0)="","",VLOOKUP($T50,'Performance Pivot'!$AZ:$BM,10,0))</f>
        <v/>
      </c>
      <c r="AD50" s="80" t="str">
        <f>IF(VLOOKUP($T50,'Performance Pivot'!$AZ:$BM,11,0)="","",VLOOKUP($T50,'Performance Pivot'!$AZ:$BM,11,0))</f>
        <v/>
      </c>
      <c r="AE50" s="80" t="str">
        <f>IF(VLOOKUP($T50,'Performance Pivot'!$AZ:$BM,12,0)="","",VLOOKUP($T50,'Performance Pivot'!$AZ:$BM,12,0))</f>
        <v/>
      </c>
      <c r="AF50" s="80" t="str">
        <f>IF(VLOOKUP($T50,'Performance Pivot'!$AZ:$BM,13,0)="","",VLOOKUP($T50,'Performance Pivot'!$AZ:$BM,13,0))</f>
        <v/>
      </c>
      <c r="AG50" s="80" t="str">
        <f>IF(VLOOKUP($T50,'Performance Pivot'!$AZ:$BM,14,0)="","",VLOOKUP($T50,'Performance Pivot'!$AZ:$BM,14,0))</f>
        <v/>
      </c>
      <c r="AH50" s="80" t="str">
        <f>IF(VLOOKUP($T50,'Performance Pivot'!$AZ:$BN,15,0)="","",VLOOKUP($T50,'Performance Pivot'!$AZ:$BN,15,0))</f>
        <v/>
      </c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</row>
    <row r="51" spans="3:47" s="81" customFormat="1" ht="21" customHeight="1">
      <c r="C51" s="78">
        <f t="shared" si="4"/>
        <v>41548</v>
      </c>
      <c r="D51" s="80">
        <f>IF(VLOOKUP($C51,'Performance Pivot'!$AI:$AV,2,0)="","",VLOOKUP($C51,'Performance Pivot'!$AI:$AV,2,0))</f>
        <v>0</v>
      </c>
      <c r="E51" s="80" t="str">
        <f>IF(VLOOKUP($C51,'Performance Pivot'!$AI:$AV,3,0)="","",VLOOKUP($C51,'Performance Pivot'!$AI:$AV,3,0))</f>
        <v/>
      </c>
      <c r="F51" s="80" t="str">
        <f>IF(VLOOKUP($C51,'Performance Pivot'!$AI:$AV,4,0)="","",VLOOKUP($C51,'Performance Pivot'!$AI:$AV,4,0))</f>
        <v/>
      </c>
      <c r="G51" s="80" t="str">
        <f>IF(VLOOKUP($C51,'Performance Pivot'!$AI:$AV,5,0)="","",VLOOKUP($C51,'Performance Pivot'!$AI:$AV,5,0))</f>
        <v/>
      </c>
      <c r="H51" s="80" t="str">
        <f>IF(VLOOKUP($C51,'Performance Pivot'!$AI:$AV,6,0)="","",VLOOKUP($C51,'Performance Pivot'!$AI:$AV,6,0))</f>
        <v/>
      </c>
      <c r="I51" s="80" t="str">
        <f>IF(VLOOKUP($C51,'Performance Pivot'!$AI:$AV,7,0)="","",VLOOKUP($C51,'Performance Pivot'!$AI:$AV,7,0))</f>
        <v/>
      </c>
      <c r="J51" s="80" t="str">
        <f>IF(VLOOKUP($C51,'Performance Pivot'!$AI:$AV,8,0)="","",VLOOKUP($C51,'Performance Pivot'!$AI:$AV,8,0))</f>
        <v/>
      </c>
      <c r="K51" s="80" t="str">
        <f>IF(VLOOKUP($C51,'Performance Pivot'!$AI:$AV,9,0)="","",VLOOKUP($C51,'Performance Pivot'!$AI:$AV,9,0))</f>
        <v/>
      </c>
      <c r="L51" s="80" t="str">
        <f>IF(VLOOKUP($C51,'Performance Pivot'!$AI:$AV,10,0)="","",VLOOKUP($C51,'Performance Pivot'!$AI:$AV,10,0))</f>
        <v/>
      </c>
      <c r="M51" s="80" t="str">
        <f>IF(VLOOKUP($C51,'Performance Pivot'!$AI:$AV,11,0)="","",VLOOKUP($C51,'Performance Pivot'!$AI:$AV,11,0))</f>
        <v/>
      </c>
      <c r="N51" s="80" t="str">
        <f>IF(VLOOKUP($C51,'Performance Pivot'!$AI:$AV,12,0)="","",VLOOKUP($C51,'Performance Pivot'!$AI:$AV,12,0))</f>
        <v/>
      </c>
      <c r="O51" s="80"/>
      <c r="P51" s="80" t="str">
        <f>IF(VLOOKUP($C51,'Performance Pivot'!$AI:$AV,13,0)="","",VLOOKUP($C51,'Performance Pivot'!$AI:$AV,13,0))</f>
        <v/>
      </c>
      <c r="Q51" s="80" t="str">
        <f>IF(VLOOKUP($C51,'Performance Pivot'!$AI:$AW,15,0)="","",VLOOKUP($C51,'Performance Pivot'!$AI:$AW,15,0))</f>
        <v/>
      </c>
      <c r="R51" s="57"/>
      <c r="S51" s="57"/>
      <c r="T51" s="78">
        <f t="shared" si="5"/>
        <v>41548</v>
      </c>
      <c r="U51" s="80">
        <f>IF(VLOOKUP($T51,'Performance Pivot'!$AZ:$BM,2,0)="","",VLOOKUP($T51,'Performance Pivot'!$AZ:$BM,2,0))</f>
        <v>0.15484221430720771</v>
      </c>
      <c r="V51" s="80" t="str">
        <f>IF(VLOOKUP($T51,'Performance Pivot'!$AZ:$BM,3,0)="","",VLOOKUP($T51,'Performance Pivot'!$AZ:$BM,3,0))</f>
        <v/>
      </c>
      <c r="W51" s="80" t="str">
        <f>IF(VLOOKUP($T51,'Performance Pivot'!$AZ:$BM,4,0)="","",VLOOKUP($T51,'Performance Pivot'!$AZ:$BM,4,0))</f>
        <v/>
      </c>
      <c r="X51" s="80" t="str">
        <f>IF(VLOOKUP($T51,'Performance Pivot'!$AZ:$BM,5,0)="","",VLOOKUP($T51,'Performance Pivot'!$AZ:$BM,5,0))</f>
        <v/>
      </c>
      <c r="Y51" s="80" t="str">
        <f>IF(VLOOKUP($T51,'Performance Pivot'!$AZ:$BM,6,0)="","",VLOOKUP($T51,'Performance Pivot'!$AZ:$BM,6,0))</f>
        <v/>
      </c>
      <c r="Z51" s="80" t="str">
        <f>IF(VLOOKUP($T51,'Performance Pivot'!$AZ:$BM,7,0)="","",VLOOKUP($T51,'Performance Pivot'!$AZ:$BM,7,0))</f>
        <v/>
      </c>
      <c r="AA51" s="80" t="str">
        <f>IF(VLOOKUP($T51,'Performance Pivot'!$AZ:$BM,8,0)="","",VLOOKUP($T51,'Performance Pivot'!$AZ:$BM,8,0))</f>
        <v/>
      </c>
      <c r="AB51" s="80" t="str">
        <f>IF(VLOOKUP($T51,'Performance Pivot'!$AZ:$BM,9,0)="","",VLOOKUP($T51,'Performance Pivot'!$AZ:$BM,9,0))</f>
        <v/>
      </c>
      <c r="AC51" s="80" t="str">
        <f>IF(VLOOKUP($T51,'Performance Pivot'!$AZ:$BM,10,0)="","",VLOOKUP($T51,'Performance Pivot'!$AZ:$BM,10,0))</f>
        <v/>
      </c>
      <c r="AD51" s="80" t="str">
        <f>IF(VLOOKUP($T51,'Performance Pivot'!$AZ:$BM,11,0)="","",VLOOKUP($T51,'Performance Pivot'!$AZ:$BM,11,0))</f>
        <v/>
      </c>
      <c r="AE51" s="80" t="str">
        <f>IF(VLOOKUP($T51,'Performance Pivot'!$AZ:$BM,12,0)="","",VLOOKUP($T51,'Performance Pivot'!$AZ:$BM,12,0))</f>
        <v/>
      </c>
      <c r="AF51" s="80" t="str">
        <f>IF(VLOOKUP($T51,'Performance Pivot'!$AZ:$BM,13,0)="","",VLOOKUP($T51,'Performance Pivot'!$AZ:$BM,13,0))</f>
        <v/>
      </c>
      <c r="AG51" s="80" t="str">
        <f>IF(VLOOKUP($T51,'Performance Pivot'!$AZ:$BM,14,0)="","",VLOOKUP($T51,'Performance Pivot'!$AZ:$BM,14,0))</f>
        <v/>
      </c>
      <c r="AH51" s="80" t="str">
        <f>IF(VLOOKUP($T51,'Performance Pivot'!$AZ:$BN,15,0)="","",VLOOKUP($T51,'Performance Pivot'!$AZ:$BN,15,0))</f>
        <v/>
      </c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</row>
    <row r="52" spans="3:47" s="81" customFormat="1" ht="21" customHeight="1">
      <c r="C52" s="78">
        <f t="shared" si="4"/>
        <v>41579</v>
      </c>
      <c r="D52" s="80">
        <f>IF(VLOOKUP($C52,'Performance Pivot'!$AI:$AV,2,0)="","",VLOOKUP($C52,'Performance Pivot'!$AI:$AV,2,0))</f>
        <v>0</v>
      </c>
      <c r="E52" s="80">
        <f>IF(VLOOKUP($C52,'Performance Pivot'!$AI:$AV,3,0)="","",VLOOKUP($C52,'Performance Pivot'!$AI:$AV,3,0))</f>
        <v>0</v>
      </c>
      <c r="F52" s="80" t="str">
        <f>IF(VLOOKUP($C52,'Performance Pivot'!$AI:$AV,4,0)="","",VLOOKUP($C52,'Performance Pivot'!$AI:$AV,4,0))</f>
        <v/>
      </c>
      <c r="G52" s="80" t="str">
        <f>IF(VLOOKUP($C52,'Performance Pivot'!$AI:$AV,5,0)="","",VLOOKUP($C52,'Performance Pivot'!$AI:$AV,5,0))</f>
        <v/>
      </c>
      <c r="H52" s="80" t="str">
        <f>IF(VLOOKUP($C52,'Performance Pivot'!$AI:$AV,6,0)="","",VLOOKUP($C52,'Performance Pivot'!$AI:$AV,6,0))</f>
        <v/>
      </c>
      <c r="I52" s="80" t="str">
        <f>IF(VLOOKUP($C52,'Performance Pivot'!$AI:$AV,7,0)="","",VLOOKUP($C52,'Performance Pivot'!$AI:$AV,7,0))</f>
        <v/>
      </c>
      <c r="J52" s="80" t="str">
        <f>IF(VLOOKUP($C52,'Performance Pivot'!$AI:$AV,8,0)="","",VLOOKUP($C52,'Performance Pivot'!$AI:$AV,8,0))</f>
        <v/>
      </c>
      <c r="K52" s="80" t="str">
        <f>IF(VLOOKUP($C52,'Performance Pivot'!$AI:$AV,9,0)="","",VLOOKUP($C52,'Performance Pivot'!$AI:$AV,9,0))</f>
        <v/>
      </c>
      <c r="L52" s="80" t="str">
        <f>IF(VLOOKUP($C52,'Performance Pivot'!$AI:$AV,10,0)="","",VLOOKUP($C52,'Performance Pivot'!$AI:$AV,10,0))</f>
        <v/>
      </c>
      <c r="M52" s="80" t="str">
        <f>IF(VLOOKUP($C52,'Performance Pivot'!$AI:$AV,11,0)="","",VLOOKUP($C52,'Performance Pivot'!$AI:$AV,11,0))</f>
        <v/>
      </c>
      <c r="N52" s="80" t="str">
        <f>IF(VLOOKUP($C52,'Performance Pivot'!$AI:$AV,12,0)="","",VLOOKUP($C52,'Performance Pivot'!$AI:$AV,12,0))</f>
        <v/>
      </c>
      <c r="O52" s="80"/>
      <c r="P52" s="80" t="str">
        <f>IF(VLOOKUP($C52,'Performance Pivot'!$AI:$AV,13,0)="","",VLOOKUP($C52,'Performance Pivot'!$AI:$AV,13,0))</f>
        <v/>
      </c>
      <c r="Q52" s="80" t="str">
        <f>IF(VLOOKUP($C52,'Performance Pivot'!$AI:$AW,15,0)="","",VLOOKUP($C52,'Performance Pivot'!$AI:$AW,15,0))</f>
        <v/>
      </c>
      <c r="R52" s="57"/>
      <c r="S52" s="57"/>
      <c r="T52" s="78">
        <f t="shared" si="5"/>
        <v>41579</v>
      </c>
      <c r="U52" s="80">
        <f>IF(VLOOKUP($T52,'Performance Pivot'!$AZ:$BM,2,0)="","",VLOOKUP($T52,'Performance Pivot'!$AZ:$BM,2,0))</f>
        <v>0.15094332223427495</v>
      </c>
      <c r="V52" s="80">
        <f>IF(VLOOKUP($T52,'Performance Pivot'!$AZ:$BM,3,0)="","",VLOOKUP($T52,'Performance Pivot'!$AZ:$BM,3,0))</f>
        <v>0.11134998982287603</v>
      </c>
      <c r="W52" s="80" t="str">
        <f>IF(VLOOKUP($T52,'Performance Pivot'!$AZ:$BM,4,0)="","",VLOOKUP($T52,'Performance Pivot'!$AZ:$BM,4,0))</f>
        <v/>
      </c>
      <c r="X52" s="80" t="str">
        <f>IF(VLOOKUP($T52,'Performance Pivot'!$AZ:$BM,5,0)="","",VLOOKUP($T52,'Performance Pivot'!$AZ:$BM,5,0))</f>
        <v/>
      </c>
      <c r="Y52" s="80" t="str">
        <f>IF(VLOOKUP($T52,'Performance Pivot'!$AZ:$BM,6,0)="","",VLOOKUP($T52,'Performance Pivot'!$AZ:$BM,6,0))</f>
        <v/>
      </c>
      <c r="Z52" s="80" t="str">
        <f>IF(VLOOKUP($T52,'Performance Pivot'!$AZ:$BM,7,0)="","",VLOOKUP($T52,'Performance Pivot'!$AZ:$BM,7,0))</f>
        <v/>
      </c>
      <c r="AA52" s="80" t="str">
        <f>IF(VLOOKUP($T52,'Performance Pivot'!$AZ:$BM,8,0)="","",VLOOKUP($T52,'Performance Pivot'!$AZ:$BM,8,0))</f>
        <v/>
      </c>
      <c r="AB52" s="80" t="str">
        <f>IF(VLOOKUP($T52,'Performance Pivot'!$AZ:$BM,9,0)="","",VLOOKUP($T52,'Performance Pivot'!$AZ:$BM,9,0))</f>
        <v/>
      </c>
      <c r="AC52" s="80" t="str">
        <f>IF(VLOOKUP($T52,'Performance Pivot'!$AZ:$BM,10,0)="","",VLOOKUP($T52,'Performance Pivot'!$AZ:$BM,10,0))</f>
        <v/>
      </c>
      <c r="AD52" s="80" t="str">
        <f>IF(VLOOKUP($T52,'Performance Pivot'!$AZ:$BM,11,0)="","",VLOOKUP($T52,'Performance Pivot'!$AZ:$BM,11,0))</f>
        <v/>
      </c>
      <c r="AE52" s="80" t="str">
        <f>IF(VLOOKUP($T52,'Performance Pivot'!$AZ:$BM,12,0)="","",VLOOKUP($T52,'Performance Pivot'!$AZ:$BM,12,0))</f>
        <v/>
      </c>
      <c r="AF52" s="80" t="str">
        <f>IF(VLOOKUP($T52,'Performance Pivot'!$AZ:$BM,13,0)="","",VLOOKUP($T52,'Performance Pivot'!$AZ:$BM,13,0))</f>
        <v/>
      </c>
      <c r="AG52" s="80" t="str">
        <f>IF(VLOOKUP($T52,'Performance Pivot'!$AZ:$BM,14,0)="","",VLOOKUP($T52,'Performance Pivot'!$AZ:$BM,14,0))</f>
        <v/>
      </c>
      <c r="AH52" s="80" t="str">
        <f>IF(VLOOKUP($T52,'Performance Pivot'!$AZ:$BN,15,0)="","",VLOOKUP($T52,'Performance Pivot'!$AZ:$BN,15,0))</f>
        <v/>
      </c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</row>
    <row r="53" spans="3:47" s="81" customFormat="1" ht="21" customHeight="1">
      <c r="C53" s="78">
        <f t="shared" si="4"/>
        <v>41609</v>
      </c>
      <c r="D53" s="80">
        <f>IF(VLOOKUP($C53,'Performance Pivot'!$AI:$AV,2,0)="","",VLOOKUP($C53,'Performance Pivot'!$AI:$AV,2,0))</f>
        <v>0</v>
      </c>
      <c r="E53" s="80">
        <f>IF(VLOOKUP($C53,'Performance Pivot'!$AI:$AV,3,0)="","",VLOOKUP($C53,'Performance Pivot'!$AI:$AV,3,0))</f>
        <v>0</v>
      </c>
      <c r="F53" s="80" t="str">
        <f>IF(VLOOKUP($C53,'Performance Pivot'!$AI:$AV,4,0)="","",VLOOKUP($C53,'Performance Pivot'!$AI:$AV,4,0))</f>
        <v/>
      </c>
      <c r="G53" s="80" t="str">
        <f>IF(VLOOKUP($C53,'Performance Pivot'!$AI:$AV,5,0)="","",VLOOKUP($C53,'Performance Pivot'!$AI:$AV,5,0))</f>
        <v/>
      </c>
      <c r="H53" s="80" t="str">
        <f>IF(VLOOKUP($C53,'Performance Pivot'!$AI:$AV,6,0)="","",VLOOKUP($C53,'Performance Pivot'!$AI:$AV,6,0))</f>
        <v/>
      </c>
      <c r="I53" s="80" t="str">
        <f>IF(VLOOKUP($C53,'Performance Pivot'!$AI:$AV,7,0)="","",VLOOKUP($C53,'Performance Pivot'!$AI:$AV,7,0))</f>
        <v/>
      </c>
      <c r="J53" s="80" t="str">
        <f>IF(VLOOKUP($C53,'Performance Pivot'!$AI:$AV,8,0)="","",VLOOKUP($C53,'Performance Pivot'!$AI:$AV,8,0))</f>
        <v/>
      </c>
      <c r="K53" s="80" t="str">
        <f>IF(VLOOKUP($C53,'Performance Pivot'!$AI:$AV,9,0)="","",VLOOKUP($C53,'Performance Pivot'!$AI:$AV,9,0))</f>
        <v/>
      </c>
      <c r="L53" s="80" t="str">
        <f>IF(VLOOKUP($C53,'Performance Pivot'!$AI:$AV,10,0)="","",VLOOKUP($C53,'Performance Pivot'!$AI:$AV,10,0))</f>
        <v/>
      </c>
      <c r="M53" s="80" t="str">
        <f>IF(VLOOKUP($C53,'Performance Pivot'!$AI:$AV,11,0)="","",VLOOKUP($C53,'Performance Pivot'!$AI:$AV,11,0))</f>
        <v/>
      </c>
      <c r="N53" s="80" t="str">
        <f>IF(VLOOKUP($C53,'Performance Pivot'!$AI:$AV,12,0)="","",VLOOKUP($C53,'Performance Pivot'!$AI:$AV,12,0))</f>
        <v/>
      </c>
      <c r="O53" s="80"/>
      <c r="P53" s="80" t="str">
        <f>IF(VLOOKUP($C53,'Performance Pivot'!$AI:$AV,13,0)="","",VLOOKUP($C53,'Performance Pivot'!$AI:$AV,13,0))</f>
        <v/>
      </c>
      <c r="Q53" s="80" t="str">
        <f>IF(VLOOKUP($C53,'Performance Pivot'!$AI:$AW,15,0)="","",VLOOKUP($C53,'Performance Pivot'!$AI:$AW,15,0))</f>
        <v/>
      </c>
      <c r="R53" s="57"/>
      <c r="S53" s="57"/>
      <c r="T53" s="78">
        <f t="shared" si="5"/>
        <v>41609</v>
      </c>
      <c r="U53" s="80">
        <f>IF(VLOOKUP($T53,'Performance Pivot'!$AZ:$BM,2,0)="","",VLOOKUP($T53,'Performance Pivot'!$AZ:$BM,2,0))</f>
        <v>0.2170049043778646</v>
      </c>
      <c r="V53" s="80">
        <f>IF(VLOOKUP($T53,'Performance Pivot'!$AZ:$BM,3,0)="","",VLOOKUP($T53,'Performance Pivot'!$AZ:$BM,3,0))</f>
        <v>0.17538831299275423</v>
      </c>
      <c r="W53" s="80" t="str">
        <f>IF(VLOOKUP($T53,'Performance Pivot'!$AZ:$BM,4,0)="","",VLOOKUP($T53,'Performance Pivot'!$AZ:$BM,4,0))</f>
        <v/>
      </c>
      <c r="X53" s="80" t="str">
        <f>IF(VLOOKUP($T53,'Performance Pivot'!$AZ:$BM,5,0)="","",VLOOKUP($T53,'Performance Pivot'!$AZ:$BM,5,0))</f>
        <v/>
      </c>
      <c r="Y53" s="80" t="str">
        <f>IF(VLOOKUP($T53,'Performance Pivot'!$AZ:$BM,6,0)="","",VLOOKUP($T53,'Performance Pivot'!$AZ:$BM,6,0))</f>
        <v/>
      </c>
      <c r="Z53" s="80" t="str">
        <f>IF(VLOOKUP($T53,'Performance Pivot'!$AZ:$BM,7,0)="","",VLOOKUP($T53,'Performance Pivot'!$AZ:$BM,7,0))</f>
        <v/>
      </c>
      <c r="AA53" s="80" t="str">
        <f>IF(VLOOKUP($T53,'Performance Pivot'!$AZ:$BM,8,0)="","",VLOOKUP($T53,'Performance Pivot'!$AZ:$BM,8,0))</f>
        <v/>
      </c>
      <c r="AB53" s="80" t="str">
        <f>IF(VLOOKUP($T53,'Performance Pivot'!$AZ:$BM,9,0)="","",VLOOKUP($T53,'Performance Pivot'!$AZ:$BM,9,0))</f>
        <v/>
      </c>
      <c r="AC53" s="80" t="str">
        <f>IF(VLOOKUP($T53,'Performance Pivot'!$AZ:$BM,10,0)="","",VLOOKUP($T53,'Performance Pivot'!$AZ:$BM,10,0))</f>
        <v/>
      </c>
      <c r="AD53" s="80" t="str">
        <f>IF(VLOOKUP($T53,'Performance Pivot'!$AZ:$BM,11,0)="","",VLOOKUP($T53,'Performance Pivot'!$AZ:$BM,11,0))</f>
        <v/>
      </c>
      <c r="AE53" s="80" t="str">
        <f>IF(VLOOKUP($T53,'Performance Pivot'!$AZ:$BM,12,0)="","",VLOOKUP($T53,'Performance Pivot'!$AZ:$BM,12,0))</f>
        <v/>
      </c>
      <c r="AF53" s="80" t="str">
        <f>IF(VLOOKUP($T53,'Performance Pivot'!$AZ:$BM,13,0)="","",VLOOKUP($T53,'Performance Pivot'!$AZ:$BM,13,0))</f>
        <v/>
      </c>
      <c r="AG53" s="80" t="str">
        <f>IF(VLOOKUP($T53,'Performance Pivot'!$AZ:$BM,14,0)="","",VLOOKUP($T53,'Performance Pivot'!$AZ:$BM,14,0))</f>
        <v/>
      </c>
      <c r="AH53" s="80" t="str">
        <f>IF(VLOOKUP($T53,'Performance Pivot'!$AZ:$BN,15,0)="","",VLOOKUP($T53,'Performance Pivot'!$AZ:$BN,15,0))</f>
        <v/>
      </c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</row>
    <row r="54" spans="3:47" s="81" customFormat="1" ht="21" customHeight="1">
      <c r="C54" s="78">
        <f t="shared" si="4"/>
        <v>41640</v>
      </c>
      <c r="D54" s="80">
        <f>IF(VLOOKUP($C54,'Performance Pivot'!$AI:$AV,2,0)="","",VLOOKUP($C54,'Performance Pivot'!$AI:$AV,2,0))</f>
        <v>0</v>
      </c>
      <c r="E54" s="80">
        <f>IF(VLOOKUP($C54,'Performance Pivot'!$AI:$AV,3,0)="","",VLOOKUP($C54,'Performance Pivot'!$AI:$AV,3,0))</f>
        <v>0</v>
      </c>
      <c r="F54" s="80" t="str">
        <f>IF(VLOOKUP($C54,'Performance Pivot'!$AI:$AV,4,0)="","",VLOOKUP($C54,'Performance Pivot'!$AI:$AV,4,0))</f>
        <v/>
      </c>
      <c r="G54" s="80" t="str">
        <f>IF(VLOOKUP($C54,'Performance Pivot'!$AI:$AV,5,0)="","",VLOOKUP($C54,'Performance Pivot'!$AI:$AV,5,0))</f>
        <v/>
      </c>
      <c r="H54" s="80" t="str">
        <f>IF(VLOOKUP($C54,'Performance Pivot'!$AI:$AV,6,0)="","",VLOOKUP($C54,'Performance Pivot'!$AI:$AV,6,0))</f>
        <v/>
      </c>
      <c r="I54" s="80" t="str">
        <f>IF(VLOOKUP($C54,'Performance Pivot'!$AI:$AV,7,0)="","",VLOOKUP($C54,'Performance Pivot'!$AI:$AV,7,0))</f>
        <v/>
      </c>
      <c r="J54" s="80" t="str">
        <f>IF(VLOOKUP($C54,'Performance Pivot'!$AI:$AV,8,0)="","",VLOOKUP($C54,'Performance Pivot'!$AI:$AV,8,0))</f>
        <v/>
      </c>
      <c r="K54" s="80" t="str">
        <f>IF(VLOOKUP($C54,'Performance Pivot'!$AI:$AV,9,0)="","",VLOOKUP($C54,'Performance Pivot'!$AI:$AV,9,0))</f>
        <v/>
      </c>
      <c r="L54" s="80" t="str">
        <f>IF(VLOOKUP($C54,'Performance Pivot'!$AI:$AV,10,0)="","",VLOOKUP($C54,'Performance Pivot'!$AI:$AV,10,0))</f>
        <v/>
      </c>
      <c r="M54" s="80" t="str">
        <f>IF(VLOOKUP($C54,'Performance Pivot'!$AI:$AV,11,0)="","",VLOOKUP($C54,'Performance Pivot'!$AI:$AV,11,0))</f>
        <v/>
      </c>
      <c r="N54" s="80" t="str">
        <f>IF(VLOOKUP($C54,'Performance Pivot'!$AI:$AV,12,0)="","",VLOOKUP($C54,'Performance Pivot'!$AI:$AV,12,0))</f>
        <v/>
      </c>
      <c r="O54" s="80"/>
      <c r="P54" s="80" t="str">
        <f>IF(VLOOKUP($C54,'Performance Pivot'!$AI:$AV,13,0)="","",VLOOKUP($C54,'Performance Pivot'!$AI:$AV,13,0))</f>
        <v/>
      </c>
      <c r="Q54" s="80" t="str">
        <f>IF(VLOOKUP($C54,'Performance Pivot'!$AI:$AW,15,0)="","",VLOOKUP($C54,'Performance Pivot'!$AI:$AW,15,0))</f>
        <v/>
      </c>
      <c r="R54" s="57"/>
      <c r="S54" s="57"/>
      <c r="T54" s="78">
        <f t="shared" si="5"/>
        <v>41640</v>
      </c>
      <c r="U54" s="80">
        <f>IF(VLOOKUP($T54,'Performance Pivot'!$AZ:$BM,2,0)="","",VLOOKUP($T54,'Performance Pivot'!$AZ:$BM,2,0))</f>
        <v>0.21894667321964048</v>
      </c>
      <c r="V54" s="80">
        <f>IF(VLOOKUP($T54,'Performance Pivot'!$AZ:$BM,3,0)="","",VLOOKUP($T54,'Performance Pivot'!$AZ:$BM,3,0))</f>
        <v>0.18421270287605088</v>
      </c>
      <c r="W54" s="80" t="str">
        <f>IF(VLOOKUP($T54,'Performance Pivot'!$AZ:$BM,4,0)="","",VLOOKUP($T54,'Performance Pivot'!$AZ:$BM,4,0))</f>
        <v/>
      </c>
      <c r="X54" s="80" t="str">
        <f>IF(VLOOKUP($T54,'Performance Pivot'!$AZ:$BM,5,0)="","",VLOOKUP($T54,'Performance Pivot'!$AZ:$BM,5,0))</f>
        <v/>
      </c>
      <c r="Y54" s="80" t="str">
        <f>IF(VLOOKUP($T54,'Performance Pivot'!$AZ:$BM,6,0)="","",VLOOKUP($T54,'Performance Pivot'!$AZ:$BM,6,0))</f>
        <v/>
      </c>
      <c r="Z54" s="80" t="str">
        <f>IF(VLOOKUP($T54,'Performance Pivot'!$AZ:$BM,7,0)="","",VLOOKUP($T54,'Performance Pivot'!$AZ:$BM,7,0))</f>
        <v/>
      </c>
      <c r="AA54" s="80" t="str">
        <f>IF(VLOOKUP($T54,'Performance Pivot'!$AZ:$BM,8,0)="","",VLOOKUP($T54,'Performance Pivot'!$AZ:$BM,8,0))</f>
        <v/>
      </c>
      <c r="AB54" s="80" t="str">
        <f>IF(VLOOKUP($T54,'Performance Pivot'!$AZ:$BM,9,0)="","",VLOOKUP($T54,'Performance Pivot'!$AZ:$BM,9,0))</f>
        <v/>
      </c>
      <c r="AC54" s="80" t="str">
        <f>IF(VLOOKUP($T54,'Performance Pivot'!$AZ:$BM,10,0)="","",VLOOKUP($T54,'Performance Pivot'!$AZ:$BM,10,0))</f>
        <v/>
      </c>
      <c r="AD54" s="80" t="str">
        <f>IF(VLOOKUP($T54,'Performance Pivot'!$AZ:$BM,11,0)="","",VLOOKUP($T54,'Performance Pivot'!$AZ:$BM,11,0))</f>
        <v/>
      </c>
      <c r="AE54" s="80" t="str">
        <f>IF(VLOOKUP($T54,'Performance Pivot'!$AZ:$BM,12,0)="","",VLOOKUP($T54,'Performance Pivot'!$AZ:$BM,12,0))</f>
        <v/>
      </c>
      <c r="AF54" s="80" t="str">
        <f>IF(VLOOKUP($T54,'Performance Pivot'!$AZ:$BM,13,0)="","",VLOOKUP($T54,'Performance Pivot'!$AZ:$BM,13,0))</f>
        <v/>
      </c>
      <c r="AG54" s="80" t="str">
        <f>IF(VLOOKUP($T54,'Performance Pivot'!$AZ:$BM,14,0)="","",VLOOKUP($T54,'Performance Pivot'!$AZ:$BM,14,0))</f>
        <v/>
      </c>
      <c r="AH54" s="80" t="str">
        <f>IF(VLOOKUP($T54,'Performance Pivot'!$AZ:$BN,15,0)="","",VLOOKUP($T54,'Performance Pivot'!$AZ:$BN,15,0))</f>
        <v/>
      </c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</row>
    <row r="55" spans="3:47" s="81" customFormat="1" ht="21" customHeight="1">
      <c r="C55" s="78">
        <f t="shared" si="4"/>
        <v>41671</v>
      </c>
      <c r="D55" s="80">
        <f>IF(VLOOKUP($C55,'Performance Pivot'!$AI:$AV,2,0)="","",VLOOKUP($C55,'Performance Pivot'!$AI:$AV,2,0))</f>
        <v>0</v>
      </c>
      <c r="E55" s="80">
        <f>IF(VLOOKUP($C55,'Performance Pivot'!$AI:$AV,3,0)="","",VLOOKUP($C55,'Performance Pivot'!$AI:$AV,3,0))</f>
        <v>0</v>
      </c>
      <c r="F55" s="80">
        <f>IF(VLOOKUP($C55,'Performance Pivot'!$AI:$AV,4,0)="","",VLOOKUP($C55,'Performance Pivot'!$AI:$AV,4,0))</f>
        <v>0</v>
      </c>
      <c r="G55" s="80" t="str">
        <f>IF(VLOOKUP($C55,'Performance Pivot'!$AI:$AV,5,0)="","",VLOOKUP($C55,'Performance Pivot'!$AI:$AV,5,0))</f>
        <v/>
      </c>
      <c r="H55" s="80" t="str">
        <f>IF(VLOOKUP($C55,'Performance Pivot'!$AI:$AV,6,0)="","",VLOOKUP($C55,'Performance Pivot'!$AI:$AV,6,0))</f>
        <v/>
      </c>
      <c r="I55" s="80" t="str">
        <f>IF(VLOOKUP($C55,'Performance Pivot'!$AI:$AV,7,0)="","",VLOOKUP($C55,'Performance Pivot'!$AI:$AV,7,0))</f>
        <v/>
      </c>
      <c r="J55" s="80" t="str">
        <f>IF(VLOOKUP($C55,'Performance Pivot'!$AI:$AV,8,0)="","",VLOOKUP($C55,'Performance Pivot'!$AI:$AV,8,0))</f>
        <v/>
      </c>
      <c r="K55" s="80" t="str">
        <f>IF(VLOOKUP($C55,'Performance Pivot'!$AI:$AV,9,0)="","",VLOOKUP($C55,'Performance Pivot'!$AI:$AV,9,0))</f>
        <v/>
      </c>
      <c r="L55" s="80" t="str">
        <f>IF(VLOOKUP($C55,'Performance Pivot'!$AI:$AV,10,0)="","",VLOOKUP($C55,'Performance Pivot'!$AI:$AV,10,0))</f>
        <v/>
      </c>
      <c r="M55" s="80" t="str">
        <f>IF(VLOOKUP($C55,'Performance Pivot'!$AI:$AV,11,0)="","",VLOOKUP($C55,'Performance Pivot'!$AI:$AV,11,0))</f>
        <v/>
      </c>
      <c r="N55" s="80" t="str">
        <f>IF(VLOOKUP($C55,'Performance Pivot'!$AI:$AV,12,0)="","",VLOOKUP($C55,'Performance Pivot'!$AI:$AV,12,0))</f>
        <v/>
      </c>
      <c r="O55" s="80"/>
      <c r="P55" s="80" t="str">
        <f>IF(VLOOKUP($C55,'Performance Pivot'!$AI:$AV,13,0)="","",VLOOKUP($C55,'Performance Pivot'!$AI:$AV,13,0))</f>
        <v/>
      </c>
      <c r="Q55" s="80" t="str">
        <f>IF(VLOOKUP($C55,'Performance Pivot'!$AI:$AW,15,0)="","",VLOOKUP($C55,'Performance Pivot'!$AI:$AW,15,0))</f>
        <v/>
      </c>
      <c r="R55" s="57"/>
      <c r="S55" s="57"/>
      <c r="T55" s="78">
        <f t="shared" si="5"/>
        <v>41671</v>
      </c>
      <c r="U55" s="80">
        <f>IF(VLOOKUP($T55,'Performance Pivot'!$AZ:$BM,2,0)="","",VLOOKUP($T55,'Performance Pivot'!$AZ:$BM,2,0))</f>
        <v>0.23021683029496079</v>
      </c>
      <c r="V55" s="80">
        <f>IF(VLOOKUP($T55,'Performance Pivot'!$AZ:$BM,3,0)="","",VLOOKUP($T55,'Performance Pivot'!$AZ:$BM,3,0))</f>
        <v>0.17825470643351868</v>
      </c>
      <c r="W55" s="80">
        <f>IF(VLOOKUP($T55,'Performance Pivot'!$AZ:$BM,4,0)="","",VLOOKUP($T55,'Performance Pivot'!$AZ:$BM,4,0))</f>
        <v>8.3035215336207974E-2</v>
      </c>
      <c r="X55" s="80" t="str">
        <f>IF(VLOOKUP($T55,'Performance Pivot'!$AZ:$BM,5,0)="","",VLOOKUP($T55,'Performance Pivot'!$AZ:$BM,5,0))</f>
        <v/>
      </c>
      <c r="Y55" s="80" t="str">
        <f>IF(VLOOKUP($T55,'Performance Pivot'!$AZ:$BM,6,0)="","",VLOOKUP($T55,'Performance Pivot'!$AZ:$BM,6,0))</f>
        <v/>
      </c>
      <c r="Z55" s="80" t="str">
        <f>IF(VLOOKUP($T55,'Performance Pivot'!$AZ:$BM,7,0)="","",VLOOKUP($T55,'Performance Pivot'!$AZ:$BM,7,0))</f>
        <v/>
      </c>
      <c r="AA55" s="80" t="str">
        <f>IF(VLOOKUP($T55,'Performance Pivot'!$AZ:$BM,8,0)="","",VLOOKUP($T55,'Performance Pivot'!$AZ:$BM,8,0))</f>
        <v/>
      </c>
      <c r="AB55" s="80" t="str">
        <f>IF(VLOOKUP($T55,'Performance Pivot'!$AZ:$BM,9,0)="","",VLOOKUP($T55,'Performance Pivot'!$AZ:$BM,9,0))</f>
        <v/>
      </c>
      <c r="AC55" s="80" t="str">
        <f>IF(VLOOKUP($T55,'Performance Pivot'!$AZ:$BM,10,0)="","",VLOOKUP($T55,'Performance Pivot'!$AZ:$BM,10,0))</f>
        <v/>
      </c>
      <c r="AD55" s="80" t="str">
        <f>IF(VLOOKUP($T55,'Performance Pivot'!$AZ:$BM,11,0)="","",VLOOKUP($T55,'Performance Pivot'!$AZ:$BM,11,0))</f>
        <v/>
      </c>
      <c r="AE55" s="80" t="str">
        <f>IF(VLOOKUP($T55,'Performance Pivot'!$AZ:$BM,12,0)="","",VLOOKUP($T55,'Performance Pivot'!$AZ:$BM,12,0))</f>
        <v/>
      </c>
      <c r="AF55" s="80" t="str">
        <f>IF(VLOOKUP($T55,'Performance Pivot'!$AZ:$BM,13,0)="","",VLOOKUP($T55,'Performance Pivot'!$AZ:$BM,13,0))</f>
        <v/>
      </c>
      <c r="AG55" s="80" t="str">
        <f>IF(VLOOKUP($T55,'Performance Pivot'!$AZ:$BM,14,0)="","",VLOOKUP($T55,'Performance Pivot'!$AZ:$BM,14,0))</f>
        <v/>
      </c>
      <c r="AH55" s="80" t="str">
        <f>IF(VLOOKUP($T55,'Performance Pivot'!$AZ:$BN,15,0)="","",VLOOKUP($T55,'Performance Pivot'!$AZ:$BN,15,0))</f>
        <v/>
      </c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</row>
    <row r="56" spans="3:47" s="81" customFormat="1" ht="21" customHeight="1">
      <c r="C56" s="78">
        <f t="shared" si="4"/>
        <v>41699</v>
      </c>
      <c r="D56" s="80">
        <f>IF(VLOOKUP($C56,'Performance Pivot'!$AI:$AV,2,0)="","",VLOOKUP($C56,'Performance Pivot'!$AI:$AV,2,0))</f>
        <v>0.01</v>
      </c>
      <c r="E56" s="80">
        <f>IF(VLOOKUP($C56,'Performance Pivot'!$AI:$AV,3,0)="","",VLOOKUP($C56,'Performance Pivot'!$AI:$AV,3,0))</f>
        <v>0</v>
      </c>
      <c r="F56" s="80">
        <f>IF(VLOOKUP($C56,'Performance Pivot'!$AI:$AV,4,0)="","",VLOOKUP($C56,'Performance Pivot'!$AI:$AV,4,0))</f>
        <v>0</v>
      </c>
      <c r="G56" s="80" t="str">
        <f>IF(VLOOKUP($C56,'Performance Pivot'!$AI:$AV,5,0)="","",VLOOKUP($C56,'Performance Pivot'!$AI:$AV,5,0))</f>
        <v/>
      </c>
      <c r="H56" s="80" t="str">
        <f>IF(VLOOKUP($C56,'Performance Pivot'!$AI:$AV,6,0)="","",VLOOKUP($C56,'Performance Pivot'!$AI:$AV,6,0))</f>
        <v/>
      </c>
      <c r="I56" s="80" t="str">
        <f>IF(VLOOKUP($C56,'Performance Pivot'!$AI:$AV,7,0)="","",VLOOKUP($C56,'Performance Pivot'!$AI:$AV,7,0))</f>
        <v/>
      </c>
      <c r="J56" s="80" t="str">
        <f>IF(VLOOKUP($C56,'Performance Pivot'!$AI:$AV,8,0)="","",VLOOKUP($C56,'Performance Pivot'!$AI:$AV,8,0))</f>
        <v/>
      </c>
      <c r="K56" s="80" t="str">
        <f>IF(VLOOKUP($C56,'Performance Pivot'!$AI:$AV,9,0)="","",VLOOKUP($C56,'Performance Pivot'!$AI:$AV,9,0))</f>
        <v/>
      </c>
      <c r="L56" s="80" t="str">
        <f>IF(VLOOKUP($C56,'Performance Pivot'!$AI:$AV,10,0)="","",VLOOKUP($C56,'Performance Pivot'!$AI:$AV,10,0))</f>
        <v/>
      </c>
      <c r="M56" s="80" t="str">
        <f>IF(VLOOKUP($C56,'Performance Pivot'!$AI:$AV,11,0)="","",VLOOKUP($C56,'Performance Pivot'!$AI:$AV,11,0))</f>
        <v/>
      </c>
      <c r="N56" s="80" t="str">
        <f>IF(VLOOKUP($C56,'Performance Pivot'!$AI:$AV,12,0)="","",VLOOKUP($C56,'Performance Pivot'!$AI:$AV,12,0))</f>
        <v/>
      </c>
      <c r="O56" s="80"/>
      <c r="P56" s="80" t="str">
        <f>IF(VLOOKUP($C56,'Performance Pivot'!$AI:$AV,13,0)="","",VLOOKUP($C56,'Performance Pivot'!$AI:$AV,13,0))</f>
        <v/>
      </c>
      <c r="Q56" s="80" t="str">
        <f>IF(VLOOKUP($C56,'Performance Pivot'!$AI:$AW,15,0)="","",VLOOKUP($C56,'Performance Pivot'!$AI:$AW,15,0))</f>
        <v/>
      </c>
      <c r="R56" s="57"/>
      <c r="S56" s="57"/>
      <c r="T56" s="78">
        <f t="shared" si="5"/>
        <v>41699</v>
      </c>
      <c r="U56" s="80">
        <f>IF(VLOOKUP($T56,'Performance Pivot'!$AZ:$BM,2,0)="","",VLOOKUP($T56,'Performance Pivot'!$AZ:$BM,2,0))</f>
        <v>0.2876385478091566</v>
      </c>
      <c r="V56" s="80">
        <f>IF(VLOOKUP($T56,'Performance Pivot'!$AZ:$BM,3,0)="","",VLOOKUP($T56,'Performance Pivot'!$AZ:$BM,3,0))</f>
        <v>0.24791712180865094</v>
      </c>
      <c r="W56" s="80">
        <f>IF(VLOOKUP($T56,'Performance Pivot'!$AZ:$BM,4,0)="","",VLOOKUP($T56,'Performance Pivot'!$AZ:$BM,4,0))</f>
        <v>0.15226672684829901</v>
      </c>
      <c r="X56" s="80" t="str">
        <f>IF(VLOOKUP($T56,'Performance Pivot'!$AZ:$BM,5,0)="","",VLOOKUP($T56,'Performance Pivot'!$AZ:$BM,5,0))</f>
        <v/>
      </c>
      <c r="Y56" s="80" t="str">
        <f>IF(VLOOKUP($T56,'Performance Pivot'!$AZ:$BM,6,0)="","",VLOOKUP($T56,'Performance Pivot'!$AZ:$BM,6,0))</f>
        <v/>
      </c>
      <c r="Z56" s="80" t="str">
        <f>IF(VLOOKUP($T56,'Performance Pivot'!$AZ:$BM,7,0)="","",VLOOKUP($T56,'Performance Pivot'!$AZ:$BM,7,0))</f>
        <v/>
      </c>
      <c r="AA56" s="80" t="str">
        <f>IF(VLOOKUP($T56,'Performance Pivot'!$AZ:$BM,8,0)="","",VLOOKUP($T56,'Performance Pivot'!$AZ:$BM,8,0))</f>
        <v/>
      </c>
      <c r="AB56" s="80" t="str">
        <f>IF(VLOOKUP($T56,'Performance Pivot'!$AZ:$BM,9,0)="","",VLOOKUP($T56,'Performance Pivot'!$AZ:$BM,9,0))</f>
        <v/>
      </c>
      <c r="AC56" s="80" t="str">
        <f>IF(VLOOKUP($T56,'Performance Pivot'!$AZ:$BM,10,0)="","",VLOOKUP($T56,'Performance Pivot'!$AZ:$BM,10,0))</f>
        <v/>
      </c>
      <c r="AD56" s="80" t="str">
        <f>IF(VLOOKUP($T56,'Performance Pivot'!$AZ:$BM,11,0)="","",VLOOKUP($T56,'Performance Pivot'!$AZ:$BM,11,0))</f>
        <v/>
      </c>
      <c r="AE56" s="80" t="str">
        <f>IF(VLOOKUP($T56,'Performance Pivot'!$AZ:$BM,12,0)="","",VLOOKUP($T56,'Performance Pivot'!$AZ:$BM,12,0))</f>
        <v/>
      </c>
      <c r="AF56" s="80" t="str">
        <f>IF(VLOOKUP($T56,'Performance Pivot'!$AZ:$BM,13,0)="","",VLOOKUP($T56,'Performance Pivot'!$AZ:$BM,13,0))</f>
        <v/>
      </c>
      <c r="AG56" s="80" t="str">
        <f>IF(VLOOKUP($T56,'Performance Pivot'!$AZ:$BM,14,0)="","",VLOOKUP($T56,'Performance Pivot'!$AZ:$BM,14,0))</f>
        <v/>
      </c>
      <c r="AH56" s="80" t="str">
        <f>IF(VLOOKUP($T56,'Performance Pivot'!$AZ:$BN,15,0)="","",VLOOKUP($T56,'Performance Pivot'!$AZ:$BN,15,0))</f>
        <v/>
      </c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</row>
    <row r="57" spans="3:47" s="81" customFormat="1" ht="21" customHeight="1">
      <c r="C57" s="78">
        <f t="shared" si="4"/>
        <v>41730</v>
      </c>
      <c r="D57" s="80">
        <f>IF(VLOOKUP($C57,'Performance Pivot'!$AI:$AV,2,0)="","",VLOOKUP($C57,'Performance Pivot'!$AI:$AV,2,0))</f>
        <v>0.01</v>
      </c>
      <c r="E57" s="80">
        <f>IF(VLOOKUP($C57,'Performance Pivot'!$AI:$AV,3,0)="","",VLOOKUP($C57,'Performance Pivot'!$AI:$AV,3,0))</f>
        <v>0</v>
      </c>
      <c r="F57" s="80">
        <f>IF(VLOOKUP($C57,'Performance Pivot'!$AI:$AV,4,0)="","",VLOOKUP($C57,'Performance Pivot'!$AI:$AV,4,0))</f>
        <v>0</v>
      </c>
      <c r="G57" s="80">
        <f>IF(VLOOKUP($C57,'Performance Pivot'!$AI:$AV,5,0)="","",VLOOKUP($C57,'Performance Pivot'!$AI:$AV,5,0))</f>
        <v>0</v>
      </c>
      <c r="H57" s="80" t="str">
        <f>IF(VLOOKUP($C57,'Performance Pivot'!$AI:$AV,6,0)="","",VLOOKUP($C57,'Performance Pivot'!$AI:$AV,6,0))</f>
        <v/>
      </c>
      <c r="I57" s="80" t="str">
        <f>IF(VLOOKUP($C57,'Performance Pivot'!$AI:$AV,7,0)="","",VLOOKUP($C57,'Performance Pivot'!$AI:$AV,7,0))</f>
        <v/>
      </c>
      <c r="J57" s="80" t="str">
        <f>IF(VLOOKUP($C57,'Performance Pivot'!$AI:$AV,8,0)="","",VLOOKUP($C57,'Performance Pivot'!$AI:$AV,8,0))</f>
        <v/>
      </c>
      <c r="K57" s="80" t="str">
        <f>IF(VLOOKUP($C57,'Performance Pivot'!$AI:$AV,9,0)="","",VLOOKUP($C57,'Performance Pivot'!$AI:$AV,9,0))</f>
        <v/>
      </c>
      <c r="L57" s="80" t="str">
        <f>IF(VLOOKUP($C57,'Performance Pivot'!$AI:$AV,10,0)="","",VLOOKUP($C57,'Performance Pivot'!$AI:$AV,10,0))</f>
        <v/>
      </c>
      <c r="M57" s="80" t="str">
        <f>IF(VLOOKUP($C57,'Performance Pivot'!$AI:$AV,11,0)="","",VLOOKUP($C57,'Performance Pivot'!$AI:$AV,11,0))</f>
        <v/>
      </c>
      <c r="N57" s="80" t="str">
        <f>IF(VLOOKUP($C57,'Performance Pivot'!$AI:$AV,12,0)="","",VLOOKUP($C57,'Performance Pivot'!$AI:$AV,12,0))</f>
        <v/>
      </c>
      <c r="O57" s="80"/>
      <c r="P57" s="80" t="str">
        <f>IF(VLOOKUP($C57,'Performance Pivot'!$AI:$AV,13,0)="","",VLOOKUP($C57,'Performance Pivot'!$AI:$AV,13,0))</f>
        <v/>
      </c>
      <c r="Q57" s="80" t="str">
        <f>IF(VLOOKUP($C57,'Performance Pivot'!$AI:$AW,15,0)="","",VLOOKUP($C57,'Performance Pivot'!$AI:$AW,15,0))</f>
        <v/>
      </c>
      <c r="R57" s="57"/>
      <c r="S57" s="57"/>
      <c r="T57" s="78">
        <f t="shared" si="5"/>
        <v>41730</v>
      </c>
      <c r="U57" s="80">
        <f>IF(VLOOKUP($T57,'Performance Pivot'!$AZ:$BM,2,0)="","",VLOOKUP($T57,'Performance Pivot'!$AZ:$BM,2,0))</f>
        <v>0.17641106928362413</v>
      </c>
      <c r="V57" s="80">
        <f>IF(VLOOKUP($T57,'Performance Pivot'!$AZ:$BM,3,0)="","",VLOOKUP($T57,'Performance Pivot'!$AZ:$BM,3,0))</f>
        <v>0.20046795170412454</v>
      </c>
      <c r="W57" s="80">
        <f>IF(VLOOKUP($T57,'Performance Pivot'!$AZ:$BM,4,0)="","",VLOOKUP($T57,'Performance Pivot'!$AZ:$BM,4,0))</f>
        <v>0.11277179985904995</v>
      </c>
      <c r="X57" s="80">
        <f>IF(VLOOKUP($T57,'Performance Pivot'!$AZ:$BM,5,0)="","",VLOOKUP($T57,'Performance Pivot'!$AZ:$BM,5,0))</f>
        <v>0.12582498026457525</v>
      </c>
      <c r="Y57" s="80" t="str">
        <f>IF(VLOOKUP($T57,'Performance Pivot'!$AZ:$BM,6,0)="","",VLOOKUP($T57,'Performance Pivot'!$AZ:$BM,6,0))</f>
        <v/>
      </c>
      <c r="Z57" s="80" t="str">
        <f>IF(VLOOKUP($T57,'Performance Pivot'!$AZ:$BM,7,0)="","",VLOOKUP($T57,'Performance Pivot'!$AZ:$BM,7,0))</f>
        <v/>
      </c>
      <c r="AA57" s="80" t="str">
        <f>IF(VLOOKUP($T57,'Performance Pivot'!$AZ:$BM,8,0)="","",VLOOKUP($T57,'Performance Pivot'!$AZ:$BM,8,0))</f>
        <v/>
      </c>
      <c r="AB57" s="80" t="str">
        <f>IF(VLOOKUP($T57,'Performance Pivot'!$AZ:$BM,9,0)="","",VLOOKUP($T57,'Performance Pivot'!$AZ:$BM,9,0))</f>
        <v/>
      </c>
      <c r="AC57" s="80" t="str">
        <f>IF(VLOOKUP($T57,'Performance Pivot'!$AZ:$BM,10,0)="","",VLOOKUP($T57,'Performance Pivot'!$AZ:$BM,10,0))</f>
        <v/>
      </c>
      <c r="AD57" s="80" t="str">
        <f>IF(VLOOKUP($T57,'Performance Pivot'!$AZ:$BM,11,0)="","",VLOOKUP($T57,'Performance Pivot'!$AZ:$BM,11,0))</f>
        <v/>
      </c>
      <c r="AE57" s="80" t="str">
        <f>IF(VLOOKUP($T57,'Performance Pivot'!$AZ:$BM,12,0)="","",VLOOKUP($T57,'Performance Pivot'!$AZ:$BM,12,0))</f>
        <v/>
      </c>
      <c r="AF57" s="80" t="str">
        <f>IF(VLOOKUP($T57,'Performance Pivot'!$AZ:$BM,13,0)="","",VLOOKUP($T57,'Performance Pivot'!$AZ:$BM,13,0))</f>
        <v/>
      </c>
      <c r="AG57" s="80" t="str">
        <f>IF(VLOOKUP($T57,'Performance Pivot'!$AZ:$BM,14,0)="","",VLOOKUP($T57,'Performance Pivot'!$AZ:$BM,14,0))</f>
        <v/>
      </c>
      <c r="AH57" s="80" t="str">
        <f>IF(VLOOKUP($T57,'Performance Pivot'!$AZ:$BN,15,0)="","",VLOOKUP($T57,'Performance Pivot'!$AZ:$BN,15,0))</f>
        <v/>
      </c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</row>
    <row r="58" spans="3:47" s="81" customFormat="1" ht="21" customHeight="1">
      <c r="C58" s="78">
        <f t="shared" si="4"/>
        <v>41760</v>
      </c>
      <c r="D58" s="80">
        <f>IF(VLOOKUP($C58,'Performance Pivot'!$AI:$AV,2,0)="","",VLOOKUP($C58,'Performance Pivot'!$AI:$AV,2,0))</f>
        <v>0.02</v>
      </c>
      <c r="E58" s="80">
        <f>IF(VLOOKUP($C58,'Performance Pivot'!$AI:$AV,3,0)="","",VLOOKUP($C58,'Performance Pivot'!$AI:$AV,3,0))</f>
        <v>0</v>
      </c>
      <c r="F58" s="80">
        <f>IF(VLOOKUP($C58,'Performance Pivot'!$AI:$AV,4,0)="","",VLOOKUP($C58,'Performance Pivot'!$AI:$AV,4,0))</f>
        <v>0</v>
      </c>
      <c r="G58" s="80">
        <f>IF(VLOOKUP($C58,'Performance Pivot'!$AI:$AV,5,0)="","",VLOOKUP($C58,'Performance Pivot'!$AI:$AV,5,0))</f>
        <v>0</v>
      </c>
      <c r="H58" s="80" t="str">
        <f>IF(VLOOKUP($C58,'Performance Pivot'!$AI:$AV,6,0)="","",VLOOKUP($C58,'Performance Pivot'!$AI:$AV,6,0))</f>
        <v/>
      </c>
      <c r="I58" s="80" t="str">
        <f>IF(VLOOKUP($C58,'Performance Pivot'!$AI:$AV,7,0)="","",VLOOKUP($C58,'Performance Pivot'!$AI:$AV,7,0))</f>
        <v/>
      </c>
      <c r="J58" s="80" t="str">
        <f>IF(VLOOKUP($C58,'Performance Pivot'!$AI:$AV,8,0)="","",VLOOKUP($C58,'Performance Pivot'!$AI:$AV,8,0))</f>
        <v/>
      </c>
      <c r="K58" s="80" t="str">
        <f>IF(VLOOKUP($C58,'Performance Pivot'!$AI:$AV,9,0)="","",VLOOKUP($C58,'Performance Pivot'!$AI:$AV,9,0))</f>
        <v/>
      </c>
      <c r="L58" s="80" t="str">
        <f>IF(VLOOKUP($C58,'Performance Pivot'!$AI:$AV,10,0)="","",VLOOKUP($C58,'Performance Pivot'!$AI:$AV,10,0))</f>
        <v/>
      </c>
      <c r="M58" s="80" t="str">
        <f>IF(VLOOKUP($C58,'Performance Pivot'!$AI:$AV,11,0)="","",VLOOKUP($C58,'Performance Pivot'!$AI:$AV,11,0))</f>
        <v/>
      </c>
      <c r="N58" s="80" t="str">
        <f>IF(VLOOKUP($C58,'Performance Pivot'!$AI:$AV,12,0)="","",VLOOKUP($C58,'Performance Pivot'!$AI:$AV,12,0))</f>
        <v/>
      </c>
      <c r="O58" s="80"/>
      <c r="P58" s="80" t="str">
        <f>IF(VLOOKUP($C58,'Performance Pivot'!$AI:$AV,13,0)="","",VLOOKUP($C58,'Performance Pivot'!$AI:$AV,13,0))</f>
        <v/>
      </c>
      <c r="Q58" s="80" t="str">
        <f>IF(VLOOKUP($C58,'Performance Pivot'!$AI:$AW,15,0)="","",VLOOKUP($C58,'Performance Pivot'!$AI:$AW,15,0))</f>
        <v/>
      </c>
      <c r="R58" s="57"/>
      <c r="S58" s="57"/>
      <c r="T58" s="78">
        <f t="shared" si="5"/>
        <v>41760</v>
      </c>
      <c r="U58" s="80">
        <f>IF(VLOOKUP($T58,'Performance Pivot'!$AZ:$BM,2,0)="","",VLOOKUP($T58,'Performance Pivot'!$AZ:$BM,2,0))</f>
        <v>0.1742149172942529</v>
      </c>
      <c r="V58" s="80">
        <f>IF(VLOOKUP($T58,'Performance Pivot'!$AZ:$BM,3,0)="","",VLOOKUP($T58,'Performance Pivot'!$AZ:$BM,3,0))</f>
        <v>0.20610782018602572</v>
      </c>
      <c r="W58" s="80">
        <f>IF(VLOOKUP($T58,'Performance Pivot'!$AZ:$BM,4,0)="","",VLOOKUP($T58,'Performance Pivot'!$AZ:$BM,4,0))</f>
        <v>0.1379372649183698</v>
      </c>
      <c r="X58" s="80">
        <f>IF(VLOOKUP($T58,'Performance Pivot'!$AZ:$BM,5,0)="","",VLOOKUP($T58,'Performance Pivot'!$AZ:$BM,5,0))</f>
        <v>0.15944404332331152</v>
      </c>
      <c r="Y58" s="80" t="str">
        <f>IF(VLOOKUP($T58,'Performance Pivot'!$AZ:$BM,6,0)="","",VLOOKUP($T58,'Performance Pivot'!$AZ:$BM,6,0))</f>
        <v/>
      </c>
      <c r="Z58" s="80" t="str">
        <f>IF(VLOOKUP($T58,'Performance Pivot'!$AZ:$BM,7,0)="","",VLOOKUP($T58,'Performance Pivot'!$AZ:$BM,7,0))</f>
        <v/>
      </c>
      <c r="AA58" s="80" t="str">
        <f>IF(VLOOKUP($T58,'Performance Pivot'!$AZ:$BM,8,0)="","",VLOOKUP($T58,'Performance Pivot'!$AZ:$BM,8,0))</f>
        <v/>
      </c>
      <c r="AB58" s="80" t="str">
        <f>IF(VLOOKUP($T58,'Performance Pivot'!$AZ:$BM,9,0)="","",VLOOKUP($T58,'Performance Pivot'!$AZ:$BM,9,0))</f>
        <v/>
      </c>
      <c r="AC58" s="80" t="str">
        <f>IF(VLOOKUP($T58,'Performance Pivot'!$AZ:$BM,10,0)="","",VLOOKUP($T58,'Performance Pivot'!$AZ:$BM,10,0))</f>
        <v/>
      </c>
      <c r="AD58" s="80" t="str">
        <f>IF(VLOOKUP($T58,'Performance Pivot'!$AZ:$BM,11,0)="","",VLOOKUP($T58,'Performance Pivot'!$AZ:$BM,11,0))</f>
        <v/>
      </c>
      <c r="AE58" s="80" t="str">
        <f>IF(VLOOKUP($T58,'Performance Pivot'!$AZ:$BM,12,0)="","",VLOOKUP($T58,'Performance Pivot'!$AZ:$BM,12,0))</f>
        <v/>
      </c>
      <c r="AF58" s="80" t="str">
        <f>IF(VLOOKUP($T58,'Performance Pivot'!$AZ:$BM,13,0)="","",VLOOKUP($T58,'Performance Pivot'!$AZ:$BM,13,0))</f>
        <v/>
      </c>
      <c r="AG58" s="80" t="str">
        <f>IF(VLOOKUP($T58,'Performance Pivot'!$AZ:$BM,14,0)="","",VLOOKUP($T58,'Performance Pivot'!$AZ:$BM,14,0))</f>
        <v/>
      </c>
      <c r="AH58" s="80" t="str">
        <f>IF(VLOOKUP($T58,'Performance Pivot'!$AZ:$BN,15,0)="","",VLOOKUP($T58,'Performance Pivot'!$AZ:$BN,15,0))</f>
        <v/>
      </c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</row>
    <row r="59" spans="3:47" s="81" customFormat="1" ht="21" customHeight="1">
      <c r="C59" s="78">
        <f t="shared" si="4"/>
        <v>41791</v>
      </c>
      <c r="D59" s="80">
        <f>IF(VLOOKUP($C59,'Performance Pivot'!$AI:$AV,2,0)="","",VLOOKUP($C59,'Performance Pivot'!$AI:$AV,2,0))</f>
        <v>0.02</v>
      </c>
      <c r="E59" s="80">
        <f>IF(VLOOKUP($C59,'Performance Pivot'!$AI:$AV,3,0)="","",VLOOKUP($C59,'Performance Pivot'!$AI:$AV,3,0))</f>
        <v>0</v>
      </c>
      <c r="F59" s="80">
        <f>IF(VLOOKUP($C59,'Performance Pivot'!$AI:$AV,4,0)="","",VLOOKUP($C59,'Performance Pivot'!$AI:$AV,4,0))</f>
        <v>0</v>
      </c>
      <c r="G59" s="80">
        <f>IF(VLOOKUP($C59,'Performance Pivot'!$AI:$AV,5,0)="","",VLOOKUP($C59,'Performance Pivot'!$AI:$AV,5,0))</f>
        <v>0</v>
      </c>
      <c r="H59" s="80" t="str">
        <f>IF(VLOOKUP($C59,'Performance Pivot'!$AI:$AV,6,0)="","",VLOOKUP($C59,'Performance Pivot'!$AI:$AV,6,0))</f>
        <v/>
      </c>
      <c r="I59" s="80" t="str">
        <f>IF(VLOOKUP($C59,'Performance Pivot'!$AI:$AV,7,0)="","",VLOOKUP($C59,'Performance Pivot'!$AI:$AV,7,0))</f>
        <v/>
      </c>
      <c r="J59" s="80" t="str">
        <f>IF(VLOOKUP($C59,'Performance Pivot'!$AI:$AV,8,0)="","",VLOOKUP($C59,'Performance Pivot'!$AI:$AV,8,0))</f>
        <v/>
      </c>
      <c r="K59" s="80" t="str">
        <f>IF(VLOOKUP($C59,'Performance Pivot'!$AI:$AV,9,0)="","",VLOOKUP($C59,'Performance Pivot'!$AI:$AV,9,0))</f>
        <v/>
      </c>
      <c r="L59" s="80" t="str">
        <f>IF(VLOOKUP($C59,'Performance Pivot'!$AI:$AV,10,0)="","",VLOOKUP($C59,'Performance Pivot'!$AI:$AV,10,0))</f>
        <v/>
      </c>
      <c r="M59" s="80" t="str">
        <f>IF(VLOOKUP($C59,'Performance Pivot'!$AI:$AV,11,0)="","",VLOOKUP($C59,'Performance Pivot'!$AI:$AV,11,0))</f>
        <v/>
      </c>
      <c r="N59" s="80" t="str">
        <f>IF(VLOOKUP($C59,'Performance Pivot'!$AI:$AV,12,0)="","",VLOOKUP($C59,'Performance Pivot'!$AI:$AV,12,0))</f>
        <v/>
      </c>
      <c r="O59" s="80"/>
      <c r="P59" s="80" t="str">
        <f>IF(VLOOKUP($C59,'Performance Pivot'!$AI:$AV,13,0)="","",VLOOKUP($C59,'Performance Pivot'!$AI:$AV,13,0))</f>
        <v/>
      </c>
      <c r="Q59" s="80" t="str">
        <f>IF(VLOOKUP($C59,'Performance Pivot'!$AI:$AW,15,0)="","",VLOOKUP($C59,'Performance Pivot'!$AI:$AW,15,0))</f>
        <v/>
      </c>
      <c r="R59" s="57"/>
      <c r="S59" s="57"/>
      <c r="T59" s="78">
        <f t="shared" si="5"/>
        <v>41791</v>
      </c>
      <c r="U59" s="80">
        <f>IF(VLOOKUP($T59,'Performance Pivot'!$AZ:$BM,2,0)="","",VLOOKUP($T59,'Performance Pivot'!$AZ:$BM,2,0))</f>
        <v>0.18080148243312563</v>
      </c>
      <c r="V59" s="80">
        <f>IF(VLOOKUP($T59,'Performance Pivot'!$AZ:$BM,3,0)="","",VLOOKUP($T59,'Performance Pivot'!$AZ:$BM,3,0))</f>
        <v>0.19825996525561487</v>
      </c>
      <c r="W59" s="80">
        <f>IF(VLOOKUP($T59,'Performance Pivot'!$AZ:$BM,4,0)="","",VLOOKUP($T59,'Performance Pivot'!$AZ:$BM,4,0))</f>
        <v>0.16926852605984863</v>
      </c>
      <c r="X59" s="80">
        <f>IF(VLOOKUP($T59,'Performance Pivot'!$AZ:$BM,5,0)="","",VLOOKUP($T59,'Performance Pivot'!$AZ:$BM,5,0))</f>
        <v>0.16220678949680692</v>
      </c>
      <c r="Y59" s="80" t="str">
        <f>IF(VLOOKUP($T59,'Performance Pivot'!$AZ:$BM,6,0)="","",VLOOKUP($T59,'Performance Pivot'!$AZ:$BM,6,0))</f>
        <v/>
      </c>
      <c r="Z59" s="80" t="str">
        <f>IF(VLOOKUP($T59,'Performance Pivot'!$AZ:$BM,7,0)="","",VLOOKUP($T59,'Performance Pivot'!$AZ:$BM,7,0))</f>
        <v/>
      </c>
      <c r="AA59" s="80" t="str">
        <f>IF(VLOOKUP($T59,'Performance Pivot'!$AZ:$BM,8,0)="","",VLOOKUP($T59,'Performance Pivot'!$AZ:$BM,8,0))</f>
        <v/>
      </c>
      <c r="AB59" s="80" t="str">
        <f>IF(VLOOKUP($T59,'Performance Pivot'!$AZ:$BM,9,0)="","",VLOOKUP($T59,'Performance Pivot'!$AZ:$BM,9,0))</f>
        <v/>
      </c>
      <c r="AC59" s="80" t="str">
        <f>IF(VLOOKUP($T59,'Performance Pivot'!$AZ:$BM,10,0)="","",VLOOKUP($T59,'Performance Pivot'!$AZ:$BM,10,0))</f>
        <v/>
      </c>
      <c r="AD59" s="80" t="str">
        <f>IF(VLOOKUP($T59,'Performance Pivot'!$AZ:$BM,11,0)="","",VLOOKUP($T59,'Performance Pivot'!$AZ:$BM,11,0))</f>
        <v/>
      </c>
      <c r="AE59" s="80" t="str">
        <f>IF(VLOOKUP($T59,'Performance Pivot'!$AZ:$BM,12,0)="","",VLOOKUP($T59,'Performance Pivot'!$AZ:$BM,12,0))</f>
        <v/>
      </c>
      <c r="AF59" s="80" t="str">
        <f>IF(VLOOKUP($T59,'Performance Pivot'!$AZ:$BM,13,0)="","",VLOOKUP($T59,'Performance Pivot'!$AZ:$BM,13,0))</f>
        <v/>
      </c>
      <c r="AG59" s="80" t="str">
        <f>IF(VLOOKUP($T59,'Performance Pivot'!$AZ:$BM,14,0)="","",VLOOKUP($T59,'Performance Pivot'!$AZ:$BM,14,0))</f>
        <v/>
      </c>
      <c r="AH59" s="80" t="str">
        <f>IF(VLOOKUP($T59,'Performance Pivot'!$AZ:$BN,15,0)="","",VLOOKUP($T59,'Performance Pivot'!$AZ:$BN,15,0))</f>
        <v/>
      </c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</row>
    <row r="60" spans="3:47" s="81" customFormat="1" ht="21" customHeight="1">
      <c r="C60" s="78">
        <f t="shared" si="4"/>
        <v>41821</v>
      </c>
      <c r="D60" s="80">
        <f>IF(VLOOKUP($C60,'Performance Pivot'!$AI:$AV,2,0)="","",VLOOKUP($C60,'Performance Pivot'!$AI:$AV,2,0))</f>
        <v>0.02</v>
      </c>
      <c r="E60" s="80">
        <f>IF(VLOOKUP($C60,'Performance Pivot'!$AI:$AV,3,0)="","",VLOOKUP($C60,'Performance Pivot'!$AI:$AV,3,0))</f>
        <v>0.01</v>
      </c>
      <c r="F60" s="80">
        <f>IF(VLOOKUP($C60,'Performance Pivot'!$AI:$AV,4,0)="","",VLOOKUP($C60,'Performance Pivot'!$AI:$AV,4,0))</f>
        <v>0</v>
      </c>
      <c r="G60" s="80">
        <f>IF(VLOOKUP($C60,'Performance Pivot'!$AI:$AV,5,0)="","",VLOOKUP($C60,'Performance Pivot'!$AI:$AV,5,0))</f>
        <v>0</v>
      </c>
      <c r="H60" s="80" t="str">
        <f>IF(VLOOKUP($C60,'Performance Pivot'!$AI:$AV,6,0)="","",VLOOKUP($C60,'Performance Pivot'!$AI:$AV,6,0))</f>
        <v/>
      </c>
      <c r="I60" s="80" t="str">
        <f>IF(VLOOKUP($C60,'Performance Pivot'!$AI:$AV,7,0)="","",VLOOKUP($C60,'Performance Pivot'!$AI:$AV,7,0))</f>
        <v/>
      </c>
      <c r="J60" s="80" t="str">
        <f>IF(VLOOKUP($C60,'Performance Pivot'!$AI:$AV,8,0)="","",VLOOKUP($C60,'Performance Pivot'!$AI:$AV,8,0))</f>
        <v/>
      </c>
      <c r="K60" s="80" t="str">
        <f>IF(VLOOKUP($C60,'Performance Pivot'!$AI:$AV,9,0)="","",VLOOKUP($C60,'Performance Pivot'!$AI:$AV,9,0))</f>
        <v/>
      </c>
      <c r="L60" s="80" t="str">
        <f>IF(VLOOKUP($C60,'Performance Pivot'!$AI:$AV,10,0)="","",VLOOKUP($C60,'Performance Pivot'!$AI:$AV,10,0))</f>
        <v/>
      </c>
      <c r="M60" s="80" t="str">
        <f>IF(VLOOKUP($C60,'Performance Pivot'!$AI:$AV,11,0)="","",VLOOKUP($C60,'Performance Pivot'!$AI:$AV,11,0))</f>
        <v/>
      </c>
      <c r="N60" s="80" t="str">
        <f>IF(VLOOKUP($C60,'Performance Pivot'!$AI:$AV,12,0)="","",VLOOKUP($C60,'Performance Pivot'!$AI:$AV,12,0))</f>
        <v/>
      </c>
      <c r="O60" s="80"/>
      <c r="P60" s="80" t="str">
        <f>IF(VLOOKUP($C60,'Performance Pivot'!$AI:$AV,13,0)="","",VLOOKUP($C60,'Performance Pivot'!$AI:$AV,13,0))</f>
        <v/>
      </c>
      <c r="Q60" s="80" t="str">
        <f>IF(VLOOKUP($C60,'Performance Pivot'!$AI:$AW,15,0)="","",VLOOKUP($C60,'Performance Pivot'!$AI:$AW,15,0))</f>
        <v/>
      </c>
      <c r="R60" s="57"/>
      <c r="S60" s="57"/>
      <c r="T60" s="78">
        <f t="shared" si="5"/>
        <v>41821</v>
      </c>
      <c r="U60" s="80">
        <f>IF(VLOOKUP($T60,'Performance Pivot'!$AZ:$BM,2,0)="","",VLOOKUP($T60,'Performance Pivot'!$AZ:$BM,2,0))</f>
        <v>0.22194793062559817</v>
      </c>
      <c r="V60" s="80">
        <f>IF(VLOOKUP($T60,'Performance Pivot'!$AZ:$BM,3,0)="","",VLOOKUP($T60,'Performance Pivot'!$AZ:$BM,3,0))</f>
        <v>0.22383653709816767</v>
      </c>
      <c r="W60" s="80">
        <f>IF(VLOOKUP($T60,'Performance Pivot'!$AZ:$BM,4,0)="","",VLOOKUP($T60,'Performance Pivot'!$AZ:$BM,4,0))</f>
        <v>0.20239341257222757</v>
      </c>
      <c r="X60" s="80">
        <f>IF(VLOOKUP($T60,'Performance Pivot'!$AZ:$BM,5,0)="","",VLOOKUP($T60,'Performance Pivot'!$AZ:$BM,5,0))</f>
        <v>0.18349704792402902</v>
      </c>
      <c r="Y60" s="80" t="str">
        <f>IF(VLOOKUP($T60,'Performance Pivot'!$AZ:$BM,6,0)="","",VLOOKUP($T60,'Performance Pivot'!$AZ:$BM,6,0))</f>
        <v/>
      </c>
      <c r="Z60" s="80" t="str">
        <f>IF(VLOOKUP($T60,'Performance Pivot'!$AZ:$BM,7,0)="","",VLOOKUP($T60,'Performance Pivot'!$AZ:$BM,7,0))</f>
        <v/>
      </c>
      <c r="AA60" s="80" t="str">
        <f>IF(VLOOKUP($T60,'Performance Pivot'!$AZ:$BM,8,0)="","",VLOOKUP($T60,'Performance Pivot'!$AZ:$BM,8,0))</f>
        <v/>
      </c>
      <c r="AB60" s="80" t="str">
        <f>IF(VLOOKUP($T60,'Performance Pivot'!$AZ:$BM,9,0)="","",VLOOKUP($T60,'Performance Pivot'!$AZ:$BM,9,0))</f>
        <v/>
      </c>
      <c r="AC60" s="80" t="str">
        <f>IF(VLOOKUP($T60,'Performance Pivot'!$AZ:$BM,10,0)="","",VLOOKUP($T60,'Performance Pivot'!$AZ:$BM,10,0))</f>
        <v/>
      </c>
      <c r="AD60" s="80" t="str">
        <f>IF(VLOOKUP($T60,'Performance Pivot'!$AZ:$BM,11,0)="","",VLOOKUP($T60,'Performance Pivot'!$AZ:$BM,11,0))</f>
        <v/>
      </c>
      <c r="AE60" s="80" t="str">
        <f>IF(VLOOKUP($T60,'Performance Pivot'!$AZ:$BM,12,0)="","",VLOOKUP($T60,'Performance Pivot'!$AZ:$BM,12,0))</f>
        <v/>
      </c>
      <c r="AF60" s="80" t="str">
        <f>IF(VLOOKUP($T60,'Performance Pivot'!$AZ:$BM,13,0)="","",VLOOKUP($T60,'Performance Pivot'!$AZ:$BM,13,0))</f>
        <v/>
      </c>
      <c r="AG60" s="80" t="str">
        <f>IF(VLOOKUP($T60,'Performance Pivot'!$AZ:$BM,14,0)="","",VLOOKUP($T60,'Performance Pivot'!$AZ:$BM,14,0))</f>
        <v/>
      </c>
      <c r="AH60" s="80" t="str">
        <f>IF(VLOOKUP($T60,'Performance Pivot'!$AZ:$BN,15,0)="","",VLOOKUP($T60,'Performance Pivot'!$AZ:$BN,15,0))</f>
        <v/>
      </c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</row>
    <row r="61" spans="3:47" s="81" customFormat="1" ht="21" customHeight="1">
      <c r="C61" s="78">
        <f t="shared" si="4"/>
        <v>41852</v>
      </c>
      <c r="D61" s="80">
        <f>IF(VLOOKUP($C61,'Performance Pivot'!$AI:$AV,2,0)="","",VLOOKUP($C61,'Performance Pivot'!$AI:$AV,2,0))</f>
        <v>0.03</v>
      </c>
      <c r="E61" s="80">
        <f>IF(VLOOKUP($C61,'Performance Pivot'!$AI:$AV,3,0)="","",VLOOKUP($C61,'Performance Pivot'!$AI:$AV,3,0))</f>
        <v>0.01</v>
      </c>
      <c r="F61" s="80">
        <f>IF(VLOOKUP($C61,'Performance Pivot'!$AI:$AV,4,0)="","",VLOOKUP($C61,'Performance Pivot'!$AI:$AV,4,0))</f>
        <v>0</v>
      </c>
      <c r="G61" s="80">
        <f>IF(VLOOKUP($C61,'Performance Pivot'!$AI:$AV,5,0)="","",VLOOKUP($C61,'Performance Pivot'!$AI:$AV,5,0))</f>
        <v>0</v>
      </c>
      <c r="H61" s="80">
        <f>IF(VLOOKUP($C61,'Performance Pivot'!$AI:$AV,6,0)="","",VLOOKUP($C61,'Performance Pivot'!$AI:$AV,6,0))</f>
        <v>0</v>
      </c>
      <c r="I61" s="80" t="str">
        <f>IF(VLOOKUP($C61,'Performance Pivot'!$AI:$AV,7,0)="","",VLOOKUP($C61,'Performance Pivot'!$AI:$AV,7,0))</f>
        <v/>
      </c>
      <c r="J61" s="80">
        <f>IF(VLOOKUP($C61,'Performance Pivot'!$AI:$AV,8,0)="","",VLOOKUP($C61,'Performance Pivot'!$AI:$AV,8,0))</f>
        <v>0</v>
      </c>
      <c r="K61" s="80" t="str">
        <f>IF(VLOOKUP($C61,'Performance Pivot'!$AI:$AV,9,0)="","",VLOOKUP($C61,'Performance Pivot'!$AI:$AV,9,0))</f>
        <v/>
      </c>
      <c r="L61" s="80" t="str">
        <f>IF(VLOOKUP($C61,'Performance Pivot'!$AI:$AV,10,0)="","",VLOOKUP($C61,'Performance Pivot'!$AI:$AV,10,0))</f>
        <v/>
      </c>
      <c r="M61" s="80" t="str">
        <f>IF(VLOOKUP($C61,'Performance Pivot'!$AI:$AV,11,0)="","",VLOOKUP($C61,'Performance Pivot'!$AI:$AV,11,0))</f>
        <v/>
      </c>
      <c r="N61" s="80" t="str">
        <f>IF(VLOOKUP($C61,'Performance Pivot'!$AI:$AV,12,0)="","",VLOOKUP($C61,'Performance Pivot'!$AI:$AV,12,0))</f>
        <v/>
      </c>
      <c r="O61" s="80"/>
      <c r="P61" s="80" t="str">
        <f>IF(VLOOKUP($C61,'Performance Pivot'!$AI:$AV,13,0)="","",VLOOKUP($C61,'Performance Pivot'!$AI:$AV,13,0))</f>
        <v/>
      </c>
      <c r="Q61" s="80" t="str">
        <f>IF(VLOOKUP($C61,'Performance Pivot'!$AI:$AW,15,0)="","",VLOOKUP($C61,'Performance Pivot'!$AI:$AW,15,0))</f>
        <v/>
      </c>
      <c r="R61" s="57"/>
      <c r="S61" s="57"/>
      <c r="T61" s="78">
        <f t="shared" si="5"/>
        <v>41852</v>
      </c>
      <c r="U61" s="80">
        <f>IF(VLOOKUP($T61,'Performance Pivot'!$AZ:$BM,2,0)="","",VLOOKUP($T61,'Performance Pivot'!$AZ:$BM,2,0))</f>
        <v>0.2169147066530451</v>
      </c>
      <c r="V61" s="80">
        <f>IF(VLOOKUP($T61,'Performance Pivot'!$AZ:$BM,3,0)="","",VLOOKUP($T61,'Performance Pivot'!$AZ:$BM,3,0))</f>
        <v>0.22145809990234147</v>
      </c>
      <c r="W61" s="80">
        <f>IF(VLOOKUP($T61,'Performance Pivot'!$AZ:$BM,4,0)="","",VLOOKUP($T61,'Performance Pivot'!$AZ:$BM,4,0))</f>
        <v>0.21676206490169875</v>
      </c>
      <c r="X61" s="80">
        <f>IF(VLOOKUP($T61,'Performance Pivot'!$AZ:$BM,5,0)="","",VLOOKUP($T61,'Performance Pivot'!$AZ:$BM,5,0))</f>
        <v>0.17743349699315508</v>
      </c>
      <c r="Y61" s="80">
        <f>IF(VLOOKUP($T61,'Performance Pivot'!$AZ:$BM,6,0)="","",VLOOKUP($T61,'Performance Pivot'!$AZ:$BM,6,0))</f>
        <v>0.18750273449471044</v>
      </c>
      <c r="Z61" s="80" t="str">
        <f>IF(VLOOKUP($T61,'Performance Pivot'!$AZ:$BM,7,0)="","",VLOOKUP($T61,'Performance Pivot'!$AZ:$BM,7,0))</f>
        <v/>
      </c>
      <c r="AA61" s="80">
        <f>IF(VLOOKUP($T61,'Performance Pivot'!$AZ:$BM,8,0)="","",VLOOKUP($T61,'Performance Pivot'!$AZ:$BM,8,0))</f>
        <v>0.17774701574957941</v>
      </c>
      <c r="AB61" s="80" t="str">
        <f>IF(VLOOKUP($T61,'Performance Pivot'!$AZ:$BM,9,0)="","",VLOOKUP($T61,'Performance Pivot'!$AZ:$BM,9,0))</f>
        <v/>
      </c>
      <c r="AC61" s="80" t="str">
        <f>IF(VLOOKUP($T61,'Performance Pivot'!$AZ:$BM,10,0)="","",VLOOKUP($T61,'Performance Pivot'!$AZ:$BM,10,0))</f>
        <v/>
      </c>
      <c r="AD61" s="80" t="str">
        <f>IF(VLOOKUP($T61,'Performance Pivot'!$AZ:$BM,11,0)="","",VLOOKUP($T61,'Performance Pivot'!$AZ:$BM,11,0))</f>
        <v/>
      </c>
      <c r="AE61" s="80" t="str">
        <f>IF(VLOOKUP($T61,'Performance Pivot'!$AZ:$BM,12,0)="","",VLOOKUP($T61,'Performance Pivot'!$AZ:$BM,12,0))</f>
        <v/>
      </c>
      <c r="AF61" s="80" t="str">
        <f>IF(VLOOKUP($T61,'Performance Pivot'!$AZ:$BM,13,0)="","",VLOOKUP($T61,'Performance Pivot'!$AZ:$BM,13,0))</f>
        <v/>
      </c>
      <c r="AG61" s="80" t="str">
        <f>IF(VLOOKUP($T61,'Performance Pivot'!$AZ:$BM,14,0)="","",VLOOKUP($T61,'Performance Pivot'!$AZ:$BM,14,0))</f>
        <v/>
      </c>
      <c r="AH61" s="80" t="str">
        <f>IF(VLOOKUP($T61,'Performance Pivot'!$AZ:$BN,15,0)="","",VLOOKUP($T61,'Performance Pivot'!$AZ:$BN,15,0))</f>
        <v/>
      </c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</row>
    <row r="62" spans="3:47" s="81" customFormat="1" ht="21" customHeight="1">
      <c r="C62" s="78">
        <f t="shared" si="4"/>
        <v>41883</v>
      </c>
      <c r="D62" s="80">
        <f>IF(VLOOKUP($C62,'Performance Pivot'!$AI:$AV,2,0)="","",VLOOKUP($C62,'Performance Pivot'!$AI:$AV,2,0))</f>
        <v>0.03</v>
      </c>
      <c r="E62" s="80">
        <f>IF(VLOOKUP($C62,'Performance Pivot'!$AI:$AV,3,0)="","",VLOOKUP($C62,'Performance Pivot'!$AI:$AV,3,0))</f>
        <v>0.01</v>
      </c>
      <c r="F62" s="80">
        <f>IF(VLOOKUP($C62,'Performance Pivot'!$AI:$AV,4,0)="","",VLOOKUP($C62,'Performance Pivot'!$AI:$AV,4,0))</f>
        <v>0.01</v>
      </c>
      <c r="G62" s="80">
        <f>IF(VLOOKUP($C62,'Performance Pivot'!$AI:$AV,5,0)="","",VLOOKUP($C62,'Performance Pivot'!$AI:$AV,5,0))</f>
        <v>0</v>
      </c>
      <c r="H62" s="80">
        <f>IF(VLOOKUP($C62,'Performance Pivot'!$AI:$AV,6,0)="","",VLOOKUP($C62,'Performance Pivot'!$AI:$AV,6,0))</f>
        <v>0</v>
      </c>
      <c r="I62" s="80">
        <f>IF(VLOOKUP($C62,'Performance Pivot'!$AI:$AV,7,0)="","",VLOOKUP($C62,'Performance Pivot'!$AI:$AV,7,0))</f>
        <v>0</v>
      </c>
      <c r="J62" s="80">
        <f>IF(VLOOKUP($C62,'Performance Pivot'!$AI:$AV,8,0)="","",VLOOKUP($C62,'Performance Pivot'!$AI:$AV,8,0))</f>
        <v>0</v>
      </c>
      <c r="K62" s="80">
        <f>IF(VLOOKUP($C62,'Performance Pivot'!$AI:$AV,9,0)="","",VLOOKUP($C62,'Performance Pivot'!$AI:$AV,9,0))</f>
        <v>0</v>
      </c>
      <c r="L62" s="80">
        <f>IF(VLOOKUP($C62,'Performance Pivot'!$AI:$AV,10,0)="","",VLOOKUP($C62,'Performance Pivot'!$AI:$AV,10,0))</f>
        <v>0</v>
      </c>
      <c r="M62" s="80" t="str">
        <f>IF(VLOOKUP($C62,'Performance Pivot'!$AI:$AV,11,0)="","",VLOOKUP($C62,'Performance Pivot'!$AI:$AV,11,0))</f>
        <v/>
      </c>
      <c r="N62" s="80" t="str">
        <f>IF(VLOOKUP($C62,'Performance Pivot'!$AI:$AV,12,0)="","",VLOOKUP($C62,'Performance Pivot'!$AI:$AV,12,0))</f>
        <v/>
      </c>
      <c r="O62" s="80"/>
      <c r="P62" s="80" t="str">
        <f>IF(VLOOKUP($C62,'Performance Pivot'!$AI:$AV,13,0)="","",VLOOKUP($C62,'Performance Pivot'!$AI:$AV,13,0))</f>
        <v/>
      </c>
      <c r="Q62" s="80" t="str">
        <f>IF(VLOOKUP($C62,'Performance Pivot'!$AI:$AW,15,0)="","",VLOOKUP($C62,'Performance Pivot'!$AI:$AW,15,0))</f>
        <v/>
      </c>
      <c r="R62" s="57"/>
      <c r="S62" s="57"/>
      <c r="T62" s="78">
        <f t="shared" si="5"/>
        <v>41883</v>
      </c>
      <c r="U62" s="80">
        <f>IF(VLOOKUP($T62,'Performance Pivot'!$AZ:$BM,2,0)="","",VLOOKUP($T62,'Performance Pivot'!$AZ:$BM,2,0))</f>
        <v>0.25668689206130668</v>
      </c>
      <c r="V62" s="80">
        <f>IF(VLOOKUP($T62,'Performance Pivot'!$AZ:$BM,3,0)="","",VLOOKUP($T62,'Performance Pivot'!$AZ:$BM,3,0))</f>
        <v>0.2570188709447937</v>
      </c>
      <c r="W62" s="80">
        <f>IF(VLOOKUP($T62,'Performance Pivot'!$AZ:$BM,4,0)="","",VLOOKUP($T62,'Performance Pivot'!$AZ:$BM,4,0))</f>
        <v>0.25084879073542232</v>
      </c>
      <c r="X62" s="80">
        <f>IF(VLOOKUP($T62,'Performance Pivot'!$AZ:$BM,5,0)="","",VLOOKUP($T62,'Performance Pivot'!$AZ:$BM,5,0))</f>
        <v>0.22391729474885549</v>
      </c>
      <c r="Y62" s="80">
        <f>IF(VLOOKUP($T62,'Performance Pivot'!$AZ:$BM,6,0)="","",VLOOKUP($T62,'Performance Pivot'!$AZ:$BM,6,0))</f>
        <v>0.21848072705992422</v>
      </c>
      <c r="Z62" s="80">
        <f>IF(VLOOKUP($T62,'Performance Pivot'!$AZ:$BM,7,0)="","",VLOOKUP($T62,'Performance Pivot'!$AZ:$BM,7,0))</f>
        <v>0</v>
      </c>
      <c r="AA62" s="80">
        <f>IF(VLOOKUP($T62,'Performance Pivot'!$AZ:$BM,8,0)="","",VLOOKUP($T62,'Performance Pivot'!$AZ:$BM,8,0))</f>
        <v>0.26546245827528137</v>
      </c>
      <c r="AB62" s="80">
        <f>IF(VLOOKUP($T62,'Performance Pivot'!$AZ:$BM,9,0)="","",VLOOKUP($T62,'Performance Pivot'!$AZ:$BM,9,0))</f>
        <v>0.19867683813505874</v>
      </c>
      <c r="AC62" s="80">
        <f>IF(VLOOKUP($T62,'Performance Pivot'!$AZ:$BM,10,0)="","",VLOOKUP($T62,'Performance Pivot'!$AZ:$BM,10,0))</f>
        <v>0</v>
      </c>
      <c r="AD62" s="80" t="str">
        <f>IF(VLOOKUP($T62,'Performance Pivot'!$AZ:$BM,11,0)="","",VLOOKUP($T62,'Performance Pivot'!$AZ:$BM,11,0))</f>
        <v/>
      </c>
      <c r="AE62" s="80" t="str">
        <f>IF(VLOOKUP($T62,'Performance Pivot'!$AZ:$BM,12,0)="","",VLOOKUP($T62,'Performance Pivot'!$AZ:$BM,12,0))</f>
        <v/>
      </c>
      <c r="AF62" s="80" t="str">
        <f>IF(VLOOKUP($T62,'Performance Pivot'!$AZ:$BM,13,0)="","",VLOOKUP($T62,'Performance Pivot'!$AZ:$BM,13,0))</f>
        <v/>
      </c>
      <c r="AG62" s="80" t="str">
        <f>IF(VLOOKUP($T62,'Performance Pivot'!$AZ:$BM,14,0)="","",VLOOKUP($T62,'Performance Pivot'!$AZ:$BM,14,0))</f>
        <v/>
      </c>
      <c r="AH62" s="80" t="str">
        <f>IF(VLOOKUP($T62,'Performance Pivot'!$AZ:$BN,15,0)="","",VLOOKUP($T62,'Performance Pivot'!$AZ:$BN,15,0))</f>
        <v/>
      </c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</row>
    <row r="63" spans="3:47" s="81" customFormat="1" ht="21" customHeight="1">
      <c r="C63" s="78">
        <f t="shared" si="4"/>
        <v>41913</v>
      </c>
      <c r="D63" s="80">
        <f>IF(VLOOKUP($C63,'Performance Pivot'!$AI:$AV,2,0)="","",VLOOKUP($C63,'Performance Pivot'!$AI:$AV,2,0))</f>
        <v>0.04</v>
      </c>
      <c r="E63" s="80">
        <f>IF(VLOOKUP($C63,'Performance Pivot'!$AI:$AV,3,0)="","",VLOOKUP($C63,'Performance Pivot'!$AI:$AV,3,0))</f>
        <v>0.02</v>
      </c>
      <c r="F63" s="80">
        <f>IF(VLOOKUP($C63,'Performance Pivot'!$AI:$AV,4,0)="","",VLOOKUP($C63,'Performance Pivot'!$AI:$AV,4,0))</f>
        <v>0.01</v>
      </c>
      <c r="G63" s="80">
        <f>IF(VLOOKUP($C63,'Performance Pivot'!$AI:$AV,5,0)="","",VLOOKUP($C63,'Performance Pivot'!$AI:$AV,5,0))</f>
        <v>0.01</v>
      </c>
      <c r="H63" s="80">
        <f>IF(VLOOKUP($C63,'Performance Pivot'!$AI:$AV,6,0)="","",VLOOKUP($C63,'Performance Pivot'!$AI:$AV,6,0))</f>
        <v>0</v>
      </c>
      <c r="I63" s="80">
        <f>IF(VLOOKUP($C63,'Performance Pivot'!$AI:$AV,7,0)="","",VLOOKUP($C63,'Performance Pivot'!$AI:$AV,7,0))</f>
        <v>0</v>
      </c>
      <c r="J63" s="80">
        <f>IF(VLOOKUP($C63,'Performance Pivot'!$AI:$AV,8,0)="","",VLOOKUP($C63,'Performance Pivot'!$AI:$AV,8,0))</f>
        <v>0</v>
      </c>
      <c r="K63" s="80">
        <f>IF(VLOOKUP($C63,'Performance Pivot'!$AI:$AV,9,0)="","",VLOOKUP($C63,'Performance Pivot'!$AI:$AV,9,0))</f>
        <v>0</v>
      </c>
      <c r="L63" s="80">
        <f>IF(VLOOKUP($C63,'Performance Pivot'!$AI:$AV,10,0)="","",VLOOKUP($C63,'Performance Pivot'!$AI:$AV,10,0))</f>
        <v>0</v>
      </c>
      <c r="M63" s="80" t="str">
        <f>IF(VLOOKUP($C63,'Performance Pivot'!$AI:$AV,11,0)="","",VLOOKUP($C63,'Performance Pivot'!$AI:$AV,11,0))</f>
        <v/>
      </c>
      <c r="N63" s="80" t="str">
        <f>IF(VLOOKUP($C63,'Performance Pivot'!$AI:$AV,12,0)="","",VLOOKUP($C63,'Performance Pivot'!$AI:$AV,12,0))</f>
        <v/>
      </c>
      <c r="O63" s="80"/>
      <c r="P63" s="80" t="str">
        <f>IF(VLOOKUP($C63,'Performance Pivot'!$AI:$AV,13,0)="","",VLOOKUP($C63,'Performance Pivot'!$AI:$AV,13,0))</f>
        <v/>
      </c>
      <c r="Q63" s="80" t="str">
        <f>IF(VLOOKUP($C63,'Performance Pivot'!$AI:$AW,15,0)="","",VLOOKUP($C63,'Performance Pivot'!$AI:$AW,15,0))</f>
        <v/>
      </c>
      <c r="R63" s="57"/>
      <c r="S63" s="57"/>
      <c r="T63" s="78">
        <f t="shared" si="5"/>
        <v>41913</v>
      </c>
      <c r="U63" s="80">
        <f>IF(VLOOKUP($T63,'Performance Pivot'!$AZ:$BM,2,0)="","",VLOOKUP($T63,'Performance Pivot'!$AZ:$BM,2,0))</f>
        <v>0.24419934930955217</v>
      </c>
      <c r="V63" s="80">
        <f>IF(VLOOKUP($T63,'Performance Pivot'!$AZ:$BM,3,0)="","",VLOOKUP($T63,'Performance Pivot'!$AZ:$BM,3,0))</f>
        <v>0.25146402216979941</v>
      </c>
      <c r="W63" s="80">
        <f>IF(VLOOKUP($T63,'Performance Pivot'!$AZ:$BM,4,0)="","",VLOOKUP($T63,'Performance Pivot'!$AZ:$BM,4,0))</f>
        <v>0.24358036540553973</v>
      </c>
      <c r="X63" s="80">
        <f>IF(VLOOKUP($T63,'Performance Pivot'!$AZ:$BM,5,0)="","",VLOOKUP($T63,'Performance Pivot'!$AZ:$BM,5,0))</f>
        <v>0.2387583447908169</v>
      </c>
      <c r="Y63" s="80">
        <f>IF(VLOOKUP($T63,'Performance Pivot'!$AZ:$BM,6,0)="","",VLOOKUP($T63,'Performance Pivot'!$AZ:$BM,6,0))</f>
        <v>0.25633474783678983</v>
      </c>
      <c r="Z63" s="80">
        <f>IF(VLOOKUP($T63,'Performance Pivot'!$AZ:$BM,7,0)="","",VLOOKUP($T63,'Performance Pivot'!$AZ:$BM,7,0))</f>
        <v>0.19170658184365805</v>
      </c>
      <c r="AA63" s="80">
        <f>IF(VLOOKUP($T63,'Performance Pivot'!$AZ:$BM,8,0)="","",VLOOKUP($T63,'Performance Pivot'!$AZ:$BM,8,0))</f>
        <v>0.3072914305202496</v>
      </c>
      <c r="AB63" s="80">
        <f>IF(VLOOKUP($T63,'Performance Pivot'!$AZ:$BM,9,0)="","",VLOOKUP($T63,'Performance Pivot'!$AZ:$BM,9,0))</f>
        <v>0.19704739462751367</v>
      </c>
      <c r="AC63" s="80">
        <f>IF(VLOOKUP($T63,'Performance Pivot'!$AZ:$BM,10,0)="","",VLOOKUP($T63,'Performance Pivot'!$AZ:$BM,10,0))</f>
        <v>0.1662330347431743</v>
      </c>
      <c r="AD63" s="80" t="str">
        <f>IF(VLOOKUP($T63,'Performance Pivot'!$AZ:$BM,11,0)="","",VLOOKUP($T63,'Performance Pivot'!$AZ:$BM,11,0))</f>
        <v/>
      </c>
      <c r="AE63" s="80" t="str">
        <f>IF(VLOOKUP($T63,'Performance Pivot'!$AZ:$BM,12,0)="","",VLOOKUP($T63,'Performance Pivot'!$AZ:$BM,12,0))</f>
        <v/>
      </c>
      <c r="AF63" s="80" t="str">
        <f>IF(VLOOKUP($T63,'Performance Pivot'!$AZ:$BM,13,0)="","",VLOOKUP($T63,'Performance Pivot'!$AZ:$BM,13,0))</f>
        <v/>
      </c>
      <c r="AG63" s="80" t="str">
        <f>IF(VLOOKUP($T63,'Performance Pivot'!$AZ:$BM,14,0)="","",VLOOKUP($T63,'Performance Pivot'!$AZ:$BM,14,0))</f>
        <v/>
      </c>
      <c r="AH63" s="80" t="str">
        <f>IF(VLOOKUP($T63,'Performance Pivot'!$AZ:$BN,15,0)="","",VLOOKUP($T63,'Performance Pivot'!$AZ:$BN,15,0))</f>
        <v/>
      </c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</row>
    <row r="64" spans="3:47" s="81" customFormat="1" ht="21" customHeight="1">
      <c r="C64" s="78">
        <f t="shared" si="4"/>
        <v>41944</v>
      </c>
      <c r="D64" s="80">
        <f>IF(VLOOKUP($C64,'Performance Pivot'!$AI:$AV,2,0)="","",VLOOKUP($C64,'Performance Pivot'!$AI:$AV,2,0))</f>
        <v>0.04</v>
      </c>
      <c r="E64" s="80">
        <f>IF(VLOOKUP($C64,'Performance Pivot'!$AI:$AV,3,0)="","",VLOOKUP($C64,'Performance Pivot'!$AI:$AV,3,0))</f>
        <v>0.02</v>
      </c>
      <c r="F64" s="80">
        <f>IF(VLOOKUP($C64,'Performance Pivot'!$AI:$AV,4,0)="","",VLOOKUP($C64,'Performance Pivot'!$AI:$AV,4,0))</f>
        <v>0.01</v>
      </c>
      <c r="G64" s="80">
        <f>IF(VLOOKUP($C64,'Performance Pivot'!$AI:$AV,5,0)="","",VLOOKUP($C64,'Performance Pivot'!$AI:$AV,5,0))</f>
        <v>0.01</v>
      </c>
      <c r="H64" s="80">
        <f>IF(VLOOKUP($C64,'Performance Pivot'!$AI:$AV,6,0)="","",VLOOKUP($C64,'Performance Pivot'!$AI:$AV,6,0))</f>
        <v>0</v>
      </c>
      <c r="I64" s="80">
        <f>IF(VLOOKUP($C64,'Performance Pivot'!$AI:$AV,7,0)="","",VLOOKUP($C64,'Performance Pivot'!$AI:$AV,7,0))</f>
        <v>0</v>
      </c>
      <c r="J64" s="80">
        <f>IF(VLOOKUP($C64,'Performance Pivot'!$AI:$AV,8,0)="","",VLOOKUP($C64,'Performance Pivot'!$AI:$AV,8,0))</f>
        <v>0</v>
      </c>
      <c r="K64" s="80">
        <f>IF(VLOOKUP($C64,'Performance Pivot'!$AI:$AV,9,0)="","",VLOOKUP($C64,'Performance Pivot'!$AI:$AV,9,0))</f>
        <v>0</v>
      </c>
      <c r="L64" s="80">
        <f>IF(VLOOKUP($C64,'Performance Pivot'!$AI:$AV,10,0)="","",VLOOKUP($C64,'Performance Pivot'!$AI:$AV,10,0))</f>
        <v>0</v>
      </c>
      <c r="M64" s="80" t="str">
        <f>IF(VLOOKUP($C64,'Performance Pivot'!$AI:$AV,11,0)="","",VLOOKUP($C64,'Performance Pivot'!$AI:$AV,11,0))</f>
        <v/>
      </c>
      <c r="N64" s="80" t="str">
        <f>IF(VLOOKUP($C64,'Performance Pivot'!$AI:$AV,12,0)="","",VLOOKUP($C64,'Performance Pivot'!$AI:$AV,12,0))</f>
        <v/>
      </c>
      <c r="O64" s="80"/>
      <c r="P64" s="80" t="str">
        <f>IF(VLOOKUP($C64,'Performance Pivot'!$AI:$AV,13,0)="","",VLOOKUP($C64,'Performance Pivot'!$AI:$AV,13,0))</f>
        <v/>
      </c>
      <c r="Q64" s="80" t="str">
        <f>IF(VLOOKUP($C64,'Performance Pivot'!$AI:$AW,15,0)="","",VLOOKUP($C64,'Performance Pivot'!$AI:$AW,15,0))</f>
        <v/>
      </c>
      <c r="R64" s="57"/>
      <c r="S64" s="57"/>
      <c r="T64" s="78">
        <f t="shared" si="5"/>
        <v>41944</v>
      </c>
      <c r="U64" s="80">
        <f>IF(VLOOKUP($T64,'Performance Pivot'!$AZ:$BM,2,0)="","",VLOOKUP($T64,'Performance Pivot'!$AZ:$BM,2,0))</f>
        <v>0.2260471385439223</v>
      </c>
      <c r="V64" s="80">
        <f>IF(VLOOKUP($T64,'Performance Pivot'!$AZ:$BM,3,0)="","",VLOOKUP($T64,'Performance Pivot'!$AZ:$BM,3,0))</f>
        <v>0.2153438338806028</v>
      </c>
      <c r="W64" s="80">
        <f>IF(VLOOKUP($T64,'Performance Pivot'!$AZ:$BM,4,0)="","",VLOOKUP($T64,'Performance Pivot'!$AZ:$BM,4,0))</f>
        <v>0.19498019037850725</v>
      </c>
      <c r="X64" s="80">
        <f>IF(VLOOKUP($T64,'Performance Pivot'!$AZ:$BM,5,0)="","",VLOOKUP($T64,'Performance Pivot'!$AZ:$BM,5,0))</f>
        <v>0.22911961585951207</v>
      </c>
      <c r="Y64" s="80">
        <f>IF(VLOOKUP($T64,'Performance Pivot'!$AZ:$BM,6,0)="","",VLOOKUP($T64,'Performance Pivot'!$AZ:$BM,6,0))</f>
        <v>0.25782310018865512</v>
      </c>
      <c r="Z64" s="80">
        <f>IF(VLOOKUP($T64,'Performance Pivot'!$AZ:$BM,7,0)="","",VLOOKUP($T64,'Performance Pivot'!$AZ:$BM,7,0))</f>
        <v>0.17382168099278625</v>
      </c>
      <c r="AA64" s="80">
        <f>IF(VLOOKUP($T64,'Performance Pivot'!$AZ:$BM,8,0)="","",VLOOKUP($T64,'Performance Pivot'!$AZ:$BM,8,0))</f>
        <v>0.35378818839678927</v>
      </c>
      <c r="AB64" s="80">
        <f>IF(VLOOKUP($T64,'Performance Pivot'!$AZ:$BM,9,0)="","",VLOOKUP($T64,'Performance Pivot'!$AZ:$BM,9,0))</f>
        <v>0.18279100294153797</v>
      </c>
      <c r="AC64" s="80">
        <f>IF(VLOOKUP($T64,'Performance Pivot'!$AZ:$BM,10,0)="","",VLOOKUP($T64,'Performance Pivot'!$AZ:$BM,10,0))</f>
        <v>0.18127235784901458</v>
      </c>
      <c r="AD64" s="80" t="str">
        <f>IF(VLOOKUP($T64,'Performance Pivot'!$AZ:$BM,11,0)="","",VLOOKUP($T64,'Performance Pivot'!$AZ:$BM,11,0))</f>
        <v/>
      </c>
      <c r="AE64" s="80" t="str">
        <f>IF(VLOOKUP($T64,'Performance Pivot'!$AZ:$BM,12,0)="","",VLOOKUP($T64,'Performance Pivot'!$AZ:$BM,12,0))</f>
        <v/>
      </c>
      <c r="AF64" s="80" t="str">
        <f>IF(VLOOKUP($T64,'Performance Pivot'!$AZ:$BM,13,0)="","",VLOOKUP($T64,'Performance Pivot'!$AZ:$BM,13,0))</f>
        <v/>
      </c>
      <c r="AG64" s="80" t="str">
        <f>IF(VLOOKUP($T64,'Performance Pivot'!$AZ:$BM,14,0)="","",VLOOKUP($T64,'Performance Pivot'!$AZ:$BM,14,0))</f>
        <v/>
      </c>
      <c r="AH64" s="80" t="str">
        <f>IF(VLOOKUP($T64,'Performance Pivot'!$AZ:$BN,15,0)="","",VLOOKUP($T64,'Performance Pivot'!$AZ:$BN,15,0))</f>
        <v/>
      </c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</row>
    <row r="65" spans="3:47" s="81" customFormat="1" ht="21" customHeight="1">
      <c r="C65" s="78">
        <f t="shared" si="4"/>
        <v>41974</v>
      </c>
      <c r="D65" s="80">
        <f>IF(VLOOKUP($C65,'Performance Pivot'!$AI:$AV,2,0)="","",VLOOKUP($C65,'Performance Pivot'!$AI:$AV,2,0))</f>
        <v>0.05</v>
      </c>
      <c r="E65" s="80">
        <f>IF(VLOOKUP($C65,'Performance Pivot'!$AI:$AV,3,0)="","",VLOOKUP($C65,'Performance Pivot'!$AI:$AV,3,0))</f>
        <v>0.02</v>
      </c>
      <c r="F65" s="80">
        <f>IF(VLOOKUP($C65,'Performance Pivot'!$AI:$AV,4,0)="","",VLOOKUP($C65,'Performance Pivot'!$AI:$AV,4,0))</f>
        <v>0.02</v>
      </c>
      <c r="G65" s="80">
        <f>IF(VLOOKUP($C65,'Performance Pivot'!$AI:$AV,5,0)="","",VLOOKUP($C65,'Performance Pivot'!$AI:$AV,5,0))</f>
        <v>0.01</v>
      </c>
      <c r="H65" s="80">
        <f>IF(VLOOKUP($C65,'Performance Pivot'!$AI:$AV,6,0)="","",VLOOKUP($C65,'Performance Pivot'!$AI:$AV,6,0))</f>
        <v>0</v>
      </c>
      <c r="I65" s="80">
        <f>IF(VLOOKUP($C65,'Performance Pivot'!$AI:$AV,7,0)="","",VLOOKUP($C65,'Performance Pivot'!$AI:$AV,7,0))</f>
        <v>0</v>
      </c>
      <c r="J65" s="80">
        <f>IF(VLOOKUP($C65,'Performance Pivot'!$AI:$AV,8,0)="","",VLOOKUP($C65,'Performance Pivot'!$AI:$AV,8,0))</f>
        <v>0.02</v>
      </c>
      <c r="K65" s="80">
        <f>IF(VLOOKUP($C65,'Performance Pivot'!$AI:$AV,9,0)="","",VLOOKUP($C65,'Performance Pivot'!$AI:$AV,9,0))</f>
        <v>0</v>
      </c>
      <c r="L65" s="80">
        <f>IF(VLOOKUP($C65,'Performance Pivot'!$AI:$AV,10,0)="","",VLOOKUP($C65,'Performance Pivot'!$AI:$AV,10,0))</f>
        <v>0</v>
      </c>
      <c r="M65" s="80" t="str">
        <f>IF(VLOOKUP($C65,'Performance Pivot'!$AI:$AV,11,0)="","",VLOOKUP($C65,'Performance Pivot'!$AI:$AV,11,0))</f>
        <v/>
      </c>
      <c r="N65" s="80" t="str">
        <f>IF(VLOOKUP($C65,'Performance Pivot'!$AI:$AV,12,0)="","",VLOOKUP($C65,'Performance Pivot'!$AI:$AV,12,0))</f>
        <v/>
      </c>
      <c r="O65" s="80"/>
      <c r="P65" s="80" t="str">
        <f>IF(VLOOKUP($C65,'Performance Pivot'!$AI:$AV,13,0)="","",VLOOKUP($C65,'Performance Pivot'!$AI:$AV,13,0))</f>
        <v/>
      </c>
      <c r="Q65" s="80" t="str">
        <f>IF(VLOOKUP($C65,'Performance Pivot'!$AI:$AW,15,0)="","",VLOOKUP($C65,'Performance Pivot'!$AI:$AW,15,0))</f>
        <v/>
      </c>
      <c r="R65" s="57"/>
      <c r="S65" s="57"/>
      <c r="T65" s="78">
        <f t="shared" si="5"/>
        <v>41974</v>
      </c>
      <c r="U65" s="80">
        <f>IF(VLOOKUP($T65,'Performance Pivot'!$AZ:$BM,2,0)="","",VLOOKUP($T65,'Performance Pivot'!$AZ:$BM,2,0))</f>
        <v>0.31978297540562384</v>
      </c>
      <c r="V65" s="80">
        <f>IF(VLOOKUP($T65,'Performance Pivot'!$AZ:$BM,3,0)="","",VLOOKUP($T65,'Performance Pivot'!$AZ:$BM,3,0))</f>
        <v>0.31372260189091467</v>
      </c>
      <c r="W65" s="80">
        <f>IF(VLOOKUP($T65,'Performance Pivot'!$AZ:$BM,4,0)="","",VLOOKUP($T65,'Performance Pivot'!$AZ:$BM,4,0))</f>
        <v>0.31639523448709694</v>
      </c>
      <c r="X65" s="80">
        <f>IF(VLOOKUP($T65,'Performance Pivot'!$AZ:$BM,5,0)="","",VLOOKUP($T65,'Performance Pivot'!$AZ:$BM,5,0))</f>
        <v>0.36134533615784159</v>
      </c>
      <c r="Y65" s="80">
        <f>IF(VLOOKUP($T65,'Performance Pivot'!$AZ:$BM,6,0)="","",VLOOKUP($T65,'Performance Pivot'!$AZ:$BM,6,0))</f>
        <v>0.41618114863963918</v>
      </c>
      <c r="Z65" s="80">
        <f>IF(VLOOKUP($T65,'Performance Pivot'!$AZ:$BM,7,0)="","",VLOOKUP($T65,'Performance Pivot'!$AZ:$BM,7,0))</f>
        <v>0.35413995458346764</v>
      </c>
      <c r="AA65" s="80">
        <f>IF(VLOOKUP($T65,'Performance Pivot'!$AZ:$BM,8,0)="","",VLOOKUP($T65,'Performance Pivot'!$AZ:$BM,8,0))</f>
        <v>0.51635036194168704</v>
      </c>
      <c r="AB65" s="80">
        <f>IF(VLOOKUP($T65,'Performance Pivot'!$AZ:$BM,9,0)="","",VLOOKUP($T65,'Performance Pivot'!$AZ:$BM,9,0))</f>
        <v>0.31173836097395102</v>
      </c>
      <c r="AC65" s="80">
        <f>IF(VLOOKUP($T65,'Performance Pivot'!$AZ:$BM,10,0)="","",VLOOKUP($T65,'Performance Pivot'!$AZ:$BM,10,0))</f>
        <v>0.32100016355282679</v>
      </c>
      <c r="AD65" s="80" t="str">
        <f>IF(VLOOKUP($T65,'Performance Pivot'!$AZ:$BM,11,0)="","",VLOOKUP($T65,'Performance Pivot'!$AZ:$BM,11,0))</f>
        <v/>
      </c>
      <c r="AE65" s="80" t="str">
        <f>IF(VLOOKUP($T65,'Performance Pivot'!$AZ:$BM,12,0)="","",VLOOKUP($T65,'Performance Pivot'!$AZ:$BM,12,0))</f>
        <v/>
      </c>
      <c r="AF65" s="80" t="str">
        <f>IF(VLOOKUP($T65,'Performance Pivot'!$AZ:$BM,13,0)="","",VLOOKUP($T65,'Performance Pivot'!$AZ:$BM,13,0))</f>
        <v/>
      </c>
      <c r="AG65" s="80" t="str">
        <f>IF(VLOOKUP($T65,'Performance Pivot'!$AZ:$BM,14,0)="","",VLOOKUP($T65,'Performance Pivot'!$AZ:$BM,14,0))</f>
        <v/>
      </c>
      <c r="AH65" s="80" t="str">
        <f>IF(VLOOKUP($T65,'Performance Pivot'!$AZ:$BN,15,0)="","",VLOOKUP($T65,'Performance Pivot'!$AZ:$BN,15,0))</f>
        <v/>
      </c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</row>
    <row r="66" spans="3:47" s="81" customFormat="1" ht="21" customHeight="1">
      <c r="C66" s="78">
        <f t="shared" si="4"/>
        <v>42005</v>
      </c>
      <c r="D66" s="80">
        <f>IF(VLOOKUP($C66,'Performance Pivot'!$AI:$AV,2,0)="","",VLOOKUP($C66,'Performance Pivot'!$AI:$AV,2,0))</f>
        <v>0.05</v>
      </c>
      <c r="E66" s="80">
        <f>IF(VLOOKUP($C66,'Performance Pivot'!$AI:$AV,3,0)="","",VLOOKUP($C66,'Performance Pivot'!$AI:$AV,3,0))</f>
        <v>0.03</v>
      </c>
      <c r="F66" s="80">
        <f>IF(VLOOKUP($C66,'Performance Pivot'!$AI:$AV,4,0)="","",VLOOKUP($C66,'Performance Pivot'!$AI:$AV,4,0))</f>
        <v>0.02</v>
      </c>
      <c r="G66" s="80">
        <f>IF(VLOOKUP($C66,'Performance Pivot'!$AI:$AV,5,0)="","",VLOOKUP($C66,'Performance Pivot'!$AI:$AV,5,0))</f>
        <v>0.01</v>
      </c>
      <c r="H66" s="80">
        <f>IF(VLOOKUP($C66,'Performance Pivot'!$AI:$AV,6,0)="","",VLOOKUP($C66,'Performance Pivot'!$AI:$AV,6,0))</f>
        <v>0</v>
      </c>
      <c r="I66" s="80">
        <f>IF(VLOOKUP($C66,'Performance Pivot'!$AI:$AV,7,0)="","",VLOOKUP($C66,'Performance Pivot'!$AI:$AV,7,0))</f>
        <v>0</v>
      </c>
      <c r="J66" s="80">
        <f>IF(VLOOKUP($C66,'Performance Pivot'!$AI:$AV,8,0)="","",VLOOKUP($C66,'Performance Pivot'!$AI:$AV,8,0))</f>
        <v>0.02</v>
      </c>
      <c r="K66" s="80">
        <f>IF(VLOOKUP($C66,'Performance Pivot'!$AI:$AV,9,0)="","",VLOOKUP($C66,'Performance Pivot'!$AI:$AV,9,0))</f>
        <v>0</v>
      </c>
      <c r="L66" s="80">
        <f>IF(VLOOKUP($C66,'Performance Pivot'!$AI:$AV,10,0)="","",VLOOKUP($C66,'Performance Pivot'!$AI:$AV,10,0))</f>
        <v>0</v>
      </c>
      <c r="M66" s="80">
        <f>IF(VLOOKUP($C66,'Performance Pivot'!$AI:$AV,11,0)="","",VLOOKUP($C66,'Performance Pivot'!$AI:$AV,11,0))</f>
        <v>0</v>
      </c>
      <c r="N66" s="80" t="str">
        <f>IF(VLOOKUP($C66,'Performance Pivot'!$AI:$AV,12,0)="","",VLOOKUP($C66,'Performance Pivot'!$AI:$AV,12,0))</f>
        <v/>
      </c>
      <c r="O66" s="80"/>
      <c r="P66" s="80" t="str">
        <f>IF(VLOOKUP($C66,'Performance Pivot'!$AI:$AV,13,0)="","",VLOOKUP($C66,'Performance Pivot'!$AI:$AV,13,0))</f>
        <v/>
      </c>
      <c r="Q66" s="80" t="str">
        <f>IF(VLOOKUP($C66,'Performance Pivot'!$AI:$AW,15,0)="","",VLOOKUP($C66,'Performance Pivot'!$AI:$AW,15,0))</f>
        <v/>
      </c>
      <c r="R66" s="57"/>
      <c r="S66" s="57"/>
      <c r="T66" s="78">
        <f t="shared" si="5"/>
        <v>42005</v>
      </c>
      <c r="U66" s="80">
        <f>IF(VLOOKUP($T66,'Performance Pivot'!$AZ:$BM,2,0)="","",VLOOKUP($T66,'Performance Pivot'!$AZ:$BM,2,0))</f>
        <v>0.25090365666056386</v>
      </c>
      <c r="V66" s="80">
        <f>IF(VLOOKUP($T66,'Performance Pivot'!$AZ:$BM,3,0)="","",VLOOKUP($T66,'Performance Pivot'!$AZ:$BM,3,0))</f>
        <v>0.25071003222516791</v>
      </c>
      <c r="W66" s="80">
        <f>IF(VLOOKUP($T66,'Performance Pivot'!$AZ:$BM,4,0)="","",VLOOKUP($T66,'Performance Pivot'!$AZ:$BM,4,0))</f>
        <v>0.24825080357062315</v>
      </c>
      <c r="X66" s="80">
        <f>IF(VLOOKUP($T66,'Performance Pivot'!$AZ:$BM,5,0)="","",VLOOKUP($T66,'Performance Pivot'!$AZ:$BM,5,0))</f>
        <v>0.28897348095416825</v>
      </c>
      <c r="Y66" s="80">
        <f>IF(VLOOKUP($T66,'Performance Pivot'!$AZ:$BM,6,0)="","",VLOOKUP($T66,'Performance Pivot'!$AZ:$BM,6,0))</f>
        <v>0.36901987117811835</v>
      </c>
      <c r="Z66" s="80">
        <f>IF(VLOOKUP($T66,'Performance Pivot'!$AZ:$BM,7,0)="","",VLOOKUP($T66,'Performance Pivot'!$AZ:$BM,7,0))</f>
        <v>0.2774862100051691</v>
      </c>
      <c r="AA66" s="80">
        <f>IF(VLOOKUP($T66,'Performance Pivot'!$AZ:$BM,8,0)="","",VLOOKUP($T66,'Performance Pivot'!$AZ:$BM,8,0))</f>
        <v>0.42606312132453433</v>
      </c>
      <c r="AB66" s="80">
        <f>IF(VLOOKUP($T66,'Performance Pivot'!$AZ:$BM,9,0)="","",VLOOKUP($T66,'Performance Pivot'!$AZ:$BM,9,0))</f>
        <v>0.25871680534557334</v>
      </c>
      <c r="AC66" s="80">
        <f>IF(VLOOKUP($T66,'Performance Pivot'!$AZ:$BM,10,0)="","",VLOOKUP($T66,'Performance Pivot'!$AZ:$BM,10,0))</f>
        <v>0.34388182085411267</v>
      </c>
      <c r="AD66" s="80">
        <f>IF(VLOOKUP($T66,'Performance Pivot'!$AZ:$BM,11,0)="","",VLOOKUP($T66,'Performance Pivot'!$AZ:$BM,11,0))</f>
        <v>0.15922864086589988</v>
      </c>
      <c r="AE66" s="80" t="str">
        <f>IF(VLOOKUP($T66,'Performance Pivot'!$AZ:$BM,12,0)="","",VLOOKUP($T66,'Performance Pivot'!$AZ:$BM,12,0))</f>
        <v/>
      </c>
      <c r="AF66" s="80" t="str">
        <f>IF(VLOOKUP($T66,'Performance Pivot'!$AZ:$BM,13,0)="","",VLOOKUP($T66,'Performance Pivot'!$AZ:$BM,13,0))</f>
        <v/>
      </c>
      <c r="AG66" s="80" t="str">
        <f>IF(VLOOKUP($T66,'Performance Pivot'!$AZ:$BM,14,0)="","",VLOOKUP($T66,'Performance Pivot'!$AZ:$BM,14,0))</f>
        <v/>
      </c>
      <c r="AH66" s="80" t="str">
        <f>IF(VLOOKUP($T66,'Performance Pivot'!$AZ:$BN,15,0)="","",VLOOKUP($T66,'Performance Pivot'!$AZ:$BN,15,0))</f>
        <v/>
      </c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</row>
    <row r="67" spans="3:47" s="81" customFormat="1" ht="21" customHeight="1">
      <c r="C67" s="78">
        <f t="shared" si="4"/>
        <v>42036</v>
      </c>
      <c r="D67" s="80">
        <f>IF(VLOOKUP($C67,'Performance Pivot'!$AI:$AV,2,0)="","",VLOOKUP($C67,'Performance Pivot'!$AI:$AV,2,0))</f>
        <v>0.05</v>
      </c>
      <c r="E67" s="80">
        <f>IF(VLOOKUP($C67,'Performance Pivot'!$AI:$AV,3,0)="","",VLOOKUP($C67,'Performance Pivot'!$AI:$AV,3,0))</f>
        <v>0.04</v>
      </c>
      <c r="F67" s="80">
        <f>IF(VLOOKUP($C67,'Performance Pivot'!$AI:$AV,4,0)="","",VLOOKUP($C67,'Performance Pivot'!$AI:$AV,4,0))</f>
        <v>0.02</v>
      </c>
      <c r="G67" s="80">
        <f>IF(VLOOKUP($C67,'Performance Pivot'!$AI:$AV,5,0)="","",VLOOKUP($C67,'Performance Pivot'!$AI:$AV,5,0))</f>
        <v>0.02</v>
      </c>
      <c r="H67" s="80">
        <f>IF(VLOOKUP($C67,'Performance Pivot'!$AI:$AV,6,0)="","",VLOOKUP($C67,'Performance Pivot'!$AI:$AV,6,0))</f>
        <v>0.01</v>
      </c>
      <c r="I67" s="80">
        <f>IF(VLOOKUP($C67,'Performance Pivot'!$AI:$AV,7,0)="","",VLOOKUP($C67,'Performance Pivot'!$AI:$AV,7,0))</f>
        <v>0</v>
      </c>
      <c r="J67" s="80">
        <f>IF(VLOOKUP($C67,'Performance Pivot'!$AI:$AV,8,0)="","",VLOOKUP($C67,'Performance Pivot'!$AI:$AV,8,0))</f>
        <v>0.03</v>
      </c>
      <c r="K67" s="80">
        <f>IF(VLOOKUP($C67,'Performance Pivot'!$AI:$AV,9,0)="","",VLOOKUP($C67,'Performance Pivot'!$AI:$AV,9,0))</f>
        <v>0.01</v>
      </c>
      <c r="L67" s="80">
        <f>IF(VLOOKUP($C67,'Performance Pivot'!$AI:$AV,10,0)="","",VLOOKUP($C67,'Performance Pivot'!$AI:$AV,10,0))</f>
        <v>0.01</v>
      </c>
      <c r="M67" s="80">
        <f>IF(VLOOKUP($C67,'Performance Pivot'!$AI:$AV,11,0)="","",VLOOKUP($C67,'Performance Pivot'!$AI:$AV,11,0))</f>
        <v>0</v>
      </c>
      <c r="N67" s="80" t="str">
        <f>IF(VLOOKUP($C67,'Performance Pivot'!$AI:$AV,12,0)="","",VLOOKUP($C67,'Performance Pivot'!$AI:$AV,12,0))</f>
        <v/>
      </c>
      <c r="O67" s="80" t="str">
        <f>IF(VLOOKUP($C67,'Performance Pivot'!$AI:$AV,13,0)="","",VLOOKUP($C67,'Performance Pivot'!$AI:$AV,13,0))</f>
        <v/>
      </c>
      <c r="P67" s="80" t="str">
        <f>IF(VLOOKUP($C67,'Performance Pivot'!$AI:$AV,14,0)="","",VLOOKUP($C67,'Performance Pivot'!$AI:$AV,14,0))</f>
        <v/>
      </c>
      <c r="Q67" s="80" t="str">
        <f>IF(VLOOKUP($C67,'Performance Pivot'!$AI:$AW,15,0)="","",VLOOKUP($C67,'Performance Pivot'!$AI:$AW,15,0))</f>
        <v/>
      </c>
      <c r="R67" s="57"/>
      <c r="S67" s="57"/>
      <c r="T67" s="78">
        <f t="shared" si="5"/>
        <v>42036</v>
      </c>
      <c r="U67" s="80">
        <f>IF(VLOOKUP($T67,'Performance Pivot'!$AZ:$BM,2,0)="","",VLOOKUP($T67,'Performance Pivot'!$AZ:$BM,2,0))</f>
        <v>0.25015041079039801</v>
      </c>
      <c r="V67" s="80">
        <f>IF(VLOOKUP($T67,'Performance Pivot'!$AZ:$BM,3,0)="","",VLOOKUP($T67,'Performance Pivot'!$AZ:$BM,3,0))</f>
        <v>0.2600610318927869</v>
      </c>
      <c r="W67" s="80">
        <f>IF(VLOOKUP($T67,'Performance Pivot'!$AZ:$BM,4,0)="","",VLOOKUP($T67,'Performance Pivot'!$AZ:$BM,4,0))</f>
        <v>0.25249433576771596</v>
      </c>
      <c r="X67" s="80">
        <f>IF(VLOOKUP($T67,'Performance Pivot'!$AZ:$BM,5,0)="","",VLOOKUP($T67,'Performance Pivot'!$AZ:$BM,5,0))</f>
        <v>0.28917338018387528</v>
      </c>
      <c r="Y67" s="80">
        <f>IF(VLOOKUP($T67,'Performance Pivot'!$AZ:$BM,6,0)="","",VLOOKUP($T67,'Performance Pivot'!$AZ:$BM,6,0))</f>
        <v>0.39045994484270197</v>
      </c>
      <c r="Z67" s="80">
        <f>IF(VLOOKUP($T67,'Performance Pivot'!$AZ:$BM,7,0)="","",VLOOKUP($T67,'Performance Pivot'!$AZ:$BM,7,0))</f>
        <v>0.30916978033755044</v>
      </c>
      <c r="AA67" s="80">
        <f>IF(VLOOKUP($T67,'Performance Pivot'!$AZ:$BM,8,0)="","",VLOOKUP($T67,'Performance Pivot'!$AZ:$BM,8,0))</f>
        <v>0.53237138676784923</v>
      </c>
      <c r="AB67" s="80">
        <f>IF(VLOOKUP($T67,'Performance Pivot'!$AZ:$BM,9,0)="","",VLOOKUP($T67,'Performance Pivot'!$AZ:$BM,9,0))</f>
        <v>0.2951258459716522</v>
      </c>
      <c r="AC67" s="80">
        <f>IF(VLOOKUP($T67,'Performance Pivot'!$AZ:$BM,10,0)="","",VLOOKUP($T67,'Performance Pivot'!$AZ:$BM,10,0))</f>
        <v>0.41123124381280496</v>
      </c>
      <c r="AD67" s="80">
        <f>IF(VLOOKUP($T67,'Performance Pivot'!$AZ:$BM,11,0)="","",VLOOKUP($T67,'Performance Pivot'!$AZ:$BM,11,0))</f>
        <v>0.17318346328686823</v>
      </c>
      <c r="AE67" s="80" t="str">
        <f>IF(VLOOKUP($T67,'Performance Pivot'!$AZ:$BM,12,0)="","",VLOOKUP($T67,'Performance Pivot'!$AZ:$BM,12,0))</f>
        <v/>
      </c>
      <c r="AF67" s="80" t="str">
        <f>IF(VLOOKUP($T67,'Performance Pivot'!$AZ:$BM,13,0)="","",VLOOKUP($T67,'Performance Pivot'!$AZ:$BM,13,0))</f>
        <v/>
      </c>
      <c r="AG67" s="80" t="str">
        <f>IF(VLOOKUP($T67,'Performance Pivot'!$AZ:$BM,14,0)="","",VLOOKUP($T67,'Performance Pivot'!$AZ:$BM,14,0))</f>
        <v/>
      </c>
      <c r="AH67" s="80" t="str">
        <f>IF(VLOOKUP($T67,'Performance Pivot'!$AZ:$BN,15,0)="","",VLOOKUP($T67,'Performance Pivot'!$AZ:$BN,15,0))</f>
        <v/>
      </c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</row>
    <row r="68" spans="3:47" s="81" customFormat="1" ht="21" customHeight="1">
      <c r="C68" s="78">
        <f t="shared" si="4"/>
        <v>42064</v>
      </c>
      <c r="D68" s="80">
        <f>IF(VLOOKUP($C68,'Performance Pivot'!$AI:$AV,2,0)="","",VLOOKUP($C68,'Performance Pivot'!$AI:$AV,2,0))</f>
        <v>0.06</v>
      </c>
      <c r="E68" s="80">
        <f>IF(VLOOKUP($C68,'Performance Pivot'!$AI:$AV,3,0)="","",VLOOKUP($C68,'Performance Pivot'!$AI:$AV,3,0))</f>
        <v>0.04</v>
      </c>
      <c r="F68" s="80">
        <f>IF(VLOOKUP($C68,'Performance Pivot'!$AI:$AV,4,0)="","",VLOOKUP($C68,'Performance Pivot'!$AI:$AV,4,0))</f>
        <v>0.02</v>
      </c>
      <c r="G68" s="80">
        <f>IF(VLOOKUP($C68,'Performance Pivot'!$AI:$AV,5,0)="","",VLOOKUP($C68,'Performance Pivot'!$AI:$AV,5,0))</f>
        <v>0.02</v>
      </c>
      <c r="H68" s="80">
        <f>IF(VLOOKUP($C68,'Performance Pivot'!$AI:$AV,6,0)="","",VLOOKUP($C68,'Performance Pivot'!$AI:$AV,6,0))</f>
        <v>0.02</v>
      </c>
      <c r="I68" s="80">
        <f>IF(VLOOKUP($C68,'Performance Pivot'!$AI:$AV,7,0)="","",VLOOKUP($C68,'Performance Pivot'!$AI:$AV,7,0))</f>
        <v>0</v>
      </c>
      <c r="J68" s="80">
        <f>IF(VLOOKUP($C68,'Performance Pivot'!$AI:$AV,8,0)="","",VLOOKUP($C68,'Performance Pivot'!$AI:$AV,8,0))</f>
        <v>0.04</v>
      </c>
      <c r="K68" s="80">
        <f>IF(VLOOKUP($C68,'Performance Pivot'!$AI:$AV,9,0)="","",VLOOKUP($C68,'Performance Pivot'!$AI:$AV,9,0))</f>
        <v>0.02</v>
      </c>
      <c r="L68" s="80">
        <f>IF(VLOOKUP($C68,'Performance Pivot'!$AI:$AV,10,0)="","",VLOOKUP($C68,'Performance Pivot'!$AI:$AV,10,0))</f>
        <v>0.02</v>
      </c>
      <c r="M68" s="80">
        <f>IF(VLOOKUP($C68,'Performance Pivot'!$AI:$AV,11,0)="","",VLOOKUP($C68,'Performance Pivot'!$AI:$AV,11,0))</f>
        <v>0</v>
      </c>
      <c r="N68" s="80" t="str">
        <f>IF(VLOOKUP($C68,'Performance Pivot'!$AI:$AV,12,0)="","",VLOOKUP($C68,'Performance Pivot'!$AI:$AV,12,0))</f>
        <v/>
      </c>
      <c r="O68" s="80">
        <f>IF(VLOOKUP($C68,'Performance Pivot'!$AI:$AV,13,0)="","",VLOOKUP($C68,'Performance Pivot'!$AI:$AV,13,0))</f>
        <v>0</v>
      </c>
      <c r="P68" s="80" t="str">
        <f>IF(VLOOKUP($C68,'Performance Pivot'!$AI:$AV,14,0)="","",VLOOKUP($C68,'Performance Pivot'!$AI:$AV,14,0))</f>
        <v/>
      </c>
      <c r="Q68" s="80" t="str">
        <f>IF(VLOOKUP($C68,'Performance Pivot'!$AI:$AW,15,0)="","",VLOOKUP($C68,'Performance Pivot'!$AI:$AW,15,0))</f>
        <v/>
      </c>
      <c r="R68" s="57"/>
      <c r="S68" s="57"/>
      <c r="T68" s="78">
        <f t="shared" si="5"/>
        <v>42064</v>
      </c>
      <c r="U68" s="80">
        <f>IF(VLOOKUP($T68,'Performance Pivot'!$AZ:$BM,2,0)="","",VLOOKUP($T68,'Performance Pivot'!$AZ:$BM,2,0))</f>
        <v>0.30000390932597443</v>
      </c>
      <c r="V68" s="80">
        <f>IF(VLOOKUP($T68,'Performance Pivot'!$AZ:$BM,3,0)="","",VLOOKUP($T68,'Performance Pivot'!$AZ:$BM,3,0))</f>
        <v>0.30653763936751177</v>
      </c>
      <c r="W68" s="80">
        <f>IF(VLOOKUP($T68,'Performance Pivot'!$AZ:$BM,4,0)="","",VLOOKUP($T68,'Performance Pivot'!$AZ:$BM,4,0))</f>
        <v>0.31499647857695201</v>
      </c>
      <c r="X68" s="80">
        <f>IF(VLOOKUP($T68,'Performance Pivot'!$AZ:$BM,5,0)="","",VLOOKUP($T68,'Performance Pivot'!$AZ:$BM,5,0))</f>
        <v>0.34767765375114018</v>
      </c>
      <c r="Y68" s="80">
        <f>IF(VLOOKUP($T68,'Performance Pivot'!$AZ:$BM,6,0)="","",VLOOKUP($T68,'Performance Pivot'!$AZ:$BM,6,0))</f>
        <v>0.49454945394582739</v>
      </c>
      <c r="Z68" s="80">
        <f>IF(VLOOKUP($T68,'Performance Pivot'!$AZ:$BM,7,0)="","",VLOOKUP($T68,'Performance Pivot'!$AZ:$BM,7,0))</f>
        <v>0.42376432266131647</v>
      </c>
      <c r="AA68" s="80">
        <f>IF(VLOOKUP($T68,'Performance Pivot'!$AZ:$BM,8,0)="","",VLOOKUP($T68,'Performance Pivot'!$AZ:$BM,8,0))</f>
        <v>0.58858695835742636</v>
      </c>
      <c r="AB68" s="80">
        <f>IF(VLOOKUP($T68,'Performance Pivot'!$AZ:$BM,9,0)="","",VLOOKUP($T68,'Performance Pivot'!$AZ:$BM,9,0))</f>
        <v>0.34120372853844289</v>
      </c>
      <c r="AC68" s="80">
        <f>IF(VLOOKUP($T68,'Performance Pivot'!$AZ:$BM,10,0)="","",VLOOKUP($T68,'Performance Pivot'!$AZ:$BM,10,0))</f>
        <v>0.50680743447907983</v>
      </c>
      <c r="AD68" s="80">
        <f>IF(VLOOKUP($T68,'Performance Pivot'!$AZ:$BM,11,0)="","",VLOOKUP($T68,'Performance Pivot'!$AZ:$BM,11,0))</f>
        <v>0.34222049864019155</v>
      </c>
      <c r="AE68" s="80" t="str">
        <f>IF(VLOOKUP($T68,'Performance Pivot'!$AZ:$BM,12,0)="","",VLOOKUP($T68,'Performance Pivot'!$AZ:$BM,12,0))</f>
        <v/>
      </c>
      <c r="AF68" s="80">
        <f>IF(VLOOKUP($T68,'Performance Pivot'!$AZ:$BM,13,0)="","",VLOOKUP($T68,'Performance Pivot'!$AZ:$BM,13,0))</f>
        <v>0.20324079350067248</v>
      </c>
      <c r="AG68" s="80" t="str">
        <f>IF(VLOOKUP($T68,'Performance Pivot'!$AZ:$BM,14,0)="","",VLOOKUP($T68,'Performance Pivot'!$AZ:$BM,14,0))</f>
        <v/>
      </c>
      <c r="AH68" s="80" t="str">
        <f>IF(VLOOKUP($T68,'Performance Pivot'!$AZ:$BN,15,0)="","",VLOOKUP($T68,'Performance Pivot'!$AZ:$BN,15,0))</f>
        <v/>
      </c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</row>
    <row r="69" spans="3:47" s="81" customFormat="1" ht="21" customHeight="1">
      <c r="C69" s="78">
        <f>C39</f>
        <v>42095</v>
      </c>
      <c r="D69" s="80">
        <f>IF(VLOOKUP($C69,'Performance Pivot'!$AI:$AV,2,0)="","",VLOOKUP($C69,'Performance Pivot'!$AI:$AV,2,0))</f>
        <v>0.06</v>
      </c>
      <c r="E69" s="80">
        <f>IF(VLOOKUP($C69,'Performance Pivot'!$AI:$AV,3,0)="","",VLOOKUP($C69,'Performance Pivot'!$AI:$AV,3,0))</f>
        <v>0.05</v>
      </c>
      <c r="F69" s="80">
        <f>IF(VLOOKUP($C69,'Performance Pivot'!$AI:$AV,4,0)="","",VLOOKUP($C69,'Performance Pivot'!$AI:$AV,4,0))</f>
        <v>0.03</v>
      </c>
      <c r="G69" s="80">
        <f>IF(VLOOKUP($C69,'Performance Pivot'!$AI:$AV,5,0)="","",VLOOKUP($C69,'Performance Pivot'!$AI:$AV,5,0))</f>
        <v>0.02</v>
      </c>
      <c r="H69" s="80">
        <f>IF(VLOOKUP($C69,'Performance Pivot'!$AI:$AV,6,0)="","",VLOOKUP($C69,'Performance Pivot'!$AI:$AV,6,0))</f>
        <v>0.02</v>
      </c>
      <c r="I69" s="80">
        <f>IF(VLOOKUP($C69,'Performance Pivot'!$AI:$AV,7,0)="","",VLOOKUP($C69,'Performance Pivot'!$AI:$AV,7,0))</f>
        <v>0</v>
      </c>
      <c r="J69" s="80">
        <f>IF(VLOOKUP($C69,'Performance Pivot'!$AI:$AV,8,0)="","",VLOOKUP($C69,'Performance Pivot'!$AI:$AV,8,0))</f>
        <v>0.06</v>
      </c>
      <c r="K69" s="80">
        <f>IF(VLOOKUP($C69,'Performance Pivot'!$AI:$AV,9,0)="","",VLOOKUP($C69,'Performance Pivot'!$AI:$AV,9,0))</f>
        <v>0.02</v>
      </c>
      <c r="L69" s="80">
        <f>IF(VLOOKUP($C69,'Performance Pivot'!$AI:$AV,10,0)="","",VLOOKUP($C69,'Performance Pivot'!$AI:$AV,10,0))</f>
        <v>0.03</v>
      </c>
      <c r="M69" s="80">
        <f>IF(VLOOKUP($C69,'Performance Pivot'!$AI:$AV,11,0)="","",VLOOKUP($C69,'Performance Pivot'!$AI:$AV,11,0))</f>
        <v>0</v>
      </c>
      <c r="N69" s="80">
        <f>IF(VLOOKUP($C69,'Performance Pivot'!$AI:$AV,12,0)="","",VLOOKUP($C69,'Performance Pivot'!$AI:$AV,12,0))</f>
        <v>0</v>
      </c>
      <c r="O69" s="80">
        <f>IF(VLOOKUP($C69,'Performance Pivot'!$AI:$AV,13,0)="","",VLOOKUP($C69,'Performance Pivot'!$AI:$AV,13,0))</f>
        <v>0</v>
      </c>
      <c r="P69" s="80">
        <f>IF(VLOOKUP($C69,'Performance Pivot'!$AI:$AV,14,0)="","",VLOOKUP($C69,'Performance Pivot'!$AI:$AV,14,0))</f>
        <v>0</v>
      </c>
      <c r="Q69" s="80" t="str">
        <f>IF(VLOOKUP($C69,'Performance Pivot'!$AI:$AW,15,0)="","",VLOOKUP($C69,'Performance Pivot'!$AI:$AW,15,0))</f>
        <v/>
      </c>
      <c r="R69" s="57"/>
      <c r="S69" s="57"/>
      <c r="T69" s="78">
        <f t="shared" si="5"/>
        <v>42095</v>
      </c>
      <c r="U69" s="80">
        <f>IF(VLOOKUP($T69,'Performance Pivot'!$AZ:$BM,2,0)="","",VLOOKUP($T69,'Performance Pivot'!$AZ:$BM,2,0))</f>
        <v>0.22129265340619866</v>
      </c>
      <c r="V69" s="80">
        <f>IF(VLOOKUP($T69,'Performance Pivot'!$AZ:$BM,3,0)="","",VLOOKUP($T69,'Performance Pivot'!$AZ:$BM,3,0))</f>
        <v>0.21280434159913292</v>
      </c>
      <c r="W69" s="80">
        <f>IF(VLOOKUP($T69,'Performance Pivot'!$AZ:$BM,4,0)="","",VLOOKUP($T69,'Performance Pivot'!$AZ:$BM,4,0))</f>
        <v>0.23592986031137708</v>
      </c>
      <c r="X69" s="80">
        <f>IF(VLOOKUP($T69,'Performance Pivot'!$AZ:$BM,5,0)="","",VLOOKUP($T69,'Performance Pivot'!$AZ:$BM,5,0))</f>
        <v>0.26331290473771879</v>
      </c>
      <c r="Y69" s="80">
        <f>IF(VLOOKUP($T69,'Performance Pivot'!$AZ:$BM,6,0)="","",VLOOKUP($T69,'Performance Pivot'!$AZ:$BM,6,0))</f>
        <v>0.40934867388750779</v>
      </c>
      <c r="Z69" s="80">
        <f>IF(VLOOKUP($T69,'Performance Pivot'!$AZ:$BM,7,0)="","",VLOOKUP($T69,'Performance Pivot'!$AZ:$BM,7,0))</f>
        <v>0.35782370579607647</v>
      </c>
      <c r="AA69" s="80">
        <f>IF(VLOOKUP($T69,'Performance Pivot'!$AZ:$BM,8,0)="","",VLOOKUP($T69,'Performance Pivot'!$AZ:$BM,8,0))</f>
        <v>0.42740795025214906</v>
      </c>
      <c r="AB69" s="80">
        <f>IF(VLOOKUP($T69,'Performance Pivot'!$AZ:$BM,9,0)="","",VLOOKUP($T69,'Performance Pivot'!$AZ:$BM,9,0))</f>
        <v>0.25385131985243753</v>
      </c>
      <c r="AC69" s="80">
        <f>IF(VLOOKUP($T69,'Performance Pivot'!$AZ:$BM,10,0)="","",VLOOKUP($T69,'Performance Pivot'!$AZ:$BM,10,0))</f>
        <v>0.37748294798205345</v>
      </c>
      <c r="AD69" s="80">
        <f>IF(VLOOKUP($T69,'Performance Pivot'!$AZ:$BM,11,0)="","",VLOOKUP($T69,'Performance Pivot'!$AZ:$BM,11,0))</f>
        <v>0.21156629027363505</v>
      </c>
      <c r="AE69" s="80">
        <f>IF(VLOOKUP($T69,'Performance Pivot'!$AZ:$BM,12,0)="","",VLOOKUP($T69,'Performance Pivot'!$AZ:$BM,12,0))</f>
        <v>5.5999090056126327E-2</v>
      </c>
      <c r="AF69" s="80">
        <f>IF(VLOOKUP($T69,'Performance Pivot'!$AZ:$BM,13,0)="","",VLOOKUP($T69,'Performance Pivot'!$AZ:$BM,13,0))</f>
        <v>0.16889907033116175</v>
      </c>
      <c r="AG69" s="80">
        <f>IF(VLOOKUP($T69,'Performance Pivot'!$AZ:$BM,14,0)="","",VLOOKUP($T69,'Performance Pivot'!$AZ:$BM,14,0))</f>
        <v>0</v>
      </c>
      <c r="AH69" s="80" t="str">
        <f>IF(VLOOKUP($T69,'Performance Pivot'!$AZ:$BN,15,0)="","",VLOOKUP($T69,'Performance Pivot'!$AZ:$BN,15,0))</f>
        <v/>
      </c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</row>
    <row r="70" spans="3:47" s="81" customFormat="1" ht="21" customHeight="1">
      <c r="C70" s="83">
        <f t="shared" si="4"/>
        <v>42125</v>
      </c>
      <c r="D70" s="85">
        <f>IF(VLOOKUP($C70,'Performance Pivot'!$AI:$AV,2,0)="","",VLOOKUP($C70,'Performance Pivot'!$AI:$AV,2,0))</f>
        <v>6.9999999999999993E-2</v>
      </c>
      <c r="E70" s="85">
        <f>IF(VLOOKUP($C70,'Performance Pivot'!$AI:$AV,3,0)="","",VLOOKUP($C70,'Performance Pivot'!$AI:$AV,3,0))</f>
        <v>0.05</v>
      </c>
      <c r="F70" s="85">
        <f>IF(VLOOKUP($C70,'Performance Pivot'!$AI:$AV,4,0)="","",VLOOKUP($C70,'Performance Pivot'!$AI:$AV,4,0))</f>
        <v>0.03</v>
      </c>
      <c r="G70" s="85">
        <f>IF(VLOOKUP($C70,'Performance Pivot'!$AI:$AV,5,0)="","",VLOOKUP($C70,'Performance Pivot'!$AI:$AV,5,0))</f>
        <v>0.03</v>
      </c>
      <c r="H70" s="85">
        <f>IF(VLOOKUP($C70,'Performance Pivot'!$AI:$AV,6,0)="","",VLOOKUP($C70,'Performance Pivot'!$AI:$AV,6,0))</f>
        <v>0.03</v>
      </c>
      <c r="I70" s="85">
        <f>IF(VLOOKUP($C70,'Performance Pivot'!$AI:$AV,7,0)="","",VLOOKUP($C70,'Performance Pivot'!$AI:$AV,7,0))</f>
        <v>0</v>
      </c>
      <c r="J70" s="85">
        <f>IF(VLOOKUP($C70,'Performance Pivot'!$AI:$AV,8,0)="","",VLOOKUP($C70,'Performance Pivot'!$AI:$AV,8,0))</f>
        <v>6.9999999999999993E-2</v>
      </c>
      <c r="K70" s="85">
        <f>IF(VLOOKUP($C70,'Performance Pivot'!$AI:$AV,9,0)="","",VLOOKUP($C70,'Performance Pivot'!$AI:$AV,9,0))</f>
        <v>0.03</v>
      </c>
      <c r="L70" s="85">
        <f>IF(VLOOKUP($C70,'Performance Pivot'!$AI:$AV,10,0)="","",VLOOKUP($C70,'Performance Pivot'!$AI:$AV,10,0))</f>
        <v>0.04</v>
      </c>
      <c r="M70" s="85">
        <f>IF(VLOOKUP($C70,'Performance Pivot'!$AI:$AV,11,0)="","",VLOOKUP($C70,'Performance Pivot'!$AI:$AV,11,0))</f>
        <v>0</v>
      </c>
      <c r="N70" s="85">
        <f>IF(VLOOKUP($C70,'Performance Pivot'!$AI:$AV,12,0)="","",VLOOKUP($C70,'Performance Pivot'!$AI:$AV,12,0))</f>
        <v>0</v>
      </c>
      <c r="O70" s="85">
        <f>IF(VLOOKUP($C70,'Performance Pivot'!$AI:$AV,13,0)="","",VLOOKUP($C70,'Performance Pivot'!$AI:$AV,13,0))</f>
        <v>0</v>
      </c>
      <c r="P70" s="85">
        <f>IF(VLOOKUP($C70,'Performance Pivot'!$AI:$AV,14,0)="","",VLOOKUP($C70,'Performance Pivot'!$AI:$AV,14,0))</f>
        <v>0</v>
      </c>
      <c r="Q70" s="85" t="str">
        <f>IF(VLOOKUP($C70,'Performance Pivot'!$AI:$AW,15,0)="","",VLOOKUP($C70,'Performance Pivot'!$AI:$AW,15,0))</f>
        <v/>
      </c>
      <c r="R70" s="57"/>
      <c r="S70" s="57"/>
      <c r="T70" s="83">
        <f t="shared" si="5"/>
        <v>42125</v>
      </c>
      <c r="U70" s="85">
        <f>IF(VLOOKUP($T70,'Performance Pivot'!$AZ:$BM,2,0)="","",VLOOKUP($T70,'Performance Pivot'!$AZ:$BM,2,0))</f>
        <v>0.2293712620511198</v>
      </c>
      <c r="V70" s="85">
        <f>IF(VLOOKUP($T70,'Performance Pivot'!$AZ:$BM,3,0)="","",VLOOKUP($T70,'Performance Pivot'!$AZ:$BM,3,0))</f>
        <v>0.2313786107206684</v>
      </c>
      <c r="W70" s="85">
        <f>IF(VLOOKUP($T70,'Performance Pivot'!$AZ:$BM,4,0)="","",VLOOKUP($T70,'Performance Pivot'!$AZ:$BM,4,0))</f>
        <v>0.24597052332955335</v>
      </c>
      <c r="X70" s="85">
        <f>IF(VLOOKUP($T70,'Performance Pivot'!$AZ:$BM,5,0)="","",VLOOKUP($T70,'Performance Pivot'!$AZ:$BM,5,0))</f>
        <v>0.28994875935216846</v>
      </c>
      <c r="Y70" s="85">
        <f>IF(VLOOKUP($T70,'Performance Pivot'!$AZ:$BM,6,0)="","",VLOOKUP($T70,'Performance Pivot'!$AZ:$BM,6,0))</f>
        <v>0.41318942079793225</v>
      </c>
      <c r="Z70" s="85">
        <f>IF(VLOOKUP($T70,'Performance Pivot'!$AZ:$BM,7,0)="","",VLOOKUP($T70,'Performance Pivot'!$AZ:$BM,7,0))</f>
        <v>0.39062777689486328</v>
      </c>
      <c r="AA70" s="85">
        <f>IF(VLOOKUP($T70,'Performance Pivot'!$AZ:$BM,8,0)="","",VLOOKUP($T70,'Performance Pivot'!$AZ:$BM,8,0))</f>
        <v>0.51322419447953582</v>
      </c>
      <c r="AB70" s="85">
        <f>IF(VLOOKUP($T70,'Performance Pivot'!$AZ:$BM,9,0)="","",VLOOKUP($T70,'Performance Pivot'!$AZ:$BM,9,0))</f>
        <v>0.29648472609394622</v>
      </c>
      <c r="AC70" s="85">
        <f>IF(VLOOKUP($T70,'Performance Pivot'!$AZ:$BM,10,0)="","",VLOOKUP($T70,'Performance Pivot'!$AZ:$BM,10,0))</f>
        <v>0.44673961711471766</v>
      </c>
      <c r="AD70" s="85">
        <f>IF(VLOOKUP($T70,'Performance Pivot'!$AZ:$BM,11,0)="","",VLOOKUP($T70,'Performance Pivot'!$AZ:$BM,11,0))</f>
        <v>0.27772949574741512</v>
      </c>
      <c r="AE70" s="85">
        <f>IF(VLOOKUP($T70,'Performance Pivot'!$AZ:$BM,12,0)="","",VLOOKUP($T70,'Performance Pivot'!$AZ:$BM,12,0))</f>
        <v>7.6209042857628584E-2</v>
      </c>
      <c r="AF70" s="85">
        <f>IF(VLOOKUP($T70,'Performance Pivot'!$AZ:$BM,13,0)="","",VLOOKUP($T70,'Performance Pivot'!$AZ:$BM,13,0))</f>
        <v>0.19443009127071545</v>
      </c>
      <c r="AG70" s="85">
        <f>IF(VLOOKUP($T70,'Performance Pivot'!$AZ:$BM,14,0)="","",VLOOKUP($T70,'Performance Pivot'!$AZ:$BM,14,0))</f>
        <v>0.1039931847428982</v>
      </c>
      <c r="AH70" s="85" t="str">
        <f>IF(VLOOKUP($T70,'Performance Pivot'!$AZ:$BN,15,0)="","",VLOOKUP($T70,'Performance Pivot'!$AZ:$BN,15,0))</f>
        <v/>
      </c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</row>
    <row r="71" spans="3:47" hidden="1">
      <c r="C71" s="86"/>
      <c r="D71" s="89">
        <v>0.1</v>
      </c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77"/>
      <c r="S71" s="77"/>
      <c r="U71" s="90" t="e">
        <f>IF(VLOOKUP($T71,'Performance Pivot'!$AZ:$BM,2,0)="","",VLOOKUP($T71,'Performance Pivot'!$AZ:$BM,2,0))</f>
        <v>#N/A</v>
      </c>
      <c r="V71" s="90" t="e">
        <f>IF(VLOOKUP($T71,'Performance Pivot'!$AZ:$BM,3,0)="","",VLOOKUP($T71,'Performance Pivot'!$AZ:$BM,3,0))</f>
        <v>#N/A</v>
      </c>
      <c r="W71" s="90" t="e">
        <f>IF(VLOOKUP($T71,'Performance Pivot'!$AZ:$BM,4,0)="","",VLOOKUP($T71,'Performance Pivot'!$AZ:$BM,4,0))</f>
        <v>#N/A</v>
      </c>
      <c r="X71" s="90" t="e">
        <f>IF(VLOOKUP($T71,'Performance Pivot'!$AZ:$BM,5,0)="","",VLOOKUP($T71,'Performance Pivot'!$AZ:$BM,5,0))</f>
        <v>#N/A</v>
      </c>
      <c r="Y71" s="90" t="e">
        <f>IF(VLOOKUP($T71,'Performance Pivot'!$AZ:$BM,6,0)="","",VLOOKUP($T71,'Performance Pivot'!$AZ:$BM,6,0))</f>
        <v>#N/A</v>
      </c>
      <c r="Z71" s="90" t="e">
        <f>IF(VLOOKUP($T71,'Performance Pivot'!$AZ:$BM,7,0)="","",VLOOKUP($T71,'Performance Pivot'!$AZ:$BM,7,0))</f>
        <v>#N/A</v>
      </c>
      <c r="AA71" s="90" t="e">
        <f>IF(VLOOKUP($T71,'Performance Pivot'!$AZ:$BM,8,0)="","",VLOOKUP($T71,'Performance Pivot'!$AZ:$BM,8,0))</f>
        <v>#N/A</v>
      </c>
      <c r="AB71" s="90" t="e">
        <f>IF(VLOOKUP($T71,'Performance Pivot'!$AZ:$BM,9,0)="","",VLOOKUP($T71,'Performance Pivot'!$AZ:$BM,9,0))</f>
        <v>#N/A</v>
      </c>
      <c r="AC71" s="90" t="e">
        <f>IF(VLOOKUP($T71,'Performance Pivot'!$AZ:$BM,10,0)="","",VLOOKUP($T71,'Performance Pivot'!$AZ:$BM,10,0))</f>
        <v>#N/A</v>
      </c>
      <c r="AD71" s="90" t="e">
        <f>IF(VLOOKUP($T71,'Performance Pivot'!$AZ:$BM,11,0)="","",VLOOKUP($T71,'Performance Pivot'!$AZ:$BM,11,0))</f>
        <v>#N/A</v>
      </c>
      <c r="AE71" s="90" t="e">
        <f>IF(VLOOKUP($T71,'Performance Pivot'!$AZ:$BM,12,0)="","",VLOOKUP($T71,'Performance Pivot'!$AZ:$BM,12,0))</f>
        <v>#N/A</v>
      </c>
      <c r="AF71" s="90"/>
      <c r="AG71" s="90" t="e">
        <f>IF(VLOOKUP($T71,'Performance Pivot'!$AZ:$BM,13,0)="","",VLOOKUP($T71,'Performance Pivot'!$AZ:$BM,13,0))</f>
        <v>#N/A</v>
      </c>
      <c r="AH71" s="90" t="e">
        <f>IF(VLOOKUP($T71,'Performance Pivot'!$AZ:$BM,14,0)="","",VLOOKUP($T71,'Performance Pivot'!$AZ:$BM,14,0))</f>
        <v>#N/A</v>
      </c>
    </row>
    <row r="72" spans="3:47">
      <c r="C72" s="86"/>
      <c r="D72" s="91">
        <f>IF(D46='Performance Pivot'!D17,1,0)</f>
        <v>1</v>
      </c>
      <c r="E72" s="91">
        <f>IF(E46='Performance Pivot'!E17,1,0)</f>
        <v>1</v>
      </c>
      <c r="F72" s="91">
        <f>IF(F46='Performance Pivot'!F17,1,0)</f>
        <v>1</v>
      </c>
      <c r="G72" s="91">
        <f>IF(G46='Performance Pivot'!G17,1,0)</f>
        <v>1</v>
      </c>
      <c r="H72" s="91">
        <f>IF(H46='Performance Pivot'!H17,1,0)</f>
        <v>1</v>
      </c>
      <c r="I72" s="91">
        <f>IF(I46='Performance Pivot'!I17,1,0)</f>
        <v>1</v>
      </c>
      <c r="J72" s="91">
        <f>IF(J46='Performance Pivot'!J17,1,0)</f>
        <v>1</v>
      </c>
      <c r="K72" s="91">
        <f>IF(K46='Performance Pivot'!K17,1,0)</f>
        <v>1</v>
      </c>
      <c r="L72" s="91">
        <f>IF(L46='Performance Pivot'!L17,1,0)</f>
        <v>1</v>
      </c>
      <c r="M72" s="91">
        <f>IF(M46='Performance Pivot'!M17,1,0)</f>
        <v>1</v>
      </c>
      <c r="N72" s="91">
        <f>IF(N46='Performance Pivot'!N17,1,0)</f>
        <v>1</v>
      </c>
      <c r="O72" s="91">
        <f>IF(O46='Performance Pivot'!O17,1,0)</f>
        <v>1</v>
      </c>
      <c r="P72" s="91">
        <f>IF(P46='Performance Pivot'!P17,1,0)</f>
        <v>1</v>
      </c>
      <c r="Q72" s="89"/>
      <c r="R72" s="77"/>
      <c r="S72" s="77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</row>
  </sheetData>
  <mergeCells count="4">
    <mergeCell ref="C15:Q15"/>
    <mergeCell ref="T15:AH15"/>
    <mergeCell ref="C45:Q45"/>
    <mergeCell ref="T45:AH45"/>
  </mergeCells>
  <conditionalFormatting sqref="D71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{71313B37-C41B-4E33-8246-EAB640BF00E1}</x14:id>
        </ext>
      </extLst>
    </cfRule>
  </conditionalFormatting>
  <conditionalFormatting sqref="E71:Q71">
    <cfRule type="dataBar" priority="1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{B8A18F1B-1D59-4ED1-A0AA-93E72B9B0B8E}</x14:id>
        </ext>
      </extLst>
    </cfRule>
  </conditionalFormatting>
  <conditionalFormatting sqref="D71:Q71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{B2112622-669B-445D-99BA-B25857EFC3CB}</x14:id>
        </ext>
      </extLst>
    </cfRule>
  </conditionalFormatting>
  <conditionalFormatting sqref="D42:Q42">
    <cfRule type="dataBar" priority="1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{E43E9214-11BE-442F-83A9-2F4F79093CCC}</x14:id>
        </ext>
      </extLst>
    </cfRule>
  </conditionalFormatting>
  <conditionalFormatting sqref="U42:AH42">
    <cfRule type="dataBar" priority="1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{11BE0062-90F8-4B06-BDCA-5E7CFF72AC51}</x14:id>
        </ext>
      </extLst>
    </cfRule>
  </conditionalFormatting>
  <conditionalFormatting sqref="D17:Q40">
    <cfRule type="dataBar" priority="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{ABF627F4-E84A-48E2-80DA-B76DFD01E579}</x14:id>
        </ext>
      </extLst>
    </cfRule>
  </conditionalFormatting>
  <conditionalFormatting sqref="U41:AG41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{1387F7A8-D797-4F48-9082-5F268F8B9A09}</x14:id>
        </ext>
      </extLst>
    </cfRule>
  </conditionalFormatting>
  <conditionalFormatting sqref="D47:Q70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{2F268727-04AD-495A-A1E7-BDA0FA8ACAD8}</x14:id>
        </ext>
      </extLst>
    </cfRule>
  </conditionalFormatting>
  <conditionalFormatting sqref="U47:AH70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{D6A5542D-40A2-42FD-9DD4-16FCF0FC8C66}</x14:id>
        </ext>
      </extLst>
    </cfRule>
  </conditionalFormatting>
  <conditionalFormatting sqref="U17:AH17 U18:AG40 AH18:AH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{310E3DDE-B803-4943-98D5-14AA8D07FD3B}</x14:id>
        </ext>
      </extLst>
    </cfRule>
  </conditionalFormatting>
  <conditionalFormatting sqref="D72:P72">
    <cfRule type="cellIs" dxfId="48" priority="1" operator="equal">
      <formula>1</formula>
    </cfRule>
  </conditionalFormatting>
  <dataValidations disablePrompts="1" count="2">
    <dataValidation type="list" allowBlank="1" showInputMessage="1" showErrorMessage="1" sqref="AN1">
      <formula1>"Yes, No"</formula1>
    </dataValidation>
    <dataValidation type="list" allowBlank="1" showInputMessage="1" showErrorMessage="1" sqref="AL1">
      <formula1>"PROD, DEV"</formula1>
    </dataValidation>
  </dataValidations>
  <pageMargins left="0.25" right="0.25" top="0.255" bottom="0.25" header="0.1" footer="0.1"/>
  <pageSetup scale="41" orientation="landscape" r:id="rId1"/>
  <headerFooter scaleWithDoc="0">
    <oddHeader>&amp;L&amp;G&amp;C&amp;"-,Bold"&amp;10&amp;K2E398A
&amp;15Deal Surveillance Summary&amp;R&amp;"-,Bold"&amp;10&amp;K2E398A
Latest Update Date: 05/01/2015</oddHeader>
    <oddFooter>&amp;L&amp;10&amp;K2E398AReport created on &amp;D &amp;T&amp;C&amp;G
&amp;8&amp;K2E398APage &amp;P of &amp;N</oddFooter>
  </headerFooter>
  <colBreaks count="1" manualBreakCount="1">
    <brk id="36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313B37-C41B-4E33-8246-EAB640BF00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</xm:sqref>
        </x14:conditionalFormatting>
        <x14:conditionalFormatting xmlns:xm="http://schemas.microsoft.com/office/excel/2006/main">
          <x14:cfRule type="dataBar" id="{B8A18F1B-1D59-4ED1-A0AA-93E72B9B0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E71:Q71</xm:sqref>
        </x14:conditionalFormatting>
        <x14:conditionalFormatting xmlns:xm="http://schemas.microsoft.com/office/excel/2006/main">
          <x14:cfRule type="dataBar" id="{B2112622-669B-445D-99BA-B25857EFC3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D71:Q71</xm:sqref>
        </x14:conditionalFormatting>
        <x14:conditionalFormatting xmlns:xm="http://schemas.microsoft.com/office/excel/2006/main">
          <x14:cfRule type="dataBar" id="{E43E9214-11BE-442F-83A9-2F4F79093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D42:Q42</xm:sqref>
        </x14:conditionalFormatting>
        <x14:conditionalFormatting xmlns:xm="http://schemas.microsoft.com/office/excel/2006/main">
          <x14:cfRule type="dataBar" id="{11BE0062-90F8-4B06-BDCA-5E7CFF72A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U42:AH42</xm:sqref>
        </x14:conditionalFormatting>
        <x14:conditionalFormatting xmlns:xm="http://schemas.microsoft.com/office/excel/2006/main">
          <x14:cfRule type="dataBar" id="{ABF627F4-E84A-48E2-80DA-B76DFD01E5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D17:Q40</xm:sqref>
        </x14:conditionalFormatting>
        <x14:conditionalFormatting xmlns:xm="http://schemas.microsoft.com/office/excel/2006/main">
          <x14:cfRule type="dataBar" id="{1387F7A8-D797-4F48-9082-5F268F8B9A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U41:AG41</xm:sqref>
        </x14:conditionalFormatting>
        <x14:conditionalFormatting xmlns:xm="http://schemas.microsoft.com/office/excel/2006/main">
          <x14:cfRule type="dataBar" id="{2F268727-04AD-495A-A1E7-BDA0FA8ACAD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D47:Q70</xm:sqref>
        </x14:conditionalFormatting>
        <x14:conditionalFormatting xmlns:xm="http://schemas.microsoft.com/office/excel/2006/main">
          <x14:cfRule type="dataBar" id="{D6A5542D-40A2-42FD-9DD4-16FCF0FC8C6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U47:AH70</xm:sqref>
        </x14:conditionalFormatting>
        <x14:conditionalFormatting xmlns:xm="http://schemas.microsoft.com/office/excel/2006/main">
          <x14:cfRule type="dataBar" id="{310E3DDE-B803-4943-98D5-14AA8D07FD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U17:AH17 U18:AG40 AH18:AH41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  <pageSetUpPr fitToPage="1"/>
  </sheetPr>
  <dimension ref="B12:BN74"/>
  <sheetViews>
    <sheetView showGridLines="0" zoomScale="85" zoomScaleNormal="85" workbookViewId="0">
      <selection activeCell="O52" sqref="N52:O52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14" width="10.85546875" customWidth="1"/>
    <col min="15" max="15" width="14.5703125" customWidth="1"/>
    <col min="16" max="16" width="10.85546875" customWidth="1"/>
    <col min="17" max="17" width="18.7109375" customWidth="1"/>
    <col min="18" max="18" width="2.85546875" customWidth="1"/>
    <col min="19" max="19" width="15.140625" customWidth="1"/>
    <col min="20" max="20" width="17.85546875" customWidth="1"/>
    <col min="21" max="30" width="10.85546875" customWidth="1"/>
    <col min="31" max="31" width="14.5703125" customWidth="1"/>
    <col min="32" max="32" width="10.85546875" customWidth="1"/>
    <col min="33" max="33" width="14.5703125" customWidth="1"/>
    <col min="34" max="34" width="13.28515625" customWidth="1"/>
    <col min="35" max="35" width="16.42578125" customWidth="1"/>
    <col min="36" max="36" width="17.85546875" bestFit="1" customWidth="1"/>
    <col min="37" max="39" width="14.42578125" customWidth="1"/>
    <col min="40" max="40" width="14.42578125" bestFit="1" customWidth="1"/>
    <col min="41" max="41" width="14.42578125" customWidth="1"/>
    <col min="42" max="44" width="14.5703125" bestFit="1" customWidth="1"/>
    <col min="45" max="45" width="14.42578125" customWidth="1"/>
    <col min="46" max="46" width="15.5703125" bestFit="1" customWidth="1"/>
    <col min="47" max="47" width="14.5703125" customWidth="1"/>
    <col min="48" max="48" width="10.85546875" bestFit="1" customWidth="1"/>
    <col min="49" max="49" width="10.42578125" bestFit="1" customWidth="1"/>
    <col min="52" max="52" width="15.140625" bestFit="1" customWidth="1"/>
    <col min="53" max="53" width="17.85546875" bestFit="1" customWidth="1"/>
    <col min="54" max="63" width="10.85546875" bestFit="1" customWidth="1"/>
    <col min="64" max="64" width="14.5703125" customWidth="1"/>
    <col min="65" max="65" width="10.85546875" bestFit="1" customWidth="1"/>
    <col min="66" max="66" width="10.42578125" bestFit="1" customWidth="1"/>
  </cols>
  <sheetData>
    <row r="12" spans="2:66" ht="13.5" customHeight="1"/>
    <row r="14" spans="2:66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66" s="2" customFormat="1" ht="19.5" customHeight="1">
      <c r="B15"/>
      <c r="C15" s="41" t="s">
        <v>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"/>
      <c r="R15" s="4"/>
      <c r="S15" s="42" t="s">
        <v>8</v>
      </c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/>
      <c r="AH15"/>
      <c r="AI15" s="43" t="s">
        <v>19</v>
      </c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"/>
      <c r="AX15" s="4"/>
      <c r="AY15" s="4"/>
      <c r="AZ15" s="44" t="s">
        <v>20</v>
      </c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</row>
    <row r="16" spans="2:66" s="2" customFormat="1">
      <c r="B16"/>
      <c r="C16" s="20" t="s">
        <v>9</v>
      </c>
      <c r="D16" s="20" t="s">
        <v>10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/>
      <c r="R16" s="4"/>
      <c r="S16" s="20" t="s">
        <v>8</v>
      </c>
      <c r="T16" s="20" t="s">
        <v>10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/>
      <c r="AH16"/>
      <c r="AI16" s="20" t="s">
        <v>117</v>
      </c>
      <c r="AJ16" s="20" t="s">
        <v>10</v>
      </c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/>
      <c r="AX16" s="4"/>
      <c r="AY16" s="4"/>
      <c r="AZ16" s="20" t="s">
        <v>116</v>
      </c>
      <c r="BA16" s="20" t="s">
        <v>10</v>
      </c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/>
    </row>
    <row r="17" spans="2:66" s="50" customFormat="1" ht="25.5">
      <c r="C17" s="63" t="s">
        <v>11</v>
      </c>
      <c r="D17" s="51" t="s">
        <v>62</v>
      </c>
      <c r="E17" s="51" t="s">
        <v>64</v>
      </c>
      <c r="F17" s="51" t="s">
        <v>66</v>
      </c>
      <c r="G17" s="51" t="s">
        <v>68</v>
      </c>
      <c r="H17" s="51" t="s">
        <v>70</v>
      </c>
      <c r="I17" s="51" t="s">
        <v>72</v>
      </c>
      <c r="J17" s="51" t="s">
        <v>74</v>
      </c>
      <c r="K17" s="51" t="s">
        <v>76</v>
      </c>
      <c r="L17" s="51" t="s">
        <v>78</v>
      </c>
      <c r="M17" s="51" t="s">
        <v>80</v>
      </c>
      <c r="N17" s="51" t="s">
        <v>82</v>
      </c>
      <c r="O17" s="51" t="s">
        <v>86</v>
      </c>
      <c r="P17" s="51" t="s">
        <v>88</v>
      </c>
      <c r="Q17"/>
      <c r="R17" s="52"/>
      <c r="S17" s="53" t="s">
        <v>11</v>
      </c>
      <c r="T17" s="61" t="s">
        <v>62</v>
      </c>
      <c r="U17" s="61" t="s">
        <v>64</v>
      </c>
      <c r="V17" s="61" t="s">
        <v>66</v>
      </c>
      <c r="W17" s="61" t="s">
        <v>68</v>
      </c>
      <c r="X17" s="61" t="s">
        <v>70</v>
      </c>
      <c r="Y17" s="61" t="s">
        <v>72</v>
      </c>
      <c r="Z17" s="61" t="s">
        <v>74</v>
      </c>
      <c r="AA17" s="61" t="s">
        <v>76</v>
      </c>
      <c r="AB17" s="61" t="s">
        <v>78</v>
      </c>
      <c r="AC17" s="61" t="s">
        <v>80</v>
      </c>
      <c r="AD17" s="61" t="s">
        <v>82</v>
      </c>
      <c r="AE17" s="61" t="s">
        <v>86</v>
      </c>
      <c r="AF17" s="61" t="s">
        <v>88</v>
      </c>
      <c r="AG17"/>
      <c r="AI17" s="55" t="s">
        <v>11</v>
      </c>
      <c r="AJ17" s="58" t="s">
        <v>62</v>
      </c>
      <c r="AK17" s="58" t="s">
        <v>64</v>
      </c>
      <c r="AL17" s="58" t="s">
        <v>66</v>
      </c>
      <c r="AM17" s="58" t="s">
        <v>68</v>
      </c>
      <c r="AN17" s="58" t="s">
        <v>70</v>
      </c>
      <c r="AO17" s="58" t="s">
        <v>72</v>
      </c>
      <c r="AP17" s="58" t="s">
        <v>74</v>
      </c>
      <c r="AQ17" s="58" t="s">
        <v>76</v>
      </c>
      <c r="AR17" s="58" t="s">
        <v>78</v>
      </c>
      <c r="AS17" s="58" t="s">
        <v>80</v>
      </c>
      <c r="AT17" s="58" t="s">
        <v>82</v>
      </c>
      <c r="AU17" s="58" t="s">
        <v>86</v>
      </c>
      <c r="AV17" s="58" t="s">
        <v>88</v>
      </c>
      <c r="AW17"/>
      <c r="AX17" s="52"/>
      <c r="AY17" s="52"/>
      <c r="AZ17" s="56" t="s">
        <v>11</v>
      </c>
      <c r="BA17" s="60" t="s">
        <v>62</v>
      </c>
      <c r="BB17" s="60" t="s">
        <v>64</v>
      </c>
      <c r="BC17" s="60" t="s">
        <v>66</v>
      </c>
      <c r="BD17" s="60" t="s">
        <v>68</v>
      </c>
      <c r="BE17" s="60" t="s">
        <v>70</v>
      </c>
      <c r="BF17" s="60" t="s">
        <v>72</v>
      </c>
      <c r="BG17" s="60" t="s">
        <v>74</v>
      </c>
      <c r="BH17" s="60" t="s">
        <v>76</v>
      </c>
      <c r="BI17" s="60" t="s">
        <v>78</v>
      </c>
      <c r="BJ17" s="60" t="s">
        <v>80</v>
      </c>
      <c r="BK17" s="60" t="s">
        <v>82</v>
      </c>
      <c r="BL17" s="60" t="s">
        <v>86</v>
      </c>
      <c r="BM17" s="60" t="s">
        <v>88</v>
      </c>
      <c r="BN17"/>
    </row>
    <row r="18" spans="2:66" s="12" customFormat="1" ht="18" customHeight="1">
      <c r="B18" s="10"/>
      <c r="C18" s="13">
        <v>42125</v>
      </c>
      <c r="D18" s="14">
        <v>11.419499999999999</v>
      </c>
      <c r="E18" s="14">
        <v>9.1</v>
      </c>
      <c r="F18" s="14">
        <v>9.7987000000000002</v>
      </c>
      <c r="G18" s="14">
        <v>13.478199999999999</v>
      </c>
      <c r="H18" s="14">
        <v>21.3535</v>
      </c>
      <c r="I18" s="14">
        <v>22.621600000000001</v>
      </c>
      <c r="J18" s="14">
        <v>21.616299999999999</v>
      </c>
      <c r="K18" s="14">
        <v>12.855</v>
      </c>
      <c r="L18" s="14">
        <v>19.663900000000002</v>
      </c>
      <c r="M18" s="14">
        <v>19.299199999999999</v>
      </c>
      <c r="N18" s="14">
        <v>10.3049</v>
      </c>
      <c r="O18" s="14">
        <v>15.325200000000001</v>
      </c>
      <c r="P18" s="14">
        <v>12.8009</v>
      </c>
      <c r="Q18"/>
      <c r="R18" s="11"/>
      <c r="S18" s="13">
        <v>42125</v>
      </c>
      <c r="T18" s="15">
        <v>0.12759999999999999</v>
      </c>
      <c r="U18" s="15">
        <v>2.2200000000000001E-2</v>
      </c>
      <c r="V18" s="15">
        <v>2.69E-2</v>
      </c>
      <c r="W18" s="15">
        <v>5.04E-2</v>
      </c>
      <c r="X18" s="15">
        <v>0.1091</v>
      </c>
      <c r="Y18" s="15">
        <v>5.1000000000000004E-3</v>
      </c>
      <c r="Z18" s="15">
        <v>6.4899999999999999E-2</v>
      </c>
      <c r="AA18" s="15">
        <v>6.08E-2</v>
      </c>
      <c r="AB18" s="15">
        <v>0.1643</v>
      </c>
      <c r="AC18" s="15">
        <v>2.7900000000000001E-2</v>
      </c>
      <c r="AD18" s="15">
        <v>0</v>
      </c>
      <c r="AE18" s="15">
        <v>0</v>
      </c>
      <c r="AF18" s="15">
        <v>0</v>
      </c>
      <c r="AG18"/>
      <c r="AH18" s="10"/>
      <c r="AI18" s="13">
        <v>42125</v>
      </c>
      <c r="AJ18" s="15">
        <v>6.9999999999999993E-2</v>
      </c>
      <c r="AK18" s="15">
        <v>0.05</v>
      </c>
      <c r="AL18" s="15">
        <v>0.03</v>
      </c>
      <c r="AM18" s="15">
        <v>0.03</v>
      </c>
      <c r="AN18" s="15">
        <v>0.03</v>
      </c>
      <c r="AO18" s="15">
        <v>0</v>
      </c>
      <c r="AP18" s="15">
        <v>6.9999999999999993E-2</v>
      </c>
      <c r="AQ18" s="15">
        <v>0.03</v>
      </c>
      <c r="AR18" s="15">
        <v>0.04</v>
      </c>
      <c r="AS18" s="15">
        <v>0</v>
      </c>
      <c r="AT18" s="15">
        <v>0</v>
      </c>
      <c r="AU18" s="15">
        <v>0</v>
      </c>
      <c r="AV18" s="15">
        <v>0</v>
      </c>
      <c r="AW18"/>
      <c r="AX18" s="11"/>
      <c r="AY18" s="11"/>
      <c r="AZ18" s="13">
        <v>42125</v>
      </c>
      <c r="BA18" s="15">
        <v>0.2293712620511198</v>
      </c>
      <c r="BB18" s="15">
        <v>0.2313786107206684</v>
      </c>
      <c r="BC18" s="15">
        <v>0.24597052332955335</v>
      </c>
      <c r="BD18" s="15">
        <v>0.28994875935216846</v>
      </c>
      <c r="BE18" s="15">
        <v>0.41318942079793225</v>
      </c>
      <c r="BF18" s="15">
        <v>0.39062777689486328</v>
      </c>
      <c r="BG18" s="15">
        <v>0.51322419447953582</v>
      </c>
      <c r="BH18" s="15">
        <v>0.29648472609394622</v>
      </c>
      <c r="BI18" s="15">
        <v>0.44673961711471766</v>
      </c>
      <c r="BJ18" s="15">
        <v>0.27772949574741512</v>
      </c>
      <c r="BK18" s="15">
        <v>7.6209042857628584E-2</v>
      </c>
      <c r="BL18" s="15">
        <v>0.19443009127071545</v>
      </c>
      <c r="BM18" s="15">
        <v>0.1039931847428982</v>
      </c>
      <c r="BN18"/>
    </row>
    <row r="19" spans="2:66" s="12" customFormat="1" ht="18" customHeight="1">
      <c r="B19" s="10"/>
      <c r="C19" s="13">
        <v>42095</v>
      </c>
      <c r="D19" s="14">
        <v>9.9797999999999991</v>
      </c>
      <c r="E19" s="14">
        <v>8.0878999999999994</v>
      </c>
      <c r="F19" s="14">
        <v>9.2845999999999993</v>
      </c>
      <c r="G19" s="14">
        <v>13.7494</v>
      </c>
      <c r="H19" s="14">
        <v>24.923400000000001</v>
      </c>
      <c r="I19" s="14">
        <v>23.529800000000002</v>
      </c>
      <c r="J19" s="14">
        <v>21.953800000000001</v>
      </c>
      <c r="K19" s="14">
        <v>12.386200000000001</v>
      </c>
      <c r="L19" s="14">
        <v>20.960100000000001</v>
      </c>
      <c r="M19" s="14">
        <v>22.691099999999999</v>
      </c>
      <c r="N19" s="14">
        <v>16.482600000000001</v>
      </c>
      <c r="O19" s="14">
        <v>17.138100000000001</v>
      </c>
      <c r="P19" s="14">
        <v>12.428100000000001</v>
      </c>
      <c r="Q19"/>
      <c r="R19" s="11"/>
      <c r="S19" s="13">
        <v>42095</v>
      </c>
      <c r="T19" s="15">
        <v>5.2200000000000003E-2</v>
      </c>
      <c r="U19" s="15">
        <v>0.1116</v>
      </c>
      <c r="V19" s="15">
        <v>6.3500000000000001E-2</v>
      </c>
      <c r="W19" s="15">
        <v>5.2600000000000001E-2</v>
      </c>
      <c r="X19" s="15">
        <v>5.9700000000000003E-2</v>
      </c>
      <c r="Y19" s="15">
        <v>6.83E-2</v>
      </c>
      <c r="Z19" s="15">
        <v>0.22869999999999999</v>
      </c>
      <c r="AA19" s="15">
        <v>6.0499999999999998E-2</v>
      </c>
      <c r="AB19" s="15">
        <v>0.1095</v>
      </c>
      <c r="AC19" s="15">
        <v>0</v>
      </c>
      <c r="AD19" s="15">
        <v>0</v>
      </c>
      <c r="AE19" s="15">
        <v>0</v>
      </c>
      <c r="AF19" s="15">
        <v>0</v>
      </c>
      <c r="AG19"/>
      <c r="AH19" s="10"/>
      <c r="AI19" s="13">
        <v>42095</v>
      </c>
      <c r="AJ19" s="15">
        <v>0.06</v>
      </c>
      <c r="AK19" s="15">
        <v>0.05</v>
      </c>
      <c r="AL19" s="15">
        <v>0.03</v>
      </c>
      <c r="AM19" s="15">
        <v>0.02</v>
      </c>
      <c r="AN19" s="15">
        <v>0.02</v>
      </c>
      <c r="AO19" s="15">
        <v>0</v>
      </c>
      <c r="AP19" s="15">
        <v>0.06</v>
      </c>
      <c r="AQ19" s="15">
        <v>0.02</v>
      </c>
      <c r="AR19" s="15">
        <v>0.03</v>
      </c>
      <c r="AS19" s="15">
        <v>0</v>
      </c>
      <c r="AT19" s="15">
        <v>0</v>
      </c>
      <c r="AU19" s="15">
        <v>0</v>
      </c>
      <c r="AV19" s="15">
        <v>0</v>
      </c>
      <c r="AW19"/>
      <c r="AX19" s="11"/>
      <c r="AY19" s="11"/>
      <c r="AZ19" s="13">
        <v>42095</v>
      </c>
      <c r="BA19" s="15">
        <v>0.22129265340619866</v>
      </c>
      <c r="BB19" s="15">
        <v>0.21280434159913292</v>
      </c>
      <c r="BC19" s="15">
        <v>0.23592986031137708</v>
      </c>
      <c r="BD19" s="15">
        <v>0.26331290473771879</v>
      </c>
      <c r="BE19" s="15">
        <v>0.40934867388750779</v>
      </c>
      <c r="BF19" s="15">
        <v>0.35782370579607647</v>
      </c>
      <c r="BG19" s="15">
        <v>0.42740795025214906</v>
      </c>
      <c r="BH19" s="15">
        <v>0.25385131985243753</v>
      </c>
      <c r="BI19" s="15">
        <v>0.37748294798205345</v>
      </c>
      <c r="BJ19" s="15">
        <v>0.21156629027363505</v>
      </c>
      <c r="BK19" s="15">
        <v>5.5999090056126327E-2</v>
      </c>
      <c r="BL19" s="15">
        <v>0.16889907033116175</v>
      </c>
      <c r="BM19" s="15">
        <v>0</v>
      </c>
      <c r="BN19"/>
    </row>
    <row r="20" spans="2:66" s="12" customFormat="1" ht="18" customHeight="1">
      <c r="B20" s="10"/>
      <c r="C20" s="13">
        <v>42064</v>
      </c>
      <c r="D20" s="14">
        <v>9.9810999999999996</v>
      </c>
      <c r="E20" s="14">
        <v>7.4539999999999997</v>
      </c>
      <c r="F20" s="14">
        <v>8.0511999999999997</v>
      </c>
      <c r="G20" s="14">
        <v>13.9582</v>
      </c>
      <c r="H20" s="14">
        <v>27.4253</v>
      </c>
      <c r="I20" s="14">
        <v>27.0959</v>
      </c>
      <c r="J20" s="14">
        <v>22.344000000000001</v>
      </c>
      <c r="K20" s="14">
        <v>12.1469</v>
      </c>
      <c r="L20" s="14">
        <v>22.173100000000002</v>
      </c>
      <c r="M20" s="14">
        <v>23.9587</v>
      </c>
      <c r="N20" s="14"/>
      <c r="O20" s="14">
        <v>39.482300000000002</v>
      </c>
      <c r="P20" s="14"/>
      <c r="Q20"/>
      <c r="R20" s="11"/>
      <c r="S20" s="13">
        <v>42064</v>
      </c>
      <c r="T20" s="15">
        <v>7.2300000000000003E-2</v>
      </c>
      <c r="U20" s="15">
        <v>6.3100000000000003E-2</v>
      </c>
      <c r="V20" s="15">
        <v>2.2800000000000001E-2</v>
      </c>
      <c r="W20" s="15">
        <v>4.1599999999999998E-2</v>
      </c>
      <c r="X20" s="15">
        <v>9.6799999999999997E-2</v>
      </c>
      <c r="Y20" s="15">
        <v>0</v>
      </c>
      <c r="Z20" s="15">
        <v>0.1807</v>
      </c>
      <c r="AA20" s="15">
        <v>0.06</v>
      </c>
      <c r="AB20" s="15">
        <v>0.1017</v>
      </c>
      <c r="AC20" s="15">
        <v>0</v>
      </c>
      <c r="AD20" s="15"/>
      <c r="AE20" s="15">
        <v>0</v>
      </c>
      <c r="AF20" s="15"/>
      <c r="AG20"/>
      <c r="AH20" s="10"/>
      <c r="AI20" s="13">
        <v>42064</v>
      </c>
      <c r="AJ20" s="15">
        <v>0.06</v>
      </c>
      <c r="AK20" s="15">
        <v>0.04</v>
      </c>
      <c r="AL20" s="15">
        <v>0.02</v>
      </c>
      <c r="AM20" s="15">
        <v>0.02</v>
      </c>
      <c r="AN20" s="15">
        <v>0.02</v>
      </c>
      <c r="AO20" s="15">
        <v>0</v>
      </c>
      <c r="AP20" s="15">
        <v>0.04</v>
      </c>
      <c r="AQ20" s="15">
        <v>0.02</v>
      </c>
      <c r="AR20" s="15">
        <v>0.02</v>
      </c>
      <c r="AS20" s="15">
        <v>0</v>
      </c>
      <c r="AT20" s="15"/>
      <c r="AU20" s="15">
        <v>0</v>
      </c>
      <c r="AV20" s="15"/>
      <c r="AW20"/>
      <c r="AX20" s="11"/>
      <c r="AY20" s="11"/>
      <c r="AZ20" s="13">
        <v>42064</v>
      </c>
      <c r="BA20" s="15">
        <v>0.30000390932597443</v>
      </c>
      <c r="BB20" s="15">
        <v>0.30653763936751177</v>
      </c>
      <c r="BC20" s="15">
        <v>0.31499647857695201</v>
      </c>
      <c r="BD20" s="15">
        <v>0.34767765375114018</v>
      </c>
      <c r="BE20" s="15">
        <v>0.49454945394582739</v>
      </c>
      <c r="BF20" s="15">
        <v>0.42376432266131647</v>
      </c>
      <c r="BG20" s="15">
        <v>0.58858695835742636</v>
      </c>
      <c r="BH20" s="15">
        <v>0.34120372853844289</v>
      </c>
      <c r="BI20" s="15">
        <v>0.50680743447907983</v>
      </c>
      <c r="BJ20" s="15">
        <v>0.34222049864019155</v>
      </c>
      <c r="BK20" s="15"/>
      <c r="BL20" s="15">
        <v>0.20324079350067248</v>
      </c>
      <c r="BM20" s="15"/>
      <c r="BN20"/>
    </row>
    <row r="21" spans="2:66" s="12" customFormat="1" ht="18" customHeight="1">
      <c r="B21" s="10"/>
      <c r="C21" s="13">
        <v>42036</v>
      </c>
      <c r="D21" s="14">
        <v>11.042299999999999</v>
      </c>
      <c r="E21" s="14">
        <v>7.3334999999999999</v>
      </c>
      <c r="F21" s="14">
        <v>7.6299000000000001</v>
      </c>
      <c r="G21" s="14">
        <v>19.887699999999999</v>
      </c>
      <c r="H21" s="14">
        <v>38.846600000000002</v>
      </c>
      <c r="I21" s="14">
        <v>41.523499999999999</v>
      </c>
      <c r="J21" s="14">
        <v>33.429000000000002</v>
      </c>
      <c r="K21" s="14">
        <v>14.1052</v>
      </c>
      <c r="L21" s="14">
        <v>34.780200000000001</v>
      </c>
      <c r="M21" s="14">
        <v>37.950000000000003</v>
      </c>
      <c r="N21" s="14"/>
      <c r="O21" s="14"/>
      <c r="P21" s="14"/>
      <c r="Q21"/>
      <c r="R21" s="11"/>
      <c r="S21" s="13">
        <v>42036</v>
      </c>
      <c r="T21" s="15">
        <v>5.7599999999999998E-2</v>
      </c>
      <c r="U21" s="15">
        <v>4.3700000000000003E-2</v>
      </c>
      <c r="V21" s="15">
        <v>3.1099999999999999E-2</v>
      </c>
      <c r="W21" s="15">
        <v>3.4700000000000002E-2</v>
      </c>
      <c r="X21" s="15">
        <v>4.6100000000000002E-2</v>
      </c>
      <c r="Y21" s="15">
        <v>1.9099999999999999E-2</v>
      </c>
      <c r="Z21" s="15">
        <v>0.1084</v>
      </c>
      <c r="AA21" s="15">
        <v>8.3799999999999999E-2</v>
      </c>
      <c r="AB21" s="15">
        <v>0.18659999999999999</v>
      </c>
      <c r="AC21" s="15">
        <v>0</v>
      </c>
      <c r="AD21" s="15"/>
      <c r="AE21" s="15"/>
      <c r="AF21" s="15"/>
      <c r="AG21"/>
      <c r="AH21" s="10"/>
      <c r="AI21" s="13">
        <v>42036</v>
      </c>
      <c r="AJ21" s="15">
        <v>0.05</v>
      </c>
      <c r="AK21" s="15">
        <v>0.04</v>
      </c>
      <c r="AL21" s="15">
        <v>0.02</v>
      </c>
      <c r="AM21" s="15">
        <v>0.02</v>
      </c>
      <c r="AN21" s="15">
        <v>0.01</v>
      </c>
      <c r="AO21" s="15">
        <v>0</v>
      </c>
      <c r="AP21" s="15">
        <v>0.03</v>
      </c>
      <c r="AQ21" s="15">
        <v>0.01</v>
      </c>
      <c r="AR21" s="15">
        <v>0.01</v>
      </c>
      <c r="AS21" s="15">
        <v>0</v>
      </c>
      <c r="AT21" s="15"/>
      <c r="AU21" s="15"/>
      <c r="AV21" s="15"/>
      <c r="AW21"/>
      <c r="AX21" s="11"/>
      <c r="AY21" s="11"/>
      <c r="AZ21" s="13">
        <v>42036</v>
      </c>
      <c r="BA21" s="15">
        <v>0.25015041079039801</v>
      </c>
      <c r="BB21" s="15">
        <v>0.2600610318927869</v>
      </c>
      <c r="BC21" s="15">
        <v>0.25249433576771596</v>
      </c>
      <c r="BD21" s="15">
        <v>0.28917338018387528</v>
      </c>
      <c r="BE21" s="15">
        <v>0.39045994484270197</v>
      </c>
      <c r="BF21" s="15">
        <v>0.30916978033755044</v>
      </c>
      <c r="BG21" s="15">
        <v>0.53237138676784923</v>
      </c>
      <c r="BH21" s="15">
        <v>0.2951258459716522</v>
      </c>
      <c r="BI21" s="15">
        <v>0.41123124381280496</v>
      </c>
      <c r="BJ21" s="15">
        <v>0.17318346328686823</v>
      </c>
      <c r="BK21" s="15"/>
      <c r="BL21" s="15"/>
      <c r="BM21" s="15"/>
      <c r="BN21"/>
    </row>
    <row r="22" spans="2:66" s="12" customFormat="1" ht="18" customHeight="1">
      <c r="B22" s="10"/>
      <c r="C22" s="13">
        <v>42005</v>
      </c>
      <c r="D22" s="14">
        <v>7.9896000000000003</v>
      </c>
      <c r="E22" s="14">
        <v>4.7008000000000001</v>
      </c>
      <c r="F22" s="14">
        <v>5.9295999999999998</v>
      </c>
      <c r="G22" s="14">
        <v>17.597200000000001</v>
      </c>
      <c r="H22" s="14">
        <v>37.158299999999997</v>
      </c>
      <c r="I22" s="14">
        <v>35.541899999999998</v>
      </c>
      <c r="J22" s="14">
        <v>30.398</v>
      </c>
      <c r="K22" s="14">
        <v>11.402200000000001</v>
      </c>
      <c r="L22" s="14">
        <v>28.165900000000001</v>
      </c>
      <c r="M22" s="14">
        <v>51.978200000000001</v>
      </c>
      <c r="N22" s="14"/>
      <c r="O22" s="14"/>
      <c r="P22" s="14"/>
      <c r="Q22"/>
      <c r="R22" s="11"/>
      <c r="S22" s="13">
        <v>42005</v>
      </c>
      <c r="T22" s="15">
        <v>3.1E-2</v>
      </c>
      <c r="U22" s="15">
        <v>8.4000000000000005E-2</v>
      </c>
      <c r="V22" s="15">
        <v>2.35E-2</v>
      </c>
      <c r="W22" s="15">
        <v>3.6299999999999999E-2</v>
      </c>
      <c r="X22" s="15">
        <v>4.1000000000000002E-2</v>
      </c>
      <c r="Y22" s="15">
        <v>0</v>
      </c>
      <c r="Z22" s="15">
        <v>0</v>
      </c>
      <c r="AA22" s="15">
        <v>6.5199999999999994E-2</v>
      </c>
      <c r="AB22" s="15">
        <v>0</v>
      </c>
      <c r="AC22" s="15">
        <v>0</v>
      </c>
      <c r="AD22" s="15"/>
      <c r="AE22" s="15"/>
      <c r="AF22" s="15"/>
      <c r="AG22"/>
      <c r="AH22" s="10"/>
      <c r="AI22" s="13">
        <v>42005</v>
      </c>
      <c r="AJ22" s="15">
        <v>0.05</v>
      </c>
      <c r="AK22" s="15">
        <v>0.03</v>
      </c>
      <c r="AL22" s="15">
        <v>0.02</v>
      </c>
      <c r="AM22" s="15">
        <v>0.01</v>
      </c>
      <c r="AN22" s="15">
        <v>0</v>
      </c>
      <c r="AO22" s="15">
        <v>0</v>
      </c>
      <c r="AP22" s="15">
        <v>0.02</v>
      </c>
      <c r="AQ22" s="15">
        <v>0</v>
      </c>
      <c r="AR22" s="15">
        <v>0</v>
      </c>
      <c r="AS22" s="15">
        <v>0</v>
      </c>
      <c r="AT22" s="15"/>
      <c r="AU22" s="15"/>
      <c r="AV22" s="15"/>
      <c r="AW22"/>
      <c r="AX22" s="11"/>
      <c r="AY22" s="11"/>
      <c r="AZ22" s="13">
        <v>42005</v>
      </c>
      <c r="BA22" s="15">
        <v>0.25090365666056386</v>
      </c>
      <c r="BB22" s="15">
        <v>0.25071003222516791</v>
      </c>
      <c r="BC22" s="15">
        <v>0.24825080357062315</v>
      </c>
      <c r="BD22" s="15">
        <v>0.28897348095416825</v>
      </c>
      <c r="BE22" s="15">
        <v>0.36901987117811835</v>
      </c>
      <c r="BF22" s="15">
        <v>0.2774862100051691</v>
      </c>
      <c r="BG22" s="15">
        <v>0.42606312132453433</v>
      </c>
      <c r="BH22" s="15">
        <v>0.25871680534557334</v>
      </c>
      <c r="BI22" s="15">
        <v>0.34388182085411267</v>
      </c>
      <c r="BJ22" s="15">
        <v>0.15922864086589988</v>
      </c>
      <c r="BK22" s="15"/>
      <c r="BL22" s="15"/>
      <c r="BM22" s="15"/>
      <c r="BN22"/>
    </row>
    <row r="23" spans="2:66" s="12" customFormat="1" ht="18" customHeight="1">
      <c r="B23" s="10"/>
      <c r="C23" s="13">
        <v>41974</v>
      </c>
      <c r="D23" s="14">
        <v>5.2076000000000002</v>
      </c>
      <c r="E23" s="14">
        <v>3.7650000000000001</v>
      </c>
      <c r="F23" s="14">
        <v>4.2118000000000002</v>
      </c>
      <c r="G23" s="14">
        <v>9.6349999999999998</v>
      </c>
      <c r="H23" s="14">
        <v>19.411799999999999</v>
      </c>
      <c r="I23" s="14">
        <v>21.002500000000001</v>
      </c>
      <c r="J23" s="14">
        <v>15.596500000000001</v>
      </c>
      <c r="K23" s="14">
        <v>6.3979999999999997</v>
      </c>
      <c r="L23" s="14">
        <v>15.9307</v>
      </c>
      <c r="M23" s="14"/>
      <c r="N23" s="14"/>
      <c r="O23" s="14"/>
      <c r="P23" s="14"/>
      <c r="Q23"/>
      <c r="R23" s="11"/>
      <c r="S23" s="13">
        <v>41974</v>
      </c>
      <c r="T23" s="15">
        <v>9.3100000000000002E-2</v>
      </c>
      <c r="U23" s="15">
        <v>2.7799999999999998E-2</v>
      </c>
      <c r="V23" s="15">
        <v>6.59E-2</v>
      </c>
      <c r="W23" s="15">
        <v>3.2599999999999997E-2</v>
      </c>
      <c r="X23" s="15">
        <v>0</v>
      </c>
      <c r="Y23" s="15">
        <v>0</v>
      </c>
      <c r="Z23" s="15">
        <v>0.1948</v>
      </c>
      <c r="AA23" s="15">
        <v>2.5999999999999999E-2</v>
      </c>
      <c r="AB23" s="15">
        <v>0</v>
      </c>
      <c r="AC23" s="15"/>
      <c r="AD23" s="15"/>
      <c r="AE23" s="15"/>
      <c r="AF23" s="15"/>
      <c r="AG23"/>
      <c r="AH23" s="10"/>
      <c r="AI23" s="13">
        <v>41974</v>
      </c>
      <c r="AJ23" s="15">
        <v>0.05</v>
      </c>
      <c r="AK23" s="15">
        <v>0.02</v>
      </c>
      <c r="AL23" s="15">
        <v>0.02</v>
      </c>
      <c r="AM23" s="15">
        <v>0.01</v>
      </c>
      <c r="AN23" s="15">
        <v>0</v>
      </c>
      <c r="AO23" s="15">
        <v>0</v>
      </c>
      <c r="AP23" s="15">
        <v>0.02</v>
      </c>
      <c r="AQ23" s="15">
        <v>0</v>
      </c>
      <c r="AR23" s="15">
        <v>0</v>
      </c>
      <c r="AS23" s="15"/>
      <c r="AT23" s="15"/>
      <c r="AU23" s="15"/>
      <c r="AV23" s="15"/>
      <c r="AW23"/>
      <c r="AX23" s="11"/>
      <c r="AY23" s="11"/>
      <c r="AZ23" s="13">
        <v>41974</v>
      </c>
      <c r="BA23" s="15">
        <v>0.31978297540562384</v>
      </c>
      <c r="BB23" s="15">
        <v>0.31372260189091467</v>
      </c>
      <c r="BC23" s="15">
        <v>0.31639523448709694</v>
      </c>
      <c r="BD23" s="15">
        <v>0.36134533615784159</v>
      </c>
      <c r="BE23" s="15">
        <v>0.41618114863963918</v>
      </c>
      <c r="BF23" s="15">
        <v>0.35413995458346764</v>
      </c>
      <c r="BG23" s="15">
        <v>0.51635036194168704</v>
      </c>
      <c r="BH23" s="15">
        <v>0.31173836097395102</v>
      </c>
      <c r="BI23" s="15">
        <v>0.32100016355282679</v>
      </c>
      <c r="BJ23" s="15"/>
      <c r="BK23" s="15"/>
      <c r="BL23" s="15"/>
      <c r="BM23" s="15"/>
      <c r="BN23"/>
    </row>
    <row r="24" spans="2:66" s="12" customFormat="1" ht="18" customHeight="1">
      <c r="B24" s="10"/>
      <c r="C24" s="13">
        <v>41944</v>
      </c>
      <c r="D24" s="14">
        <v>6.0025000000000004</v>
      </c>
      <c r="E24" s="14">
        <v>5.1199000000000003</v>
      </c>
      <c r="F24" s="14">
        <v>5.1914999999999996</v>
      </c>
      <c r="G24" s="14">
        <v>11.3248</v>
      </c>
      <c r="H24" s="14">
        <v>22.5213</v>
      </c>
      <c r="I24" s="14">
        <v>21.629799999999999</v>
      </c>
      <c r="J24" s="14">
        <v>18.272500000000001</v>
      </c>
      <c r="K24" s="14">
        <v>7.6486000000000001</v>
      </c>
      <c r="L24" s="14">
        <v>14.737299999999999</v>
      </c>
      <c r="M24" s="14"/>
      <c r="N24" s="14"/>
      <c r="O24" s="14"/>
      <c r="P24" s="14"/>
      <c r="Q24"/>
      <c r="R24" s="11"/>
      <c r="S24" s="13">
        <v>41944</v>
      </c>
      <c r="T24" s="15">
        <v>2.3800000000000002E-2</v>
      </c>
      <c r="U24" s="15">
        <v>4.8800000000000003E-2</v>
      </c>
      <c r="V24" s="15">
        <v>2.1299999999999999E-2</v>
      </c>
      <c r="W24" s="15">
        <v>2.2499999999999999E-2</v>
      </c>
      <c r="X24" s="15">
        <v>4.2700000000000002E-2</v>
      </c>
      <c r="Y24" s="15">
        <v>0</v>
      </c>
      <c r="Z24" s="15">
        <v>4.3099999999999999E-2</v>
      </c>
      <c r="AA24" s="15">
        <v>0</v>
      </c>
      <c r="AB24" s="15">
        <v>0</v>
      </c>
      <c r="AC24" s="15"/>
      <c r="AD24" s="15"/>
      <c r="AE24" s="15"/>
      <c r="AF24" s="15"/>
      <c r="AG24"/>
      <c r="AH24" s="10"/>
      <c r="AI24" s="13">
        <v>41944</v>
      </c>
      <c r="AJ24" s="15">
        <v>0.04</v>
      </c>
      <c r="AK24" s="15">
        <v>0.02</v>
      </c>
      <c r="AL24" s="15">
        <v>0.01</v>
      </c>
      <c r="AM24" s="15">
        <v>0.01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/>
      <c r="AT24" s="15"/>
      <c r="AU24" s="15"/>
      <c r="AV24" s="15"/>
      <c r="AW24"/>
      <c r="AX24" s="11"/>
      <c r="AY24" s="11"/>
      <c r="AZ24" s="13">
        <v>41944</v>
      </c>
      <c r="BA24" s="15">
        <v>0.2260471385439223</v>
      </c>
      <c r="BB24" s="15">
        <v>0.2153438338806028</v>
      </c>
      <c r="BC24" s="15">
        <v>0.19498019037850725</v>
      </c>
      <c r="BD24" s="15">
        <v>0.22911961585951207</v>
      </c>
      <c r="BE24" s="15">
        <v>0.25782310018865512</v>
      </c>
      <c r="BF24" s="15">
        <v>0.17382168099278625</v>
      </c>
      <c r="BG24" s="15">
        <v>0.35378818839678927</v>
      </c>
      <c r="BH24" s="15">
        <v>0.18279100294153797</v>
      </c>
      <c r="BI24" s="15">
        <v>0.18127235784901458</v>
      </c>
      <c r="BJ24" s="15"/>
      <c r="BK24" s="15"/>
      <c r="BL24" s="15"/>
      <c r="BM24" s="15"/>
      <c r="BN24"/>
    </row>
    <row r="25" spans="2:66" s="12" customFormat="1" ht="18" customHeight="1">
      <c r="B25" s="10"/>
      <c r="C25" s="13">
        <v>41913</v>
      </c>
      <c r="D25" s="14">
        <v>5.2816000000000001</v>
      </c>
      <c r="E25" s="14">
        <v>4.5232999999999999</v>
      </c>
      <c r="F25" s="14">
        <v>4.7755000000000001</v>
      </c>
      <c r="G25" s="14">
        <v>10.3561</v>
      </c>
      <c r="H25" s="14">
        <v>22.500599999999999</v>
      </c>
      <c r="I25" s="14">
        <v>22.260400000000001</v>
      </c>
      <c r="J25" s="14">
        <v>17.6995</v>
      </c>
      <c r="K25" s="14">
        <v>7.1130000000000004</v>
      </c>
      <c r="L25" s="14">
        <v>16.529800000000002</v>
      </c>
      <c r="M25" s="14"/>
      <c r="N25" s="14"/>
      <c r="O25" s="14"/>
      <c r="P25" s="14"/>
      <c r="Q25"/>
      <c r="R25" s="11"/>
      <c r="S25" s="13">
        <v>41913</v>
      </c>
      <c r="T25" s="15">
        <v>5.8500000000000003E-2</v>
      </c>
      <c r="U25" s="15">
        <v>5.67E-2</v>
      </c>
      <c r="V25" s="15">
        <v>4.2700000000000002E-2</v>
      </c>
      <c r="W25" s="15">
        <v>2.5000000000000001E-2</v>
      </c>
      <c r="X25" s="15">
        <v>0</v>
      </c>
      <c r="Y25" s="15">
        <v>0</v>
      </c>
      <c r="Z25" s="15">
        <v>0</v>
      </c>
      <c r="AA25" s="15">
        <v>0</v>
      </c>
      <c r="AB25" s="15">
        <v>0</v>
      </c>
      <c r="AC25" s="15"/>
      <c r="AD25" s="15"/>
      <c r="AE25" s="15"/>
      <c r="AF25" s="15"/>
      <c r="AG25"/>
      <c r="AH25" s="10"/>
      <c r="AI25" s="13">
        <v>41913</v>
      </c>
      <c r="AJ25" s="15">
        <v>0.04</v>
      </c>
      <c r="AK25" s="15">
        <v>0.02</v>
      </c>
      <c r="AL25" s="15">
        <v>0.01</v>
      </c>
      <c r="AM25" s="15">
        <v>0.01</v>
      </c>
      <c r="AN25" s="15">
        <v>0</v>
      </c>
      <c r="AO25" s="15">
        <v>0</v>
      </c>
      <c r="AP25" s="15">
        <v>0</v>
      </c>
      <c r="AQ25" s="15">
        <v>0</v>
      </c>
      <c r="AR25" s="15">
        <v>0</v>
      </c>
      <c r="AS25" s="15"/>
      <c r="AT25" s="15"/>
      <c r="AU25" s="15"/>
      <c r="AV25" s="15"/>
      <c r="AW25"/>
      <c r="AX25" s="11"/>
      <c r="AY25" s="11"/>
      <c r="AZ25" s="13">
        <v>41913</v>
      </c>
      <c r="BA25" s="15">
        <v>0.24419934930955217</v>
      </c>
      <c r="BB25" s="15">
        <v>0.25146402216979941</v>
      </c>
      <c r="BC25" s="15">
        <v>0.24358036540553973</v>
      </c>
      <c r="BD25" s="15">
        <v>0.2387583447908169</v>
      </c>
      <c r="BE25" s="15">
        <v>0.25633474783678983</v>
      </c>
      <c r="BF25" s="15">
        <v>0.19170658184365805</v>
      </c>
      <c r="BG25" s="15">
        <v>0.3072914305202496</v>
      </c>
      <c r="BH25" s="15">
        <v>0.19704739462751367</v>
      </c>
      <c r="BI25" s="15">
        <v>0.1662330347431743</v>
      </c>
      <c r="BJ25" s="15"/>
      <c r="BK25" s="15"/>
      <c r="BL25" s="15"/>
      <c r="BM25" s="15"/>
      <c r="BN25"/>
    </row>
    <row r="26" spans="2:66" s="10" customFormat="1" ht="18" customHeight="1">
      <c r="C26" s="13">
        <v>41883</v>
      </c>
      <c r="D26" s="14">
        <v>6.4724000000000004</v>
      </c>
      <c r="E26" s="14">
        <v>5.3079999999999998</v>
      </c>
      <c r="F26" s="14">
        <v>5.1115000000000004</v>
      </c>
      <c r="G26" s="14">
        <v>7.5042999999999997</v>
      </c>
      <c r="H26" s="14">
        <v>13.198499999999999</v>
      </c>
      <c r="I26" s="14">
        <v>13.3165</v>
      </c>
      <c r="J26" s="14">
        <v>11.3437</v>
      </c>
      <c r="K26" s="14">
        <v>17.9786</v>
      </c>
      <c r="L26" s="14">
        <v>7.9057000000000004</v>
      </c>
      <c r="M26" s="14"/>
      <c r="N26" s="14"/>
      <c r="O26" s="14"/>
      <c r="P26" s="14"/>
      <c r="Q26"/>
      <c r="R26" s="11"/>
      <c r="S26" s="13">
        <v>41883</v>
      </c>
      <c r="T26" s="15">
        <v>5.0900000000000001E-2</v>
      </c>
      <c r="U26" s="15">
        <v>5.4300000000000001E-2</v>
      </c>
      <c r="V26" s="15">
        <v>2.86E-2</v>
      </c>
      <c r="W26" s="15">
        <v>3.9E-2</v>
      </c>
      <c r="X26" s="15">
        <v>0</v>
      </c>
      <c r="Y26" s="15">
        <v>0</v>
      </c>
      <c r="Z26" s="15">
        <v>0</v>
      </c>
      <c r="AA26" s="15">
        <v>6.1999999999999998E-3</v>
      </c>
      <c r="AB26" s="15">
        <v>0</v>
      </c>
      <c r="AC26" s="15"/>
      <c r="AD26" s="15"/>
      <c r="AE26" s="15"/>
      <c r="AF26" s="15"/>
      <c r="AG26"/>
      <c r="AI26" s="13">
        <v>41883</v>
      </c>
      <c r="AJ26" s="15">
        <v>0.03</v>
      </c>
      <c r="AK26" s="15">
        <v>0.01</v>
      </c>
      <c r="AL26" s="15">
        <v>0.01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/>
      <c r="AT26" s="15"/>
      <c r="AU26" s="15"/>
      <c r="AV26" s="15"/>
      <c r="AW26"/>
      <c r="AX26" s="11"/>
      <c r="AY26" s="11"/>
      <c r="AZ26" s="13">
        <v>41883</v>
      </c>
      <c r="BA26" s="15">
        <v>0.25668689206130668</v>
      </c>
      <c r="BB26" s="15">
        <v>0.2570188709447937</v>
      </c>
      <c r="BC26" s="15">
        <v>0.25084879073542232</v>
      </c>
      <c r="BD26" s="15">
        <v>0.22391729474885549</v>
      </c>
      <c r="BE26" s="15">
        <v>0.21848072705992422</v>
      </c>
      <c r="BF26" s="15">
        <v>0</v>
      </c>
      <c r="BG26" s="15">
        <v>0.26546245827528137</v>
      </c>
      <c r="BH26" s="15">
        <v>0.19867683813505874</v>
      </c>
      <c r="BI26" s="15">
        <v>0</v>
      </c>
      <c r="BJ26" s="15"/>
      <c r="BK26" s="15"/>
      <c r="BL26" s="15"/>
      <c r="BM26" s="15"/>
      <c r="BN26"/>
    </row>
    <row r="27" spans="2:66" s="10" customFormat="1" ht="18" customHeight="1">
      <c r="C27" s="13">
        <v>41852</v>
      </c>
      <c r="D27" s="14">
        <v>5.0166000000000004</v>
      </c>
      <c r="E27" s="14">
        <v>4.6874000000000002</v>
      </c>
      <c r="F27" s="14">
        <v>4.5701999999999998</v>
      </c>
      <c r="G27" s="14">
        <v>7.0224000000000002</v>
      </c>
      <c r="H27" s="14">
        <v>34.337400000000002</v>
      </c>
      <c r="I27" s="14"/>
      <c r="J27" s="14">
        <v>26.836099999999998</v>
      </c>
      <c r="K27" s="14"/>
      <c r="L27" s="14"/>
      <c r="M27" s="14"/>
      <c r="N27" s="14"/>
      <c r="O27" s="14"/>
      <c r="P27" s="14"/>
      <c r="Q27"/>
      <c r="R27" s="11"/>
      <c r="S27" s="13">
        <v>41852</v>
      </c>
      <c r="T27" s="15">
        <v>3.09E-2</v>
      </c>
      <c r="U27" s="15">
        <v>2.06E-2</v>
      </c>
      <c r="V27" s="15">
        <v>4.4900000000000002E-2</v>
      </c>
      <c r="W27" s="15">
        <v>3.3999999999999998E-3</v>
      </c>
      <c r="X27" s="15">
        <v>0</v>
      </c>
      <c r="Y27" s="15"/>
      <c r="Z27" s="15">
        <v>0</v>
      </c>
      <c r="AA27" s="15"/>
      <c r="AB27" s="15"/>
      <c r="AC27" s="15"/>
      <c r="AD27" s="15"/>
      <c r="AE27" s="15"/>
      <c r="AF27" s="15"/>
      <c r="AG27"/>
      <c r="AI27" s="13">
        <v>41852</v>
      </c>
      <c r="AJ27" s="15">
        <v>0.03</v>
      </c>
      <c r="AK27" s="15">
        <v>0.01</v>
      </c>
      <c r="AL27" s="15">
        <v>0</v>
      </c>
      <c r="AM27" s="15">
        <v>0</v>
      </c>
      <c r="AN27" s="15">
        <v>0</v>
      </c>
      <c r="AO27" s="15"/>
      <c r="AP27" s="15">
        <v>0</v>
      </c>
      <c r="AQ27" s="15"/>
      <c r="AR27" s="15"/>
      <c r="AS27" s="15"/>
      <c r="AT27" s="15"/>
      <c r="AU27" s="15"/>
      <c r="AV27" s="15"/>
      <c r="AW27"/>
      <c r="AX27" s="11"/>
      <c r="AY27" s="11"/>
      <c r="AZ27" s="13">
        <v>41852</v>
      </c>
      <c r="BA27" s="15">
        <v>0.2169147066530451</v>
      </c>
      <c r="BB27" s="15">
        <v>0.22145809990234147</v>
      </c>
      <c r="BC27" s="15">
        <v>0.21676206490169875</v>
      </c>
      <c r="BD27" s="15">
        <v>0.17743349699315508</v>
      </c>
      <c r="BE27" s="15">
        <v>0.18750273449471044</v>
      </c>
      <c r="BF27" s="15"/>
      <c r="BG27" s="15">
        <v>0.17774701574957941</v>
      </c>
      <c r="BH27" s="15"/>
      <c r="BI27" s="15"/>
      <c r="BJ27" s="15"/>
      <c r="BK27" s="15"/>
      <c r="BL27" s="15"/>
      <c r="BM27" s="15"/>
      <c r="BN27"/>
    </row>
    <row r="28" spans="2:66" s="10" customFormat="1" ht="18" customHeight="1">
      <c r="C28" s="13">
        <v>41821</v>
      </c>
      <c r="D28" s="14">
        <v>6.4720000000000004</v>
      </c>
      <c r="E28" s="14">
        <v>5.4923000000000002</v>
      </c>
      <c r="F28" s="14">
        <v>4.8250000000000002</v>
      </c>
      <c r="G28" s="14">
        <v>7.7906000000000004</v>
      </c>
      <c r="H28" s="14"/>
      <c r="I28" s="14"/>
      <c r="J28" s="14"/>
      <c r="K28" s="14"/>
      <c r="L28" s="14"/>
      <c r="M28" s="14"/>
      <c r="N28" s="14"/>
      <c r="O28" s="14"/>
      <c r="P28" s="14"/>
      <c r="Q28"/>
      <c r="R28" s="11"/>
      <c r="S28" s="13">
        <v>41821</v>
      </c>
      <c r="T28" s="15">
        <v>3.9800000000000002E-2</v>
      </c>
      <c r="U28" s="15">
        <v>2.58E-2</v>
      </c>
      <c r="V28" s="15">
        <v>2.6100000000000002E-2</v>
      </c>
      <c r="W28" s="15">
        <v>4.2799999999999998E-2</v>
      </c>
      <c r="X28" s="15"/>
      <c r="Y28" s="15"/>
      <c r="Z28" s="15"/>
      <c r="AA28" s="15"/>
      <c r="AB28" s="15"/>
      <c r="AC28" s="15"/>
      <c r="AD28" s="15"/>
      <c r="AE28" s="15"/>
      <c r="AF28" s="15"/>
      <c r="AG28"/>
      <c r="AI28" s="13">
        <v>41821</v>
      </c>
      <c r="AJ28" s="15">
        <v>0.02</v>
      </c>
      <c r="AK28" s="15">
        <v>0.01</v>
      </c>
      <c r="AL28" s="15">
        <v>0</v>
      </c>
      <c r="AM28" s="15">
        <v>0</v>
      </c>
      <c r="AN28" s="15"/>
      <c r="AO28" s="15"/>
      <c r="AP28" s="15"/>
      <c r="AQ28" s="15"/>
      <c r="AR28" s="15"/>
      <c r="AS28" s="15"/>
      <c r="AT28" s="15"/>
      <c r="AU28" s="15"/>
      <c r="AV28" s="15"/>
      <c r="AW28"/>
      <c r="AX28" s="11"/>
      <c r="AY28" s="11"/>
      <c r="AZ28" s="13">
        <v>41821</v>
      </c>
      <c r="BA28" s="15">
        <v>0.22194793062559817</v>
      </c>
      <c r="BB28" s="15">
        <v>0.22383653709816767</v>
      </c>
      <c r="BC28" s="15">
        <v>0.20239341257222757</v>
      </c>
      <c r="BD28" s="15">
        <v>0.18349704792402902</v>
      </c>
      <c r="BE28" s="15"/>
      <c r="BF28" s="15"/>
      <c r="BG28" s="15"/>
      <c r="BH28" s="15"/>
      <c r="BI28" s="15"/>
      <c r="BJ28" s="15"/>
      <c r="BK28" s="15"/>
      <c r="BL28" s="15"/>
      <c r="BM28" s="15"/>
      <c r="BN28"/>
    </row>
    <row r="29" spans="2:66" s="10" customFormat="1" ht="18" customHeight="1">
      <c r="C29" s="13">
        <v>41791</v>
      </c>
      <c r="D29" s="14">
        <v>6.9165999999999999</v>
      </c>
      <c r="E29" s="14">
        <v>5.8940999999999999</v>
      </c>
      <c r="F29" s="14">
        <v>5.3395999999999999</v>
      </c>
      <c r="G29" s="14">
        <v>8.5411999999999999</v>
      </c>
      <c r="H29" s="14"/>
      <c r="I29" s="14"/>
      <c r="J29" s="14"/>
      <c r="K29" s="14"/>
      <c r="L29" s="14"/>
      <c r="M29" s="14"/>
      <c r="N29" s="14"/>
      <c r="O29" s="14"/>
      <c r="P29" s="14"/>
      <c r="Q29"/>
      <c r="R29" s="11"/>
      <c r="S29" s="13">
        <v>41791</v>
      </c>
      <c r="T29" s="15">
        <v>3.8899999999999997E-2</v>
      </c>
      <c r="U29" s="15">
        <v>2.7699999999999999E-2</v>
      </c>
      <c r="V29" s="15">
        <v>3.0999999999999999E-3</v>
      </c>
      <c r="W29" s="15">
        <v>0</v>
      </c>
      <c r="X29" s="15"/>
      <c r="Y29" s="15"/>
      <c r="Z29" s="15"/>
      <c r="AA29" s="15"/>
      <c r="AB29" s="15"/>
      <c r="AC29" s="15"/>
      <c r="AD29" s="15"/>
      <c r="AE29" s="15"/>
      <c r="AF29" s="15"/>
      <c r="AG29"/>
      <c r="AI29" s="13">
        <v>41791</v>
      </c>
      <c r="AJ29" s="15">
        <v>0.02</v>
      </c>
      <c r="AK29" s="15">
        <v>0</v>
      </c>
      <c r="AL29" s="15">
        <v>0</v>
      </c>
      <c r="AM29" s="15">
        <v>0</v>
      </c>
      <c r="AN29" s="15"/>
      <c r="AO29" s="15"/>
      <c r="AP29" s="15"/>
      <c r="AQ29" s="15"/>
      <c r="AR29" s="15"/>
      <c r="AS29" s="15"/>
      <c r="AT29" s="15"/>
      <c r="AU29" s="15"/>
      <c r="AV29" s="15"/>
      <c r="AW29"/>
      <c r="AX29" s="11"/>
      <c r="AY29" s="11"/>
      <c r="AZ29" s="13">
        <v>41791</v>
      </c>
      <c r="BA29" s="15">
        <v>0.18080148243312563</v>
      </c>
      <c r="BB29" s="15">
        <v>0.19825996525561487</v>
      </c>
      <c r="BC29" s="15">
        <v>0.16926852605984863</v>
      </c>
      <c r="BD29" s="15">
        <v>0.16220678949680692</v>
      </c>
      <c r="BE29" s="15"/>
      <c r="BF29" s="15"/>
      <c r="BG29" s="15"/>
      <c r="BH29" s="15"/>
      <c r="BI29" s="15"/>
      <c r="BJ29" s="15"/>
      <c r="BK29" s="15"/>
      <c r="BL29" s="15"/>
      <c r="BM29" s="15"/>
      <c r="BN29"/>
    </row>
    <row r="30" spans="2:66" s="10" customFormat="1" ht="18" customHeight="1">
      <c r="C30" s="13">
        <v>41760</v>
      </c>
      <c r="D30" s="14">
        <v>7.3971999999999998</v>
      </c>
      <c r="E30" s="14">
        <v>5.7789000000000001</v>
      </c>
      <c r="F30" s="14">
        <v>5.5388000000000002</v>
      </c>
      <c r="G30" s="14">
        <v>8.6524000000000001</v>
      </c>
      <c r="H30" s="14"/>
      <c r="I30" s="14"/>
      <c r="J30" s="14"/>
      <c r="K30" s="14"/>
      <c r="L30" s="14"/>
      <c r="M30" s="14"/>
      <c r="N30" s="14"/>
      <c r="O30" s="14"/>
      <c r="P30" s="14"/>
      <c r="Q30"/>
      <c r="R30" s="11"/>
      <c r="S30" s="13">
        <v>41760</v>
      </c>
      <c r="T30" s="15">
        <v>5.04E-2</v>
      </c>
      <c r="U30" s="15">
        <v>2.12E-2</v>
      </c>
      <c r="V30" s="15">
        <v>1.5599999999999999E-2</v>
      </c>
      <c r="W30" s="15">
        <v>0</v>
      </c>
      <c r="X30" s="15"/>
      <c r="Y30" s="15"/>
      <c r="Z30" s="15"/>
      <c r="AA30" s="15"/>
      <c r="AB30" s="15"/>
      <c r="AC30" s="15"/>
      <c r="AD30" s="15"/>
      <c r="AE30" s="15"/>
      <c r="AF30" s="15"/>
      <c r="AG30"/>
      <c r="AI30" s="13">
        <v>41760</v>
      </c>
      <c r="AJ30" s="15">
        <v>0.02</v>
      </c>
      <c r="AK30" s="15">
        <v>0</v>
      </c>
      <c r="AL30" s="15">
        <v>0</v>
      </c>
      <c r="AM30" s="15">
        <v>0</v>
      </c>
      <c r="AN30" s="15"/>
      <c r="AO30" s="15"/>
      <c r="AP30" s="15"/>
      <c r="AQ30" s="15"/>
      <c r="AR30" s="15"/>
      <c r="AS30" s="15"/>
      <c r="AT30" s="15"/>
      <c r="AU30" s="15"/>
      <c r="AV30" s="15"/>
      <c r="AW30"/>
      <c r="AX30" s="11"/>
      <c r="AY30" s="11"/>
      <c r="AZ30" s="13">
        <v>41760</v>
      </c>
      <c r="BA30" s="15">
        <v>0.1742149172942529</v>
      </c>
      <c r="BB30" s="15">
        <v>0.20610782018602572</v>
      </c>
      <c r="BC30" s="15">
        <v>0.1379372649183698</v>
      </c>
      <c r="BD30" s="15">
        <v>0.15944404332331152</v>
      </c>
      <c r="BE30" s="15"/>
      <c r="BF30" s="15"/>
      <c r="BG30" s="15"/>
      <c r="BH30" s="15"/>
      <c r="BI30" s="15"/>
      <c r="BJ30" s="15"/>
      <c r="BK30" s="15"/>
      <c r="BL30" s="15"/>
      <c r="BM30" s="15"/>
      <c r="BN30"/>
    </row>
    <row r="31" spans="2:66" s="10" customFormat="1" ht="18" customHeight="1">
      <c r="C31" s="13">
        <v>41730</v>
      </c>
      <c r="D31" s="14">
        <v>5.8136999999999999</v>
      </c>
      <c r="E31" s="14">
        <v>5.2506000000000004</v>
      </c>
      <c r="F31" s="14">
        <v>4.7267999999999999</v>
      </c>
      <c r="G31" s="14">
        <v>14.718299999999999</v>
      </c>
      <c r="H31" s="14"/>
      <c r="I31" s="14"/>
      <c r="J31" s="14"/>
      <c r="K31" s="14"/>
      <c r="L31" s="14"/>
      <c r="M31" s="14"/>
      <c r="N31" s="14"/>
      <c r="O31" s="14"/>
      <c r="P31" s="14"/>
      <c r="Q31"/>
      <c r="R31" s="11"/>
      <c r="S31" s="13">
        <v>41730</v>
      </c>
      <c r="T31" s="15">
        <v>5.5599999999999997E-2</v>
      </c>
      <c r="U31" s="15">
        <v>1.7299999999999999E-2</v>
      </c>
      <c r="V31" s="15">
        <v>0</v>
      </c>
      <c r="W31" s="15">
        <v>0</v>
      </c>
      <c r="X31" s="15"/>
      <c r="Y31" s="15"/>
      <c r="Z31" s="15"/>
      <c r="AA31" s="15"/>
      <c r="AB31" s="15"/>
      <c r="AC31" s="15"/>
      <c r="AD31" s="15"/>
      <c r="AE31" s="15"/>
      <c r="AF31" s="15"/>
      <c r="AG31"/>
      <c r="AI31" s="13">
        <v>41730</v>
      </c>
      <c r="AJ31" s="15">
        <v>0.01</v>
      </c>
      <c r="AK31" s="15">
        <v>0</v>
      </c>
      <c r="AL31" s="15">
        <v>0</v>
      </c>
      <c r="AM31" s="15">
        <v>0</v>
      </c>
      <c r="AN31" s="15"/>
      <c r="AO31" s="15"/>
      <c r="AP31" s="15"/>
      <c r="AQ31" s="15"/>
      <c r="AR31" s="15"/>
      <c r="AS31" s="15"/>
      <c r="AT31" s="15"/>
      <c r="AU31" s="15"/>
      <c r="AV31" s="15"/>
      <c r="AW31"/>
      <c r="AX31" s="11"/>
      <c r="AY31" s="11"/>
      <c r="AZ31" s="13">
        <v>41730</v>
      </c>
      <c r="BA31" s="15">
        <v>0.17641106928362413</v>
      </c>
      <c r="BB31" s="15">
        <v>0.20046795170412454</v>
      </c>
      <c r="BC31" s="15">
        <v>0.11277179985904995</v>
      </c>
      <c r="BD31" s="15">
        <v>0.12582498026457525</v>
      </c>
      <c r="BE31" s="15"/>
      <c r="BF31" s="15"/>
      <c r="BG31" s="15"/>
      <c r="BH31" s="15"/>
      <c r="BI31" s="15"/>
      <c r="BJ31" s="15"/>
      <c r="BK31" s="15"/>
      <c r="BL31" s="15"/>
      <c r="BM31" s="15"/>
      <c r="BN31"/>
    </row>
    <row r="32" spans="2:66" s="10" customFormat="1" ht="18" customHeight="1">
      <c r="C32" s="13">
        <v>41699</v>
      </c>
      <c r="D32" s="14">
        <v>3.9773000000000001</v>
      </c>
      <c r="E32" s="14">
        <v>3.9352999999999998</v>
      </c>
      <c r="F32" s="14">
        <v>3.8881000000000001</v>
      </c>
      <c r="G32" s="14"/>
      <c r="H32" s="14"/>
      <c r="I32" s="14"/>
      <c r="J32" s="14"/>
      <c r="K32" s="14"/>
      <c r="L32" s="14"/>
      <c r="M32" s="14"/>
      <c r="N32" s="14"/>
      <c r="O32" s="14"/>
      <c r="P32" s="14"/>
      <c r="Q32"/>
      <c r="R32" s="11"/>
      <c r="S32" s="13">
        <v>41699</v>
      </c>
      <c r="T32" s="15">
        <v>8.3900000000000002E-2</v>
      </c>
      <c r="U32" s="15">
        <v>3.9E-2</v>
      </c>
      <c r="V32" s="15">
        <v>0</v>
      </c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/>
      <c r="AI32" s="13">
        <v>41699</v>
      </c>
      <c r="AJ32" s="15">
        <v>0.01</v>
      </c>
      <c r="AK32" s="15">
        <v>0</v>
      </c>
      <c r="AL32" s="15">
        <v>0</v>
      </c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/>
      <c r="AX32" s="11"/>
      <c r="AY32" s="11"/>
      <c r="AZ32" s="13">
        <v>41699</v>
      </c>
      <c r="BA32" s="15">
        <v>0.2876385478091566</v>
      </c>
      <c r="BB32" s="15">
        <v>0.24791712180865094</v>
      </c>
      <c r="BC32" s="15">
        <v>0.15226672684829901</v>
      </c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/>
    </row>
    <row r="33" spans="3:66" s="10" customFormat="1" ht="18" customHeight="1">
      <c r="C33" s="13">
        <v>41671</v>
      </c>
      <c r="D33" s="14">
        <v>3.8313999999999999</v>
      </c>
      <c r="E33" s="14">
        <v>3.6274999999999999</v>
      </c>
      <c r="F33" s="14">
        <v>7.4269999999999996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/>
      <c r="R33" s="11"/>
      <c r="S33" s="13">
        <v>41671</v>
      </c>
      <c r="T33" s="15">
        <v>1.9E-2</v>
      </c>
      <c r="U33" s="15">
        <v>8.9999999999999993E-3</v>
      </c>
      <c r="V33" s="15">
        <v>0</v>
      </c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/>
      <c r="AI33" s="13">
        <v>41671</v>
      </c>
      <c r="AJ33" s="15">
        <v>0</v>
      </c>
      <c r="AK33" s="15">
        <v>0</v>
      </c>
      <c r="AL33" s="15">
        <v>0</v>
      </c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/>
      <c r="AX33" s="11"/>
      <c r="AY33" s="11"/>
      <c r="AZ33" s="13">
        <v>41671</v>
      </c>
      <c r="BA33" s="15">
        <v>0.23021683029496079</v>
      </c>
      <c r="BB33" s="15">
        <v>0.17825470643351868</v>
      </c>
      <c r="BC33" s="15">
        <v>8.3035215336207974E-2</v>
      </c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/>
    </row>
    <row r="34" spans="3:66" s="10" customFormat="1" ht="18" customHeight="1">
      <c r="C34" s="13">
        <v>41640</v>
      </c>
      <c r="D34" s="14">
        <v>2.976</v>
      </c>
      <c r="E34" s="14">
        <v>2.6267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/>
      <c r="R34" s="11"/>
      <c r="S34" s="13">
        <v>41640</v>
      </c>
      <c r="T34" s="15">
        <v>0.03</v>
      </c>
      <c r="U34" s="15">
        <v>0</v>
      </c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/>
      <c r="AI34" s="13">
        <v>41640</v>
      </c>
      <c r="AJ34" s="15">
        <v>0</v>
      </c>
      <c r="AK34" s="15"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/>
      <c r="AX34" s="11"/>
      <c r="AY34" s="11"/>
      <c r="AZ34" s="13">
        <v>41640</v>
      </c>
      <c r="BA34" s="15">
        <v>0.21894667321964048</v>
      </c>
      <c r="BB34" s="15">
        <v>0.18421270287605088</v>
      </c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/>
    </row>
    <row r="35" spans="3:66" s="10" customFormat="1" ht="18" customHeight="1">
      <c r="C35" s="13">
        <v>41609</v>
      </c>
      <c r="D35" s="14">
        <v>3.1396999999999999</v>
      </c>
      <c r="E35" s="14">
        <v>2.5486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/>
      <c r="R35" s="11"/>
      <c r="S35" s="13">
        <v>41609</v>
      </c>
      <c r="T35" s="15">
        <v>1.66E-2</v>
      </c>
      <c r="U35" s="15">
        <v>0</v>
      </c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/>
      <c r="AI35" s="13">
        <v>41609</v>
      </c>
      <c r="AJ35" s="15">
        <v>0</v>
      </c>
      <c r="AK35" s="15"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/>
      <c r="AX35" s="11"/>
      <c r="AY35" s="11"/>
      <c r="AZ35" s="13">
        <v>41609</v>
      </c>
      <c r="BA35" s="15">
        <v>0.2170049043778646</v>
      </c>
      <c r="BB35" s="15">
        <v>0.17538831299275423</v>
      </c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/>
    </row>
    <row r="36" spans="3:66" s="10" customFormat="1" ht="18" customHeight="1">
      <c r="C36" s="13">
        <v>41579</v>
      </c>
      <c r="D36" s="14">
        <v>3.7277999999999998</v>
      </c>
      <c r="E36" s="14">
        <v>8.3688000000000002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/>
      <c r="R36" s="11"/>
      <c r="S36" s="13">
        <v>41579</v>
      </c>
      <c r="T36" s="15">
        <v>5.4000000000000003E-3</v>
      </c>
      <c r="U36" s="15">
        <v>0</v>
      </c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/>
      <c r="AI36" s="13">
        <v>41579</v>
      </c>
      <c r="AJ36" s="15">
        <v>0</v>
      </c>
      <c r="AK36" s="15"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/>
      <c r="AX36" s="11"/>
      <c r="AY36" s="11"/>
      <c r="AZ36" s="13">
        <v>41579</v>
      </c>
      <c r="BA36" s="15">
        <v>0.15094332223427495</v>
      </c>
      <c r="BB36" s="15">
        <v>0.11134998982287603</v>
      </c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/>
    </row>
    <row r="37" spans="3:66" s="10" customFormat="1" ht="18" customHeight="1">
      <c r="C37" s="13">
        <v>41548</v>
      </c>
      <c r="D37" s="14">
        <v>3.5990000000000002</v>
      </c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/>
      <c r="R37" s="11"/>
      <c r="S37" s="13">
        <v>41548</v>
      </c>
      <c r="T37" s="15">
        <v>0</v>
      </c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/>
      <c r="AI37" s="13">
        <v>41548</v>
      </c>
      <c r="AJ37" s="15">
        <v>0</v>
      </c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/>
      <c r="AX37" s="11"/>
      <c r="AY37" s="11"/>
      <c r="AZ37" s="13">
        <v>41548</v>
      </c>
      <c r="BA37" s="15">
        <v>0.15484221430720771</v>
      </c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/>
    </row>
    <row r="38" spans="3:66" s="10" customFormat="1" ht="18" customHeight="1">
      <c r="C38" s="13">
        <v>41518</v>
      </c>
      <c r="D38" s="14">
        <v>3.9026999999999998</v>
      </c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/>
      <c r="R38" s="11"/>
      <c r="S38" s="13">
        <v>41518</v>
      </c>
      <c r="T38" s="15">
        <v>0</v>
      </c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/>
      <c r="AI38" s="13">
        <v>41518</v>
      </c>
      <c r="AJ38" s="15">
        <v>0</v>
      </c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/>
      <c r="AX38" s="11"/>
      <c r="AY38" s="11"/>
      <c r="AZ38" s="13">
        <v>41518</v>
      </c>
      <c r="BA38" s="15">
        <v>0.1374029242023628</v>
      </c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/>
    </row>
    <row r="39" spans="3:66" s="10" customFormat="1" ht="18" customHeight="1">
      <c r="C39" s="13">
        <v>41487</v>
      </c>
      <c r="D39" s="14">
        <v>3.7195999999999998</v>
      </c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/>
      <c r="R39" s="11"/>
      <c r="S39" s="13">
        <v>41487</v>
      </c>
      <c r="T39" s="15">
        <v>0</v>
      </c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/>
      <c r="AI39" s="13">
        <v>41487</v>
      </c>
      <c r="AJ39" s="15">
        <v>0</v>
      </c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/>
      <c r="AX39" s="11"/>
      <c r="AY39" s="11"/>
      <c r="AZ39" s="13">
        <v>41487</v>
      </c>
      <c r="BA39" s="15">
        <v>0.10356345223757837</v>
      </c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/>
    </row>
    <row r="40" spans="3:66" s="10" customFormat="1" ht="18" customHeight="1">
      <c r="C40" s="13">
        <v>41456</v>
      </c>
      <c r="D40" s="14">
        <v>5.2968000000000002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/>
      <c r="R40" s="11"/>
      <c r="S40" s="13">
        <v>41456</v>
      </c>
      <c r="T40" s="15">
        <v>0</v>
      </c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/>
      <c r="AI40" s="13">
        <v>41456</v>
      </c>
      <c r="AJ40" s="15">
        <v>0</v>
      </c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/>
      <c r="AX40" s="11"/>
      <c r="AY40" s="11"/>
      <c r="AZ40" s="13">
        <v>41456</v>
      </c>
      <c r="BA40" s="15">
        <v>0.12667221826199235</v>
      </c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/>
    </row>
    <row r="41" spans="3:66" s="10" customFormat="1" ht="18" customHeight="1">
      <c r="C41" s="16">
        <v>41426</v>
      </c>
      <c r="D41" s="17">
        <v>7.1894999999999998</v>
      </c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/>
      <c r="R41" s="11"/>
      <c r="S41" s="16">
        <v>41426</v>
      </c>
      <c r="T41" s="18">
        <v>0</v>
      </c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/>
      <c r="AI41" s="16">
        <v>41426</v>
      </c>
      <c r="AJ41" s="18">
        <v>0</v>
      </c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/>
      <c r="AX41" s="11"/>
      <c r="AY41" s="11"/>
      <c r="AZ41" s="16">
        <v>41426</v>
      </c>
      <c r="BA41" s="18">
        <v>0</v>
      </c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/>
    </row>
    <row r="42" spans="3:66" ht="17.25" customHeight="1">
      <c r="R42" s="4"/>
    </row>
    <row r="43" spans="3:66" ht="17.25" customHeight="1"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4"/>
      <c r="S43" s="5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</row>
    <row r="44" spans="3:66" ht="17.25" customHeight="1"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4"/>
      <c r="R44" s="4"/>
      <c r="S44" s="5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</row>
    <row r="45" spans="3:66" ht="17.25" customHeight="1">
      <c r="C45" s="5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3:66" ht="17.25" customHeight="1"/>
    <row r="48" spans="3:66" s="50" customFormat="1" ht="25.5" customHeight="1"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</row>
    <row r="49" spans="33:46" s="10" customFormat="1"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3:46" s="10" customFormat="1" ht="18" customHeight="1"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33:46" s="10" customFormat="1" ht="18" customHeight="1"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33:46" s="10" customFormat="1" ht="18" customHeight="1"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33:46" s="10" customFormat="1" ht="18" customHeight="1"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33:46" s="10" customFormat="1" ht="18" customHeight="1"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33:46" s="10" customFormat="1" ht="18" customHeight="1"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33:46" s="10" customFormat="1" ht="18" customHeight="1"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33:46" s="10" customFormat="1" ht="18" customHeight="1"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33:46" s="10" customFormat="1" ht="18" customHeight="1"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33:46" s="10" customFormat="1" ht="18" customHeight="1"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33:46" s="10" customFormat="1" ht="18" customHeight="1"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33:46" s="10" customFormat="1" ht="18" customHeight="1"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33:46" s="10" customFormat="1" ht="18" customHeight="1"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33:46" s="10" customFormat="1" ht="18" customHeight="1"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33:46" s="10" customFormat="1" ht="18" customHeight="1"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3:46" s="10" customFormat="1" ht="18" customHeight="1"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3:46" s="10" customFormat="1" ht="18" customHeight="1"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3:46" s="10" customFormat="1" ht="18" customHeight="1"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3:46" s="10" customFormat="1" ht="18" customHeight="1"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3:46" s="10" customFormat="1" ht="18" customHeight="1"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3:46" s="10" customFormat="1" ht="18" customHeight="1"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3:46" s="10" customFormat="1" ht="18" customHeight="1"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3:46" s="10" customFormat="1" ht="18" customHeight="1"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3:46" hidden="1">
      <c r="C73" s="5"/>
      <c r="D73" s="8">
        <v>0.1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4"/>
      <c r="R73" s="4"/>
    </row>
    <row r="74" spans="3:46">
      <c r="C74" s="5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4"/>
      <c r="R74" s="4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</row>
  </sheetData>
  <mergeCells count="4">
    <mergeCell ref="C15:P15"/>
    <mergeCell ref="S15:AF15"/>
    <mergeCell ref="AI15:AV15"/>
    <mergeCell ref="AZ15:BM15"/>
  </mergeCells>
  <conditionalFormatting sqref="D73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D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D43:P43">
    <cfRule type="dataBar" priority="5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43:AF43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conditionalFormatting pivot="1" sqref="D18:P41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{86A234C5-DE6D-443B-BBAF-37C116FA5CA4}</x14:id>
        </ext>
      </extLst>
    </cfRule>
  </conditionalFormatting>
  <conditionalFormatting pivot="1" sqref="T18:AF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{BB801BD7-CD29-464B-8632-43E02C412240}</x14:id>
        </ext>
      </extLst>
    </cfRule>
  </conditionalFormatting>
  <conditionalFormatting pivot="1" sqref="AJ18:AV41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{505FB77C-6838-47EB-8D37-3E771783E5DF}</x14:id>
        </ext>
      </extLst>
    </cfRule>
  </conditionalFormatting>
  <pageMargins left="0.25" right="0.25" top="0.255" bottom="0.25" header="0.1" footer="0.1"/>
  <pageSetup scale="37" orientation="landscape" horizontalDpi="300" verticalDpi="300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5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T43:AF43</xm:sqref>
        </x14:conditionalFormatting>
        <x14:conditionalFormatting xmlns:xm="http://schemas.microsoft.com/office/excel/2006/main" pivot="1">
          <x14:cfRule type="dataBar" id="{86A234C5-DE6D-443B-BBAF-37C116FA5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D18:P41</xm:sqref>
        </x14:conditionalFormatting>
        <x14:conditionalFormatting xmlns:xm="http://schemas.microsoft.com/office/excel/2006/main" pivot="1">
          <x14:cfRule type="dataBar" id="{BB801BD7-CD29-464B-8632-43E02C4122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T18:AF41</xm:sqref>
        </x14:conditionalFormatting>
        <x14:conditionalFormatting xmlns:xm="http://schemas.microsoft.com/office/excel/2006/main" pivot="1">
          <x14:cfRule type="dataBar" id="{505FB77C-6838-47EB-8D37-3E771783E5D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AJ18:AV41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17"/>
  <sheetViews>
    <sheetView workbookViewId="0">
      <selection activeCell="B3" sqref="B3:AE17"/>
    </sheetView>
  </sheetViews>
  <sheetFormatPr defaultRowHeight="15"/>
  <sheetData>
    <row r="3" spans="2:31">
      <c r="B3" s="45" t="s">
        <v>35</v>
      </c>
      <c r="C3" s="45" t="s">
        <v>36</v>
      </c>
      <c r="D3" s="45" t="s">
        <v>21</v>
      </c>
      <c r="E3" s="45" t="s">
        <v>22</v>
      </c>
      <c r="F3" s="45" t="s">
        <v>23</v>
      </c>
      <c r="G3" s="45" t="s">
        <v>37</v>
      </c>
      <c r="H3" s="45" t="s">
        <v>38</v>
      </c>
      <c r="I3" s="45" t="s">
        <v>39</v>
      </c>
      <c r="J3" s="45" t="s">
        <v>40</v>
      </c>
      <c r="K3" s="45" t="s">
        <v>41</v>
      </c>
      <c r="L3" s="45" t="s">
        <v>42</v>
      </c>
      <c r="M3" s="45" t="s">
        <v>43</v>
      </c>
      <c r="N3" s="45" t="s">
        <v>44</v>
      </c>
      <c r="O3" s="45" t="s">
        <v>45</v>
      </c>
      <c r="P3" s="45" t="s">
        <v>46</v>
      </c>
      <c r="Q3" s="45" t="s">
        <v>47</v>
      </c>
      <c r="R3" s="45" t="s">
        <v>48</v>
      </c>
      <c r="S3" s="45" t="s">
        <v>49</v>
      </c>
      <c r="T3" s="45" t="s">
        <v>50</v>
      </c>
      <c r="U3" s="45" t="s">
        <v>51</v>
      </c>
      <c r="V3" s="45" t="s">
        <v>52</v>
      </c>
      <c r="W3" s="45" t="s">
        <v>53</v>
      </c>
      <c r="X3" s="45" t="s">
        <v>54</v>
      </c>
      <c r="Y3" s="45" t="s">
        <v>55</v>
      </c>
      <c r="Z3" s="45" t="s">
        <v>56</v>
      </c>
      <c r="AA3" s="45" t="s">
        <v>57</v>
      </c>
      <c r="AB3" s="45" t="s">
        <v>58</v>
      </c>
      <c r="AC3" s="45" t="s">
        <v>59</v>
      </c>
      <c r="AD3" s="45" t="s">
        <v>60</v>
      </c>
      <c r="AE3" s="45" t="s">
        <v>61</v>
      </c>
    </row>
    <row r="4" spans="2:31">
      <c r="B4" t="s">
        <v>62</v>
      </c>
      <c r="C4" t="s">
        <v>63</v>
      </c>
      <c r="D4">
        <v>84793</v>
      </c>
      <c r="E4">
        <v>18844871637.860001</v>
      </c>
      <c r="F4">
        <v>20248789000</v>
      </c>
      <c r="G4">
        <v>34.160833355208474</v>
      </c>
      <c r="H4">
        <v>3.8292562292607979</v>
      </c>
      <c r="I4">
        <v>3.8292601897346517</v>
      </c>
      <c r="J4">
        <v>74.826692598710054</v>
      </c>
      <c r="K4">
        <v>75.582367490546417</v>
      </c>
      <c r="L4">
        <v>60.61871410066879</v>
      </c>
      <c r="M4">
        <v>32.199716089737045</v>
      </c>
      <c r="N4">
        <v>766.69279975411825</v>
      </c>
      <c r="O4">
        <v>306098.61692109733</v>
      </c>
      <c r="P4">
        <v>0</v>
      </c>
      <c r="Q4">
        <v>7.0286712970702603E-2</v>
      </c>
      <c r="R4">
        <v>0.10501414254232247</v>
      </c>
      <c r="S4">
        <v>0.63129471675833448</v>
      </c>
      <c r="T4">
        <v>2.3630007779695771E-2</v>
      </c>
      <c r="U4">
        <v>0.71571042737819468</v>
      </c>
      <c r="V4">
        <v>0.89395305003696268</v>
      </c>
      <c r="W4">
        <v>0.40084822924629987</v>
      </c>
      <c r="X4">
        <v>0.14074761608889366</v>
      </c>
      <c r="Y4">
        <v>0.99739476567293961</v>
      </c>
      <c r="Z4">
        <v>2.6052343270604097E-3</v>
      </c>
      <c r="AA4">
        <v>0.97746113060718975</v>
      </c>
      <c r="AB4">
        <v>1.9933635065749803E-2</v>
      </c>
      <c r="AC4">
        <v>2.3315077000433965E-3</v>
      </c>
      <c r="AD4">
        <v>2.7372662701701347E-4</v>
      </c>
      <c r="AE4">
        <v>1.0632613150701928E-4</v>
      </c>
    </row>
    <row r="5" spans="2:31">
      <c r="B5" s="45" t="s">
        <v>64</v>
      </c>
      <c r="C5" s="45" t="s">
        <v>65</v>
      </c>
      <c r="D5" s="45">
        <v>132693</v>
      </c>
      <c r="E5" s="45">
        <v>30868963894.860001</v>
      </c>
      <c r="F5" s="45">
        <v>32744707000</v>
      </c>
      <c r="G5" s="45">
        <v>28.388378680159597</v>
      </c>
      <c r="H5" s="45">
        <v>3.5940966808970574</v>
      </c>
      <c r="I5" s="45">
        <v>3.5941145618536998</v>
      </c>
      <c r="J5" s="45">
        <v>74.283992916362493</v>
      </c>
      <c r="K5" s="45">
        <v>75.279818992311178</v>
      </c>
      <c r="L5" s="45">
        <v>61.599118717611773</v>
      </c>
      <c r="M5" s="45">
        <v>32.138041426937541</v>
      </c>
      <c r="N5" s="45">
        <v>764.25690807350782</v>
      </c>
      <c r="O5" s="45">
        <v>313353.88862311956</v>
      </c>
      <c r="P5" s="45">
        <v>0</v>
      </c>
      <c r="Q5" s="45">
        <v>9.3519772610854993E-2</v>
      </c>
      <c r="R5" s="45">
        <v>7.4736240114756311E-2</v>
      </c>
      <c r="S5" s="45">
        <v>0.60931048166284119</v>
      </c>
      <c r="T5" s="45">
        <v>2.8841972311168102E-2</v>
      </c>
      <c r="U5" s="45">
        <v>0.67373260854385153</v>
      </c>
      <c r="V5" s="45">
        <v>0.88653955961789876</v>
      </c>
      <c r="W5" s="45">
        <v>0.26778516042439687</v>
      </c>
      <c r="X5" s="45">
        <v>0.12214959030185814</v>
      </c>
      <c r="Y5" s="45">
        <v>0.99676694991869752</v>
      </c>
      <c r="Z5" s="45">
        <v>3.2330500813024655E-3</v>
      </c>
      <c r="AA5" s="45">
        <v>0.97970960481915326</v>
      </c>
      <c r="AB5" s="45">
        <v>1.7057345099544294E-2</v>
      </c>
      <c r="AC5" s="45">
        <v>2.999283505444001E-3</v>
      </c>
      <c r="AD5" s="45">
        <v>2.3376657585846475E-4</v>
      </c>
      <c r="AE5" s="45">
        <v>1.1443076521878902E-4</v>
      </c>
    </row>
    <row r="6" spans="2:31">
      <c r="B6" s="45" t="s">
        <v>66</v>
      </c>
      <c r="C6" s="45" t="s">
        <v>67</v>
      </c>
      <c r="D6" s="45">
        <v>128194</v>
      </c>
      <c r="E6" s="45">
        <v>28730000635.919998</v>
      </c>
      <c r="F6" s="45">
        <v>30261960000</v>
      </c>
      <c r="G6" s="45">
        <v>25.215118808229086</v>
      </c>
      <c r="H6" s="45">
        <v>3.7159873508281023</v>
      </c>
      <c r="I6" s="45">
        <v>3.7159927862796875</v>
      </c>
      <c r="J6" s="45">
        <v>74.830815239667871</v>
      </c>
      <c r="K6" s="45">
        <v>75.722337139684356</v>
      </c>
      <c r="L6" s="45">
        <v>63.536959983013581</v>
      </c>
      <c r="M6" s="45">
        <v>32.83562607459271</v>
      </c>
      <c r="N6" s="45">
        <v>761.35779383456008</v>
      </c>
      <c r="O6" s="45">
        <v>302441.39287195506</v>
      </c>
      <c r="P6" s="45">
        <v>0</v>
      </c>
      <c r="Q6" s="45">
        <v>8.0487457430783713E-2</v>
      </c>
      <c r="R6" s="45">
        <v>0.11246820812945413</v>
      </c>
      <c r="S6" s="45">
        <v>0.58662336641470481</v>
      </c>
      <c r="T6" s="45">
        <v>3.2283576632099825E-2</v>
      </c>
      <c r="U6" s="45">
        <v>0.65722193410509666</v>
      </c>
      <c r="V6" s="45">
        <v>0.85746265877035666</v>
      </c>
      <c r="W6" s="45">
        <v>0.40785397233927956</v>
      </c>
      <c r="X6" s="45">
        <v>0.12274786113477829</v>
      </c>
      <c r="Y6" s="45">
        <v>0.99716946758858305</v>
      </c>
      <c r="Z6" s="45">
        <v>2.8305324114169103E-3</v>
      </c>
      <c r="AA6" s="45">
        <v>0.98149129867803875</v>
      </c>
      <c r="AB6" s="45">
        <v>1.5678168910544337E-2</v>
      </c>
      <c r="AC6" s="45">
        <v>2.6510414515889219E-3</v>
      </c>
      <c r="AD6" s="45">
        <v>1.7949095982798847E-4</v>
      </c>
      <c r="AE6" s="45">
        <v>8.4162055568383768E-5</v>
      </c>
    </row>
    <row r="7" spans="2:31">
      <c r="B7" s="45" t="s">
        <v>68</v>
      </c>
      <c r="C7" s="45" t="s">
        <v>69</v>
      </c>
      <c r="D7" s="45">
        <v>102690</v>
      </c>
      <c r="E7" s="45">
        <v>23516001945.110001</v>
      </c>
      <c r="F7" s="45">
        <v>24605428000</v>
      </c>
      <c r="G7" s="45">
        <v>22.542349212856827</v>
      </c>
      <c r="H7" s="45">
        <v>3.9738534854824619</v>
      </c>
      <c r="I7" s="45">
        <v>3.9738622374935595</v>
      </c>
      <c r="J7" s="45">
        <v>75.281709742869268</v>
      </c>
      <c r="K7" s="45">
        <v>76.339009535012721</v>
      </c>
      <c r="L7" s="45">
        <v>65.853191465946068</v>
      </c>
      <c r="M7" s="45">
        <v>33.067403096573123</v>
      </c>
      <c r="N7" s="45">
        <v>760.03980686219052</v>
      </c>
      <c r="O7" s="45">
        <v>303628.01495436393</v>
      </c>
      <c r="P7" s="45">
        <v>0</v>
      </c>
      <c r="Q7" s="45">
        <v>9.0462926605275426E-2</v>
      </c>
      <c r="R7" s="45">
        <v>0.15007943610303573</v>
      </c>
      <c r="S7" s="45">
        <v>0.58850832344431769</v>
      </c>
      <c r="T7" s="45">
        <v>2.9315808846637485E-2</v>
      </c>
      <c r="U7" s="45">
        <v>0.63689731530977478</v>
      </c>
      <c r="V7" s="45">
        <v>0.87896531170546788</v>
      </c>
      <c r="W7" s="45">
        <v>0.51999656120851712</v>
      </c>
      <c r="X7" s="45">
        <v>9.9023718611497474E-2</v>
      </c>
      <c r="Y7" s="45">
        <v>0.99657111943568422</v>
      </c>
      <c r="Z7" s="45">
        <v>3.4288805643157903E-3</v>
      </c>
      <c r="AA7" s="45">
        <v>0.98145424869508102</v>
      </c>
      <c r="AB7" s="45">
        <v>1.5116870740603144E-2</v>
      </c>
      <c r="AC7" s="45">
        <v>3.1259057012148986E-3</v>
      </c>
      <c r="AD7" s="45">
        <v>3.029748631008915E-4</v>
      </c>
      <c r="AE7" s="45">
        <v>7.4070098908211849E-5</v>
      </c>
    </row>
    <row r="8" spans="2:31">
      <c r="B8" s="45" t="s">
        <v>70</v>
      </c>
      <c r="C8" s="45" t="s">
        <v>71</v>
      </c>
      <c r="D8" s="45">
        <v>71708</v>
      </c>
      <c r="E8" s="45">
        <v>14903591509.59</v>
      </c>
      <c r="F8" s="45">
        <v>15465048000</v>
      </c>
      <c r="G8" s="45">
        <v>19.160845104267484</v>
      </c>
      <c r="H8" s="45">
        <v>4.5363102345626327</v>
      </c>
      <c r="I8" s="45">
        <v>4.5363102345626327</v>
      </c>
      <c r="J8" s="45">
        <v>75.917112759675746</v>
      </c>
      <c r="K8" s="45">
        <v>76.686157591043724</v>
      </c>
      <c r="L8" s="45">
        <v>68.293092302147272</v>
      </c>
      <c r="M8" s="45">
        <v>34.478418486754144</v>
      </c>
      <c r="N8" s="45">
        <v>753.80486724772629</v>
      </c>
      <c r="O8" s="45">
        <v>280501.71368464432</v>
      </c>
      <c r="P8" s="45">
        <v>0</v>
      </c>
      <c r="Q8" s="45">
        <v>6.2884593991115276E-2</v>
      </c>
      <c r="R8" s="45">
        <v>0.18928094221817579</v>
      </c>
      <c r="S8" s="45">
        <v>0.55742381848390743</v>
      </c>
      <c r="T8" s="45">
        <v>3.498935750717886E-2</v>
      </c>
      <c r="U8" s="45">
        <v>0.63150636996685361</v>
      </c>
      <c r="V8" s="45">
        <v>0.85486638953582639</v>
      </c>
      <c r="W8" s="45">
        <v>0.63627726128216144</v>
      </c>
      <c r="X8" s="45">
        <v>0.123663518429371</v>
      </c>
      <c r="Y8" s="45">
        <v>0.99467667261485604</v>
      </c>
      <c r="Z8" s="45">
        <v>5.3233273851439966E-3</v>
      </c>
      <c r="AA8" s="45">
        <v>0.97980849253575131</v>
      </c>
      <c r="AB8" s="45">
        <v>1.4868180079104702E-2</v>
      </c>
      <c r="AC8" s="45">
        <v>4.7958792002590466E-3</v>
      </c>
      <c r="AD8" s="45">
        <v>5.2744818488495015E-4</v>
      </c>
      <c r="AE8" s="45">
        <v>5.6965739396017301E-5</v>
      </c>
    </row>
    <row r="9" spans="2:31">
      <c r="B9" s="45" t="s">
        <v>72</v>
      </c>
      <c r="C9" s="45" t="s">
        <v>73</v>
      </c>
      <c r="D9" s="45">
        <v>59082</v>
      </c>
      <c r="E9" s="45">
        <v>12356174994.129999</v>
      </c>
      <c r="F9" s="45">
        <v>12760098000</v>
      </c>
      <c r="G9" s="45">
        <v>16.380754353403461</v>
      </c>
      <c r="H9" s="45">
        <v>4.5668291499254359</v>
      </c>
      <c r="I9" s="45">
        <v>4.5668291499254359</v>
      </c>
      <c r="J9" s="45">
        <v>75.876078813017998</v>
      </c>
      <c r="K9" s="45">
        <v>76.700996994193176</v>
      </c>
      <c r="L9" s="45">
        <v>69.302217548040446</v>
      </c>
      <c r="M9" s="45">
        <v>34.776090603203308</v>
      </c>
      <c r="N9" s="45">
        <v>751.52818465194696</v>
      </c>
      <c r="O9" s="45">
        <v>280695.3374305836</v>
      </c>
      <c r="P9" s="45">
        <v>0</v>
      </c>
      <c r="Q9" s="45">
        <v>6.7788188143006772E-2</v>
      </c>
      <c r="R9" s="45">
        <v>0.17352569864530049</v>
      </c>
      <c r="S9" s="45">
        <v>0.54743106271183606</v>
      </c>
      <c r="T9" s="45">
        <v>3.6391874004991054E-2</v>
      </c>
      <c r="U9" s="45">
        <v>0.6329560704251479</v>
      </c>
      <c r="V9" s="45">
        <v>0.84416041759729221</v>
      </c>
      <c r="W9" s="45">
        <v>0.60963829247470003</v>
      </c>
      <c r="X9" s="45">
        <v>0.11681066539893442</v>
      </c>
      <c r="Y9" s="45">
        <v>0.99529690135680282</v>
      </c>
      <c r="Z9" s="45">
        <v>4.7030986431972023E-3</v>
      </c>
      <c r="AA9" s="45">
        <v>0.98203506134418994</v>
      </c>
      <c r="AB9" s="45">
        <v>1.3261840012612883E-2</v>
      </c>
      <c r="AC9" s="45">
        <v>4.284710690416027E-3</v>
      </c>
      <c r="AD9" s="45">
        <v>4.1838795278117518E-4</v>
      </c>
      <c r="AE9" s="45">
        <v>0</v>
      </c>
    </row>
    <row r="10" spans="2:31">
      <c r="B10" s="45" t="s">
        <v>74</v>
      </c>
      <c r="C10" s="45" t="s">
        <v>75</v>
      </c>
      <c r="D10" s="45">
        <v>37981</v>
      </c>
      <c r="E10" s="45">
        <v>7919678628.1700001</v>
      </c>
      <c r="F10" s="45">
        <v>8182812000</v>
      </c>
      <c r="G10" s="45">
        <v>19.223525697994017</v>
      </c>
      <c r="H10" s="45">
        <v>4.551628633105123</v>
      </c>
      <c r="I10" s="45">
        <v>4.5515971531745052</v>
      </c>
      <c r="J10" s="45">
        <v>92.31413329539798</v>
      </c>
      <c r="K10" s="45">
        <v>92.324981048891971</v>
      </c>
      <c r="L10" s="45">
        <v>83.687363108518028</v>
      </c>
      <c r="M10" s="45">
        <v>34.722093165548237</v>
      </c>
      <c r="N10" s="45">
        <v>751.27795762989172</v>
      </c>
      <c r="O10" s="45">
        <v>257728.99219422165</v>
      </c>
      <c r="P10" s="45">
        <v>0.99801637525112175</v>
      </c>
      <c r="Q10" s="45">
        <v>1.6861054301499571E-3</v>
      </c>
      <c r="R10" s="45">
        <v>0.39643030257093492</v>
      </c>
      <c r="S10" s="45">
        <v>0.54258630000532393</v>
      </c>
      <c r="T10" s="45">
        <v>0</v>
      </c>
      <c r="U10" s="45">
        <v>0.60735330321117542</v>
      </c>
      <c r="V10" s="45">
        <v>0.99548008661075282</v>
      </c>
      <c r="W10" s="45">
        <v>0.90576257158019879</v>
      </c>
      <c r="X10" s="45">
        <v>7.9505437242154225E-2</v>
      </c>
      <c r="Y10" s="45">
        <v>0.99383550107875007</v>
      </c>
      <c r="Z10" s="45">
        <v>6.1644989212499184E-3</v>
      </c>
      <c r="AA10" s="45">
        <v>0.98018477958666084</v>
      </c>
      <c r="AB10" s="45">
        <v>1.3650721492089233E-2</v>
      </c>
      <c r="AC10" s="45">
        <v>5.4569332796255378E-3</v>
      </c>
      <c r="AD10" s="45">
        <v>7.0756564162438053E-4</v>
      </c>
      <c r="AE10" s="45">
        <v>8.9954897597229575E-5</v>
      </c>
    </row>
    <row r="11" spans="2:31">
      <c r="B11" s="45" t="s">
        <v>76</v>
      </c>
      <c r="C11" s="45" t="s">
        <v>77</v>
      </c>
      <c r="D11" s="45">
        <v>135963</v>
      </c>
      <c r="E11" s="45">
        <v>29875609801.369999</v>
      </c>
      <c r="F11" s="45">
        <v>31361353000</v>
      </c>
      <c r="G11" s="45">
        <v>25.212177659249964</v>
      </c>
      <c r="H11" s="45">
        <v>3.7966968497144258</v>
      </c>
      <c r="I11" s="45">
        <v>3.7966977189181481</v>
      </c>
      <c r="J11" s="45">
        <v>91.538060510031599</v>
      </c>
      <c r="K11" s="45">
        <v>91.562355822901722</v>
      </c>
      <c r="L11" s="45">
        <v>79.439633154000859</v>
      </c>
      <c r="M11" s="45">
        <v>33.148326786784679</v>
      </c>
      <c r="N11" s="45">
        <v>757.09097000118993</v>
      </c>
      <c r="O11" s="45">
        <v>274161.09979895339</v>
      </c>
      <c r="P11" s="45">
        <v>0.99930456339341245</v>
      </c>
      <c r="Q11" s="45">
        <v>3.9655796791323453E-3</v>
      </c>
      <c r="R11" s="45">
        <v>0.29719700246127995</v>
      </c>
      <c r="S11" s="45">
        <v>0.56621639503386079</v>
      </c>
      <c r="T11" s="45">
        <v>0</v>
      </c>
      <c r="U11" s="45">
        <v>0.62092425225440362</v>
      </c>
      <c r="V11" s="45">
        <v>0.99602556414347887</v>
      </c>
      <c r="W11" s="45">
        <v>0.71684535995606424</v>
      </c>
      <c r="X11" s="45">
        <v>7.7128833318218445E-2</v>
      </c>
      <c r="Y11" s="45">
        <v>0.99623484288729591</v>
      </c>
      <c r="Z11" s="45">
        <v>3.7651571127040808E-3</v>
      </c>
      <c r="AA11" s="45">
        <v>0.98681432852520601</v>
      </c>
      <c r="AB11" s="45">
        <v>9.4205143620899046E-3</v>
      </c>
      <c r="AC11" s="45">
        <v>3.2583719334002021E-3</v>
      </c>
      <c r="AD11" s="45">
        <v>5.0678517930387832E-4</v>
      </c>
      <c r="AE11" s="45">
        <v>1.9732516387764793E-5</v>
      </c>
    </row>
    <row r="12" spans="2:31">
      <c r="B12" s="45" t="s">
        <v>78</v>
      </c>
      <c r="C12" s="45" t="s">
        <v>79</v>
      </c>
      <c r="D12" s="45">
        <v>31630</v>
      </c>
      <c r="E12" s="45">
        <v>6632739546.4499998</v>
      </c>
      <c r="F12" s="45">
        <v>6823093000</v>
      </c>
      <c r="G12" s="45">
        <v>16.378479154456411</v>
      </c>
      <c r="H12" s="45">
        <v>4.5605805664145285</v>
      </c>
      <c r="I12" s="45">
        <v>4.5605126292845402</v>
      </c>
      <c r="J12" s="45">
        <v>92.369456020445057</v>
      </c>
      <c r="K12" s="45">
        <v>92.378822957986472</v>
      </c>
      <c r="L12" s="45">
        <v>84.837973658007954</v>
      </c>
      <c r="M12" s="45">
        <v>34.914017671664006</v>
      </c>
      <c r="N12" s="45">
        <v>748.63164981732359</v>
      </c>
      <c r="O12" s="45">
        <v>258772.95562326038</v>
      </c>
      <c r="P12" s="45">
        <v>0.99787556214572881</v>
      </c>
      <c r="Q12" s="45">
        <v>1.4654595860321971E-3</v>
      </c>
      <c r="R12" s="45">
        <v>0.39398331576861639</v>
      </c>
      <c r="S12" s="45">
        <v>0.53975274066446977</v>
      </c>
      <c r="T12" s="45">
        <v>0</v>
      </c>
      <c r="U12" s="45">
        <v>0.59680719831953377</v>
      </c>
      <c r="V12" s="45">
        <v>0.99510909148130766</v>
      </c>
      <c r="W12" s="45">
        <v>0.89881178197035971</v>
      </c>
      <c r="X12" s="45">
        <v>8.8609534730572051E-2</v>
      </c>
      <c r="Y12" s="45">
        <v>0.9940954436269156</v>
      </c>
      <c r="Z12" s="45">
        <v>5.9045563730843577E-3</v>
      </c>
      <c r="AA12" s="45">
        <v>0.98336518772562787</v>
      </c>
      <c r="AB12" s="45">
        <v>1.0730255901287789E-2</v>
      </c>
      <c r="AC12" s="45">
        <v>5.0841820342619731E-3</v>
      </c>
      <c r="AD12" s="45">
        <v>8.2037433882238434E-4</v>
      </c>
      <c r="AE12" s="45">
        <v>6.0388559990174706E-5</v>
      </c>
    </row>
    <row r="13" spans="2:31">
      <c r="B13" s="45" t="s">
        <v>80</v>
      </c>
      <c r="C13" s="45" t="s">
        <v>81</v>
      </c>
      <c r="D13" s="45">
        <v>107563</v>
      </c>
      <c r="E13" s="45">
        <v>23204440894.529999</v>
      </c>
      <c r="F13" s="45">
        <v>23801939000</v>
      </c>
      <c r="G13" s="45">
        <v>12.505718981802586</v>
      </c>
      <c r="H13" s="45">
        <v>4.519580303913048</v>
      </c>
      <c r="I13" s="45">
        <v>4.5195802139696912</v>
      </c>
      <c r="J13" s="45">
        <v>76.213677098987063</v>
      </c>
      <c r="K13" s="45">
        <v>77.015588711609738</v>
      </c>
      <c r="L13" s="45">
        <v>71.710370688618767</v>
      </c>
      <c r="M13" s="45">
        <v>34.480601611133359</v>
      </c>
      <c r="N13" s="45">
        <v>752.26310007983295</v>
      </c>
      <c r="O13" s="45">
        <v>284854.19919722789</v>
      </c>
      <c r="P13" s="45">
        <v>0</v>
      </c>
      <c r="Q13" s="45">
        <v>6.4889682685478817E-2</v>
      </c>
      <c r="R13" s="45">
        <v>0.19349497638050903</v>
      </c>
      <c r="S13" s="45">
        <v>0.552612513181164</v>
      </c>
      <c r="T13" s="45">
        <v>3.4019637397774465E-2</v>
      </c>
      <c r="U13" s="45">
        <v>0.61989908816940498</v>
      </c>
      <c r="V13" s="45">
        <v>0.84966590518488516</v>
      </c>
      <c r="W13" s="45">
        <v>0.67181533554444872</v>
      </c>
      <c r="X13" s="45">
        <v>0.13026393858869248</v>
      </c>
      <c r="Y13" s="45">
        <v>0.99645083610355745</v>
      </c>
      <c r="Z13" s="45">
        <v>3.5491638964425093E-3</v>
      </c>
      <c r="AA13" s="45">
        <v>0.98926828604007855</v>
      </c>
      <c r="AB13" s="45">
        <v>7.1825500634789506E-3</v>
      </c>
      <c r="AC13" s="45">
        <v>3.4281744029761182E-3</v>
      </c>
      <c r="AD13" s="45">
        <v>1.2098949346639127E-4</v>
      </c>
      <c r="AE13" s="45">
        <v>0</v>
      </c>
    </row>
    <row r="14" spans="2:31">
      <c r="B14" s="45" t="s">
        <v>82</v>
      </c>
      <c r="C14" s="45" t="s">
        <v>83</v>
      </c>
      <c r="D14" s="45">
        <v>132605</v>
      </c>
      <c r="E14" s="45">
        <v>30902656949.099998</v>
      </c>
      <c r="F14" s="45">
        <v>33002088000</v>
      </c>
      <c r="G14" s="45">
        <v>31.459982571827823</v>
      </c>
      <c r="H14" s="45">
        <v>3.6653300358472829</v>
      </c>
      <c r="I14" s="45">
        <v>3.6653302462496593</v>
      </c>
      <c r="J14" s="45">
        <v>74.468186906887354</v>
      </c>
      <c r="K14" s="45">
        <v>75.489855449732801</v>
      </c>
      <c r="L14" s="45">
        <v>60.817591198192353</v>
      </c>
      <c r="M14" s="45">
        <v>31.995729143160492</v>
      </c>
      <c r="N14" s="45">
        <v>766.36911300325562</v>
      </c>
      <c r="O14" s="45">
        <v>314581.67473241792</v>
      </c>
      <c r="P14" s="45">
        <v>0</v>
      </c>
      <c r="Q14" s="45">
        <v>9.528431146745639E-2</v>
      </c>
      <c r="R14" s="45">
        <v>8.1393873836251296E-2</v>
      </c>
      <c r="S14" s="45">
        <v>0.62357859954437411</v>
      </c>
      <c r="T14" s="45">
        <v>2.5401029397339923E-2</v>
      </c>
      <c r="U14" s="45">
        <v>0.70198675552012002</v>
      </c>
      <c r="V14" s="45">
        <v>0.89209194671019643</v>
      </c>
      <c r="W14" s="45">
        <v>0.30733603070614296</v>
      </c>
      <c r="X14" s="45">
        <v>0.12564977864866356</v>
      </c>
      <c r="Y14" s="45">
        <v>0.99881651417513262</v>
      </c>
      <c r="Z14" s="45">
        <v>1.1834858248674031E-3</v>
      </c>
      <c r="AA14" s="45">
        <v>0.99783014810213744</v>
      </c>
      <c r="AB14" s="45">
        <v>9.8636607299514836E-4</v>
      </c>
      <c r="AC14" s="45">
        <v>1.129280043055209E-3</v>
      </c>
      <c r="AD14" s="45">
        <v>5.4205781812194153E-5</v>
      </c>
      <c r="AE14" s="45">
        <v>0</v>
      </c>
    </row>
    <row r="15" spans="2:31">
      <c r="B15" s="45" t="s">
        <v>84</v>
      </c>
      <c r="C15" s="45" t="s">
        <v>85</v>
      </c>
      <c r="D15" s="45">
        <v>141967</v>
      </c>
      <c r="E15" s="45">
        <v>31928168573.73</v>
      </c>
      <c r="F15" s="45">
        <v>32518882000</v>
      </c>
      <c r="G15" s="45">
        <v>8.7545979936163114</v>
      </c>
      <c r="H15" s="45">
        <v>4.3795595322578489</v>
      </c>
      <c r="I15" s="45">
        <v>4.3795595322578489</v>
      </c>
      <c r="J15" s="45">
        <v>75.957213727357228</v>
      </c>
      <c r="K15" s="45">
        <v>76.871091511166526</v>
      </c>
      <c r="L15" s="45">
        <v>73.48700185597346</v>
      </c>
      <c r="M15" s="45">
        <v>34.62637025366481</v>
      </c>
      <c r="N15" s="45">
        <v>751.69752539868739</v>
      </c>
      <c r="O15" s="45">
        <v>294182.62573164713</v>
      </c>
      <c r="P15" s="45">
        <v>0</v>
      </c>
      <c r="Q15" s="45">
        <v>7.5041649686457254E-2</v>
      </c>
      <c r="R15" s="45">
        <v>0.17036935063997385</v>
      </c>
      <c r="S15" s="45">
        <v>0.55562806941129561</v>
      </c>
      <c r="T15" s="45">
        <v>3.3118285136154578E-2</v>
      </c>
      <c r="U15" s="45">
        <v>0.62772848756475275</v>
      </c>
      <c r="V15" s="45">
        <v>0.8550530120080938</v>
      </c>
      <c r="W15" s="45">
        <v>0.61957617450367219</v>
      </c>
      <c r="X15" s="45">
        <v>0.12119376364273396</v>
      </c>
      <c r="Y15" s="45">
        <v>0.99820730528067014</v>
      </c>
      <c r="Z15" s="45">
        <v>1.79269471932988E-3</v>
      </c>
      <c r="AA15" s="45">
        <v>0.99820730528067014</v>
      </c>
      <c r="AB15" s="45">
        <v>0</v>
      </c>
      <c r="AC15" s="45">
        <v>1.79269471932988E-3</v>
      </c>
      <c r="AD15" s="45">
        <v>0</v>
      </c>
      <c r="AE15" s="45">
        <v>0</v>
      </c>
    </row>
    <row r="16" spans="2:31">
      <c r="B16" s="45" t="s">
        <v>86</v>
      </c>
      <c r="C16" s="45" t="s">
        <v>87</v>
      </c>
      <c r="D16" s="45">
        <v>71306</v>
      </c>
      <c r="E16" s="45">
        <v>15307704367.93</v>
      </c>
      <c r="F16" s="45">
        <v>15648312000</v>
      </c>
      <c r="G16" s="45">
        <v>12.457811254545261</v>
      </c>
      <c r="H16" s="45">
        <v>4.5402168157034257</v>
      </c>
      <c r="I16" s="45">
        <v>4.5402168157034257</v>
      </c>
      <c r="J16" s="45">
        <v>92.482191295940098</v>
      </c>
      <c r="K16" s="45">
        <v>92.48940897093658</v>
      </c>
      <c r="L16" s="45">
        <v>87.411302845692219</v>
      </c>
      <c r="M16" s="45">
        <v>34.741520116496403</v>
      </c>
      <c r="N16" s="45">
        <v>748.1736456515589</v>
      </c>
      <c r="O16" s="45">
        <v>261492.37113095744</v>
      </c>
      <c r="P16" s="45">
        <v>0.99829433543773549</v>
      </c>
      <c r="Q16" s="45">
        <v>1.1663195173408148E-3</v>
      </c>
      <c r="R16" s="45">
        <v>0.40593397711862678</v>
      </c>
      <c r="S16" s="45">
        <v>0.54599575686868396</v>
      </c>
      <c r="T16" s="45">
        <v>0</v>
      </c>
      <c r="U16" s="45">
        <v>0.59745977775482362</v>
      </c>
      <c r="V16" s="45">
        <v>0.99488595389952739</v>
      </c>
      <c r="W16" s="45">
        <v>0.92472485564954643</v>
      </c>
      <c r="X16" s="45">
        <v>0.10252488746503187</v>
      </c>
      <c r="Y16" s="45">
        <v>0.99735016690451772</v>
      </c>
      <c r="Z16" s="45">
        <v>2.6498330954823081E-3</v>
      </c>
      <c r="AA16" s="45">
        <v>0.99352357934951374</v>
      </c>
      <c r="AB16" s="45">
        <v>3.8265875550039146E-3</v>
      </c>
      <c r="AC16" s="45">
        <v>2.5400054061311748E-3</v>
      </c>
      <c r="AD16" s="45">
        <v>1.0982768935113315E-4</v>
      </c>
      <c r="AE16" s="45">
        <v>0</v>
      </c>
    </row>
    <row r="17" spans="2:31">
      <c r="B17" s="45" t="s">
        <v>88</v>
      </c>
      <c r="C17" s="45" t="s">
        <v>89</v>
      </c>
      <c r="D17" s="45">
        <v>134396</v>
      </c>
      <c r="E17" s="45">
        <v>29531552788.639999</v>
      </c>
      <c r="F17" s="45">
        <v>31002448000</v>
      </c>
      <c r="G17" s="45">
        <v>25.214556203142063</v>
      </c>
      <c r="H17" s="45">
        <v>3.795555170355573</v>
      </c>
      <c r="I17" s="45">
        <v>3.795555170355573</v>
      </c>
      <c r="J17" s="45">
        <v>91.535120058433876</v>
      </c>
      <c r="K17" s="45">
        <v>91.56028084027551</v>
      </c>
      <c r="L17" s="45">
        <v>79.431489742485496</v>
      </c>
      <c r="M17" s="45">
        <v>33.120655391504528</v>
      </c>
      <c r="N17" s="45">
        <v>757.39548421027462</v>
      </c>
      <c r="O17" s="45">
        <v>274143.87870220235</v>
      </c>
      <c r="P17" s="45">
        <v>0.99931025504362114</v>
      </c>
      <c r="Q17" s="45">
        <v>4.0987360788749868E-3</v>
      </c>
      <c r="R17" s="45">
        <v>0.29779204123505887</v>
      </c>
      <c r="S17" s="45">
        <v>0.56770692301486936</v>
      </c>
      <c r="T17" s="45">
        <v>0</v>
      </c>
      <c r="U17" s="45">
        <v>0.6206539696466834</v>
      </c>
      <c r="V17" s="45">
        <v>0.99606576875447295</v>
      </c>
      <c r="W17" s="45">
        <v>0.71654250149351861</v>
      </c>
      <c r="X17" s="45">
        <v>7.6888101069763209E-2</v>
      </c>
      <c r="Y17" s="45">
        <v>0.99833313405589241</v>
      </c>
      <c r="Z17" s="45">
        <v>1.6668659441076055E-3</v>
      </c>
      <c r="AA17" s="45">
        <v>0.99761597253913847</v>
      </c>
      <c r="AB17" s="45">
        <v>7.1716151675393631E-4</v>
      </c>
      <c r="AC17" s="45">
        <v>1.6668659441076055E-3</v>
      </c>
      <c r="AD17" s="45">
        <v>0</v>
      </c>
      <c r="AE17" s="45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T135"/>
  <sheetViews>
    <sheetView tabSelected="1" workbookViewId="0">
      <selection activeCell="X28" sqref="X28"/>
    </sheetView>
  </sheetViews>
  <sheetFormatPr defaultRowHeight="15"/>
  <cols>
    <col min="3" max="3" width="15.5703125" bestFit="1" customWidth="1"/>
  </cols>
  <sheetData>
    <row r="3" spans="3:20">
      <c r="C3" s="45" t="s">
        <v>35</v>
      </c>
      <c r="D3" s="45" t="s">
        <v>36</v>
      </c>
      <c r="E3" s="45" t="s">
        <v>25</v>
      </c>
      <c r="F3" s="45" t="s">
        <v>13</v>
      </c>
      <c r="G3" s="45" t="s">
        <v>24</v>
      </c>
      <c r="H3" s="45" t="s">
        <v>26</v>
      </c>
      <c r="I3" s="45" t="s">
        <v>27</v>
      </c>
      <c r="J3" s="45" t="s">
        <v>90</v>
      </c>
      <c r="K3" s="45" t="s">
        <v>91</v>
      </c>
      <c r="L3" s="45" t="s">
        <v>14</v>
      </c>
      <c r="M3" s="45" t="s">
        <v>15</v>
      </c>
      <c r="N3" s="45" t="s">
        <v>16</v>
      </c>
      <c r="O3" s="45" t="s">
        <v>28</v>
      </c>
      <c r="P3" s="45" t="s">
        <v>29</v>
      </c>
      <c r="Q3" s="45" t="s">
        <v>17</v>
      </c>
      <c r="R3" s="45" t="s">
        <v>18</v>
      </c>
      <c r="S3" s="3" t="s">
        <v>114</v>
      </c>
      <c r="T3" s="3" t="s">
        <v>115</v>
      </c>
    </row>
    <row r="4" spans="3:20">
      <c r="C4" t="s">
        <v>62</v>
      </c>
      <c r="D4" t="s">
        <v>63</v>
      </c>
      <c r="E4">
        <v>22584361082.810001</v>
      </c>
      <c r="F4" s="46">
        <v>41426</v>
      </c>
      <c r="G4" s="45">
        <v>96389</v>
      </c>
      <c r="H4" s="45">
        <v>139983562.75</v>
      </c>
      <c r="I4" s="45">
        <v>0</v>
      </c>
      <c r="J4" s="45">
        <v>6.1982520664066055E-3</v>
      </c>
      <c r="K4" s="45">
        <v>0</v>
      </c>
      <c r="L4" s="45">
        <v>7.1894999999999998</v>
      </c>
      <c r="M4" s="45">
        <v>0</v>
      </c>
      <c r="N4" s="45">
        <v>0</v>
      </c>
      <c r="O4" s="45">
        <v>139983562.75</v>
      </c>
      <c r="P4" s="45">
        <v>0</v>
      </c>
      <c r="Q4" s="45">
        <v>6.8999999999999999E-3</v>
      </c>
      <c r="R4" s="45">
        <v>0</v>
      </c>
      <c r="S4" s="3">
        <f>CurrentMtgRatesDataTable82523[[#This Row],[cum_df_pct]]*100</f>
        <v>0</v>
      </c>
      <c r="T4" s="3">
        <f>CurrentMtgRatesDataTable82523[[#This Row],[pct_dq]]*100</f>
        <v>0</v>
      </c>
    </row>
    <row r="5" spans="3:20">
      <c r="C5" s="45" t="s">
        <v>62</v>
      </c>
      <c r="D5" s="45" t="s">
        <v>63</v>
      </c>
      <c r="E5" s="45">
        <v>22391372156.549999</v>
      </c>
      <c r="F5" s="46">
        <v>41456</v>
      </c>
      <c r="G5" s="45">
        <v>95815</v>
      </c>
      <c r="H5" s="45">
        <v>101319553.18000001</v>
      </c>
      <c r="I5" s="45">
        <v>0</v>
      </c>
      <c r="J5" s="45">
        <v>4.5249372156213148E-3</v>
      </c>
      <c r="K5" s="45">
        <v>0</v>
      </c>
      <c r="L5" s="45">
        <v>5.2968000000000002</v>
      </c>
      <c r="M5" s="45">
        <v>0</v>
      </c>
      <c r="N5" s="45">
        <v>1.2667221826199236E-3</v>
      </c>
      <c r="O5" s="45">
        <v>241303115.93000001</v>
      </c>
      <c r="P5" s="45">
        <v>0</v>
      </c>
      <c r="Q5" s="45">
        <v>1.1900000000000001E-2</v>
      </c>
      <c r="R5" s="45">
        <v>0</v>
      </c>
      <c r="S5" s="3">
        <f>CurrentMtgRatesDataTable82523[[#This Row],[cum_df_pct]]*100</f>
        <v>0</v>
      </c>
      <c r="T5" s="3">
        <f>CurrentMtgRatesDataTable82523[[#This Row],[pct_dq]]*100</f>
        <v>0.12667221826199235</v>
      </c>
    </row>
    <row r="6" spans="3:20">
      <c r="C6" s="45" t="s">
        <v>62</v>
      </c>
      <c r="D6" s="45" t="s">
        <v>63</v>
      </c>
      <c r="E6" s="45">
        <v>22242256898.849998</v>
      </c>
      <c r="F6" s="46">
        <v>41487</v>
      </c>
      <c r="G6" s="45">
        <v>95391</v>
      </c>
      <c r="H6" s="45">
        <v>70147957.719999999</v>
      </c>
      <c r="I6" s="45">
        <v>0</v>
      </c>
      <c r="J6" s="45">
        <v>3.1538147427668138E-3</v>
      </c>
      <c r="K6" s="45">
        <v>0</v>
      </c>
      <c r="L6" s="45">
        <v>3.7195999999999998</v>
      </c>
      <c r="M6" s="45">
        <v>0</v>
      </c>
      <c r="N6" s="45">
        <v>1.0356345223757838E-3</v>
      </c>
      <c r="O6" s="45">
        <v>311451073.64999998</v>
      </c>
      <c r="P6" s="45">
        <v>0</v>
      </c>
      <c r="Q6" s="45">
        <v>1.5299999999999999E-2</v>
      </c>
      <c r="R6" s="45">
        <v>0</v>
      </c>
      <c r="S6" s="3">
        <f>CurrentMtgRatesDataTable82523[[#This Row],[cum_df_pct]]*100</f>
        <v>0</v>
      </c>
      <c r="T6" s="3">
        <f>CurrentMtgRatesDataTable82523[[#This Row],[pct_dq]]*100</f>
        <v>0.10356345223757837</v>
      </c>
    </row>
    <row r="7" spans="3:20">
      <c r="C7" s="45" t="s">
        <v>62</v>
      </c>
      <c r="D7" s="45" t="s">
        <v>63</v>
      </c>
      <c r="E7" s="45">
        <v>22126259871.459999</v>
      </c>
      <c r="F7" s="46">
        <v>41518</v>
      </c>
      <c r="G7" s="45">
        <v>95074</v>
      </c>
      <c r="H7" s="45">
        <v>73281124.489999995</v>
      </c>
      <c r="I7" s="45">
        <v>0</v>
      </c>
      <c r="J7" s="45">
        <v>3.3119526262331903E-3</v>
      </c>
      <c r="K7" s="45">
        <v>0</v>
      </c>
      <c r="L7" s="45">
        <v>3.9026999999999998</v>
      </c>
      <c r="M7" s="45">
        <v>0</v>
      </c>
      <c r="N7" s="45">
        <v>1.3740292420236281E-3</v>
      </c>
      <c r="O7" s="45">
        <v>384732198.13999999</v>
      </c>
      <c r="P7" s="45">
        <v>0</v>
      </c>
      <c r="Q7" s="45">
        <v>1.9E-2</v>
      </c>
      <c r="R7" s="45">
        <v>0</v>
      </c>
      <c r="S7" s="3">
        <f>CurrentMtgRatesDataTable82523[[#This Row],[cum_df_pct]]*100</f>
        <v>0</v>
      </c>
      <c r="T7" s="3">
        <f>CurrentMtgRatesDataTable82523[[#This Row],[pct_dq]]*100</f>
        <v>0.1374029242023628</v>
      </c>
    </row>
    <row r="8" spans="3:20">
      <c r="C8" s="45" t="s">
        <v>62</v>
      </c>
      <c r="D8" s="45" t="s">
        <v>63</v>
      </c>
      <c r="E8" s="45">
        <v>22004407481.799999</v>
      </c>
      <c r="F8" s="46">
        <v>41548</v>
      </c>
      <c r="G8" s="45">
        <v>94744</v>
      </c>
      <c r="H8" s="45">
        <v>67109639.599999994</v>
      </c>
      <c r="I8" s="45">
        <v>0</v>
      </c>
      <c r="J8" s="45">
        <v>3.0498271610133951E-3</v>
      </c>
      <c r="K8" s="45">
        <v>0</v>
      </c>
      <c r="L8" s="45">
        <v>3.5990000000000002</v>
      </c>
      <c r="M8" s="45">
        <v>0</v>
      </c>
      <c r="N8" s="45">
        <v>1.548422143072077E-3</v>
      </c>
      <c r="O8" s="45">
        <v>451841837.74000001</v>
      </c>
      <c r="P8" s="45">
        <v>0</v>
      </c>
      <c r="Q8" s="45">
        <v>2.23E-2</v>
      </c>
      <c r="R8" s="45">
        <v>0</v>
      </c>
      <c r="S8" s="3">
        <f>CurrentMtgRatesDataTable82523[[#This Row],[cum_df_pct]]*100</f>
        <v>0</v>
      </c>
      <c r="T8" s="3">
        <f>CurrentMtgRatesDataTable82523[[#This Row],[pct_dq]]*100</f>
        <v>0.15484221430720771</v>
      </c>
    </row>
    <row r="9" spans="3:20">
      <c r="C9" s="45" t="s">
        <v>62</v>
      </c>
      <c r="D9" s="45" t="s">
        <v>63</v>
      </c>
      <c r="E9" s="45">
        <v>21889515190.82</v>
      </c>
      <c r="F9" s="46">
        <v>41579</v>
      </c>
      <c r="G9" s="45">
        <v>94439</v>
      </c>
      <c r="H9" s="45">
        <v>69191334.689999998</v>
      </c>
      <c r="I9" s="45">
        <v>99020.6</v>
      </c>
      <c r="J9" s="45">
        <v>3.1609349995571114E-3</v>
      </c>
      <c r="K9" s="45">
        <v>4.5236543220256953E-6</v>
      </c>
      <c r="L9" s="45">
        <v>3.7277999999999998</v>
      </c>
      <c r="M9" s="45">
        <v>5.4000000000000003E-3</v>
      </c>
      <c r="N9" s="45">
        <v>1.5094332223427496E-3</v>
      </c>
      <c r="O9" s="45">
        <v>521033172.43000001</v>
      </c>
      <c r="P9" s="45">
        <v>99020.6</v>
      </c>
      <c r="Q9" s="45">
        <v>2.5700000000000001E-2</v>
      </c>
      <c r="R9" s="45">
        <v>0</v>
      </c>
      <c r="S9" s="3">
        <f>CurrentMtgRatesDataTable82523[[#This Row],[cum_df_pct]]*100</f>
        <v>0</v>
      </c>
      <c r="T9" s="3">
        <f>CurrentMtgRatesDataTable82523[[#This Row],[pct_dq]]*100</f>
        <v>0.15094332223427495</v>
      </c>
    </row>
    <row r="10" spans="3:20">
      <c r="C10" s="45" t="s">
        <v>62</v>
      </c>
      <c r="D10" s="45" t="s">
        <v>63</v>
      </c>
      <c r="E10" s="45">
        <v>21778303317.84</v>
      </c>
      <c r="F10" s="46">
        <v>41609</v>
      </c>
      <c r="G10" s="45">
        <v>94127</v>
      </c>
      <c r="H10" s="45">
        <v>57817994.990000002</v>
      </c>
      <c r="I10" s="45">
        <v>302877.99</v>
      </c>
      <c r="J10" s="45">
        <v>2.6548438666770514E-3</v>
      </c>
      <c r="K10" s="45">
        <v>1.3907327195314305E-5</v>
      </c>
      <c r="L10" s="45">
        <v>3.1396999999999999</v>
      </c>
      <c r="M10" s="45">
        <v>1.66E-2</v>
      </c>
      <c r="N10" s="45">
        <v>2.1700490437786459E-3</v>
      </c>
      <c r="O10" s="45">
        <v>578851167.41999996</v>
      </c>
      <c r="P10" s="45">
        <v>401898.59</v>
      </c>
      <c r="Q10" s="45">
        <v>2.8500000000000001E-2</v>
      </c>
      <c r="R10" s="45">
        <v>0</v>
      </c>
      <c r="S10" s="3">
        <f>CurrentMtgRatesDataTable82523[[#This Row],[cum_df_pct]]*100</f>
        <v>0</v>
      </c>
      <c r="T10" s="3">
        <f>CurrentMtgRatesDataTable82523[[#This Row],[pct_dq]]*100</f>
        <v>0.2170049043778646</v>
      </c>
    </row>
    <row r="11" spans="3:20">
      <c r="C11" s="45" t="s">
        <v>62</v>
      </c>
      <c r="D11" s="45" t="s">
        <v>63</v>
      </c>
      <c r="E11" s="45">
        <v>21671804564.209999</v>
      </c>
      <c r="F11" s="46">
        <v>41640</v>
      </c>
      <c r="G11" s="45">
        <v>93864</v>
      </c>
      <c r="H11" s="45">
        <v>54493693.359999999</v>
      </c>
      <c r="I11" s="45">
        <v>543640.77</v>
      </c>
      <c r="J11" s="45">
        <v>2.5144972675692108E-3</v>
      </c>
      <c r="K11" s="45">
        <v>2.5085163922980276E-5</v>
      </c>
      <c r="L11" s="45">
        <v>2.976</v>
      </c>
      <c r="M11" s="45">
        <v>0.03</v>
      </c>
      <c r="N11" s="45">
        <v>2.1894667321964048E-3</v>
      </c>
      <c r="O11" s="45">
        <v>633344860.77999997</v>
      </c>
      <c r="P11" s="45">
        <v>945539.36</v>
      </c>
      <c r="Q11" s="45">
        <v>3.1199999999999999E-2</v>
      </c>
      <c r="R11" s="45">
        <v>0</v>
      </c>
      <c r="S11" s="3">
        <f>CurrentMtgRatesDataTable82523[[#This Row],[cum_df_pct]]*100</f>
        <v>0</v>
      </c>
      <c r="T11" s="3">
        <f>CurrentMtgRatesDataTable82523[[#This Row],[pct_dq]]*100</f>
        <v>0.21894667321964048</v>
      </c>
    </row>
    <row r="12" spans="3:20">
      <c r="C12" s="45" t="s">
        <v>62</v>
      </c>
      <c r="D12" s="45" t="s">
        <v>63</v>
      </c>
      <c r="E12" s="45">
        <v>21571139506.34</v>
      </c>
      <c r="F12" s="46">
        <v>41671</v>
      </c>
      <c r="G12" s="45">
        <v>93598</v>
      </c>
      <c r="H12" s="45">
        <v>70113723.829999998</v>
      </c>
      <c r="I12" s="45">
        <v>342970.55</v>
      </c>
      <c r="J12" s="45">
        <v>3.2503486340808648E-3</v>
      </c>
      <c r="K12" s="45">
        <v>1.5899510079159105E-5</v>
      </c>
      <c r="L12" s="45">
        <v>3.8313999999999999</v>
      </c>
      <c r="M12" s="45">
        <v>1.9E-2</v>
      </c>
      <c r="N12" s="45">
        <v>2.3021683029496079E-3</v>
      </c>
      <c r="O12" s="45">
        <v>703458584.61000001</v>
      </c>
      <c r="P12" s="45">
        <v>1288509.9099999999</v>
      </c>
      <c r="Q12" s="45">
        <v>3.4700000000000002E-2</v>
      </c>
      <c r="R12" s="45">
        <v>0</v>
      </c>
      <c r="S12" s="3">
        <f>CurrentMtgRatesDataTable82523[[#This Row],[cum_df_pct]]*100</f>
        <v>0</v>
      </c>
      <c r="T12" s="3">
        <f>CurrentMtgRatesDataTable82523[[#This Row],[pct_dq]]*100</f>
        <v>0.23021683029496079</v>
      </c>
    </row>
    <row r="13" spans="3:20">
      <c r="C13" s="45" t="s">
        <v>62</v>
      </c>
      <c r="D13" s="45" t="s">
        <v>63</v>
      </c>
      <c r="E13" s="45">
        <v>21453636186.810001</v>
      </c>
      <c r="F13" s="46">
        <v>41699</v>
      </c>
      <c r="G13" s="45">
        <v>93266</v>
      </c>
      <c r="H13" s="45">
        <v>72437890.239999995</v>
      </c>
      <c r="I13" s="45">
        <v>1500559.89</v>
      </c>
      <c r="J13" s="45">
        <v>3.3764854409405825E-3</v>
      </c>
      <c r="K13" s="45">
        <v>6.9944315123725528E-5</v>
      </c>
      <c r="L13" s="45">
        <v>3.9773000000000001</v>
      </c>
      <c r="M13" s="45">
        <v>8.3900000000000002E-2</v>
      </c>
      <c r="N13" s="45">
        <v>2.8763854780915659E-3</v>
      </c>
      <c r="O13" s="45">
        <v>775896474.85000002</v>
      </c>
      <c r="P13" s="45">
        <v>2789069.8</v>
      </c>
      <c r="Q13" s="45">
        <v>3.8300000000000001E-2</v>
      </c>
      <c r="R13" s="45">
        <v>1E-4</v>
      </c>
      <c r="S13" s="3">
        <f>CurrentMtgRatesDataTable82523[[#This Row],[cum_df_pct]]*100</f>
        <v>0.01</v>
      </c>
      <c r="T13" s="3">
        <f>CurrentMtgRatesDataTable82523[[#This Row],[pct_dq]]*100</f>
        <v>0.2876385478091566</v>
      </c>
    </row>
    <row r="14" spans="3:20">
      <c r="C14" s="45" t="s">
        <v>62</v>
      </c>
      <c r="D14" s="45" t="s">
        <v>63</v>
      </c>
      <c r="E14" s="45">
        <v>21332337955.220001</v>
      </c>
      <c r="F14" s="46">
        <v>41730</v>
      </c>
      <c r="G14" s="45">
        <v>92915</v>
      </c>
      <c r="H14" s="45">
        <v>106211677.5</v>
      </c>
      <c r="I14" s="45">
        <v>989919.88</v>
      </c>
      <c r="J14" s="45">
        <v>4.9789046902854886E-3</v>
      </c>
      <c r="K14" s="45">
        <v>4.6404659539802938E-5</v>
      </c>
      <c r="L14" s="45">
        <v>5.8136999999999999</v>
      </c>
      <c r="M14" s="45">
        <v>5.5599999999999997E-2</v>
      </c>
      <c r="N14" s="45">
        <v>1.7641106928362412E-3</v>
      </c>
      <c r="O14" s="45">
        <v>882108152.35000002</v>
      </c>
      <c r="P14" s="45">
        <v>3778989.68</v>
      </c>
      <c r="Q14" s="45">
        <v>4.3499999999999997E-2</v>
      </c>
      <c r="R14" s="45">
        <v>1E-4</v>
      </c>
      <c r="S14" s="3">
        <f>CurrentMtgRatesDataTable82523[[#This Row],[cum_df_pct]]*100</f>
        <v>0.01</v>
      </c>
      <c r="T14" s="3">
        <f>CurrentMtgRatesDataTable82523[[#This Row],[pct_dq]]*100</f>
        <v>0.17641106928362413</v>
      </c>
    </row>
    <row r="15" spans="3:20">
      <c r="C15" s="45" t="s">
        <v>62</v>
      </c>
      <c r="D15" s="45" t="s">
        <v>63</v>
      </c>
      <c r="E15" s="45">
        <v>21177637181.139999</v>
      </c>
      <c r="F15" s="46">
        <v>41760</v>
      </c>
      <c r="G15" s="45">
        <v>92428</v>
      </c>
      <c r="H15" s="45">
        <v>135194224.16</v>
      </c>
      <c r="I15" s="45">
        <v>890745.91</v>
      </c>
      <c r="J15" s="45">
        <v>6.3838200174851818E-3</v>
      </c>
      <c r="K15" s="45">
        <v>4.2060684219921593E-5</v>
      </c>
      <c r="L15" s="45">
        <v>7.3971999999999998</v>
      </c>
      <c r="M15" s="45">
        <v>5.04E-2</v>
      </c>
      <c r="N15" s="45">
        <v>1.7421491729425289E-3</v>
      </c>
      <c r="O15" s="45">
        <v>1017302376.51</v>
      </c>
      <c r="P15" s="45">
        <v>4669735.59</v>
      </c>
      <c r="Q15" s="45">
        <v>5.0200000000000002E-2</v>
      </c>
      <c r="R15" s="45">
        <v>2.0000000000000001E-4</v>
      </c>
      <c r="S15" s="3">
        <f>CurrentMtgRatesDataTable82523[[#This Row],[cum_df_pct]]*100</f>
        <v>0.02</v>
      </c>
      <c r="T15" s="3">
        <f>CurrentMtgRatesDataTable82523[[#This Row],[pct_dq]]*100</f>
        <v>0.1742149172942529</v>
      </c>
    </row>
    <row r="16" spans="3:20">
      <c r="C16" s="45" t="s">
        <v>62</v>
      </c>
      <c r="D16" s="45" t="s">
        <v>63</v>
      </c>
      <c r="E16" s="45">
        <v>20996596520.740002</v>
      </c>
      <c r="F16" s="46">
        <v>41791</v>
      </c>
      <c r="G16" s="45">
        <v>91814</v>
      </c>
      <c r="H16" s="45">
        <v>125037203.51000001</v>
      </c>
      <c r="I16" s="45">
        <v>680997.81</v>
      </c>
      <c r="J16" s="45">
        <v>5.9551176966462565E-3</v>
      </c>
      <c r="K16" s="45">
        <v>3.2433723690757432E-5</v>
      </c>
      <c r="L16" s="45">
        <v>6.9165999999999999</v>
      </c>
      <c r="M16" s="45">
        <v>3.8899999999999997E-2</v>
      </c>
      <c r="N16" s="45">
        <v>1.8080148243312564E-3</v>
      </c>
      <c r="O16" s="45">
        <v>1142339580.02</v>
      </c>
      <c r="P16" s="45">
        <v>5350733.4000000004</v>
      </c>
      <c r="Q16" s="45">
        <v>5.6399999999999999E-2</v>
      </c>
      <c r="R16" s="45">
        <v>2.0000000000000001E-4</v>
      </c>
      <c r="S16" s="3">
        <f>CurrentMtgRatesDataTable82523[[#This Row],[cum_df_pct]]*100</f>
        <v>0.02</v>
      </c>
      <c r="T16" s="3">
        <f>CurrentMtgRatesDataTable82523[[#This Row],[pct_dq]]*100</f>
        <v>0.18080148243312563</v>
      </c>
    </row>
    <row r="17" spans="3:20">
      <c r="C17" s="45" t="s">
        <v>62</v>
      </c>
      <c r="D17" s="45" t="s">
        <v>63</v>
      </c>
      <c r="E17" s="45">
        <v>20823941241.41</v>
      </c>
      <c r="F17" s="46">
        <v>41821</v>
      </c>
      <c r="G17" s="45">
        <v>91234</v>
      </c>
      <c r="H17" s="45">
        <v>115787279.48999999</v>
      </c>
      <c r="I17" s="45">
        <v>690804.79</v>
      </c>
      <c r="J17" s="45">
        <v>5.560296110505159E-3</v>
      </c>
      <c r="K17" s="45">
        <v>3.3173585249380258E-5</v>
      </c>
      <c r="L17" s="45">
        <v>6.4720000000000004</v>
      </c>
      <c r="M17" s="45">
        <v>3.9800000000000002E-2</v>
      </c>
      <c r="N17" s="45">
        <v>2.2194793062559818E-3</v>
      </c>
      <c r="O17" s="45">
        <v>1258126859.51</v>
      </c>
      <c r="P17" s="45">
        <v>6041538.1900000004</v>
      </c>
      <c r="Q17" s="45">
        <v>6.2100000000000002E-2</v>
      </c>
      <c r="R17" s="45">
        <v>2.0000000000000001E-4</v>
      </c>
      <c r="S17" s="3">
        <f>CurrentMtgRatesDataTable82523[[#This Row],[cum_df_pct]]*100</f>
        <v>0.02</v>
      </c>
      <c r="T17" s="3">
        <f>CurrentMtgRatesDataTable82523[[#This Row],[pct_dq]]*100</f>
        <v>0.22194793062559817</v>
      </c>
    </row>
    <row r="18" spans="3:20">
      <c r="C18" s="45" t="s">
        <v>62</v>
      </c>
      <c r="D18" s="45" t="s">
        <v>63</v>
      </c>
      <c r="E18" s="45">
        <v>20661068570</v>
      </c>
      <c r="F18" s="46">
        <v>41852</v>
      </c>
      <c r="G18" s="45">
        <v>90712</v>
      </c>
      <c r="H18" s="45">
        <v>88425641.75</v>
      </c>
      <c r="I18" s="45">
        <v>532919.80000000005</v>
      </c>
      <c r="J18" s="45">
        <v>4.2798193835141022E-3</v>
      </c>
      <c r="K18" s="45">
        <v>2.5793428747136673E-5</v>
      </c>
      <c r="L18" s="45">
        <v>5.0166000000000004</v>
      </c>
      <c r="M18" s="45">
        <v>3.09E-2</v>
      </c>
      <c r="N18" s="45">
        <v>2.169147066530451E-3</v>
      </c>
      <c r="O18" s="45">
        <v>1346552501.26</v>
      </c>
      <c r="P18" s="45">
        <v>6574457.9900000002</v>
      </c>
      <c r="Q18" s="45">
        <v>6.6500000000000004E-2</v>
      </c>
      <c r="R18" s="45">
        <v>2.9999999999999997E-4</v>
      </c>
      <c r="S18" s="3">
        <f>CurrentMtgRatesDataTable82523[[#This Row],[cum_df_pct]]*100</f>
        <v>0.03</v>
      </c>
      <c r="T18" s="3">
        <f>CurrentMtgRatesDataTable82523[[#This Row],[pct_dq]]*100</f>
        <v>0.2169147066530451</v>
      </c>
    </row>
    <row r="19" spans="3:20">
      <c r="C19" s="45" t="s">
        <v>62</v>
      </c>
      <c r="D19" s="45" t="s">
        <v>63</v>
      </c>
      <c r="E19" s="45">
        <v>20526568204.119999</v>
      </c>
      <c r="F19" s="46">
        <v>41883</v>
      </c>
      <c r="G19" s="45">
        <v>90301</v>
      </c>
      <c r="H19" s="45">
        <v>114141076.26000001</v>
      </c>
      <c r="I19" s="45">
        <v>872088.56</v>
      </c>
      <c r="J19" s="45">
        <v>5.5606507198358718E-3</v>
      </c>
      <c r="K19" s="45">
        <v>4.2485843289915278E-5</v>
      </c>
      <c r="L19" s="45">
        <v>6.4724000000000004</v>
      </c>
      <c r="M19" s="45">
        <v>5.0900000000000001E-2</v>
      </c>
      <c r="N19" s="45">
        <v>2.5668689206130666E-3</v>
      </c>
      <c r="O19" s="45">
        <v>1460693577.52</v>
      </c>
      <c r="P19" s="45">
        <v>7446546.5499999998</v>
      </c>
      <c r="Q19" s="45">
        <v>7.2099999999999997E-2</v>
      </c>
      <c r="R19" s="45">
        <v>2.9999999999999997E-4</v>
      </c>
      <c r="S19" s="3">
        <f>CurrentMtgRatesDataTable82523[[#This Row],[cum_df_pct]]*100</f>
        <v>0.03</v>
      </c>
      <c r="T19" s="3">
        <f>CurrentMtgRatesDataTable82523[[#This Row],[pct_dq]]*100</f>
        <v>0.25668689206130668</v>
      </c>
    </row>
    <row r="20" spans="3:20">
      <c r="C20" s="45" t="s">
        <v>62</v>
      </c>
      <c r="D20" s="45" t="s">
        <v>63</v>
      </c>
      <c r="E20" s="45">
        <v>20365001794.889999</v>
      </c>
      <c r="F20" s="46">
        <v>41913</v>
      </c>
      <c r="G20" s="45">
        <v>89760</v>
      </c>
      <c r="H20" s="45">
        <v>91879899.010000005</v>
      </c>
      <c r="I20" s="45">
        <v>994425.34</v>
      </c>
      <c r="J20" s="45">
        <v>4.5116568088422442E-3</v>
      </c>
      <c r="K20" s="45">
        <v>4.883011305452091E-5</v>
      </c>
      <c r="L20" s="45">
        <v>5.2816000000000001</v>
      </c>
      <c r="M20" s="45">
        <v>5.8500000000000003E-2</v>
      </c>
      <c r="N20" s="45">
        <v>2.4419934930955218E-3</v>
      </c>
      <c r="O20" s="45">
        <v>1552573476.53</v>
      </c>
      <c r="P20" s="45">
        <v>8440971.8900000006</v>
      </c>
      <c r="Q20" s="45">
        <v>7.6600000000000001E-2</v>
      </c>
      <c r="R20" s="45">
        <v>4.0000000000000002E-4</v>
      </c>
      <c r="S20" s="3">
        <f>CurrentMtgRatesDataTable82523[[#This Row],[cum_df_pct]]*100</f>
        <v>0.04</v>
      </c>
      <c r="T20" s="3">
        <f>CurrentMtgRatesDataTable82523[[#This Row],[pct_dq]]*100</f>
        <v>0.24419934930955217</v>
      </c>
    </row>
    <row r="21" spans="3:20">
      <c r="C21" s="45" t="s">
        <v>62</v>
      </c>
      <c r="D21" s="45" t="s">
        <v>63</v>
      </c>
      <c r="E21" s="45">
        <v>20227022657.540001</v>
      </c>
      <c r="F21" s="46">
        <v>41944</v>
      </c>
      <c r="G21" s="45">
        <v>89344</v>
      </c>
      <c r="H21" s="45">
        <v>104073902.45999999</v>
      </c>
      <c r="I21" s="45">
        <v>401834.35</v>
      </c>
      <c r="J21" s="45">
        <v>5.1452902496850923E-3</v>
      </c>
      <c r="K21" s="45">
        <v>1.9866213471126398E-5</v>
      </c>
      <c r="L21" s="45">
        <v>6.0025000000000004</v>
      </c>
      <c r="M21" s="45">
        <v>2.3800000000000002E-2</v>
      </c>
      <c r="N21" s="45">
        <v>2.2604713854392231E-3</v>
      </c>
      <c r="O21" s="45">
        <v>1656647378.99</v>
      </c>
      <c r="P21" s="45">
        <v>8842806.2400000002</v>
      </c>
      <c r="Q21" s="45">
        <v>8.1799999999999998E-2</v>
      </c>
      <c r="R21" s="45">
        <v>4.0000000000000002E-4</v>
      </c>
      <c r="S21" s="3">
        <f>CurrentMtgRatesDataTable82523[[#This Row],[cum_df_pct]]*100</f>
        <v>0.04</v>
      </c>
      <c r="T21" s="3">
        <f>CurrentMtgRatesDataTable82523[[#This Row],[pct_dq]]*100</f>
        <v>0.2260471385439223</v>
      </c>
    </row>
    <row r="22" spans="3:20">
      <c r="C22" s="45" t="s">
        <v>62</v>
      </c>
      <c r="D22" s="45" t="s">
        <v>63</v>
      </c>
      <c r="E22" s="45">
        <v>20076676930.209999</v>
      </c>
      <c r="F22" s="46">
        <v>41974</v>
      </c>
      <c r="G22" s="45">
        <v>88878</v>
      </c>
      <c r="H22" s="45">
        <v>89278153.099999994</v>
      </c>
      <c r="I22" s="45">
        <v>1559635.07</v>
      </c>
      <c r="J22" s="45">
        <v>4.4468590798340925E-3</v>
      </c>
      <c r="K22" s="45">
        <v>7.7683925254242087E-5</v>
      </c>
      <c r="L22" s="45">
        <v>5.2076000000000002</v>
      </c>
      <c r="M22" s="45">
        <v>9.3100000000000002E-2</v>
      </c>
      <c r="N22" s="45">
        <v>3.1978297540562386E-3</v>
      </c>
      <c r="O22" s="45">
        <v>1745925532.0899999</v>
      </c>
      <c r="P22" s="45">
        <v>10402441.310000001</v>
      </c>
      <c r="Q22" s="45">
        <v>8.6199999999999999E-2</v>
      </c>
      <c r="R22" s="45">
        <v>5.0000000000000001E-4</v>
      </c>
      <c r="S22" s="3">
        <f>CurrentMtgRatesDataTable82523[[#This Row],[cum_df_pct]]*100</f>
        <v>0.05</v>
      </c>
      <c r="T22" s="3">
        <f>CurrentMtgRatesDataTable82523[[#This Row],[pct_dq]]*100</f>
        <v>0.31978297540562384</v>
      </c>
    </row>
    <row r="23" spans="3:20">
      <c r="C23" s="45" t="s">
        <v>62</v>
      </c>
      <c r="D23" s="45" t="s">
        <v>63</v>
      </c>
      <c r="E23" s="45">
        <v>19939199442.470001</v>
      </c>
      <c r="F23" s="46">
        <v>42005</v>
      </c>
      <c r="G23" s="45">
        <v>88484</v>
      </c>
      <c r="H23" s="45">
        <v>137881693.41</v>
      </c>
      <c r="I23" s="45">
        <v>515352.31</v>
      </c>
      <c r="J23" s="45">
        <v>6.9151067879042035E-3</v>
      </c>
      <c r="K23" s="45">
        <v>2.5846188633948481E-5</v>
      </c>
      <c r="L23" s="45">
        <v>7.9896000000000003</v>
      </c>
      <c r="M23" s="45">
        <v>3.1E-2</v>
      </c>
      <c r="N23" s="45">
        <v>2.5090365666056388E-3</v>
      </c>
      <c r="O23" s="45">
        <v>1883807225.5</v>
      </c>
      <c r="P23" s="45">
        <v>10917793.619999999</v>
      </c>
      <c r="Q23" s="45">
        <v>9.2999999999999999E-2</v>
      </c>
      <c r="R23" s="45">
        <v>5.0000000000000001E-4</v>
      </c>
      <c r="S23" s="3">
        <f>CurrentMtgRatesDataTable82523[[#This Row],[cum_df_pct]]*100</f>
        <v>0.05</v>
      </c>
      <c r="T23" s="3">
        <f>CurrentMtgRatesDataTable82523[[#This Row],[pct_dq]]*100</f>
        <v>0.25090365666056386</v>
      </c>
    </row>
    <row r="24" spans="3:20">
      <c r="C24" s="45" t="s">
        <v>62</v>
      </c>
      <c r="D24" s="45" t="s">
        <v>63</v>
      </c>
      <c r="E24" s="45">
        <v>19755112263.799999</v>
      </c>
      <c r="F24" s="46">
        <v>42036</v>
      </c>
      <c r="G24" s="45">
        <v>87925</v>
      </c>
      <c r="H24" s="45">
        <v>191691686.44</v>
      </c>
      <c r="I24" s="45">
        <v>949391.26</v>
      </c>
      <c r="J24" s="45">
        <v>9.703396461647194E-3</v>
      </c>
      <c r="K24" s="45">
        <v>4.8058003787692958E-5</v>
      </c>
      <c r="L24" s="45">
        <v>11.042299999999999</v>
      </c>
      <c r="M24" s="45">
        <v>5.7599999999999998E-2</v>
      </c>
      <c r="N24" s="45">
        <v>2.5015041079039803E-3</v>
      </c>
      <c r="O24" s="45">
        <v>2075498911.9400001</v>
      </c>
      <c r="P24" s="45">
        <v>11867184.880000001</v>
      </c>
      <c r="Q24" s="45">
        <v>0.1024</v>
      </c>
      <c r="R24" s="45">
        <v>5.0000000000000001E-4</v>
      </c>
      <c r="S24" s="3">
        <f>CurrentMtgRatesDataTable82523[[#This Row],[cum_df_pct]]*100</f>
        <v>0.05</v>
      </c>
      <c r="T24" s="3">
        <f>CurrentMtgRatesDataTable82523[[#This Row],[pct_dq]]*100</f>
        <v>0.25015041079039801</v>
      </c>
    </row>
    <row r="25" spans="3:20">
      <c r="C25" s="45" t="s">
        <v>62</v>
      </c>
      <c r="D25" s="45" t="s">
        <v>63</v>
      </c>
      <c r="E25" s="45">
        <v>19517918050.32</v>
      </c>
      <c r="F25" s="46">
        <v>42064</v>
      </c>
      <c r="G25" s="45">
        <v>87132</v>
      </c>
      <c r="H25" s="45">
        <v>170280413.18000001</v>
      </c>
      <c r="I25" s="45">
        <v>1177926.43</v>
      </c>
      <c r="J25" s="45">
        <v>8.7243123339790958E-3</v>
      </c>
      <c r="K25" s="45">
        <v>6.0351028576056945E-5</v>
      </c>
      <c r="L25" s="45">
        <v>9.9810999999999996</v>
      </c>
      <c r="M25" s="45">
        <v>7.2300000000000003E-2</v>
      </c>
      <c r="N25" s="45">
        <v>3.000039093259744E-3</v>
      </c>
      <c r="O25" s="45">
        <v>2245779325.1199999</v>
      </c>
      <c r="P25" s="45">
        <v>13045111.310000001</v>
      </c>
      <c r="Q25" s="45">
        <v>0.1109</v>
      </c>
      <c r="R25" s="45">
        <v>5.9999999999999995E-4</v>
      </c>
      <c r="S25" s="3">
        <f>CurrentMtgRatesDataTable82523[[#This Row],[cum_df_pct]]*100</f>
        <v>0.06</v>
      </c>
      <c r="T25" s="3">
        <f>CurrentMtgRatesDataTable82523[[#This Row],[pct_dq]]*100</f>
        <v>0.30000390932597443</v>
      </c>
    </row>
    <row r="26" spans="3:20">
      <c r="C26" s="45" t="s">
        <v>62</v>
      </c>
      <c r="D26" s="45" t="s">
        <v>63</v>
      </c>
      <c r="E26" s="45">
        <v>19298303853.59</v>
      </c>
      <c r="F26" s="46">
        <v>42095</v>
      </c>
      <c r="G26" s="45">
        <v>86371</v>
      </c>
      <c r="H26" s="45">
        <v>168340551.69</v>
      </c>
      <c r="I26" s="45">
        <v>840844.9</v>
      </c>
      <c r="J26" s="45">
        <v>8.7230749897579292E-3</v>
      </c>
      <c r="K26" s="45">
        <v>4.3570922417805147E-5</v>
      </c>
      <c r="L26" s="45">
        <v>9.9797999999999991</v>
      </c>
      <c r="M26" s="45">
        <v>5.2200000000000003E-2</v>
      </c>
      <c r="N26" s="45">
        <v>2.2129265340619865E-3</v>
      </c>
      <c r="O26" s="45">
        <v>2414119876.8099999</v>
      </c>
      <c r="P26" s="45">
        <v>13885956.210000001</v>
      </c>
      <c r="Q26" s="45">
        <v>0.1192</v>
      </c>
      <c r="R26" s="45">
        <v>5.9999999999999995E-4</v>
      </c>
      <c r="S26" s="3">
        <f>CurrentMtgRatesDataTable82523[[#This Row],[cum_df_pct]]*100</f>
        <v>0.06</v>
      </c>
      <c r="T26" s="3">
        <f>CurrentMtgRatesDataTable82523[[#This Row],[pct_dq]]*100</f>
        <v>0.22129265340619866</v>
      </c>
    </row>
    <row r="27" spans="3:20">
      <c r="C27" s="45" t="s">
        <v>62</v>
      </c>
      <c r="D27" s="45" t="s">
        <v>63</v>
      </c>
      <c r="E27" s="45">
        <v>19082907230.220001</v>
      </c>
      <c r="F27" s="46">
        <v>42125</v>
      </c>
      <c r="G27" s="45">
        <v>85631</v>
      </c>
      <c r="H27" s="45">
        <v>191859748.56</v>
      </c>
      <c r="I27" s="45">
        <v>2030630.68</v>
      </c>
      <c r="J27" s="45">
        <v>1.0054010442191313E-2</v>
      </c>
      <c r="K27" s="45">
        <v>1.06410970587556E-4</v>
      </c>
      <c r="L27" s="45">
        <v>11.419499999999999</v>
      </c>
      <c r="M27" s="45">
        <v>0.12759999999999999</v>
      </c>
      <c r="N27" s="45">
        <v>2.2937126205111978E-3</v>
      </c>
      <c r="O27" s="45">
        <v>2605979625.3699999</v>
      </c>
      <c r="P27" s="45">
        <v>15916586.890000001</v>
      </c>
      <c r="Q27" s="45">
        <v>0.12859999999999999</v>
      </c>
      <c r="R27" s="45">
        <v>6.9999999999999999E-4</v>
      </c>
      <c r="S27" s="3">
        <f>CurrentMtgRatesDataTable82523[[#This Row],[cum_df_pct]]*100</f>
        <v>6.9999999999999993E-2</v>
      </c>
      <c r="T27" s="3">
        <f>CurrentMtgRatesDataTable82523[[#This Row],[pct_dq]]*100</f>
        <v>0.2293712620511198</v>
      </c>
    </row>
    <row r="28" spans="3:20">
      <c r="C28" s="45" t="s">
        <v>64</v>
      </c>
      <c r="D28" s="45" t="s">
        <v>65</v>
      </c>
      <c r="E28" s="45">
        <v>35184267786.93</v>
      </c>
      <c r="F28" s="46">
        <v>41579</v>
      </c>
      <c r="G28" s="45">
        <v>145598</v>
      </c>
      <c r="H28" s="45">
        <v>255323382.09999999</v>
      </c>
      <c r="I28" s="45">
        <v>0</v>
      </c>
      <c r="J28" s="45">
        <v>7.2567484890177451E-3</v>
      </c>
      <c r="K28" s="45">
        <v>0</v>
      </c>
      <c r="L28" s="45">
        <v>8.3688000000000002</v>
      </c>
      <c r="M28" s="45">
        <v>0</v>
      </c>
      <c r="N28" s="45">
        <v>1.1134998982287603E-3</v>
      </c>
      <c r="O28" s="45">
        <v>255323382.09999999</v>
      </c>
      <c r="P28" s="45">
        <v>0</v>
      </c>
      <c r="Q28" s="45">
        <v>7.7000000000000002E-3</v>
      </c>
      <c r="R28" s="45">
        <v>0</v>
      </c>
      <c r="S28" s="3">
        <f>CurrentMtgRatesDataTable82523[[#This Row],[cum_df_pct]]*100</f>
        <v>0</v>
      </c>
      <c r="T28" s="3">
        <f>CurrentMtgRatesDataTable82523[[#This Row],[pct_dq]]*100</f>
        <v>0.11134998982287603</v>
      </c>
    </row>
    <row r="29" spans="3:20">
      <c r="C29" s="45" t="s">
        <v>64</v>
      </c>
      <c r="D29" s="45" t="s">
        <v>65</v>
      </c>
      <c r="E29" s="45">
        <v>34859342835.760002</v>
      </c>
      <c r="F29" s="46">
        <v>41609</v>
      </c>
      <c r="G29" s="45">
        <v>144497</v>
      </c>
      <c r="H29" s="45">
        <v>74914647.040000007</v>
      </c>
      <c r="I29" s="45">
        <v>0</v>
      </c>
      <c r="J29" s="45">
        <v>2.1490550580072838E-3</v>
      </c>
      <c r="K29" s="45">
        <v>0</v>
      </c>
      <c r="L29" s="45">
        <v>2.5486</v>
      </c>
      <c r="M29" s="45">
        <v>0</v>
      </c>
      <c r="N29" s="45">
        <v>1.7538831299275424E-3</v>
      </c>
      <c r="O29" s="45">
        <v>330238029.13999999</v>
      </c>
      <c r="P29" s="45">
        <v>0</v>
      </c>
      <c r="Q29" s="45">
        <v>0.01</v>
      </c>
      <c r="R29" s="45">
        <v>0</v>
      </c>
      <c r="S29" s="3">
        <f>CurrentMtgRatesDataTable82523[[#This Row],[cum_df_pct]]*100</f>
        <v>0</v>
      </c>
      <c r="T29" s="3">
        <f>CurrentMtgRatesDataTable82523[[#This Row],[pct_dq]]*100</f>
        <v>0.17538831299275423</v>
      </c>
    </row>
    <row r="30" spans="3:20">
      <c r="C30" s="45" t="s">
        <v>64</v>
      </c>
      <c r="D30" s="45" t="s">
        <v>65</v>
      </c>
      <c r="E30" s="45">
        <v>34710539920.269997</v>
      </c>
      <c r="F30" s="46">
        <v>41640</v>
      </c>
      <c r="G30" s="45">
        <v>144155</v>
      </c>
      <c r="H30" s="45">
        <v>76909619.870000005</v>
      </c>
      <c r="I30" s="45">
        <v>0</v>
      </c>
      <c r="J30" s="45">
        <v>2.2157425394897672E-3</v>
      </c>
      <c r="K30" s="45">
        <v>0</v>
      </c>
      <c r="L30" s="45">
        <v>2.6267</v>
      </c>
      <c r="M30" s="45">
        <v>0</v>
      </c>
      <c r="N30" s="45">
        <v>1.8421270287605088E-3</v>
      </c>
      <c r="O30" s="45">
        <v>407147649.00999999</v>
      </c>
      <c r="P30" s="45">
        <v>0</v>
      </c>
      <c r="Q30" s="45">
        <v>1.24E-2</v>
      </c>
      <c r="R30" s="45">
        <v>0</v>
      </c>
      <c r="S30" s="3">
        <f>CurrentMtgRatesDataTable82523[[#This Row],[cum_df_pct]]*100</f>
        <v>0</v>
      </c>
      <c r="T30" s="3">
        <f>CurrentMtgRatesDataTable82523[[#This Row],[pct_dq]]*100</f>
        <v>0.18421270287605088</v>
      </c>
    </row>
    <row r="31" spans="3:20">
      <c r="C31" s="45" t="s">
        <v>64</v>
      </c>
      <c r="D31" s="45" t="s">
        <v>65</v>
      </c>
      <c r="E31" s="45">
        <v>34561418507.610001</v>
      </c>
      <c r="F31" s="46">
        <v>41671</v>
      </c>
      <c r="G31" s="45">
        <v>143801</v>
      </c>
      <c r="H31" s="45">
        <v>106255295.29000001</v>
      </c>
      <c r="I31" s="45">
        <v>260106.15</v>
      </c>
      <c r="J31" s="45">
        <v>3.0743904584415102E-3</v>
      </c>
      <c r="K31" s="45">
        <v>7.5259107187029327E-6</v>
      </c>
      <c r="L31" s="45">
        <v>3.6274999999999999</v>
      </c>
      <c r="M31" s="45">
        <v>8.9999999999999993E-3</v>
      </c>
      <c r="N31" s="45">
        <v>1.7825470643351869E-3</v>
      </c>
      <c r="O31" s="45">
        <v>513402944.30000001</v>
      </c>
      <c r="P31" s="45">
        <v>260106.15</v>
      </c>
      <c r="Q31" s="45">
        <v>1.5599999999999999E-2</v>
      </c>
      <c r="R31" s="45">
        <v>0</v>
      </c>
      <c r="S31" s="3">
        <f>CurrentMtgRatesDataTable82523[[#This Row],[cum_df_pct]]*100</f>
        <v>0</v>
      </c>
      <c r="T31" s="3">
        <f>CurrentMtgRatesDataTable82523[[#This Row],[pct_dq]]*100</f>
        <v>0.17825470643351868</v>
      </c>
    </row>
    <row r="32" spans="3:20">
      <c r="C32" s="45" t="s">
        <v>64</v>
      </c>
      <c r="D32" s="45" t="s">
        <v>65</v>
      </c>
      <c r="E32" s="45">
        <v>34383902530.860001</v>
      </c>
      <c r="F32" s="46">
        <v>41699</v>
      </c>
      <c r="G32" s="45">
        <v>143311</v>
      </c>
      <c r="H32" s="45">
        <v>114846150.92</v>
      </c>
      <c r="I32" s="45">
        <v>1118824.01</v>
      </c>
      <c r="J32" s="45">
        <v>3.3401139040841591E-3</v>
      </c>
      <c r="K32" s="45">
        <v>3.2539180478302043E-5</v>
      </c>
      <c r="L32" s="45">
        <v>3.9352999999999998</v>
      </c>
      <c r="M32" s="45">
        <v>3.9E-2</v>
      </c>
      <c r="N32" s="45">
        <v>2.4791712180865094E-3</v>
      </c>
      <c r="O32" s="45">
        <v>628249095.22000003</v>
      </c>
      <c r="P32" s="45">
        <v>1378930.16</v>
      </c>
      <c r="Q32" s="45">
        <v>1.9099999999999999E-2</v>
      </c>
      <c r="R32" s="45">
        <v>0</v>
      </c>
      <c r="S32" s="3">
        <f>CurrentMtgRatesDataTable82523[[#This Row],[cum_df_pct]]*100</f>
        <v>0</v>
      </c>
      <c r="T32" s="3">
        <f>CurrentMtgRatesDataTable82523[[#This Row],[pct_dq]]*100</f>
        <v>0.24791712180865094</v>
      </c>
    </row>
    <row r="33" spans="3:20">
      <c r="C33" s="45" t="s">
        <v>64</v>
      </c>
      <c r="D33" s="45" t="s">
        <v>65</v>
      </c>
      <c r="E33" s="45">
        <v>34194102666.93</v>
      </c>
      <c r="F33" s="46">
        <v>41730</v>
      </c>
      <c r="G33" s="45">
        <v>142808</v>
      </c>
      <c r="H33" s="45">
        <v>153343552.21000001</v>
      </c>
      <c r="I33" s="45">
        <v>495173.75</v>
      </c>
      <c r="J33" s="45">
        <v>4.4845028893915825E-3</v>
      </c>
      <c r="K33" s="45">
        <v>1.4481261719989375E-5</v>
      </c>
      <c r="L33" s="45">
        <v>5.2506000000000004</v>
      </c>
      <c r="M33" s="45">
        <v>1.7299999999999999E-2</v>
      </c>
      <c r="N33" s="45">
        <v>2.0046795170412454E-3</v>
      </c>
      <c r="O33" s="45">
        <v>781592647.42999995</v>
      </c>
      <c r="P33" s="45">
        <v>1874103.91</v>
      </c>
      <c r="Q33" s="45">
        <v>2.3800000000000002E-2</v>
      </c>
      <c r="R33" s="45">
        <v>0</v>
      </c>
      <c r="S33" s="3">
        <f>CurrentMtgRatesDataTable82523[[#This Row],[cum_df_pct]]*100</f>
        <v>0</v>
      </c>
      <c r="T33" s="3">
        <f>CurrentMtgRatesDataTable82523[[#This Row],[pct_dq]]*100</f>
        <v>0.20046795170412454</v>
      </c>
    </row>
    <row r="34" spans="3:20">
      <c r="C34" s="45" t="s">
        <v>64</v>
      </c>
      <c r="D34" s="45" t="s">
        <v>65</v>
      </c>
      <c r="E34" s="45">
        <v>33969478822.689999</v>
      </c>
      <c r="F34" s="46">
        <v>41760</v>
      </c>
      <c r="G34" s="45">
        <v>142132</v>
      </c>
      <c r="H34" s="45">
        <v>168089678.15000001</v>
      </c>
      <c r="I34" s="45">
        <v>600232.69999999995</v>
      </c>
      <c r="J34" s="45">
        <v>4.9482560220418829E-3</v>
      </c>
      <c r="K34" s="45">
        <v>1.7669764765395017E-5</v>
      </c>
      <c r="L34" s="45">
        <v>5.7789000000000001</v>
      </c>
      <c r="M34" s="45">
        <v>2.12E-2</v>
      </c>
      <c r="N34" s="45">
        <v>2.0610782018602573E-3</v>
      </c>
      <c r="O34" s="45">
        <v>949682325.58000004</v>
      </c>
      <c r="P34" s="45">
        <v>2474336.61</v>
      </c>
      <c r="Q34" s="45">
        <v>2.9000000000000001E-2</v>
      </c>
      <c r="R34" s="45">
        <v>0</v>
      </c>
      <c r="S34" s="3">
        <f>CurrentMtgRatesDataTable82523[[#This Row],[cum_df_pct]]*100</f>
        <v>0</v>
      </c>
      <c r="T34" s="3">
        <f>CurrentMtgRatesDataTable82523[[#This Row],[pct_dq]]*100</f>
        <v>0.20610782018602572</v>
      </c>
    </row>
    <row r="35" spans="3:20">
      <c r="C35" s="45" t="s">
        <v>64</v>
      </c>
      <c r="D35" s="45" t="s">
        <v>65</v>
      </c>
      <c r="E35" s="45">
        <v>33733163472.400002</v>
      </c>
      <c r="F35" s="46">
        <v>41791</v>
      </c>
      <c r="G35" s="45">
        <v>141415</v>
      </c>
      <c r="H35" s="45">
        <v>170343588.58000001</v>
      </c>
      <c r="I35" s="45">
        <v>779358.81</v>
      </c>
      <c r="J35" s="45">
        <v>5.0497365513724416E-3</v>
      </c>
      <c r="K35" s="45">
        <v>2.3103638371706833E-5</v>
      </c>
      <c r="L35" s="45">
        <v>5.8940999999999999</v>
      </c>
      <c r="M35" s="45">
        <v>2.7699999999999999E-2</v>
      </c>
      <c r="N35" s="45">
        <v>1.9825996525561487E-3</v>
      </c>
      <c r="O35" s="45">
        <v>1120025914.1600001</v>
      </c>
      <c r="P35" s="45">
        <v>3253695.42</v>
      </c>
      <c r="Q35" s="45">
        <v>3.4200000000000001E-2</v>
      </c>
      <c r="R35" s="45">
        <v>0</v>
      </c>
      <c r="S35" s="3">
        <f>CurrentMtgRatesDataTable82523[[#This Row],[cum_df_pct]]*100</f>
        <v>0</v>
      </c>
      <c r="T35" s="3">
        <f>CurrentMtgRatesDataTable82523[[#This Row],[pct_dq]]*100</f>
        <v>0.19825996525561487</v>
      </c>
    </row>
    <row r="36" spans="3:20">
      <c r="C36" s="45" t="s">
        <v>64</v>
      </c>
      <c r="D36" s="45" t="s">
        <v>65</v>
      </c>
      <c r="E36" s="45">
        <v>33490133224.82</v>
      </c>
      <c r="F36" s="46">
        <v>41821</v>
      </c>
      <c r="G36" s="45">
        <v>140635</v>
      </c>
      <c r="H36" s="45">
        <v>157283570.87</v>
      </c>
      <c r="I36" s="45">
        <v>722780.87</v>
      </c>
      <c r="J36" s="45">
        <v>4.6964152042678342E-3</v>
      </c>
      <c r="K36" s="45">
        <v>2.1581904889656789E-5</v>
      </c>
      <c r="L36" s="45">
        <v>5.4923000000000002</v>
      </c>
      <c r="M36" s="45">
        <v>2.58E-2</v>
      </c>
      <c r="N36" s="45">
        <v>2.2383653709816768E-3</v>
      </c>
      <c r="O36" s="45">
        <v>1277309485.03</v>
      </c>
      <c r="P36" s="45">
        <v>3976476.29</v>
      </c>
      <c r="Q36" s="45">
        <v>3.9E-2</v>
      </c>
      <c r="R36" s="45">
        <v>1E-4</v>
      </c>
      <c r="S36" s="3">
        <f>CurrentMtgRatesDataTable82523[[#This Row],[cum_df_pct]]*100</f>
        <v>0.01</v>
      </c>
      <c r="T36" s="3">
        <f>CurrentMtgRatesDataTable82523[[#This Row],[pct_dq]]*100</f>
        <v>0.22383653709816767</v>
      </c>
    </row>
    <row r="37" spans="3:20">
      <c r="C37" s="45" t="s">
        <v>64</v>
      </c>
      <c r="D37" s="45" t="s">
        <v>65</v>
      </c>
      <c r="E37" s="45">
        <v>33260667256.009998</v>
      </c>
      <c r="F37" s="46">
        <v>41852</v>
      </c>
      <c r="G37" s="45">
        <v>139941</v>
      </c>
      <c r="H37" s="45">
        <v>132800769.36</v>
      </c>
      <c r="I37" s="45">
        <v>572154.51</v>
      </c>
      <c r="J37" s="45">
        <v>3.9927271554061712E-3</v>
      </c>
      <c r="K37" s="45">
        <v>1.7202135651581529E-5</v>
      </c>
      <c r="L37" s="45">
        <v>4.6874000000000002</v>
      </c>
      <c r="M37" s="45">
        <v>2.06E-2</v>
      </c>
      <c r="N37" s="45">
        <v>2.2145809990234146E-3</v>
      </c>
      <c r="O37" s="45">
        <v>1410110254.3900001</v>
      </c>
      <c r="P37" s="45">
        <v>4548630.8</v>
      </c>
      <c r="Q37" s="45">
        <v>4.2999999999999997E-2</v>
      </c>
      <c r="R37" s="45">
        <v>1E-4</v>
      </c>
      <c r="S37" s="3">
        <f>CurrentMtgRatesDataTable82523[[#This Row],[cum_df_pct]]*100</f>
        <v>0.01</v>
      </c>
      <c r="T37" s="3">
        <f>CurrentMtgRatesDataTable82523[[#This Row],[pct_dq]]*100</f>
        <v>0.22145809990234147</v>
      </c>
    </row>
    <row r="38" spans="3:20">
      <c r="C38" s="45" t="s">
        <v>64</v>
      </c>
      <c r="D38" s="45" t="s">
        <v>65</v>
      </c>
      <c r="E38" s="45">
        <v>33055593115.669998</v>
      </c>
      <c r="F38" s="46">
        <v>41883</v>
      </c>
      <c r="G38" s="45">
        <v>139324</v>
      </c>
      <c r="H38" s="45">
        <v>149898725.88999999</v>
      </c>
      <c r="I38" s="45">
        <v>1498860.31</v>
      </c>
      <c r="J38" s="45">
        <v>4.5347462187553525E-3</v>
      </c>
      <c r="K38" s="45">
        <v>4.5343621720992976E-5</v>
      </c>
      <c r="L38" s="45">
        <v>5.3079999999999998</v>
      </c>
      <c r="M38" s="45">
        <v>5.4300000000000001E-2</v>
      </c>
      <c r="N38" s="45">
        <v>2.5701887094479372E-3</v>
      </c>
      <c r="O38" s="45">
        <v>1560008980.28</v>
      </c>
      <c r="P38" s="45">
        <v>6047491.1100000003</v>
      </c>
      <c r="Q38" s="45">
        <v>4.7600000000000003E-2</v>
      </c>
      <c r="R38" s="45">
        <v>1E-4</v>
      </c>
      <c r="S38" s="3">
        <f>CurrentMtgRatesDataTable82523[[#This Row],[cum_df_pct]]*100</f>
        <v>0.01</v>
      </c>
      <c r="T38" s="3">
        <f>CurrentMtgRatesDataTable82523[[#This Row],[pct_dq]]*100</f>
        <v>0.2570188709447937</v>
      </c>
    </row>
    <row r="39" spans="3:20">
      <c r="C39" s="45" t="s">
        <v>64</v>
      </c>
      <c r="D39" s="45" t="s">
        <v>65</v>
      </c>
      <c r="E39" s="45">
        <v>32833580707.720001</v>
      </c>
      <c r="F39" s="46">
        <v>41913</v>
      </c>
      <c r="G39" s="45">
        <v>138650</v>
      </c>
      <c r="H39" s="45">
        <v>126407170.72</v>
      </c>
      <c r="I39" s="45">
        <v>1553912.54</v>
      </c>
      <c r="J39" s="45">
        <v>3.8499355840978531E-3</v>
      </c>
      <c r="K39" s="45">
        <v>4.7326928909542785E-5</v>
      </c>
      <c r="L39" s="45">
        <v>4.5232999999999999</v>
      </c>
      <c r="M39" s="45">
        <v>5.67E-2</v>
      </c>
      <c r="N39" s="45">
        <v>2.514640221697994E-3</v>
      </c>
      <c r="O39" s="45">
        <v>1686416151</v>
      </c>
      <c r="P39" s="45">
        <v>7601403.6500000004</v>
      </c>
      <c r="Q39" s="45">
        <v>5.1499999999999997E-2</v>
      </c>
      <c r="R39" s="45">
        <v>2.0000000000000001E-4</v>
      </c>
      <c r="S39" s="3">
        <f>CurrentMtgRatesDataTable82523[[#This Row],[cum_df_pct]]*100</f>
        <v>0.02</v>
      </c>
      <c r="T39" s="3">
        <f>CurrentMtgRatesDataTable82523[[#This Row],[pct_dq]]*100</f>
        <v>0.25146402216979941</v>
      </c>
    </row>
    <row r="40" spans="3:20">
      <c r="C40" s="45" t="s">
        <v>64</v>
      </c>
      <c r="D40" s="45" t="s">
        <v>65</v>
      </c>
      <c r="E40" s="45">
        <v>32634637088.779999</v>
      </c>
      <c r="F40" s="46">
        <v>41944</v>
      </c>
      <c r="G40" s="45">
        <v>138086</v>
      </c>
      <c r="H40" s="45">
        <v>142619560.99000001</v>
      </c>
      <c r="I40" s="45">
        <v>1328887.02</v>
      </c>
      <c r="J40" s="45">
        <v>4.3701898875729657E-3</v>
      </c>
      <c r="K40" s="45">
        <v>4.072014088542998E-5</v>
      </c>
      <c r="L40" s="45">
        <v>5.1199000000000003</v>
      </c>
      <c r="M40" s="45">
        <v>4.8800000000000003E-2</v>
      </c>
      <c r="N40" s="45">
        <v>2.1534383388060281E-3</v>
      </c>
      <c r="O40" s="45">
        <v>1829035711.99</v>
      </c>
      <c r="P40" s="45">
        <v>8930290.6699999999</v>
      </c>
      <c r="Q40" s="45">
        <v>5.5800000000000002E-2</v>
      </c>
      <c r="R40" s="45">
        <v>2.0000000000000001E-4</v>
      </c>
      <c r="S40" s="3">
        <f>CurrentMtgRatesDataTable82523[[#This Row],[cum_df_pct]]*100</f>
        <v>0.02</v>
      </c>
      <c r="T40" s="3">
        <f>CurrentMtgRatesDataTable82523[[#This Row],[pct_dq]]*100</f>
        <v>0.2153438338806028</v>
      </c>
    </row>
    <row r="41" spans="3:20">
      <c r="C41" s="45" t="s">
        <v>64</v>
      </c>
      <c r="D41" s="45" t="s">
        <v>65</v>
      </c>
      <c r="E41" s="45">
        <v>32417706750.169998</v>
      </c>
      <c r="F41" s="46">
        <v>41974</v>
      </c>
      <c r="G41" s="45">
        <v>137459</v>
      </c>
      <c r="H41" s="45">
        <v>103510857.08</v>
      </c>
      <c r="I41" s="45">
        <v>753052.33</v>
      </c>
      <c r="J41" s="45">
        <v>3.1930345313354773E-3</v>
      </c>
      <c r="K41" s="45">
        <v>2.3229660746932721E-5</v>
      </c>
      <c r="L41" s="45">
        <v>3.7650000000000001</v>
      </c>
      <c r="M41" s="45">
        <v>2.7799999999999998E-2</v>
      </c>
      <c r="N41" s="45">
        <v>3.1372260189091467E-3</v>
      </c>
      <c r="O41" s="45">
        <v>1932546569.0699999</v>
      </c>
      <c r="P41" s="45">
        <v>9683343</v>
      </c>
      <c r="Q41" s="45">
        <v>5.8999999999999997E-2</v>
      </c>
      <c r="R41" s="45">
        <v>2.0000000000000001E-4</v>
      </c>
      <c r="S41" s="3">
        <f>CurrentMtgRatesDataTable82523[[#This Row],[cum_df_pct]]*100</f>
        <v>0.02</v>
      </c>
      <c r="T41" s="3">
        <f>CurrentMtgRatesDataTable82523[[#This Row],[pct_dq]]*100</f>
        <v>0.31372260189091467</v>
      </c>
    </row>
    <row r="42" spans="3:20">
      <c r="C42" s="45" t="s">
        <v>64</v>
      </c>
      <c r="D42" s="45" t="s">
        <v>65</v>
      </c>
      <c r="E42" s="45">
        <v>32239798911.360001</v>
      </c>
      <c r="F42" s="46">
        <v>42005</v>
      </c>
      <c r="G42" s="45">
        <v>137023</v>
      </c>
      <c r="H42" s="45">
        <v>129099715.43000001</v>
      </c>
      <c r="I42" s="45">
        <v>2259765.79</v>
      </c>
      <c r="J42" s="45">
        <v>4.0043585812971835E-3</v>
      </c>
      <c r="K42" s="45">
        <v>7.0092428188308275E-5</v>
      </c>
      <c r="L42" s="45">
        <v>4.7008000000000001</v>
      </c>
      <c r="M42" s="45">
        <v>8.4000000000000005E-2</v>
      </c>
      <c r="N42" s="45">
        <v>2.5071003222516793E-3</v>
      </c>
      <c r="O42" s="45">
        <v>2061646284.5</v>
      </c>
      <c r="P42" s="45">
        <v>11943108.789999999</v>
      </c>
      <c r="Q42" s="45">
        <v>6.2899999999999998E-2</v>
      </c>
      <c r="R42" s="45">
        <v>2.9999999999999997E-4</v>
      </c>
      <c r="S42" s="3">
        <f>CurrentMtgRatesDataTable82523[[#This Row],[cum_df_pct]]*100</f>
        <v>0.03</v>
      </c>
      <c r="T42" s="3">
        <f>CurrentMtgRatesDataTable82523[[#This Row],[pct_dq]]*100</f>
        <v>0.25071003222516791</v>
      </c>
    </row>
    <row r="43" spans="3:20">
      <c r="C43" s="45" t="s">
        <v>64</v>
      </c>
      <c r="D43" s="45" t="s">
        <v>65</v>
      </c>
      <c r="E43" s="45">
        <v>32038687612.509998</v>
      </c>
      <c r="F43" s="46">
        <v>42036</v>
      </c>
      <c r="G43" s="45">
        <v>136465</v>
      </c>
      <c r="H43" s="45">
        <v>202706002.22</v>
      </c>
      <c r="I43" s="45">
        <v>1168297.3</v>
      </c>
      <c r="J43" s="45">
        <v>6.3269134076781074E-3</v>
      </c>
      <c r="K43" s="45">
        <v>3.6465204634156744E-5</v>
      </c>
      <c r="L43" s="45">
        <v>7.3334999999999999</v>
      </c>
      <c r="M43" s="45">
        <v>4.3700000000000003E-2</v>
      </c>
      <c r="N43" s="45">
        <v>2.6006103189278691E-3</v>
      </c>
      <c r="O43" s="45">
        <v>2264352286.7199998</v>
      </c>
      <c r="P43" s="45">
        <v>13111406.09</v>
      </c>
      <c r="Q43" s="45">
        <v>6.9099999999999995E-2</v>
      </c>
      <c r="R43" s="45">
        <v>4.0000000000000002E-4</v>
      </c>
      <c r="S43" s="3">
        <f>CurrentMtgRatesDataTable82523[[#This Row],[cum_df_pct]]*100</f>
        <v>0.04</v>
      </c>
      <c r="T43" s="3">
        <f>CurrentMtgRatesDataTable82523[[#This Row],[pct_dq]]*100</f>
        <v>0.2600610318927869</v>
      </c>
    </row>
    <row r="44" spans="3:20">
      <c r="C44" s="45" t="s">
        <v>64</v>
      </c>
      <c r="D44" s="45" t="s">
        <v>65</v>
      </c>
      <c r="E44" s="45">
        <v>31763545472.23</v>
      </c>
      <c r="F44" s="46">
        <v>42064</v>
      </c>
      <c r="G44" s="45">
        <v>135631</v>
      </c>
      <c r="H44" s="45">
        <v>204386465.34</v>
      </c>
      <c r="I44" s="45">
        <v>1673286.98</v>
      </c>
      <c r="J44" s="45">
        <v>6.4346237896739048E-3</v>
      </c>
      <c r="K44" s="45">
        <v>5.2679477530709191E-5</v>
      </c>
      <c r="L44" s="45">
        <v>7.4539999999999997</v>
      </c>
      <c r="M44" s="45">
        <v>6.3100000000000003E-2</v>
      </c>
      <c r="N44" s="45">
        <v>3.0653763936751175E-3</v>
      </c>
      <c r="O44" s="45">
        <v>2468738752.0599999</v>
      </c>
      <c r="P44" s="45">
        <v>14784693.07</v>
      </c>
      <c r="Q44" s="45">
        <v>7.5300000000000006E-2</v>
      </c>
      <c r="R44" s="45">
        <v>4.0000000000000002E-4</v>
      </c>
      <c r="S44" s="3">
        <f>CurrentMtgRatesDataTable82523[[#This Row],[cum_df_pct]]*100</f>
        <v>0.04</v>
      </c>
      <c r="T44" s="3">
        <f>CurrentMtgRatesDataTable82523[[#This Row],[pct_dq]]*100</f>
        <v>0.30653763936751177</v>
      </c>
    </row>
    <row r="45" spans="3:20">
      <c r="C45" s="45" t="s">
        <v>64</v>
      </c>
      <c r="D45" s="45" t="s">
        <v>65</v>
      </c>
      <c r="E45" s="45">
        <v>31481839071.779999</v>
      </c>
      <c r="F45" s="46">
        <v>42095</v>
      </c>
      <c r="G45" s="45">
        <v>134755</v>
      </c>
      <c r="H45" s="45">
        <v>220484533.44</v>
      </c>
      <c r="I45" s="45">
        <v>2931733.85</v>
      </c>
      <c r="J45" s="45">
        <v>7.0035468047875285E-3</v>
      </c>
      <c r="K45" s="45">
        <v>9.3124605691411981E-5</v>
      </c>
      <c r="L45" s="45">
        <v>8.0878999999999994</v>
      </c>
      <c r="M45" s="45">
        <v>0.1116</v>
      </c>
      <c r="N45" s="45">
        <v>2.1280434159913291E-3</v>
      </c>
      <c r="O45" s="45">
        <v>2689223285.5</v>
      </c>
      <c r="P45" s="45">
        <v>17716426.920000002</v>
      </c>
      <c r="Q45" s="45">
        <v>8.2100000000000006E-2</v>
      </c>
      <c r="R45" s="45">
        <v>5.0000000000000001E-4</v>
      </c>
      <c r="S45" s="3">
        <f>CurrentMtgRatesDataTable82523[[#This Row],[cum_df_pct]]*100</f>
        <v>0.05</v>
      </c>
      <c r="T45" s="3">
        <f>CurrentMtgRatesDataTable82523[[#This Row],[pct_dq]]*100</f>
        <v>0.21280434159913292</v>
      </c>
    </row>
    <row r="46" spans="3:20">
      <c r="C46" s="45" t="s">
        <v>64</v>
      </c>
      <c r="D46" s="45" t="s">
        <v>65</v>
      </c>
      <c r="E46" s="45">
        <v>31187038920.860001</v>
      </c>
      <c r="F46" s="46">
        <v>42125</v>
      </c>
      <c r="G46" s="45">
        <v>133785</v>
      </c>
      <c r="H46" s="45">
        <v>246981466.37</v>
      </c>
      <c r="I46" s="45">
        <v>577183.81000000006</v>
      </c>
      <c r="J46" s="45">
        <v>7.9193624953218019E-3</v>
      </c>
      <c r="K46" s="45">
        <v>1.8507169323277449E-5</v>
      </c>
      <c r="L46" s="45">
        <v>9.1</v>
      </c>
      <c r="M46" s="45">
        <v>2.2200000000000001E-2</v>
      </c>
      <c r="N46" s="45">
        <v>2.313786107206684E-3</v>
      </c>
      <c r="O46" s="45">
        <v>2936204751.8699999</v>
      </c>
      <c r="P46" s="45">
        <v>18293610.73</v>
      </c>
      <c r="Q46" s="45">
        <v>8.9599999999999999E-2</v>
      </c>
      <c r="R46" s="45">
        <v>5.0000000000000001E-4</v>
      </c>
      <c r="S46" s="3">
        <f>CurrentMtgRatesDataTable82523[[#This Row],[cum_df_pct]]*100</f>
        <v>0.05</v>
      </c>
      <c r="T46" s="3">
        <f>CurrentMtgRatesDataTable82523[[#This Row],[pct_dq]]*100</f>
        <v>0.2313786107206684</v>
      </c>
    </row>
    <row r="47" spans="3:20">
      <c r="C47" s="45" t="s">
        <v>66</v>
      </c>
      <c r="D47" s="45" t="s">
        <v>67</v>
      </c>
      <c r="E47" s="45">
        <v>32312170855.900002</v>
      </c>
      <c r="F47" s="46">
        <v>41671</v>
      </c>
      <c r="G47" s="45">
        <v>139513</v>
      </c>
      <c r="H47" s="45">
        <v>207134927.44999999</v>
      </c>
      <c r="I47" s="45">
        <v>0</v>
      </c>
      <c r="J47" s="45">
        <v>6.4104305580006691E-3</v>
      </c>
      <c r="K47" s="45">
        <v>0</v>
      </c>
      <c r="L47" s="45">
        <v>7.4269999999999996</v>
      </c>
      <c r="M47" s="45">
        <v>0</v>
      </c>
      <c r="N47" s="45">
        <v>8.3035215336207978E-4</v>
      </c>
      <c r="O47" s="45">
        <v>207134927.44999999</v>
      </c>
      <c r="P47" s="45">
        <v>0</v>
      </c>
      <c r="Q47" s="45">
        <v>6.7999999999999996E-3</v>
      </c>
      <c r="R47" s="45">
        <v>0</v>
      </c>
      <c r="S47" s="3">
        <f>CurrentMtgRatesDataTable82523[[#This Row],[cum_df_pct]]*100</f>
        <v>0</v>
      </c>
      <c r="T47" s="3">
        <f>CurrentMtgRatesDataTable82523[[#This Row],[pct_dq]]*100</f>
        <v>8.3035215336207974E-2</v>
      </c>
    </row>
    <row r="48" spans="3:20">
      <c r="C48" s="45" t="s">
        <v>66</v>
      </c>
      <c r="D48" s="45" t="s">
        <v>67</v>
      </c>
      <c r="E48" s="45">
        <v>32038558514.889999</v>
      </c>
      <c r="F48" s="46">
        <v>41699</v>
      </c>
      <c r="G48" s="45">
        <v>138574</v>
      </c>
      <c r="H48" s="45">
        <v>105706737.76000001</v>
      </c>
      <c r="I48" s="45">
        <v>0</v>
      </c>
      <c r="J48" s="45">
        <v>3.2993599793471524E-3</v>
      </c>
      <c r="K48" s="45">
        <v>0</v>
      </c>
      <c r="L48" s="45">
        <v>3.8881000000000001</v>
      </c>
      <c r="M48" s="45">
        <v>0</v>
      </c>
      <c r="N48" s="45">
        <v>1.5226672684829901E-3</v>
      </c>
      <c r="O48" s="45">
        <v>312841665.20999998</v>
      </c>
      <c r="P48" s="45">
        <v>0</v>
      </c>
      <c r="Q48" s="45">
        <v>1.03E-2</v>
      </c>
      <c r="R48" s="45">
        <v>0</v>
      </c>
      <c r="S48" s="3">
        <f>CurrentMtgRatesDataTable82523[[#This Row],[cum_df_pct]]*100</f>
        <v>0</v>
      </c>
      <c r="T48" s="3">
        <f>CurrentMtgRatesDataTable82523[[#This Row],[pct_dq]]*100</f>
        <v>0.15226672684829901</v>
      </c>
    </row>
    <row r="49" spans="3:20">
      <c r="C49" s="45" t="s">
        <v>66</v>
      </c>
      <c r="D49" s="45" t="s">
        <v>67</v>
      </c>
      <c r="E49" s="45">
        <v>31865279462.52</v>
      </c>
      <c r="F49" s="46">
        <v>41730</v>
      </c>
      <c r="G49" s="45">
        <v>138094</v>
      </c>
      <c r="H49" s="45">
        <v>128322520.90000001</v>
      </c>
      <c r="I49" s="45">
        <v>0</v>
      </c>
      <c r="J49" s="45">
        <v>4.0270326532341628E-3</v>
      </c>
      <c r="K49" s="45">
        <v>0</v>
      </c>
      <c r="L49" s="45">
        <v>4.7267999999999999</v>
      </c>
      <c r="M49" s="45">
        <v>0</v>
      </c>
      <c r="N49" s="45">
        <v>1.1277179985904994E-3</v>
      </c>
      <c r="O49" s="45">
        <v>441164186.11000001</v>
      </c>
      <c r="P49" s="45">
        <v>0</v>
      </c>
      <c r="Q49" s="45">
        <v>1.4500000000000001E-2</v>
      </c>
      <c r="R49" s="45">
        <v>0</v>
      </c>
      <c r="S49" s="3">
        <f>CurrentMtgRatesDataTable82523[[#This Row],[cum_df_pct]]*100</f>
        <v>0</v>
      </c>
      <c r="T49" s="3">
        <f>CurrentMtgRatesDataTable82523[[#This Row],[pct_dq]]*100</f>
        <v>0.11277179985904995</v>
      </c>
    </row>
    <row r="50" spans="3:20">
      <c r="C50" s="45" t="s">
        <v>66</v>
      </c>
      <c r="D50" s="45" t="s">
        <v>67</v>
      </c>
      <c r="E50" s="45">
        <v>31667475693.279999</v>
      </c>
      <c r="F50" s="46">
        <v>41760</v>
      </c>
      <c r="G50" s="45">
        <v>137486</v>
      </c>
      <c r="H50" s="45">
        <v>150016275.28999999</v>
      </c>
      <c r="I50" s="45">
        <v>412038.9</v>
      </c>
      <c r="J50" s="45">
        <v>4.7372350339194933E-3</v>
      </c>
      <c r="K50" s="45">
        <v>1.3011422318307384E-5</v>
      </c>
      <c r="L50" s="45">
        <v>5.5388000000000002</v>
      </c>
      <c r="M50" s="45">
        <v>1.5599999999999999E-2</v>
      </c>
      <c r="N50" s="45">
        <v>1.3793726491836981E-3</v>
      </c>
      <c r="O50" s="45">
        <v>591180461.39999998</v>
      </c>
      <c r="P50" s="45">
        <v>412038.9</v>
      </c>
      <c r="Q50" s="45">
        <v>1.95E-2</v>
      </c>
      <c r="R50" s="45">
        <v>0</v>
      </c>
      <c r="S50" s="3">
        <f>CurrentMtgRatesDataTable82523[[#This Row],[cum_df_pct]]*100</f>
        <v>0</v>
      </c>
      <c r="T50" s="3">
        <f>CurrentMtgRatesDataTable82523[[#This Row],[pct_dq]]*100</f>
        <v>0.1379372649183698</v>
      </c>
    </row>
    <row r="51" spans="3:20">
      <c r="C51" s="45" t="s">
        <v>66</v>
      </c>
      <c r="D51" s="45" t="s">
        <v>67</v>
      </c>
      <c r="E51" s="45">
        <v>31454431558.75</v>
      </c>
      <c r="F51" s="46">
        <v>41791</v>
      </c>
      <c r="G51" s="45">
        <v>136821</v>
      </c>
      <c r="H51" s="45">
        <v>143509133.41999999</v>
      </c>
      <c r="I51" s="45">
        <v>83561.429999999993</v>
      </c>
      <c r="J51" s="45">
        <v>4.5624456176216795E-3</v>
      </c>
      <c r="K51" s="45">
        <v>2.6565868737422743E-6</v>
      </c>
      <c r="L51" s="45">
        <v>5.3395999999999999</v>
      </c>
      <c r="M51" s="45">
        <v>3.0999999999999999E-3</v>
      </c>
      <c r="N51" s="45">
        <v>1.6926852605984863E-3</v>
      </c>
      <c r="O51" s="45">
        <v>734689594.82000005</v>
      </c>
      <c r="P51" s="45">
        <v>495600.33</v>
      </c>
      <c r="Q51" s="45">
        <v>2.4199999999999999E-2</v>
      </c>
      <c r="R51" s="45">
        <v>0</v>
      </c>
      <c r="S51" s="3">
        <f>CurrentMtgRatesDataTable82523[[#This Row],[cum_df_pct]]*100</f>
        <v>0</v>
      </c>
      <c r="T51" s="3">
        <f>CurrentMtgRatesDataTable82523[[#This Row],[pct_dq]]*100</f>
        <v>0.16926852605984863</v>
      </c>
    </row>
    <row r="52" spans="3:20">
      <c r="C52" s="45" t="s">
        <v>66</v>
      </c>
      <c r="D52" s="45" t="s">
        <v>67</v>
      </c>
      <c r="E52" s="45">
        <v>31244385455.200001</v>
      </c>
      <c r="F52" s="46">
        <v>41821</v>
      </c>
      <c r="G52" s="45">
        <v>136164</v>
      </c>
      <c r="H52" s="45">
        <v>128496974.15000001</v>
      </c>
      <c r="I52" s="45">
        <v>681878.67</v>
      </c>
      <c r="J52" s="45">
        <v>4.1126420724211833E-3</v>
      </c>
      <c r="K52" s="45">
        <v>2.1824038465333776E-5</v>
      </c>
      <c r="L52" s="45">
        <v>4.8250000000000002</v>
      </c>
      <c r="M52" s="45">
        <v>2.6100000000000002E-2</v>
      </c>
      <c r="N52" s="45">
        <v>2.0239341257222757E-3</v>
      </c>
      <c r="O52" s="45">
        <v>863186568.97000003</v>
      </c>
      <c r="P52" s="45">
        <v>1177479</v>
      </c>
      <c r="Q52" s="45">
        <v>2.8500000000000001E-2</v>
      </c>
      <c r="R52" s="45">
        <v>0</v>
      </c>
      <c r="S52" s="3">
        <f>CurrentMtgRatesDataTable82523[[#This Row],[cum_df_pct]]*100</f>
        <v>0</v>
      </c>
      <c r="T52" s="3">
        <f>CurrentMtgRatesDataTable82523[[#This Row],[pct_dq]]*100</f>
        <v>0.20239341257222757</v>
      </c>
    </row>
    <row r="53" spans="3:20">
      <c r="C53" s="45" t="s">
        <v>66</v>
      </c>
      <c r="D53" s="45" t="s">
        <v>67</v>
      </c>
      <c r="E53" s="45">
        <v>31050179453.919998</v>
      </c>
      <c r="F53" s="46">
        <v>41852</v>
      </c>
      <c r="G53" s="45">
        <v>135572</v>
      </c>
      <c r="H53" s="45">
        <v>120807217.7</v>
      </c>
      <c r="I53" s="45">
        <v>1164150.3500000001</v>
      </c>
      <c r="J53" s="45">
        <v>3.8907091625439358E-3</v>
      </c>
      <c r="K53" s="45">
        <v>3.7492548206610423E-5</v>
      </c>
      <c r="L53" s="45">
        <v>4.5701999999999998</v>
      </c>
      <c r="M53" s="45">
        <v>4.4900000000000002E-2</v>
      </c>
      <c r="N53" s="45">
        <v>2.1676206490169876E-3</v>
      </c>
      <c r="O53" s="45">
        <v>983993786.66999996</v>
      </c>
      <c r="P53" s="45">
        <v>2341629.35</v>
      </c>
      <c r="Q53" s="45">
        <v>3.2500000000000001E-2</v>
      </c>
      <c r="R53" s="45">
        <v>0</v>
      </c>
      <c r="S53" s="3">
        <f>CurrentMtgRatesDataTable82523[[#This Row],[cum_df_pct]]*100</f>
        <v>0</v>
      </c>
      <c r="T53" s="3">
        <f>CurrentMtgRatesDataTable82523[[#This Row],[pct_dq]]*100</f>
        <v>0.21676206490169875</v>
      </c>
    </row>
    <row r="54" spans="3:20">
      <c r="C54" s="45" t="s">
        <v>66</v>
      </c>
      <c r="D54" s="45" t="s">
        <v>67</v>
      </c>
      <c r="E54" s="45">
        <v>30864009327.299999</v>
      </c>
      <c r="F54" s="46">
        <v>41883</v>
      </c>
      <c r="G54" s="45">
        <v>135011</v>
      </c>
      <c r="H54" s="45">
        <v>134653590.77000001</v>
      </c>
      <c r="I54" s="45">
        <v>736099.11</v>
      </c>
      <c r="J54" s="45">
        <v>4.3628029444280746E-3</v>
      </c>
      <c r="K54" s="45">
        <v>2.3849756594937964E-5</v>
      </c>
      <c r="L54" s="45">
        <v>5.1115000000000004</v>
      </c>
      <c r="M54" s="45">
        <v>2.86E-2</v>
      </c>
      <c r="N54" s="45">
        <v>2.5084879073542232E-3</v>
      </c>
      <c r="O54" s="45">
        <v>1118647377.4400001</v>
      </c>
      <c r="P54" s="45">
        <v>3077728.46</v>
      </c>
      <c r="Q54" s="45">
        <v>3.6900000000000002E-2</v>
      </c>
      <c r="R54" s="45">
        <v>1E-4</v>
      </c>
      <c r="S54" s="3">
        <f>CurrentMtgRatesDataTable82523[[#This Row],[cum_df_pct]]*100</f>
        <v>0.01</v>
      </c>
      <c r="T54" s="3">
        <f>CurrentMtgRatesDataTable82523[[#This Row],[pct_dq]]*100</f>
        <v>0.25084879073542232</v>
      </c>
    </row>
    <row r="55" spans="3:20">
      <c r="C55" s="45" t="s">
        <v>66</v>
      </c>
      <c r="D55" s="45" t="s">
        <v>67</v>
      </c>
      <c r="E55" s="45">
        <v>30665146300.130001</v>
      </c>
      <c r="F55" s="46">
        <v>41913</v>
      </c>
      <c r="G55" s="45">
        <v>134366</v>
      </c>
      <c r="H55" s="45">
        <v>124790143.37</v>
      </c>
      <c r="I55" s="45">
        <v>1092294.03</v>
      </c>
      <c r="J55" s="45">
        <v>4.0694455571363428E-3</v>
      </c>
      <c r="K55" s="45">
        <v>3.5620049528195775E-5</v>
      </c>
      <c r="L55" s="45">
        <v>4.7755000000000001</v>
      </c>
      <c r="M55" s="45">
        <v>4.2700000000000002E-2</v>
      </c>
      <c r="N55" s="45">
        <v>2.4358036540553974E-3</v>
      </c>
      <c r="O55" s="45">
        <v>1243437520.8099999</v>
      </c>
      <c r="P55" s="45">
        <v>4170022.49</v>
      </c>
      <c r="Q55" s="45">
        <v>4.1000000000000002E-2</v>
      </c>
      <c r="R55" s="45">
        <v>1E-4</v>
      </c>
      <c r="S55" s="3">
        <f>CurrentMtgRatesDataTable82523[[#This Row],[cum_df_pct]]*100</f>
        <v>0.01</v>
      </c>
      <c r="T55" s="3">
        <f>CurrentMtgRatesDataTable82523[[#This Row],[pct_dq]]*100</f>
        <v>0.24358036540553973</v>
      </c>
    </row>
    <row r="56" spans="3:20">
      <c r="C56" s="45" t="s">
        <v>66</v>
      </c>
      <c r="D56" s="45" t="s">
        <v>67</v>
      </c>
      <c r="E56" s="45">
        <v>30475372228.66</v>
      </c>
      <c r="F56" s="46">
        <v>41944</v>
      </c>
      <c r="G56" s="45">
        <v>133821</v>
      </c>
      <c r="H56" s="45">
        <v>135091366.09</v>
      </c>
      <c r="I56" s="45">
        <v>543257.96</v>
      </c>
      <c r="J56" s="45">
        <v>4.4328044650741236E-3</v>
      </c>
      <c r="K56" s="45">
        <v>1.7826130421767355E-5</v>
      </c>
      <c r="L56" s="45">
        <v>5.1914999999999996</v>
      </c>
      <c r="M56" s="45">
        <v>2.1299999999999999E-2</v>
      </c>
      <c r="N56" s="45">
        <v>1.9498019037850725E-3</v>
      </c>
      <c r="O56" s="45">
        <v>1378528886.9000001</v>
      </c>
      <c r="P56" s="45">
        <v>4713280.45</v>
      </c>
      <c r="Q56" s="45">
        <v>4.5499999999999999E-2</v>
      </c>
      <c r="R56" s="45">
        <v>1E-4</v>
      </c>
      <c r="S56" s="3">
        <f>CurrentMtgRatesDataTable82523[[#This Row],[cum_df_pct]]*100</f>
        <v>0.01</v>
      </c>
      <c r="T56" s="3">
        <f>CurrentMtgRatesDataTable82523[[#This Row],[pct_dq]]*100</f>
        <v>0.19498019037850725</v>
      </c>
    </row>
    <row r="57" spans="3:20">
      <c r="C57" s="45" t="s">
        <v>66</v>
      </c>
      <c r="D57" s="45" t="s">
        <v>67</v>
      </c>
      <c r="E57" s="45">
        <v>30274833486.439999</v>
      </c>
      <c r="F57" s="46">
        <v>41974</v>
      </c>
      <c r="G57" s="45">
        <v>133208</v>
      </c>
      <c r="H57" s="45">
        <v>108369472.09</v>
      </c>
      <c r="I57" s="45">
        <v>1663331.74</v>
      </c>
      <c r="J57" s="45">
        <v>3.5795233073218501E-3</v>
      </c>
      <c r="K57" s="45">
        <v>5.4941069807865368E-5</v>
      </c>
      <c r="L57" s="45">
        <v>4.2118000000000002</v>
      </c>
      <c r="M57" s="45">
        <v>6.59E-2</v>
      </c>
      <c r="N57" s="45">
        <v>3.1639523448709697E-3</v>
      </c>
      <c r="O57" s="45">
        <v>1486898358.99</v>
      </c>
      <c r="P57" s="45">
        <v>6376612.1900000004</v>
      </c>
      <c r="Q57" s="45">
        <v>4.9099999999999998E-2</v>
      </c>
      <c r="R57" s="45">
        <v>2.0000000000000001E-4</v>
      </c>
      <c r="S57" s="3">
        <f>CurrentMtgRatesDataTable82523[[#This Row],[cum_df_pct]]*100</f>
        <v>0.02</v>
      </c>
      <c r="T57" s="3">
        <f>CurrentMtgRatesDataTable82523[[#This Row],[pct_dq]]*100</f>
        <v>0.31639523448709694</v>
      </c>
    </row>
    <row r="58" spans="3:20">
      <c r="C58" s="45" t="s">
        <v>66</v>
      </c>
      <c r="D58" s="45" t="s">
        <v>67</v>
      </c>
      <c r="E58" s="45">
        <v>30100359859.959999</v>
      </c>
      <c r="F58" s="46">
        <v>42005</v>
      </c>
      <c r="G58" s="45">
        <v>132713</v>
      </c>
      <c r="H58" s="45">
        <v>152940502</v>
      </c>
      <c r="I58" s="45">
        <v>589675.86</v>
      </c>
      <c r="J58" s="45">
        <v>5.081019054640739E-3</v>
      </c>
      <c r="K58" s="45">
        <v>1.9590325921132812E-5</v>
      </c>
      <c r="L58" s="45">
        <v>5.9295999999999998</v>
      </c>
      <c r="M58" s="45">
        <v>2.35E-2</v>
      </c>
      <c r="N58" s="45">
        <v>2.4825080357062314E-3</v>
      </c>
      <c r="O58" s="45">
        <v>1639838860.99</v>
      </c>
      <c r="P58" s="45">
        <v>6966288.0499999998</v>
      </c>
      <c r="Q58" s="45">
        <v>5.4100000000000002E-2</v>
      </c>
      <c r="R58" s="45">
        <v>2.0000000000000001E-4</v>
      </c>
      <c r="S58" s="3">
        <f>CurrentMtgRatesDataTable82523[[#This Row],[cum_df_pct]]*100</f>
        <v>0.02</v>
      </c>
      <c r="T58" s="3">
        <f>CurrentMtgRatesDataTable82523[[#This Row],[pct_dq]]*100</f>
        <v>0.24825080357062315</v>
      </c>
    </row>
    <row r="59" spans="3:20">
      <c r="C59" s="45" t="s">
        <v>66</v>
      </c>
      <c r="D59" s="45" t="s">
        <v>67</v>
      </c>
      <c r="E59" s="45">
        <v>29884165860.82</v>
      </c>
      <c r="F59" s="46">
        <v>42036</v>
      </c>
      <c r="G59" s="45">
        <v>132085</v>
      </c>
      <c r="H59" s="45">
        <v>196999436.59</v>
      </c>
      <c r="I59" s="45">
        <v>776531.93</v>
      </c>
      <c r="J59" s="45">
        <v>6.5921008974280425E-3</v>
      </c>
      <c r="K59" s="45">
        <v>2.5984728287767994E-5</v>
      </c>
      <c r="L59" s="45">
        <v>7.6299000000000001</v>
      </c>
      <c r="M59" s="45">
        <v>3.1099999999999999E-2</v>
      </c>
      <c r="N59" s="45">
        <v>2.5249433576771596E-3</v>
      </c>
      <c r="O59" s="45">
        <v>1836838297.5799999</v>
      </c>
      <c r="P59" s="45">
        <v>7742819.9800000004</v>
      </c>
      <c r="Q59" s="45">
        <v>6.0600000000000001E-2</v>
      </c>
      <c r="R59" s="45">
        <v>2.0000000000000001E-4</v>
      </c>
      <c r="S59" s="3">
        <f>CurrentMtgRatesDataTable82523[[#This Row],[cum_df_pct]]*100</f>
        <v>0.02</v>
      </c>
      <c r="T59" s="3">
        <f>CurrentMtgRatesDataTable82523[[#This Row],[pct_dq]]*100</f>
        <v>0.25249433576771596</v>
      </c>
    </row>
    <row r="60" spans="3:20">
      <c r="C60" s="45" t="s">
        <v>66</v>
      </c>
      <c r="D60" s="45" t="s">
        <v>67</v>
      </c>
      <c r="E60" s="45">
        <v>29622381783.93</v>
      </c>
      <c r="F60" s="46">
        <v>42064</v>
      </c>
      <c r="G60" s="45">
        <v>131250</v>
      </c>
      <c r="H60" s="45">
        <v>206483582.91999999</v>
      </c>
      <c r="I60" s="45">
        <v>564733.91</v>
      </c>
      <c r="J60" s="45">
        <v>6.9705260173243853E-3</v>
      </c>
      <c r="K60" s="45">
        <v>1.9064432904796516E-5</v>
      </c>
      <c r="L60" s="45">
        <v>8.0511999999999997</v>
      </c>
      <c r="M60" s="45">
        <v>2.2800000000000001E-2</v>
      </c>
      <c r="N60" s="45">
        <v>3.1499647857695201E-3</v>
      </c>
      <c r="O60" s="45">
        <v>2043321880.5</v>
      </c>
      <c r="P60" s="45">
        <v>8307553.8899999997</v>
      </c>
      <c r="Q60" s="45">
        <v>6.7500000000000004E-2</v>
      </c>
      <c r="R60" s="45">
        <v>2.0000000000000001E-4</v>
      </c>
      <c r="S60" s="3">
        <f>CurrentMtgRatesDataTable82523[[#This Row],[cum_df_pct]]*100</f>
        <v>0.02</v>
      </c>
      <c r="T60" s="3">
        <f>CurrentMtgRatesDataTable82523[[#This Row],[pct_dq]]*100</f>
        <v>0.31499647857695201</v>
      </c>
    </row>
    <row r="61" spans="3:20">
      <c r="C61" s="45" t="s">
        <v>66</v>
      </c>
      <c r="D61" s="45" t="s">
        <v>67</v>
      </c>
      <c r="E61" s="45">
        <v>29346853284.540001</v>
      </c>
      <c r="F61" s="46">
        <v>42095</v>
      </c>
      <c r="G61" s="45">
        <v>130339</v>
      </c>
      <c r="H61" s="45">
        <v>237340935.86000001</v>
      </c>
      <c r="I61" s="45">
        <v>1555789.72</v>
      </c>
      <c r="J61" s="45">
        <v>8.0874407064634706E-3</v>
      </c>
      <c r="K61" s="45">
        <v>5.3013851431205883E-5</v>
      </c>
      <c r="L61" s="45">
        <v>9.2845999999999993</v>
      </c>
      <c r="M61" s="45">
        <v>6.3500000000000001E-2</v>
      </c>
      <c r="N61" s="45">
        <v>2.3592986031137709E-3</v>
      </c>
      <c r="O61" s="45">
        <v>2280662816.3600001</v>
      </c>
      <c r="P61" s="45">
        <v>9863343.6099999994</v>
      </c>
      <c r="Q61" s="45">
        <v>7.5300000000000006E-2</v>
      </c>
      <c r="R61" s="45">
        <v>2.9999999999999997E-4</v>
      </c>
      <c r="S61" s="3">
        <f>CurrentMtgRatesDataTable82523[[#This Row],[cum_df_pct]]*100</f>
        <v>0.03</v>
      </c>
      <c r="T61" s="3">
        <f>CurrentMtgRatesDataTable82523[[#This Row],[pct_dq]]*100</f>
        <v>0.23592986031137708</v>
      </c>
    </row>
    <row r="62" spans="3:20">
      <c r="C62" s="45" t="s">
        <v>66</v>
      </c>
      <c r="D62" s="45" t="s">
        <v>67</v>
      </c>
      <c r="E62" s="45">
        <v>29042673167.91</v>
      </c>
      <c r="F62" s="46">
        <v>42125</v>
      </c>
      <c r="G62" s="45">
        <v>129302</v>
      </c>
      <c r="H62" s="45">
        <v>248521555.47</v>
      </c>
      <c r="I62" s="45">
        <v>651600.99</v>
      </c>
      <c r="J62" s="45">
        <v>8.557117109474547E-3</v>
      </c>
      <c r="K62" s="45">
        <v>2.2435985359638686E-5</v>
      </c>
      <c r="L62" s="45">
        <v>9.7987000000000002</v>
      </c>
      <c r="M62" s="45">
        <v>2.69E-2</v>
      </c>
      <c r="N62" s="45">
        <v>2.4597052332955335E-3</v>
      </c>
      <c r="O62" s="45">
        <v>2529184371.8299999</v>
      </c>
      <c r="P62" s="45">
        <v>10514944.6</v>
      </c>
      <c r="Q62" s="45">
        <v>8.3500000000000005E-2</v>
      </c>
      <c r="R62" s="45">
        <v>2.9999999999999997E-4</v>
      </c>
      <c r="S62" s="3">
        <f>CurrentMtgRatesDataTable82523[[#This Row],[cum_df_pct]]*100</f>
        <v>0.03</v>
      </c>
      <c r="T62" s="3">
        <f>CurrentMtgRatesDataTable82523[[#This Row],[pct_dq]]*100</f>
        <v>0.24597052332955335</v>
      </c>
    </row>
    <row r="63" spans="3:20">
      <c r="C63" s="45" t="s">
        <v>68</v>
      </c>
      <c r="D63" s="45" t="s">
        <v>69</v>
      </c>
      <c r="E63" s="45">
        <v>28039544680.09</v>
      </c>
      <c r="F63" s="46">
        <v>41730</v>
      </c>
      <c r="G63" s="45">
        <v>116677</v>
      </c>
      <c r="H63" s="45">
        <v>369559914.37</v>
      </c>
      <c r="I63" s="45">
        <v>0</v>
      </c>
      <c r="J63" s="45">
        <v>1.317995418921381E-2</v>
      </c>
      <c r="K63" s="45">
        <v>0</v>
      </c>
      <c r="L63" s="45">
        <v>14.718299999999999</v>
      </c>
      <c r="M63" s="45">
        <v>0</v>
      </c>
      <c r="N63" s="45">
        <v>1.2582498026457525E-3</v>
      </c>
      <c r="O63" s="45">
        <v>369559914.37</v>
      </c>
      <c r="P63" s="45">
        <v>0</v>
      </c>
      <c r="Q63" s="45">
        <v>1.4999999999999999E-2</v>
      </c>
      <c r="R63" s="45">
        <v>0</v>
      </c>
      <c r="S63" s="3">
        <f>CurrentMtgRatesDataTable82523[[#This Row],[cum_df_pct]]*100</f>
        <v>0</v>
      </c>
      <c r="T63" s="3">
        <f>CurrentMtgRatesDataTable82523[[#This Row],[pct_dq]]*100</f>
        <v>0.12582498026457525</v>
      </c>
    </row>
    <row r="64" spans="3:20">
      <c r="C64" s="45" t="s">
        <v>68</v>
      </c>
      <c r="D64" s="45" t="s">
        <v>69</v>
      </c>
      <c r="E64" s="45">
        <v>27609728254.779999</v>
      </c>
      <c r="F64" s="46">
        <v>41760</v>
      </c>
      <c r="G64" s="45">
        <v>115265</v>
      </c>
      <c r="H64" s="45">
        <v>207436533.11000001</v>
      </c>
      <c r="I64" s="45">
        <v>0</v>
      </c>
      <c r="J64" s="45">
        <v>7.5131682280895704E-3</v>
      </c>
      <c r="K64" s="45">
        <v>0</v>
      </c>
      <c r="L64" s="45">
        <v>8.6524000000000001</v>
      </c>
      <c r="M64" s="45">
        <v>0</v>
      </c>
      <c r="N64" s="45">
        <v>1.5944404332331151E-3</v>
      </c>
      <c r="O64" s="45">
        <v>576996447.48000002</v>
      </c>
      <c r="P64" s="45">
        <v>0</v>
      </c>
      <c r="Q64" s="45">
        <v>2.3400000000000001E-2</v>
      </c>
      <c r="R64" s="45">
        <v>0</v>
      </c>
      <c r="S64" s="3">
        <f>CurrentMtgRatesDataTable82523[[#This Row],[cum_df_pct]]*100</f>
        <v>0</v>
      </c>
      <c r="T64" s="3">
        <f>CurrentMtgRatesDataTable82523[[#This Row],[pct_dq]]*100</f>
        <v>0.15944404332331152</v>
      </c>
    </row>
    <row r="65" spans="3:20">
      <c r="C65" s="45" t="s">
        <v>68</v>
      </c>
      <c r="D65" s="45" t="s">
        <v>69</v>
      </c>
      <c r="E65" s="45">
        <v>27348284475.400002</v>
      </c>
      <c r="F65" s="46">
        <v>41791</v>
      </c>
      <c r="G65" s="45">
        <v>114528</v>
      </c>
      <c r="H65" s="45">
        <v>202721399.50999999</v>
      </c>
      <c r="I65" s="45">
        <v>0</v>
      </c>
      <c r="J65" s="45">
        <v>7.4125819369894848E-3</v>
      </c>
      <c r="K65" s="45">
        <v>0</v>
      </c>
      <c r="L65" s="45">
        <v>8.5411999999999999</v>
      </c>
      <c r="M65" s="45">
        <v>0</v>
      </c>
      <c r="N65" s="45">
        <v>1.6220678949680691E-3</v>
      </c>
      <c r="O65" s="45">
        <v>779717846.99000001</v>
      </c>
      <c r="P65" s="45">
        <v>0</v>
      </c>
      <c r="Q65" s="45">
        <v>3.1600000000000003E-2</v>
      </c>
      <c r="R65" s="45">
        <v>0</v>
      </c>
      <c r="S65" s="3">
        <f>CurrentMtgRatesDataTable82523[[#This Row],[cum_df_pct]]*100</f>
        <v>0</v>
      </c>
      <c r="T65" s="3">
        <f>CurrentMtgRatesDataTable82523[[#This Row],[pct_dq]]*100</f>
        <v>0.16220678949680692</v>
      </c>
    </row>
    <row r="66" spans="3:20">
      <c r="C66" s="45" t="s">
        <v>68</v>
      </c>
      <c r="D66" s="45" t="s">
        <v>69</v>
      </c>
      <c r="E66" s="45">
        <v>27089577370.52</v>
      </c>
      <c r="F66" s="46">
        <v>41821</v>
      </c>
      <c r="G66" s="45">
        <v>113774</v>
      </c>
      <c r="H66" s="45">
        <v>182482840.21000001</v>
      </c>
      <c r="I66" s="45">
        <v>968154.6</v>
      </c>
      <c r="J66" s="45">
        <v>6.7362749043322241E-3</v>
      </c>
      <c r="K66" s="45">
        <v>3.5739007174530004E-5</v>
      </c>
      <c r="L66" s="45">
        <v>7.7906000000000004</v>
      </c>
      <c r="M66" s="45">
        <v>4.2799999999999998E-2</v>
      </c>
      <c r="N66" s="45">
        <v>1.83497047924029E-3</v>
      </c>
      <c r="O66" s="45">
        <v>962200687.20000005</v>
      </c>
      <c r="P66" s="45">
        <v>968154.6</v>
      </c>
      <c r="Q66" s="45">
        <v>3.9100000000000003E-2</v>
      </c>
      <c r="R66" s="45">
        <v>0</v>
      </c>
      <c r="S66" s="3">
        <f>CurrentMtgRatesDataTable82523[[#This Row],[cum_df_pct]]*100</f>
        <v>0</v>
      </c>
      <c r="T66" s="3">
        <f>CurrentMtgRatesDataTable82523[[#This Row],[pct_dq]]*100</f>
        <v>0.18349704792402902</v>
      </c>
    </row>
    <row r="67" spans="3:20">
      <c r="C67" s="45" t="s">
        <v>68</v>
      </c>
      <c r="D67" s="45" t="s">
        <v>69</v>
      </c>
      <c r="E67" s="45">
        <v>26851958095.509998</v>
      </c>
      <c r="F67" s="46">
        <v>41852</v>
      </c>
      <c r="G67" s="45">
        <v>113066</v>
      </c>
      <c r="H67" s="45">
        <v>162436003.41999999</v>
      </c>
      <c r="I67" s="45">
        <v>77670.52</v>
      </c>
      <c r="J67" s="45">
        <v>6.0493168819283029E-3</v>
      </c>
      <c r="K67" s="45">
        <v>2.8925458517301774E-6</v>
      </c>
      <c r="L67" s="45">
        <v>7.0224000000000002</v>
      </c>
      <c r="M67" s="45">
        <v>3.3999999999999998E-3</v>
      </c>
      <c r="N67" s="45">
        <v>1.7743349699315509E-3</v>
      </c>
      <c r="O67" s="45">
        <v>1124636690.6199999</v>
      </c>
      <c r="P67" s="45">
        <v>1045825.12</v>
      </c>
      <c r="Q67" s="45">
        <v>4.5699999999999998E-2</v>
      </c>
      <c r="R67" s="45">
        <v>0</v>
      </c>
      <c r="S67" s="3">
        <f>CurrentMtgRatesDataTable82523[[#This Row],[cum_df_pct]]*100</f>
        <v>0</v>
      </c>
      <c r="T67" s="3">
        <f>CurrentMtgRatesDataTable82523[[#This Row],[pct_dq]]*100</f>
        <v>0.17743349699315508</v>
      </c>
    </row>
    <row r="68" spans="3:20">
      <c r="C68" s="45" t="s">
        <v>68</v>
      </c>
      <c r="D68" s="45" t="s">
        <v>69</v>
      </c>
      <c r="E68" s="45">
        <v>26637069814.950001</v>
      </c>
      <c r="F68" s="46">
        <v>41883</v>
      </c>
      <c r="G68" s="45">
        <v>112446</v>
      </c>
      <c r="H68" s="45">
        <v>172597846.72</v>
      </c>
      <c r="I68" s="45">
        <v>867798.01</v>
      </c>
      <c r="J68" s="45">
        <v>6.4796108550622114E-3</v>
      </c>
      <c r="K68" s="45">
        <v>3.2578583756722003E-5</v>
      </c>
      <c r="L68" s="45">
        <v>7.5042999999999997</v>
      </c>
      <c r="M68" s="45">
        <v>3.9E-2</v>
      </c>
      <c r="N68" s="45">
        <v>2.2391729474885548E-3</v>
      </c>
      <c r="O68" s="45">
        <v>1297234537.3399999</v>
      </c>
      <c r="P68" s="45">
        <v>1913623.13</v>
      </c>
      <c r="Q68" s="45">
        <v>5.2699999999999997E-2</v>
      </c>
      <c r="R68" s="45">
        <v>0</v>
      </c>
      <c r="S68" s="3">
        <f>CurrentMtgRatesDataTable82523[[#This Row],[cum_df_pct]]*100</f>
        <v>0</v>
      </c>
      <c r="T68" s="3">
        <f>CurrentMtgRatesDataTable82523[[#This Row],[pct_dq]]*100</f>
        <v>0.22391729474885549</v>
      </c>
    </row>
    <row r="69" spans="3:20">
      <c r="C69" s="45" t="s">
        <v>68</v>
      </c>
      <c r="D69" s="45" t="s">
        <v>69</v>
      </c>
      <c r="E69" s="45">
        <v>26409684178.889999</v>
      </c>
      <c r="F69" s="46">
        <v>41913</v>
      </c>
      <c r="G69" s="45">
        <v>111769</v>
      </c>
      <c r="H69" s="45">
        <v>239512495.96000001</v>
      </c>
      <c r="I69" s="45">
        <v>552007.49</v>
      </c>
      <c r="J69" s="45">
        <v>9.0691162506005667E-3</v>
      </c>
      <c r="K69" s="45">
        <v>2.0901707353291072E-5</v>
      </c>
      <c r="L69" s="45">
        <v>10.3561</v>
      </c>
      <c r="M69" s="45">
        <v>2.5000000000000001E-2</v>
      </c>
      <c r="N69" s="45">
        <v>2.3875834479081689E-3</v>
      </c>
      <c r="O69" s="45">
        <v>1536747033.3</v>
      </c>
      <c r="P69" s="45">
        <v>2465630.62</v>
      </c>
      <c r="Q69" s="45">
        <v>6.2399999999999997E-2</v>
      </c>
      <c r="R69" s="45">
        <v>1E-4</v>
      </c>
      <c r="S69" s="3">
        <f>CurrentMtgRatesDataTable82523[[#This Row],[cum_df_pct]]*100</f>
        <v>0.01</v>
      </c>
      <c r="T69" s="3">
        <f>CurrentMtgRatesDataTable82523[[#This Row],[pct_dq]]*100</f>
        <v>0.2387583447908169</v>
      </c>
    </row>
    <row r="70" spans="3:20">
      <c r="C70" s="45" t="s">
        <v>68</v>
      </c>
      <c r="D70" s="45" t="s">
        <v>69</v>
      </c>
      <c r="E70" s="45">
        <v>26117688939.689999</v>
      </c>
      <c r="F70" s="46">
        <v>41944</v>
      </c>
      <c r="G70" s="45">
        <v>110925</v>
      </c>
      <c r="H70" s="45">
        <v>260286629.65000001</v>
      </c>
      <c r="I70" s="45">
        <v>491931.43</v>
      </c>
      <c r="J70" s="45">
        <v>9.965913532818475E-3</v>
      </c>
      <c r="K70" s="45">
        <v>1.8835182206815843E-5</v>
      </c>
      <c r="L70" s="45">
        <v>11.3248</v>
      </c>
      <c r="M70" s="45">
        <v>2.2499999999999999E-2</v>
      </c>
      <c r="N70" s="45">
        <v>2.2911961585951207E-3</v>
      </c>
      <c r="O70" s="45">
        <v>1797033662.95</v>
      </c>
      <c r="P70" s="45">
        <v>2957562.05</v>
      </c>
      <c r="Q70" s="45">
        <v>7.2999999999999995E-2</v>
      </c>
      <c r="R70" s="45">
        <v>1E-4</v>
      </c>
      <c r="S70" s="3">
        <f>CurrentMtgRatesDataTable82523[[#This Row],[cum_df_pct]]*100</f>
        <v>0.01</v>
      </c>
      <c r="T70" s="3">
        <f>CurrentMtgRatesDataTable82523[[#This Row],[pct_dq]]*100</f>
        <v>0.22911961585951207</v>
      </c>
    </row>
    <row r="71" spans="3:20">
      <c r="C71" s="45" t="s">
        <v>68</v>
      </c>
      <c r="D71" s="45" t="s">
        <v>69</v>
      </c>
      <c r="E71" s="45">
        <v>25803566156.799999</v>
      </c>
      <c r="F71" s="46">
        <v>41974</v>
      </c>
      <c r="G71" s="45">
        <v>110015</v>
      </c>
      <c r="H71" s="45">
        <v>216937573.77000001</v>
      </c>
      <c r="I71" s="45">
        <v>701717.69</v>
      </c>
      <c r="J71" s="45">
        <v>8.4072710125313657E-3</v>
      </c>
      <c r="K71" s="45">
        <v>2.7194601154580204E-5</v>
      </c>
      <c r="L71" s="45">
        <v>9.6349999999999998</v>
      </c>
      <c r="M71" s="45">
        <v>3.2599999999999997E-2</v>
      </c>
      <c r="N71" s="45">
        <v>3.6134533615784156E-3</v>
      </c>
      <c r="O71" s="45">
        <v>2013971236.72</v>
      </c>
      <c r="P71" s="45">
        <v>3659279.74</v>
      </c>
      <c r="Q71" s="45">
        <v>8.1799999999999998E-2</v>
      </c>
      <c r="R71" s="45">
        <v>1E-4</v>
      </c>
      <c r="S71" s="3">
        <f>CurrentMtgRatesDataTable82523[[#This Row],[cum_df_pct]]*100</f>
        <v>0.01</v>
      </c>
      <c r="T71" s="3">
        <f>CurrentMtgRatesDataTable82523[[#This Row],[pct_dq]]*100</f>
        <v>0.36134533615784159</v>
      </c>
    </row>
    <row r="72" spans="3:20">
      <c r="C72" s="45" t="s">
        <v>68</v>
      </c>
      <c r="D72" s="45" t="s">
        <v>69</v>
      </c>
      <c r="E72" s="45">
        <v>25533693163.25</v>
      </c>
      <c r="F72" s="46">
        <v>42005</v>
      </c>
      <c r="G72" s="45">
        <v>109248</v>
      </c>
      <c r="H72" s="45">
        <v>408537204.06999999</v>
      </c>
      <c r="I72" s="45">
        <v>773623.07</v>
      </c>
      <c r="J72" s="45">
        <v>1.59999261155843E-2</v>
      </c>
      <c r="K72" s="45">
        <v>3.0298126677321248E-5</v>
      </c>
      <c r="L72" s="45">
        <v>17.597200000000001</v>
      </c>
      <c r="M72" s="45">
        <v>3.6299999999999999E-2</v>
      </c>
      <c r="N72" s="45">
        <v>2.8897348095416825E-3</v>
      </c>
      <c r="O72" s="45">
        <v>2422508440.79</v>
      </c>
      <c r="P72" s="45">
        <v>4432902.8099999996</v>
      </c>
      <c r="Q72" s="45">
        <v>9.8400000000000001E-2</v>
      </c>
      <c r="R72" s="45">
        <v>1E-4</v>
      </c>
      <c r="S72" s="3">
        <f>CurrentMtgRatesDataTable82523[[#This Row],[cum_df_pct]]*100</f>
        <v>0.01</v>
      </c>
      <c r="T72" s="3">
        <f>CurrentMtgRatesDataTable82523[[#This Row],[pct_dq]]*100</f>
        <v>0.28897348095416825</v>
      </c>
    </row>
    <row r="73" spans="3:20">
      <c r="C73" s="45" t="s">
        <v>68</v>
      </c>
      <c r="D73" s="45" t="s">
        <v>69</v>
      </c>
      <c r="E73" s="45">
        <v>25073337969.040001</v>
      </c>
      <c r="F73" s="46">
        <v>42036</v>
      </c>
      <c r="G73" s="45">
        <v>107817</v>
      </c>
      <c r="H73" s="45">
        <v>459061248.75999999</v>
      </c>
      <c r="I73" s="45">
        <v>726228</v>
      </c>
      <c r="J73" s="45">
        <v>1.8308740915423331E-2</v>
      </c>
      <c r="K73" s="45">
        <v>2.8964153113427904E-5</v>
      </c>
      <c r="L73" s="45">
        <v>19.887699999999999</v>
      </c>
      <c r="M73" s="45">
        <v>3.4700000000000002E-2</v>
      </c>
      <c r="N73" s="45">
        <v>2.891733801838753E-3</v>
      </c>
      <c r="O73" s="45">
        <v>2881569689.5500002</v>
      </c>
      <c r="P73" s="45">
        <v>5159130.8099999996</v>
      </c>
      <c r="Q73" s="45">
        <v>0.1171</v>
      </c>
      <c r="R73" s="45">
        <v>2.0000000000000001E-4</v>
      </c>
      <c r="S73" s="3">
        <f>CurrentMtgRatesDataTable82523[[#This Row],[cum_df_pct]]*100</f>
        <v>0.02</v>
      </c>
      <c r="T73" s="3">
        <f>CurrentMtgRatesDataTable82523[[#This Row],[pct_dq]]*100</f>
        <v>0.28917338018387528</v>
      </c>
    </row>
    <row r="74" spans="3:20">
      <c r="C74" s="45" t="s">
        <v>68</v>
      </c>
      <c r="D74" s="45" t="s">
        <v>69</v>
      </c>
      <c r="E74" s="45">
        <v>24561922452.779999</v>
      </c>
      <c r="F74" s="46">
        <v>42064</v>
      </c>
      <c r="G74" s="45">
        <v>106156</v>
      </c>
      <c r="H74" s="45">
        <v>305794241.72000003</v>
      </c>
      <c r="I74" s="45">
        <v>851866.76</v>
      </c>
      <c r="J74" s="45">
        <v>1.2449931079616661E-2</v>
      </c>
      <c r="K74" s="45">
        <v>3.4682413872029094E-5</v>
      </c>
      <c r="L74" s="45">
        <v>13.9582</v>
      </c>
      <c r="M74" s="45">
        <v>4.1599999999999998E-2</v>
      </c>
      <c r="N74" s="45">
        <v>3.4767765375114017E-3</v>
      </c>
      <c r="O74" s="45">
        <v>3187363931.27</v>
      </c>
      <c r="P74" s="45">
        <v>6010997.5700000003</v>
      </c>
      <c r="Q74" s="45">
        <v>0.1295</v>
      </c>
      <c r="R74" s="45">
        <v>2.0000000000000001E-4</v>
      </c>
      <c r="S74" s="3">
        <f>CurrentMtgRatesDataTable82523[[#This Row],[cum_df_pct]]*100</f>
        <v>0.02</v>
      </c>
      <c r="T74" s="3">
        <f>CurrentMtgRatesDataTable82523[[#This Row],[pct_dq]]*100</f>
        <v>0.34767765375114018</v>
      </c>
    </row>
    <row r="75" spans="3:20">
      <c r="C75" s="45" t="s">
        <v>68</v>
      </c>
      <c r="D75" s="45" t="s">
        <v>69</v>
      </c>
      <c r="E75" s="45">
        <v>24201903933.830002</v>
      </c>
      <c r="F75" s="46">
        <v>42095</v>
      </c>
      <c r="G75" s="45">
        <v>104991</v>
      </c>
      <c r="H75" s="45">
        <v>296485141.12</v>
      </c>
      <c r="I75" s="45">
        <v>1062221.53</v>
      </c>
      <c r="J75" s="45">
        <v>1.2250488305821509E-2</v>
      </c>
      <c r="K75" s="45">
        <v>4.3889998609373923E-5</v>
      </c>
      <c r="L75" s="45">
        <v>13.7494</v>
      </c>
      <c r="M75" s="45">
        <v>5.2600000000000001E-2</v>
      </c>
      <c r="N75" s="45">
        <v>2.6331290473771878E-3</v>
      </c>
      <c r="O75" s="45">
        <v>3483849072.3899999</v>
      </c>
      <c r="P75" s="45">
        <v>7073219.0999999996</v>
      </c>
      <c r="Q75" s="45">
        <v>0.14149999999999999</v>
      </c>
      <c r="R75" s="45">
        <v>2.0000000000000001E-4</v>
      </c>
      <c r="S75" s="3">
        <f>CurrentMtgRatesDataTable82523[[#This Row],[cum_df_pct]]*100</f>
        <v>0.02</v>
      </c>
      <c r="T75" s="3">
        <f>CurrentMtgRatesDataTable82523[[#This Row],[pct_dq]]*100</f>
        <v>0.26331290473771879</v>
      </c>
    </row>
    <row r="76" spans="3:20">
      <c r="C76" s="45" t="s">
        <v>68</v>
      </c>
      <c r="D76" s="45" t="s">
        <v>69</v>
      </c>
      <c r="E76" s="45">
        <v>23852978020.849998</v>
      </c>
      <c r="F76" s="46">
        <v>42125</v>
      </c>
      <c r="G76" s="45">
        <v>103861</v>
      </c>
      <c r="H76" s="45">
        <v>286045284.57999998</v>
      </c>
      <c r="I76" s="45">
        <v>1003683.14</v>
      </c>
      <c r="J76" s="45">
        <v>1.1992015601991771E-2</v>
      </c>
      <c r="K76" s="45">
        <v>4.2077896484148679E-5</v>
      </c>
      <c r="L76" s="45">
        <v>13.478199999999999</v>
      </c>
      <c r="M76" s="45">
        <v>5.04E-2</v>
      </c>
      <c r="N76" s="45">
        <v>2.8994875935216846E-3</v>
      </c>
      <c r="O76" s="45">
        <v>3769894356.9699998</v>
      </c>
      <c r="P76" s="45">
        <v>8076902.2400000002</v>
      </c>
      <c r="Q76" s="45">
        <v>0.1532</v>
      </c>
      <c r="R76" s="45">
        <v>2.9999999999999997E-4</v>
      </c>
      <c r="S76" s="3">
        <f>CurrentMtgRatesDataTable82523[[#This Row],[cum_df_pct]]*100</f>
        <v>0.03</v>
      </c>
      <c r="T76" s="3">
        <f>CurrentMtgRatesDataTable82523[[#This Row],[pct_dq]]*100</f>
        <v>0.28994875935216846</v>
      </c>
    </row>
    <row r="77" spans="3:20">
      <c r="C77" s="45" t="s">
        <v>70</v>
      </c>
      <c r="D77" s="45" t="s">
        <v>71</v>
      </c>
      <c r="E77" s="45">
        <v>19673327276.75</v>
      </c>
      <c r="F77" s="46">
        <v>41852</v>
      </c>
      <c r="G77" s="45">
        <v>87222</v>
      </c>
      <c r="H77" s="45">
        <v>677671924.90999997</v>
      </c>
      <c r="I77" s="45">
        <v>0</v>
      </c>
      <c r="J77" s="45">
        <v>3.4446228407478116E-2</v>
      </c>
      <c r="K77" s="45">
        <v>0</v>
      </c>
      <c r="L77" s="45">
        <v>34.337400000000002</v>
      </c>
      <c r="M77" s="45">
        <v>0</v>
      </c>
      <c r="N77" s="45">
        <v>1.8750273449471043E-3</v>
      </c>
      <c r="O77" s="45">
        <v>677671924.90999997</v>
      </c>
      <c r="P77" s="45">
        <v>0</v>
      </c>
      <c r="Q77" s="45">
        <v>4.3799999999999999E-2</v>
      </c>
      <c r="R77" s="45">
        <v>0</v>
      </c>
      <c r="S77" s="3">
        <f>CurrentMtgRatesDataTable82523[[#This Row],[cum_df_pct]]*100</f>
        <v>0</v>
      </c>
      <c r="T77" s="3">
        <f>CurrentMtgRatesDataTable82523[[#This Row],[pct_dq]]*100</f>
        <v>0.18750273449471044</v>
      </c>
    </row>
    <row r="78" spans="3:20">
      <c r="C78" s="45" t="s">
        <v>70</v>
      </c>
      <c r="D78" s="45" t="s">
        <v>71</v>
      </c>
      <c r="E78" s="45">
        <v>18959026495.110001</v>
      </c>
      <c r="F78" s="46">
        <v>41883</v>
      </c>
      <c r="G78" s="45">
        <v>84869</v>
      </c>
      <c r="H78" s="45">
        <v>222319195.37</v>
      </c>
      <c r="I78" s="45">
        <v>0</v>
      </c>
      <c r="J78" s="45">
        <v>1.1726298047388752E-2</v>
      </c>
      <c r="K78" s="45">
        <v>0</v>
      </c>
      <c r="L78" s="45">
        <v>13.198499999999999</v>
      </c>
      <c r="M78" s="45">
        <v>0</v>
      </c>
      <c r="N78" s="45">
        <v>2.1848072705992422E-3</v>
      </c>
      <c r="O78" s="45">
        <v>899991120.27999997</v>
      </c>
      <c r="P78" s="45">
        <v>0</v>
      </c>
      <c r="Q78" s="45">
        <v>5.8099999999999999E-2</v>
      </c>
      <c r="R78" s="45">
        <v>0</v>
      </c>
      <c r="S78" s="3">
        <f>CurrentMtgRatesDataTable82523[[#This Row],[cum_df_pct]]*100</f>
        <v>0</v>
      </c>
      <c r="T78" s="3">
        <f>CurrentMtgRatesDataTable82523[[#This Row],[pct_dq]]*100</f>
        <v>0.21848072705992422</v>
      </c>
    </row>
    <row r="79" spans="3:20">
      <c r="C79" s="45" t="s">
        <v>70</v>
      </c>
      <c r="D79" s="45" t="s">
        <v>71</v>
      </c>
      <c r="E79" s="45">
        <v>18700722950.959999</v>
      </c>
      <c r="F79" s="46">
        <v>41913</v>
      </c>
      <c r="G79" s="45">
        <v>84088</v>
      </c>
      <c r="H79" s="45">
        <v>393046541.18000001</v>
      </c>
      <c r="I79" s="45">
        <v>0</v>
      </c>
      <c r="J79" s="45">
        <v>2.1017719058814409E-2</v>
      </c>
      <c r="K79" s="45">
        <v>0</v>
      </c>
      <c r="L79" s="45">
        <v>22.500599999999999</v>
      </c>
      <c r="M79" s="45">
        <v>0</v>
      </c>
      <c r="N79" s="45">
        <v>2.5633474783678984E-3</v>
      </c>
      <c r="O79" s="45">
        <v>1293037661.46</v>
      </c>
      <c r="P79" s="45">
        <v>0</v>
      </c>
      <c r="Q79" s="45">
        <v>8.3599999999999994E-2</v>
      </c>
      <c r="R79" s="45">
        <v>0</v>
      </c>
      <c r="S79" s="3">
        <f>CurrentMtgRatesDataTable82523[[#This Row],[cum_df_pct]]*100</f>
        <v>0</v>
      </c>
      <c r="T79" s="3">
        <f>CurrentMtgRatesDataTable82523[[#This Row],[pct_dq]]*100</f>
        <v>0.25633474783678983</v>
      </c>
    </row>
    <row r="80" spans="3:20">
      <c r="C80" s="45" t="s">
        <v>70</v>
      </c>
      <c r="D80" s="45" t="s">
        <v>71</v>
      </c>
      <c r="E80" s="45">
        <v>18273757066.580002</v>
      </c>
      <c r="F80" s="46">
        <v>41944</v>
      </c>
      <c r="G80" s="45">
        <v>82804</v>
      </c>
      <c r="H80" s="45">
        <v>384470660.99000001</v>
      </c>
      <c r="I80" s="45">
        <v>651418.92000000004</v>
      </c>
      <c r="J80" s="45">
        <v>2.1039497219383526E-2</v>
      </c>
      <c r="K80" s="45">
        <v>3.5647782644070983E-5</v>
      </c>
      <c r="L80" s="45">
        <v>22.5213</v>
      </c>
      <c r="M80" s="45">
        <v>4.2700000000000002E-2</v>
      </c>
      <c r="N80" s="45">
        <v>2.5782310018865511E-3</v>
      </c>
      <c r="O80" s="45">
        <v>1677508322.45</v>
      </c>
      <c r="P80" s="45">
        <v>651418.92000000004</v>
      </c>
      <c r="Q80" s="45">
        <v>0.1084</v>
      </c>
      <c r="R80" s="45">
        <v>0</v>
      </c>
      <c r="S80" s="3">
        <f>CurrentMtgRatesDataTable82523[[#This Row],[cum_df_pct]]*100</f>
        <v>0</v>
      </c>
      <c r="T80" s="3">
        <f>CurrentMtgRatesDataTable82523[[#This Row],[pct_dq]]*100</f>
        <v>0.25782310018865512</v>
      </c>
    </row>
    <row r="81" spans="3:20">
      <c r="C81" s="45" t="s">
        <v>70</v>
      </c>
      <c r="D81" s="45" t="s">
        <v>71</v>
      </c>
      <c r="E81" s="45">
        <v>17854723101.439999</v>
      </c>
      <c r="F81" s="46">
        <v>41974</v>
      </c>
      <c r="G81" s="45">
        <v>81501</v>
      </c>
      <c r="H81" s="45">
        <v>318244031.63</v>
      </c>
      <c r="I81" s="45">
        <v>0</v>
      </c>
      <c r="J81" s="45">
        <v>1.782408104689864E-2</v>
      </c>
      <c r="K81" s="45">
        <v>0</v>
      </c>
      <c r="L81" s="45">
        <v>19.411799999999999</v>
      </c>
      <c r="M81" s="45">
        <v>0</v>
      </c>
      <c r="N81" s="45">
        <v>4.1618114863963915E-3</v>
      </c>
      <c r="O81" s="45">
        <v>1995752354.0799999</v>
      </c>
      <c r="P81" s="45">
        <v>651418.92000000004</v>
      </c>
      <c r="Q81" s="45">
        <v>0.129</v>
      </c>
      <c r="R81" s="45">
        <v>0</v>
      </c>
      <c r="S81" s="3">
        <f>CurrentMtgRatesDataTable82523[[#This Row],[cum_df_pct]]*100</f>
        <v>0</v>
      </c>
      <c r="T81" s="3">
        <f>CurrentMtgRatesDataTable82523[[#This Row],[pct_dq]]*100</f>
        <v>0.41618114863963918</v>
      </c>
    </row>
    <row r="82" spans="3:20">
      <c r="C82" s="45" t="s">
        <v>70</v>
      </c>
      <c r="D82" s="45" t="s">
        <v>71</v>
      </c>
      <c r="E82" s="45">
        <v>17502640487.57</v>
      </c>
      <c r="F82" s="46">
        <v>42005</v>
      </c>
      <c r="G82" s="45">
        <v>80430</v>
      </c>
      <c r="H82" s="45">
        <v>664625808.39999998</v>
      </c>
      <c r="I82" s="45">
        <v>599297.27</v>
      </c>
      <c r="J82" s="45">
        <v>3.7972888083486776E-2</v>
      </c>
      <c r="K82" s="45">
        <v>3.4240391924041863E-5</v>
      </c>
      <c r="L82" s="45">
        <v>37.158299999999997</v>
      </c>
      <c r="M82" s="45">
        <v>4.1000000000000002E-2</v>
      </c>
      <c r="N82" s="45">
        <v>3.6901987117811835E-3</v>
      </c>
      <c r="O82" s="45">
        <v>2660378162.48</v>
      </c>
      <c r="P82" s="45">
        <v>1250716.19</v>
      </c>
      <c r="Q82" s="45">
        <v>0.17199999999999999</v>
      </c>
      <c r="R82" s="45">
        <v>0</v>
      </c>
      <c r="S82" s="3">
        <f>CurrentMtgRatesDataTable82523[[#This Row],[cum_df_pct]]*100</f>
        <v>0</v>
      </c>
      <c r="T82" s="3">
        <f>CurrentMtgRatesDataTable82523[[#This Row],[pct_dq]]*100</f>
        <v>0.36901987117811835</v>
      </c>
    </row>
    <row r="83" spans="3:20">
      <c r="C83" s="45" t="s">
        <v>70</v>
      </c>
      <c r="D83" s="45" t="s">
        <v>71</v>
      </c>
      <c r="E83" s="45">
        <v>16806094470.57</v>
      </c>
      <c r="F83" s="46">
        <v>42036</v>
      </c>
      <c r="G83" s="45">
        <v>78205</v>
      </c>
      <c r="H83" s="45">
        <v>674827471.32000005</v>
      </c>
      <c r="I83" s="45">
        <v>645947.04</v>
      </c>
      <c r="J83" s="45">
        <v>4.0153735450060957E-2</v>
      </c>
      <c r="K83" s="45">
        <v>3.8435285552580375E-5</v>
      </c>
      <c r="L83" s="45">
        <v>38.846600000000002</v>
      </c>
      <c r="M83" s="45">
        <v>4.6100000000000002E-2</v>
      </c>
      <c r="N83" s="45">
        <v>3.9045994484270194E-3</v>
      </c>
      <c r="O83" s="45">
        <v>3335205633.8000002</v>
      </c>
      <c r="P83" s="45">
        <v>1896663.23</v>
      </c>
      <c r="Q83" s="45">
        <v>0.21560000000000001</v>
      </c>
      <c r="R83" s="45">
        <v>1E-4</v>
      </c>
      <c r="S83" s="3">
        <f>CurrentMtgRatesDataTable82523[[#This Row],[cum_df_pct]]*100</f>
        <v>0.01</v>
      </c>
      <c r="T83" s="3">
        <f>CurrentMtgRatesDataTable82523[[#This Row],[pct_dq]]*100</f>
        <v>0.39045994484270197</v>
      </c>
    </row>
    <row r="84" spans="3:20">
      <c r="C84" s="45" t="s">
        <v>70</v>
      </c>
      <c r="D84" s="45" t="s">
        <v>71</v>
      </c>
      <c r="E84" s="45">
        <v>16098208030.52</v>
      </c>
      <c r="F84" s="46">
        <v>42064</v>
      </c>
      <c r="G84" s="45">
        <v>75849</v>
      </c>
      <c r="H84" s="45">
        <v>424337416.35000002</v>
      </c>
      <c r="I84" s="45">
        <v>1299799</v>
      </c>
      <c r="J84" s="45">
        <v>2.6359295118159383E-2</v>
      </c>
      <c r="K84" s="45">
        <v>8.0741843908077159E-5</v>
      </c>
      <c r="L84" s="45">
        <v>27.4253</v>
      </c>
      <c r="M84" s="45">
        <v>9.6799999999999997E-2</v>
      </c>
      <c r="N84" s="45">
        <v>4.945494539458274E-3</v>
      </c>
      <c r="O84" s="45">
        <v>3759543050.1500001</v>
      </c>
      <c r="P84" s="45">
        <v>3196462.23</v>
      </c>
      <c r="Q84" s="45">
        <v>0.24299999999999999</v>
      </c>
      <c r="R84" s="45">
        <v>2.0000000000000001E-4</v>
      </c>
      <c r="S84" s="3">
        <f>CurrentMtgRatesDataTable82523[[#This Row],[cum_df_pct]]*100</f>
        <v>0.02</v>
      </c>
      <c r="T84" s="3">
        <f>CurrentMtgRatesDataTable82523[[#This Row],[pct_dq]]*100</f>
        <v>0.49454945394582739</v>
      </c>
    </row>
    <row r="85" spans="3:20">
      <c r="C85" s="45" t="s">
        <v>70</v>
      </c>
      <c r="D85" s="45" t="s">
        <v>71</v>
      </c>
      <c r="E85" s="45">
        <v>15638257078.51</v>
      </c>
      <c r="F85" s="46">
        <v>42095</v>
      </c>
      <c r="G85" s="45">
        <v>74283</v>
      </c>
      <c r="H85" s="45">
        <v>369147435.13</v>
      </c>
      <c r="I85" s="45">
        <v>778404.67</v>
      </c>
      <c r="J85" s="45">
        <v>2.3605407768700785E-2</v>
      </c>
      <c r="K85" s="45">
        <v>4.9775666565149326E-5</v>
      </c>
      <c r="L85" s="45">
        <v>24.923400000000001</v>
      </c>
      <c r="M85" s="45">
        <v>5.9700000000000003E-2</v>
      </c>
      <c r="N85" s="45">
        <v>4.0934867388750778E-3</v>
      </c>
      <c r="O85" s="45">
        <v>4128690485.2800002</v>
      </c>
      <c r="P85" s="45">
        <v>3974866.9</v>
      </c>
      <c r="Q85" s="45">
        <v>0.26690000000000003</v>
      </c>
      <c r="R85" s="45">
        <v>2.0000000000000001E-4</v>
      </c>
      <c r="S85" s="3">
        <f>CurrentMtgRatesDataTable82523[[#This Row],[cum_df_pct]]*100</f>
        <v>0.02</v>
      </c>
      <c r="T85" s="3">
        <f>CurrentMtgRatesDataTable82523[[#This Row],[pct_dq]]*100</f>
        <v>0.40934867388750779</v>
      </c>
    </row>
    <row r="86" spans="3:20">
      <c r="C86" s="45" t="s">
        <v>70</v>
      </c>
      <c r="D86" s="45" t="s">
        <v>71</v>
      </c>
      <c r="E86" s="45">
        <v>15236316428.049999</v>
      </c>
      <c r="F86" s="46">
        <v>42125</v>
      </c>
      <c r="G86" s="45">
        <v>72925</v>
      </c>
      <c r="H86" s="45">
        <v>301958316.39999998</v>
      </c>
      <c r="I86" s="45">
        <v>1387142.57</v>
      </c>
      <c r="J86" s="45">
        <v>1.981832799456015E-2</v>
      </c>
      <c r="K86" s="45">
        <v>9.1041858873859821E-5</v>
      </c>
      <c r="L86" s="45">
        <v>21.3535</v>
      </c>
      <c r="M86" s="45">
        <v>0.1091</v>
      </c>
      <c r="N86" s="45">
        <v>4.1318942079793227E-3</v>
      </c>
      <c r="O86" s="45">
        <v>4430648801.6800003</v>
      </c>
      <c r="P86" s="45">
        <v>5362009.47</v>
      </c>
      <c r="Q86" s="45">
        <v>0.28639999999999999</v>
      </c>
      <c r="R86" s="45">
        <v>2.9999999999999997E-4</v>
      </c>
      <c r="S86" s="3">
        <f>CurrentMtgRatesDataTable82523[[#This Row],[cum_df_pct]]*100</f>
        <v>0.03</v>
      </c>
      <c r="T86" s="3">
        <f>CurrentMtgRatesDataTable82523[[#This Row],[pct_dq]]*100</f>
        <v>0.41318942079793225</v>
      </c>
    </row>
    <row r="87" spans="3:20">
      <c r="C87" s="45" t="s">
        <v>72</v>
      </c>
      <c r="D87" s="45" t="s">
        <v>73</v>
      </c>
      <c r="E87" s="45">
        <v>15740708858.99</v>
      </c>
      <c r="F87" s="46">
        <v>41883</v>
      </c>
      <c r="G87" s="45">
        <v>69780</v>
      </c>
      <c r="H87" s="45">
        <v>186342944.30000001</v>
      </c>
      <c r="I87" s="45">
        <v>0</v>
      </c>
      <c r="J87" s="45">
        <v>1.1838281615479715E-2</v>
      </c>
      <c r="K87" s="45">
        <v>0</v>
      </c>
      <c r="L87" s="45">
        <v>13.3165</v>
      </c>
      <c r="M87" s="45">
        <v>0</v>
      </c>
      <c r="N87" s="45">
        <v>0</v>
      </c>
      <c r="O87" s="45">
        <v>186342944.30000001</v>
      </c>
      <c r="P87" s="45">
        <v>0</v>
      </c>
      <c r="Q87" s="45">
        <v>1.46E-2</v>
      </c>
      <c r="R87" s="45">
        <v>0</v>
      </c>
      <c r="S87" s="3">
        <f>CurrentMtgRatesDataTable82523[[#This Row],[cum_df_pct]]*100</f>
        <v>0</v>
      </c>
      <c r="T87" s="3">
        <f>CurrentMtgRatesDataTable82523[[#This Row],[pct_dq]]*100</f>
        <v>0</v>
      </c>
    </row>
    <row r="88" spans="3:20">
      <c r="C88" s="45" t="s">
        <v>72</v>
      </c>
      <c r="D88" s="45" t="s">
        <v>73</v>
      </c>
      <c r="E88" s="45">
        <v>15522385738.57</v>
      </c>
      <c r="F88" s="46">
        <v>41913</v>
      </c>
      <c r="G88" s="45">
        <v>69127</v>
      </c>
      <c r="H88" s="45">
        <v>322326176.44</v>
      </c>
      <c r="I88" s="45">
        <v>0</v>
      </c>
      <c r="J88" s="45">
        <v>2.0765247164234838E-2</v>
      </c>
      <c r="K88" s="45">
        <v>0</v>
      </c>
      <c r="L88" s="45">
        <v>22.260400000000001</v>
      </c>
      <c r="M88" s="45">
        <v>0</v>
      </c>
      <c r="N88" s="45">
        <v>1.9170658184365804E-3</v>
      </c>
      <c r="O88" s="45">
        <v>508669120.74000001</v>
      </c>
      <c r="P88" s="45">
        <v>0</v>
      </c>
      <c r="Q88" s="45">
        <v>3.9800000000000002E-2</v>
      </c>
      <c r="R88" s="45">
        <v>0</v>
      </c>
      <c r="S88" s="3">
        <f>CurrentMtgRatesDataTable82523[[#This Row],[cum_df_pct]]*100</f>
        <v>0</v>
      </c>
      <c r="T88" s="3">
        <f>CurrentMtgRatesDataTable82523[[#This Row],[pct_dq]]*100</f>
        <v>0.19170658184365805</v>
      </c>
    </row>
    <row r="89" spans="3:20">
      <c r="C89" s="45" t="s">
        <v>72</v>
      </c>
      <c r="D89" s="45" t="s">
        <v>73</v>
      </c>
      <c r="E89" s="45">
        <v>15171194093.5</v>
      </c>
      <c r="F89" s="46">
        <v>41944</v>
      </c>
      <c r="G89" s="45">
        <v>68132</v>
      </c>
      <c r="H89" s="45">
        <v>305028267.93000001</v>
      </c>
      <c r="I89" s="45">
        <v>0</v>
      </c>
      <c r="J89" s="45">
        <v>2.0105752128020522E-2</v>
      </c>
      <c r="K89" s="45">
        <v>0</v>
      </c>
      <c r="L89" s="45">
        <v>21.629799999999999</v>
      </c>
      <c r="M89" s="45">
        <v>0</v>
      </c>
      <c r="N89" s="45">
        <v>1.7382168099278625E-3</v>
      </c>
      <c r="O89" s="45">
        <v>813697388.66999996</v>
      </c>
      <c r="P89" s="45">
        <v>0</v>
      </c>
      <c r="Q89" s="45">
        <v>6.3700000000000007E-2</v>
      </c>
      <c r="R89" s="45">
        <v>0</v>
      </c>
      <c r="S89" s="3">
        <f>CurrentMtgRatesDataTable82523[[#This Row],[cum_df_pct]]*100</f>
        <v>0</v>
      </c>
      <c r="T89" s="3">
        <f>CurrentMtgRatesDataTable82523[[#This Row],[pct_dq]]*100</f>
        <v>0.17382168099278625</v>
      </c>
    </row>
    <row r="90" spans="3:20">
      <c r="C90" s="45" t="s">
        <v>72</v>
      </c>
      <c r="D90" s="45" t="s">
        <v>73</v>
      </c>
      <c r="E90" s="45">
        <v>14838043875</v>
      </c>
      <c r="F90" s="46">
        <v>41974</v>
      </c>
      <c r="G90" s="45">
        <v>67165</v>
      </c>
      <c r="H90" s="45">
        <v>288666454.70999998</v>
      </c>
      <c r="I90" s="45">
        <v>0</v>
      </c>
      <c r="J90" s="45">
        <v>1.9454481813223509E-2</v>
      </c>
      <c r="K90" s="45">
        <v>0</v>
      </c>
      <c r="L90" s="45">
        <v>21.002500000000001</v>
      </c>
      <c r="M90" s="45">
        <v>0</v>
      </c>
      <c r="N90" s="45">
        <v>3.5413995458346763E-3</v>
      </c>
      <c r="O90" s="45">
        <v>1102363843.3800001</v>
      </c>
      <c r="P90" s="45">
        <v>0</v>
      </c>
      <c r="Q90" s="45">
        <v>8.6300000000000002E-2</v>
      </c>
      <c r="R90" s="45">
        <v>0</v>
      </c>
      <c r="S90" s="3">
        <f>CurrentMtgRatesDataTable82523[[#This Row],[cum_df_pct]]*100</f>
        <v>0</v>
      </c>
      <c r="T90" s="3">
        <f>CurrentMtgRatesDataTable82523[[#This Row],[pct_dq]]*100</f>
        <v>0.35413995458346764</v>
      </c>
    </row>
    <row r="91" spans="3:20">
      <c r="C91" s="45" t="s">
        <v>72</v>
      </c>
      <c r="D91" s="45" t="s">
        <v>73</v>
      </c>
      <c r="E91" s="45">
        <v>14519089510.52</v>
      </c>
      <c r="F91" s="46">
        <v>42005</v>
      </c>
      <c r="G91" s="45">
        <v>66213</v>
      </c>
      <c r="H91" s="45">
        <v>521738928.94999999</v>
      </c>
      <c r="I91" s="45">
        <v>0</v>
      </c>
      <c r="J91" s="45">
        <v>3.5934686439667386E-2</v>
      </c>
      <c r="K91" s="45">
        <v>0</v>
      </c>
      <c r="L91" s="45">
        <v>35.541899999999998</v>
      </c>
      <c r="M91" s="45">
        <v>0</v>
      </c>
      <c r="N91" s="45">
        <v>2.7748621000516908E-3</v>
      </c>
      <c r="O91" s="45">
        <v>1624102772.3299999</v>
      </c>
      <c r="P91" s="45">
        <v>0</v>
      </c>
      <c r="Q91" s="45">
        <v>0.12720000000000001</v>
      </c>
      <c r="R91" s="45">
        <v>0</v>
      </c>
      <c r="S91" s="3">
        <f>CurrentMtgRatesDataTable82523[[#This Row],[cum_df_pct]]*100</f>
        <v>0</v>
      </c>
      <c r="T91" s="3">
        <f>CurrentMtgRatesDataTable82523[[#This Row],[pct_dq]]*100</f>
        <v>0.2774862100051691</v>
      </c>
    </row>
    <row r="92" spans="3:20">
      <c r="C92" s="45" t="s">
        <v>72</v>
      </c>
      <c r="D92" s="45" t="s">
        <v>73</v>
      </c>
      <c r="E92" s="45">
        <v>13971658579.58</v>
      </c>
      <c r="F92" s="46">
        <v>42036</v>
      </c>
      <c r="G92" s="45">
        <v>64470</v>
      </c>
      <c r="H92" s="45">
        <v>610942869.85000002</v>
      </c>
      <c r="I92" s="45">
        <v>222479.34</v>
      </c>
      <c r="J92" s="45">
        <v>4.3727297397812982E-2</v>
      </c>
      <c r="K92" s="45">
        <v>1.5923616994560708E-5</v>
      </c>
      <c r="L92" s="45">
        <v>41.523499999999999</v>
      </c>
      <c r="M92" s="45">
        <v>1.9099999999999999E-2</v>
      </c>
      <c r="N92" s="45">
        <v>3.0916978033755042E-3</v>
      </c>
      <c r="O92" s="45">
        <v>2235045642.1799998</v>
      </c>
      <c r="P92" s="45">
        <v>222479.34</v>
      </c>
      <c r="Q92" s="45">
        <v>0.17510000000000001</v>
      </c>
      <c r="R92" s="45">
        <v>0</v>
      </c>
      <c r="S92" s="3">
        <f>CurrentMtgRatesDataTable82523[[#This Row],[cum_df_pct]]*100</f>
        <v>0</v>
      </c>
      <c r="T92" s="3">
        <f>CurrentMtgRatesDataTable82523[[#This Row],[pct_dq]]*100</f>
        <v>0.30916978033755044</v>
      </c>
    </row>
    <row r="93" spans="3:20">
      <c r="C93" s="45" t="s">
        <v>72</v>
      </c>
      <c r="D93" s="45" t="s">
        <v>73</v>
      </c>
      <c r="E93" s="45">
        <v>13334670468.51</v>
      </c>
      <c r="F93" s="46">
        <v>42064</v>
      </c>
      <c r="G93" s="45">
        <v>62417</v>
      </c>
      <c r="H93" s="45">
        <v>346591293.42000002</v>
      </c>
      <c r="I93" s="45">
        <v>0</v>
      </c>
      <c r="J93" s="45">
        <v>2.59917404212185E-2</v>
      </c>
      <c r="K93" s="45">
        <v>0</v>
      </c>
      <c r="L93" s="45">
        <v>27.0959</v>
      </c>
      <c r="M93" s="45">
        <v>0</v>
      </c>
      <c r="N93" s="45">
        <v>4.237643226613165E-3</v>
      </c>
      <c r="O93" s="45">
        <v>2581636935.5999999</v>
      </c>
      <c r="P93" s="45">
        <v>222479.34</v>
      </c>
      <c r="Q93" s="45">
        <v>0.20230000000000001</v>
      </c>
      <c r="R93" s="45">
        <v>0</v>
      </c>
      <c r="S93" s="3">
        <f>CurrentMtgRatesDataTable82523[[#This Row],[cum_df_pct]]*100</f>
        <v>0</v>
      </c>
      <c r="T93" s="3">
        <f>CurrentMtgRatesDataTable82523[[#This Row],[pct_dq]]*100</f>
        <v>0.42376432266131647</v>
      </c>
    </row>
    <row r="94" spans="3:20">
      <c r="C94" s="45" t="s">
        <v>72</v>
      </c>
      <c r="D94" s="45" t="s">
        <v>73</v>
      </c>
      <c r="E94" s="45">
        <v>12960092254.6</v>
      </c>
      <c r="F94" s="46">
        <v>42095</v>
      </c>
      <c r="G94" s="45">
        <v>61190</v>
      </c>
      <c r="H94" s="45">
        <v>286518217.10000002</v>
      </c>
      <c r="I94" s="45">
        <v>738752.75</v>
      </c>
      <c r="J94" s="45">
        <v>2.2107729750018134E-2</v>
      </c>
      <c r="K94" s="45">
        <v>5.7002121241674822E-5</v>
      </c>
      <c r="L94" s="45">
        <v>23.529800000000002</v>
      </c>
      <c r="M94" s="45">
        <v>6.83E-2</v>
      </c>
      <c r="N94" s="45">
        <v>3.5782370579607648E-3</v>
      </c>
      <c r="O94" s="45">
        <v>2868155152.6999998</v>
      </c>
      <c r="P94" s="45">
        <v>961232.09</v>
      </c>
      <c r="Q94" s="45">
        <v>0.22470000000000001</v>
      </c>
      <c r="R94" s="45">
        <v>0</v>
      </c>
      <c r="S94" s="3">
        <f>CurrentMtgRatesDataTable82523[[#This Row],[cum_df_pct]]*100</f>
        <v>0</v>
      </c>
      <c r="T94" s="3">
        <f>CurrentMtgRatesDataTable82523[[#This Row],[pct_dq]]*100</f>
        <v>0.35782370579607647</v>
      </c>
    </row>
    <row r="95" spans="3:20">
      <c r="C95" s="45" t="s">
        <v>72</v>
      </c>
      <c r="D95" s="45" t="s">
        <v>73</v>
      </c>
      <c r="E95" s="45">
        <v>12647606750.530001</v>
      </c>
      <c r="F95" s="46">
        <v>42125</v>
      </c>
      <c r="G95" s="45">
        <v>60127</v>
      </c>
      <c r="H95" s="45">
        <v>267435898.34</v>
      </c>
      <c r="I95" s="45">
        <v>54403.1</v>
      </c>
      <c r="J95" s="45">
        <v>2.1145178183911598E-2</v>
      </c>
      <c r="K95" s="45">
        <v>4.3014541069376803E-6</v>
      </c>
      <c r="L95" s="45">
        <v>22.621600000000001</v>
      </c>
      <c r="M95" s="45">
        <v>5.1000000000000004E-3</v>
      </c>
      <c r="N95" s="45">
        <v>3.9062777689486327E-3</v>
      </c>
      <c r="O95" s="45">
        <v>3135591051.04</v>
      </c>
      <c r="P95" s="45">
        <v>1015635.19</v>
      </c>
      <c r="Q95" s="45">
        <v>0.2457</v>
      </c>
      <c r="R95" s="45">
        <v>0</v>
      </c>
      <c r="S95" s="3">
        <f>CurrentMtgRatesDataTable82523[[#This Row],[cum_df_pct]]*100</f>
        <v>0</v>
      </c>
      <c r="T95" s="3">
        <f>CurrentMtgRatesDataTable82523[[#This Row],[pct_dq]]*100</f>
        <v>0.39062777689486328</v>
      </c>
    </row>
    <row r="96" spans="3:20">
      <c r="C96" s="45" t="s">
        <v>74</v>
      </c>
      <c r="D96" s="45" t="s">
        <v>75</v>
      </c>
      <c r="E96" s="45">
        <v>9940429900.0400009</v>
      </c>
      <c r="F96" s="46">
        <v>41852</v>
      </c>
      <c r="G96" s="45">
        <v>45112</v>
      </c>
      <c r="H96" s="45">
        <v>255498541.15000001</v>
      </c>
      <c r="I96" s="45">
        <v>0</v>
      </c>
      <c r="J96" s="45">
        <v>2.5702966946024326E-2</v>
      </c>
      <c r="K96" s="45">
        <v>0</v>
      </c>
      <c r="L96" s="45">
        <v>26.836099999999998</v>
      </c>
      <c r="M96" s="45">
        <v>0</v>
      </c>
      <c r="N96" s="45">
        <v>1.7774701574957941E-3</v>
      </c>
      <c r="O96" s="45">
        <v>255498541.15000001</v>
      </c>
      <c r="P96" s="45">
        <v>0</v>
      </c>
      <c r="Q96" s="45">
        <v>3.1199999999999999E-2</v>
      </c>
      <c r="R96" s="45">
        <v>0</v>
      </c>
      <c r="S96" s="3">
        <f>CurrentMtgRatesDataTable82523[[#This Row],[cum_df_pct]]*100</f>
        <v>0</v>
      </c>
      <c r="T96" s="3">
        <f>CurrentMtgRatesDataTable82523[[#This Row],[pct_dq]]*100</f>
        <v>0.17774701574957941</v>
      </c>
    </row>
    <row r="97" spans="3:20">
      <c r="C97" s="45" t="s">
        <v>74</v>
      </c>
      <c r="D97" s="45" t="s">
        <v>75</v>
      </c>
      <c r="E97" s="45">
        <v>9668617060.4899998</v>
      </c>
      <c r="F97" s="46">
        <v>41883</v>
      </c>
      <c r="G97" s="45">
        <v>44147</v>
      </c>
      <c r="H97" s="45">
        <v>96526009.129999995</v>
      </c>
      <c r="I97" s="45">
        <v>0</v>
      </c>
      <c r="J97" s="45">
        <v>9.9834349138146674E-3</v>
      </c>
      <c r="K97" s="45">
        <v>0</v>
      </c>
      <c r="L97" s="45">
        <v>11.3437</v>
      </c>
      <c r="M97" s="45">
        <v>0</v>
      </c>
      <c r="N97" s="45">
        <v>2.6546245827528134E-3</v>
      </c>
      <c r="O97" s="45">
        <v>352024550.27999997</v>
      </c>
      <c r="P97" s="45">
        <v>0</v>
      </c>
      <c r="Q97" s="45">
        <v>4.2999999999999997E-2</v>
      </c>
      <c r="R97" s="45">
        <v>0</v>
      </c>
      <c r="S97" s="3">
        <f>CurrentMtgRatesDataTable82523[[#This Row],[cum_df_pct]]*100</f>
        <v>0</v>
      </c>
      <c r="T97" s="3">
        <f>CurrentMtgRatesDataTable82523[[#This Row],[pct_dq]]*100</f>
        <v>0.26546245827528137</v>
      </c>
    </row>
    <row r="98" spans="3:20">
      <c r="C98" s="45" t="s">
        <v>74</v>
      </c>
      <c r="D98" s="45" t="s">
        <v>75</v>
      </c>
      <c r="E98" s="45">
        <v>9556067688.0200005</v>
      </c>
      <c r="F98" s="46">
        <v>41913</v>
      </c>
      <c r="G98" s="45">
        <v>43762</v>
      </c>
      <c r="H98" s="45">
        <v>153869136.05000001</v>
      </c>
      <c r="I98" s="45">
        <v>0</v>
      </c>
      <c r="J98" s="45">
        <v>1.6101721029341244E-2</v>
      </c>
      <c r="K98" s="45">
        <v>0</v>
      </c>
      <c r="L98" s="45">
        <v>17.6995</v>
      </c>
      <c r="M98" s="45">
        <v>0</v>
      </c>
      <c r="N98" s="45">
        <v>3.072914305202496E-3</v>
      </c>
      <c r="O98" s="45">
        <v>505893686.32999998</v>
      </c>
      <c r="P98" s="45">
        <v>0</v>
      </c>
      <c r="Q98" s="45">
        <v>6.1800000000000001E-2</v>
      </c>
      <c r="R98" s="45">
        <v>0</v>
      </c>
      <c r="S98" s="3">
        <f>CurrentMtgRatesDataTable82523[[#This Row],[cum_df_pct]]*100</f>
        <v>0</v>
      </c>
      <c r="T98" s="3">
        <f>CurrentMtgRatesDataTable82523[[#This Row],[pct_dq]]*100</f>
        <v>0.3072914305202496</v>
      </c>
    </row>
    <row r="99" spans="3:20">
      <c r="C99" s="45" t="s">
        <v>74</v>
      </c>
      <c r="D99" s="45" t="s">
        <v>75</v>
      </c>
      <c r="E99" s="45">
        <v>9385514861.4400005</v>
      </c>
      <c r="F99" s="46">
        <v>41944</v>
      </c>
      <c r="G99" s="45">
        <v>43202</v>
      </c>
      <c r="H99" s="45">
        <v>156498005.96000001</v>
      </c>
      <c r="I99" s="45">
        <v>337571.16</v>
      </c>
      <c r="J99" s="45">
        <v>1.6674418853990163E-2</v>
      </c>
      <c r="K99" s="45">
        <v>3.5967250063914681E-5</v>
      </c>
      <c r="L99" s="45">
        <v>18.272500000000001</v>
      </c>
      <c r="M99" s="45">
        <v>4.3099999999999999E-2</v>
      </c>
      <c r="N99" s="45">
        <v>3.5378818839678925E-3</v>
      </c>
      <c r="O99" s="45">
        <v>662391692.28999996</v>
      </c>
      <c r="P99" s="45">
        <v>337571.16</v>
      </c>
      <c r="Q99" s="45">
        <v>8.09E-2</v>
      </c>
      <c r="R99" s="45">
        <v>0</v>
      </c>
      <c r="S99" s="3">
        <f>CurrentMtgRatesDataTable82523[[#This Row],[cum_df_pct]]*100</f>
        <v>0</v>
      </c>
      <c r="T99" s="3">
        <f>CurrentMtgRatesDataTable82523[[#This Row],[pct_dq]]*100</f>
        <v>0.35378818839678927</v>
      </c>
    </row>
    <row r="100" spans="3:20">
      <c r="C100" s="45" t="s">
        <v>74</v>
      </c>
      <c r="D100" s="45" t="s">
        <v>75</v>
      </c>
      <c r="E100" s="45">
        <v>9212632603.0100002</v>
      </c>
      <c r="F100" s="46">
        <v>41974</v>
      </c>
      <c r="G100" s="45">
        <v>42618</v>
      </c>
      <c r="H100" s="45">
        <v>129260813.67</v>
      </c>
      <c r="I100" s="45">
        <v>1497510.51</v>
      </c>
      <c r="J100" s="45">
        <v>1.4030822593290785E-2</v>
      </c>
      <c r="K100" s="45">
        <v>1.6254968308523728E-4</v>
      </c>
      <c r="L100" s="45">
        <v>15.596500000000001</v>
      </c>
      <c r="M100" s="45">
        <v>0.1948</v>
      </c>
      <c r="N100" s="45">
        <v>5.1635036194168701E-3</v>
      </c>
      <c r="O100" s="45">
        <v>791652505.96000004</v>
      </c>
      <c r="P100" s="45">
        <v>1835081.67</v>
      </c>
      <c r="Q100" s="45">
        <v>9.6699999999999994E-2</v>
      </c>
      <c r="R100" s="45">
        <v>2.0000000000000001E-4</v>
      </c>
      <c r="S100" s="3">
        <f>CurrentMtgRatesDataTable82523[[#This Row],[cum_df_pct]]*100</f>
        <v>0.02</v>
      </c>
      <c r="T100" s="3">
        <f>CurrentMtgRatesDataTable82523[[#This Row],[pct_dq]]*100</f>
        <v>0.51635036194168704</v>
      </c>
    </row>
    <row r="101" spans="3:20">
      <c r="C101" s="45" t="s">
        <v>74</v>
      </c>
      <c r="D101" s="45" t="s">
        <v>75</v>
      </c>
      <c r="E101" s="45">
        <v>9066975658.4200001</v>
      </c>
      <c r="F101" s="46">
        <v>42005</v>
      </c>
      <c r="G101" s="45">
        <v>42132</v>
      </c>
      <c r="H101" s="45">
        <v>269712527.51999998</v>
      </c>
      <c r="I101" s="45">
        <v>0</v>
      </c>
      <c r="J101" s="45">
        <v>2.9746691474740298E-2</v>
      </c>
      <c r="K101" s="45">
        <v>0</v>
      </c>
      <c r="L101" s="45">
        <v>30.398</v>
      </c>
      <c r="M101" s="45">
        <v>0</v>
      </c>
      <c r="N101" s="45">
        <v>4.2606312132453432E-3</v>
      </c>
      <c r="O101" s="45">
        <v>1061365033.48</v>
      </c>
      <c r="P101" s="45">
        <v>1835081.67</v>
      </c>
      <c r="Q101" s="45">
        <v>0.12970000000000001</v>
      </c>
      <c r="R101" s="45">
        <v>2.0000000000000001E-4</v>
      </c>
      <c r="S101" s="3">
        <f>CurrentMtgRatesDataTable82523[[#This Row],[cum_df_pct]]*100</f>
        <v>0.02</v>
      </c>
      <c r="T101" s="3">
        <f>CurrentMtgRatesDataTable82523[[#This Row],[pct_dq]]*100</f>
        <v>0.42606312132453433</v>
      </c>
    </row>
    <row r="102" spans="3:20">
      <c r="C102" s="45" t="s">
        <v>74</v>
      </c>
      <c r="D102" s="45" t="s">
        <v>75</v>
      </c>
      <c r="E102" s="45">
        <v>8782262327.0300007</v>
      </c>
      <c r="F102" s="46">
        <v>42036</v>
      </c>
      <c r="G102" s="45">
        <v>41141</v>
      </c>
      <c r="H102" s="45">
        <v>292801159.38</v>
      </c>
      <c r="I102" s="45">
        <v>793770.14</v>
      </c>
      <c r="J102" s="45">
        <v>3.3340060735696557E-2</v>
      </c>
      <c r="K102" s="45">
        <v>9.0383332954760244E-5</v>
      </c>
      <c r="L102" s="45">
        <v>33.429000000000002</v>
      </c>
      <c r="M102" s="45">
        <v>0.1084</v>
      </c>
      <c r="N102" s="45">
        <v>5.3237138676784923E-3</v>
      </c>
      <c r="O102" s="45">
        <v>1354166192.8599999</v>
      </c>
      <c r="P102" s="45">
        <v>2628851.81</v>
      </c>
      <c r="Q102" s="45">
        <v>0.16539999999999999</v>
      </c>
      <c r="R102" s="45">
        <v>2.9999999999999997E-4</v>
      </c>
      <c r="S102" s="3">
        <f>CurrentMtgRatesDataTable82523[[#This Row],[cum_df_pct]]*100</f>
        <v>0.03</v>
      </c>
      <c r="T102" s="3">
        <f>CurrentMtgRatesDataTable82523[[#This Row],[pct_dq]]*100</f>
        <v>0.53237138676784923</v>
      </c>
    </row>
    <row r="103" spans="3:20">
      <c r="C103" s="45" t="s">
        <v>74</v>
      </c>
      <c r="D103" s="45" t="s">
        <v>75</v>
      </c>
      <c r="E103" s="45">
        <v>8474595278.0200005</v>
      </c>
      <c r="F103" s="46">
        <v>42064</v>
      </c>
      <c r="G103" s="45">
        <v>40029</v>
      </c>
      <c r="H103" s="45">
        <v>176721009.63999999</v>
      </c>
      <c r="I103" s="45">
        <v>1277554.23</v>
      </c>
      <c r="J103" s="45">
        <v>2.0853032368206379E-2</v>
      </c>
      <c r="K103" s="45">
        <v>1.5075106103456154E-4</v>
      </c>
      <c r="L103" s="45">
        <v>22.344000000000001</v>
      </c>
      <c r="M103" s="45">
        <v>0.1807</v>
      </c>
      <c r="N103" s="45">
        <v>5.8858695835742637E-3</v>
      </c>
      <c r="O103" s="45">
        <v>1530887202.5</v>
      </c>
      <c r="P103" s="45">
        <v>3906406.04</v>
      </c>
      <c r="Q103" s="45">
        <v>0.187</v>
      </c>
      <c r="R103" s="45">
        <v>4.0000000000000002E-4</v>
      </c>
      <c r="S103" s="3">
        <f>CurrentMtgRatesDataTable82523[[#This Row],[cum_df_pct]]*100</f>
        <v>0.04</v>
      </c>
      <c r="T103" s="3">
        <f>CurrentMtgRatesDataTable82523[[#This Row],[pct_dq]]*100</f>
        <v>0.58858695835742636</v>
      </c>
    </row>
    <row r="104" spans="3:20">
      <c r="C104" s="45" t="s">
        <v>74</v>
      </c>
      <c r="D104" s="45" t="s">
        <v>75</v>
      </c>
      <c r="E104" s="45">
        <v>8281394201.75</v>
      </c>
      <c r="F104" s="46">
        <v>42095</v>
      </c>
      <c r="G104" s="45">
        <v>39324</v>
      </c>
      <c r="H104" s="45">
        <v>169304692.94999999</v>
      </c>
      <c r="I104" s="45">
        <v>1580228.66</v>
      </c>
      <c r="J104" s="45">
        <v>2.0443984288807678E-2</v>
      </c>
      <c r="K104" s="45">
        <v>1.9081674190392611E-4</v>
      </c>
      <c r="L104" s="45">
        <v>21.953800000000001</v>
      </c>
      <c r="M104" s="45">
        <v>0.22869999999999999</v>
      </c>
      <c r="N104" s="45">
        <v>4.2740795025214906E-3</v>
      </c>
      <c r="O104" s="45">
        <v>1700191895.45</v>
      </c>
      <c r="P104" s="45">
        <v>5486634.7000000002</v>
      </c>
      <c r="Q104" s="45">
        <v>0.2077</v>
      </c>
      <c r="R104" s="45">
        <v>5.9999999999999995E-4</v>
      </c>
      <c r="S104" s="3">
        <f>CurrentMtgRatesDataTable82523[[#This Row],[cum_df_pct]]*100</f>
        <v>0.06</v>
      </c>
      <c r="T104" s="3">
        <f>CurrentMtgRatesDataTable82523[[#This Row],[pct_dq]]*100</f>
        <v>0.42740795025214906</v>
      </c>
    </row>
    <row r="105" spans="3:20">
      <c r="C105" s="45" t="s">
        <v>74</v>
      </c>
      <c r="D105" s="45" t="s">
        <v>75</v>
      </c>
      <c r="E105" s="45">
        <v>8096216510.6300001</v>
      </c>
      <c r="F105" s="46">
        <v>42125</v>
      </c>
      <c r="G105" s="45">
        <v>38647</v>
      </c>
      <c r="H105" s="45">
        <v>162666105.31999999</v>
      </c>
      <c r="I105" s="45">
        <v>438173.31</v>
      </c>
      <c r="J105" s="45">
        <v>2.0091619969207355E-2</v>
      </c>
      <c r="K105" s="45">
        <v>5.4120750034870783E-5</v>
      </c>
      <c r="L105" s="45">
        <v>21.616299999999999</v>
      </c>
      <c r="M105" s="45">
        <v>6.4899999999999999E-2</v>
      </c>
      <c r="N105" s="45">
        <v>5.1322419447953583E-3</v>
      </c>
      <c r="O105" s="45">
        <v>1862858000.77</v>
      </c>
      <c r="P105" s="45">
        <v>5924808.0099999998</v>
      </c>
      <c r="Q105" s="45">
        <v>0.2276</v>
      </c>
      <c r="R105" s="45">
        <v>6.9999999999999999E-4</v>
      </c>
      <c r="S105" s="3">
        <f>CurrentMtgRatesDataTable82523[[#This Row],[cum_df_pct]]*100</f>
        <v>6.9999999999999993E-2</v>
      </c>
      <c r="T105" s="3">
        <f>CurrentMtgRatesDataTable82523[[#This Row],[pct_dq]]*100</f>
        <v>0.51322419447953582</v>
      </c>
    </row>
    <row r="106" spans="3:20">
      <c r="C106" s="45" t="s">
        <v>76</v>
      </c>
      <c r="D106" s="45" t="s">
        <v>77</v>
      </c>
      <c r="E106" s="45">
        <v>33311753569.889999</v>
      </c>
      <c r="F106" s="46">
        <v>41883</v>
      </c>
      <c r="G106" s="45">
        <v>147771</v>
      </c>
      <c r="H106" s="45">
        <v>545653163.55999994</v>
      </c>
      <c r="I106" s="45">
        <v>172175.28</v>
      </c>
      <c r="J106" s="45">
        <v>1.6380199331601918E-2</v>
      </c>
      <c r="K106" s="45">
        <v>5.1686045178848429E-6</v>
      </c>
      <c r="L106" s="45">
        <v>17.9786</v>
      </c>
      <c r="M106" s="45">
        <v>6.1999999999999998E-3</v>
      </c>
      <c r="N106" s="45">
        <v>1.9867683813505873E-3</v>
      </c>
      <c r="O106" s="45">
        <v>545653163.55999994</v>
      </c>
      <c r="P106" s="45">
        <v>172175.28</v>
      </c>
      <c r="Q106" s="45">
        <v>1.7299999999999999E-2</v>
      </c>
      <c r="R106" s="45">
        <v>0</v>
      </c>
      <c r="S106" s="3">
        <f>CurrentMtgRatesDataTable82523[[#This Row],[cum_df_pct]]*100</f>
        <v>0</v>
      </c>
      <c r="T106" s="3">
        <f>CurrentMtgRatesDataTable82523[[#This Row],[pct_dq]]*100</f>
        <v>0.19867683813505874</v>
      </c>
    </row>
    <row r="107" spans="3:20">
      <c r="C107" s="45" t="s">
        <v>76</v>
      </c>
      <c r="D107" s="45" t="s">
        <v>77</v>
      </c>
      <c r="E107" s="45">
        <v>32702854732.900002</v>
      </c>
      <c r="F107" s="46">
        <v>41913</v>
      </c>
      <c r="G107" s="45">
        <v>145469</v>
      </c>
      <c r="H107" s="45">
        <v>200469688.75</v>
      </c>
      <c r="I107" s="45">
        <v>0</v>
      </c>
      <c r="J107" s="45">
        <v>6.1300363649391685E-3</v>
      </c>
      <c r="K107" s="45">
        <v>0</v>
      </c>
      <c r="L107" s="45">
        <v>7.1130000000000004</v>
      </c>
      <c r="M107" s="45">
        <v>0</v>
      </c>
      <c r="N107" s="45">
        <v>1.9704739462751367E-3</v>
      </c>
      <c r="O107" s="45">
        <v>746122852.30999994</v>
      </c>
      <c r="P107" s="45">
        <v>172175.28</v>
      </c>
      <c r="Q107" s="45">
        <v>2.3699999999999999E-2</v>
      </c>
      <c r="R107" s="45">
        <v>0</v>
      </c>
      <c r="S107" s="3">
        <f>CurrentMtgRatesDataTable82523[[#This Row],[cum_df_pct]]*100</f>
        <v>0</v>
      </c>
      <c r="T107" s="3">
        <f>CurrentMtgRatesDataTable82523[[#This Row],[pct_dq]]*100</f>
        <v>0.19704739462751367</v>
      </c>
    </row>
    <row r="108" spans="3:20">
      <c r="C108" s="45" t="s">
        <v>76</v>
      </c>
      <c r="D108" s="45" t="s">
        <v>77</v>
      </c>
      <c r="E108" s="45">
        <v>32439664423.18</v>
      </c>
      <c r="F108" s="46">
        <v>41944</v>
      </c>
      <c r="G108" s="45">
        <v>144665</v>
      </c>
      <c r="H108" s="45">
        <v>214390611.25999999</v>
      </c>
      <c r="I108" s="45">
        <v>0</v>
      </c>
      <c r="J108" s="45">
        <v>6.6089034850436252E-3</v>
      </c>
      <c r="K108" s="45">
        <v>0</v>
      </c>
      <c r="L108" s="45">
        <v>7.6486000000000001</v>
      </c>
      <c r="M108" s="45">
        <v>0</v>
      </c>
      <c r="N108" s="45">
        <v>1.8279100294153797E-3</v>
      </c>
      <c r="O108" s="45">
        <v>960513463.57000005</v>
      </c>
      <c r="P108" s="45">
        <v>172175.28</v>
      </c>
      <c r="Q108" s="45">
        <v>3.0599999999999999E-2</v>
      </c>
      <c r="R108" s="45">
        <v>0</v>
      </c>
      <c r="S108" s="3">
        <f>CurrentMtgRatesDataTable82523[[#This Row],[cum_df_pct]]*100</f>
        <v>0</v>
      </c>
      <c r="T108" s="3">
        <f>CurrentMtgRatesDataTable82523[[#This Row],[pct_dq]]*100</f>
        <v>0.18279100294153797</v>
      </c>
    </row>
    <row r="109" spans="3:20">
      <c r="C109" s="45" t="s">
        <v>76</v>
      </c>
      <c r="D109" s="45" t="s">
        <v>77</v>
      </c>
      <c r="E109" s="45">
        <v>32163282682.549999</v>
      </c>
      <c r="F109" s="46">
        <v>41974</v>
      </c>
      <c r="G109" s="45">
        <v>143797</v>
      </c>
      <c r="H109" s="45">
        <v>176728353.75999999</v>
      </c>
      <c r="I109" s="45">
        <v>697801.46</v>
      </c>
      <c r="J109" s="45">
        <v>5.4947237663611663E-3</v>
      </c>
      <c r="K109" s="45">
        <v>2.1695592047841187E-5</v>
      </c>
      <c r="L109" s="45">
        <v>6.3979999999999997</v>
      </c>
      <c r="M109" s="45">
        <v>2.5999999999999999E-2</v>
      </c>
      <c r="N109" s="45">
        <v>3.1173836097395102E-3</v>
      </c>
      <c r="O109" s="45">
        <v>1137241817.3299999</v>
      </c>
      <c r="P109" s="45">
        <v>869976.74</v>
      </c>
      <c r="Q109" s="45">
        <v>3.6200000000000003E-2</v>
      </c>
      <c r="R109" s="45">
        <v>0</v>
      </c>
      <c r="S109" s="3">
        <f>CurrentMtgRatesDataTable82523[[#This Row],[cum_df_pct]]*100</f>
        <v>0</v>
      </c>
      <c r="T109" s="3">
        <f>CurrentMtgRatesDataTable82523[[#This Row],[pct_dq]]*100</f>
        <v>0.31173836097395102</v>
      </c>
    </row>
    <row r="110" spans="3:20">
      <c r="C110" s="45" t="s">
        <v>76</v>
      </c>
      <c r="D110" s="45" t="s">
        <v>77</v>
      </c>
      <c r="E110" s="45">
        <v>31924370768.91</v>
      </c>
      <c r="F110" s="46">
        <v>42005</v>
      </c>
      <c r="G110" s="45">
        <v>143082</v>
      </c>
      <c r="H110" s="45">
        <v>320455389.75999999</v>
      </c>
      <c r="I110" s="45">
        <v>1736088.91</v>
      </c>
      <c r="J110" s="45">
        <v>1.0037954767524502E-2</v>
      </c>
      <c r="K110" s="45">
        <v>5.4381303943842012E-5</v>
      </c>
      <c r="L110" s="45">
        <v>11.402200000000001</v>
      </c>
      <c r="M110" s="45">
        <v>6.5199999999999994E-2</v>
      </c>
      <c r="N110" s="45">
        <v>2.5871680534557333E-3</v>
      </c>
      <c r="O110" s="45">
        <v>1457697207.0899999</v>
      </c>
      <c r="P110" s="45">
        <v>2606065.65</v>
      </c>
      <c r="Q110" s="45">
        <v>4.6399999999999997E-2</v>
      </c>
      <c r="R110" s="45">
        <v>0</v>
      </c>
      <c r="S110" s="3">
        <f>CurrentMtgRatesDataTable82523[[#This Row],[cum_df_pct]]*100</f>
        <v>0</v>
      </c>
      <c r="T110" s="3">
        <f>CurrentMtgRatesDataTable82523[[#This Row],[pct_dq]]*100</f>
        <v>0.25871680534557334</v>
      </c>
    </row>
    <row r="111" spans="3:20">
      <c r="C111" s="45" t="s">
        <v>76</v>
      </c>
      <c r="D111" s="45" t="s">
        <v>77</v>
      </c>
      <c r="E111" s="45">
        <v>31541680808.580002</v>
      </c>
      <c r="F111" s="46">
        <v>42036</v>
      </c>
      <c r="G111" s="45">
        <v>141849</v>
      </c>
      <c r="H111" s="45">
        <v>397132082.99000001</v>
      </c>
      <c r="I111" s="45">
        <v>2205360.34</v>
      </c>
      <c r="J111" s="45">
        <v>1.2590707686128499E-2</v>
      </c>
      <c r="K111" s="45">
        <v>6.991892262761392E-5</v>
      </c>
      <c r="L111" s="45">
        <v>14.1052</v>
      </c>
      <c r="M111" s="45">
        <v>8.3799999999999999E-2</v>
      </c>
      <c r="N111" s="45">
        <v>2.9512584597165222E-3</v>
      </c>
      <c r="O111" s="45">
        <v>1854829290.0799999</v>
      </c>
      <c r="P111" s="45">
        <v>4811425.99</v>
      </c>
      <c r="Q111" s="45">
        <v>5.91E-2</v>
      </c>
      <c r="R111" s="45">
        <v>1E-4</v>
      </c>
      <c r="S111" s="3">
        <f>CurrentMtgRatesDataTable82523[[#This Row],[cum_df_pct]]*100</f>
        <v>0.01</v>
      </c>
      <c r="T111" s="3">
        <f>CurrentMtgRatesDataTable82523[[#This Row],[pct_dq]]*100</f>
        <v>0.2951258459716522</v>
      </c>
    </row>
    <row r="112" spans="3:20">
      <c r="C112" s="45" t="s">
        <v>76</v>
      </c>
      <c r="D112" s="45" t="s">
        <v>77</v>
      </c>
      <c r="E112" s="45">
        <v>31080609964.099998</v>
      </c>
      <c r="F112" s="46">
        <v>42064</v>
      </c>
      <c r="G112" s="45">
        <v>140266</v>
      </c>
      <c r="H112" s="45">
        <v>333619868.43000001</v>
      </c>
      <c r="I112" s="45">
        <v>1554543.77</v>
      </c>
      <c r="J112" s="45">
        <v>1.07340193392392E-2</v>
      </c>
      <c r="K112" s="45">
        <v>5.0016514212417096E-5</v>
      </c>
      <c r="L112" s="45">
        <v>12.1469</v>
      </c>
      <c r="M112" s="45">
        <v>0.06</v>
      </c>
      <c r="N112" s="45">
        <v>3.4120372853844289E-3</v>
      </c>
      <c r="O112" s="45">
        <v>2188449158.5100002</v>
      </c>
      <c r="P112" s="45">
        <v>6365969.7599999998</v>
      </c>
      <c r="Q112" s="45">
        <v>6.9699999999999998E-2</v>
      </c>
      <c r="R112" s="45">
        <v>2.0000000000000001E-4</v>
      </c>
      <c r="S112" s="3">
        <f>CurrentMtgRatesDataTable82523[[#This Row],[cum_df_pct]]*100</f>
        <v>0.02</v>
      </c>
      <c r="T112" s="3">
        <f>CurrentMtgRatesDataTable82523[[#This Row],[pct_dq]]*100</f>
        <v>0.34120372853844289</v>
      </c>
    </row>
    <row r="113" spans="3:20">
      <c r="C113" s="45" t="s">
        <v>76</v>
      </c>
      <c r="D113" s="45" t="s">
        <v>77</v>
      </c>
      <c r="E113" s="45">
        <v>30681406216.549999</v>
      </c>
      <c r="F113" s="46">
        <v>42095</v>
      </c>
      <c r="G113" s="45">
        <v>138896</v>
      </c>
      <c r="H113" s="45">
        <v>336232647.26999998</v>
      </c>
      <c r="I113" s="45">
        <v>1547448.28</v>
      </c>
      <c r="J113" s="45">
        <v>1.0958840833332834E-2</v>
      </c>
      <c r="K113" s="45">
        <v>5.0436028553517985E-5</v>
      </c>
      <c r="L113" s="45">
        <v>12.386200000000001</v>
      </c>
      <c r="M113" s="45">
        <v>6.0499999999999998E-2</v>
      </c>
      <c r="N113" s="45">
        <v>2.5385131985243754E-3</v>
      </c>
      <c r="O113" s="45">
        <v>2524681805.7800002</v>
      </c>
      <c r="P113" s="45">
        <v>7913418.04</v>
      </c>
      <c r="Q113" s="45">
        <v>8.0500000000000002E-2</v>
      </c>
      <c r="R113" s="45">
        <v>2.0000000000000001E-4</v>
      </c>
      <c r="S113" s="3">
        <f>CurrentMtgRatesDataTable82523[[#This Row],[cum_df_pct]]*100</f>
        <v>0.02</v>
      </c>
      <c r="T113" s="3">
        <f>CurrentMtgRatesDataTable82523[[#This Row],[pct_dq]]*100</f>
        <v>0.25385131985243753</v>
      </c>
    </row>
    <row r="114" spans="3:20">
      <c r="C114" s="45" t="s">
        <v>76</v>
      </c>
      <c r="D114" s="45" t="s">
        <v>77</v>
      </c>
      <c r="E114" s="45">
        <v>30281605272.830002</v>
      </c>
      <c r="F114" s="46">
        <v>42125</v>
      </c>
      <c r="G114" s="45">
        <v>137461</v>
      </c>
      <c r="H114" s="45">
        <v>345240389.32999998</v>
      </c>
      <c r="I114" s="45">
        <v>1536908.01</v>
      </c>
      <c r="J114" s="45">
        <v>1.1400993646785464E-2</v>
      </c>
      <c r="K114" s="45">
        <v>5.0753848620402634E-5</v>
      </c>
      <c r="L114" s="45">
        <v>12.855</v>
      </c>
      <c r="M114" s="45">
        <v>6.08E-2</v>
      </c>
      <c r="N114" s="45">
        <v>2.9648472609394619E-3</v>
      </c>
      <c r="O114" s="45">
        <v>2869922195.1100001</v>
      </c>
      <c r="P114" s="45">
        <v>9450326.0500000007</v>
      </c>
      <c r="Q114" s="45">
        <v>9.1499999999999998E-2</v>
      </c>
      <c r="R114" s="45">
        <v>2.9999999999999997E-4</v>
      </c>
      <c r="S114" s="3">
        <f>CurrentMtgRatesDataTable82523[[#This Row],[cum_df_pct]]*100</f>
        <v>0.03</v>
      </c>
      <c r="T114" s="3">
        <f>CurrentMtgRatesDataTable82523[[#This Row],[pct_dq]]*100</f>
        <v>0.29648472609394622</v>
      </c>
    </row>
    <row r="115" spans="3:20">
      <c r="C115" s="45" t="s">
        <v>78</v>
      </c>
      <c r="D115" s="45" t="s">
        <v>79</v>
      </c>
      <c r="E115" s="45">
        <v>8000610178.8900003</v>
      </c>
      <c r="F115" s="46">
        <v>41883</v>
      </c>
      <c r="G115" s="45">
        <v>36226</v>
      </c>
      <c r="H115" s="45">
        <v>54721277.009999998</v>
      </c>
      <c r="I115" s="45">
        <v>0</v>
      </c>
      <c r="J115" s="45">
        <v>6.8396379509133888E-3</v>
      </c>
      <c r="K115" s="45">
        <v>0</v>
      </c>
      <c r="L115" s="45">
        <v>7.9057000000000004</v>
      </c>
      <c r="M115" s="45">
        <v>0</v>
      </c>
      <c r="N115" s="45">
        <v>0</v>
      </c>
      <c r="O115" s="45">
        <v>54721277.009999998</v>
      </c>
      <c r="P115" s="45">
        <v>0</v>
      </c>
      <c r="Q115" s="45">
        <v>8.0000000000000002E-3</v>
      </c>
      <c r="R115" s="45">
        <v>0</v>
      </c>
      <c r="S115" s="3">
        <f>CurrentMtgRatesDataTable82523[[#This Row],[cum_df_pct]]*100</f>
        <v>0</v>
      </c>
      <c r="T115" s="3">
        <f>CurrentMtgRatesDataTable82523[[#This Row],[pct_dq]]*100</f>
        <v>0</v>
      </c>
    </row>
    <row r="116" spans="3:20">
      <c r="C116" s="45" t="s">
        <v>78</v>
      </c>
      <c r="D116" s="45" t="s">
        <v>79</v>
      </c>
      <c r="E116" s="45">
        <v>7932337047.4300003</v>
      </c>
      <c r="F116" s="46">
        <v>41913</v>
      </c>
      <c r="G116" s="45">
        <v>36025</v>
      </c>
      <c r="H116" s="45">
        <v>118540857.56999999</v>
      </c>
      <c r="I116" s="45">
        <v>0</v>
      </c>
      <c r="J116" s="45">
        <v>1.4944001605227564E-2</v>
      </c>
      <c r="K116" s="45">
        <v>0</v>
      </c>
      <c r="L116" s="45">
        <v>16.529800000000002</v>
      </c>
      <c r="M116" s="45">
        <v>0</v>
      </c>
      <c r="N116" s="45">
        <v>1.6623303474317432E-3</v>
      </c>
      <c r="O116" s="45">
        <v>173262134.58000001</v>
      </c>
      <c r="P116" s="45">
        <v>0</v>
      </c>
      <c r="Q116" s="45">
        <v>2.53E-2</v>
      </c>
      <c r="R116" s="45">
        <v>0</v>
      </c>
      <c r="S116" s="3">
        <f>CurrentMtgRatesDataTable82523[[#This Row],[cum_df_pct]]*100</f>
        <v>0</v>
      </c>
      <c r="T116" s="3">
        <f>CurrentMtgRatesDataTable82523[[#This Row],[pct_dq]]*100</f>
        <v>0.1662330347431743</v>
      </c>
    </row>
    <row r="117" spans="3:20">
      <c r="C117" s="45" t="s">
        <v>78</v>
      </c>
      <c r="D117" s="45" t="s">
        <v>79</v>
      </c>
      <c r="E117" s="45">
        <v>7800430279.4899998</v>
      </c>
      <c r="F117" s="46">
        <v>41944</v>
      </c>
      <c r="G117" s="45">
        <v>35630</v>
      </c>
      <c r="H117" s="45">
        <v>102951973.47</v>
      </c>
      <c r="I117" s="45">
        <v>0</v>
      </c>
      <c r="J117" s="45">
        <v>1.3198242889330856E-2</v>
      </c>
      <c r="K117" s="45">
        <v>0</v>
      </c>
      <c r="L117" s="45">
        <v>14.737299999999999</v>
      </c>
      <c r="M117" s="45">
        <v>0</v>
      </c>
      <c r="N117" s="45">
        <v>1.8127235784901458E-3</v>
      </c>
      <c r="O117" s="45">
        <v>276214108.05000001</v>
      </c>
      <c r="P117" s="45">
        <v>0</v>
      </c>
      <c r="Q117" s="45">
        <v>4.0399999999999998E-2</v>
      </c>
      <c r="R117" s="45">
        <v>0</v>
      </c>
      <c r="S117" s="3">
        <f>CurrentMtgRatesDataTable82523[[#This Row],[cum_df_pct]]*100</f>
        <v>0</v>
      </c>
      <c r="T117" s="3">
        <f>CurrentMtgRatesDataTable82523[[#This Row],[pct_dq]]*100</f>
        <v>0.18127235784901458</v>
      </c>
    </row>
    <row r="118" spans="3:20">
      <c r="C118" s="45" t="s">
        <v>78</v>
      </c>
      <c r="D118" s="45" t="s">
        <v>79</v>
      </c>
      <c r="E118" s="45">
        <v>7683642798.5</v>
      </c>
      <c r="F118" s="46">
        <v>41974</v>
      </c>
      <c r="G118" s="45">
        <v>35266</v>
      </c>
      <c r="H118" s="45">
        <v>110312012.93000001</v>
      </c>
      <c r="I118" s="45">
        <v>0</v>
      </c>
      <c r="J118" s="45">
        <v>1.4356733625297508E-2</v>
      </c>
      <c r="K118" s="45">
        <v>0</v>
      </c>
      <c r="L118" s="45">
        <v>15.9307</v>
      </c>
      <c r="M118" s="45">
        <v>0</v>
      </c>
      <c r="N118" s="45">
        <v>3.2100016355282681E-3</v>
      </c>
      <c r="O118" s="45">
        <v>386526120.98000002</v>
      </c>
      <c r="P118" s="45">
        <v>0</v>
      </c>
      <c r="Q118" s="45">
        <v>5.6599999999999998E-2</v>
      </c>
      <c r="R118" s="45">
        <v>0</v>
      </c>
      <c r="S118" s="3">
        <f>CurrentMtgRatesDataTable82523[[#This Row],[cum_df_pct]]*100</f>
        <v>0</v>
      </c>
      <c r="T118" s="3">
        <f>CurrentMtgRatesDataTable82523[[#This Row],[pct_dq]]*100</f>
        <v>0.32100016355282679</v>
      </c>
    </row>
    <row r="119" spans="3:20">
      <c r="C119" s="45" t="s">
        <v>78</v>
      </c>
      <c r="D119" s="45" t="s">
        <v>79</v>
      </c>
      <c r="E119" s="45">
        <v>7560282083.3699999</v>
      </c>
      <c r="F119" s="46">
        <v>42005</v>
      </c>
      <c r="G119" s="45">
        <v>34867</v>
      </c>
      <c r="H119" s="45">
        <v>205572070.59</v>
      </c>
      <c r="I119" s="45">
        <v>0</v>
      </c>
      <c r="J119" s="45">
        <v>2.7191058259874629E-2</v>
      </c>
      <c r="K119" s="45">
        <v>0</v>
      </c>
      <c r="L119" s="45">
        <v>28.165900000000001</v>
      </c>
      <c r="M119" s="45">
        <v>0</v>
      </c>
      <c r="N119" s="45">
        <v>3.4388182085411268E-3</v>
      </c>
      <c r="O119" s="45">
        <v>592098191.57000005</v>
      </c>
      <c r="P119" s="45">
        <v>0</v>
      </c>
      <c r="Q119" s="45">
        <v>8.6699999999999999E-2</v>
      </c>
      <c r="R119" s="45">
        <v>0</v>
      </c>
      <c r="S119" s="3">
        <f>CurrentMtgRatesDataTable82523[[#This Row],[cum_df_pct]]*100</f>
        <v>0</v>
      </c>
      <c r="T119" s="3">
        <f>CurrentMtgRatesDataTable82523[[#This Row],[pct_dq]]*100</f>
        <v>0.34388182085411267</v>
      </c>
    </row>
    <row r="120" spans="3:20">
      <c r="C120" s="45" t="s">
        <v>78</v>
      </c>
      <c r="D120" s="45" t="s">
        <v>79</v>
      </c>
      <c r="E120" s="45">
        <v>7342769532.79</v>
      </c>
      <c r="F120" s="46">
        <v>42036</v>
      </c>
      <c r="G120" s="45">
        <v>34126</v>
      </c>
      <c r="H120" s="45">
        <v>256927354.15000001</v>
      </c>
      <c r="I120" s="45">
        <v>1143031.8799999999</v>
      </c>
      <c r="J120" s="45">
        <v>3.4990524079866692E-2</v>
      </c>
      <c r="K120" s="45">
        <v>1.5566767755622137E-4</v>
      </c>
      <c r="L120" s="45">
        <v>34.780200000000001</v>
      </c>
      <c r="M120" s="45">
        <v>0.18659999999999999</v>
      </c>
      <c r="N120" s="45">
        <v>4.1123124381280494E-3</v>
      </c>
      <c r="O120" s="45">
        <v>849025545.72000003</v>
      </c>
      <c r="P120" s="45">
        <v>1143031.8799999999</v>
      </c>
      <c r="Q120" s="45">
        <v>0.1244</v>
      </c>
      <c r="R120" s="45">
        <v>1E-4</v>
      </c>
      <c r="S120" s="3">
        <f>CurrentMtgRatesDataTable82523[[#This Row],[cum_df_pct]]*100</f>
        <v>0.01</v>
      </c>
      <c r="T120" s="3">
        <f>CurrentMtgRatesDataTable82523[[#This Row],[pct_dq]]*100</f>
        <v>0.41123124381280496</v>
      </c>
    </row>
    <row r="121" spans="3:20">
      <c r="C121" s="45" t="s">
        <v>78</v>
      </c>
      <c r="D121" s="45" t="s">
        <v>79</v>
      </c>
      <c r="E121" s="45">
        <v>7073056405.8999996</v>
      </c>
      <c r="F121" s="46">
        <v>42064</v>
      </c>
      <c r="G121" s="45">
        <v>33186</v>
      </c>
      <c r="H121" s="45">
        <v>146225708.41999999</v>
      </c>
      <c r="I121" s="45">
        <v>600270.37</v>
      </c>
      <c r="J121" s="45">
        <v>2.06736239651681E-2</v>
      </c>
      <c r="K121" s="45">
        <v>8.4867182665089962E-5</v>
      </c>
      <c r="L121" s="45">
        <v>22.173100000000002</v>
      </c>
      <c r="M121" s="45">
        <v>0.1017</v>
      </c>
      <c r="N121" s="45">
        <v>5.068074344790798E-3</v>
      </c>
      <c r="O121" s="45">
        <v>995251254.13999999</v>
      </c>
      <c r="P121" s="45">
        <v>1743302.25</v>
      </c>
      <c r="Q121" s="45">
        <v>0.14580000000000001</v>
      </c>
      <c r="R121" s="45">
        <v>2.0000000000000001E-4</v>
      </c>
      <c r="S121" s="3">
        <f>CurrentMtgRatesDataTable82523[[#This Row],[cum_df_pct]]*100</f>
        <v>0.02</v>
      </c>
      <c r="T121" s="3">
        <f>CurrentMtgRatesDataTable82523[[#This Row],[pct_dq]]*100</f>
        <v>0.50680743447907983</v>
      </c>
    </row>
    <row r="122" spans="3:20">
      <c r="C122" s="45" t="s">
        <v>78</v>
      </c>
      <c r="D122" s="45" t="s">
        <v>79</v>
      </c>
      <c r="E122" s="45">
        <v>6913666895.29</v>
      </c>
      <c r="F122" s="46">
        <v>42095</v>
      </c>
      <c r="G122" s="45">
        <v>32636</v>
      </c>
      <c r="H122" s="45">
        <v>134198992.48</v>
      </c>
      <c r="I122" s="45">
        <v>631441.91</v>
      </c>
      <c r="J122" s="45">
        <v>1.9410682422583061E-2</v>
      </c>
      <c r="K122" s="45">
        <v>9.1332417306679283E-5</v>
      </c>
      <c r="L122" s="45">
        <v>20.960100000000001</v>
      </c>
      <c r="M122" s="45">
        <v>0.1095</v>
      </c>
      <c r="N122" s="45">
        <v>3.7748294798205344E-3</v>
      </c>
      <c r="O122" s="45">
        <v>1129450246.6199999</v>
      </c>
      <c r="P122" s="45">
        <v>2374744.16</v>
      </c>
      <c r="Q122" s="45">
        <v>0.16550000000000001</v>
      </c>
      <c r="R122" s="45">
        <v>2.9999999999999997E-4</v>
      </c>
      <c r="S122" s="3">
        <f>CurrentMtgRatesDataTable82523[[#This Row],[cum_df_pct]]*100</f>
        <v>0.03</v>
      </c>
      <c r="T122" s="3">
        <f>CurrentMtgRatesDataTable82523[[#This Row],[pct_dq]]*100</f>
        <v>0.37748294798205345</v>
      </c>
    </row>
    <row r="123" spans="3:20">
      <c r="C123" s="45" t="s">
        <v>78</v>
      </c>
      <c r="D123" s="45" t="s">
        <v>79</v>
      </c>
      <c r="E123" s="45">
        <v>6767148341.4099998</v>
      </c>
      <c r="F123" s="46">
        <v>42125</v>
      </c>
      <c r="G123" s="45">
        <v>32117</v>
      </c>
      <c r="H123" s="45">
        <v>122353726.95</v>
      </c>
      <c r="I123" s="45">
        <v>927611.53</v>
      </c>
      <c r="J123" s="45">
        <v>1.808054453325408E-2</v>
      </c>
      <c r="K123" s="45">
        <v>1.3707569026139056E-4</v>
      </c>
      <c r="L123" s="45">
        <v>19.663900000000002</v>
      </c>
      <c r="M123" s="45">
        <v>0.1643</v>
      </c>
      <c r="N123" s="45">
        <v>4.4673961711471765E-3</v>
      </c>
      <c r="O123" s="45">
        <v>1251803973.5699999</v>
      </c>
      <c r="P123" s="45">
        <v>3302355.69</v>
      </c>
      <c r="Q123" s="45">
        <v>0.18340000000000001</v>
      </c>
      <c r="R123" s="45">
        <v>4.0000000000000002E-4</v>
      </c>
      <c r="S123" s="3">
        <f>CurrentMtgRatesDataTable82523[[#This Row],[cum_df_pct]]*100</f>
        <v>0.04</v>
      </c>
      <c r="T123" s="3">
        <f>CurrentMtgRatesDataTable82523[[#This Row],[pct_dq]]*100</f>
        <v>0.44673961711471766</v>
      </c>
    </row>
    <row r="124" spans="3:20">
      <c r="C124" s="45" t="s">
        <v>80</v>
      </c>
      <c r="D124" s="45" t="s">
        <v>81</v>
      </c>
      <c r="E124" s="45">
        <v>27594847322.099998</v>
      </c>
      <c r="F124" s="46">
        <v>42005</v>
      </c>
      <c r="G124" s="45">
        <v>121129</v>
      </c>
      <c r="H124" s="45">
        <v>1636253444.21</v>
      </c>
      <c r="I124" s="45">
        <v>0</v>
      </c>
      <c r="J124" s="45">
        <v>5.9295615051276868E-2</v>
      </c>
      <c r="K124" s="45">
        <v>0</v>
      </c>
      <c r="L124" s="45">
        <v>51.978200000000001</v>
      </c>
      <c r="M124" s="45">
        <v>0</v>
      </c>
      <c r="N124" s="45">
        <v>1.5922864086589988E-3</v>
      </c>
      <c r="O124" s="45">
        <v>1636253444.21</v>
      </c>
      <c r="P124" s="45">
        <v>0</v>
      </c>
      <c r="Q124" s="45">
        <v>6.8699999999999997E-2</v>
      </c>
      <c r="R124" s="45">
        <v>0</v>
      </c>
      <c r="S124" s="3">
        <f>CurrentMtgRatesDataTable82523[[#This Row],[cum_df_pct]]*100</f>
        <v>0</v>
      </c>
      <c r="T124" s="3">
        <f>CurrentMtgRatesDataTable82523[[#This Row],[pct_dq]]*100</f>
        <v>0.15922864086589988</v>
      </c>
    </row>
    <row r="125" spans="3:20">
      <c r="C125" s="45" t="s">
        <v>80</v>
      </c>
      <c r="D125" s="45" t="s">
        <v>81</v>
      </c>
      <c r="E125" s="45">
        <v>25907738596.080002</v>
      </c>
      <c r="F125" s="46">
        <v>42036</v>
      </c>
      <c r="G125" s="45">
        <v>116083</v>
      </c>
      <c r="H125" s="45">
        <v>1010110127.14</v>
      </c>
      <c r="I125" s="45">
        <v>0</v>
      </c>
      <c r="J125" s="45">
        <v>3.8988741660873322E-2</v>
      </c>
      <c r="K125" s="45">
        <v>0</v>
      </c>
      <c r="L125" s="45">
        <v>37.950000000000003</v>
      </c>
      <c r="M125" s="45">
        <v>0</v>
      </c>
      <c r="N125" s="45">
        <v>1.7318346328686824E-3</v>
      </c>
      <c r="O125" s="45">
        <v>2646363571.3499999</v>
      </c>
      <c r="P125" s="45">
        <v>0</v>
      </c>
      <c r="Q125" s="45">
        <v>0.1111</v>
      </c>
      <c r="R125" s="45">
        <v>0</v>
      </c>
      <c r="S125" s="3">
        <f>CurrentMtgRatesDataTable82523[[#This Row],[cum_df_pct]]*100</f>
        <v>0</v>
      </c>
      <c r="T125" s="3">
        <f>CurrentMtgRatesDataTable82523[[#This Row],[pct_dq]]*100</f>
        <v>0.17318346328686823</v>
      </c>
    </row>
    <row r="126" spans="3:20">
      <c r="C126" s="45" t="s">
        <v>80</v>
      </c>
      <c r="D126" s="45" t="s">
        <v>81</v>
      </c>
      <c r="E126" s="45">
        <v>24847898745.950001</v>
      </c>
      <c r="F126" s="46">
        <v>42064</v>
      </c>
      <c r="G126" s="45">
        <v>112863</v>
      </c>
      <c r="H126" s="45">
        <v>560718993.75</v>
      </c>
      <c r="I126" s="45">
        <v>0</v>
      </c>
      <c r="J126" s="45">
        <v>2.2566052746870298E-2</v>
      </c>
      <c r="K126" s="45">
        <v>0</v>
      </c>
      <c r="L126" s="45">
        <v>23.9587</v>
      </c>
      <c r="M126" s="45">
        <v>0</v>
      </c>
      <c r="N126" s="45">
        <v>3.4222049864019157E-3</v>
      </c>
      <c r="O126" s="45">
        <v>3207082565.0999999</v>
      </c>
      <c r="P126" s="45">
        <v>0</v>
      </c>
      <c r="Q126" s="45">
        <v>0.13469999999999999</v>
      </c>
      <c r="R126" s="45">
        <v>0</v>
      </c>
      <c r="S126" s="3">
        <f>CurrentMtgRatesDataTable82523[[#This Row],[cum_df_pct]]*100</f>
        <v>0</v>
      </c>
      <c r="T126" s="3">
        <f>CurrentMtgRatesDataTable82523[[#This Row],[pct_dq]]*100</f>
        <v>0.34222049864019155</v>
      </c>
    </row>
    <row r="127" spans="3:20">
      <c r="C127" s="45" t="s">
        <v>80</v>
      </c>
      <c r="D127" s="45" t="s">
        <v>81</v>
      </c>
      <c r="E127" s="45">
        <v>24235181840.02</v>
      </c>
      <c r="F127" s="46">
        <v>42095</v>
      </c>
      <c r="G127" s="45">
        <v>110952</v>
      </c>
      <c r="H127" s="45">
        <v>514233892.95999998</v>
      </c>
      <c r="I127" s="45">
        <v>0</v>
      </c>
      <c r="J127" s="45">
        <v>2.1218487088503546E-2</v>
      </c>
      <c r="K127" s="45">
        <v>0</v>
      </c>
      <c r="L127" s="45">
        <v>22.691099999999999</v>
      </c>
      <c r="M127" s="45">
        <v>0</v>
      </c>
      <c r="N127" s="45">
        <v>2.1156629027363504E-3</v>
      </c>
      <c r="O127" s="45">
        <v>3721316458.0599999</v>
      </c>
      <c r="P127" s="45">
        <v>0</v>
      </c>
      <c r="Q127" s="45">
        <v>0.15629999999999999</v>
      </c>
      <c r="R127" s="45">
        <v>0</v>
      </c>
      <c r="S127" s="3">
        <f>CurrentMtgRatesDataTable82523[[#This Row],[cum_df_pct]]*100</f>
        <v>0</v>
      </c>
      <c r="T127" s="3">
        <f>CurrentMtgRatesDataTable82523[[#This Row],[pct_dq]]*100</f>
        <v>0.21156629027363505</v>
      </c>
    </row>
    <row r="128" spans="3:20">
      <c r="C128" s="45" t="s">
        <v>80</v>
      </c>
      <c r="D128" s="45" t="s">
        <v>81</v>
      </c>
      <c r="E128" s="45">
        <v>23671232853.060001</v>
      </c>
      <c r="F128" s="46">
        <v>42125</v>
      </c>
      <c r="G128" s="45">
        <v>109136</v>
      </c>
      <c r="H128" s="45">
        <v>419212565.88</v>
      </c>
      <c r="I128" s="45">
        <v>551845.68999999994</v>
      </c>
      <c r="J128" s="45">
        <v>1.7709790127209534E-2</v>
      </c>
      <c r="K128" s="45">
        <v>2.3312925584636899E-5</v>
      </c>
      <c r="L128" s="45">
        <v>19.299199999999999</v>
      </c>
      <c r="M128" s="45">
        <v>2.7900000000000001E-2</v>
      </c>
      <c r="N128" s="45">
        <v>2.7772949574741512E-3</v>
      </c>
      <c r="O128" s="45">
        <v>4140529023.9400001</v>
      </c>
      <c r="P128" s="45">
        <v>551845.68999999994</v>
      </c>
      <c r="Q128" s="45">
        <v>0.1739</v>
      </c>
      <c r="R128" s="45">
        <v>0</v>
      </c>
      <c r="S128" s="3">
        <f>CurrentMtgRatesDataTable82523[[#This Row],[cum_df_pct]]*100</f>
        <v>0</v>
      </c>
      <c r="T128" s="3">
        <f>CurrentMtgRatesDataTable82523[[#This Row],[pct_dq]]*100</f>
        <v>0.27772949574741512</v>
      </c>
    </row>
    <row r="129" spans="3:20">
      <c r="C129" s="45" t="s">
        <v>82</v>
      </c>
      <c r="D129" s="45" t="s">
        <v>83</v>
      </c>
      <c r="E129" s="45">
        <v>31802513580.400002</v>
      </c>
      <c r="F129" s="46">
        <v>42095</v>
      </c>
      <c r="G129" s="45">
        <v>135794</v>
      </c>
      <c r="H129" s="45">
        <v>473778644.73000002</v>
      </c>
      <c r="I129" s="45">
        <v>0</v>
      </c>
      <c r="J129" s="45">
        <v>1.4897521968892151E-2</v>
      </c>
      <c r="K129" s="45">
        <v>0</v>
      </c>
      <c r="L129" s="45">
        <v>16.482600000000001</v>
      </c>
      <c r="M129" s="45">
        <v>0</v>
      </c>
      <c r="N129" s="45">
        <v>5.5999090056126327E-4</v>
      </c>
      <c r="O129" s="45">
        <v>473778644.73000002</v>
      </c>
      <c r="P129" s="45">
        <v>0</v>
      </c>
      <c r="Q129" s="45">
        <v>1.43E-2</v>
      </c>
      <c r="R129" s="45">
        <v>0</v>
      </c>
      <c r="S129" s="3">
        <f>CurrentMtgRatesDataTable82523[[#This Row],[cum_df_pct]]*100</f>
        <v>0</v>
      </c>
      <c r="T129" s="3">
        <f>CurrentMtgRatesDataTable82523[[#This Row],[pct_dq]]*100</f>
        <v>5.5999090056126327E-2</v>
      </c>
    </row>
    <row r="130" spans="3:20">
      <c r="C130" s="45" t="s">
        <v>82</v>
      </c>
      <c r="D130" s="45" t="s">
        <v>83</v>
      </c>
      <c r="E130" s="45">
        <v>31255911118.709999</v>
      </c>
      <c r="F130" s="46">
        <v>42125</v>
      </c>
      <c r="G130" s="45">
        <v>133819</v>
      </c>
      <c r="H130" s="45">
        <v>281988775</v>
      </c>
      <c r="I130" s="45">
        <v>0</v>
      </c>
      <c r="J130" s="45">
        <v>9.0219342488211656E-3</v>
      </c>
      <c r="K130" s="45">
        <v>0</v>
      </c>
      <c r="L130" s="45">
        <v>10.3049</v>
      </c>
      <c r="M130" s="45">
        <v>0</v>
      </c>
      <c r="N130" s="45">
        <v>7.6209042857628578E-4</v>
      </c>
      <c r="O130" s="45">
        <v>755767419.73000002</v>
      </c>
      <c r="P130" s="45">
        <v>0</v>
      </c>
      <c r="Q130" s="45">
        <v>2.29E-2</v>
      </c>
      <c r="R130" s="45">
        <v>0</v>
      </c>
      <c r="S130" s="3">
        <f>CurrentMtgRatesDataTable82523[[#This Row],[cum_df_pct]]*100</f>
        <v>0</v>
      </c>
      <c r="T130" s="3">
        <f>CurrentMtgRatesDataTable82523[[#This Row],[pct_dq]]*100</f>
        <v>7.6209042857628584E-2</v>
      </c>
    </row>
    <row r="131" spans="3:20">
      <c r="C131" s="45" t="s">
        <v>86</v>
      </c>
      <c r="D131" s="45" t="s">
        <v>87</v>
      </c>
      <c r="E131" s="45">
        <v>16527604803.85</v>
      </c>
      <c r="F131" s="46">
        <v>42064</v>
      </c>
      <c r="G131" s="45">
        <v>75508</v>
      </c>
      <c r="H131" s="45">
        <v>677454078.88999999</v>
      </c>
      <c r="I131" s="45">
        <v>0</v>
      </c>
      <c r="J131" s="45">
        <v>4.0989247197645441E-2</v>
      </c>
      <c r="K131" s="45">
        <v>0</v>
      </c>
      <c r="L131" s="45">
        <v>39.482300000000002</v>
      </c>
      <c r="M131" s="45">
        <v>0</v>
      </c>
      <c r="N131" s="45">
        <v>2.0324079350067248E-3</v>
      </c>
      <c r="O131" s="45">
        <v>677454078.88999999</v>
      </c>
      <c r="P131" s="45">
        <v>0</v>
      </c>
      <c r="Q131" s="45">
        <v>4.3200000000000002E-2</v>
      </c>
      <c r="R131" s="45">
        <v>0</v>
      </c>
      <c r="S131" s="3">
        <f>CurrentMtgRatesDataTable82523[[#This Row],[cum_df_pct]]*100</f>
        <v>0</v>
      </c>
      <c r="T131" s="3">
        <f>CurrentMtgRatesDataTable82523[[#This Row],[pct_dq]]*100</f>
        <v>0.20324079350067248</v>
      </c>
    </row>
    <row r="132" spans="3:20">
      <c r="C132" s="45" t="s">
        <v>86</v>
      </c>
      <c r="D132" s="45" t="s">
        <v>87</v>
      </c>
      <c r="E132" s="45">
        <v>15821156242.959999</v>
      </c>
      <c r="F132" s="46">
        <v>42095</v>
      </c>
      <c r="G132" s="45">
        <v>73077</v>
      </c>
      <c r="H132" s="45">
        <v>245927412.13</v>
      </c>
      <c r="I132" s="45">
        <v>0</v>
      </c>
      <c r="J132" s="45">
        <v>1.5544212341587314E-2</v>
      </c>
      <c r="K132" s="45">
        <v>0</v>
      </c>
      <c r="L132" s="45">
        <v>17.138100000000001</v>
      </c>
      <c r="M132" s="45">
        <v>0</v>
      </c>
      <c r="N132" s="45">
        <v>1.6889907033116175E-3</v>
      </c>
      <c r="O132" s="45">
        <v>923381491.01999998</v>
      </c>
      <c r="P132" s="45">
        <v>0</v>
      </c>
      <c r="Q132" s="45">
        <v>5.8999999999999997E-2</v>
      </c>
      <c r="R132" s="45">
        <v>0</v>
      </c>
      <c r="S132" s="3">
        <f>CurrentMtgRatesDataTable82523[[#This Row],[cum_df_pct]]*100</f>
        <v>0</v>
      </c>
      <c r="T132" s="3">
        <f>CurrentMtgRatesDataTable82523[[#This Row],[pct_dq]]*100</f>
        <v>0.16889907033116175</v>
      </c>
    </row>
    <row r="133" spans="3:20">
      <c r="C133" s="45" t="s">
        <v>86</v>
      </c>
      <c r="D133" s="45" t="s">
        <v>87</v>
      </c>
      <c r="E133" s="45">
        <v>15548062345.92</v>
      </c>
      <c r="F133" s="46">
        <v>42125</v>
      </c>
      <c r="G133" s="45">
        <v>72137</v>
      </c>
      <c r="H133" s="45">
        <v>214052134.74000001</v>
      </c>
      <c r="I133" s="45">
        <v>0</v>
      </c>
      <c r="J133" s="45">
        <v>1.3767126087976478E-2</v>
      </c>
      <c r="K133" s="45">
        <v>0</v>
      </c>
      <c r="L133" s="45">
        <v>15.325200000000001</v>
      </c>
      <c r="M133" s="45">
        <v>0</v>
      </c>
      <c r="N133" s="45">
        <v>1.9443009127071546E-3</v>
      </c>
      <c r="O133" s="45">
        <v>1137433625.76</v>
      </c>
      <c r="P133" s="45">
        <v>0</v>
      </c>
      <c r="Q133" s="45">
        <v>7.2599999999999998E-2</v>
      </c>
      <c r="R133" s="45">
        <v>0</v>
      </c>
      <c r="S133" s="3">
        <f>CurrentMtgRatesDataTable82523[[#This Row],[cum_df_pct]]*100</f>
        <v>0</v>
      </c>
      <c r="T133" s="3">
        <f>CurrentMtgRatesDataTable82523[[#This Row],[pct_dq]]*100</f>
        <v>0.19443009127071545</v>
      </c>
    </row>
    <row r="134" spans="3:20">
      <c r="C134" s="45" t="s">
        <v>88</v>
      </c>
      <c r="D134" s="45" t="s">
        <v>89</v>
      </c>
      <c r="E134" s="45">
        <v>30324752420.939999</v>
      </c>
      <c r="F134" s="46">
        <v>42095</v>
      </c>
      <c r="G134" s="45">
        <v>137280</v>
      </c>
      <c r="H134" s="45">
        <v>333520002.19999999</v>
      </c>
      <c r="I134" s="45">
        <v>0</v>
      </c>
      <c r="J134" s="45">
        <v>1.0998276179484852E-2</v>
      </c>
      <c r="K134" s="45">
        <v>0</v>
      </c>
      <c r="L134" s="45">
        <v>12.428100000000001</v>
      </c>
      <c r="M134" s="45">
        <v>0</v>
      </c>
      <c r="N134" s="45">
        <v>0</v>
      </c>
      <c r="O134" s="45">
        <v>333520002.19999999</v>
      </c>
      <c r="P134" s="45">
        <v>0</v>
      </c>
      <c r="Q134" s="45">
        <v>1.0699999999999999E-2</v>
      </c>
      <c r="R134" s="45">
        <v>0</v>
      </c>
      <c r="S134" s="3">
        <f>CurrentMtgRatesDataTable82523[[#This Row],[cum_df_pct]]*100</f>
        <v>0</v>
      </c>
      <c r="T134" s="3">
        <f>CurrentMtgRatesDataTable82523[[#This Row],[pct_dq]]*100</f>
        <v>0</v>
      </c>
    </row>
    <row r="135" spans="3:20">
      <c r="C135" s="45" t="s">
        <v>88</v>
      </c>
      <c r="D135" s="45" t="s">
        <v>89</v>
      </c>
      <c r="E135" s="45">
        <v>29929673811.75</v>
      </c>
      <c r="F135" s="46">
        <v>42125</v>
      </c>
      <c r="G135" s="45">
        <v>135863</v>
      </c>
      <c r="H135" s="45">
        <v>339697050.11000001</v>
      </c>
      <c r="I135" s="45">
        <v>0</v>
      </c>
      <c r="J135" s="45">
        <v>1.1349841373033586E-2</v>
      </c>
      <c r="K135" s="45">
        <v>0</v>
      </c>
      <c r="L135" s="45">
        <v>12.8009</v>
      </c>
      <c r="M135" s="45">
        <v>0</v>
      </c>
      <c r="N135" s="45">
        <v>1.039931847428982E-3</v>
      </c>
      <c r="O135" s="45">
        <v>673217052.30999994</v>
      </c>
      <c r="P135" s="45">
        <v>0</v>
      </c>
      <c r="Q135" s="45">
        <v>2.1700000000000001E-2</v>
      </c>
      <c r="R135" s="45">
        <v>0</v>
      </c>
      <c r="S135" s="3">
        <f>CurrentMtgRatesDataTable82523[[#This Row],[cum_df_pct]]*100</f>
        <v>0</v>
      </c>
      <c r="T135" s="3">
        <f>CurrentMtgRatesDataTable82523[[#This Row],[pct_dq]]*100</f>
        <v>0.1039931847428982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Collateral Report</vt:lpstr>
      <vt:lpstr>Performance Report</vt:lpstr>
      <vt:lpstr>Performance Pivot</vt:lpstr>
      <vt:lpstr>Colleteral Data</vt:lpstr>
      <vt:lpstr>Performance Data</vt:lpstr>
      <vt:lpstr>'Performance Pivot'!CurrentCloseDate</vt:lpstr>
      <vt:lpstr>'Performance Report'!CurrentCloseDate</vt:lpstr>
      <vt:lpstr>'Performance Pivot'!DatabaseEnv</vt:lpstr>
      <vt:lpstr>'Performance Report'!DatabaseEnv</vt:lpstr>
      <vt:lpstr>LatestUpdateDate</vt:lpstr>
      <vt:lpstr>'Performance Pivot'!PDFReportDir</vt:lpstr>
      <vt:lpstr>'Performance Report'!PDFReportDir</vt:lpstr>
      <vt:lpstr>'Performance Pivot'!PDFReportName</vt:lpstr>
      <vt:lpstr>'Performance Report'!PDFReportName</vt:lpstr>
      <vt:lpstr>'Collateral Report'!Print_Area</vt:lpstr>
      <vt:lpstr>'Performance Pivot'!Print_Area</vt:lpstr>
      <vt:lpstr>'Performance Report'!Print_Area</vt:lpstr>
      <vt:lpstr>'Performance Pivot'!SaveRatesToDB</vt:lpstr>
      <vt:lpstr>'Performance Report'!SaveRatesToDB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2015-08-12T22:30:52Z</cp:lastPrinted>
  <dcterms:created xsi:type="dcterms:W3CDTF">2015-03-12T13:39:23Z</dcterms:created>
  <dcterms:modified xsi:type="dcterms:W3CDTF">2015-08-13T14:22:20Z</dcterms:modified>
</cp:coreProperties>
</file>