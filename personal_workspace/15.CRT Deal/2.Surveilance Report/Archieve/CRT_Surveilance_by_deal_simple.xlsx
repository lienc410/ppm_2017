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0" yWindow="0" windowWidth="31020" windowHeight="19305" activeTab="1"/>
  </bookViews>
  <sheets>
    <sheet name="Draft" sheetId="6" r:id="rId1"/>
    <sheet name="Freddie_orig" sheetId="3" r:id="rId2"/>
    <sheet name="Freddie_perf" sheetId="2" r:id="rId3"/>
    <sheet name="Sheet4" sheetId="9" r:id="rId4"/>
    <sheet name="Fannie_orig" sheetId="4" state="hidden" r:id="rId5"/>
    <sheet name="Fannie_perf" sheetId="5" state="hidden" r:id="rId6"/>
    <sheet name="Survey" sheetId="7" state="hidden" r:id="rId7"/>
  </sheets>
  <definedNames>
    <definedName name="_xlnm.Print_Area" localSheetId="0">Draft!$A$1:$V$65</definedName>
    <definedName name="_xlnm.Print_Area" localSheetId="3">Sheet4!$A$1:$AD$64</definedName>
    <definedName name="_xlnm.Print_Area" localSheetId="6">Survey!$C$1:$L$50</definedName>
  </definedNames>
  <calcPr calcId="145621"/>
  <pivotCaches>
    <pivotCache cacheId="5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5" l="1"/>
  <c r="N4" i="5"/>
  <c r="N5" i="5"/>
  <c r="N6" i="5"/>
  <c r="N7" i="5"/>
  <c r="N8" i="5"/>
  <c r="N9" i="5"/>
  <c r="N10" i="5"/>
  <c r="N11" i="5"/>
  <c r="N12" i="5"/>
  <c r="N13" i="5"/>
  <c r="N2" i="5"/>
  <c r="O3" i="5"/>
  <c r="O4" i="5"/>
  <c r="O5" i="5"/>
  <c r="O6" i="5"/>
  <c r="O7" i="5"/>
  <c r="O8" i="5"/>
  <c r="O9" i="5"/>
  <c r="O10" i="5"/>
  <c r="O11" i="5"/>
  <c r="O12" i="5"/>
  <c r="O13" i="5"/>
  <c r="O2" i="5"/>
  <c r="O3" i="2"/>
  <c r="O4" i="2"/>
  <c r="O5" i="2"/>
  <c r="O6" i="2"/>
  <c r="O7" i="2"/>
  <c r="O8" i="2"/>
  <c r="O9" i="2"/>
  <c r="O10" i="2"/>
  <c r="O11" i="2"/>
  <c r="O12" i="2"/>
  <c r="O13" i="2"/>
  <c r="O14" i="2"/>
  <c r="O15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2" i="2"/>
</calcChain>
</file>

<file path=xl/sharedStrings.xml><?xml version="1.0" encoding="utf-8"?>
<sst xmlns="http://schemas.openxmlformats.org/spreadsheetml/2006/main" count="414" uniqueCount="89">
  <si>
    <t>DealID</t>
  </si>
  <si>
    <t>FHL13DN01</t>
  </si>
  <si>
    <t>FHL13DN02</t>
  </si>
  <si>
    <t>FHL14DN01</t>
  </si>
  <si>
    <t>FHL14DN02</t>
  </si>
  <si>
    <t>FHL14DN03</t>
  </si>
  <si>
    <t>FHL14DN04</t>
  </si>
  <si>
    <t>FHL14HQ01</t>
  </si>
  <si>
    <t>FHL14HQ02</t>
  </si>
  <si>
    <t>FHL14HQ03</t>
  </si>
  <si>
    <t>FHL15DN01</t>
  </si>
  <si>
    <t>FHL15DNA1</t>
  </si>
  <si>
    <t>FHL15DNA2</t>
  </si>
  <si>
    <t>FHL15HQ01</t>
  </si>
  <si>
    <t>FHL15HQ02</t>
  </si>
  <si>
    <t>SecMnem</t>
  </si>
  <si>
    <t>cum_default</t>
  </si>
  <si>
    <t>cum_prepayment</t>
  </si>
  <si>
    <t>beginDate</t>
  </si>
  <si>
    <t>CPR</t>
  </si>
  <si>
    <t>CDR</t>
  </si>
  <si>
    <t>pct_dq</t>
  </si>
  <si>
    <t>cum_pp_pct</t>
  </si>
  <si>
    <t>cum_df_pct</t>
  </si>
  <si>
    <t>CurrBal</t>
  </si>
  <si>
    <t>OrigBal</t>
  </si>
  <si>
    <t>CurrentLoanCount</t>
  </si>
  <si>
    <t>CurrentBalance</t>
  </si>
  <si>
    <t>OriginalBalance</t>
  </si>
  <si>
    <t>wavg_loanAge</t>
  </si>
  <si>
    <t>wavg_origNoteRate</t>
  </si>
  <si>
    <t>wavg_currentNoteRate</t>
  </si>
  <si>
    <t>wavg_origLTV</t>
  </si>
  <si>
    <t>wavg_origCLTV</t>
  </si>
  <si>
    <t>wavg_currentLTV</t>
  </si>
  <si>
    <t>wavg_origDTI</t>
  </si>
  <si>
    <t>wavg_origFICO</t>
  </si>
  <si>
    <t>wavg_origLoanSize</t>
  </si>
  <si>
    <t>pct_mi</t>
  </si>
  <si>
    <t>pct_2nd</t>
  </si>
  <si>
    <t>pct_firstTimeHomeBuyer</t>
  </si>
  <si>
    <t>pct_multiple_borrowers</t>
  </si>
  <si>
    <t>pct_multiple_units</t>
  </si>
  <si>
    <t>pct_sfr</t>
  </si>
  <si>
    <t>pct_owner</t>
  </si>
  <si>
    <t>pct_purchase</t>
  </si>
  <si>
    <t>pct_broker</t>
  </si>
  <si>
    <t>pct_current</t>
  </si>
  <si>
    <t>pct_delinquent</t>
  </si>
  <si>
    <t>pct_APL</t>
  </si>
  <si>
    <t>pct_RPL</t>
  </si>
  <si>
    <t>pct_earlyNPL</t>
  </si>
  <si>
    <t>pct_lateNPL</t>
  </si>
  <si>
    <t>pct_modified</t>
  </si>
  <si>
    <t>RefPoolId</t>
  </si>
  <si>
    <t>Pct_PP</t>
  </si>
  <si>
    <t>Pct_DF</t>
  </si>
  <si>
    <t>Row Labels</t>
  </si>
  <si>
    <t>Column Labels</t>
  </si>
  <si>
    <t>Sum of CPR</t>
  </si>
  <si>
    <t>Sum of cum_pp_pct</t>
  </si>
  <si>
    <t>Cumulative Prepay Percentage</t>
  </si>
  <si>
    <t>Deal ID</t>
  </si>
  <si>
    <t>As of</t>
  </si>
  <si>
    <t>Loan Count</t>
  </si>
  <si>
    <t>Current balance</t>
  </si>
  <si>
    <t>Prepayment Balance</t>
  </si>
  <si>
    <t>Default Balance</t>
  </si>
  <si>
    <t>SMM</t>
  </si>
  <si>
    <t>MDR</t>
  </si>
  <si>
    <t>Pct Delinquencies</t>
  </si>
  <si>
    <t>Cum Prepayment</t>
  </si>
  <si>
    <t>Cum Default</t>
  </si>
  <si>
    <t>Cum Prepayment Percentage</t>
  </si>
  <si>
    <t>Cum Default Percentage</t>
  </si>
  <si>
    <t>Historical</t>
  </si>
  <si>
    <t>Do you want to see the information:</t>
  </si>
  <si>
    <t>Monthly Update</t>
  </si>
  <si>
    <t>Origination</t>
  </si>
  <si>
    <t>In Summary Page</t>
  </si>
  <si>
    <t>In Deal Page</t>
  </si>
  <si>
    <t>Delta</t>
  </si>
  <si>
    <t>Monthly</t>
  </si>
  <si>
    <t>Sum of cum_df_pct</t>
  </si>
  <si>
    <t>Sum of pct_dq</t>
  </si>
  <si>
    <t>CDR %</t>
  </si>
  <si>
    <t>Cumulative Default Rate</t>
  </si>
  <si>
    <t>Delinquency</t>
  </si>
  <si>
    <t>CPR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</si>
</sst>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(* #,##0.000_);_(* \(#,##0.000\);_(* &quot;-&quot;??_);_(@_)"/>
    <numFmt numFmtId="167" formatCode="0.0%"/>
    <numFmt numFmtId="169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  <xf numFmtId="43" fontId="0" fillId="0" borderId="0" xfId="1" applyNumberFormat="1" applyFont="1"/>
    <xf numFmtId="167" fontId="0" fillId="0" borderId="0" xfId="2" applyNumberFormat="1" applyFont="1"/>
    <xf numFmtId="10" fontId="0" fillId="0" borderId="0" xfId="2" applyNumberFormat="1" applyFont="1"/>
    <xf numFmtId="10" fontId="0" fillId="2" borderId="0" xfId="2" applyNumberFormat="1" applyFont="1" applyFill="1"/>
    <xf numFmtId="10" fontId="0" fillId="0" borderId="0" xfId="2" applyNumberFormat="1" applyFont="1" applyFill="1"/>
    <xf numFmtId="43" fontId="0" fillId="3" borderId="0" xfId="1" applyNumberFormat="1" applyFont="1" applyFill="1"/>
    <xf numFmtId="10" fontId="0" fillId="3" borderId="0" xfId="2" applyNumberFormat="1" applyFont="1" applyFill="1"/>
    <xf numFmtId="9" fontId="0" fillId="0" borderId="0" xfId="0" applyNumberFormat="1"/>
    <xf numFmtId="0" fontId="0" fillId="0" borderId="1" xfId="0" applyBorder="1"/>
    <xf numFmtId="0" fontId="0" fillId="0" borderId="2" xfId="0" pivotButton="1" applyBorder="1"/>
    <xf numFmtId="0" fontId="0" fillId="0" borderId="2" xfId="0" applyBorder="1"/>
    <xf numFmtId="14" fontId="0" fillId="0" borderId="2" xfId="0" applyNumberFormat="1" applyBorder="1" applyAlignment="1">
      <alignment horizontal="left"/>
    </xf>
    <xf numFmtId="9" fontId="0" fillId="0" borderId="2" xfId="0" applyNumberFormat="1" applyBorder="1" applyAlignment="1">
      <alignment horizontal="center"/>
    </xf>
    <xf numFmtId="169" fontId="0" fillId="0" borderId="0" xfId="0" applyNumberFormat="1"/>
    <xf numFmtId="0" fontId="0" fillId="0" borderId="3" xfId="0" pivotButton="1" applyBorder="1"/>
    <xf numFmtId="0" fontId="0" fillId="0" borderId="3" xfId="0" applyBorder="1"/>
    <xf numFmtId="169" fontId="0" fillId="0" borderId="2" xfId="0" applyNumberFormat="1" applyBorder="1"/>
    <xf numFmtId="14" fontId="0" fillId="0" borderId="4" xfId="0" applyNumberFormat="1" applyBorder="1" applyAlignment="1">
      <alignment horizontal="left"/>
    </xf>
    <xf numFmtId="169" fontId="0" fillId="0" borderId="4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1" xfId="1" applyNumberFormat="1" applyFont="1" applyBorder="1"/>
    <xf numFmtId="43" fontId="0" fillId="0" borderId="1" xfId="1" applyNumberFormat="1" applyFont="1" applyBorder="1"/>
    <xf numFmtId="164" fontId="0" fillId="0" borderId="1" xfId="1" applyNumberFormat="1" applyFont="1" applyBorder="1"/>
    <xf numFmtId="10" fontId="0" fillId="0" borderId="1" xfId="2" applyNumberFormat="1" applyFont="1" applyBorder="1"/>
    <xf numFmtId="9" fontId="0" fillId="0" borderId="4" xfId="0" applyNumberForma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pivotButton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69" fontId="3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169" fontId="3" fillId="0" borderId="4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69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10" fontId="3" fillId="0" borderId="4" xfId="0" applyNumberFormat="1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8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 readingOrder="0"/>
    </dxf>
    <dxf>
      <alignment horizontal="center" readingOrder="0"/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numFmt numFmtId="14" formatCode="0.00%"/>
    </dxf>
    <dxf>
      <numFmt numFmtId="14" formatCode="0.00%"/>
    </dxf>
    <dxf>
      <numFmt numFmtId="2" formatCode="0.00"/>
    </dxf>
    <dxf>
      <numFmt numFmtId="169" formatCode="0.0"/>
    </dxf>
    <dxf>
      <border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numFmt numFmtId="169" formatCode="0.0"/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/>
        <right/>
        <top/>
        <bottom/>
        <vertical/>
        <horizontal/>
      </border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[CRT_Surveilance_by_deal_simple.xlsx]Draft!PivotTable1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Draft!$B$3:$B$4</c:f>
              <c:strCache>
                <c:ptCount val="1"/>
                <c:pt idx="0">
                  <c:v>FHL13DN01</c:v>
                </c:pt>
              </c:strCache>
            </c:strRef>
          </c:tx>
          <c:marker>
            <c:symbol val="none"/>
          </c:marker>
          <c:cat>
            <c:strRef>
              <c:f>Draft!$A$5:$A$28</c:f>
              <c:strCache>
                <c:ptCount val="24"/>
                <c:pt idx="0">
                  <c:v>6/1/2013</c:v>
                </c:pt>
                <c:pt idx="1">
                  <c:v>7/1/2013</c:v>
                </c:pt>
                <c:pt idx="2">
                  <c:v>8/1/2013</c:v>
                </c:pt>
                <c:pt idx="3">
                  <c:v>9/1/2013</c:v>
                </c:pt>
                <c:pt idx="4">
                  <c:v>10/1/2013</c:v>
                </c:pt>
                <c:pt idx="5">
                  <c:v>11/1/2013</c:v>
                </c:pt>
                <c:pt idx="6">
                  <c:v>12/1/2013</c:v>
                </c:pt>
                <c:pt idx="7">
                  <c:v>1/1/2014</c:v>
                </c:pt>
                <c:pt idx="8">
                  <c:v>2/1/2014</c:v>
                </c:pt>
                <c:pt idx="9">
                  <c:v>3/1/2014</c:v>
                </c:pt>
                <c:pt idx="10">
                  <c:v>4/1/2014</c:v>
                </c:pt>
                <c:pt idx="11">
                  <c:v>5/1/2014</c:v>
                </c:pt>
                <c:pt idx="12">
                  <c:v>6/1/2014</c:v>
                </c:pt>
                <c:pt idx="13">
                  <c:v>7/1/2014</c:v>
                </c:pt>
                <c:pt idx="14">
                  <c:v>8/1/2014</c:v>
                </c:pt>
                <c:pt idx="15">
                  <c:v>9/1/2014</c:v>
                </c:pt>
                <c:pt idx="16">
                  <c:v>10/1/2014</c:v>
                </c:pt>
                <c:pt idx="17">
                  <c:v>11/1/2014</c:v>
                </c:pt>
                <c:pt idx="18">
                  <c:v>12/1/2014</c:v>
                </c:pt>
                <c:pt idx="19">
                  <c:v>1/1/2015</c:v>
                </c:pt>
                <c:pt idx="20">
                  <c:v>2/1/2015</c:v>
                </c:pt>
                <c:pt idx="21">
                  <c:v>3/1/2015</c:v>
                </c:pt>
                <c:pt idx="22">
                  <c:v>4/1/2015</c:v>
                </c:pt>
                <c:pt idx="23">
                  <c:v>5/1/2015</c:v>
                </c:pt>
              </c:strCache>
            </c:strRef>
          </c:cat>
          <c:val>
            <c:numRef>
              <c:f>Draft!$B$5:$B$28</c:f>
              <c:numCache>
                <c:formatCode>0.0</c:formatCode>
                <c:ptCount val="24"/>
                <c:pt idx="0">
                  <c:v>7.1894999999999998</c:v>
                </c:pt>
                <c:pt idx="1">
                  <c:v>5.2968000000000002</c:v>
                </c:pt>
                <c:pt idx="2">
                  <c:v>3.7195999999999998</c:v>
                </c:pt>
                <c:pt idx="3">
                  <c:v>3.9026999999999998</c:v>
                </c:pt>
                <c:pt idx="4">
                  <c:v>3.5990000000000002</c:v>
                </c:pt>
                <c:pt idx="5">
                  <c:v>3.7277999999999998</c:v>
                </c:pt>
                <c:pt idx="6">
                  <c:v>3.1396999999999999</c:v>
                </c:pt>
                <c:pt idx="7">
                  <c:v>2.976</c:v>
                </c:pt>
                <c:pt idx="8">
                  <c:v>3.8313999999999999</c:v>
                </c:pt>
                <c:pt idx="9">
                  <c:v>3.9773000000000001</c:v>
                </c:pt>
                <c:pt idx="10">
                  <c:v>5.8136999999999999</c:v>
                </c:pt>
                <c:pt idx="11">
                  <c:v>7.3971999999999998</c:v>
                </c:pt>
                <c:pt idx="12">
                  <c:v>6.9165999999999999</c:v>
                </c:pt>
                <c:pt idx="13">
                  <c:v>6.4720000000000004</c:v>
                </c:pt>
                <c:pt idx="14">
                  <c:v>5.0166000000000004</c:v>
                </c:pt>
                <c:pt idx="15">
                  <c:v>6.4724000000000004</c:v>
                </c:pt>
                <c:pt idx="16">
                  <c:v>5.2816000000000001</c:v>
                </c:pt>
                <c:pt idx="17">
                  <c:v>6.0025000000000004</c:v>
                </c:pt>
                <c:pt idx="18">
                  <c:v>5.2076000000000002</c:v>
                </c:pt>
                <c:pt idx="19">
                  <c:v>7.9896000000000003</c:v>
                </c:pt>
                <c:pt idx="20">
                  <c:v>11.042299999999999</c:v>
                </c:pt>
                <c:pt idx="21">
                  <c:v>9.9810999999999996</c:v>
                </c:pt>
                <c:pt idx="22">
                  <c:v>9.9797999999999991</c:v>
                </c:pt>
                <c:pt idx="23">
                  <c:v>11.419499999999999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Draft!$C$3:$C$4</c:f>
              <c:strCache>
                <c:ptCount val="1"/>
                <c:pt idx="0">
                  <c:v>FHL13DN02</c:v>
                </c:pt>
              </c:strCache>
            </c:strRef>
          </c:tx>
          <c:marker>
            <c:symbol val="none"/>
          </c:marker>
          <c:cat>
            <c:strRef>
              <c:f>Draft!$A$5:$A$28</c:f>
              <c:strCache>
                <c:ptCount val="24"/>
                <c:pt idx="0">
                  <c:v>6/1/2013</c:v>
                </c:pt>
                <c:pt idx="1">
                  <c:v>7/1/2013</c:v>
                </c:pt>
                <c:pt idx="2">
                  <c:v>8/1/2013</c:v>
                </c:pt>
                <c:pt idx="3">
                  <c:v>9/1/2013</c:v>
                </c:pt>
                <c:pt idx="4">
                  <c:v>10/1/2013</c:v>
                </c:pt>
                <c:pt idx="5">
                  <c:v>11/1/2013</c:v>
                </c:pt>
                <c:pt idx="6">
                  <c:v>12/1/2013</c:v>
                </c:pt>
                <c:pt idx="7">
                  <c:v>1/1/2014</c:v>
                </c:pt>
                <c:pt idx="8">
                  <c:v>2/1/2014</c:v>
                </c:pt>
                <c:pt idx="9">
                  <c:v>3/1/2014</c:v>
                </c:pt>
                <c:pt idx="10">
                  <c:v>4/1/2014</c:v>
                </c:pt>
                <c:pt idx="11">
                  <c:v>5/1/2014</c:v>
                </c:pt>
                <c:pt idx="12">
                  <c:v>6/1/2014</c:v>
                </c:pt>
                <c:pt idx="13">
                  <c:v>7/1/2014</c:v>
                </c:pt>
                <c:pt idx="14">
                  <c:v>8/1/2014</c:v>
                </c:pt>
                <c:pt idx="15">
                  <c:v>9/1/2014</c:v>
                </c:pt>
                <c:pt idx="16">
                  <c:v>10/1/2014</c:v>
                </c:pt>
                <c:pt idx="17">
                  <c:v>11/1/2014</c:v>
                </c:pt>
                <c:pt idx="18">
                  <c:v>12/1/2014</c:v>
                </c:pt>
                <c:pt idx="19">
                  <c:v>1/1/2015</c:v>
                </c:pt>
                <c:pt idx="20">
                  <c:v>2/1/2015</c:v>
                </c:pt>
                <c:pt idx="21">
                  <c:v>3/1/2015</c:v>
                </c:pt>
                <c:pt idx="22">
                  <c:v>4/1/2015</c:v>
                </c:pt>
                <c:pt idx="23">
                  <c:v>5/1/2015</c:v>
                </c:pt>
              </c:strCache>
            </c:strRef>
          </c:cat>
          <c:val>
            <c:numRef>
              <c:f>Draft!$C$5:$C$28</c:f>
              <c:numCache>
                <c:formatCode>0.0</c:formatCode>
                <c:ptCount val="24"/>
                <c:pt idx="5">
                  <c:v>8.3688000000000002</c:v>
                </c:pt>
                <c:pt idx="6">
                  <c:v>2.5486</c:v>
                </c:pt>
                <c:pt idx="7">
                  <c:v>2.6267</c:v>
                </c:pt>
                <c:pt idx="8">
                  <c:v>3.6274999999999999</c:v>
                </c:pt>
                <c:pt idx="9">
                  <c:v>3.9352999999999998</c:v>
                </c:pt>
                <c:pt idx="10">
                  <c:v>5.2506000000000004</c:v>
                </c:pt>
                <c:pt idx="11">
                  <c:v>5.7789000000000001</c:v>
                </c:pt>
                <c:pt idx="12">
                  <c:v>5.8940999999999999</c:v>
                </c:pt>
                <c:pt idx="13">
                  <c:v>5.4923000000000002</c:v>
                </c:pt>
                <c:pt idx="14">
                  <c:v>4.6874000000000002</c:v>
                </c:pt>
                <c:pt idx="15">
                  <c:v>5.3079999999999998</c:v>
                </c:pt>
                <c:pt idx="16">
                  <c:v>4.5232999999999999</c:v>
                </c:pt>
                <c:pt idx="17">
                  <c:v>5.1199000000000003</c:v>
                </c:pt>
                <c:pt idx="18">
                  <c:v>3.7650000000000001</c:v>
                </c:pt>
                <c:pt idx="19">
                  <c:v>4.7008000000000001</c:v>
                </c:pt>
                <c:pt idx="20">
                  <c:v>7.3334999999999999</c:v>
                </c:pt>
                <c:pt idx="21">
                  <c:v>7.4539999999999997</c:v>
                </c:pt>
                <c:pt idx="22">
                  <c:v>8.0878999999999994</c:v>
                </c:pt>
                <c:pt idx="23">
                  <c:v>9.1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Draft!$D$3:$D$4</c:f>
              <c:strCache>
                <c:ptCount val="1"/>
                <c:pt idx="0">
                  <c:v>FHL14DN01</c:v>
                </c:pt>
              </c:strCache>
            </c:strRef>
          </c:tx>
          <c:marker>
            <c:symbol val="none"/>
          </c:marker>
          <c:cat>
            <c:strRef>
              <c:f>Draft!$A$5:$A$28</c:f>
              <c:strCache>
                <c:ptCount val="24"/>
                <c:pt idx="0">
                  <c:v>6/1/2013</c:v>
                </c:pt>
                <c:pt idx="1">
                  <c:v>7/1/2013</c:v>
                </c:pt>
                <c:pt idx="2">
                  <c:v>8/1/2013</c:v>
                </c:pt>
                <c:pt idx="3">
                  <c:v>9/1/2013</c:v>
                </c:pt>
                <c:pt idx="4">
                  <c:v>10/1/2013</c:v>
                </c:pt>
                <c:pt idx="5">
                  <c:v>11/1/2013</c:v>
                </c:pt>
                <c:pt idx="6">
                  <c:v>12/1/2013</c:v>
                </c:pt>
                <c:pt idx="7">
                  <c:v>1/1/2014</c:v>
                </c:pt>
                <c:pt idx="8">
                  <c:v>2/1/2014</c:v>
                </c:pt>
                <c:pt idx="9">
                  <c:v>3/1/2014</c:v>
                </c:pt>
                <c:pt idx="10">
                  <c:v>4/1/2014</c:v>
                </c:pt>
                <c:pt idx="11">
                  <c:v>5/1/2014</c:v>
                </c:pt>
                <c:pt idx="12">
                  <c:v>6/1/2014</c:v>
                </c:pt>
                <c:pt idx="13">
                  <c:v>7/1/2014</c:v>
                </c:pt>
                <c:pt idx="14">
                  <c:v>8/1/2014</c:v>
                </c:pt>
                <c:pt idx="15">
                  <c:v>9/1/2014</c:v>
                </c:pt>
                <c:pt idx="16">
                  <c:v>10/1/2014</c:v>
                </c:pt>
                <c:pt idx="17">
                  <c:v>11/1/2014</c:v>
                </c:pt>
                <c:pt idx="18">
                  <c:v>12/1/2014</c:v>
                </c:pt>
                <c:pt idx="19">
                  <c:v>1/1/2015</c:v>
                </c:pt>
                <c:pt idx="20">
                  <c:v>2/1/2015</c:v>
                </c:pt>
                <c:pt idx="21">
                  <c:v>3/1/2015</c:v>
                </c:pt>
                <c:pt idx="22">
                  <c:v>4/1/2015</c:v>
                </c:pt>
                <c:pt idx="23">
                  <c:v>5/1/2015</c:v>
                </c:pt>
              </c:strCache>
            </c:strRef>
          </c:cat>
          <c:val>
            <c:numRef>
              <c:f>Draft!$D$5:$D$28</c:f>
              <c:numCache>
                <c:formatCode>0.0</c:formatCode>
                <c:ptCount val="24"/>
                <c:pt idx="8">
                  <c:v>7.4269999999999996</c:v>
                </c:pt>
                <c:pt idx="9">
                  <c:v>3.8881000000000001</c:v>
                </c:pt>
                <c:pt idx="10">
                  <c:v>4.7267999999999999</c:v>
                </c:pt>
                <c:pt idx="11">
                  <c:v>5.5388000000000002</c:v>
                </c:pt>
                <c:pt idx="12">
                  <c:v>5.3395999999999999</c:v>
                </c:pt>
                <c:pt idx="13">
                  <c:v>4.8250000000000002</c:v>
                </c:pt>
                <c:pt idx="14">
                  <c:v>4.5701999999999998</c:v>
                </c:pt>
                <c:pt idx="15">
                  <c:v>5.1115000000000004</c:v>
                </c:pt>
                <c:pt idx="16">
                  <c:v>4.7755000000000001</c:v>
                </c:pt>
                <c:pt idx="17">
                  <c:v>5.1914999999999996</c:v>
                </c:pt>
                <c:pt idx="18">
                  <c:v>4.2118000000000002</c:v>
                </c:pt>
                <c:pt idx="19">
                  <c:v>5.9295999999999998</c:v>
                </c:pt>
                <c:pt idx="20">
                  <c:v>7.6299000000000001</c:v>
                </c:pt>
                <c:pt idx="21">
                  <c:v>8.0511999999999997</c:v>
                </c:pt>
                <c:pt idx="22">
                  <c:v>9.2845999999999993</c:v>
                </c:pt>
                <c:pt idx="23">
                  <c:v>9.7987000000000002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Draft!$E$3:$E$4</c:f>
              <c:strCache>
                <c:ptCount val="1"/>
                <c:pt idx="0">
                  <c:v>FHL14DN02</c:v>
                </c:pt>
              </c:strCache>
            </c:strRef>
          </c:tx>
          <c:marker>
            <c:symbol val="none"/>
          </c:marker>
          <c:cat>
            <c:strRef>
              <c:f>Draft!$A$5:$A$28</c:f>
              <c:strCache>
                <c:ptCount val="24"/>
                <c:pt idx="0">
                  <c:v>6/1/2013</c:v>
                </c:pt>
                <c:pt idx="1">
                  <c:v>7/1/2013</c:v>
                </c:pt>
                <c:pt idx="2">
                  <c:v>8/1/2013</c:v>
                </c:pt>
                <c:pt idx="3">
                  <c:v>9/1/2013</c:v>
                </c:pt>
                <c:pt idx="4">
                  <c:v>10/1/2013</c:v>
                </c:pt>
                <c:pt idx="5">
                  <c:v>11/1/2013</c:v>
                </c:pt>
                <c:pt idx="6">
                  <c:v>12/1/2013</c:v>
                </c:pt>
                <c:pt idx="7">
                  <c:v>1/1/2014</c:v>
                </c:pt>
                <c:pt idx="8">
                  <c:v>2/1/2014</c:v>
                </c:pt>
                <c:pt idx="9">
                  <c:v>3/1/2014</c:v>
                </c:pt>
                <c:pt idx="10">
                  <c:v>4/1/2014</c:v>
                </c:pt>
                <c:pt idx="11">
                  <c:v>5/1/2014</c:v>
                </c:pt>
                <c:pt idx="12">
                  <c:v>6/1/2014</c:v>
                </c:pt>
                <c:pt idx="13">
                  <c:v>7/1/2014</c:v>
                </c:pt>
                <c:pt idx="14">
                  <c:v>8/1/2014</c:v>
                </c:pt>
                <c:pt idx="15">
                  <c:v>9/1/2014</c:v>
                </c:pt>
                <c:pt idx="16">
                  <c:v>10/1/2014</c:v>
                </c:pt>
                <c:pt idx="17">
                  <c:v>11/1/2014</c:v>
                </c:pt>
                <c:pt idx="18">
                  <c:v>12/1/2014</c:v>
                </c:pt>
                <c:pt idx="19">
                  <c:v>1/1/2015</c:v>
                </c:pt>
                <c:pt idx="20">
                  <c:v>2/1/2015</c:v>
                </c:pt>
                <c:pt idx="21">
                  <c:v>3/1/2015</c:v>
                </c:pt>
                <c:pt idx="22">
                  <c:v>4/1/2015</c:v>
                </c:pt>
                <c:pt idx="23">
                  <c:v>5/1/2015</c:v>
                </c:pt>
              </c:strCache>
            </c:strRef>
          </c:cat>
          <c:val>
            <c:numRef>
              <c:f>Draft!$E$5:$E$28</c:f>
              <c:numCache>
                <c:formatCode>0.0</c:formatCode>
                <c:ptCount val="24"/>
                <c:pt idx="10">
                  <c:v>14.718299999999999</c:v>
                </c:pt>
                <c:pt idx="11">
                  <c:v>8.6524000000000001</c:v>
                </c:pt>
                <c:pt idx="12">
                  <c:v>8.5411999999999999</c:v>
                </c:pt>
                <c:pt idx="13">
                  <c:v>7.7906000000000004</c:v>
                </c:pt>
                <c:pt idx="14">
                  <c:v>7.0224000000000002</c:v>
                </c:pt>
                <c:pt idx="15">
                  <c:v>7.5042999999999997</c:v>
                </c:pt>
                <c:pt idx="16">
                  <c:v>10.3561</c:v>
                </c:pt>
                <c:pt idx="17">
                  <c:v>11.3248</c:v>
                </c:pt>
                <c:pt idx="18">
                  <c:v>9.6349999999999998</c:v>
                </c:pt>
                <c:pt idx="19">
                  <c:v>17.597200000000001</c:v>
                </c:pt>
                <c:pt idx="20">
                  <c:v>19.887699999999999</c:v>
                </c:pt>
                <c:pt idx="21">
                  <c:v>13.9582</c:v>
                </c:pt>
                <c:pt idx="22">
                  <c:v>13.7494</c:v>
                </c:pt>
                <c:pt idx="23">
                  <c:v>13.478199999999999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Draft!$F$3:$F$4</c:f>
              <c:strCache>
                <c:ptCount val="1"/>
                <c:pt idx="0">
                  <c:v>FHL14DN03</c:v>
                </c:pt>
              </c:strCache>
            </c:strRef>
          </c:tx>
          <c:marker>
            <c:symbol val="none"/>
          </c:marker>
          <c:cat>
            <c:strRef>
              <c:f>Draft!$A$5:$A$28</c:f>
              <c:strCache>
                <c:ptCount val="24"/>
                <c:pt idx="0">
                  <c:v>6/1/2013</c:v>
                </c:pt>
                <c:pt idx="1">
                  <c:v>7/1/2013</c:v>
                </c:pt>
                <c:pt idx="2">
                  <c:v>8/1/2013</c:v>
                </c:pt>
                <c:pt idx="3">
                  <c:v>9/1/2013</c:v>
                </c:pt>
                <c:pt idx="4">
                  <c:v>10/1/2013</c:v>
                </c:pt>
                <c:pt idx="5">
                  <c:v>11/1/2013</c:v>
                </c:pt>
                <c:pt idx="6">
                  <c:v>12/1/2013</c:v>
                </c:pt>
                <c:pt idx="7">
                  <c:v>1/1/2014</c:v>
                </c:pt>
                <c:pt idx="8">
                  <c:v>2/1/2014</c:v>
                </c:pt>
                <c:pt idx="9">
                  <c:v>3/1/2014</c:v>
                </c:pt>
                <c:pt idx="10">
                  <c:v>4/1/2014</c:v>
                </c:pt>
                <c:pt idx="11">
                  <c:v>5/1/2014</c:v>
                </c:pt>
                <c:pt idx="12">
                  <c:v>6/1/2014</c:v>
                </c:pt>
                <c:pt idx="13">
                  <c:v>7/1/2014</c:v>
                </c:pt>
                <c:pt idx="14">
                  <c:v>8/1/2014</c:v>
                </c:pt>
                <c:pt idx="15">
                  <c:v>9/1/2014</c:v>
                </c:pt>
                <c:pt idx="16">
                  <c:v>10/1/2014</c:v>
                </c:pt>
                <c:pt idx="17">
                  <c:v>11/1/2014</c:v>
                </c:pt>
                <c:pt idx="18">
                  <c:v>12/1/2014</c:v>
                </c:pt>
                <c:pt idx="19">
                  <c:v>1/1/2015</c:v>
                </c:pt>
                <c:pt idx="20">
                  <c:v>2/1/2015</c:v>
                </c:pt>
                <c:pt idx="21">
                  <c:v>3/1/2015</c:v>
                </c:pt>
                <c:pt idx="22">
                  <c:v>4/1/2015</c:v>
                </c:pt>
                <c:pt idx="23">
                  <c:v>5/1/2015</c:v>
                </c:pt>
              </c:strCache>
            </c:strRef>
          </c:cat>
          <c:val>
            <c:numRef>
              <c:f>Draft!$F$5:$F$28</c:f>
              <c:numCache>
                <c:formatCode>0.0</c:formatCode>
                <c:ptCount val="24"/>
                <c:pt idx="14">
                  <c:v>34.337400000000002</c:v>
                </c:pt>
                <c:pt idx="15">
                  <c:v>13.198499999999999</c:v>
                </c:pt>
                <c:pt idx="16">
                  <c:v>22.500599999999999</c:v>
                </c:pt>
                <c:pt idx="17">
                  <c:v>22.5213</c:v>
                </c:pt>
                <c:pt idx="18">
                  <c:v>19.411799999999999</c:v>
                </c:pt>
                <c:pt idx="19">
                  <c:v>37.158299999999997</c:v>
                </c:pt>
                <c:pt idx="20">
                  <c:v>38.846600000000002</c:v>
                </c:pt>
                <c:pt idx="21">
                  <c:v>27.4253</c:v>
                </c:pt>
                <c:pt idx="22">
                  <c:v>24.923400000000001</c:v>
                </c:pt>
                <c:pt idx="23">
                  <c:v>21.3535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Draft!$G$3:$G$4</c:f>
              <c:strCache>
                <c:ptCount val="1"/>
                <c:pt idx="0">
                  <c:v>FHL14DN04</c:v>
                </c:pt>
              </c:strCache>
            </c:strRef>
          </c:tx>
          <c:marker>
            <c:symbol val="none"/>
          </c:marker>
          <c:cat>
            <c:strRef>
              <c:f>Draft!$A$5:$A$28</c:f>
              <c:strCache>
                <c:ptCount val="24"/>
                <c:pt idx="0">
                  <c:v>6/1/2013</c:v>
                </c:pt>
                <c:pt idx="1">
                  <c:v>7/1/2013</c:v>
                </c:pt>
                <c:pt idx="2">
                  <c:v>8/1/2013</c:v>
                </c:pt>
                <c:pt idx="3">
                  <c:v>9/1/2013</c:v>
                </c:pt>
                <c:pt idx="4">
                  <c:v>10/1/2013</c:v>
                </c:pt>
                <c:pt idx="5">
                  <c:v>11/1/2013</c:v>
                </c:pt>
                <c:pt idx="6">
                  <c:v>12/1/2013</c:v>
                </c:pt>
                <c:pt idx="7">
                  <c:v>1/1/2014</c:v>
                </c:pt>
                <c:pt idx="8">
                  <c:v>2/1/2014</c:v>
                </c:pt>
                <c:pt idx="9">
                  <c:v>3/1/2014</c:v>
                </c:pt>
                <c:pt idx="10">
                  <c:v>4/1/2014</c:v>
                </c:pt>
                <c:pt idx="11">
                  <c:v>5/1/2014</c:v>
                </c:pt>
                <c:pt idx="12">
                  <c:v>6/1/2014</c:v>
                </c:pt>
                <c:pt idx="13">
                  <c:v>7/1/2014</c:v>
                </c:pt>
                <c:pt idx="14">
                  <c:v>8/1/2014</c:v>
                </c:pt>
                <c:pt idx="15">
                  <c:v>9/1/2014</c:v>
                </c:pt>
                <c:pt idx="16">
                  <c:v>10/1/2014</c:v>
                </c:pt>
                <c:pt idx="17">
                  <c:v>11/1/2014</c:v>
                </c:pt>
                <c:pt idx="18">
                  <c:v>12/1/2014</c:v>
                </c:pt>
                <c:pt idx="19">
                  <c:v>1/1/2015</c:v>
                </c:pt>
                <c:pt idx="20">
                  <c:v>2/1/2015</c:v>
                </c:pt>
                <c:pt idx="21">
                  <c:v>3/1/2015</c:v>
                </c:pt>
                <c:pt idx="22">
                  <c:v>4/1/2015</c:v>
                </c:pt>
                <c:pt idx="23">
                  <c:v>5/1/2015</c:v>
                </c:pt>
              </c:strCache>
            </c:strRef>
          </c:cat>
          <c:val>
            <c:numRef>
              <c:f>Draft!$G$5:$G$28</c:f>
              <c:numCache>
                <c:formatCode>0.0</c:formatCode>
                <c:ptCount val="24"/>
                <c:pt idx="15">
                  <c:v>13.3165</c:v>
                </c:pt>
                <c:pt idx="16">
                  <c:v>22.260400000000001</c:v>
                </c:pt>
                <c:pt idx="17">
                  <c:v>21.629799999999999</c:v>
                </c:pt>
                <c:pt idx="18">
                  <c:v>21.002500000000001</c:v>
                </c:pt>
                <c:pt idx="19">
                  <c:v>35.541899999999998</c:v>
                </c:pt>
                <c:pt idx="20">
                  <c:v>41.523499999999999</c:v>
                </c:pt>
                <c:pt idx="21">
                  <c:v>27.0959</c:v>
                </c:pt>
                <c:pt idx="22">
                  <c:v>23.529800000000002</c:v>
                </c:pt>
                <c:pt idx="23">
                  <c:v>22.621600000000001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Draft!$H$3:$H$4</c:f>
              <c:strCache>
                <c:ptCount val="1"/>
                <c:pt idx="0">
                  <c:v>FHL14HQ01</c:v>
                </c:pt>
              </c:strCache>
            </c:strRef>
          </c:tx>
          <c:marker>
            <c:symbol val="none"/>
          </c:marker>
          <c:cat>
            <c:strRef>
              <c:f>Draft!$A$5:$A$28</c:f>
              <c:strCache>
                <c:ptCount val="24"/>
                <c:pt idx="0">
                  <c:v>6/1/2013</c:v>
                </c:pt>
                <c:pt idx="1">
                  <c:v>7/1/2013</c:v>
                </c:pt>
                <c:pt idx="2">
                  <c:v>8/1/2013</c:v>
                </c:pt>
                <c:pt idx="3">
                  <c:v>9/1/2013</c:v>
                </c:pt>
                <c:pt idx="4">
                  <c:v>10/1/2013</c:v>
                </c:pt>
                <c:pt idx="5">
                  <c:v>11/1/2013</c:v>
                </c:pt>
                <c:pt idx="6">
                  <c:v>12/1/2013</c:v>
                </c:pt>
                <c:pt idx="7">
                  <c:v>1/1/2014</c:v>
                </c:pt>
                <c:pt idx="8">
                  <c:v>2/1/2014</c:v>
                </c:pt>
                <c:pt idx="9">
                  <c:v>3/1/2014</c:v>
                </c:pt>
                <c:pt idx="10">
                  <c:v>4/1/2014</c:v>
                </c:pt>
                <c:pt idx="11">
                  <c:v>5/1/2014</c:v>
                </c:pt>
                <c:pt idx="12">
                  <c:v>6/1/2014</c:v>
                </c:pt>
                <c:pt idx="13">
                  <c:v>7/1/2014</c:v>
                </c:pt>
                <c:pt idx="14">
                  <c:v>8/1/2014</c:v>
                </c:pt>
                <c:pt idx="15">
                  <c:v>9/1/2014</c:v>
                </c:pt>
                <c:pt idx="16">
                  <c:v>10/1/2014</c:v>
                </c:pt>
                <c:pt idx="17">
                  <c:v>11/1/2014</c:v>
                </c:pt>
                <c:pt idx="18">
                  <c:v>12/1/2014</c:v>
                </c:pt>
                <c:pt idx="19">
                  <c:v>1/1/2015</c:v>
                </c:pt>
                <c:pt idx="20">
                  <c:v>2/1/2015</c:v>
                </c:pt>
                <c:pt idx="21">
                  <c:v>3/1/2015</c:v>
                </c:pt>
                <c:pt idx="22">
                  <c:v>4/1/2015</c:v>
                </c:pt>
                <c:pt idx="23">
                  <c:v>5/1/2015</c:v>
                </c:pt>
              </c:strCache>
            </c:strRef>
          </c:cat>
          <c:val>
            <c:numRef>
              <c:f>Draft!$H$5:$H$28</c:f>
              <c:numCache>
                <c:formatCode>0.0</c:formatCode>
                <c:ptCount val="24"/>
                <c:pt idx="14">
                  <c:v>26.836099999999998</c:v>
                </c:pt>
                <c:pt idx="15">
                  <c:v>11.3437</c:v>
                </c:pt>
                <c:pt idx="16">
                  <c:v>17.6995</c:v>
                </c:pt>
                <c:pt idx="17">
                  <c:v>18.272500000000001</c:v>
                </c:pt>
                <c:pt idx="18">
                  <c:v>15.596500000000001</c:v>
                </c:pt>
                <c:pt idx="19">
                  <c:v>30.398</c:v>
                </c:pt>
                <c:pt idx="20">
                  <c:v>33.429000000000002</c:v>
                </c:pt>
                <c:pt idx="21">
                  <c:v>22.344000000000001</c:v>
                </c:pt>
                <c:pt idx="22">
                  <c:v>21.953800000000001</c:v>
                </c:pt>
                <c:pt idx="23">
                  <c:v>21.616299999999999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Draft!$I$3:$I$4</c:f>
              <c:strCache>
                <c:ptCount val="1"/>
                <c:pt idx="0">
                  <c:v>FHL14HQ02</c:v>
                </c:pt>
              </c:strCache>
            </c:strRef>
          </c:tx>
          <c:marker>
            <c:symbol val="none"/>
          </c:marker>
          <c:cat>
            <c:strRef>
              <c:f>Draft!$A$5:$A$28</c:f>
              <c:strCache>
                <c:ptCount val="24"/>
                <c:pt idx="0">
                  <c:v>6/1/2013</c:v>
                </c:pt>
                <c:pt idx="1">
                  <c:v>7/1/2013</c:v>
                </c:pt>
                <c:pt idx="2">
                  <c:v>8/1/2013</c:v>
                </c:pt>
                <c:pt idx="3">
                  <c:v>9/1/2013</c:v>
                </c:pt>
                <c:pt idx="4">
                  <c:v>10/1/2013</c:v>
                </c:pt>
                <c:pt idx="5">
                  <c:v>11/1/2013</c:v>
                </c:pt>
                <c:pt idx="6">
                  <c:v>12/1/2013</c:v>
                </c:pt>
                <c:pt idx="7">
                  <c:v>1/1/2014</c:v>
                </c:pt>
                <c:pt idx="8">
                  <c:v>2/1/2014</c:v>
                </c:pt>
                <c:pt idx="9">
                  <c:v>3/1/2014</c:v>
                </c:pt>
                <c:pt idx="10">
                  <c:v>4/1/2014</c:v>
                </c:pt>
                <c:pt idx="11">
                  <c:v>5/1/2014</c:v>
                </c:pt>
                <c:pt idx="12">
                  <c:v>6/1/2014</c:v>
                </c:pt>
                <c:pt idx="13">
                  <c:v>7/1/2014</c:v>
                </c:pt>
                <c:pt idx="14">
                  <c:v>8/1/2014</c:v>
                </c:pt>
                <c:pt idx="15">
                  <c:v>9/1/2014</c:v>
                </c:pt>
                <c:pt idx="16">
                  <c:v>10/1/2014</c:v>
                </c:pt>
                <c:pt idx="17">
                  <c:v>11/1/2014</c:v>
                </c:pt>
                <c:pt idx="18">
                  <c:v>12/1/2014</c:v>
                </c:pt>
                <c:pt idx="19">
                  <c:v>1/1/2015</c:v>
                </c:pt>
                <c:pt idx="20">
                  <c:v>2/1/2015</c:v>
                </c:pt>
                <c:pt idx="21">
                  <c:v>3/1/2015</c:v>
                </c:pt>
                <c:pt idx="22">
                  <c:v>4/1/2015</c:v>
                </c:pt>
                <c:pt idx="23">
                  <c:v>5/1/2015</c:v>
                </c:pt>
              </c:strCache>
            </c:strRef>
          </c:cat>
          <c:val>
            <c:numRef>
              <c:f>Draft!$I$5:$I$28</c:f>
              <c:numCache>
                <c:formatCode>0.0</c:formatCode>
                <c:ptCount val="24"/>
                <c:pt idx="15">
                  <c:v>17.9786</c:v>
                </c:pt>
                <c:pt idx="16">
                  <c:v>7.1130000000000004</c:v>
                </c:pt>
                <c:pt idx="17">
                  <c:v>7.6486000000000001</c:v>
                </c:pt>
                <c:pt idx="18">
                  <c:v>6.3979999999999997</c:v>
                </c:pt>
                <c:pt idx="19">
                  <c:v>11.402200000000001</c:v>
                </c:pt>
                <c:pt idx="20">
                  <c:v>14.1052</c:v>
                </c:pt>
                <c:pt idx="21">
                  <c:v>12.1469</c:v>
                </c:pt>
                <c:pt idx="22">
                  <c:v>12.386200000000001</c:v>
                </c:pt>
                <c:pt idx="23">
                  <c:v>12.855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Draft!$J$3:$J$4</c:f>
              <c:strCache>
                <c:ptCount val="1"/>
                <c:pt idx="0">
                  <c:v>FHL14HQ03</c:v>
                </c:pt>
              </c:strCache>
            </c:strRef>
          </c:tx>
          <c:marker>
            <c:symbol val="none"/>
          </c:marker>
          <c:cat>
            <c:strRef>
              <c:f>Draft!$A$5:$A$28</c:f>
              <c:strCache>
                <c:ptCount val="24"/>
                <c:pt idx="0">
                  <c:v>6/1/2013</c:v>
                </c:pt>
                <c:pt idx="1">
                  <c:v>7/1/2013</c:v>
                </c:pt>
                <c:pt idx="2">
                  <c:v>8/1/2013</c:v>
                </c:pt>
                <c:pt idx="3">
                  <c:v>9/1/2013</c:v>
                </c:pt>
                <c:pt idx="4">
                  <c:v>10/1/2013</c:v>
                </c:pt>
                <c:pt idx="5">
                  <c:v>11/1/2013</c:v>
                </c:pt>
                <c:pt idx="6">
                  <c:v>12/1/2013</c:v>
                </c:pt>
                <c:pt idx="7">
                  <c:v>1/1/2014</c:v>
                </c:pt>
                <c:pt idx="8">
                  <c:v>2/1/2014</c:v>
                </c:pt>
                <c:pt idx="9">
                  <c:v>3/1/2014</c:v>
                </c:pt>
                <c:pt idx="10">
                  <c:v>4/1/2014</c:v>
                </c:pt>
                <c:pt idx="11">
                  <c:v>5/1/2014</c:v>
                </c:pt>
                <c:pt idx="12">
                  <c:v>6/1/2014</c:v>
                </c:pt>
                <c:pt idx="13">
                  <c:v>7/1/2014</c:v>
                </c:pt>
                <c:pt idx="14">
                  <c:v>8/1/2014</c:v>
                </c:pt>
                <c:pt idx="15">
                  <c:v>9/1/2014</c:v>
                </c:pt>
                <c:pt idx="16">
                  <c:v>10/1/2014</c:v>
                </c:pt>
                <c:pt idx="17">
                  <c:v>11/1/2014</c:v>
                </c:pt>
                <c:pt idx="18">
                  <c:v>12/1/2014</c:v>
                </c:pt>
                <c:pt idx="19">
                  <c:v>1/1/2015</c:v>
                </c:pt>
                <c:pt idx="20">
                  <c:v>2/1/2015</c:v>
                </c:pt>
                <c:pt idx="21">
                  <c:v>3/1/2015</c:v>
                </c:pt>
                <c:pt idx="22">
                  <c:v>4/1/2015</c:v>
                </c:pt>
                <c:pt idx="23">
                  <c:v>5/1/2015</c:v>
                </c:pt>
              </c:strCache>
            </c:strRef>
          </c:cat>
          <c:val>
            <c:numRef>
              <c:f>Draft!$J$5:$J$28</c:f>
              <c:numCache>
                <c:formatCode>0.0</c:formatCode>
                <c:ptCount val="24"/>
                <c:pt idx="15">
                  <c:v>7.9057000000000004</c:v>
                </c:pt>
                <c:pt idx="16">
                  <c:v>16.529800000000002</c:v>
                </c:pt>
                <c:pt idx="17">
                  <c:v>14.737299999999999</c:v>
                </c:pt>
                <c:pt idx="18">
                  <c:v>15.9307</c:v>
                </c:pt>
                <c:pt idx="19">
                  <c:v>28.165900000000001</c:v>
                </c:pt>
                <c:pt idx="20">
                  <c:v>34.780200000000001</c:v>
                </c:pt>
                <c:pt idx="21">
                  <c:v>22.173100000000002</c:v>
                </c:pt>
                <c:pt idx="22">
                  <c:v>20.960100000000001</c:v>
                </c:pt>
                <c:pt idx="23">
                  <c:v>19.663900000000002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Draft!$K$3:$K$4</c:f>
              <c:strCache>
                <c:ptCount val="1"/>
                <c:pt idx="0">
                  <c:v>FHL15DN01</c:v>
                </c:pt>
              </c:strCache>
            </c:strRef>
          </c:tx>
          <c:marker>
            <c:symbol val="none"/>
          </c:marker>
          <c:cat>
            <c:strRef>
              <c:f>Draft!$A$5:$A$28</c:f>
              <c:strCache>
                <c:ptCount val="24"/>
                <c:pt idx="0">
                  <c:v>6/1/2013</c:v>
                </c:pt>
                <c:pt idx="1">
                  <c:v>7/1/2013</c:v>
                </c:pt>
                <c:pt idx="2">
                  <c:v>8/1/2013</c:v>
                </c:pt>
                <c:pt idx="3">
                  <c:v>9/1/2013</c:v>
                </c:pt>
                <c:pt idx="4">
                  <c:v>10/1/2013</c:v>
                </c:pt>
                <c:pt idx="5">
                  <c:v>11/1/2013</c:v>
                </c:pt>
                <c:pt idx="6">
                  <c:v>12/1/2013</c:v>
                </c:pt>
                <c:pt idx="7">
                  <c:v>1/1/2014</c:v>
                </c:pt>
                <c:pt idx="8">
                  <c:v>2/1/2014</c:v>
                </c:pt>
                <c:pt idx="9">
                  <c:v>3/1/2014</c:v>
                </c:pt>
                <c:pt idx="10">
                  <c:v>4/1/2014</c:v>
                </c:pt>
                <c:pt idx="11">
                  <c:v>5/1/2014</c:v>
                </c:pt>
                <c:pt idx="12">
                  <c:v>6/1/2014</c:v>
                </c:pt>
                <c:pt idx="13">
                  <c:v>7/1/2014</c:v>
                </c:pt>
                <c:pt idx="14">
                  <c:v>8/1/2014</c:v>
                </c:pt>
                <c:pt idx="15">
                  <c:v>9/1/2014</c:v>
                </c:pt>
                <c:pt idx="16">
                  <c:v>10/1/2014</c:v>
                </c:pt>
                <c:pt idx="17">
                  <c:v>11/1/2014</c:v>
                </c:pt>
                <c:pt idx="18">
                  <c:v>12/1/2014</c:v>
                </c:pt>
                <c:pt idx="19">
                  <c:v>1/1/2015</c:v>
                </c:pt>
                <c:pt idx="20">
                  <c:v>2/1/2015</c:v>
                </c:pt>
                <c:pt idx="21">
                  <c:v>3/1/2015</c:v>
                </c:pt>
                <c:pt idx="22">
                  <c:v>4/1/2015</c:v>
                </c:pt>
                <c:pt idx="23">
                  <c:v>5/1/2015</c:v>
                </c:pt>
              </c:strCache>
            </c:strRef>
          </c:cat>
          <c:val>
            <c:numRef>
              <c:f>Draft!$K$5:$K$28</c:f>
              <c:numCache>
                <c:formatCode>0.0</c:formatCode>
                <c:ptCount val="24"/>
                <c:pt idx="19">
                  <c:v>51.978200000000001</c:v>
                </c:pt>
                <c:pt idx="20">
                  <c:v>37.950000000000003</c:v>
                </c:pt>
                <c:pt idx="21">
                  <c:v>23.9587</c:v>
                </c:pt>
                <c:pt idx="22">
                  <c:v>22.691099999999999</c:v>
                </c:pt>
                <c:pt idx="23">
                  <c:v>19.299199999999999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Draft!$L$3:$L$4</c:f>
              <c:strCache>
                <c:ptCount val="1"/>
                <c:pt idx="0">
                  <c:v>FHL15DNA1</c:v>
                </c:pt>
              </c:strCache>
            </c:strRef>
          </c:tx>
          <c:marker>
            <c:symbol val="none"/>
          </c:marker>
          <c:cat>
            <c:strRef>
              <c:f>Draft!$A$5:$A$28</c:f>
              <c:strCache>
                <c:ptCount val="24"/>
                <c:pt idx="0">
                  <c:v>6/1/2013</c:v>
                </c:pt>
                <c:pt idx="1">
                  <c:v>7/1/2013</c:v>
                </c:pt>
                <c:pt idx="2">
                  <c:v>8/1/2013</c:v>
                </c:pt>
                <c:pt idx="3">
                  <c:v>9/1/2013</c:v>
                </c:pt>
                <c:pt idx="4">
                  <c:v>10/1/2013</c:v>
                </c:pt>
                <c:pt idx="5">
                  <c:v>11/1/2013</c:v>
                </c:pt>
                <c:pt idx="6">
                  <c:v>12/1/2013</c:v>
                </c:pt>
                <c:pt idx="7">
                  <c:v>1/1/2014</c:v>
                </c:pt>
                <c:pt idx="8">
                  <c:v>2/1/2014</c:v>
                </c:pt>
                <c:pt idx="9">
                  <c:v>3/1/2014</c:v>
                </c:pt>
                <c:pt idx="10">
                  <c:v>4/1/2014</c:v>
                </c:pt>
                <c:pt idx="11">
                  <c:v>5/1/2014</c:v>
                </c:pt>
                <c:pt idx="12">
                  <c:v>6/1/2014</c:v>
                </c:pt>
                <c:pt idx="13">
                  <c:v>7/1/2014</c:v>
                </c:pt>
                <c:pt idx="14">
                  <c:v>8/1/2014</c:v>
                </c:pt>
                <c:pt idx="15">
                  <c:v>9/1/2014</c:v>
                </c:pt>
                <c:pt idx="16">
                  <c:v>10/1/2014</c:v>
                </c:pt>
                <c:pt idx="17">
                  <c:v>11/1/2014</c:v>
                </c:pt>
                <c:pt idx="18">
                  <c:v>12/1/2014</c:v>
                </c:pt>
                <c:pt idx="19">
                  <c:v>1/1/2015</c:v>
                </c:pt>
                <c:pt idx="20">
                  <c:v>2/1/2015</c:v>
                </c:pt>
                <c:pt idx="21">
                  <c:v>3/1/2015</c:v>
                </c:pt>
                <c:pt idx="22">
                  <c:v>4/1/2015</c:v>
                </c:pt>
                <c:pt idx="23">
                  <c:v>5/1/2015</c:v>
                </c:pt>
              </c:strCache>
            </c:strRef>
          </c:cat>
          <c:val>
            <c:numRef>
              <c:f>Draft!$L$5:$L$28</c:f>
              <c:numCache>
                <c:formatCode>0.0</c:formatCode>
                <c:ptCount val="24"/>
                <c:pt idx="22">
                  <c:v>16.482600000000001</c:v>
                </c:pt>
                <c:pt idx="23">
                  <c:v>10.3049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Draft!$M$3:$M$4</c:f>
              <c:strCache>
                <c:ptCount val="1"/>
                <c:pt idx="0">
                  <c:v>FHL15HQ01</c:v>
                </c:pt>
              </c:strCache>
            </c:strRef>
          </c:tx>
          <c:marker>
            <c:symbol val="none"/>
          </c:marker>
          <c:cat>
            <c:strRef>
              <c:f>Draft!$A$5:$A$28</c:f>
              <c:strCache>
                <c:ptCount val="24"/>
                <c:pt idx="0">
                  <c:v>6/1/2013</c:v>
                </c:pt>
                <c:pt idx="1">
                  <c:v>7/1/2013</c:v>
                </c:pt>
                <c:pt idx="2">
                  <c:v>8/1/2013</c:v>
                </c:pt>
                <c:pt idx="3">
                  <c:v>9/1/2013</c:v>
                </c:pt>
                <c:pt idx="4">
                  <c:v>10/1/2013</c:v>
                </c:pt>
                <c:pt idx="5">
                  <c:v>11/1/2013</c:v>
                </c:pt>
                <c:pt idx="6">
                  <c:v>12/1/2013</c:v>
                </c:pt>
                <c:pt idx="7">
                  <c:v>1/1/2014</c:v>
                </c:pt>
                <c:pt idx="8">
                  <c:v>2/1/2014</c:v>
                </c:pt>
                <c:pt idx="9">
                  <c:v>3/1/2014</c:v>
                </c:pt>
                <c:pt idx="10">
                  <c:v>4/1/2014</c:v>
                </c:pt>
                <c:pt idx="11">
                  <c:v>5/1/2014</c:v>
                </c:pt>
                <c:pt idx="12">
                  <c:v>6/1/2014</c:v>
                </c:pt>
                <c:pt idx="13">
                  <c:v>7/1/2014</c:v>
                </c:pt>
                <c:pt idx="14">
                  <c:v>8/1/2014</c:v>
                </c:pt>
                <c:pt idx="15">
                  <c:v>9/1/2014</c:v>
                </c:pt>
                <c:pt idx="16">
                  <c:v>10/1/2014</c:v>
                </c:pt>
                <c:pt idx="17">
                  <c:v>11/1/2014</c:v>
                </c:pt>
                <c:pt idx="18">
                  <c:v>12/1/2014</c:v>
                </c:pt>
                <c:pt idx="19">
                  <c:v>1/1/2015</c:v>
                </c:pt>
                <c:pt idx="20">
                  <c:v>2/1/2015</c:v>
                </c:pt>
                <c:pt idx="21">
                  <c:v>3/1/2015</c:v>
                </c:pt>
                <c:pt idx="22">
                  <c:v>4/1/2015</c:v>
                </c:pt>
                <c:pt idx="23">
                  <c:v>5/1/2015</c:v>
                </c:pt>
              </c:strCache>
            </c:strRef>
          </c:cat>
          <c:val>
            <c:numRef>
              <c:f>Draft!$M$5:$M$28</c:f>
              <c:numCache>
                <c:formatCode>0.0</c:formatCode>
                <c:ptCount val="24"/>
                <c:pt idx="21">
                  <c:v>39.482300000000002</c:v>
                </c:pt>
                <c:pt idx="22">
                  <c:v>17.138100000000001</c:v>
                </c:pt>
                <c:pt idx="23">
                  <c:v>15.325200000000001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Draft!$N$3:$N$4</c:f>
              <c:strCache>
                <c:ptCount val="1"/>
                <c:pt idx="0">
                  <c:v>FHL15HQ02</c:v>
                </c:pt>
              </c:strCache>
            </c:strRef>
          </c:tx>
          <c:marker>
            <c:symbol val="none"/>
          </c:marker>
          <c:cat>
            <c:strRef>
              <c:f>Draft!$A$5:$A$28</c:f>
              <c:strCache>
                <c:ptCount val="24"/>
                <c:pt idx="0">
                  <c:v>6/1/2013</c:v>
                </c:pt>
                <c:pt idx="1">
                  <c:v>7/1/2013</c:v>
                </c:pt>
                <c:pt idx="2">
                  <c:v>8/1/2013</c:v>
                </c:pt>
                <c:pt idx="3">
                  <c:v>9/1/2013</c:v>
                </c:pt>
                <c:pt idx="4">
                  <c:v>10/1/2013</c:v>
                </c:pt>
                <c:pt idx="5">
                  <c:v>11/1/2013</c:v>
                </c:pt>
                <c:pt idx="6">
                  <c:v>12/1/2013</c:v>
                </c:pt>
                <c:pt idx="7">
                  <c:v>1/1/2014</c:v>
                </c:pt>
                <c:pt idx="8">
                  <c:v>2/1/2014</c:v>
                </c:pt>
                <c:pt idx="9">
                  <c:v>3/1/2014</c:v>
                </c:pt>
                <c:pt idx="10">
                  <c:v>4/1/2014</c:v>
                </c:pt>
                <c:pt idx="11">
                  <c:v>5/1/2014</c:v>
                </c:pt>
                <c:pt idx="12">
                  <c:v>6/1/2014</c:v>
                </c:pt>
                <c:pt idx="13">
                  <c:v>7/1/2014</c:v>
                </c:pt>
                <c:pt idx="14">
                  <c:v>8/1/2014</c:v>
                </c:pt>
                <c:pt idx="15">
                  <c:v>9/1/2014</c:v>
                </c:pt>
                <c:pt idx="16">
                  <c:v>10/1/2014</c:v>
                </c:pt>
                <c:pt idx="17">
                  <c:v>11/1/2014</c:v>
                </c:pt>
                <c:pt idx="18">
                  <c:v>12/1/2014</c:v>
                </c:pt>
                <c:pt idx="19">
                  <c:v>1/1/2015</c:v>
                </c:pt>
                <c:pt idx="20">
                  <c:v>2/1/2015</c:v>
                </c:pt>
                <c:pt idx="21">
                  <c:v>3/1/2015</c:v>
                </c:pt>
                <c:pt idx="22">
                  <c:v>4/1/2015</c:v>
                </c:pt>
                <c:pt idx="23">
                  <c:v>5/1/2015</c:v>
                </c:pt>
              </c:strCache>
            </c:strRef>
          </c:cat>
          <c:val>
            <c:numRef>
              <c:f>Draft!$N$5:$N$28</c:f>
              <c:numCache>
                <c:formatCode>0.0</c:formatCode>
                <c:ptCount val="24"/>
                <c:pt idx="22">
                  <c:v>12.428100000000001</c:v>
                </c:pt>
                <c:pt idx="23">
                  <c:v>12.8009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678144"/>
        <c:axId val="150684032"/>
      </c:lineChart>
      <c:catAx>
        <c:axId val="150678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50684032"/>
        <c:crosses val="autoZero"/>
        <c:auto val="1"/>
        <c:lblAlgn val="ctr"/>
        <c:lblOffset val="100"/>
        <c:noMultiLvlLbl val="0"/>
      </c:catAx>
      <c:valAx>
        <c:axId val="150684032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1506781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428626</xdr:colOff>
      <xdr:row>3</xdr:row>
      <xdr:rowOff>52387</xdr:rowOff>
    </xdr:from>
    <xdr:to>
      <xdr:col>21</xdr:col>
      <xdr:colOff>1317625</xdr:colOff>
      <xdr:row>29</xdr:row>
      <xdr:rowOff>19051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214.550683912035" createdVersion="4" refreshedVersion="4" minRefreshableVersion="3" recordCount="146">
  <cacheSource type="worksheet">
    <worksheetSource ref="A1:G147" sheet="Freddie_perf"/>
  </cacheSource>
  <cacheFields count="15">
    <cacheField name="DealID" numFmtId="0">
      <sharedItems count="14">
        <s v="FHL13DN01"/>
        <s v="FHL13DN02"/>
        <s v="FHL14DN01"/>
        <s v="FHL14DN02"/>
        <s v="FHL14DN03"/>
        <s v="FHL14DN04"/>
        <s v="FHL14HQ01"/>
        <s v="FHL14HQ02"/>
        <s v="FHL14HQ03"/>
        <s v="FHL15DN01"/>
        <s v="FHL15DNA1"/>
        <s v="FHL15DNA2"/>
        <s v="FHL15HQ01"/>
        <s v="FHL15HQ02"/>
      </sharedItems>
    </cacheField>
    <cacheField name="beginDate" numFmtId="14">
      <sharedItems containsSemiMixedTypes="0" containsNonDate="0" containsDate="1" containsString="0" minDate="2013-06-01T00:00:00" maxDate="2015-06-02T00:00:00" count="25"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</sharedItems>
    </cacheField>
    <cacheField name="loanCount" numFmtId="165">
      <sharedItems containsSemiMixedTypes="0" containsString="0" containsNumber="1" containsInteger="1" minValue="31630" maxValue="147771"/>
    </cacheField>
    <cacheField name="currentBalance" numFmtId="165">
      <sharedItems containsSemiMixedTypes="0" containsString="0" containsNumber="1" minValue="6632739546.4499998" maxValue="35184267786.93"/>
    </cacheField>
    <cacheField name="prepaymentBalance" numFmtId="165">
      <sharedItems containsSemiMixedTypes="0" containsString="0" containsNumber="1" minValue="0" maxValue="1636253444.21"/>
    </cacheField>
    <cacheField name="defaultBalance" numFmtId="165">
      <sharedItems containsSemiMixedTypes="0" containsString="0" containsNumber="1" minValue="0" maxValue="2931733.85"/>
    </cacheField>
    <cacheField name="smm" numFmtId="166">
      <sharedItems containsSemiMixedTypes="0" containsString="0" containsNumber="1" minValue="0" maxValue="5.9295615051276798E-2"/>
    </cacheField>
    <cacheField name="mdr" numFmtId="166">
      <sharedItems containsSemiMixedTypes="0" containsString="0" containsNumber="1" minValue="0" maxValue="1.90816741903926E-4"/>
    </cacheField>
    <cacheField name="CPR" numFmtId="43">
      <sharedItems containsSemiMixedTypes="0" containsString="0" containsNumber="1" minValue="0" maxValue="51.978200000000001"/>
    </cacheField>
    <cacheField name="CDR" numFmtId="43">
      <sharedItems containsSemiMixedTypes="0" containsString="0" containsNumber="1" minValue="0" maxValue="0.22869999999999999"/>
    </cacheField>
    <cacheField name="pct_dq" numFmtId="10">
      <sharedItems containsSemiMixedTypes="0" containsString="0" containsNumber="1" minValue="0" maxValue="6.1644989212499097E-3"/>
    </cacheField>
    <cacheField name="cum_prepayment" numFmtId="165">
      <sharedItems containsSemiMixedTypes="0" containsString="0" containsNumber="1" minValue="54721277.009999998" maxValue="4430648801.6800003"/>
    </cacheField>
    <cacheField name="cum_default" numFmtId="165">
      <sharedItems containsSemiMixedTypes="0" containsString="0" containsNumber="1" minValue="0" maxValue="18293610.73"/>
    </cacheField>
    <cacheField name="cum_pp_pct" numFmtId="10">
      <sharedItems containsSemiMixedTypes="0" containsString="0" containsNumber="1" minValue="6.7999999999999996E-3" maxValue="0.28639999999999999"/>
    </cacheField>
    <cacheField name="cum_df_pct" numFmtId="10">
      <sharedItems containsSemiMixedTypes="0" containsString="0" containsNumber="1" minValue="0" maxValue="6.9999999999999999E-4" count="8">
        <n v="0"/>
        <n v="1E-4"/>
        <n v="2.0000000000000001E-4"/>
        <n v="2.9999999999999997E-4"/>
        <n v="4.0000000000000002E-4"/>
        <n v="5.0000000000000001E-4"/>
        <n v="5.9999999999999995E-4"/>
        <n v="6.9999999999999999E-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6">
  <r>
    <x v="0"/>
    <x v="0"/>
    <n v="96389"/>
    <n v="22584361082.810001"/>
    <n v="139983562.75"/>
    <n v="0"/>
    <n v="6.1982520664066003E-3"/>
    <n v="0"/>
    <n v="7.1894999999999998"/>
    <n v="0"/>
    <n v="0"/>
    <n v="139983562.75"/>
    <n v="0"/>
    <n v="6.8999999999999999E-3"/>
    <x v="0"/>
  </r>
  <r>
    <x v="0"/>
    <x v="1"/>
    <n v="95815"/>
    <n v="22391372156.549999"/>
    <n v="101319553.18000001"/>
    <n v="0"/>
    <n v="4.5249372156213096E-3"/>
    <n v="0"/>
    <n v="5.2968000000000002"/>
    <n v="0"/>
    <n v="1.2667221826199199E-3"/>
    <n v="241303115.93000001"/>
    <n v="0"/>
    <n v="1.1900000000000001E-2"/>
    <x v="0"/>
  </r>
  <r>
    <x v="0"/>
    <x v="2"/>
    <n v="95391"/>
    <n v="22242256898.849998"/>
    <n v="70147957.719999999"/>
    <n v="0"/>
    <n v="3.1538147427668099E-3"/>
    <n v="0"/>
    <n v="3.7195999999999998"/>
    <n v="0"/>
    <n v="1.0356345223757799E-3"/>
    <n v="311451073.64999998"/>
    <n v="0"/>
    <n v="1.5299999999999999E-2"/>
    <x v="0"/>
  </r>
  <r>
    <x v="0"/>
    <x v="3"/>
    <n v="95074"/>
    <n v="22126259871.459999"/>
    <n v="73281124.489999995"/>
    <n v="0"/>
    <n v="3.3119526262331898E-3"/>
    <n v="0"/>
    <n v="3.9026999999999998"/>
    <n v="0"/>
    <n v="1.37402924202362E-3"/>
    <n v="384732198.13999999"/>
    <n v="0"/>
    <n v="1.9E-2"/>
    <x v="0"/>
  </r>
  <r>
    <x v="0"/>
    <x v="4"/>
    <n v="94744"/>
    <n v="22004407481.799999"/>
    <n v="67109639.599999994"/>
    <n v="0"/>
    <n v="3.0498271610133899E-3"/>
    <n v="0"/>
    <n v="3.5990000000000002"/>
    <n v="0"/>
    <n v="1.5484221430720701E-3"/>
    <n v="451841837.74000001"/>
    <n v="0"/>
    <n v="2.23E-2"/>
    <x v="0"/>
  </r>
  <r>
    <x v="0"/>
    <x v="5"/>
    <n v="94439"/>
    <n v="21889515190.82"/>
    <n v="69191334.689999998"/>
    <n v="99020.6"/>
    <n v="3.1609349995571101E-3"/>
    <n v="4.5236543220256902E-6"/>
    <n v="3.7277999999999998"/>
    <n v="5.4000000000000003E-3"/>
    <n v="1.5094332223427401E-3"/>
    <n v="521033172.43000001"/>
    <n v="99020.6"/>
    <n v="2.5700000000000001E-2"/>
    <x v="0"/>
  </r>
  <r>
    <x v="0"/>
    <x v="6"/>
    <n v="94127"/>
    <n v="21778303317.84"/>
    <n v="57817994.990000002"/>
    <n v="302877.99"/>
    <n v="2.6548438666770501E-3"/>
    <n v="1.39073271953143E-5"/>
    <n v="3.1396999999999999"/>
    <n v="1.66E-2"/>
    <n v="2.1700490437786399E-3"/>
    <n v="578851167.41999996"/>
    <n v="401898.59"/>
    <n v="2.8500000000000001E-2"/>
    <x v="0"/>
  </r>
  <r>
    <x v="0"/>
    <x v="7"/>
    <n v="93864"/>
    <n v="21671804564.209999"/>
    <n v="54493693.359999999"/>
    <n v="543640.77"/>
    <n v="2.5144972675692099E-3"/>
    <n v="2.5085163922980199E-5"/>
    <n v="2.976"/>
    <n v="0.03"/>
    <n v="2.1894667321964E-3"/>
    <n v="633344860.77999997"/>
    <n v="945539.36"/>
    <n v="3.1199999999999999E-2"/>
    <x v="0"/>
  </r>
  <r>
    <x v="0"/>
    <x v="8"/>
    <n v="93598"/>
    <n v="21571139506.34"/>
    <n v="70113723.829999998"/>
    <n v="342970.55"/>
    <n v="3.25034863408086E-3"/>
    <n v="1.5899510079159101E-5"/>
    <n v="3.8313999999999999"/>
    <n v="1.9E-2"/>
    <n v="2.3021683029496001E-3"/>
    <n v="703458584.61000001"/>
    <n v="1288509.9099999999"/>
    <n v="3.4700000000000002E-2"/>
    <x v="0"/>
  </r>
  <r>
    <x v="0"/>
    <x v="9"/>
    <n v="93266"/>
    <n v="21453636186.810001"/>
    <n v="72437890.239999995"/>
    <n v="1500559.89"/>
    <n v="3.3764854409405799E-3"/>
    <n v="6.9944315123725501E-5"/>
    <n v="3.9773000000000001"/>
    <n v="8.3900000000000002E-2"/>
    <n v="2.8763854780915598E-3"/>
    <n v="775896474.85000002"/>
    <n v="2789069.8"/>
    <n v="3.8300000000000001E-2"/>
    <x v="1"/>
  </r>
  <r>
    <x v="0"/>
    <x v="10"/>
    <n v="92915"/>
    <n v="21332337955.220001"/>
    <n v="106211677.5"/>
    <n v="989919.88"/>
    <n v="4.97890469028548E-3"/>
    <n v="4.6404659539802897E-5"/>
    <n v="5.8136999999999999"/>
    <n v="5.5599999999999997E-2"/>
    <n v="1.7641106928362399E-3"/>
    <n v="882108152.35000002"/>
    <n v="3778989.68"/>
    <n v="4.3499999999999997E-2"/>
    <x v="1"/>
  </r>
  <r>
    <x v="0"/>
    <x v="11"/>
    <n v="92428"/>
    <n v="21177637181.139999"/>
    <n v="135194224.16"/>
    <n v="890745.91"/>
    <n v="6.3838200174851801E-3"/>
    <n v="4.2060684219921498E-5"/>
    <n v="7.3971999999999998"/>
    <n v="5.04E-2"/>
    <n v="1.74214917294252E-3"/>
    <n v="1017302376.51"/>
    <n v="4669735.59"/>
    <n v="5.0200000000000002E-2"/>
    <x v="2"/>
  </r>
  <r>
    <x v="0"/>
    <x v="12"/>
    <n v="91814"/>
    <n v="20996596520.740002"/>
    <n v="125037203.51000001"/>
    <n v="680997.81"/>
    <n v="5.9551176966462496E-3"/>
    <n v="3.2433723690757398E-5"/>
    <n v="6.9165999999999999"/>
    <n v="3.8899999999999997E-2"/>
    <n v="1.8080148243312499E-3"/>
    <n v="1142339580.02"/>
    <n v="5350733.4000000004"/>
    <n v="5.6399999999999999E-2"/>
    <x v="2"/>
  </r>
  <r>
    <x v="0"/>
    <x v="13"/>
    <n v="91234"/>
    <n v="20823941241.41"/>
    <n v="115787279.48999999"/>
    <n v="690804.79"/>
    <n v="5.5602961105051503E-3"/>
    <n v="3.3173585249380197E-5"/>
    <n v="6.4720000000000004"/>
    <n v="3.9800000000000002E-2"/>
    <n v="2.2194793062559801E-3"/>
    <n v="1258126859.51"/>
    <n v="6041538.1900000004"/>
    <n v="6.2100000000000002E-2"/>
    <x v="2"/>
  </r>
  <r>
    <x v="0"/>
    <x v="14"/>
    <n v="90712"/>
    <n v="20661068570"/>
    <n v="88425641.75"/>
    <n v="532919.80000000005"/>
    <n v="4.2798193835140996E-3"/>
    <n v="2.5793428747136601E-5"/>
    <n v="5.0166000000000004"/>
    <n v="3.09E-2"/>
    <n v="2.1691470665304502E-3"/>
    <n v="1346552501.26"/>
    <n v="6574457.9900000002"/>
    <n v="6.6500000000000004E-2"/>
    <x v="3"/>
  </r>
  <r>
    <x v="0"/>
    <x v="15"/>
    <n v="90301"/>
    <n v="20526568204.119999"/>
    <n v="114141076.26000001"/>
    <n v="872088.56"/>
    <n v="5.56065071983587E-3"/>
    <n v="4.2485843289915197E-5"/>
    <n v="6.4724000000000004"/>
    <n v="5.0900000000000001E-2"/>
    <n v="2.5668689206130601E-3"/>
    <n v="1460693577.52"/>
    <n v="7446546.5499999998"/>
    <n v="7.2099999999999997E-2"/>
    <x v="3"/>
  </r>
  <r>
    <x v="0"/>
    <x v="16"/>
    <n v="89760"/>
    <n v="20365001794.889999"/>
    <n v="91879899.010000005"/>
    <n v="994425.34"/>
    <n v="4.5116568088422399E-3"/>
    <n v="4.8830113054520903E-5"/>
    <n v="5.2816000000000001"/>
    <n v="5.8500000000000003E-2"/>
    <n v="2.4419934930955201E-3"/>
    <n v="1552573476.53"/>
    <n v="8440971.8900000006"/>
    <n v="7.6600000000000001E-2"/>
    <x v="4"/>
  </r>
  <r>
    <x v="0"/>
    <x v="17"/>
    <n v="89344"/>
    <n v="20227022657.540001"/>
    <n v="104073902.45999999"/>
    <n v="401834.35"/>
    <n v="5.1452902496850897E-3"/>
    <n v="1.98662134711263E-5"/>
    <n v="6.0025000000000004"/>
    <n v="2.3800000000000002E-2"/>
    <n v="2.26047138543922E-3"/>
    <n v="1656647378.99"/>
    <n v="8842806.2400000002"/>
    <n v="8.1799999999999998E-2"/>
    <x v="4"/>
  </r>
  <r>
    <x v="0"/>
    <x v="18"/>
    <n v="88878"/>
    <n v="20076676930.209999"/>
    <n v="89278153.099999994"/>
    <n v="1559635.07"/>
    <n v="4.4468590798340899E-3"/>
    <n v="7.7683925254242006E-5"/>
    <n v="5.2076000000000002"/>
    <n v="9.3100000000000002E-2"/>
    <n v="3.1978297540562299E-3"/>
    <n v="1745925532.0899999"/>
    <n v="10402441.310000001"/>
    <n v="8.6199999999999999E-2"/>
    <x v="5"/>
  </r>
  <r>
    <x v="0"/>
    <x v="19"/>
    <n v="88484"/>
    <n v="19939199442.470001"/>
    <n v="137881693.41"/>
    <n v="515352.31"/>
    <n v="6.9151067879042001E-3"/>
    <n v="2.58461886339484E-5"/>
    <n v="7.9896000000000003"/>
    <n v="3.1E-2"/>
    <n v="2.5090365666056301E-3"/>
    <n v="1883807225.5"/>
    <n v="10917793.619999999"/>
    <n v="9.2999999999999999E-2"/>
    <x v="5"/>
  </r>
  <r>
    <x v="0"/>
    <x v="20"/>
    <n v="87925"/>
    <n v="19755112263.799999"/>
    <n v="191691686.44"/>
    <n v="949391.26"/>
    <n v="9.7033964616471905E-3"/>
    <n v="4.8058003787692903E-5"/>
    <n v="11.042299999999999"/>
    <n v="5.7599999999999998E-2"/>
    <n v="2.5015041079039799E-3"/>
    <n v="2075498911.9400001"/>
    <n v="11867184.880000001"/>
    <n v="0.1024"/>
    <x v="5"/>
  </r>
  <r>
    <x v="0"/>
    <x v="21"/>
    <n v="87132"/>
    <n v="19517918050.32"/>
    <n v="170280413.18000001"/>
    <n v="1177926.43"/>
    <n v="8.7243123339790906E-3"/>
    <n v="6.0351028576056898E-5"/>
    <n v="9.9810999999999996"/>
    <n v="7.2300000000000003E-2"/>
    <n v="3.0000390932597401E-3"/>
    <n v="2245779325.1199999"/>
    <n v="13045111.310000001"/>
    <n v="0.1109"/>
    <x v="6"/>
  </r>
  <r>
    <x v="0"/>
    <x v="22"/>
    <n v="86371"/>
    <n v="19298303853.59"/>
    <n v="168340551.69"/>
    <n v="840844.9"/>
    <n v="8.7230749897579205E-3"/>
    <n v="4.35709224178051E-5"/>
    <n v="9.9797999999999991"/>
    <n v="5.2200000000000003E-2"/>
    <n v="2.21292653406198E-3"/>
    <n v="2414119876.8099999"/>
    <n v="13885956.210000001"/>
    <n v="0.1192"/>
    <x v="6"/>
  </r>
  <r>
    <x v="0"/>
    <x v="23"/>
    <n v="85631"/>
    <n v="19082907230.220001"/>
    <n v="191859748.56"/>
    <n v="2030630.68"/>
    <n v="1.00540104421913E-2"/>
    <n v="1.0641097058755499E-4"/>
    <n v="11.419499999999999"/>
    <n v="0.12759999999999999"/>
    <n v="2.29371262051119E-3"/>
    <n v="2605979625.3699999"/>
    <n v="15916586.890000001"/>
    <n v="0.12859999999999999"/>
    <x v="7"/>
  </r>
  <r>
    <x v="0"/>
    <x v="24"/>
    <n v="84793"/>
    <n v="18844871637.860001"/>
    <n v="0"/>
    <n v="0"/>
    <n v="0"/>
    <n v="0"/>
    <n v="0"/>
    <n v="0"/>
    <n v="2.6052343270604001E-3"/>
    <n v="2605979625.3699999"/>
    <n v="15916586.890000001"/>
    <n v="0.12859999999999999"/>
    <x v="7"/>
  </r>
  <r>
    <x v="1"/>
    <x v="5"/>
    <n v="145598"/>
    <n v="35184267786.93"/>
    <n v="255323382.09999999"/>
    <n v="0"/>
    <n v="7.2567484890177399E-3"/>
    <n v="0"/>
    <n v="8.3688000000000002"/>
    <n v="0"/>
    <n v="1.11349989822876E-3"/>
    <n v="255323382.09999999"/>
    <n v="0"/>
    <n v="7.7000000000000002E-3"/>
    <x v="0"/>
  </r>
  <r>
    <x v="1"/>
    <x v="6"/>
    <n v="144497"/>
    <n v="34859342835.760002"/>
    <n v="74914647.040000007"/>
    <n v="0"/>
    <n v="2.1490550580072799E-3"/>
    <n v="0"/>
    <n v="2.5486"/>
    <n v="0"/>
    <n v="1.75388312992754E-3"/>
    <n v="330238029.13999999"/>
    <n v="0"/>
    <n v="0.01"/>
    <x v="0"/>
  </r>
  <r>
    <x v="1"/>
    <x v="7"/>
    <n v="144155"/>
    <n v="34710539920.269997"/>
    <n v="76909619.870000005"/>
    <n v="0"/>
    <n v="2.2157425394897599E-3"/>
    <n v="0"/>
    <n v="2.6267"/>
    <n v="0"/>
    <n v="1.8421270287605001E-3"/>
    <n v="407147649.00999999"/>
    <n v="0"/>
    <n v="1.24E-2"/>
    <x v="0"/>
  </r>
  <r>
    <x v="1"/>
    <x v="8"/>
    <n v="143801"/>
    <n v="34561418507.610001"/>
    <n v="106255295.29000001"/>
    <n v="260106.15"/>
    <n v="3.0743904584415102E-3"/>
    <n v="7.5259107187029301E-6"/>
    <n v="3.6274999999999999"/>
    <n v="8.9999999999999993E-3"/>
    <n v="1.78254706433518E-3"/>
    <n v="513402944.30000001"/>
    <n v="260106.15"/>
    <n v="1.5599999999999999E-2"/>
    <x v="0"/>
  </r>
  <r>
    <x v="1"/>
    <x v="9"/>
    <n v="143311"/>
    <n v="34383902530.860001"/>
    <n v="114846150.92"/>
    <n v="1118824.01"/>
    <n v="3.34011390408415E-3"/>
    <n v="3.2539180478302003E-5"/>
    <n v="3.9352999999999998"/>
    <n v="3.9E-2"/>
    <n v="2.4791712180864999E-3"/>
    <n v="628249095.22000003"/>
    <n v="1378930.16"/>
    <n v="1.9099999999999999E-2"/>
    <x v="0"/>
  </r>
  <r>
    <x v="1"/>
    <x v="10"/>
    <n v="142808"/>
    <n v="34194102666.93"/>
    <n v="153343552.21000001"/>
    <n v="495173.75"/>
    <n v="4.4845028893915799E-3"/>
    <n v="1.4481261719989299E-5"/>
    <n v="5.2506000000000004"/>
    <n v="1.7299999999999999E-2"/>
    <n v="2.0046795170412402E-3"/>
    <n v="781592647.42999995"/>
    <n v="1874103.91"/>
    <n v="2.3800000000000002E-2"/>
    <x v="0"/>
  </r>
  <r>
    <x v="1"/>
    <x v="11"/>
    <n v="142132"/>
    <n v="33969478822.689999"/>
    <n v="168089678.15000001"/>
    <n v="600232.69999999995"/>
    <n v="4.9482560220418803E-3"/>
    <n v="1.7669764765395E-5"/>
    <n v="5.7789000000000001"/>
    <n v="2.12E-2"/>
    <n v="2.0610782018602499E-3"/>
    <n v="949682325.58000004"/>
    <n v="2474336.61"/>
    <n v="2.9000000000000001E-2"/>
    <x v="0"/>
  </r>
  <r>
    <x v="1"/>
    <x v="12"/>
    <n v="141415"/>
    <n v="33733163472.400002"/>
    <n v="170343588.58000001"/>
    <n v="779358.81"/>
    <n v="5.0497365513724399E-3"/>
    <n v="2.31036383717068E-5"/>
    <n v="5.8940999999999999"/>
    <n v="2.7699999999999999E-2"/>
    <n v="1.98259965255614E-3"/>
    <n v="1120025914.1600001"/>
    <n v="3253695.42"/>
    <n v="3.4200000000000001E-2"/>
    <x v="0"/>
  </r>
  <r>
    <x v="1"/>
    <x v="13"/>
    <n v="140635"/>
    <n v="33490133224.82"/>
    <n v="157283570.87"/>
    <n v="722780.87"/>
    <n v="4.6964152042678299E-3"/>
    <n v="2.1581904889656701E-5"/>
    <n v="5.4923000000000002"/>
    <n v="2.58E-2"/>
    <n v="2.2383653709816698E-3"/>
    <n v="1277309485.03"/>
    <n v="3976476.29"/>
    <n v="3.9E-2"/>
    <x v="1"/>
  </r>
  <r>
    <x v="1"/>
    <x v="14"/>
    <n v="139941"/>
    <n v="33260667256.009998"/>
    <n v="132800769.36"/>
    <n v="572154.51"/>
    <n v="3.9927271554061703E-3"/>
    <n v="1.7202135651581499E-5"/>
    <n v="4.6874000000000002"/>
    <n v="2.06E-2"/>
    <n v="2.2145809990234099E-3"/>
    <n v="1410110254.3900001"/>
    <n v="4548630.8"/>
    <n v="4.2999999999999997E-2"/>
    <x v="1"/>
  </r>
  <r>
    <x v="1"/>
    <x v="15"/>
    <n v="139324"/>
    <n v="33055593115.669998"/>
    <n v="149898725.88999999"/>
    <n v="1498860.31"/>
    <n v="4.5347462187553499E-3"/>
    <n v="4.5343621720992901E-5"/>
    <n v="5.3079999999999998"/>
    <n v="5.4300000000000001E-2"/>
    <n v="2.5701887094479298E-3"/>
    <n v="1560008980.28"/>
    <n v="6047491.1100000003"/>
    <n v="4.7600000000000003E-2"/>
    <x v="1"/>
  </r>
  <r>
    <x v="1"/>
    <x v="16"/>
    <n v="138650"/>
    <n v="32833580707.720001"/>
    <n v="126407170.72"/>
    <n v="1553912.54"/>
    <n v="3.84993558409785E-3"/>
    <n v="4.7326928909542697E-5"/>
    <n v="4.5232999999999999"/>
    <n v="5.67E-2"/>
    <n v="2.5146402216979901E-3"/>
    <n v="1686416151"/>
    <n v="7601403.6500000004"/>
    <n v="5.1499999999999997E-2"/>
    <x v="2"/>
  </r>
  <r>
    <x v="1"/>
    <x v="17"/>
    <n v="138086"/>
    <n v="32634637088.779999"/>
    <n v="142619560.99000001"/>
    <n v="1328887.02"/>
    <n v="4.3701898875729596E-3"/>
    <n v="4.0720140885429899E-5"/>
    <n v="5.1199000000000003"/>
    <n v="4.8800000000000003E-2"/>
    <n v="2.1534383388060198E-3"/>
    <n v="1829035711.99"/>
    <n v="8930290.6699999999"/>
    <n v="5.5800000000000002E-2"/>
    <x v="2"/>
  </r>
  <r>
    <x v="1"/>
    <x v="18"/>
    <n v="137459"/>
    <n v="32417706750.169998"/>
    <n v="103510857.08"/>
    <n v="753052.33"/>
    <n v="3.19303453133547E-3"/>
    <n v="2.32296607469327E-5"/>
    <n v="3.7650000000000001"/>
    <n v="2.7799999999999998E-2"/>
    <n v="3.1372260189091402E-3"/>
    <n v="1932546569.0699999"/>
    <n v="9683343"/>
    <n v="5.8999999999999997E-2"/>
    <x v="2"/>
  </r>
  <r>
    <x v="1"/>
    <x v="19"/>
    <n v="137023"/>
    <n v="32239798911.360001"/>
    <n v="129099715.43000001"/>
    <n v="2259765.79"/>
    <n v="4.0043585812971801E-3"/>
    <n v="7.0092428188308194E-5"/>
    <n v="4.7008000000000001"/>
    <n v="8.4000000000000005E-2"/>
    <n v="2.5071003222516702E-3"/>
    <n v="2061646284.5"/>
    <n v="11943108.789999999"/>
    <n v="6.2899999999999998E-2"/>
    <x v="3"/>
  </r>
  <r>
    <x v="1"/>
    <x v="20"/>
    <n v="136465"/>
    <n v="32038687612.509998"/>
    <n v="202706002.22"/>
    <n v="1168297.3"/>
    <n v="6.3269134076780996E-3"/>
    <n v="3.6465204634156697E-5"/>
    <n v="7.3334999999999999"/>
    <n v="4.3700000000000003E-2"/>
    <n v="2.60061031892786E-3"/>
    <n v="2264352286.7199998"/>
    <n v="13111406.09"/>
    <n v="6.9099999999999995E-2"/>
    <x v="4"/>
  </r>
  <r>
    <x v="1"/>
    <x v="21"/>
    <n v="135631"/>
    <n v="31763545472.23"/>
    <n v="204386465.34"/>
    <n v="1673286.98"/>
    <n v="6.4346237896738996E-3"/>
    <n v="5.2679477530709103E-5"/>
    <n v="7.4539999999999997"/>
    <n v="6.3100000000000003E-2"/>
    <n v="3.0653763936751102E-3"/>
    <n v="2468738752.0599999"/>
    <n v="14784693.07"/>
    <n v="7.5300000000000006E-2"/>
    <x v="4"/>
  </r>
  <r>
    <x v="1"/>
    <x v="22"/>
    <n v="134755"/>
    <n v="31481839071.779999"/>
    <n v="220484533.44"/>
    <n v="2931733.85"/>
    <n v="7.0035468047875199E-3"/>
    <n v="9.31246056914119E-5"/>
    <n v="8.0878999999999994"/>
    <n v="0.1116"/>
    <n v="2.12804341599132E-3"/>
    <n v="2689223285.5"/>
    <n v="17716426.920000002"/>
    <n v="8.2100000000000006E-2"/>
    <x v="5"/>
  </r>
  <r>
    <x v="1"/>
    <x v="23"/>
    <n v="133785"/>
    <n v="31187038920.860001"/>
    <n v="246981466.37"/>
    <n v="577183.81000000006"/>
    <n v="7.9193624953218002E-3"/>
    <n v="1.8507169323277398E-5"/>
    <n v="9.1"/>
    <n v="2.2200000000000001E-2"/>
    <n v="2.3137861072066801E-3"/>
    <n v="2936204751.8699999"/>
    <n v="18293610.73"/>
    <n v="8.9599999999999999E-2"/>
    <x v="5"/>
  </r>
  <r>
    <x v="1"/>
    <x v="24"/>
    <n v="132693"/>
    <n v="30868963894.860001"/>
    <n v="0"/>
    <n v="0"/>
    <n v="0"/>
    <n v="0"/>
    <n v="0"/>
    <n v="0"/>
    <n v="3.2330500813024599E-3"/>
    <n v="2936204751.8699999"/>
    <n v="18293610.73"/>
    <n v="8.9599999999999999E-2"/>
    <x v="5"/>
  </r>
  <r>
    <x v="2"/>
    <x v="8"/>
    <n v="139513"/>
    <n v="32312170855.900002"/>
    <n v="207134927.44999999"/>
    <n v="0"/>
    <n v="6.4104305580006604E-3"/>
    <n v="0"/>
    <n v="7.4269999999999996"/>
    <n v="0"/>
    <n v="8.3035215336207903E-4"/>
    <n v="207134927.44999999"/>
    <n v="0"/>
    <n v="6.7999999999999996E-3"/>
    <x v="0"/>
  </r>
  <r>
    <x v="2"/>
    <x v="9"/>
    <n v="138574"/>
    <n v="32038558514.889999"/>
    <n v="105706737.76000001"/>
    <n v="0"/>
    <n v="3.2993599793471498E-3"/>
    <n v="0"/>
    <n v="3.8881000000000001"/>
    <n v="0"/>
    <n v="1.5226672684829901E-3"/>
    <n v="312841665.20999998"/>
    <n v="0"/>
    <n v="1.03E-2"/>
    <x v="0"/>
  </r>
  <r>
    <x v="2"/>
    <x v="10"/>
    <n v="138094"/>
    <n v="31865279462.52"/>
    <n v="128322520.90000001"/>
    <n v="0"/>
    <n v="4.0270326532341602E-3"/>
    <n v="0"/>
    <n v="4.7267999999999999"/>
    <n v="0"/>
    <n v="1.1277179985904899E-3"/>
    <n v="441164186.11000001"/>
    <n v="0"/>
    <n v="1.4500000000000001E-2"/>
    <x v="0"/>
  </r>
  <r>
    <x v="2"/>
    <x v="11"/>
    <n v="137486"/>
    <n v="31667475693.279999"/>
    <n v="150016275.28999999"/>
    <n v="412038.9"/>
    <n v="4.7372350339194898E-3"/>
    <n v="1.30114223183073E-5"/>
    <n v="5.5388000000000002"/>
    <n v="1.5599999999999999E-2"/>
    <n v="1.3793726491836899E-3"/>
    <n v="591180461.39999998"/>
    <n v="412038.9"/>
    <n v="1.95E-2"/>
    <x v="0"/>
  </r>
  <r>
    <x v="2"/>
    <x v="12"/>
    <n v="136821"/>
    <n v="31454431558.75"/>
    <n v="143509133.41999999"/>
    <n v="83561.429999999993"/>
    <n v="4.56244561762167E-3"/>
    <n v="2.65658687374227E-6"/>
    <n v="5.3395999999999999"/>
    <n v="3.0999999999999999E-3"/>
    <n v="1.6926852605984801E-3"/>
    <n v="734689594.82000005"/>
    <n v="495600.33"/>
    <n v="2.4199999999999999E-2"/>
    <x v="0"/>
  </r>
  <r>
    <x v="2"/>
    <x v="13"/>
    <n v="136164"/>
    <n v="31244385455.200001"/>
    <n v="128496974.15000001"/>
    <n v="681878.67"/>
    <n v="4.1126420724211799E-3"/>
    <n v="2.1824038465333701E-5"/>
    <n v="4.8250000000000002"/>
    <n v="2.6100000000000002E-2"/>
    <n v="2.0239341257222701E-3"/>
    <n v="863186568.97000003"/>
    <n v="1177479"/>
    <n v="2.8500000000000001E-2"/>
    <x v="0"/>
  </r>
  <r>
    <x v="2"/>
    <x v="14"/>
    <n v="135572"/>
    <n v="31050179453.919998"/>
    <n v="120807217.7"/>
    <n v="1164150.3500000001"/>
    <n v="3.8907091625439301E-3"/>
    <n v="3.7492548206610403E-5"/>
    <n v="4.5701999999999998"/>
    <n v="4.4900000000000002E-2"/>
    <n v="2.1676206490169798E-3"/>
    <n v="983993786.66999996"/>
    <n v="2341629.35"/>
    <n v="3.2500000000000001E-2"/>
    <x v="0"/>
  </r>
  <r>
    <x v="2"/>
    <x v="15"/>
    <n v="135011"/>
    <n v="30864009327.299999"/>
    <n v="134653590.77000001"/>
    <n v="736099.11"/>
    <n v="4.3628029444280703E-3"/>
    <n v="2.38497565949379E-5"/>
    <n v="5.1115000000000004"/>
    <n v="2.86E-2"/>
    <n v="2.5084879073542202E-3"/>
    <n v="1118647377.4400001"/>
    <n v="3077728.46"/>
    <n v="3.6900000000000002E-2"/>
    <x v="1"/>
  </r>
  <r>
    <x v="2"/>
    <x v="16"/>
    <n v="134366"/>
    <n v="30665146300.130001"/>
    <n v="124790143.37"/>
    <n v="1092294.03"/>
    <n v="4.0694455571363402E-3"/>
    <n v="3.5620049528195701E-5"/>
    <n v="4.7755000000000001"/>
    <n v="4.2700000000000002E-2"/>
    <n v="2.43580365405539E-3"/>
    <n v="1243437520.8099999"/>
    <n v="4170022.49"/>
    <n v="4.1000000000000002E-2"/>
    <x v="1"/>
  </r>
  <r>
    <x v="2"/>
    <x v="17"/>
    <n v="133821"/>
    <n v="30475372228.66"/>
    <n v="135091366.09"/>
    <n v="543257.96"/>
    <n v="4.4328044650741201E-3"/>
    <n v="1.78261304217673E-5"/>
    <n v="5.1914999999999996"/>
    <n v="2.1299999999999999E-2"/>
    <n v="1.9498019037850699E-3"/>
    <n v="1378528886.9000001"/>
    <n v="4713280.45"/>
    <n v="4.5499999999999999E-2"/>
    <x v="1"/>
  </r>
  <r>
    <x v="2"/>
    <x v="18"/>
    <n v="133208"/>
    <n v="30274833486.439999"/>
    <n v="108369472.09"/>
    <n v="1663331.74"/>
    <n v="3.5795233073218401E-3"/>
    <n v="5.49410698078653E-5"/>
    <n v="4.2118000000000002"/>
    <n v="6.59E-2"/>
    <n v="3.1639523448709602E-3"/>
    <n v="1486898358.99"/>
    <n v="6376612.1900000004"/>
    <n v="4.9099999999999998E-2"/>
    <x v="2"/>
  </r>
  <r>
    <x v="2"/>
    <x v="19"/>
    <n v="132713"/>
    <n v="30100359859.959999"/>
    <n v="152940502"/>
    <n v="589675.86"/>
    <n v="5.0810190546407303E-3"/>
    <n v="1.9590325921132798E-5"/>
    <n v="5.9295999999999998"/>
    <n v="2.35E-2"/>
    <n v="2.4825080357062301E-3"/>
    <n v="1639838860.99"/>
    <n v="6966288.0499999998"/>
    <n v="5.4100000000000002E-2"/>
    <x v="2"/>
  </r>
  <r>
    <x v="2"/>
    <x v="20"/>
    <n v="132085"/>
    <n v="29884165860.82"/>
    <n v="196999436.59"/>
    <n v="776531.93"/>
    <n v="6.5921008974280399E-3"/>
    <n v="2.5984728287767899E-5"/>
    <n v="7.6299000000000001"/>
    <n v="3.1099999999999999E-2"/>
    <n v="2.52494335767715E-3"/>
    <n v="1836838297.5799999"/>
    <n v="7742819.9800000004"/>
    <n v="6.0600000000000001E-2"/>
    <x v="2"/>
  </r>
  <r>
    <x v="2"/>
    <x v="21"/>
    <n v="131250"/>
    <n v="29622381783.93"/>
    <n v="206483582.91999999"/>
    <n v="564733.91"/>
    <n v="6.9705260173243801E-3"/>
    <n v="1.9064432904796499E-5"/>
    <n v="8.0511999999999997"/>
    <n v="2.2800000000000001E-2"/>
    <n v="3.1499647857695201E-3"/>
    <n v="2043321880.5"/>
    <n v="8307553.8899999997"/>
    <n v="6.7500000000000004E-2"/>
    <x v="2"/>
  </r>
  <r>
    <x v="2"/>
    <x v="22"/>
    <n v="130339"/>
    <n v="29346853284.540001"/>
    <n v="237340935.86000001"/>
    <n v="1555789.72"/>
    <n v="8.0874407064634706E-3"/>
    <n v="5.3013851431205801E-5"/>
    <n v="9.2845999999999993"/>
    <n v="6.3500000000000001E-2"/>
    <n v="2.35929860311377E-3"/>
    <n v="2280662816.3600001"/>
    <n v="9863343.6099999994"/>
    <n v="7.5300000000000006E-2"/>
    <x v="3"/>
  </r>
  <r>
    <x v="2"/>
    <x v="23"/>
    <n v="129302"/>
    <n v="29042673167.91"/>
    <n v="248521555.47"/>
    <n v="651600.99"/>
    <n v="8.55711710947454E-3"/>
    <n v="2.2435985359638601E-5"/>
    <n v="9.7987000000000002"/>
    <n v="2.69E-2"/>
    <n v="2.45970523329553E-3"/>
    <n v="2529184371.8299999"/>
    <n v="10514944.6"/>
    <n v="8.3500000000000005E-2"/>
    <x v="3"/>
  </r>
  <r>
    <x v="2"/>
    <x v="24"/>
    <n v="128194"/>
    <n v="28730000635.919998"/>
    <n v="0"/>
    <n v="0"/>
    <n v="0"/>
    <n v="0"/>
    <n v="0"/>
    <n v="0"/>
    <n v="2.8305324114169098E-3"/>
    <n v="2529184371.8299999"/>
    <n v="10514944.6"/>
    <n v="8.3500000000000005E-2"/>
    <x v="3"/>
  </r>
  <r>
    <x v="3"/>
    <x v="10"/>
    <n v="116677"/>
    <n v="28039544680.09"/>
    <n v="369559914.37"/>
    <n v="0"/>
    <n v="1.31799541892138E-2"/>
    <n v="0"/>
    <n v="14.718299999999999"/>
    <n v="0"/>
    <n v="1.2582498026457499E-3"/>
    <n v="369559914.37"/>
    <n v="0"/>
    <n v="1.4999999999999999E-2"/>
    <x v="0"/>
  </r>
  <r>
    <x v="3"/>
    <x v="11"/>
    <n v="115265"/>
    <n v="27609728254.779999"/>
    <n v="207436533.11000001"/>
    <n v="0"/>
    <n v="7.5131682280895704E-3"/>
    <n v="0"/>
    <n v="8.6524000000000001"/>
    <n v="0"/>
    <n v="1.5944404332331099E-3"/>
    <n v="576996447.48000002"/>
    <n v="0"/>
    <n v="2.3400000000000001E-2"/>
    <x v="0"/>
  </r>
  <r>
    <x v="3"/>
    <x v="12"/>
    <n v="114528"/>
    <n v="27348284475.400002"/>
    <n v="202721399.50999999"/>
    <n v="0"/>
    <n v="7.4125819369894796E-3"/>
    <n v="0"/>
    <n v="8.5411999999999999"/>
    <n v="0"/>
    <n v="1.62206789496806E-3"/>
    <n v="779717846.99000001"/>
    <n v="0"/>
    <n v="3.1600000000000003E-2"/>
    <x v="0"/>
  </r>
  <r>
    <x v="3"/>
    <x v="13"/>
    <n v="113774"/>
    <n v="27089577370.52"/>
    <n v="182482840.21000001"/>
    <n v="968154.6"/>
    <n v="6.7362749043322198E-3"/>
    <n v="3.5739007174529997E-5"/>
    <n v="7.7906000000000004"/>
    <n v="4.2799999999999998E-2"/>
    <n v="1.83497047924029E-3"/>
    <n v="962200687.20000005"/>
    <n v="968154.6"/>
    <n v="3.9100000000000003E-2"/>
    <x v="0"/>
  </r>
  <r>
    <x v="3"/>
    <x v="14"/>
    <n v="113066"/>
    <n v="26851958095.509998"/>
    <n v="162436003.41999999"/>
    <n v="77670.52"/>
    <n v="6.0493168819283002E-3"/>
    <n v="2.8925458517301702E-6"/>
    <n v="7.0224000000000002"/>
    <n v="3.3999999999999998E-3"/>
    <n v="1.77433496993155E-3"/>
    <n v="1124636690.6199999"/>
    <n v="1045825.12"/>
    <n v="4.5699999999999998E-2"/>
    <x v="0"/>
  </r>
  <r>
    <x v="3"/>
    <x v="15"/>
    <n v="112446"/>
    <n v="26637069814.950001"/>
    <n v="172597846.72"/>
    <n v="867798.01"/>
    <n v="6.4796108550622096E-3"/>
    <n v="3.2578583756722003E-5"/>
    <n v="7.5042999999999997"/>
    <n v="3.9E-2"/>
    <n v="2.2391729474885501E-3"/>
    <n v="1297234537.3399999"/>
    <n v="1913623.13"/>
    <n v="5.2699999999999997E-2"/>
    <x v="0"/>
  </r>
  <r>
    <x v="3"/>
    <x v="16"/>
    <n v="111769"/>
    <n v="26409684178.889999"/>
    <n v="239512495.96000001"/>
    <n v="552007.49"/>
    <n v="9.0691162506005597E-3"/>
    <n v="2.0901707353291001E-5"/>
    <n v="10.3561"/>
    <n v="2.5000000000000001E-2"/>
    <n v="2.3875834479081602E-3"/>
    <n v="1536747033.3"/>
    <n v="2465630.62"/>
    <n v="6.2399999999999997E-2"/>
    <x v="1"/>
  </r>
  <r>
    <x v="3"/>
    <x v="17"/>
    <n v="110925"/>
    <n v="26117688939.689999"/>
    <n v="260286629.65000001"/>
    <n v="491931.43"/>
    <n v="9.9659135328184698E-3"/>
    <n v="1.8835182206815799E-5"/>
    <n v="11.3248"/>
    <n v="2.2499999999999999E-2"/>
    <n v="2.2911961585951198E-3"/>
    <n v="1797033662.95"/>
    <n v="2957562.05"/>
    <n v="7.2999999999999995E-2"/>
    <x v="1"/>
  </r>
  <r>
    <x v="3"/>
    <x v="18"/>
    <n v="110015"/>
    <n v="25803566156.799999"/>
    <n v="216937573.77000001"/>
    <n v="701717.69"/>
    <n v="8.4072710125313605E-3"/>
    <n v="2.7194601154580201E-5"/>
    <n v="9.6349999999999998"/>
    <n v="3.2599999999999997E-2"/>
    <n v="3.61345336157841E-3"/>
    <n v="2013971236.72"/>
    <n v="3659279.74"/>
    <n v="8.1799999999999998E-2"/>
    <x v="1"/>
  </r>
  <r>
    <x v="3"/>
    <x v="19"/>
    <n v="109248"/>
    <n v="25533693163.25"/>
    <n v="408537204.06999999"/>
    <n v="773623.07"/>
    <n v="1.59999261155843E-2"/>
    <n v="3.0298126677321201E-5"/>
    <n v="17.597200000000001"/>
    <n v="3.6299999999999999E-2"/>
    <n v="2.8897348095416799E-3"/>
    <n v="2422508440.79"/>
    <n v="4432902.8099999996"/>
    <n v="9.8400000000000001E-2"/>
    <x v="1"/>
  </r>
  <r>
    <x v="3"/>
    <x v="20"/>
    <n v="107817"/>
    <n v="25073337969.040001"/>
    <n v="459061248.75999999"/>
    <n v="726228"/>
    <n v="1.83087409154233E-2"/>
    <n v="2.8964153113427901E-5"/>
    <n v="19.887699999999999"/>
    <n v="3.4700000000000002E-2"/>
    <n v="2.89173380183875E-3"/>
    <n v="2881569689.5500002"/>
    <n v="5159130.8099999996"/>
    <n v="0.1171"/>
    <x v="2"/>
  </r>
  <r>
    <x v="3"/>
    <x v="21"/>
    <n v="106156"/>
    <n v="24561922452.779999"/>
    <n v="305794241.72000003"/>
    <n v="851866.76"/>
    <n v="1.2449931079616601E-2"/>
    <n v="3.4682413872028999E-5"/>
    <n v="13.9582"/>
    <n v="4.1599999999999998E-2"/>
    <n v="3.4767765375114E-3"/>
    <n v="3187363931.27"/>
    <n v="6010997.5700000003"/>
    <n v="0.1295"/>
    <x v="2"/>
  </r>
  <r>
    <x v="3"/>
    <x v="22"/>
    <n v="104991"/>
    <n v="24201903933.830002"/>
    <n v="296485141.12"/>
    <n v="1062221.53"/>
    <n v="1.22504883058215E-2"/>
    <n v="4.3889998609373903E-5"/>
    <n v="13.7494"/>
    <n v="5.2600000000000001E-2"/>
    <n v="2.63312904737718E-3"/>
    <n v="3483849072.3899999"/>
    <n v="7073219.0999999996"/>
    <n v="0.14149999999999999"/>
    <x v="2"/>
  </r>
  <r>
    <x v="3"/>
    <x v="23"/>
    <n v="103861"/>
    <n v="23852978020.849998"/>
    <n v="286045284.57999998"/>
    <n v="1003683.14"/>
    <n v="1.19920156019917E-2"/>
    <n v="4.2077896484148598E-5"/>
    <n v="13.478199999999999"/>
    <n v="5.04E-2"/>
    <n v="2.8994875935216798E-3"/>
    <n v="3769894356.9699998"/>
    <n v="8076902.2400000002"/>
    <n v="0.1532"/>
    <x v="3"/>
  </r>
  <r>
    <x v="3"/>
    <x v="24"/>
    <n v="102690"/>
    <n v="23516001945.110001"/>
    <n v="0"/>
    <n v="0"/>
    <n v="0"/>
    <n v="0"/>
    <n v="0"/>
    <n v="0"/>
    <n v="3.4288805643157899E-3"/>
    <n v="3769894356.9699998"/>
    <n v="8076902.2400000002"/>
    <n v="0.1532"/>
    <x v="3"/>
  </r>
  <r>
    <x v="4"/>
    <x v="14"/>
    <n v="87222"/>
    <n v="19673327276.75"/>
    <n v="677671924.90999997"/>
    <n v="0"/>
    <n v="3.4446228407478102E-2"/>
    <n v="0"/>
    <n v="34.337400000000002"/>
    <n v="0"/>
    <n v="1.8750273449471E-3"/>
    <n v="677671924.90999997"/>
    <n v="0"/>
    <n v="4.3799999999999999E-2"/>
    <x v="0"/>
  </r>
  <r>
    <x v="4"/>
    <x v="15"/>
    <n v="84869"/>
    <n v="18959026495.110001"/>
    <n v="222319195.37"/>
    <n v="0"/>
    <n v="1.17262980473887E-2"/>
    <n v="0"/>
    <n v="13.198499999999999"/>
    <n v="0"/>
    <n v="2.18480727059924E-3"/>
    <n v="899991120.27999997"/>
    <n v="0"/>
    <n v="5.8099999999999999E-2"/>
    <x v="0"/>
  </r>
  <r>
    <x v="4"/>
    <x v="16"/>
    <n v="84088"/>
    <n v="18700722950.959999"/>
    <n v="393046541.18000001"/>
    <n v="0"/>
    <n v="2.1017719058814398E-2"/>
    <n v="0"/>
    <n v="22.500599999999999"/>
    <n v="0"/>
    <n v="2.5633474783678901E-3"/>
    <n v="1293037661.46"/>
    <n v="0"/>
    <n v="8.3599999999999994E-2"/>
    <x v="0"/>
  </r>
  <r>
    <x v="4"/>
    <x v="17"/>
    <n v="82804"/>
    <n v="18273757066.580002"/>
    <n v="384470660.99000001"/>
    <n v="651418.92000000004"/>
    <n v="2.1039497219383502E-2"/>
    <n v="3.5647782644070902E-5"/>
    <n v="22.5213"/>
    <n v="4.2700000000000002E-2"/>
    <n v="2.5782310018865502E-3"/>
    <n v="1677508322.45"/>
    <n v="651418.92000000004"/>
    <n v="0.1084"/>
    <x v="0"/>
  </r>
  <r>
    <x v="4"/>
    <x v="18"/>
    <n v="81501"/>
    <n v="17854723101.439999"/>
    <n v="318244031.63"/>
    <n v="0"/>
    <n v="1.7824081046898602E-2"/>
    <n v="0"/>
    <n v="19.411799999999999"/>
    <n v="0"/>
    <n v="4.1618114863963898E-3"/>
    <n v="1995752354.0799999"/>
    <n v="651418.92000000004"/>
    <n v="0.129"/>
    <x v="0"/>
  </r>
  <r>
    <x v="4"/>
    <x v="19"/>
    <n v="80430"/>
    <n v="17502640487.57"/>
    <n v="664625808.39999998"/>
    <n v="599297.27"/>
    <n v="3.79728880834867E-2"/>
    <n v="3.4240391924041802E-5"/>
    <n v="37.158299999999997"/>
    <n v="4.1000000000000002E-2"/>
    <n v="3.69019871178118E-3"/>
    <n v="2660378162.48"/>
    <n v="1250716.19"/>
    <n v="0.17199999999999999"/>
    <x v="0"/>
  </r>
  <r>
    <x v="4"/>
    <x v="20"/>
    <n v="78205"/>
    <n v="16806094470.57"/>
    <n v="674827471.32000005"/>
    <n v="645947.04"/>
    <n v="4.0153735450060901E-2"/>
    <n v="3.84352855525803E-5"/>
    <n v="38.846600000000002"/>
    <n v="4.6100000000000002E-2"/>
    <n v="3.9045994484270099E-3"/>
    <n v="3335205633.8000002"/>
    <n v="1896663.23"/>
    <n v="0.21560000000000001"/>
    <x v="1"/>
  </r>
  <r>
    <x v="4"/>
    <x v="21"/>
    <n v="75849"/>
    <n v="16098208030.52"/>
    <n v="424337416.35000002"/>
    <n v="1299799"/>
    <n v="2.63592951181593E-2"/>
    <n v="8.0741843908077105E-5"/>
    <n v="27.4253"/>
    <n v="9.6799999999999997E-2"/>
    <n v="4.9454945394582697E-3"/>
    <n v="3759543050.1500001"/>
    <n v="3196462.23"/>
    <n v="0.24299999999999999"/>
    <x v="2"/>
  </r>
  <r>
    <x v="4"/>
    <x v="22"/>
    <n v="74283"/>
    <n v="15638257078.51"/>
    <n v="369147435.13"/>
    <n v="778404.67"/>
    <n v="2.3605407768700699E-2"/>
    <n v="4.9775666565149299E-5"/>
    <n v="24.923400000000001"/>
    <n v="5.9700000000000003E-2"/>
    <n v="4.09348673887507E-3"/>
    <n v="4128690485.2800002"/>
    <n v="3974866.9"/>
    <n v="0.26690000000000003"/>
    <x v="2"/>
  </r>
  <r>
    <x v="4"/>
    <x v="23"/>
    <n v="72925"/>
    <n v="15236316428.049999"/>
    <n v="301958316.39999998"/>
    <n v="1387142.57"/>
    <n v="1.9818327994560101E-2"/>
    <n v="9.1041858873859794E-5"/>
    <n v="21.3535"/>
    <n v="0.1091"/>
    <n v="4.1318942079793201E-3"/>
    <n v="4430648801.6800003"/>
    <n v="5362009.47"/>
    <n v="0.28639999999999999"/>
    <x v="3"/>
  </r>
  <r>
    <x v="4"/>
    <x v="24"/>
    <n v="71708"/>
    <n v="14903591509.59"/>
    <n v="0"/>
    <n v="0"/>
    <n v="0"/>
    <n v="0"/>
    <n v="0"/>
    <n v="0"/>
    <n v="5.3233273851439897E-3"/>
    <n v="4430648801.6800003"/>
    <n v="5362009.47"/>
    <n v="0.28639999999999999"/>
    <x v="3"/>
  </r>
  <r>
    <x v="5"/>
    <x v="15"/>
    <n v="69780"/>
    <n v="15740708858.99"/>
    <n v="186342944.30000001"/>
    <n v="0"/>
    <n v="1.1838281615479699E-2"/>
    <n v="0"/>
    <n v="13.3165"/>
    <n v="0"/>
    <n v="0"/>
    <n v="186342944.30000001"/>
    <n v="0"/>
    <n v="1.46E-2"/>
    <x v="0"/>
  </r>
  <r>
    <x v="5"/>
    <x v="16"/>
    <n v="69127"/>
    <n v="15522385738.57"/>
    <n v="322326176.44"/>
    <n v="0"/>
    <n v="2.07652471642348E-2"/>
    <n v="0"/>
    <n v="22.260400000000001"/>
    <n v="0"/>
    <n v="1.9170658184365799E-3"/>
    <n v="508669120.74000001"/>
    <n v="0"/>
    <n v="3.9800000000000002E-2"/>
    <x v="0"/>
  </r>
  <r>
    <x v="5"/>
    <x v="17"/>
    <n v="68132"/>
    <n v="15171194093.5"/>
    <n v="305028267.93000001"/>
    <n v="0"/>
    <n v="2.0105752128020501E-2"/>
    <n v="0"/>
    <n v="21.629799999999999"/>
    <n v="0"/>
    <n v="1.7382168099278599E-3"/>
    <n v="813697388.66999996"/>
    <n v="0"/>
    <n v="6.3700000000000007E-2"/>
    <x v="0"/>
  </r>
  <r>
    <x v="5"/>
    <x v="18"/>
    <n v="67165"/>
    <n v="14838043875"/>
    <n v="288666454.70999998"/>
    <n v="0"/>
    <n v="1.9454481813223502E-2"/>
    <n v="0"/>
    <n v="21.002500000000001"/>
    <n v="0"/>
    <n v="3.5413995458346702E-3"/>
    <n v="1102363843.3800001"/>
    <n v="0"/>
    <n v="8.6300000000000002E-2"/>
    <x v="0"/>
  </r>
  <r>
    <x v="5"/>
    <x v="19"/>
    <n v="66213"/>
    <n v="14519089510.52"/>
    <n v="521738928.94999999"/>
    <n v="0"/>
    <n v="3.5934686439667303E-2"/>
    <n v="0"/>
    <n v="35.541899999999998"/>
    <n v="0"/>
    <n v="2.7748621000516899E-3"/>
    <n v="1624102772.3299999"/>
    <n v="0"/>
    <n v="0.12720000000000001"/>
    <x v="0"/>
  </r>
  <r>
    <x v="5"/>
    <x v="20"/>
    <n v="64470"/>
    <n v="13971658579.58"/>
    <n v="610942869.85000002"/>
    <n v="222479.34"/>
    <n v="4.3727297397812899E-2"/>
    <n v="1.5923616994560701E-5"/>
    <n v="41.523499999999999"/>
    <n v="1.9099999999999999E-2"/>
    <n v="3.0916978033754998E-3"/>
    <n v="2235045642.1799998"/>
    <n v="222479.34"/>
    <n v="0.17510000000000001"/>
    <x v="0"/>
  </r>
  <r>
    <x v="5"/>
    <x v="21"/>
    <n v="62417"/>
    <n v="13334670468.51"/>
    <n v="346591293.42000002"/>
    <n v="0"/>
    <n v="2.59917404212184E-2"/>
    <n v="0"/>
    <n v="27.0959"/>
    <n v="0"/>
    <n v="4.2376432266131598E-3"/>
    <n v="2581636935.5999999"/>
    <n v="222479.34"/>
    <n v="0.20230000000000001"/>
    <x v="0"/>
  </r>
  <r>
    <x v="5"/>
    <x v="22"/>
    <n v="61190"/>
    <n v="12960092254.6"/>
    <n v="286518217.10000002"/>
    <n v="738752.75"/>
    <n v="2.2107729750018099E-2"/>
    <n v="5.7002121241674802E-5"/>
    <n v="23.529800000000002"/>
    <n v="6.83E-2"/>
    <n v="3.5782370579607601E-3"/>
    <n v="2868155152.6999998"/>
    <n v="961232.09"/>
    <n v="0.22470000000000001"/>
    <x v="0"/>
  </r>
  <r>
    <x v="5"/>
    <x v="23"/>
    <n v="60127"/>
    <n v="12647606750.530001"/>
    <n v="267435898.34"/>
    <n v="54403.1"/>
    <n v="2.1145178183911501E-2"/>
    <n v="4.3014541069376803E-6"/>
    <n v="22.621600000000001"/>
    <n v="5.1000000000000004E-3"/>
    <n v="3.9062777689486301E-3"/>
    <n v="3135591051.04"/>
    <n v="1015635.19"/>
    <n v="0.2457"/>
    <x v="0"/>
  </r>
  <r>
    <x v="5"/>
    <x v="24"/>
    <n v="59082"/>
    <n v="12356174994.129999"/>
    <n v="0"/>
    <n v="0"/>
    <n v="0"/>
    <n v="0"/>
    <n v="0"/>
    <n v="0"/>
    <n v="4.7030986431971997E-3"/>
    <n v="3135591051.04"/>
    <n v="1015635.19"/>
    <n v="0.2457"/>
    <x v="0"/>
  </r>
  <r>
    <x v="6"/>
    <x v="14"/>
    <n v="45112"/>
    <n v="9940429900.0400009"/>
    <n v="255498541.15000001"/>
    <n v="0"/>
    <n v="2.5702966946024301E-2"/>
    <n v="0"/>
    <n v="26.836099999999998"/>
    <n v="0"/>
    <n v="1.77747015749579E-3"/>
    <n v="255498541.15000001"/>
    <n v="0"/>
    <n v="3.1199999999999999E-2"/>
    <x v="0"/>
  </r>
  <r>
    <x v="6"/>
    <x v="15"/>
    <n v="44147"/>
    <n v="9668617060.4899998"/>
    <n v="96526009.129999995"/>
    <n v="0"/>
    <n v="9.9834349138146605E-3"/>
    <n v="0"/>
    <n v="11.3437"/>
    <n v="0"/>
    <n v="2.6546245827528099E-3"/>
    <n v="352024550.27999997"/>
    <n v="0"/>
    <n v="4.2999999999999997E-2"/>
    <x v="0"/>
  </r>
  <r>
    <x v="6"/>
    <x v="16"/>
    <n v="43762"/>
    <n v="9556067688.0200005"/>
    <n v="153869136.05000001"/>
    <n v="0"/>
    <n v="1.6101721029341199E-2"/>
    <n v="0"/>
    <n v="17.6995"/>
    <n v="0"/>
    <n v="3.07291430520249E-3"/>
    <n v="505893686.32999998"/>
    <n v="0"/>
    <n v="6.1800000000000001E-2"/>
    <x v="0"/>
  </r>
  <r>
    <x v="6"/>
    <x v="17"/>
    <n v="43202"/>
    <n v="9385514861.4400005"/>
    <n v="156498005.96000001"/>
    <n v="337571.16"/>
    <n v="1.6674418853990101E-2"/>
    <n v="3.5967250063914599E-5"/>
    <n v="18.272500000000001"/>
    <n v="4.3099999999999999E-2"/>
    <n v="3.5378818839678899E-3"/>
    <n v="662391692.28999996"/>
    <n v="337571.16"/>
    <n v="8.09E-2"/>
    <x v="0"/>
  </r>
  <r>
    <x v="6"/>
    <x v="18"/>
    <n v="42618"/>
    <n v="9212632603.0100002"/>
    <n v="129260813.67"/>
    <n v="1497510.51"/>
    <n v="1.40308225932907E-2"/>
    <n v="1.6254968308523701E-4"/>
    <n v="15.596500000000001"/>
    <n v="0.1948"/>
    <n v="5.1635036194168701E-3"/>
    <n v="791652505.96000004"/>
    <n v="1835081.67"/>
    <n v="9.6699999999999994E-2"/>
    <x v="2"/>
  </r>
  <r>
    <x v="6"/>
    <x v="19"/>
    <n v="42132"/>
    <n v="9066975658.4200001"/>
    <n v="269712527.51999998"/>
    <n v="0"/>
    <n v="2.9746691474740201E-2"/>
    <n v="0"/>
    <n v="30.398"/>
    <n v="0"/>
    <n v="4.2606312132453398E-3"/>
    <n v="1061365033.48"/>
    <n v="1835081.67"/>
    <n v="0.12970000000000001"/>
    <x v="2"/>
  </r>
  <r>
    <x v="6"/>
    <x v="20"/>
    <n v="41141"/>
    <n v="8782262327.0300007"/>
    <n v="292801159.38"/>
    <n v="793770.14"/>
    <n v="3.3340060735696501E-2"/>
    <n v="9.0383332954760203E-5"/>
    <n v="33.429000000000002"/>
    <n v="0.1084"/>
    <n v="5.3237138676784897E-3"/>
    <n v="1354166192.8599999"/>
    <n v="2628851.81"/>
    <n v="0.16539999999999999"/>
    <x v="3"/>
  </r>
  <r>
    <x v="6"/>
    <x v="21"/>
    <n v="40029"/>
    <n v="8474595278.0200005"/>
    <n v="176721009.63999999"/>
    <n v="1277554.23"/>
    <n v="2.0853032368206299E-2"/>
    <n v="1.50751061034561E-4"/>
    <n v="22.344000000000001"/>
    <n v="0.1807"/>
    <n v="5.8858695835742603E-3"/>
    <n v="1530887202.5"/>
    <n v="3906406.04"/>
    <n v="0.187"/>
    <x v="4"/>
  </r>
  <r>
    <x v="6"/>
    <x v="22"/>
    <n v="39324"/>
    <n v="8281394201.75"/>
    <n v="169304692.94999999"/>
    <n v="1580228.66"/>
    <n v="2.0443984288807601E-2"/>
    <n v="1.90816741903926E-4"/>
    <n v="21.953800000000001"/>
    <n v="0.22869999999999999"/>
    <n v="4.2740795025214898E-3"/>
    <n v="1700191895.45"/>
    <n v="5486634.7000000002"/>
    <n v="0.2077"/>
    <x v="6"/>
  </r>
  <r>
    <x v="6"/>
    <x v="23"/>
    <n v="38647"/>
    <n v="8096216510.6300001"/>
    <n v="162666105.31999999"/>
    <n v="438173.31"/>
    <n v="2.0091619969207299E-2"/>
    <n v="5.4120750034870702E-5"/>
    <n v="21.616299999999999"/>
    <n v="6.4899999999999999E-2"/>
    <n v="5.1322419447953497E-3"/>
    <n v="1862858000.77"/>
    <n v="5924808.0099999998"/>
    <n v="0.2276"/>
    <x v="7"/>
  </r>
  <r>
    <x v="6"/>
    <x v="24"/>
    <n v="37981"/>
    <n v="7919678628.1700001"/>
    <n v="0"/>
    <n v="0"/>
    <n v="0"/>
    <n v="0"/>
    <n v="0"/>
    <n v="0"/>
    <n v="6.1644989212499097E-3"/>
    <n v="1862858000.77"/>
    <n v="5924808.0099999998"/>
    <n v="0.2276"/>
    <x v="7"/>
  </r>
  <r>
    <x v="7"/>
    <x v="15"/>
    <n v="147771"/>
    <n v="33311753569.889999"/>
    <n v="545653163.55999994"/>
    <n v="172175.28"/>
    <n v="1.63801993316019E-2"/>
    <n v="5.1686045178848404E-6"/>
    <n v="17.9786"/>
    <n v="6.1999999999999998E-3"/>
    <n v="1.9867683813505799E-3"/>
    <n v="545653163.55999994"/>
    <n v="172175.28"/>
    <n v="1.7299999999999999E-2"/>
    <x v="0"/>
  </r>
  <r>
    <x v="7"/>
    <x v="16"/>
    <n v="145469"/>
    <n v="32702854732.900002"/>
    <n v="200469688.75"/>
    <n v="0"/>
    <n v="6.1300363649391598E-3"/>
    <n v="0"/>
    <n v="7.1130000000000004"/>
    <n v="0"/>
    <n v="1.9704739462751298E-3"/>
    <n v="746122852.30999994"/>
    <n v="172175.28"/>
    <n v="2.3699999999999999E-2"/>
    <x v="0"/>
  </r>
  <r>
    <x v="7"/>
    <x v="17"/>
    <n v="144665"/>
    <n v="32439664423.18"/>
    <n v="214390611.25999999"/>
    <n v="0"/>
    <n v="6.60890348504362E-3"/>
    <n v="0"/>
    <n v="7.6486000000000001"/>
    <n v="0"/>
    <n v="1.82791002941537E-3"/>
    <n v="960513463.57000005"/>
    <n v="172175.28"/>
    <n v="3.0599999999999999E-2"/>
    <x v="0"/>
  </r>
  <r>
    <x v="7"/>
    <x v="18"/>
    <n v="143797"/>
    <n v="32163282682.549999"/>
    <n v="176728353.75999999"/>
    <n v="697801.46"/>
    <n v="5.4947237663611603E-3"/>
    <n v="2.1695592047841099E-5"/>
    <n v="6.3979999999999997"/>
    <n v="2.5999999999999999E-2"/>
    <n v="3.1173836097395098E-3"/>
    <n v="1137241817.3299999"/>
    <n v="869976.74"/>
    <n v="3.6200000000000003E-2"/>
    <x v="0"/>
  </r>
  <r>
    <x v="7"/>
    <x v="19"/>
    <n v="143082"/>
    <n v="31924370768.91"/>
    <n v="320455389.75999999"/>
    <n v="1736088.91"/>
    <n v="1.0037954767524501E-2"/>
    <n v="5.4381303943841998E-5"/>
    <n v="11.402200000000001"/>
    <n v="6.5199999999999994E-2"/>
    <n v="2.5871680534557298E-3"/>
    <n v="1457697207.0899999"/>
    <n v="2606065.65"/>
    <n v="4.6399999999999997E-2"/>
    <x v="0"/>
  </r>
  <r>
    <x v="7"/>
    <x v="20"/>
    <n v="141849"/>
    <n v="31541680808.580002"/>
    <n v="397132082.99000001"/>
    <n v="2205360.34"/>
    <n v="1.25907076861284E-2"/>
    <n v="6.9918922627613906E-5"/>
    <n v="14.1052"/>
    <n v="8.3799999999999999E-2"/>
    <n v="2.9512584597165201E-3"/>
    <n v="1854829290.0799999"/>
    <n v="4811425.99"/>
    <n v="5.91E-2"/>
    <x v="1"/>
  </r>
  <r>
    <x v="7"/>
    <x v="21"/>
    <n v="140266"/>
    <n v="31080609964.099998"/>
    <n v="333619868.43000001"/>
    <n v="1554543.77"/>
    <n v="1.07340193392392E-2"/>
    <n v="5.0016514212417001E-5"/>
    <n v="12.1469"/>
    <n v="0.06"/>
    <n v="3.4120372853844198E-3"/>
    <n v="2188449158.5100002"/>
    <n v="6365969.7599999998"/>
    <n v="6.9699999999999998E-2"/>
    <x v="2"/>
  </r>
  <r>
    <x v="7"/>
    <x v="22"/>
    <n v="138896"/>
    <n v="30681406216.549999"/>
    <n v="336232647.26999998"/>
    <n v="1547448.28"/>
    <n v="1.09588408333328E-2"/>
    <n v="5.0436028553517897E-5"/>
    <n v="12.386200000000001"/>
    <n v="6.0499999999999998E-2"/>
    <n v="2.5385131985243702E-3"/>
    <n v="2524681805.7800002"/>
    <n v="7913418.04"/>
    <n v="8.0500000000000002E-2"/>
    <x v="2"/>
  </r>
  <r>
    <x v="7"/>
    <x v="23"/>
    <n v="137461"/>
    <n v="30281605272.830002"/>
    <n v="345240389.32999998"/>
    <n v="1536908.01"/>
    <n v="1.1400993646785399E-2"/>
    <n v="5.0753848620402601E-5"/>
    <n v="12.855"/>
    <n v="6.08E-2"/>
    <n v="2.9648472609394602E-3"/>
    <n v="2869922195.1100001"/>
    <n v="9450326.0500000007"/>
    <n v="9.1499999999999998E-2"/>
    <x v="3"/>
  </r>
  <r>
    <x v="7"/>
    <x v="24"/>
    <n v="135963"/>
    <n v="29875609801.369999"/>
    <n v="0"/>
    <n v="0"/>
    <n v="0"/>
    <n v="0"/>
    <n v="0"/>
    <n v="0"/>
    <n v="3.7651571127040799E-3"/>
    <n v="2869922195.1100001"/>
    <n v="9450326.0500000007"/>
    <n v="9.1499999999999998E-2"/>
    <x v="3"/>
  </r>
  <r>
    <x v="8"/>
    <x v="15"/>
    <n v="36226"/>
    <n v="8000610178.8900003"/>
    <n v="54721277.009999998"/>
    <n v="0"/>
    <n v="6.8396379509133801E-3"/>
    <n v="0"/>
    <n v="7.9057000000000004"/>
    <n v="0"/>
    <n v="0"/>
    <n v="54721277.009999998"/>
    <n v="0"/>
    <n v="8.0000000000000002E-3"/>
    <x v="0"/>
  </r>
  <r>
    <x v="8"/>
    <x v="16"/>
    <n v="36025"/>
    <n v="7932337047.4300003"/>
    <n v="118540857.56999999"/>
    <n v="0"/>
    <n v="1.49440016052275E-2"/>
    <n v="0"/>
    <n v="16.529800000000002"/>
    <n v="0"/>
    <n v="1.6623303474317399E-3"/>
    <n v="173262134.58000001"/>
    <n v="0"/>
    <n v="2.53E-2"/>
    <x v="0"/>
  </r>
  <r>
    <x v="8"/>
    <x v="17"/>
    <n v="35630"/>
    <n v="7800430279.4899998"/>
    <n v="102951973.47"/>
    <n v="0"/>
    <n v="1.3198242889330801E-2"/>
    <n v="0"/>
    <n v="14.737299999999999"/>
    <n v="0"/>
    <n v="1.8127235784901399E-3"/>
    <n v="276214108.05000001"/>
    <n v="0"/>
    <n v="4.0399999999999998E-2"/>
    <x v="0"/>
  </r>
  <r>
    <x v="8"/>
    <x v="18"/>
    <n v="35266"/>
    <n v="7683642798.5"/>
    <n v="110312012.93000001"/>
    <n v="0"/>
    <n v="1.43567336252975E-2"/>
    <n v="0"/>
    <n v="15.9307"/>
    <n v="0"/>
    <n v="3.2100016355282599E-3"/>
    <n v="386526120.98000002"/>
    <n v="0"/>
    <n v="5.6599999999999998E-2"/>
    <x v="0"/>
  </r>
  <r>
    <x v="8"/>
    <x v="19"/>
    <n v="34867"/>
    <n v="7560282083.3699999"/>
    <n v="205572070.59"/>
    <n v="0"/>
    <n v="2.7191058259874602E-2"/>
    <n v="0"/>
    <n v="28.165900000000001"/>
    <n v="0"/>
    <n v="3.4388182085411199E-3"/>
    <n v="592098191.57000005"/>
    <n v="0"/>
    <n v="8.6699999999999999E-2"/>
    <x v="0"/>
  </r>
  <r>
    <x v="8"/>
    <x v="20"/>
    <n v="34126"/>
    <n v="7342769532.79"/>
    <n v="256927354.15000001"/>
    <n v="1143031.8799999999"/>
    <n v="3.4990524079866601E-2"/>
    <n v="1.5566767755622099E-4"/>
    <n v="34.780200000000001"/>
    <n v="0.18659999999999999"/>
    <n v="4.1123124381280398E-3"/>
    <n v="849025545.72000003"/>
    <n v="1143031.8799999999"/>
    <n v="0.1244"/>
    <x v="1"/>
  </r>
  <r>
    <x v="8"/>
    <x v="21"/>
    <n v="33186"/>
    <n v="7073056405.8999996"/>
    <n v="146225708.41999999"/>
    <n v="600270.37"/>
    <n v="2.06736239651681E-2"/>
    <n v="8.4867182665089894E-5"/>
    <n v="22.173100000000002"/>
    <n v="0.1017"/>
    <n v="5.0680743447907902E-3"/>
    <n v="995251254.13999999"/>
    <n v="1743302.25"/>
    <n v="0.14580000000000001"/>
    <x v="2"/>
  </r>
  <r>
    <x v="8"/>
    <x v="22"/>
    <n v="32636"/>
    <n v="6913666895.29"/>
    <n v="134198992.48"/>
    <n v="631441.91"/>
    <n v="1.9410682422582998E-2"/>
    <n v="9.1332417306679202E-5"/>
    <n v="20.960100000000001"/>
    <n v="0.1095"/>
    <n v="3.77482947982053E-3"/>
    <n v="1129450246.6199999"/>
    <n v="2374744.16"/>
    <n v="0.16550000000000001"/>
    <x v="3"/>
  </r>
  <r>
    <x v="8"/>
    <x v="23"/>
    <n v="32117"/>
    <n v="6767148341.4099998"/>
    <n v="122353726.95"/>
    <n v="927611.53"/>
    <n v="1.8080544533254E-2"/>
    <n v="1.3707569026139E-4"/>
    <n v="19.663900000000002"/>
    <n v="0.1643"/>
    <n v="4.4673961711471696E-3"/>
    <n v="1251803973.5699999"/>
    <n v="3302355.69"/>
    <n v="0.18340000000000001"/>
    <x v="4"/>
  </r>
  <r>
    <x v="8"/>
    <x v="24"/>
    <n v="31630"/>
    <n v="6632739546.4499998"/>
    <n v="0"/>
    <n v="0"/>
    <n v="0"/>
    <n v="0"/>
    <n v="0"/>
    <n v="0"/>
    <n v="5.9045563730843499E-3"/>
    <n v="1251803973.5699999"/>
    <n v="3302355.69"/>
    <n v="0.18340000000000001"/>
    <x v="4"/>
  </r>
  <r>
    <x v="9"/>
    <x v="19"/>
    <n v="121129"/>
    <n v="27594847322.099998"/>
    <n v="1636253444.21"/>
    <n v="0"/>
    <n v="5.9295615051276798E-2"/>
    <n v="0"/>
    <n v="51.978200000000001"/>
    <n v="0"/>
    <n v="1.5922864086589899E-3"/>
    <n v="1636253444.21"/>
    <n v="0"/>
    <n v="6.8699999999999997E-2"/>
    <x v="0"/>
  </r>
  <r>
    <x v="9"/>
    <x v="20"/>
    <n v="116083"/>
    <n v="25907738596.080002"/>
    <n v="1010110127.14"/>
    <n v="0"/>
    <n v="3.8988741660873301E-2"/>
    <n v="0"/>
    <n v="37.950000000000003"/>
    <n v="0"/>
    <n v="1.73183463286868E-3"/>
    <n v="2646363571.3499999"/>
    <n v="0"/>
    <n v="0.1111"/>
    <x v="0"/>
  </r>
  <r>
    <x v="9"/>
    <x v="21"/>
    <n v="112863"/>
    <n v="24847898745.950001"/>
    <n v="560718993.75"/>
    <n v="0"/>
    <n v="2.2566052746870201E-2"/>
    <n v="0"/>
    <n v="23.9587"/>
    <n v="0"/>
    <n v="3.4222049864019101E-3"/>
    <n v="3207082565.0999999"/>
    <n v="0"/>
    <n v="0.13469999999999999"/>
    <x v="0"/>
  </r>
  <r>
    <x v="9"/>
    <x v="22"/>
    <n v="110952"/>
    <n v="24235181840.02"/>
    <n v="514233892.95999998"/>
    <n v="0"/>
    <n v="2.1218487088503501E-2"/>
    <n v="0"/>
    <n v="22.691099999999999"/>
    <n v="0"/>
    <n v="2.11566290273635E-3"/>
    <n v="3721316458.0599999"/>
    <n v="0"/>
    <n v="0.15629999999999999"/>
    <x v="0"/>
  </r>
  <r>
    <x v="9"/>
    <x v="23"/>
    <n v="109136"/>
    <n v="23671232853.060001"/>
    <n v="419212565.88"/>
    <n v="551845.68999999994"/>
    <n v="1.7709790127209499E-2"/>
    <n v="2.3312925584636899E-5"/>
    <n v="19.299199999999999"/>
    <n v="2.7900000000000001E-2"/>
    <n v="2.7772949574741499E-3"/>
    <n v="4140529023.9400001"/>
    <n v="551845.68999999994"/>
    <n v="0.1739"/>
    <x v="0"/>
  </r>
  <r>
    <x v="9"/>
    <x v="24"/>
    <n v="107563"/>
    <n v="23204440894.529999"/>
    <n v="0"/>
    <n v="0"/>
    <n v="0"/>
    <n v="0"/>
    <n v="0"/>
    <n v="0"/>
    <n v="3.5491638964424998E-3"/>
    <n v="4140529023.9400001"/>
    <n v="551845.68999999994"/>
    <n v="0.1739"/>
    <x v="0"/>
  </r>
  <r>
    <x v="10"/>
    <x v="22"/>
    <n v="135794"/>
    <n v="31802513580.400002"/>
    <n v="473778644.73000002"/>
    <n v="0"/>
    <n v="1.4897521968892101E-2"/>
    <n v="0"/>
    <n v="16.482600000000001"/>
    <n v="0"/>
    <n v="5.5999090056126305E-4"/>
    <n v="473778644.73000002"/>
    <n v="0"/>
    <n v="1.43E-2"/>
    <x v="0"/>
  </r>
  <r>
    <x v="10"/>
    <x v="23"/>
    <n v="133819"/>
    <n v="31255911118.709999"/>
    <n v="281988775"/>
    <n v="0"/>
    <n v="9.0219342488211604E-3"/>
    <n v="0"/>
    <n v="10.3049"/>
    <n v="0"/>
    <n v="7.6209042857628502E-4"/>
    <n v="755767419.73000002"/>
    <n v="0"/>
    <n v="2.29E-2"/>
    <x v="0"/>
  </r>
  <r>
    <x v="10"/>
    <x v="24"/>
    <n v="132605"/>
    <n v="30902656949.099998"/>
    <n v="0"/>
    <n v="0"/>
    <n v="0"/>
    <n v="0"/>
    <n v="0"/>
    <n v="0"/>
    <n v="1.1834858248674E-3"/>
    <n v="755767419.73000002"/>
    <n v="0"/>
    <n v="2.29E-2"/>
    <x v="0"/>
  </r>
  <r>
    <x v="11"/>
    <x v="24"/>
    <n v="141967"/>
    <n v="31928168573.73"/>
    <n v="0"/>
    <n v="0"/>
    <n v="0"/>
    <n v="0"/>
    <n v="0"/>
    <n v="0"/>
    <n v="1.79269471932988E-3"/>
    <n v="447876178.38"/>
    <n v="0"/>
    <n v="1.37E-2"/>
    <x v="0"/>
  </r>
  <r>
    <x v="12"/>
    <x v="21"/>
    <n v="75508"/>
    <n v="16527604803.85"/>
    <n v="677454078.88999999"/>
    <n v="0"/>
    <n v="4.09892471976454E-2"/>
    <n v="0"/>
    <n v="39.482300000000002"/>
    <n v="0"/>
    <n v="2.03240793500672E-3"/>
    <n v="677454078.88999999"/>
    <n v="0"/>
    <n v="4.3200000000000002E-2"/>
    <x v="0"/>
  </r>
  <r>
    <x v="12"/>
    <x v="22"/>
    <n v="73077"/>
    <n v="15821156242.959999"/>
    <n v="245927412.13"/>
    <n v="0"/>
    <n v="1.55442123415873E-2"/>
    <n v="0"/>
    <n v="17.138100000000001"/>
    <n v="0"/>
    <n v="1.6889907033116099E-3"/>
    <n v="923381491.01999998"/>
    <n v="0"/>
    <n v="5.8999999999999997E-2"/>
    <x v="0"/>
  </r>
  <r>
    <x v="12"/>
    <x v="23"/>
    <n v="72137"/>
    <n v="15548062345.92"/>
    <n v="214052134.74000001"/>
    <n v="0"/>
    <n v="1.37671260879764E-2"/>
    <n v="0"/>
    <n v="15.325200000000001"/>
    <n v="0"/>
    <n v="1.94430091270715E-3"/>
    <n v="1137433625.76"/>
    <n v="0"/>
    <n v="7.2599999999999998E-2"/>
    <x v="0"/>
  </r>
  <r>
    <x v="12"/>
    <x v="24"/>
    <n v="71306"/>
    <n v="15307704367.93"/>
    <n v="0"/>
    <n v="0"/>
    <n v="0"/>
    <n v="0"/>
    <n v="0"/>
    <n v="0"/>
    <n v="2.6498330954822999E-3"/>
    <n v="1137433625.76"/>
    <n v="0"/>
    <n v="7.2599999999999998E-2"/>
    <x v="0"/>
  </r>
  <r>
    <x v="13"/>
    <x v="22"/>
    <n v="137280"/>
    <n v="30324752420.939999"/>
    <n v="333520002.19999999"/>
    <n v="0"/>
    <n v="1.09982761794848E-2"/>
    <n v="0"/>
    <n v="12.428100000000001"/>
    <n v="0"/>
    <n v="0"/>
    <n v="333520002.19999999"/>
    <n v="0"/>
    <n v="1.0699999999999999E-2"/>
    <x v="0"/>
  </r>
  <r>
    <x v="13"/>
    <x v="23"/>
    <n v="135863"/>
    <n v="29929673811.75"/>
    <n v="339697050.11000001"/>
    <n v="0"/>
    <n v="1.1349841373033499E-2"/>
    <n v="0"/>
    <n v="12.8009"/>
    <n v="0"/>
    <n v="1.0399318474289801E-3"/>
    <n v="673217052.30999994"/>
    <n v="0"/>
    <n v="2.1700000000000001E-2"/>
    <x v="0"/>
  </r>
  <r>
    <x v="13"/>
    <x v="24"/>
    <n v="134396"/>
    <n v="29531552788.639999"/>
    <n v="0"/>
    <n v="0"/>
    <n v="0"/>
    <n v="0"/>
    <n v="0"/>
    <n v="0"/>
    <n v="1.6668659441076001E-3"/>
    <n v="673217052.30999994"/>
    <n v="0"/>
    <n v="2.1700000000000001E-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37:N62" firstHeaderRow="1" firstDataRow="2" firstDataCol="1"/>
  <pivotFields count="15"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numFmtId="14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4"/>
        <item t="default"/>
      </items>
    </pivotField>
    <pivotField numFmtId="165" showAll="0"/>
    <pivotField numFmtId="165" showAll="0"/>
    <pivotField numFmtId="165" showAll="0"/>
    <pivotField numFmtId="165" showAll="0"/>
    <pivotField numFmtId="166" showAll="0"/>
    <pivotField numFmtId="166" showAll="0"/>
    <pivotField numFmtId="43" showAll="0"/>
    <pivotField numFmtId="43" showAll="0"/>
    <pivotField numFmtId="10" showAll="0"/>
    <pivotField numFmtId="165" showAll="0"/>
    <pivotField numFmtId="165" showAll="0"/>
    <pivotField dataField="1" numFmtId="10" showAll="0"/>
    <pivotField numFmtId="10"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</colItems>
  <dataFields count="1">
    <dataField name="Sum of cum_pp_pct" fld="13" baseField="0" baseItem="0" numFmtId="9"/>
  </dataFields>
  <formats count="6">
    <format dxfId="37">
      <pivotArea outline="0" collapsedLevelsAreSubtotals="1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type="all" dataOnly="0" outline="0" fieldPosition="0"/>
    </format>
    <format dxfId="33">
      <pivotArea type="all" dataOnly="0" outline="0" fieldPosition="0"/>
    </format>
    <format dxfId="30">
      <pivotArea type="all" dataOnly="0" outline="0" fieldPosition="0"/>
    </format>
  </formats>
  <conditionalFormats count="2">
    <conditionalFormat priority="1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0" count="1" selected="0">
              <x v="0"/>
            </reference>
          </references>
        </pivotArea>
      </pivotAreas>
    </conditionalFormat>
    <conditionalFormat priority="4">
      <pivotAreas count="12">
        <pivotArea type="data" outline="0" collapsedLevelsAreSubtotals="1" fieldPosition="0">
          <references count="2">
            <reference field="4294967294" count="1" selected="0">
              <x v="0"/>
            </reference>
            <reference field="0" count="1" selected="0">
              <x v="1"/>
            </reference>
          </references>
        </pivotArea>
        <pivotArea type="data" outline="0" collapsedLevelsAreSubtotals="1" fieldPosition="0">
          <references count="2">
            <reference field="4294967294" count="1" selected="0">
              <x v="0"/>
            </reference>
            <reference field="0" count="1" selected="0">
              <x v="2"/>
            </reference>
          </references>
        </pivotArea>
        <pivotArea type="data" outline="0" collapsedLevelsAreSubtotals="1" fieldPosition="0">
          <references count="2">
            <reference field="4294967294" count="1" selected="0">
              <x v="0"/>
            </reference>
            <reference field="0" count="1" selected="0">
              <x v="3"/>
            </reference>
          </references>
        </pivotArea>
        <pivotArea type="data" outline="0" collapsedLevelsAreSubtotals="1" fieldPosition="0">
          <references count="2">
            <reference field="4294967294" count="1" selected="0">
              <x v="0"/>
            </reference>
            <reference field="0" count="1" selected="0">
              <x v="4"/>
            </reference>
          </references>
        </pivotArea>
        <pivotArea type="data" outline="0" collapsedLevelsAreSubtotals="1" fieldPosition="0">
          <references count="2">
            <reference field="4294967294" count="1" selected="0">
              <x v="0"/>
            </reference>
            <reference field="0" count="1" selected="0">
              <x v="5"/>
            </reference>
          </references>
        </pivotArea>
        <pivotArea type="data" outline="0" collapsedLevelsAreSubtotals="1" fieldPosition="0">
          <references count="2">
            <reference field="4294967294" count="1" selected="0">
              <x v="0"/>
            </reference>
            <reference field="0" count="1" selected="0">
              <x v="6"/>
            </reference>
          </references>
        </pivotArea>
        <pivotArea type="data" outline="0" collapsedLevelsAreSubtotals="1" fieldPosition="0">
          <references count="2">
            <reference field="4294967294" count="1" selected="0">
              <x v="0"/>
            </reference>
            <reference field="0" count="1" selected="0">
              <x v="7"/>
            </reference>
          </references>
        </pivotArea>
        <pivotArea type="data" outline="0" collapsedLevelsAreSubtotals="1" fieldPosition="0">
          <references count="2">
            <reference field="4294967294" count="1" selected="0">
              <x v="0"/>
            </reference>
            <reference field="0" count="1" selected="0">
              <x v="8"/>
            </reference>
          </references>
        </pivotArea>
        <pivotArea type="data" outline="0" collapsedLevelsAreSubtotals="1" fieldPosition="0">
          <references count="2">
            <reference field="4294967294" count="1" selected="0">
              <x v="0"/>
            </reference>
            <reference field="0" count="1" selected="0">
              <x v="9"/>
            </reference>
          </references>
        </pivotArea>
        <pivotArea type="data" outline="0" collapsedLevelsAreSubtotals="1" fieldPosition="0">
          <references count="2">
            <reference field="4294967294" count="1" selected="0">
              <x v="0"/>
            </reference>
            <reference field="0" count="1" selected="0">
              <x v="10"/>
            </reference>
          </references>
        </pivotArea>
        <pivotArea type="data" outline="0" collapsedLevelsAreSubtotals="1" fieldPosition="0">
          <references count="2">
            <reference field="4294967294" count="1" selected="0">
              <x v="0"/>
            </reference>
            <reference field="0" count="1" selected="0">
              <x v="12"/>
            </reference>
          </references>
        </pivotArea>
        <pivotArea type="data" outline="0" collapsedLevelsAreSubtotals="1" fieldPosition="0">
          <references count="2">
            <reference field="4294967294" count="1" selected="0">
              <x v="0"/>
            </reference>
            <reference field="0" count="1" selected="0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3:N28" firstHeaderRow="1" firstDataRow="2" firstDataCol="1"/>
  <pivotFields count="15"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numFmtId="14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4"/>
        <item t="default"/>
      </items>
    </pivotField>
    <pivotField numFmtId="165" showAll="0"/>
    <pivotField numFmtId="165" showAll="0"/>
    <pivotField numFmtId="165" showAll="0"/>
    <pivotField numFmtId="165" showAll="0"/>
    <pivotField numFmtId="166" showAll="0"/>
    <pivotField numFmtId="166" showAll="0"/>
    <pivotField dataField="1" numFmtId="43" showAll="0"/>
    <pivotField numFmtId="43" showAll="0"/>
    <pivotField numFmtId="10" showAll="0"/>
    <pivotField numFmtId="165" showAll="0"/>
    <pivotField numFmtId="165" showAll="0"/>
    <pivotField numFmtId="10" showAll="0"/>
    <pivotField numFmtId="10"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</colItems>
  <dataFields count="1">
    <dataField name="Sum of CPR" fld="8" baseField="0" baseItem="0" numFmtId="169"/>
  </dataFields>
  <formats count="2">
    <format dxfId="32">
      <pivotArea outline="0" collapsedLevelsAreSubtotals="1" fieldPosition="0"/>
    </format>
    <format dxfId="31">
      <pivotArea type="all" dataOnly="0" outline="0" fieldPosition="0"/>
    </format>
  </format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5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Q33:AD58" firstHeaderRow="1" firstDataRow="2" firstDataCol="1"/>
  <pivotFields count="15"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numFmtId="14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4"/>
        <item t="default"/>
      </items>
    </pivotField>
    <pivotField numFmtId="165" showAll="0"/>
    <pivotField numFmtId="165" showAll="0"/>
    <pivotField numFmtId="165" showAll="0"/>
    <pivotField numFmtId="165" showAll="0"/>
    <pivotField numFmtId="166" showAll="0"/>
    <pivotField numFmtId="166" showAll="0"/>
    <pivotField numFmtId="43" showAll="0"/>
    <pivotField numFmtId="43" showAll="0"/>
    <pivotField dataField="1" numFmtId="10" showAll="0"/>
    <pivotField numFmtId="165" showAll="0"/>
    <pivotField numFmtId="165" showAll="0"/>
    <pivotField numFmtId="10" showAll="0"/>
    <pivotField numFmtId="10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</colItems>
  <dataFields count="1">
    <dataField name="Sum of pct_dq" fld="10" baseField="0" baseItem="0"/>
  </dataFields>
  <formats count="8">
    <format dxfId="26">
      <pivotArea outline="0" collapsedLevelsAreSubtotals="1" fieldPosition="0"/>
    </format>
    <format dxfId="15">
      <pivotArea type="all" dataOnly="0" outline="0" fieldPosition="0"/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0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</reference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0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</reference>
        </references>
      </pivotArea>
    </format>
    <format dxfId="4">
      <pivotArea type="all" dataOnly="0" outline="0" fieldPosition="0"/>
    </format>
    <format dxfId="3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5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A33:N58" firstHeaderRow="1" firstDataRow="2" firstDataCol="1"/>
  <pivotFields count="15"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numFmtId="14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4"/>
        <item t="default"/>
      </items>
    </pivotField>
    <pivotField numFmtId="165" showAll="0"/>
    <pivotField numFmtId="165" showAll="0"/>
    <pivotField numFmtId="165" showAll="0"/>
    <pivotField numFmtId="165" showAll="0"/>
    <pivotField numFmtId="166" showAll="0"/>
    <pivotField numFmtId="166" showAll="0"/>
    <pivotField numFmtId="43" showAll="0"/>
    <pivotField numFmtId="43" showAll="0"/>
    <pivotField numFmtId="10" showAll="0"/>
    <pivotField numFmtId="165" showAll="0"/>
    <pivotField numFmtId="165" showAll="0"/>
    <pivotField numFmtId="10" showAll="0"/>
    <pivotField dataField="1" numFmtId="10"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</colItems>
  <dataFields count="1">
    <dataField name="Sum of cum_df_pct" fld="14" baseField="0" baseItem="0" numFmtId="10"/>
  </dataFields>
  <formats count="6">
    <format dxfId="27">
      <pivotArea outline="0" collapsedLevelsAreSubtotals="1" fieldPosition="0"/>
    </format>
    <format dxfId="14">
      <pivotArea type="all" dataOnly="0" outline="0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0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</reference>
        </references>
      </pivotArea>
    </format>
    <format dxfId="9">
      <pivotArea type="all" dataOnly="0" outline="0" fieldPosition="0"/>
    </format>
    <format dxfId="2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5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Q3:AD28" firstHeaderRow="1" firstDataRow="2" firstDataCol="1"/>
  <pivotFields count="15"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numFmtId="14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4"/>
        <item t="default"/>
      </items>
    </pivotField>
    <pivotField numFmtId="165" showAll="0"/>
    <pivotField numFmtId="165" showAll="0"/>
    <pivotField numFmtId="165" showAll="0"/>
    <pivotField numFmtId="165" showAll="0"/>
    <pivotField numFmtId="166" showAll="0"/>
    <pivotField numFmtId="166" showAll="0"/>
    <pivotField numFmtId="43" showAll="0"/>
    <pivotField dataField="1" numFmtId="43" showAll="0"/>
    <pivotField numFmtId="10" showAll="0"/>
    <pivotField numFmtId="165" showAll="0"/>
    <pivotField numFmtId="165" showAll="0"/>
    <pivotField numFmtId="10" showAll="0"/>
    <pivotField numFmtId="10"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</colItems>
  <dataFields count="1">
    <dataField name="CDR %" fld="9" baseField="0" baseItem="0" numFmtId="2"/>
  </dataFields>
  <formats count="6">
    <format dxfId="28">
      <pivotArea outline="0" collapsedLevelsAreSubtotals="1" fieldPosition="0"/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0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</reference>
        </references>
      </pivotArea>
    </format>
    <format dxfId="17">
      <pivotArea type="all" dataOnly="0" outline="0" fieldPosition="0"/>
    </format>
    <format dxfId="13">
      <pivotArea type="all" dataOnly="0" outline="0" fieldPosition="0"/>
    </format>
    <format dxfId="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5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A3:N28" firstHeaderRow="1" firstDataRow="2" firstDataCol="1"/>
  <pivotFields count="15"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numFmtId="14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4"/>
        <item t="default"/>
      </items>
    </pivotField>
    <pivotField numFmtId="165" showAll="0"/>
    <pivotField numFmtId="165" showAll="0"/>
    <pivotField numFmtId="165" showAll="0"/>
    <pivotField numFmtId="165" showAll="0"/>
    <pivotField numFmtId="166" showAll="0"/>
    <pivotField numFmtId="166" showAll="0"/>
    <pivotField dataField="1" numFmtId="43" showAll="0"/>
    <pivotField numFmtId="43" showAll="0"/>
    <pivotField numFmtId="10" showAll="0"/>
    <pivotField numFmtId="165" showAll="0"/>
    <pivotField numFmtId="165" showAll="0"/>
    <pivotField numFmtId="10" showAll="0"/>
    <pivotField numFmtId="10"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</colItems>
  <dataFields count="1">
    <dataField name="Sum of CPR" fld="8" baseField="0" baseItem="0" numFmtId="169"/>
  </dataFields>
  <formats count="10">
    <format dxfId="29">
      <pivotArea outline="0" collapsedLevelsAreSubtotals="1" fieldPosition="0"/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0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</reference>
        </references>
      </pivotArea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0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</reference>
        </references>
      </pivotArea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0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</reference>
        </references>
      </pivotArea>
    </format>
    <format dxfId="16">
      <pivotArea type="all" dataOnly="0" outline="0" fieldPosition="0"/>
    </format>
    <format dxfId="12">
      <pivotArea type="all" dataOnly="0" outline="0" fieldPosition="0"/>
    </format>
    <format dxfId="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N63"/>
  <sheetViews>
    <sheetView zoomScaleNormal="100" workbookViewId="0">
      <selection activeCell="P47" sqref="P47"/>
    </sheetView>
  </sheetViews>
  <sheetFormatPr defaultRowHeight="15" x14ac:dyDescent="0.25"/>
  <cols>
    <col min="1" max="1" width="13.140625" customWidth="1"/>
    <col min="2" max="14" width="10.7109375" customWidth="1"/>
    <col min="15" max="15" width="11.28515625" customWidth="1"/>
    <col min="16" max="16" width="23.5703125" customWidth="1"/>
    <col min="17" max="17" width="18.5703125" customWidth="1"/>
    <col min="18" max="18" width="23.5703125" bestFit="1" customWidth="1"/>
    <col min="19" max="19" width="18.5703125" customWidth="1"/>
    <col min="20" max="20" width="23.5703125" bestFit="1" customWidth="1"/>
    <col min="21" max="21" width="18.5703125" customWidth="1"/>
    <col min="22" max="22" width="23.5703125" bestFit="1" customWidth="1"/>
    <col min="23" max="23" width="18.5703125" customWidth="1"/>
    <col min="24" max="24" width="23.5703125" bestFit="1" customWidth="1"/>
    <col min="25" max="25" width="18.5703125" customWidth="1"/>
    <col min="26" max="26" width="23.5703125" bestFit="1" customWidth="1"/>
    <col min="27" max="27" width="18.5703125" customWidth="1"/>
    <col min="28" max="28" width="28.5703125" bestFit="1" customWidth="1"/>
    <col min="29" max="29" width="23.5703125" customWidth="1"/>
  </cols>
  <sheetData>
    <row r="2" spans="1:14" x14ac:dyDescent="0.25">
      <c r="A2" t="s">
        <v>19</v>
      </c>
    </row>
    <row r="3" spans="1:14" x14ac:dyDescent="0.25">
      <c r="A3" s="18" t="s">
        <v>59</v>
      </c>
      <c r="B3" s="18" t="s">
        <v>58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 x14ac:dyDescent="0.25">
      <c r="A4" s="13" t="s">
        <v>57</v>
      </c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  <c r="G4" s="14" t="s">
        <v>6</v>
      </c>
      <c r="H4" s="14" t="s">
        <v>7</v>
      </c>
      <c r="I4" s="14" t="s">
        <v>8</v>
      </c>
      <c r="J4" s="14" t="s">
        <v>9</v>
      </c>
      <c r="K4" s="14" t="s">
        <v>10</v>
      </c>
      <c r="L4" s="14" t="s">
        <v>11</v>
      </c>
      <c r="M4" s="14" t="s">
        <v>13</v>
      </c>
      <c r="N4" s="14" t="s">
        <v>14</v>
      </c>
    </row>
    <row r="5" spans="1:14" x14ac:dyDescent="0.25">
      <c r="A5" s="15">
        <v>41426</v>
      </c>
      <c r="B5" s="20">
        <v>7.1894999999999998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x14ac:dyDescent="0.25">
      <c r="A6" s="15">
        <v>41456</v>
      </c>
      <c r="B6" s="20">
        <v>5.2968000000000002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1:14" x14ac:dyDescent="0.25">
      <c r="A7" s="15">
        <v>41487</v>
      </c>
      <c r="B7" s="20">
        <v>3.7195999999999998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 x14ac:dyDescent="0.25">
      <c r="A8" s="15">
        <v>41518</v>
      </c>
      <c r="B8" s="20">
        <v>3.9026999999999998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 x14ac:dyDescent="0.25">
      <c r="A9" s="15">
        <v>41548</v>
      </c>
      <c r="B9" s="20">
        <v>3.5990000000000002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x14ac:dyDescent="0.25">
      <c r="A10" s="15">
        <v>41579</v>
      </c>
      <c r="B10" s="20">
        <v>3.7277999999999998</v>
      </c>
      <c r="C10" s="20">
        <v>8.3688000000000002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x14ac:dyDescent="0.25">
      <c r="A11" s="15">
        <v>41609</v>
      </c>
      <c r="B11" s="20">
        <v>3.1396999999999999</v>
      </c>
      <c r="C11" s="20">
        <v>2.5486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 x14ac:dyDescent="0.25">
      <c r="A12" s="15">
        <v>41640</v>
      </c>
      <c r="B12" s="20">
        <v>2.976</v>
      </c>
      <c r="C12" s="20">
        <v>2.6267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x14ac:dyDescent="0.25">
      <c r="A13" s="15">
        <v>41671</v>
      </c>
      <c r="B13" s="20">
        <v>3.8313999999999999</v>
      </c>
      <c r="C13" s="20">
        <v>3.6274999999999999</v>
      </c>
      <c r="D13" s="20">
        <v>7.4269999999999996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 x14ac:dyDescent="0.25">
      <c r="A14" s="15">
        <v>41699</v>
      </c>
      <c r="B14" s="20">
        <v>3.9773000000000001</v>
      </c>
      <c r="C14" s="20">
        <v>3.9352999999999998</v>
      </c>
      <c r="D14" s="20">
        <v>3.8881000000000001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4" x14ac:dyDescent="0.25">
      <c r="A15" s="15">
        <v>41730</v>
      </c>
      <c r="B15" s="20">
        <v>5.8136999999999999</v>
      </c>
      <c r="C15" s="20">
        <v>5.2506000000000004</v>
      </c>
      <c r="D15" s="20">
        <v>4.7267999999999999</v>
      </c>
      <c r="E15" s="20">
        <v>14.718299999999999</v>
      </c>
      <c r="F15" s="20"/>
      <c r="G15" s="20"/>
      <c r="H15" s="20"/>
      <c r="I15" s="20"/>
      <c r="J15" s="20"/>
      <c r="K15" s="20"/>
      <c r="L15" s="20"/>
      <c r="M15" s="20"/>
      <c r="N15" s="20"/>
    </row>
    <row r="16" spans="1:14" x14ac:dyDescent="0.25">
      <c r="A16" s="15">
        <v>41760</v>
      </c>
      <c r="B16" s="20">
        <v>7.3971999999999998</v>
      </c>
      <c r="C16" s="20">
        <v>5.7789000000000001</v>
      </c>
      <c r="D16" s="20">
        <v>5.5388000000000002</v>
      </c>
      <c r="E16" s="20">
        <v>8.6524000000000001</v>
      </c>
      <c r="F16" s="20"/>
      <c r="G16" s="20"/>
      <c r="H16" s="20"/>
      <c r="I16" s="20"/>
      <c r="J16" s="20"/>
      <c r="K16" s="20"/>
      <c r="L16" s="20"/>
      <c r="M16" s="20"/>
      <c r="N16" s="20"/>
    </row>
    <row r="17" spans="1:14" x14ac:dyDescent="0.25">
      <c r="A17" s="15">
        <v>41791</v>
      </c>
      <c r="B17" s="20">
        <v>6.9165999999999999</v>
      </c>
      <c r="C17" s="20">
        <v>5.8940999999999999</v>
      </c>
      <c r="D17" s="20">
        <v>5.3395999999999999</v>
      </c>
      <c r="E17" s="20">
        <v>8.5411999999999999</v>
      </c>
      <c r="F17" s="20"/>
      <c r="G17" s="20"/>
      <c r="H17" s="20"/>
      <c r="I17" s="20"/>
      <c r="J17" s="20"/>
      <c r="K17" s="20"/>
      <c r="L17" s="20"/>
      <c r="M17" s="20"/>
      <c r="N17" s="20"/>
    </row>
    <row r="18" spans="1:14" x14ac:dyDescent="0.25">
      <c r="A18" s="15">
        <v>41821</v>
      </c>
      <c r="B18" s="20">
        <v>6.4720000000000004</v>
      </c>
      <c r="C18" s="20">
        <v>5.4923000000000002</v>
      </c>
      <c r="D18" s="20">
        <v>4.8250000000000002</v>
      </c>
      <c r="E18" s="20">
        <v>7.7906000000000004</v>
      </c>
      <c r="F18" s="20"/>
      <c r="G18" s="20"/>
      <c r="H18" s="20"/>
      <c r="I18" s="20"/>
      <c r="J18" s="20"/>
      <c r="K18" s="20"/>
      <c r="L18" s="20"/>
      <c r="M18" s="20"/>
      <c r="N18" s="20"/>
    </row>
    <row r="19" spans="1:14" x14ac:dyDescent="0.25">
      <c r="A19" s="15">
        <v>41852</v>
      </c>
      <c r="B19" s="20">
        <v>5.0166000000000004</v>
      </c>
      <c r="C19" s="20">
        <v>4.6874000000000002</v>
      </c>
      <c r="D19" s="20">
        <v>4.5701999999999998</v>
      </c>
      <c r="E19" s="20">
        <v>7.0224000000000002</v>
      </c>
      <c r="F19" s="20">
        <v>34.337400000000002</v>
      </c>
      <c r="G19" s="20"/>
      <c r="H19" s="20">
        <v>26.836099999999998</v>
      </c>
      <c r="I19" s="20"/>
      <c r="J19" s="20"/>
      <c r="K19" s="20"/>
      <c r="L19" s="20"/>
      <c r="M19" s="20"/>
      <c r="N19" s="20"/>
    </row>
    <row r="20" spans="1:14" x14ac:dyDescent="0.25">
      <c r="A20" s="15">
        <v>41883</v>
      </c>
      <c r="B20" s="20">
        <v>6.4724000000000004</v>
      </c>
      <c r="C20" s="20">
        <v>5.3079999999999998</v>
      </c>
      <c r="D20" s="20">
        <v>5.1115000000000004</v>
      </c>
      <c r="E20" s="20">
        <v>7.5042999999999997</v>
      </c>
      <c r="F20" s="20">
        <v>13.198499999999999</v>
      </c>
      <c r="G20" s="20">
        <v>13.3165</v>
      </c>
      <c r="H20" s="20">
        <v>11.3437</v>
      </c>
      <c r="I20" s="20">
        <v>17.9786</v>
      </c>
      <c r="J20" s="20">
        <v>7.9057000000000004</v>
      </c>
      <c r="K20" s="20"/>
      <c r="L20" s="20"/>
      <c r="M20" s="20"/>
      <c r="N20" s="20"/>
    </row>
    <row r="21" spans="1:14" x14ac:dyDescent="0.25">
      <c r="A21" s="15">
        <v>41913</v>
      </c>
      <c r="B21" s="20">
        <v>5.2816000000000001</v>
      </c>
      <c r="C21" s="20">
        <v>4.5232999999999999</v>
      </c>
      <c r="D21" s="20">
        <v>4.7755000000000001</v>
      </c>
      <c r="E21" s="20">
        <v>10.3561</v>
      </c>
      <c r="F21" s="20">
        <v>22.500599999999999</v>
      </c>
      <c r="G21" s="20">
        <v>22.260400000000001</v>
      </c>
      <c r="H21" s="20">
        <v>17.6995</v>
      </c>
      <c r="I21" s="20">
        <v>7.1130000000000004</v>
      </c>
      <c r="J21" s="20">
        <v>16.529800000000002</v>
      </c>
      <c r="K21" s="20"/>
      <c r="L21" s="20"/>
      <c r="M21" s="20"/>
      <c r="N21" s="20"/>
    </row>
    <row r="22" spans="1:14" x14ac:dyDescent="0.25">
      <c r="A22" s="15">
        <v>41944</v>
      </c>
      <c r="B22" s="20">
        <v>6.0025000000000004</v>
      </c>
      <c r="C22" s="20">
        <v>5.1199000000000003</v>
      </c>
      <c r="D22" s="20">
        <v>5.1914999999999996</v>
      </c>
      <c r="E22" s="20">
        <v>11.3248</v>
      </c>
      <c r="F22" s="20">
        <v>22.5213</v>
      </c>
      <c r="G22" s="20">
        <v>21.629799999999999</v>
      </c>
      <c r="H22" s="20">
        <v>18.272500000000001</v>
      </c>
      <c r="I22" s="20">
        <v>7.6486000000000001</v>
      </c>
      <c r="J22" s="20">
        <v>14.737299999999999</v>
      </c>
      <c r="K22" s="20"/>
      <c r="L22" s="20"/>
      <c r="M22" s="20"/>
      <c r="N22" s="20"/>
    </row>
    <row r="23" spans="1:14" x14ac:dyDescent="0.25">
      <c r="A23" s="15">
        <v>41974</v>
      </c>
      <c r="B23" s="20">
        <v>5.2076000000000002</v>
      </c>
      <c r="C23" s="20">
        <v>3.7650000000000001</v>
      </c>
      <c r="D23" s="20">
        <v>4.2118000000000002</v>
      </c>
      <c r="E23" s="20">
        <v>9.6349999999999998</v>
      </c>
      <c r="F23" s="20">
        <v>19.411799999999999</v>
      </c>
      <c r="G23" s="20">
        <v>21.002500000000001</v>
      </c>
      <c r="H23" s="20">
        <v>15.596500000000001</v>
      </c>
      <c r="I23" s="20">
        <v>6.3979999999999997</v>
      </c>
      <c r="J23" s="20">
        <v>15.9307</v>
      </c>
      <c r="K23" s="20"/>
      <c r="L23" s="20"/>
      <c r="M23" s="20"/>
      <c r="N23" s="20"/>
    </row>
    <row r="24" spans="1:14" x14ac:dyDescent="0.25">
      <c r="A24" s="15">
        <v>42005</v>
      </c>
      <c r="B24" s="20">
        <v>7.9896000000000003</v>
      </c>
      <c r="C24" s="20">
        <v>4.7008000000000001</v>
      </c>
      <c r="D24" s="20">
        <v>5.9295999999999998</v>
      </c>
      <c r="E24" s="20">
        <v>17.597200000000001</v>
      </c>
      <c r="F24" s="20">
        <v>37.158299999999997</v>
      </c>
      <c r="G24" s="20">
        <v>35.541899999999998</v>
      </c>
      <c r="H24" s="20">
        <v>30.398</v>
      </c>
      <c r="I24" s="20">
        <v>11.402200000000001</v>
      </c>
      <c r="J24" s="20">
        <v>28.165900000000001</v>
      </c>
      <c r="K24" s="20">
        <v>51.978200000000001</v>
      </c>
      <c r="L24" s="20"/>
      <c r="M24" s="20"/>
      <c r="N24" s="20"/>
    </row>
    <row r="25" spans="1:14" x14ac:dyDescent="0.25">
      <c r="A25" s="15">
        <v>42036</v>
      </c>
      <c r="B25" s="20">
        <v>11.042299999999999</v>
      </c>
      <c r="C25" s="20">
        <v>7.3334999999999999</v>
      </c>
      <c r="D25" s="20">
        <v>7.6299000000000001</v>
      </c>
      <c r="E25" s="20">
        <v>19.887699999999999</v>
      </c>
      <c r="F25" s="20">
        <v>38.846600000000002</v>
      </c>
      <c r="G25" s="20">
        <v>41.523499999999999</v>
      </c>
      <c r="H25" s="20">
        <v>33.429000000000002</v>
      </c>
      <c r="I25" s="20">
        <v>14.1052</v>
      </c>
      <c r="J25" s="20">
        <v>34.780200000000001</v>
      </c>
      <c r="K25" s="20">
        <v>37.950000000000003</v>
      </c>
      <c r="L25" s="20"/>
      <c r="M25" s="20"/>
      <c r="N25" s="20"/>
    </row>
    <row r="26" spans="1:14" x14ac:dyDescent="0.25">
      <c r="A26" s="15">
        <v>42064</v>
      </c>
      <c r="B26" s="20">
        <v>9.9810999999999996</v>
      </c>
      <c r="C26" s="20">
        <v>7.4539999999999997</v>
      </c>
      <c r="D26" s="20">
        <v>8.0511999999999997</v>
      </c>
      <c r="E26" s="20">
        <v>13.9582</v>
      </c>
      <c r="F26" s="20">
        <v>27.4253</v>
      </c>
      <c r="G26" s="20">
        <v>27.0959</v>
      </c>
      <c r="H26" s="20">
        <v>22.344000000000001</v>
      </c>
      <c r="I26" s="20">
        <v>12.1469</v>
      </c>
      <c r="J26" s="20">
        <v>22.173100000000002</v>
      </c>
      <c r="K26" s="20">
        <v>23.9587</v>
      </c>
      <c r="L26" s="20"/>
      <c r="M26" s="20">
        <v>39.482300000000002</v>
      </c>
      <c r="N26" s="20"/>
    </row>
    <row r="27" spans="1:14" x14ac:dyDescent="0.25">
      <c r="A27" s="15">
        <v>42095</v>
      </c>
      <c r="B27" s="20">
        <v>9.9797999999999991</v>
      </c>
      <c r="C27" s="20">
        <v>8.0878999999999994</v>
      </c>
      <c r="D27" s="20">
        <v>9.2845999999999993</v>
      </c>
      <c r="E27" s="20">
        <v>13.7494</v>
      </c>
      <c r="F27" s="20">
        <v>24.923400000000001</v>
      </c>
      <c r="G27" s="20">
        <v>23.529800000000002</v>
      </c>
      <c r="H27" s="20">
        <v>21.953800000000001</v>
      </c>
      <c r="I27" s="20">
        <v>12.386200000000001</v>
      </c>
      <c r="J27" s="20">
        <v>20.960100000000001</v>
      </c>
      <c r="K27" s="20">
        <v>22.691099999999999</v>
      </c>
      <c r="L27" s="20">
        <v>16.482600000000001</v>
      </c>
      <c r="M27" s="20">
        <v>17.138100000000001</v>
      </c>
      <c r="N27" s="20">
        <v>12.428100000000001</v>
      </c>
    </row>
    <row r="28" spans="1:14" x14ac:dyDescent="0.25">
      <c r="A28" s="21">
        <v>42125</v>
      </c>
      <c r="B28" s="22">
        <v>11.419499999999999</v>
      </c>
      <c r="C28" s="22">
        <v>9.1</v>
      </c>
      <c r="D28" s="22">
        <v>9.7987000000000002</v>
      </c>
      <c r="E28" s="22">
        <v>13.478199999999999</v>
      </c>
      <c r="F28" s="22">
        <v>21.3535</v>
      </c>
      <c r="G28" s="22">
        <v>22.621600000000001</v>
      </c>
      <c r="H28" s="22">
        <v>21.616299999999999</v>
      </c>
      <c r="I28" s="22">
        <v>12.855</v>
      </c>
      <c r="J28" s="22">
        <v>19.663900000000002</v>
      </c>
      <c r="K28" s="22">
        <v>19.299199999999999</v>
      </c>
      <c r="L28" s="22">
        <v>10.3049</v>
      </c>
      <c r="M28" s="22">
        <v>15.325200000000001</v>
      </c>
      <c r="N28" s="22">
        <v>12.8009</v>
      </c>
    </row>
    <row r="29" spans="1:14" hidden="1" x14ac:dyDescent="0.25">
      <c r="B29" s="17">
        <v>50</v>
      </c>
      <c r="C29" s="17">
        <v>50</v>
      </c>
      <c r="D29" s="17">
        <v>50</v>
      </c>
      <c r="E29" s="17">
        <v>50</v>
      </c>
      <c r="F29" s="17">
        <v>50</v>
      </c>
      <c r="G29" s="17">
        <v>50</v>
      </c>
      <c r="H29" s="17">
        <v>50</v>
      </c>
      <c r="I29" s="17">
        <v>50</v>
      </c>
      <c r="J29" s="17">
        <v>50</v>
      </c>
      <c r="K29" s="17">
        <v>50</v>
      </c>
      <c r="L29" s="17">
        <v>50</v>
      </c>
      <c r="M29" s="17">
        <v>50</v>
      </c>
      <c r="N29" s="17">
        <v>50</v>
      </c>
    </row>
    <row r="36" spans="1:14" x14ac:dyDescent="0.25">
      <c r="A36" t="s">
        <v>61</v>
      </c>
    </row>
    <row r="37" spans="1:14" x14ac:dyDescent="0.25">
      <c r="A37" s="18" t="s">
        <v>60</v>
      </c>
      <c r="B37" s="18" t="s">
        <v>58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r="38" spans="1:14" x14ac:dyDescent="0.25">
      <c r="A38" s="13" t="s">
        <v>57</v>
      </c>
      <c r="B38" s="14" t="s">
        <v>1</v>
      </c>
      <c r="C38" s="14" t="s">
        <v>2</v>
      </c>
      <c r="D38" s="14" t="s">
        <v>3</v>
      </c>
      <c r="E38" s="14" t="s">
        <v>4</v>
      </c>
      <c r="F38" s="14" t="s">
        <v>5</v>
      </c>
      <c r="G38" s="14" t="s">
        <v>6</v>
      </c>
      <c r="H38" s="14" t="s">
        <v>7</v>
      </c>
      <c r="I38" s="14" t="s">
        <v>8</v>
      </c>
      <c r="J38" s="14" t="s">
        <v>9</v>
      </c>
      <c r="K38" s="14" t="s">
        <v>10</v>
      </c>
      <c r="L38" s="14" t="s">
        <v>11</v>
      </c>
      <c r="M38" s="14" t="s">
        <v>13</v>
      </c>
      <c r="N38" s="14" t="s">
        <v>14</v>
      </c>
    </row>
    <row r="39" spans="1:14" x14ac:dyDescent="0.25">
      <c r="A39" s="15">
        <v>41426</v>
      </c>
      <c r="B39" s="16">
        <v>6.8999999999999999E-3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x14ac:dyDescent="0.25">
      <c r="A40" s="15">
        <v>41456</v>
      </c>
      <c r="B40" s="16">
        <v>1.1900000000000001E-2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x14ac:dyDescent="0.25">
      <c r="A41" s="15">
        <v>41487</v>
      </c>
      <c r="B41" s="16">
        <v>1.5299999999999999E-2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x14ac:dyDescent="0.25">
      <c r="A42" s="15">
        <v>41518</v>
      </c>
      <c r="B42" s="16">
        <v>1.9E-2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x14ac:dyDescent="0.25">
      <c r="A43" s="15">
        <v>41548</v>
      </c>
      <c r="B43" s="16">
        <v>2.23E-2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x14ac:dyDescent="0.25">
      <c r="A44" s="15">
        <v>41579</v>
      </c>
      <c r="B44" s="16">
        <v>2.5700000000000001E-2</v>
      </c>
      <c r="C44" s="16">
        <v>7.7000000000000002E-3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x14ac:dyDescent="0.25">
      <c r="A45" s="15">
        <v>41609</v>
      </c>
      <c r="B45" s="16">
        <v>2.8500000000000001E-2</v>
      </c>
      <c r="C45" s="16">
        <v>0.01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x14ac:dyDescent="0.25">
      <c r="A46" s="15">
        <v>41640</v>
      </c>
      <c r="B46" s="16">
        <v>3.1199999999999999E-2</v>
      </c>
      <c r="C46" s="16">
        <v>1.24E-2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x14ac:dyDescent="0.25">
      <c r="A47" s="15">
        <v>41671</v>
      </c>
      <c r="B47" s="16">
        <v>3.4700000000000002E-2</v>
      </c>
      <c r="C47" s="16">
        <v>1.5599999999999999E-2</v>
      </c>
      <c r="D47" s="16">
        <v>6.7999999999999996E-3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x14ac:dyDescent="0.25">
      <c r="A48" s="15">
        <v>41699</v>
      </c>
      <c r="B48" s="16">
        <v>3.8300000000000001E-2</v>
      </c>
      <c r="C48" s="16">
        <v>1.9099999999999999E-2</v>
      </c>
      <c r="D48" s="16">
        <v>1.03E-2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x14ac:dyDescent="0.25">
      <c r="A49" s="15">
        <v>41730</v>
      </c>
      <c r="B49" s="16">
        <v>4.3499999999999997E-2</v>
      </c>
      <c r="C49" s="16">
        <v>2.3800000000000002E-2</v>
      </c>
      <c r="D49" s="16">
        <v>1.4500000000000001E-2</v>
      </c>
      <c r="E49" s="16">
        <v>1.4999999999999999E-2</v>
      </c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25">
      <c r="A50" s="15">
        <v>41760</v>
      </c>
      <c r="B50" s="16">
        <v>5.0200000000000002E-2</v>
      </c>
      <c r="C50" s="16">
        <v>2.9000000000000001E-2</v>
      </c>
      <c r="D50" s="16">
        <v>1.95E-2</v>
      </c>
      <c r="E50" s="16">
        <v>2.3400000000000001E-2</v>
      </c>
      <c r="F50" s="16"/>
      <c r="G50" s="16"/>
      <c r="H50" s="16"/>
      <c r="I50" s="16"/>
      <c r="J50" s="16"/>
      <c r="K50" s="16"/>
      <c r="L50" s="16"/>
      <c r="M50" s="16"/>
      <c r="N50" s="16"/>
    </row>
    <row r="51" spans="1:14" x14ac:dyDescent="0.25">
      <c r="A51" s="15">
        <v>41791</v>
      </c>
      <c r="B51" s="16">
        <v>5.6399999999999999E-2</v>
      </c>
      <c r="C51" s="16">
        <v>3.4200000000000001E-2</v>
      </c>
      <c r="D51" s="16">
        <v>2.4199999999999999E-2</v>
      </c>
      <c r="E51" s="16">
        <v>3.1600000000000003E-2</v>
      </c>
      <c r="F51" s="16"/>
      <c r="G51" s="16"/>
      <c r="H51" s="16"/>
      <c r="I51" s="16"/>
      <c r="J51" s="16"/>
      <c r="K51" s="16"/>
      <c r="L51" s="16"/>
      <c r="M51" s="16"/>
      <c r="N51" s="16"/>
    </row>
    <row r="52" spans="1:14" x14ac:dyDescent="0.25">
      <c r="A52" s="15">
        <v>41821</v>
      </c>
      <c r="B52" s="16">
        <v>6.2100000000000002E-2</v>
      </c>
      <c r="C52" s="16">
        <v>3.9E-2</v>
      </c>
      <c r="D52" s="16">
        <v>2.8500000000000001E-2</v>
      </c>
      <c r="E52" s="16">
        <v>3.9100000000000003E-2</v>
      </c>
      <c r="F52" s="16"/>
      <c r="G52" s="16"/>
      <c r="H52" s="16"/>
      <c r="I52" s="16"/>
      <c r="J52" s="16"/>
      <c r="K52" s="16"/>
      <c r="L52" s="16"/>
      <c r="M52" s="16"/>
      <c r="N52" s="16"/>
    </row>
    <row r="53" spans="1:14" x14ac:dyDescent="0.25">
      <c r="A53" s="15">
        <v>41852</v>
      </c>
      <c r="B53" s="16">
        <v>6.6500000000000004E-2</v>
      </c>
      <c r="C53" s="16">
        <v>4.2999999999999997E-2</v>
      </c>
      <c r="D53" s="16">
        <v>3.2500000000000001E-2</v>
      </c>
      <c r="E53" s="16">
        <v>4.5699999999999998E-2</v>
      </c>
      <c r="F53" s="16">
        <v>4.3799999999999999E-2</v>
      </c>
      <c r="G53" s="16"/>
      <c r="H53" s="16">
        <v>3.1199999999999999E-2</v>
      </c>
      <c r="I53" s="16"/>
      <c r="J53" s="16"/>
      <c r="K53" s="16"/>
      <c r="L53" s="16"/>
      <c r="M53" s="16"/>
      <c r="N53" s="16"/>
    </row>
    <row r="54" spans="1:14" x14ac:dyDescent="0.25">
      <c r="A54" s="15">
        <v>41883</v>
      </c>
      <c r="B54" s="16">
        <v>7.2099999999999997E-2</v>
      </c>
      <c r="C54" s="16">
        <v>4.7600000000000003E-2</v>
      </c>
      <c r="D54" s="16">
        <v>3.6900000000000002E-2</v>
      </c>
      <c r="E54" s="16">
        <v>5.2699999999999997E-2</v>
      </c>
      <c r="F54" s="16">
        <v>5.8099999999999999E-2</v>
      </c>
      <c r="G54" s="16">
        <v>1.46E-2</v>
      </c>
      <c r="H54" s="16">
        <v>4.2999999999999997E-2</v>
      </c>
      <c r="I54" s="16">
        <v>1.7299999999999999E-2</v>
      </c>
      <c r="J54" s="16">
        <v>8.0000000000000002E-3</v>
      </c>
      <c r="K54" s="16"/>
      <c r="L54" s="16"/>
      <c r="M54" s="16"/>
      <c r="N54" s="16"/>
    </row>
    <row r="55" spans="1:14" x14ac:dyDescent="0.25">
      <c r="A55" s="15">
        <v>41913</v>
      </c>
      <c r="B55" s="16">
        <v>7.6600000000000001E-2</v>
      </c>
      <c r="C55" s="16">
        <v>5.1499999999999997E-2</v>
      </c>
      <c r="D55" s="16">
        <v>4.1000000000000002E-2</v>
      </c>
      <c r="E55" s="16">
        <v>6.2399999999999997E-2</v>
      </c>
      <c r="F55" s="16">
        <v>8.3599999999999994E-2</v>
      </c>
      <c r="G55" s="16">
        <v>3.9800000000000002E-2</v>
      </c>
      <c r="H55" s="16">
        <v>6.1800000000000001E-2</v>
      </c>
      <c r="I55" s="16">
        <v>2.3699999999999999E-2</v>
      </c>
      <c r="J55" s="16">
        <v>2.53E-2</v>
      </c>
      <c r="K55" s="16"/>
      <c r="L55" s="16"/>
      <c r="M55" s="16"/>
      <c r="N55" s="16"/>
    </row>
    <row r="56" spans="1:14" x14ac:dyDescent="0.25">
      <c r="A56" s="15">
        <v>41944</v>
      </c>
      <c r="B56" s="16">
        <v>8.1799999999999998E-2</v>
      </c>
      <c r="C56" s="16">
        <v>5.5800000000000002E-2</v>
      </c>
      <c r="D56" s="16">
        <v>4.5499999999999999E-2</v>
      </c>
      <c r="E56" s="16">
        <v>7.2999999999999995E-2</v>
      </c>
      <c r="F56" s="16">
        <v>0.1084</v>
      </c>
      <c r="G56" s="16">
        <v>6.3700000000000007E-2</v>
      </c>
      <c r="H56" s="16">
        <v>8.09E-2</v>
      </c>
      <c r="I56" s="16">
        <v>3.0599999999999999E-2</v>
      </c>
      <c r="J56" s="16">
        <v>4.0399999999999998E-2</v>
      </c>
      <c r="K56" s="16"/>
      <c r="L56" s="16"/>
      <c r="M56" s="16"/>
      <c r="N56" s="16"/>
    </row>
    <row r="57" spans="1:14" x14ac:dyDescent="0.25">
      <c r="A57" s="15">
        <v>41974</v>
      </c>
      <c r="B57" s="16">
        <v>8.6199999999999999E-2</v>
      </c>
      <c r="C57" s="16">
        <v>5.8999999999999997E-2</v>
      </c>
      <c r="D57" s="16">
        <v>4.9099999999999998E-2</v>
      </c>
      <c r="E57" s="16">
        <v>8.1799999999999998E-2</v>
      </c>
      <c r="F57" s="16">
        <v>0.129</v>
      </c>
      <c r="G57" s="16">
        <v>8.6300000000000002E-2</v>
      </c>
      <c r="H57" s="16">
        <v>9.6699999999999994E-2</v>
      </c>
      <c r="I57" s="16">
        <v>3.6200000000000003E-2</v>
      </c>
      <c r="J57" s="16">
        <v>5.6599999999999998E-2</v>
      </c>
      <c r="K57" s="16"/>
      <c r="L57" s="16"/>
      <c r="M57" s="16"/>
      <c r="N57" s="16"/>
    </row>
    <row r="58" spans="1:14" x14ac:dyDescent="0.25">
      <c r="A58" s="15">
        <v>42005</v>
      </c>
      <c r="B58" s="16">
        <v>9.2999999999999999E-2</v>
      </c>
      <c r="C58" s="16">
        <v>6.2899999999999998E-2</v>
      </c>
      <c r="D58" s="16">
        <v>5.4100000000000002E-2</v>
      </c>
      <c r="E58" s="16">
        <v>9.8400000000000001E-2</v>
      </c>
      <c r="F58" s="16">
        <v>0.17199999999999999</v>
      </c>
      <c r="G58" s="16">
        <v>0.12720000000000001</v>
      </c>
      <c r="H58" s="16">
        <v>0.12970000000000001</v>
      </c>
      <c r="I58" s="16">
        <v>4.6399999999999997E-2</v>
      </c>
      <c r="J58" s="16">
        <v>8.6699999999999999E-2</v>
      </c>
      <c r="K58" s="16">
        <v>6.8699999999999997E-2</v>
      </c>
      <c r="L58" s="16"/>
      <c r="M58" s="16"/>
      <c r="N58" s="16"/>
    </row>
    <row r="59" spans="1:14" x14ac:dyDescent="0.25">
      <c r="A59" s="15">
        <v>42036</v>
      </c>
      <c r="B59" s="16">
        <v>0.1024</v>
      </c>
      <c r="C59" s="16">
        <v>6.9099999999999995E-2</v>
      </c>
      <c r="D59" s="16">
        <v>6.0600000000000001E-2</v>
      </c>
      <c r="E59" s="16">
        <v>0.1171</v>
      </c>
      <c r="F59" s="16">
        <v>0.21560000000000001</v>
      </c>
      <c r="G59" s="16">
        <v>0.17510000000000001</v>
      </c>
      <c r="H59" s="16">
        <v>0.16539999999999999</v>
      </c>
      <c r="I59" s="16">
        <v>5.91E-2</v>
      </c>
      <c r="J59" s="16">
        <v>0.1244</v>
      </c>
      <c r="K59" s="16">
        <v>0.1111</v>
      </c>
      <c r="L59" s="16"/>
      <c r="M59" s="16"/>
      <c r="N59" s="16"/>
    </row>
    <row r="60" spans="1:14" x14ac:dyDescent="0.25">
      <c r="A60" s="15">
        <v>42064</v>
      </c>
      <c r="B60" s="16">
        <v>0.1109</v>
      </c>
      <c r="C60" s="16">
        <v>7.5300000000000006E-2</v>
      </c>
      <c r="D60" s="16">
        <v>6.7500000000000004E-2</v>
      </c>
      <c r="E60" s="16">
        <v>0.1295</v>
      </c>
      <c r="F60" s="16">
        <v>0.24299999999999999</v>
      </c>
      <c r="G60" s="16">
        <v>0.20230000000000001</v>
      </c>
      <c r="H60" s="16">
        <v>0.187</v>
      </c>
      <c r="I60" s="16">
        <v>6.9699999999999998E-2</v>
      </c>
      <c r="J60" s="16">
        <v>0.14580000000000001</v>
      </c>
      <c r="K60" s="16">
        <v>0.13469999999999999</v>
      </c>
      <c r="L60" s="16"/>
      <c r="M60" s="16">
        <v>4.3200000000000002E-2</v>
      </c>
      <c r="N60" s="16"/>
    </row>
    <row r="61" spans="1:14" x14ac:dyDescent="0.25">
      <c r="A61" s="15">
        <v>42095</v>
      </c>
      <c r="B61" s="16">
        <v>0.1192</v>
      </c>
      <c r="C61" s="16">
        <v>8.2100000000000006E-2</v>
      </c>
      <c r="D61" s="16">
        <v>7.5300000000000006E-2</v>
      </c>
      <c r="E61" s="16">
        <v>0.14149999999999999</v>
      </c>
      <c r="F61" s="16">
        <v>0.26690000000000003</v>
      </c>
      <c r="G61" s="16">
        <v>0.22470000000000001</v>
      </c>
      <c r="H61" s="16">
        <v>0.2077</v>
      </c>
      <c r="I61" s="16">
        <v>8.0500000000000002E-2</v>
      </c>
      <c r="J61" s="16">
        <v>0.16550000000000001</v>
      </c>
      <c r="K61" s="16">
        <v>0.15629999999999999</v>
      </c>
      <c r="L61" s="16">
        <v>1.43E-2</v>
      </c>
      <c r="M61" s="16">
        <v>5.8999999999999997E-2</v>
      </c>
      <c r="N61" s="16">
        <v>1.0699999999999999E-2</v>
      </c>
    </row>
    <row r="62" spans="1:14" x14ac:dyDescent="0.25">
      <c r="A62" s="21">
        <v>42125</v>
      </c>
      <c r="B62" s="30">
        <v>0.12859999999999999</v>
      </c>
      <c r="C62" s="30">
        <v>8.9599999999999999E-2</v>
      </c>
      <c r="D62" s="30">
        <v>8.3500000000000005E-2</v>
      </c>
      <c r="E62" s="30">
        <v>0.1532</v>
      </c>
      <c r="F62" s="30">
        <v>0.28639999999999999</v>
      </c>
      <c r="G62" s="30">
        <v>0.2457</v>
      </c>
      <c r="H62" s="30">
        <v>0.2276</v>
      </c>
      <c r="I62" s="30">
        <v>9.1499999999999998E-2</v>
      </c>
      <c r="J62" s="30">
        <v>0.18340000000000001</v>
      </c>
      <c r="K62" s="30">
        <v>0.1739</v>
      </c>
      <c r="L62" s="30">
        <v>2.29E-2</v>
      </c>
      <c r="M62" s="30">
        <v>7.2599999999999998E-2</v>
      </c>
      <c r="N62" s="30">
        <v>2.1700000000000001E-2</v>
      </c>
    </row>
    <row r="63" spans="1:14" hidden="1" x14ac:dyDescent="0.25">
      <c r="B63" s="11">
        <v>1</v>
      </c>
      <c r="C63" s="11">
        <v>1</v>
      </c>
      <c r="D63" s="11">
        <v>1</v>
      </c>
      <c r="E63" s="11">
        <v>1</v>
      </c>
      <c r="F63" s="11">
        <v>1</v>
      </c>
      <c r="G63" s="11">
        <v>1</v>
      </c>
      <c r="H63" s="11">
        <v>1</v>
      </c>
      <c r="I63" s="11">
        <v>1</v>
      </c>
      <c r="J63" s="11">
        <v>1</v>
      </c>
      <c r="K63" s="11">
        <v>1</v>
      </c>
      <c r="L63" s="11">
        <v>1</v>
      </c>
      <c r="M63" s="11">
        <v>1</v>
      </c>
      <c r="N63" s="11">
        <v>1</v>
      </c>
    </row>
  </sheetData>
  <conditionalFormatting pivot="1" sqref="B39:B6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{ECEE983F-F06A-442E-9D00-596D332A2ED0}</x14:id>
        </ext>
      </extLst>
    </cfRule>
  </conditionalFormatting>
  <conditionalFormatting sqref="B39:B6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{EC6F111B-4D91-4A37-A087-4E77A32DF752}</x14:id>
        </ext>
      </extLst>
    </cfRule>
  </conditionalFormatting>
  <conditionalFormatting pivot="1" sqref="C39:C62 D39:D62 E39:E62 F39:F62 G39:G62 H39:H62 I39:I62 J39:J62 K39:K62 L39:L62 M39:M62 N39:N6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{1C490575-39E9-443A-9852-D0F02D6500C4}</x14:id>
        </ext>
      </extLst>
    </cfRule>
  </conditionalFormatting>
  <conditionalFormatting sqref="C39:N6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{FCAD8390-14F4-4445-9D3B-1C1BA8153247}</x14:id>
        </ext>
      </extLst>
    </cfRule>
  </conditionalFormatting>
  <conditionalFormatting sqref="B5:B2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{A9755367-2524-488D-A3C5-BCE2B18C56DF}</x14:id>
        </ext>
      </extLst>
    </cfRule>
  </conditionalFormatting>
  <conditionalFormatting sqref="C5:N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{75429D6C-89AC-446C-9B1B-FD65914C086B}</x14:id>
        </ext>
      </extLst>
    </cfRule>
  </conditionalFormatting>
  <pageMargins left="0.7" right="0.7" top="0.75" bottom="0.75" header="0.3" footer="0.3"/>
  <pageSetup scale="55" orientation="portrait" r:id="rId3"/>
  <colBreaks count="1" manualBreakCount="1">
    <brk id="15" max="64" man="1"/>
  </colBreaks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CEE983F-F06A-442E-9D00-596D332A2E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B39:B62</xm:sqref>
        </x14:conditionalFormatting>
        <x14:conditionalFormatting xmlns:xm="http://schemas.microsoft.com/office/excel/2006/main">
          <x14:cfRule type="dataBar" id="{EC6F111B-4D91-4A37-A087-4E77A32DF7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B39:B63</xm:sqref>
        </x14:conditionalFormatting>
        <x14:conditionalFormatting xmlns:xm="http://schemas.microsoft.com/office/excel/2006/main" pivot="1">
          <x14:cfRule type="dataBar" id="{1C490575-39E9-443A-9852-D0F02D6500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C39:C62 D39:D62 E39:E62 F39:F62 G39:G62 H39:H62 I39:I62 J39:J62 K39:K62 L39:L62 M39:M62 N39:N62</xm:sqref>
        </x14:conditionalFormatting>
        <x14:conditionalFormatting xmlns:xm="http://schemas.microsoft.com/office/excel/2006/main">
          <x14:cfRule type="dataBar" id="{FCAD8390-14F4-4445-9D3B-1C1BA81532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C39:N63</xm:sqref>
        </x14:conditionalFormatting>
        <x14:conditionalFormatting xmlns:xm="http://schemas.microsoft.com/office/excel/2006/main">
          <x14:cfRule type="dataBar" id="{A9755367-2524-488D-A3C5-BCE2B18C56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B5:B29</xm:sqref>
        </x14:conditionalFormatting>
        <x14:conditionalFormatting xmlns:xm="http://schemas.microsoft.com/office/excel/2006/main">
          <x14:cfRule type="dataBar" id="{75429D6C-89AC-446C-9B1B-FD65914C08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C5:N29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C15"/>
  <sheetViews>
    <sheetView tabSelected="1" workbookViewId="0">
      <selection sqref="A1:XFD15"/>
    </sheetView>
  </sheetViews>
  <sheetFormatPr defaultRowHeight="15" x14ac:dyDescent="0.25"/>
  <cols>
    <col min="1" max="1" width="11.140625" bestFit="1" customWidth="1"/>
    <col min="2" max="2" width="17.5703125" style="3" bestFit="1" customWidth="1"/>
    <col min="3" max="4" width="18" style="3" bestFit="1" customWidth="1"/>
    <col min="5" max="5" width="14.140625" style="3" bestFit="1" customWidth="1"/>
    <col min="6" max="6" width="18.85546875" style="4" bestFit="1" customWidth="1"/>
    <col min="7" max="7" width="22" style="4" bestFit="1" customWidth="1"/>
    <col min="8" max="8" width="13.42578125" style="2" bestFit="1" customWidth="1"/>
    <col min="9" max="9" width="14.5703125" style="2" bestFit="1" customWidth="1"/>
    <col min="10" max="10" width="16.42578125" style="2" bestFit="1" customWidth="1"/>
    <col min="11" max="11" width="13" style="2" bestFit="1" customWidth="1"/>
    <col min="12" max="12" width="14.42578125" style="2" bestFit="1" customWidth="1"/>
    <col min="13" max="13" width="18.140625" style="3" bestFit="1" customWidth="1"/>
    <col min="14" max="15" width="12.140625" style="6" bestFit="1" customWidth="1"/>
    <col min="16" max="16" width="23.7109375" style="6" bestFit="1" customWidth="1"/>
    <col min="17" max="17" width="23" style="6" bestFit="1" customWidth="1"/>
    <col min="18" max="18" width="18.140625" style="6" bestFit="1" customWidth="1"/>
    <col min="19" max="20" width="12.140625" style="6" bestFit="1" customWidth="1"/>
    <col min="21" max="21" width="12.85546875" style="6" bestFit="1" customWidth="1"/>
    <col min="22" max="23" width="12.140625" style="6" bestFit="1" customWidth="1"/>
    <col min="24" max="24" width="14.85546875" style="6" bestFit="1" customWidth="1"/>
    <col min="25" max="26" width="12.140625" style="6" bestFit="1" customWidth="1"/>
    <col min="27" max="27" width="12.7109375" style="6" bestFit="1" customWidth="1"/>
    <col min="28" max="28" width="12.140625" style="6" bestFit="1" customWidth="1"/>
    <col min="29" max="29" width="13" style="6" bestFit="1" customWidth="1"/>
  </cols>
  <sheetData>
    <row r="1" spans="1:29" x14ac:dyDescent="0.25">
      <c r="A1" t="s">
        <v>0</v>
      </c>
      <c r="B1" s="3" t="s">
        <v>26</v>
      </c>
      <c r="C1" s="3" t="s">
        <v>27</v>
      </c>
      <c r="D1" s="3" t="s">
        <v>28</v>
      </c>
      <c r="E1" s="3" t="s">
        <v>29</v>
      </c>
      <c r="F1" s="4" t="s">
        <v>30</v>
      </c>
      <c r="G1" s="4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3" t="s">
        <v>37</v>
      </c>
      <c r="N1" s="6" t="s">
        <v>38</v>
      </c>
      <c r="O1" s="6" t="s">
        <v>39</v>
      </c>
      <c r="P1" s="6" t="s">
        <v>40</v>
      </c>
      <c r="Q1" s="6" t="s">
        <v>41</v>
      </c>
      <c r="R1" s="6" t="s">
        <v>42</v>
      </c>
      <c r="S1" s="6" t="s">
        <v>43</v>
      </c>
      <c r="T1" s="6" t="s">
        <v>44</v>
      </c>
      <c r="U1" s="6" t="s">
        <v>45</v>
      </c>
      <c r="V1" s="6" t="s">
        <v>46</v>
      </c>
      <c r="W1" s="6" t="s">
        <v>47</v>
      </c>
      <c r="X1" s="6" t="s">
        <v>48</v>
      </c>
      <c r="Y1" s="6" t="s">
        <v>49</v>
      </c>
      <c r="Z1" s="6" t="s">
        <v>50</v>
      </c>
      <c r="AA1" s="6" t="s">
        <v>51</v>
      </c>
      <c r="AB1" s="6" t="s">
        <v>52</v>
      </c>
      <c r="AC1" s="6" t="s">
        <v>53</v>
      </c>
    </row>
    <row r="2" spans="1:29" x14ac:dyDescent="0.25">
      <c r="A2" t="s">
        <v>1</v>
      </c>
      <c r="B2" s="3">
        <v>84793</v>
      </c>
      <c r="C2" s="3">
        <v>18844871637.860001</v>
      </c>
      <c r="D2" s="3">
        <v>20248789000</v>
      </c>
      <c r="E2" s="3">
        <v>34.160833355208403</v>
      </c>
      <c r="F2" s="4">
        <v>3.8292562292607899</v>
      </c>
      <c r="G2" s="4">
        <v>3.8292601897346499</v>
      </c>
      <c r="H2" s="2">
        <v>74.826692598709997</v>
      </c>
      <c r="I2" s="2">
        <v>75.582367490546403</v>
      </c>
      <c r="J2" s="2">
        <v>60.618714100668697</v>
      </c>
      <c r="K2" s="2">
        <v>32.199716089737002</v>
      </c>
      <c r="L2" s="2">
        <v>766.69279975411803</v>
      </c>
      <c r="M2" s="3">
        <v>306098.61692109698</v>
      </c>
      <c r="N2" s="6">
        <v>0</v>
      </c>
      <c r="O2" s="6">
        <v>7.0286712970702506E-2</v>
      </c>
      <c r="P2" s="6">
        <v>0.105014142542322</v>
      </c>
      <c r="Q2" s="6">
        <v>0.63129471675833404</v>
      </c>
      <c r="R2" s="6">
        <v>2.3630007779695698E-2</v>
      </c>
      <c r="S2" s="6">
        <v>0.71571042737819401</v>
      </c>
      <c r="T2" s="6">
        <v>0.89395305003696202</v>
      </c>
      <c r="U2" s="6">
        <v>0.40084822924629898</v>
      </c>
      <c r="V2" s="6">
        <v>0.140747616088893</v>
      </c>
      <c r="W2" s="6">
        <v>0.99739476567293905</v>
      </c>
      <c r="X2" s="6">
        <v>2.6052343270604001E-3</v>
      </c>
      <c r="Y2" s="6">
        <v>0.97746113060718898</v>
      </c>
      <c r="Z2" s="6">
        <v>1.99336350657498E-2</v>
      </c>
      <c r="AA2" s="6">
        <v>2.33150770004339E-3</v>
      </c>
      <c r="AB2" s="6">
        <v>2.7372662701701298E-4</v>
      </c>
      <c r="AC2" s="6">
        <v>1.06326131507019E-4</v>
      </c>
    </row>
    <row r="3" spans="1:29" x14ac:dyDescent="0.25">
      <c r="A3" t="s">
        <v>2</v>
      </c>
      <c r="B3" s="3">
        <v>132693</v>
      </c>
      <c r="C3" s="3">
        <v>30868963894.860001</v>
      </c>
      <c r="D3" s="3">
        <v>32744707000</v>
      </c>
      <c r="E3" s="3">
        <v>28.388378680159501</v>
      </c>
      <c r="F3" s="4">
        <v>3.5940966808970498</v>
      </c>
      <c r="G3" s="4">
        <v>3.59411456185369</v>
      </c>
      <c r="H3" s="2">
        <v>74.283992916362394</v>
      </c>
      <c r="I3" s="2">
        <v>75.279818992311107</v>
      </c>
      <c r="J3" s="2">
        <v>61.599118717611702</v>
      </c>
      <c r="K3" s="2">
        <v>32.138041426937498</v>
      </c>
      <c r="L3" s="2">
        <v>764.25690807350702</v>
      </c>
      <c r="M3" s="3">
        <v>313353.88862311898</v>
      </c>
      <c r="N3" s="6">
        <v>0</v>
      </c>
      <c r="O3" s="6">
        <v>9.3519772610854895E-2</v>
      </c>
      <c r="P3" s="6">
        <v>7.4736240114756297E-2</v>
      </c>
      <c r="Q3" s="6">
        <v>0.60931048166284096</v>
      </c>
      <c r="R3" s="6">
        <v>2.8841972311168099E-2</v>
      </c>
      <c r="S3" s="6">
        <v>0.67373260854385097</v>
      </c>
      <c r="T3" s="6">
        <v>0.88653955961789799</v>
      </c>
      <c r="U3" s="6">
        <v>0.26778516042439598</v>
      </c>
      <c r="V3" s="6">
        <v>0.122149590301858</v>
      </c>
      <c r="W3" s="6">
        <v>0.99676694991869697</v>
      </c>
      <c r="X3" s="6">
        <v>3.2330500813024599E-3</v>
      </c>
      <c r="Y3" s="6">
        <v>0.97970960481915303</v>
      </c>
      <c r="Z3" s="6">
        <v>1.7057345099544201E-2</v>
      </c>
      <c r="AA3" s="6">
        <v>2.9992835054440002E-3</v>
      </c>
      <c r="AB3" s="6">
        <v>2.3376657585846399E-4</v>
      </c>
      <c r="AC3" s="6">
        <v>1.14430765218789E-4</v>
      </c>
    </row>
    <row r="4" spans="1:29" x14ac:dyDescent="0.25">
      <c r="A4" t="s">
        <v>3</v>
      </c>
      <c r="B4" s="3">
        <v>128194</v>
      </c>
      <c r="C4" s="3">
        <v>28730000635.919998</v>
      </c>
      <c r="D4" s="3">
        <v>30261960000</v>
      </c>
      <c r="E4" s="3">
        <v>25.215118808229001</v>
      </c>
      <c r="F4" s="4">
        <v>3.7159873508281001</v>
      </c>
      <c r="G4" s="4">
        <v>3.71599278627968</v>
      </c>
      <c r="H4" s="2">
        <v>74.8308152396678</v>
      </c>
      <c r="I4" s="2">
        <v>75.722337139684299</v>
      </c>
      <c r="J4" s="2">
        <v>63.536959983013503</v>
      </c>
      <c r="K4" s="2">
        <v>32.835626074592703</v>
      </c>
      <c r="L4" s="2">
        <v>761.35779383455997</v>
      </c>
      <c r="M4" s="3">
        <v>302441.392871955</v>
      </c>
      <c r="N4" s="6">
        <v>0</v>
      </c>
      <c r="O4" s="6">
        <v>8.0487457430783699E-2</v>
      </c>
      <c r="P4" s="6">
        <v>0.112468208129454</v>
      </c>
      <c r="Q4" s="6">
        <v>0.58662336641470403</v>
      </c>
      <c r="R4" s="6">
        <v>3.2283576632099797E-2</v>
      </c>
      <c r="S4" s="6">
        <v>0.657221934105096</v>
      </c>
      <c r="T4" s="6">
        <v>0.85746265877035599</v>
      </c>
      <c r="U4" s="6">
        <v>0.407853972339279</v>
      </c>
      <c r="V4" s="6">
        <v>0.12274786113477799</v>
      </c>
      <c r="W4" s="6">
        <v>0.99716946758858305</v>
      </c>
      <c r="X4" s="6">
        <v>2.8305324114169098E-3</v>
      </c>
      <c r="Y4" s="6">
        <v>0.98149129867803797</v>
      </c>
      <c r="Z4" s="6">
        <v>1.5678168910544299E-2</v>
      </c>
      <c r="AA4" s="6">
        <v>2.6510414515889202E-3</v>
      </c>
      <c r="AB4" s="6">
        <v>1.7949095982798801E-4</v>
      </c>
      <c r="AC4" s="6">
        <v>8.4162055568383701E-5</v>
      </c>
    </row>
    <row r="5" spans="1:29" x14ac:dyDescent="0.25">
      <c r="A5" t="s">
        <v>4</v>
      </c>
      <c r="B5" s="3">
        <v>102690</v>
      </c>
      <c r="C5" s="3">
        <v>23516001945.110001</v>
      </c>
      <c r="D5" s="3">
        <v>24605428000</v>
      </c>
      <c r="E5" s="3">
        <v>22.542349212856799</v>
      </c>
      <c r="F5" s="4">
        <v>3.9738534854824601</v>
      </c>
      <c r="G5" s="4">
        <v>3.9738622374935502</v>
      </c>
      <c r="H5" s="2">
        <v>75.281709742869197</v>
      </c>
      <c r="I5" s="2">
        <v>76.339009535012707</v>
      </c>
      <c r="J5" s="2">
        <v>65.853191465945997</v>
      </c>
      <c r="K5" s="2">
        <v>33.067403096573102</v>
      </c>
      <c r="L5" s="2">
        <v>760.03980686218995</v>
      </c>
      <c r="M5" s="3">
        <v>303628.014954363</v>
      </c>
      <c r="N5" s="6">
        <v>0</v>
      </c>
      <c r="O5" s="6">
        <v>9.0462926605275398E-2</v>
      </c>
      <c r="P5" s="6">
        <v>0.15007943610303501</v>
      </c>
      <c r="Q5" s="6">
        <v>0.58850832344431703</v>
      </c>
      <c r="R5" s="6">
        <v>2.9315808846637401E-2</v>
      </c>
      <c r="S5" s="6">
        <v>0.636897315309774</v>
      </c>
      <c r="T5" s="6">
        <v>0.87896531170546699</v>
      </c>
      <c r="U5" s="6">
        <v>0.51999656120851701</v>
      </c>
      <c r="V5" s="6">
        <v>9.9023718611497405E-2</v>
      </c>
      <c r="W5" s="6">
        <v>0.99657111943568399</v>
      </c>
      <c r="X5" s="6">
        <v>3.4288805643157899E-3</v>
      </c>
      <c r="Y5" s="6">
        <v>0.98145424869508102</v>
      </c>
      <c r="Z5" s="6">
        <v>1.5116870740603101E-2</v>
      </c>
      <c r="AA5" s="6">
        <v>3.12590570121489E-3</v>
      </c>
      <c r="AB5" s="6">
        <v>3.0297486310089101E-4</v>
      </c>
      <c r="AC5" s="6">
        <v>7.4070098908211795E-5</v>
      </c>
    </row>
    <row r="6" spans="1:29" x14ac:dyDescent="0.25">
      <c r="A6" t="s">
        <v>5</v>
      </c>
      <c r="B6" s="3">
        <v>71708</v>
      </c>
      <c r="C6" s="3">
        <v>14903591509.59</v>
      </c>
      <c r="D6" s="3">
        <v>15465048000</v>
      </c>
      <c r="E6" s="3">
        <v>19.160845104267398</v>
      </c>
      <c r="F6" s="4">
        <v>4.5363102345626301</v>
      </c>
      <c r="G6" s="4">
        <v>4.5363102345626301</v>
      </c>
      <c r="H6" s="2">
        <v>75.917112759675703</v>
      </c>
      <c r="I6" s="2">
        <v>76.686157591043695</v>
      </c>
      <c r="J6" s="2">
        <v>68.293092302147201</v>
      </c>
      <c r="K6" s="2">
        <v>34.478418486754101</v>
      </c>
      <c r="L6" s="2">
        <v>753.80486724772595</v>
      </c>
      <c r="M6" s="3">
        <v>280501.71368464403</v>
      </c>
      <c r="N6" s="6">
        <v>0</v>
      </c>
      <c r="O6" s="6">
        <v>6.2884593991115206E-2</v>
      </c>
      <c r="P6" s="6">
        <v>0.18928094221817501</v>
      </c>
      <c r="Q6" s="6">
        <v>0.55742381848390699</v>
      </c>
      <c r="R6" s="6">
        <v>3.4989357507178798E-2</v>
      </c>
      <c r="S6" s="6">
        <v>0.63150636996685305</v>
      </c>
      <c r="T6" s="6">
        <v>0.85486638953582605</v>
      </c>
      <c r="U6" s="6">
        <v>0.636277261282161</v>
      </c>
      <c r="V6" s="6">
        <v>0.12366351842937</v>
      </c>
      <c r="W6" s="6">
        <v>0.99467667261485604</v>
      </c>
      <c r="X6" s="6">
        <v>5.3233273851439897E-3</v>
      </c>
      <c r="Y6" s="6">
        <v>0.97980849253575097</v>
      </c>
      <c r="Z6" s="6">
        <v>1.48681800791047E-2</v>
      </c>
      <c r="AA6" s="6">
        <v>4.7958792002590397E-3</v>
      </c>
      <c r="AB6" s="6">
        <v>5.2744818488495004E-4</v>
      </c>
      <c r="AC6" s="6">
        <v>5.6965739396017199E-5</v>
      </c>
    </row>
    <row r="7" spans="1:29" x14ac:dyDescent="0.25">
      <c r="A7" t="s">
        <v>6</v>
      </c>
      <c r="B7" s="3">
        <v>59082</v>
      </c>
      <c r="C7" s="3">
        <v>12356174994.129999</v>
      </c>
      <c r="D7" s="3">
        <v>12760098000</v>
      </c>
      <c r="E7" s="3">
        <v>16.3807543534034</v>
      </c>
      <c r="F7" s="4">
        <v>4.5668291499254297</v>
      </c>
      <c r="G7" s="4">
        <v>4.5668291499254297</v>
      </c>
      <c r="H7" s="2">
        <v>75.876078813017898</v>
      </c>
      <c r="I7" s="2">
        <v>76.700996994193105</v>
      </c>
      <c r="J7" s="2">
        <v>69.302217548040403</v>
      </c>
      <c r="K7" s="2">
        <v>34.776090603203301</v>
      </c>
      <c r="L7" s="2">
        <v>751.52818465194605</v>
      </c>
      <c r="M7" s="3">
        <v>280695.33743058302</v>
      </c>
      <c r="N7" s="6">
        <v>0</v>
      </c>
      <c r="O7" s="6">
        <v>6.7788188143006703E-2</v>
      </c>
      <c r="P7" s="6">
        <v>0.17352569864530001</v>
      </c>
      <c r="Q7" s="6">
        <v>0.54743106271183595</v>
      </c>
      <c r="R7" s="6">
        <v>3.6391874004990998E-2</v>
      </c>
      <c r="S7" s="6">
        <v>0.63295607042514701</v>
      </c>
      <c r="T7" s="6">
        <v>0.84416041759729199</v>
      </c>
      <c r="U7" s="6">
        <v>0.60963829247470003</v>
      </c>
      <c r="V7" s="6">
        <v>0.116810665398934</v>
      </c>
      <c r="W7" s="6">
        <v>0.99529690135680204</v>
      </c>
      <c r="X7" s="6">
        <v>4.7030986431971997E-3</v>
      </c>
      <c r="Y7" s="6">
        <v>0.98203506134418905</v>
      </c>
      <c r="Z7" s="6">
        <v>1.32618400126128E-2</v>
      </c>
      <c r="AA7" s="6">
        <v>4.2847106904160201E-3</v>
      </c>
      <c r="AB7" s="6">
        <v>4.1838795278117502E-4</v>
      </c>
      <c r="AC7" s="6">
        <v>0</v>
      </c>
    </row>
    <row r="8" spans="1:29" x14ac:dyDescent="0.25">
      <c r="A8" t="s">
        <v>7</v>
      </c>
      <c r="B8" s="3">
        <v>37981</v>
      </c>
      <c r="C8" s="3">
        <v>7919678628.1700001</v>
      </c>
      <c r="D8" s="3">
        <v>8182812000</v>
      </c>
      <c r="E8" s="3">
        <v>19.223525697993999</v>
      </c>
      <c r="F8" s="4">
        <v>4.5516286331051203</v>
      </c>
      <c r="G8" s="4">
        <v>4.5515971531744999</v>
      </c>
      <c r="H8" s="2">
        <v>92.314133295397895</v>
      </c>
      <c r="I8" s="2">
        <v>92.3249810488919</v>
      </c>
      <c r="J8" s="2">
        <v>83.687363108517999</v>
      </c>
      <c r="K8" s="2">
        <v>34.722093165548202</v>
      </c>
      <c r="L8" s="2">
        <v>751.27795762989103</v>
      </c>
      <c r="M8" s="3">
        <v>257728.99219422101</v>
      </c>
      <c r="N8" s="6">
        <v>0.99801637525112097</v>
      </c>
      <c r="O8" s="6">
        <v>1.68610543014995E-3</v>
      </c>
      <c r="P8" s="6">
        <v>0.39643030257093398</v>
      </c>
      <c r="Q8" s="6">
        <v>0.54258630000532304</v>
      </c>
      <c r="R8" s="6">
        <v>0</v>
      </c>
      <c r="S8" s="6">
        <v>0.60735330321117498</v>
      </c>
      <c r="T8" s="6">
        <v>0.99548008661075205</v>
      </c>
      <c r="U8" s="6">
        <v>0.90576257158019802</v>
      </c>
      <c r="V8" s="6">
        <v>7.9505437242154198E-2</v>
      </c>
      <c r="W8" s="6">
        <v>0.99383550107874996</v>
      </c>
      <c r="X8" s="6">
        <v>6.1644989212499097E-3</v>
      </c>
      <c r="Y8" s="6">
        <v>0.98018477958665995</v>
      </c>
      <c r="Z8" s="6">
        <v>1.36507214920892E-2</v>
      </c>
      <c r="AA8" s="6">
        <v>5.4569332796255299E-3</v>
      </c>
      <c r="AB8" s="6">
        <v>7.0756564162437999E-4</v>
      </c>
      <c r="AC8" s="6">
        <v>8.9954897597229494E-5</v>
      </c>
    </row>
    <row r="9" spans="1:29" x14ac:dyDescent="0.25">
      <c r="A9" t="s">
        <v>8</v>
      </c>
      <c r="B9" s="3">
        <v>135963</v>
      </c>
      <c r="C9" s="3">
        <v>29875609801.369999</v>
      </c>
      <c r="D9" s="3">
        <v>31361353000</v>
      </c>
      <c r="E9" s="3">
        <v>25.2121776592499</v>
      </c>
      <c r="F9" s="4">
        <v>3.79669684971442</v>
      </c>
      <c r="G9" s="4">
        <v>3.7966977189181401</v>
      </c>
      <c r="H9" s="2">
        <v>91.538060510031499</v>
      </c>
      <c r="I9" s="2">
        <v>91.562355822901694</v>
      </c>
      <c r="J9" s="2">
        <v>79.439633154000802</v>
      </c>
      <c r="K9" s="2">
        <v>33.148326786784601</v>
      </c>
      <c r="L9" s="2">
        <v>757.09097000118902</v>
      </c>
      <c r="M9" s="3">
        <v>274161.09979895299</v>
      </c>
      <c r="N9" s="6">
        <v>0.999304563393412</v>
      </c>
      <c r="O9" s="6">
        <v>3.9655796791323401E-3</v>
      </c>
      <c r="P9" s="6">
        <v>0.297197002461279</v>
      </c>
      <c r="Q9" s="6">
        <v>0.56621639503386001</v>
      </c>
      <c r="R9" s="6">
        <v>0</v>
      </c>
      <c r="S9" s="6">
        <v>0.62092425225440295</v>
      </c>
      <c r="T9" s="6">
        <v>0.99602556414347798</v>
      </c>
      <c r="U9" s="6">
        <v>0.71684535995606402</v>
      </c>
      <c r="V9" s="6">
        <v>7.7128833318218404E-2</v>
      </c>
      <c r="W9" s="6">
        <v>0.99623484288729502</v>
      </c>
      <c r="X9" s="6">
        <v>3.7651571127040799E-3</v>
      </c>
      <c r="Y9" s="6">
        <v>0.98681432852520601</v>
      </c>
      <c r="Z9" s="6">
        <v>9.4205143620898994E-3</v>
      </c>
      <c r="AA9" s="6">
        <v>3.2583719334001999E-3</v>
      </c>
      <c r="AB9" s="6">
        <v>5.06785179303878E-4</v>
      </c>
      <c r="AC9" s="6">
        <v>1.9732516387764699E-5</v>
      </c>
    </row>
    <row r="10" spans="1:29" x14ac:dyDescent="0.25">
      <c r="A10" t="s">
        <v>9</v>
      </c>
      <c r="B10" s="3">
        <v>31630</v>
      </c>
      <c r="C10" s="3">
        <v>6632739546.4499998</v>
      </c>
      <c r="D10" s="3">
        <v>6823093000</v>
      </c>
      <c r="E10" s="3">
        <v>16.3784791544564</v>
      </c>
      <c r="F10" s="4">
        <v>4.5605805664145196</v>
      </c>
      <c r="G10" s="4">
        <v>4.5605126292845304</v>
      </c>
      <c r="H10" s="2">
        <v>92.369456020445</v>
      </c>
      <c r="I10" s="2">
        <v>92.378822957986401</v>
      </c>
      <c r="J10" s="2">
        <v>84.837973658007897</v>
      </c>
      <c r="K10" s="2">
        <v>34.914017671663998</v>
      </c>
      <c r="L10" s="2">
        <v>748.63164981732302</v>
      </c>
      <c r="M10" s="3">
        <v>258772.95562326</v>
      </c>
      <c r="N10" s="6">
        <v>0.99787556214572803</v>
      </c>
      <c r="O10" s="6">
        <v>1.4654595860321899E-3</v>
      </c>
      <c r="P10" s="6">
        <v>0.393983315768616</v>
      </c>
      <c r="Q10" s="6">
        <v>0.53975274066446899</v>
      </c>
      <c r="R10" s="6">
        <v>0</v>
      </c>
      <c r="S10" s="6">
        <v>0.59680719831953299</v>
      </c>
      <c r="T10" s="6">
        <v>0.995109091481307</v>
      </c>
      <c r="U10" s="6">
        <v>0.89881178197035905</v>
      </c>
      <c r="V10" s="6">
        <v>8.8609534730571995E-2</v>
      </c>
      <c r="W10" s="6">
        <v>0.99409544362691504</v>
      </c>
      <c r="X10" s="6">
        <v>5.9045563730843499E-3</v>
      </c>
      <c r="Y10" s="6">
        <v>0.98336518772562698</v>
      </c>
      <c r="Z10" s="6">
        <v>1.07302559012877E-2</v>
      </c>
      <c r="AA10" s="6">
        <v>5.0841820342619696E-3</v>
      </c>
      <c r="AB10" s="6">
        <v>8.2037433882238401E-4</v>
      </c>
      <c r="AC10" s="6">
        <v>6.0388559990174699E-5</v>
      </c>
    </row>
    <row r="11" spans="1:29" x14ac:dyDescent="0.25">
      <c r="A11" t="s">
        <v>10</v>
      </c>
      <c r="B11" s="3">
        <v>107563</v>
      </c>
      <c r="C11" s="3">
        <v>23204440894.529999</v>
      </c>
      <c r="D11" s="3">
        <v>23801939000</v>
      </c>
      <c r="E11" s="3">
        <v>12.505718981802501</v>
      </c>
      <c r="F11" s="4">
        <v>4.51958030391304</v>
      </c>
      <c r="G11" s="4">
        <v>4.5195802139696903</v>
      </c>
      <c r="H11" s="2">
        <v>76.213677098987006</v>
      </c>
      <c r="I11" s="2">
        <v>77.015588711609695</v>
      </c>
      <c r="J11" s="2">
        <v>71.710370688618696</v>
      </c>
      <c r="K11" s="2">
        <v>34.480601611133302</v>
      </c>
      <c r="L11" s="2">
        <v>752.26310007983204</v>
      </c>
      <c r="M11" s="3">
        <v>284854.19919722702</v>
      </c>
      <c r="N11" s="6">
        <v>0</v>
      </c>
      <c r="O11" s="6">
        <v>6.4889682685478803E-2</v>
      </c>
      <c r="P11" s="6">
        <v>0.193494976380509</v>
      </c>
      <c r="Q11" s="6">
        <v>0.552612513181163</v>
      </c>
      <c r="R11" s="6">
        <v>3.4019637397774402E-2</v>
      </c>
      <c r="S11" s="6">
        <v>0.61989908816940498</v>
      </c>
      <c r="T11" s="6">
        <v>0.84966590518488505</v>
      </c>
      <c r="U11" s="6">
        <v>0.67181533554444794</v>
      </c>
      <c r="V11" s="6">
        <v>0.13026393858869201</v>
      </c>
      <c r="W11" s="6">
        <v>0.996450836103557</v>
      </c>
      <c r="X11" s="6">
        <v>3.5491638964424998E-3</v>
      </c>
      <c r="Y11" s="6">
        <v>0.98926828604007799</v>
      </c>
      <c r="Z11" s="6">
        <v>7.1825500634789497E-3</v>
      </c>
      <c r="AA11" s="6">
        <v>3.4281744029761099E-3</v>
      </c>
      <c r="AB11" s="6">
        <v>1.20989493466391E-4</v>
      </c>
      <c r="AC11" s="6">
        <v>0</v>
      </c>
    </row>
    <row r="12" spans="1:29" x14ac:dyDescent="0.25">
      <c r="A12" t="s">
        <v>11</v>
      </c>
      <c r="B12" s="3">
        <v>132605</v>
      </c>
      <c r="C12" s="3">
        <v>30902656949.099998</v>
      </c>
      <c r="D12" s="3">
        <v>33002088000</v>
      </c>
      <c r="E12" s="3">
        <v>31.459982571827801</v>
      </c>
      <c r="F12" s="4">
        <v>3.6653300358472798</v>
      </c>
      <c r="G12" s="4">
        <v>3.66533024624965</v>
      </c>
      <c r="H12" s="2">
        <v>74.468186906887297</v>
      </c>
      <c r="I12" s="2">
        <v>75.489855449732801</v>
      </c>
      <c r="J12" s="2">
        <v>60.817591198192297</v>
      </c>
      <c r="K12" s="2">
        <v>31.9957291431604</v>
      </c>
      <c r="L12" s="2">
        <v>766.36911300325505</v>
      </c>
      <c r="M12" s="3">
        <v>314581.67473241698</v>
      </c>
      <c r="N12" s="6">
        <v>0</v>
      </c>
      <c r="O12" s="6">
        <v>9.5284311467456306E-2</v>
      </c>
      <c r="P12" s="6">
        <v>8.1393873836251296E-2</v>
      </c>
      <c r="Q12" s="6">
        <v>0.623578599544374</v>
      </c>
      <c r="R12" s="6">
        <v>2.5401029397339899E-2</v>
      </c>
      <c r="S12" s="6">
        <v>0.70198675552012002</v>
      </c>
      <c r="T12" s="6">
        <v>0.89209194671019598</v>
      </c>
      <c r="U12" s="6">
        <v>0.30733603070614202</v>
      </c>
      <c r="V12" s="6">
        <v>0.125649778648663</v>
      </c>
      <c r="W12" s="6">
        <v>0.99881651417513195</v>
      </c>
      <c r="X12" s="6">
        <v>1.1834858248674E-3</v>
      </c>
      <c r="Y12" s="6">
        <v>0.99783014810213699</v>
      </c>
      <c r="Z12" s="6">
        <v>9.8636607299514793E-4</v>
      </c>
      <c r="AA12" s="6">
        <v>1.1292800430551999E-3</v>
      </c>
      <c r="AB12" s="6">
        <v>5.4205781812194099E-5</v>
      </c>
      <c r="AC12" s="6">
        <v>0</v>
      </c>
    </row>
    <row r="13" spans="1:29" x14ac:dyDescent="0.25">
      <c r="A13" t="s">
        <v>12</v>
      </c>
      <c r="B13" s="3">
        <v>141967</v>
      </c>
      <c r="C13" s="3">
        <v>31928168573.73</v>
      </c>
      <c r="D13" s="3">
        <v>32518882000</v>
      </c>
      <c r="E13" s="3">
        <v>8.7545979936163096</v>
      </c>
      <c r="F13" s="4">
        <v>4.37955953225784</v>
      </c>
      <c r="G13" s="4">
        <v>4.37955953225784</v>
      </c>
      <c r="H13" s="2">
        <v>75.9572137273572</v>
      </c>
      <c r="I13" s="2">
        <v>76.871091511166497</v>
      </c>
      <c r="J13" s="2">
        <v>73.487001855973404</v>
      </c>
      <c r="K13" s="2">
        <v>34.626370253664803</v>
      </c>
      <c r="L13" s="2">
        <v>751.69752539868705</v>
      </c>
      <c r="M13" s="3">
        <v>294182.62573164701</v>
      </c>
      <c r="N13" s="6">
        <v>0</v>
      </c>
      <c r="O13" s="6">
        <v>7.5041649686457199E-2</v>
      </c>
      <c r="P13" s="6">
        <v>0.17036935063997299</v>
      </c>
      <c r="Q13" s="6">
        <v>0.55562806941129494</v>
      </c>
      <c r="R13" s="6">
        <v>3.3118285136154502E-2</v>
      </c>
      <c r="S13" s="6">
        <v>0.62772848756475197</v>
      </c>
      <c r="T13" s="6">
        <v>0.85505301200809303</v>
      </c>
      <c r="U13" s="6">
        <v>0.61957617450367197</v>
      </c>
      <c r="V13" s="6">
        <v>0.121193763642733</v>
      </c>
      <c r="W13" s="6">
        <v>0.99820730528067003</v>
      </c>
      <c r="X13" s="6">
        <v>1.79269471932988E-3</v>
      </c>
      <c r="Y13" s="6">
        <v>0.99820730528067003</v>
      </c>
      <c r="Z13" s="6">
        <v>0</v>
      </c>
      <c r="AA13" s="6">
        <v>1.79269471932988E-3</v>
      </c>
      <c r="AB13" s="6">
        <v>0</v>
      </c>
      <c r="AC13" s="6">
        <v>0</v>
      </c>
    </row>
    <row r="14" spans="1:29" x14ac:dyDescent="0.25">
      <c r="A14" t="s">
        <v>13</v>
      </c>
      <c r="B14" s="3">
        <v>71306</v>
      </c>
      <c r="C14" s="3">
        <v>15307704367.93</v>
      </c>
      <c r="D14" s="3">
        <v>15648312000</v>
      </c>
      <c r="E14" s="3">
        <v>12.4578112545452</v>
      </c>
      <c r="F14" s="4">
        <v>4.5402168157034204</v>
      </c>
      <c r="G14" s="4">
        <v>4.5402168157034204</v>
      </c>
      <c r="H14" s="2">
        <v>92.482191295939998</v>
      </c>
      <c r="I14" s="2">
        <v>92.489408970936495</v>
      </c>
      <c r="J14" s="2">
        <v>87.411302845692205</v>
      </c>
      <c r="K14" s="2">
        <v>34.741520116496403</v>
      </c>
      <c r="L14" s="2">
        <v>748.17364565155799</v>
      </c>
      <c r="M14" s="3">
        <v>261492.37113095701</v>
      </c>
      <c r="N14" s="6">
        <v>0.99829433543773505</v>
      </c>
      <c r="O14" s="6">
        <v>1.16631951734081E-3</v>
      </c>
      <c r="P14" s="6">
        <v>0.405933977118626</v>
      </c>
      <c r="Q14" s="6">
        <v>0.54599575686868296</v>
      </c>
      <c r="R14" s="6">
        <v>0</v>
      </c>
      <c r="S14" s="6">
        <v>0.59745977775482295</v>
      </c>
      <c r="T14" s="6">
        <v>0.99488595389952705</v>
      </c>
      <c r="U14" s="6">
        <v>0.92472485564954598</v>
      </c>
      <c r="V14" s="6">
        <v>0.10252488746503099</v>
      </c>
      <c r="W14" s="6">
        <v>0.99735016690451705</v>
      </c>
      <c r="X14" s="6">
        <v>2.6498330954822999E-3</v>
      </c>
      <c r="Y14" s="6">
        <v>0.99352357934951296</v>
      </c>
      <c r="Z14" s="6">
        <v>3.8265875550039098E-3</v>
      </c>
      <c r="AA14" s="6">
        <v>2.5400054061311701E-3</v>
      </c>
      <c r="AB14" s="6">
        <v>1.09827689351133E-4</v>
      </c>
      <c r="AC14" s="6">
        <v>0</v>
      </c>
    </row>
    <row r="15" spans="1:29" x14ac:dyDescent="0.25">
      <c r="A15" t="s">
        <v>14</v>
      </c>
      <c r="B15" s="3">
        <v>134396</v>
      </c>
      <c r="C15" s="3">
        <v>29531552788.639999</v>
      </c>
      <c r="D15" s="3">
        <v>31002448000</v>
      </c>
      <c r="E15" s="3">
        <v>25.214556203141999</v>
      </c>
      <c r="F15" s="4">
        <v>3.7955551703555699</v>
      </c>
      <c r="G15" s="4">
        <v>3.7955551703555699</v>
      </c>
      <c r="H15" s="2">
        <v>91.535120058433805</v>
      </c>
      <c r="I15" s="2">
        <v>91.560280840275496</v>
      </c>
      <c r="J15" s="2">
        <v>79.431489742485397</v>
      </c>
      <c r="K15" s="2">
        <v>33.120655391504499</v>
      </c>
      <c r="L15" s="2">
        <v>757.39548421027405</v>
      </c>
      <c r="M15" s="3">
        <v>274143.878702202</v>
      </c>
      <c r="N15" s="6">
        <v>0.99931025504362103</v>
      </c>
      <c r="O15" s="6">
        <v>4.0987360788749799E-3</v>
      </c>
      <c r="P15" s="6">
        <v>0.29779204123505798</v>
      </c>
      <c r="Q15" s="6">
        <v>0.56770692301486902</v>
      </c>
      <c r="R15" s="6">
        <v>0</v>
      </c>
      <c r="S15" s="6">
        <v>0.62065396964668296</v>
      </c>
      <c r="T15" s="6">
        <v>0.99606576875447195</v>
      </c>
      <c r="U15" s="6">
        <v>0.71654250149351795</v>
      </c>
      <c r="V15" s="6">
        <v>7.6888101069763196E-2</v>
      </c>
      <c r="W15" s="6">
        <v>0.99833313405589197</v>
      </c>
      <c r="X15" s="6">
        <v>1.6668659441076001E-3</v>
      </c>
      <c r="Y15" s="6">
        <v>0.99761597253913803</v>
      </c>
      <c r="Z15" s="6">
        <v>7.1716151675393599E-4</v>
      </c>
      <c r="AA15" s="6">
        <v>1.6668659441076001E-3</v>
      </c>
      <c r="AB15" s="6">
        <v>0</v>
      </c>
      <c r="AC15" s="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147"/>
  <sheetViews>
    <sheetView workbookViewId="0">
      <selection sqref="A1:G147"/>
    </sheetView>
  </sheetViews>
  <sheetFormatPr defaultRowHeight="15" x14ac:dyDescent="0.25"/>
  <cols>
    <col min="1" max="1" width="11.140625" bestFit="1" customWidth="1"/>
    <col min="2" max="2" width="10.140625" bestFit="1" customWidth="1"/>
    <col min="3" max="3" width="8.140625" style="4" bestFit="1" customWidth="1"/>
    <col min="4" max="4" width="7.140625" style="4" bestFit="1" customWidth="1"/>
    <col min="5" max="5" width="12.140625" style="6" bestFit="1" customWidth="1"/>
    <col min="6" max="6" width="11.85546875" style="6" bestFit="1" customWidth="1"/>
    <col min="7" max="7" width="11.42578125" style="6" bestFit="1" customWidth="1"/>
    <col min="9" max="9" width="11.140625" bestFit="1" customWidth="1"/>
    <col min="10" max="10" width="14.28515625" style="3" bestFit="1" customWidth="1"/>
    <col min="11" max="11" width="16.85546875" style="3" bestFit="1" customWidth="1"/>
    <col min="14" max="15" width="9.140625" style="6"/>
  </cols>
  <sheetData>
    <row r="1" spans="1:15" x14ac:dyDescent="0.25">
      <c r="A1" t="s">
        <v>0</v>
      </c>
      <c r="B1" t="s">
        <v>18</v>
      </c>
      <c r="C1" s="9" t="s">
        <v>19</v>
      </c>
      <c r="D1" s="9" t="s">
        <v>20</v>
      </c>
      <c r="E1" s="10" t="s">
        <v>21</v>
      </c>
      <c r="F1" s="6" t="s">
        <v>22</v>
      </c>
      <c r="G1" s="6" t="s">
        <v>23</v>
      </c>
      <c r="I1" t="s">
        <v>15</v>
      </c>
      <c r="J1" s="3" t="s">
        <v>16</v>
      </c>
      <c r="K1" s="3" t="s">
        <v>17</v>
      </c>
      <c r="L1" t="s">
        <v>24</v>
      </c>
      <c r="M1" t="s">
        <v>25</v>
      </c>
      <c r="N1" s="6" t="s">
        <v>55</v>
      </c>
      <c r="O1" s="6" t="s">
        <v>56</v>
      </c>
    </row>
    <row r="2" spans="1:15" x14ac:dyDescent="0.25">
      <c r="A2" t="s">
        <v>1</v>
      </c>
      <c r="B2" s="1">
        <v>41426</v>
      </c>
      <c r="C2" s="4">
        <v>7.1894999999999998</v>
      </c>
      <c r="D2" s="4">
        <v>0</v>
      </c>
      <c r="E2" s="6">
        <v>0</v>
      </c>
      <c r="F2" s="6">
        <v>6.8999999999999999E-3</v>
      </c>
      <c r="G2" s="6">
        <v>0</v>
      </c>
      <c r="I2" t="s">
        <v>1</v>
      </c>
      <c r="J2" s="3">
        <v>15916587.3007812</v>
      </c>
      <c r="K2" s="3">
        <v>2597990708.0352201</v>
      </c>
      <c r="L2">
        <v>18844871637.860001</v>
      </c>
      <c r="M2">
        <v>20248789000</v>
      </c>
      <c r="N2" s="6">
        <f>K2/M2</f>
        <v>0.12830351030055279</v>
      </c>
      <c r="O2" s="6">
        <f>J2/M2</f>
        <v>7.8605131895943012E-4</v>
      </c>
    </row>
    <row r="3" spans="1:15" x14ac:dyDescent="0.25">
      <c r="A3" t="s">
        <v>1</v>
      </c>
      <c r="B3" s="1">
        <v>41456</v>
      </c>
      <c r="C3" s="4">
        <v>5.2968000000000002</v>
      </c>
      <c r="D3" s="4">
        <v>0</v>
      </c>
      <c r="E3" s="6">
        <v>1.2667221826199199E-3</v>
      </c>
      <c r="F3" s="6">
        <v>1.1900000000000001E-2</v>
      </c>
      <c r="G3" s="6">
        <v>0</v>
      </c>
      <c r="I3" t="s">
        <v>2</v>
      </c>
      <c r="J3" s="3">
        <v>18206419.703125</v>
      </c>
      <c r="K3" s="3">
        <v>2923791942.1402402</v>
      </c>
      <c r="L3">
        <v>30868963894.860001</v>
      </c>
      <c r="M3">
        <v>32744707000</v>
      </c>
      <c r="N3" s="6">
        <f t="shared" ref="N3:N15" si="0">K3/M3</f>
        <v>8.9290520820364649E-2</v>
      </c>
      <c r="O3" s="6">
        <f t="shared" ref="O3:O15" si="1">J3/M3</f>
        <v>5.5601107388516255E-4</v>
      </c>
    </row>
    <row r="4" spans="1:15" x14ac:dyDescent="0.25">
      <c r="A4" t="s">
        <v>1</v>
      </c>
      <c r="B4" s="1">
        <v>41487</v>
      </c>
      <c r="C4" s="4">
        <v>3.7195999999999998</v>
      </c>
      <c r="D4" s="4">
        <v>0</v>
      </c>
      <c r="E4" s="6">
        <v>1.0356345223757799E-3</v>
      </c>
      <c r="F4" s="6">
        <v>1.5299999999999999E-2</v>
      </c>
      <c r="G4" s="6">
        <v>0</v>
      </c>
      <c r="I4" t="s">
        <v>3</v>
      </c>
      <c r="J4" s="3">
        <v>10514944.859375</v>
      </c>
      <c r="K4" s="3">
        <v>2518762000.68538</v>
      </c>
      <c r="L4">
        <v>28730000635.919998</v>
      </c>
      <c r="M4">
        <v>30261960000</v>
      </c>
      <c r="N4" s="6">
        <f t="shared" si="0"/>
        <v>8.3231951951736771E-2</v>
      </c>
      <c r="O4" s="6">
        <f t="shared" si="1"/>
        <v>3.4746410541072027E-4</v>
      </c>
    </row>
    <row r="5" spans="1:15" x14ac:dyDescent="0.25">
      <c r="A5" t="s">
        <v>1</v>
      </c>
      <c r="B5" s="1">
        <v>41518</v>
      </c>
      <c r="C5" s="4">
        <v>3.9026999999999998</v>
      </c>
      <c r="D5" s="4">
        <v>0</v>
      </c>
      <c r="E5" s="6">
        <v>1.37402924202362E-3</v>
      </c>
      <c r="F5" s="6">
        <v>1.9E-2</v>
      </c>
      <c r="G5" s="6">
        <v>0</v>
      </c>
      <c r="I5" t="s">
        <v>4</v>
      </c>
      <c r="J5" s="3">
        <v>7861253.09375</v>
      </c>
      <c r="K5" s="3">
        <v>3757874148.6001101</v>
      </c>
      <c r="L5">
        <v>23516001945.110001</v>
      </c>
      <c r="M5">
        <v>24605428000</v>
      </c>
      <c r="N5" s="6">
        <f t="shared" si="0"/>
        <v>0.15272541280729235</v>
      </c>
      <c r="O5" s="6">
        <f t="shared" si="1"/>
        <v>3.1949263771189024E-4</v>
      </c>
    </row>
    <row r="6" spans="1:15" x14ac:dyDescent="0.25">
      <c r="A6" t="s">
        <v>1</v>
      </c>
      <c r="B6" s="1">
        <v>41548</v>
      </c>
      <c r="C6" s="4">
        <v>3.5990000000000002</v>
      </c>
      <c r="D6" s="4">
        <v>0</v>
      </c>
      <c r="E6" s="6">
        <v>1.5484221430720701E-3</v>
      </c>
      <c r="F6" s="6">
        <v>2.23E-2</v>
      </c>
      <c r="G6" s="6">
        <v>0</v>
      </c>
      <c r="I6" t="s">
        <v>5</v>
      </c>
      <c r="J6" s="3">
        <v>5362009.58984375</v>
      </c>
      <c r="K6" s="3">
        <v>4417889897.5742798</v>
      </c>
      <c r="L6">
        <v>14903591509.59</v>
      </c>
      <c r="M6">
        <v>15465048000</v>
      </c>
      <c r="N6" s="6">
        <f t="shared" si="0"/>
        <v>0.28566932980578397</v>
      </c>
      <c r="O6" s="6">
        <f t="shared" si="1"/>
        <v>3.4671794034158511E-4</v>
      </c>
    </row>
    <row r="7" spans="1:15" x14ac:dyDescent="0.25">
      <c r="A7" t="s">
        <v>1</v>
      </c>
      <c r="B7" s="1">
        <v>41579</v>
      </c>
      <c r="C7" s="4">
        <v>3.7277999999999998</v>
      </c>
      <c r="D7" s="4">
        <v>5.4000000000000003E-3</v>
      </c>
      <c r="E7" s="6">
        <v>1.5094332223427401E-3</v>
      </c>
      <c r="F7" s="6">
        <v>2.5700000000000001E-2</v>
      </c>
      <c r="G7" s="6">
        <v>0</v>
      </c>
      <c r="I7" t="s">
        <v>6</v>
      </c>
      <c r="J7" s="3">
        <v>1015635.2265625</v>
      </c>
      <c r="K7" s="3">
        <v>3130422907.4066401</v>
      </c>
      <c r="L7">
        <v>12356174994.129999</v>
      </c>
      <c r="M7">
        <v>12760098000</v>
      </c>
      <c r="N7" s="6">
        <f t="shared" si="0"/>
        <v>0.24532906466757859</v>
      </c>
      <c r="O7" s="6">
        <f t="shared" si="1"/>
        <v>7.9594625884730664E-5</v>
      </c>
    </row>
    <row r="8" spans="1:15" x14ac:dyDescent="0.25">
      <c r="A8" t="s">
        <v>1</v>
      </c>
      <c r="B8" s="1">
        <v>41609</v>
      </c>
      <c r="C8" s="4">
        <v>3.1396999999999999</v>
      </c>
      <c r="D8" s="4">
        <v>1.66E-2</v>
      </c>
      <c r="E8" s="6">
        <v>2.1700490437786399E-3</v>
      </c>
      <c r="F8" s="6">
        <v>2.8500000000000001E-2</v>
      </c>
      <c r="G8" s="6">
        <v>0</v>
      </c>
      <c r="I8" t="s">
        <v>7</v>
      </c>
      <c r="J8" s="3">
        <v>5924808.17578125</v>
      </c>
      <c r="K8" s="3">
        <v>1858716187.28356</v>
      </c>
      <c r="L8">
        <v>7919678628.1700001</v>
      </c>
      <c r="M8">
        <v>8182812000</v>
      </c>
      <c r="N8" s="6">
        <f t="shared" si="0"/>
        <v>0.22714883187876736</v>
      </c>
      <c r="O8" s="6">
        <f t="shared" si="1"/>
        <v>7.2405527290389298E-4</v>
      </c>
    </row>
    <row r="9" spans="1:15" x14ac:dyDescent="0.25">
      <c r="A9" t="s">
        <v>1</v>
      </c>
      <c r="B9" s="1">
        <v>41640</v>
      </c>
      <c r="C9" s="4">
        <v>2.976</v>
      </c>
      <c r="D9" s="4">
        <v>0.03</v>
      </c>
      <c r="E9" s="6">
        <v>2.1894667321964E-3</v>
      </c>
      <c r="F9" s="6">
        <v>3.1199999999999999E-2</v>
      </c>
      <c r="G9" s="6">
        <v>0</v>
      </c>
      <c r="I9" t="s">
        <v>8</v>
      </c>
      <c r="J9" s="3">
        <v>9278150.98046875</v>
      </c>
      <c r="K9" s="3">
        <v>2862504021.2224102</v>
      </c>
      <c r="L9">
        <v>29875609801.369999</v>
      </c>
      <c r="M9">
        <v>31361353000</v>
      </c>
      <c r="N9" s="6">
        <f t="shared" si="0"/>
        <v>9.1274889231418369E-2</v>
      </c>
      <c r="O9" s="6">
        <f t="shared" si="1"/>
        <v>2.9584664221817057E-4</v>
      </c>
    </row>
    <row r="10" spans="1:15" x14ac:dyDescent="0.25">
      <c r="A10" t="s">
        <v>1</v>
      </c>
      <c r="B10" s="1">
        <v>41671</v>
      </c>
      <c r="C10" s="4">
        <v>3.8313999999999999</v>
      </c>
      <c r="D10" s="4">
        <v>1.9E-2</v>
      </c>
      <c r="E10" s="6">
        <v>2.3021683029496001E-3</v>
      </c>
      <c r="F10" s="6">
        <v>3.4700000000000002E-2</v>
      </c>
      <c r="G10" s="6">
        <v>0</v>
      </c>
      <c r="I10" t="s">
        <v>9</v>
      </c>
      <c r="J10" s="3">
        <v>3302355.7421875</v>
      </c>
      <c r="K10" s="3">
        <v>1249858984.33358</v>
      </c>
      <c r="L10">
        <v>6632739546.4499998</v>
      </c>
      <c r="M10">
        <v>6823093000</v>
      </c>
      <c r="N10" s="6">
        <f t="shared" si="0"/>
        <v>0.18318070475275364</v>
      </c>
      <c r="O10" s="6">
        <f t="shared" si="1"/>
        <v>4.8399688267293148E-4</v>
      </c>
    </row>
    <row r="11" spans="1:15" x14ac:dyDescent="0.25">
      <c r="A11" t="s">
        <v>1</v>
      </c>
      <c r="B11" s="1">
        <v>41699</v>
      </c>
      <c r="C11" s="4">
        <v>3.9773000000000001</v>
      </c>
      <c r="D11" s="4">
        <v>8.3900000000000002E-2</v>
      </c>
      <c r="E11" s="6">
        <v>2.8763854780915598E-3</v>
      </c>
      <c r="F11" s="6">
        <v>3.8300000000000001E-2</v>
      </c>
      <c r="G11" s="6">
        <v>1E-4</v>
      </c>
      <c r="I11" t="s">
        <v>10</v>
      </c>
      <c r="J11" s="3">
        <v>551845.703125</v>
      </c>
      <c r="K11" s="3">
        <v>4127539702.85289</v>
      </c>
      <c r="L11">
        <v>23204440894.529999</v>
      </c>
      <c r="M11">
        <v>23801939000</v>
      </c>
      <c r="N11" s="6">
        <f t="shared" si="0"/>
        <v>0.17341190996468356</v>
      </c>
      <c r="O11" s="6">
        <f t="shared" si="1"/>
        <v>2.3184905361071635E-5</v>
      </c>
    </row>
    <row r="12" spans="1:15" x14ac:dyDescent="0.25">
      <c r="A12" t="s">
        <v>1</v>
      </c>
      <c r="B12" s="1">
        <v>41730</v>
      </c>
      <c r="C12" s="4">
        <v>5.8136999999999999</v>
      </c>
      <c r="D12" s="4">
        <v>5.5599999999999997E-2</v>
      </c>
      <c r="E12" s="6">
        <v>1.7641106928362399E-3</v>
      </c>
      <c r="F12" s="6">
        <v>4.3499999999999997E-2</v>
      </c>
      <c r="G12" s="6">
        <v>1E-4</v>
      </c>
      <c r="I12" t="s">
        <v>11</v>
      </c>
      <c r="J12" s="3">
        <v>0</v>
      </c>
      <c r="K12" s="3">
        <v>749120464.128034</v>
      </c>
      <c r="L12">
        <v>30902656949.099998</v>
      </c>
      <c r="M12">
        <v>33002088000</v>
      </c>
      <c r="N12" s="6">
        <f t="shared" si="0"/>
        <v>2.2699183885820619E-2</v>
      </c>
      <c r="O12" s="6">
        <f t="shared" si="1"/>
        <v>0</v>
      </c>
    </row>
    <row r="13" spans="1:15" x14ac:dyDescent="0.25">
      <c r="A13" t="s">
        <v>1</v>
      </c>
      <c r="B13" s="1">
        <v>41760</v>
      </c>
      <c r="C13" s="4">
        <v>7.3971999999999998</v>
      </c>
      <c r="D13" s="4">
        <v>5.04E-2</v>
      </c>
      <c r="E13" s="6">
        <v>1.74214917294252E-3</v>
      </c>
      <c r="F13" s="6">
        <v>5.0200000000000002E-2</v>
      </c>
      <c r="G13" s="6">
        <v>2.0000000000000001E-4</v>
      </c>
      <c r="I13" t="s">
        <v>12</v>
      </c>
      <c r="J13" s="3">
        <v>0</v>
      </c>
      <c r="K13" s="3">
        <v>447876178.38473499</v>
      </c>
      <c r="L13">
        <v>31928168573.73</v>
      </c>
      <c r="M13">
        <v>32518882000</v>
      </c>
      <c r="N13" s="6">
        <f t="shared" si="0"/>
        <v>1.3772803701699676E-2</v>
      </c>
      <c r="O13" s="6">
        <f t="shared" si="1"/>
        <v>0</v>
      </c>
    </row>
    <row r="14" spans="1:15" x14ac:dyDescent="0.25">
      <c r="A14" t="s">
        <v>1</v>
      </c>
      <c r="B14" s="1">
        <v>41791</v>
      </c>
      <c r="C14" s="4">
        <v>6.9165999999999999</v>
      </c>
      <c r="D14" s="4">
        <v>3.8899999999999997E-2</v>
      </c>
      <c r="E14" s="6">
        <v>1.8080148243312499E-3</v>
      </c>
      <c r="F14" s="6">
        <v>5.6399999999999999E-2</v>
      </c>
      <c r="G14" s="6">
        <v>2.0000000000000001E-4</v>
      </c>
      <c r="I14" t="s">
        <v>13</v>
      </c>
      <c r="J14" s="3">
        <v>0</v>
      </c>
      <c r="K14" s="3">
        <v>1133437897.6049099</v>
      </c>
      <c r="L14">
        <v>15307704367.93</v>
      </c>
      <c r="M14">
        <v>15648312000</v>
      </c>
      <c r="N14" s="6">
        <f t="shared" si="0"/>
        <v>7.2431959281289246E-2</v>
      </c>
      <c r="O14" s="6">
        <f t="shared" si="1"/>
        <v>0</v>
      </c>
    </row>
    <row r="15" spans="1:15" x14ac:dyDescent="0.25">
      <c r="A15" t="s">
        <v>1</v>
      </c>
      <c r="B15" s="1">
        <v>41821</v>
      </c>
      <c r="C15" s="4">
        <v>6.4720000000000004</v>
      </c>
      <c r="D15" s="4">
        <v>3.9800000000000002E-2</v>
      </c>
      <c r="E15" s="6">
        <v>2.2194793062559801E-3</v>
      </c>
      <c r="F15" s="6">
        <v>6.2100000000000002E-2</v>
      </c>
      <c r="G15" s="6">
        <v>2.0000000000000001E-4</v>
      </c>
      <c r="I15" t="s">
        <v>14</v>
      </c>
      <c r="J15" s="3">
        <v>0</v>
      </c>
      <c r="K15" s="3">
        <v>672421599.16143799</v>
      </c>
      <c r="L15">
        <v>29531552788.639999</v>
      </c>
      <c r="M15">
        <v>31002448000</v>
      </c>
      <c r="N15" s="6">
        <f t="shared" si="0"/>
        <v>2.1689306572224166E-2</v>
      </c>
      <c r="O15" s="6">
        <f t="shared" si="1"/>
        <v>0</v>
      </c>
    </row>
    <row r="16" spans="1:15" x14ac:dyDescent="0.25">
      <c r="A16" t="s">
        <v>1</v>
      </c>
      <c r="B16" s="1">
        <v>41852</v>
      </c>
      <c r="C16" s="4">
        <v>5.0166000000000004</v>
      </c>
      <c r="D16" s="4">
        <v>3.09E-2</v>
      </c>
      <c r="E16" s="6">
        <v>2.1691470665304502E-3</v>
      </c>
      <c r="F16" s="6">
        <v>6.6500000000000004E-2</v>
      </c>
      <c r="G16" s="6">
        <v>2.9999999999999997E-4</v>
      </c>
    </row>
    <row r="17" spans="1:8" x14ac:dyDescent="0.25">
      <c r="A17" t="s">
        <v>1</v>
      </c>
      <c r="B17" s="1">
        <v>41883</v>
      </c>
      <c r="C17" s="4">
        <v>6.4724000000000004</v>
      </c>
      <c r="D17" s="4">
        <v>5.0900000000000001E-2</v>
      </c>
      <c r="E17" s="6">
        <v>2.5668689206130601E-3</v>
      </c>
      <c r="F17" s="6">
        <v>7.2099999999999997E-2</v>
      </c>
      <c r="G17" s="6">
        <v>2.9999999999999997E-4</v>
      </c>
    </row>
    <row r="18" spans="1:8" x14ac:dyDescent="0.25">
      <c r="A18" t="s">
        <v>1</v>
      </c>
      <c r="B18" s="1">
        <v>41913</v>
      </c>
      <c r="C18" s="4">
        <v>5.2816000000000001</v>
      </c>
      <c r="D18" s="4">
        <v>5.8500000000000003E-2</v>
      </c>
      <c r="E18" s="6">
        <v>2.4419934930955201E-3</v>
      </c>
      <c r="F18" s="6">
        <v>7.6600000000000001E-2</v>
      </c>
      <c r="G18" s="6">
        <v>4.0000000000000002E-4</v>
      </c>
    </row>
    <row r="19" spans="1:8" x14ac:dyDescent="0.25">
      <c r="A19" t="s">
        <v>1</v>
      </c>
      <c r="B19" s="1">
        <v>41944</v>
      </c>
      <c r="C19" s="4">
        <v>6.0025000000000004</v>
      </c>
      <c r="D19" s="4">
        <v>2.3800000000000002E-2</v>
      </c>
      <c r="E19" s="6">
        <v>2.26047138543922E-3</v>
      </c>
      <c r="F19" s="6">
        <v>8.1799999999999998E-2</v>
      </c>
      <c r="G19" s="6">
        <v>4.0000000000000002E-4</v>
      </c>
    </row>
    <row r="20" spans="1:8" x14ac:dyDescent="0.25">
      <c r="A20" t="s">
        <v>1</v>
      </c>
      <c r="B20" s="1">
        <v>41974</v>
      </c>
      <c r="C20" s="4">
        <v>5.2076000000000002</v>
      </c>
      <c r="D20" s="4">
        <v>9.3100000000000002E-2</v>
      </c>
      <c r="E20" s="6">
        <v>3.1978297540562299E-3</v>
      </c>
      <c r="F20" s="6">
        <v>8.6199999999999999E-2</v>
      </c>
      <c r="G20" s="6">
        <v>5.0000000000000001E-4</v>
      </c>
    </row>
    <row r="21" spans="1:8" x14ac:dyDescent="0.25">
      <c r="A21" t="s">
        <v>1</v>
      </c>
      <c r="B21" s="1">
        <v>42005</v>
      </c>
      <c r="C21" s="4">
        <v>7.9896000000000003</v>
      </c>
      <c r="D21" s="4">
        <v>3.1E-2</v>
      </c>
      <c r="E21" s="6">
        <v>2.5090365666056301E-3</v>
      </c>
      <c r="F21" s="6">
        <v>9.2999999999999999E-2</v>
      </c>
      <c r="G21" s="6">
        <v>5.0000000000000001E-4</v>
      </c>
    </row>
    <row r="22" spans="1:8" x14ac:dyDescent="0.25">
      <c r="A22" t="s">
        <v>1</v>
      </c>
      <c r="B22" s="1">
        <v>42036</v>
      </c>
      <c r="C22" s="4">
        <v>11.042299999999999</v>
      </c>
      <c r="D22" s="4">
        <v>5.7599999999999998E-2</v>
      </c>
      <c r="E22" s="6">
        <v>2.5015041079039799E-3</v>
      </c>
      <c r="F22" s="6">
        <v>0.1024</v>
      </c>
      <c r="G22" s="6">
        <v>5.0000000000000001E-4</v>
      </c>
    </row>
    <row r="23" spans="1:8" x14ac:dyDescent="0.25">
      <c r="A23" t="s">
        <v>1</v>
      </c>
      <c r="B23" s="1">
        <v>42064</v>
      </c>
      <c r="C23" s="4">
        <v>9.9810999999999996</v>
      </c>
      <c r="D23" s="4">
        <v>7.2300000000000003E-2</v>
      </c>
      <c r="E23" s="6">
        <v>3.0000390932597401E-3</v>
      </c>
      <c r="F23" s="6">
        <v>0.1109</v>
      </c>
      <c r="G23" s="6">
        <v>5.9999999999999995E-4</v>
      </c>
    </row>
    <row r="24" spans="1:8" x14ac:dyDescent="0.25">
      <c r="A24" t="s">
        <v>1</v>
      </c>
      <c r="B24" s="1">
        <v>42095</v>
      </c>
      <c r="C24" s="4">
        <v>9.9797999999999991</v>
      </c>
      <c r="D24" s="4">
        <v>5.2200000000000003E-2</v>
      </c>
      <c r="E24" s="6">
        <v>2.21292653406198E-3</v>
      </c>
      <c r="F24" s="6">
        <v>0.1192</v>
      </c>
      <c r="G24" s="6">
        <v>5.9999999999999995E-4</v>
      </c>
    </row>
    <row r="25" spans="1:8" x14ac:dyDescent="0.25">
      <c r="A25" t="s">
        <v>1</v>
      </c>
      <c r="B25" s="1">
        <v>42125</v>
      </c>
      <c r="C25" s="4">
        <v>11.419499999999999</v>
      </c>
      <c r="D25" s="4">
        <v>0.12759999999999999</v>
      </c>
      <c r="E25" s="6">
        <v>2.29371262051119E-3</v>
      </c>
      <c r="F25" s="6">
        <v>0.12859999999999999</v>
      </c>
      <c r="G25" s="6">
        <v>6.9999999999999999E-4</v>
      </c>
    </row>
    <row r="26" spans="1:8" x14ac:dyDescent="0.25">
      <c r="A26" t="s">
        <v>1</v>
      </c>
      <c r="B26" s="1">
        <v>42156</v>
      </c>
      <c r="C26" s="4">
        <v>0</v>
      </c>
      <c r="D26" s="4">
        <v>0</v>
      </c>
      <c r="E26" s="6">
        <v>2.6052343270604001E-3</v>
      </c>
      <c r="F26" s="7">
        <v>0.12859999999999999</v>
      </c>
      <c r="G26" s="7">
        <v>6.9999999999999999E-4</v>
      </c>
      <c r="H26" s="5"/>
    </row>
    <row r="27" spans="1:8" x14ac:dyDescent="0.25">
      <c r="A27" t="s">
        <v>2</v>
      </c>
      <c r="B27" s="1">
        <v>41579</v>
      </c>
      <c r="C27" s="4">
        <v>8.3688000000000002</v>
      </c>
      <c r="D27" s="4">
        <v>0</v>
      </c>
      <c r="E27" s="6">
        <v>1.11349989822876E-3</v>
      </c>
      <c r="F27" s="6">
        <v>7.7000000000000002E-3</v>
      </c>
      <c r="G27" s="6">
        <v>0</v>
      </c>
    </row>
    <row r="28" spans="1:8" x14ac:dyDescent="0.25">
      <c r="A28" t="s">
        <v>2</v>
      </c>
      <c r="B28" s="1">
        <v>41609</v>
      </c>
      <c r="C28" s="4">
        <v>2.5486</v>
      </c>
      <c r="D28" s="4">
        <v>0</v>
      </c>
      <c r="E28" s="6">
        <v>1.75388312992754E-3</v>
      </c>
      <c r="F28" s="6">
        <v>0.01</v>
      </c>
      <c r="G28" s="6">
        <v>0</v>
      </c>
    </row>
    <row r="29" spans="1:8" x14ac:dyDescent="0.25">
      <c r="A29" t="s">
        <v>2</v>
      </c>
      <c r="B29" s="1">
        <v>41640</v>
      </c>
      <c r="C29" s="4">
        <v>2.6267</v>
      </c>
      <c r="D29" s="4">
        <v>0</v>
      </c>
      <c r="E29" s="6">
        <v>1.8421270287605001E-3</v>
      </c>
      <c r="F29" s="6">
        <v>1.24E-2</v>
      </c>
      <c r="G29" s="6">
        <v>0</v>
      </c>
    </row>
    <row r="30" spans="1:8" x14ac:dyDescent="0.25">
      <c r="A30" t="s">
        <v>2</v>
      </c>
      <c r="B30" s="1">
        <v>41671</v>
      </c>
      <c r="C30" s="4">
        <v>3.6274999999999999</v>
      </c>
      <c r="D30" s="4">
        <v>8.9999999999999993E-3</v>
      </c>
      <c r="E30" s="6">
        <v>1.78254706433518E-3</v>
      </c>
      <c r="F30" s="6">
        <v>1.5599999999999999E-2</v>
      </c>
      <c r="G30" s="6">
        <v>0</v>
      </c>
    </row>
    <row r="31" spans="1:8" x14ac:dyDescent="0.25">
      <c r="A31" t="s">
        <v>2</v>
      </c>
      <c r="B31" s="1">
        <v>41699</v>
      </c>
      <c r="C31" s="4">
        <v>3.9352999999999998</v>
      </c>
      <c r="D31" s="4">
        <v>3.9E-2</v>
      </c>
      <c r="E31" s="6">
        <v>2.4791712180864999E-3</v>
      </c>
      <c r="F31" s="6">
        <v>1.9099999999999999E-2</v>
      </c>
      <c r="G31" s="6">
        <v>0</v>
      </c>
    </row>
    <row r="32" spans="1:8" x14ac:dyDescent="0.25">
      <c r="A32" t="s">
        <v>2</v>
      </c>
      <c r="B32" s="1">
        <v>41730</v>
      </c>
      <c r="C32" s="4">
        <v>5.2506000000000004</v>
      </c>
      <c r="D32" s="4">
        <v>1.7299999999999999E-2</v>
      </c>
      <c r="E32" s="6">
        <v>2.0046795170412402E-3</v>
      </c>
      <c r="F32" s="6">
        <v>2.3800000000000002E-2</v>
      </c>
      <c r="G32" s="6">
        <v>0</v>
      </c>
    </row>
    <row r="33" spans="1:7" x14ac:dyDescent="0.25">
      <c r="A33" t="s">
        <v>2</v>
      </c>
      <c r="B33" s="1">
        <v>41760</v>
      </c>
      <c r="C33" s="4">
        <v>5.7789000000000001</v>
      </c>
      <c r="D33" s="4">
        <v>2.12E-2</v>
      </c>
      <c r="E33" s="6">
        <v>2.0610782018602499E-3</v>
      </c>
      <c r="F33" s="6">
        <v>2.9000000000000001E-2</v>
      </c>
      <c r="G33" s="6">
        <v>0</v>
      </c>
    </row>
    <row r="34" spans="1:7" x14ac:dyDescent="0.25">
      <c r="A34" t="s">
        <v>2</v>
      </c>
      <c r="B34" s="1">
        <v>41791</v>
      </c>
      <c r="C34" s="4">
        <v>5.8940999999999999</v>
      </c>
      <c r="D34" s="4">
        <v>2.7699999999999999E-2</v>
      </c>
      <c r="E34" s="6">
        <v>1.98259965255614E-3</v>
      </c>
      <c r="F34" s="6">
        <v>3.4200000000000001E-2</v>
      </c>
      <c r="G34" s="6">
        <v>0</v>
      </c>
    </row>
    <row r="35" spans="1:7" x14ac:dyDescent="0.25">
      <c r="A35" t="s">
        <v>2</v>
      </c>
      <c r="B35" s="1">
        <v>41821</v>
      </c>
      <c r="C35" s="4">
        <v>5.4923000000000002</v>
      </c>
      <c r="D35" s="4">
        <v>2.58E-2</v>
      </c>
      <c r="E35" s="6">
        <v>2.2383653709816698E-3</v>
      </c>
      <c r="F35" s="6">
        <v>3.9E-2</v>
      </c>
      <c r="G35" s="6">
        <v>1E-4</v>
      </c>
    </row>
    <row r="36" spans="1:7" x14ac:dyDescent="0.25">
      <c r="A36" t="s">
        <v>2</v>
      </c>
      <c r="B36" s="1">
        <v>41852</v>
      </c>
      <c r="C36" s="4">
        <v>4.6874000000000002</v>
      </c>
      <c r="D36" s="4">
        <v>2.06E-2</v>
      </c>
      <c r="E36" s="6">
        <v>2.2145809990234099E-3</v>
      </c>
      <c r="F36" s="6">
        <v>4.2999999999999997E-2</v>
      </c>
      <c r="G36" s="6">
        <v>1E-4</v>
      </c>
    </row>
    <row r="37" spans="1:7" x14ac:dyDescent="0.25">
      <c r="A37" t="s">
        <v>2</v>
      </c>
      <c r="B37" s="1">
        <v>41883</v>
      </c>
      <c r="C37" s="4">
        <v>5.3079999999999998</v>
      </c>
      <c r="D37" s="4">
        <v>5.4300000000000001E-2</v>
      </c>
      <c r="E37" s="6">
        <v>2.5701887094479298E-3</v>
      </c>
      <c r="F37" s="6">
        <v>4.7600000000000003E-2</v>
      </c>
      <c r="G37" s="6">
        <v>1E-4</v>
      </c>
    </row>
    <row r="38" spans="1:7" x14ac:dyDescent="0.25">
      <c r="A38" t="s">
        <v>2</v>
      </c>
      <c r="B38" s="1">
        <v>41913</v>
      </c>
      <c r="C38" s="4">
        <v>4.5232999999999999</v>
      </c>
      <c r="D38" s="4">
        <v>5.67E-2</v>
      </c>
      <c r="E38" s="6">
        <v>2.5146402216979901E-3</v>
      </c>
      <c r="F38" s="6">
        <v>5.1499999999999997E-2</v>
      </c>
      <c r="G38" s="6">
        <v>2.0000000000000001E-4</v>
      </c>
    </row>
    <row r="39" spans="1:7" x14ac:dyDescent="0.25">
      <c r="A39" t="s">
        <v>2</v>
      </c>
      <c r="B39" s="1">
        <v>41944</v>
      </c>
      <c r="C39" s="4">
        <v>5.1199000000000003</v>
      </c>
      <c r="D39" s="4">
        <v>4.8800000000000003E-2</v>
      </c>
      <c r="E39" s="6">
        <v>2.1534383388060198E-3</v>
      </c>
      <c r="F39" s="6">
        <v>5.5800000000000002E-2</v>
      </c>
      <c r="G39" s="6">
        <v>2.0000000000000001E-4</v>
      </c>
    </row>
    <row r="40" spans="1:7" x14ac:dyDescent="0.25">
      <c r="A40" t="s">
        <v>2</v>
      </c>
      <c r="B40" s="1">
        <v>41974</v>
      </c>
      <c r="C40" s="4">
        <v>3.7650000000000001</v>
      </c>
      <c r="D40" s="4">
        <v>2.7799999999999998E-2</v>
      </c>
      <c r="E40" s="6">
        <v>3.1372260189091402E-3</v>
      </c>
      <c r="F40" s="6">
        <v>5.8999999999999997E-2</v>
      </c>
      <c r="G40" s="6">
        <v>2.0000000000000001E-4</v>
      </c>
    </row>
    <row r="41" spans="1:7" x14ac:dyDescent="0.25">
      <c r="A41" t="s">
        <v>2</v>
      </c>
      <c r="B41" s="1">
        <v>42005</v>
      </c>
      <c r="C41" s="4">
        <v>4.7008000000000001</v>
      </c>
      <c r="D41" s="4">
        <v>8.4000000000000005E-2</v>
      </c>
      <c r="E41" s="6">
        <v>2.5071003222516702E-3</v>
      </c>
      <c r="F41" s="6">
        <v>6.2899999999999998E-2</v>
      </c>
      <c r="G41" s="6">
        <v>2.9999999999999997E-4</v>
      </c>
    </row>
    <row r="42" spans="1:7" x14ac:dyDescent="0.25">
      <c r="A42" t="s">
        <v>2</v>
      </c>
      <c r="B42" s="1">
        <v>42036</v>
      </c>
      <c r="C42" s="4">
        <v>7.3334999999999999</v>
      </c>
      <c r="D42" s="4">
        <v>4.3700000000000003E-2</v>
      </c>
      <c r="E42" s="6">
        <v>2.60061031892786E-3</v>
      </c>
      <c r="F42" s="6">
        <v>6.9099999999999995E-2</v>
      </c>
      <c r="G42" s="6">
        <v>4.0000000000000002E-4</v>
      </c>
    </row>
    <row r="43" spans="1:7" x14ac:dyDescent="0.25">
      <c r="A43" t="s">
        <v>2</v>
      </c>
      <c r="B43" s="1">
        <v>42064</v>
      </c>
      <c r="C43" s="4">
        <v>7.4539999999999997</v>
      </c>
      <c r="D43" s="4">
        <v>6.3100000000000003E-2</v>
      </c>
      <c r="E43" s="6">
        <v>3.0653763936751102E-3</v>
      </c>
      <c r="F43" s="6">
        <v>7.5300000000000006E-2</v>
      </c>
      <c r="G43" s="6">
        <v>4.0000000000000002E-4</v>
      </c>
    </row>
    <row r="44" spans="1:7" x14ac:dyDescent="0.25">
      <c r="A44" t="s">
        <v>2</v>
      </c>
      <c r="B44" s="1">
        <v>42095</v>
      </c>
      <c r="C44" s="4">
        <v>8.0878999999999994</v>
      </c>
      <c r="D44" s="4">
        <v>0.1116</v>
      </c>
      <c r="E44" s="6">
        <v>2.12804341599132E-3</v>
      </c>
      <c r="F44" s="6">
        <v>8.2100000000000006E-2</v>
      </c>
      <c r="G44" s="6">
        <v>5.0000000000000001E-4</v>
      </c>
    </row>
    <row r="45" spans="1:7" x14ac:dyDescent="0.25">
      <c r="A45" t="s">
        <v>2</v>
      </c>
      <c r="B45" s="1">
        <v>42125</v>
      </c>
      <c r="C45" s="4">
        <v>9.1</v>
      </c>
      <c r="D45" s="4">
        <v>2.2200000000000001E-2</v>
      </c>
      <c r="E45" s="6">
        <v>2.3137861072066801E-3</v>
      </c>
      <c r="F45" s="6">
        <v>8.9599999999999999E-2</v>
      </c>
      <c r="G45" s="6">
        <v>5.0000000000000001E-4</v>
      </c>
    </row>
    <row r="46" spans="1:7" x14ac:dyDescent="0.25">
      <c r="A46" t="s">
        <v>2</v>
      </c>
      <c r="B46" s="1">
        <v>42156</v>
      </c>
      <c r="C46" s="4">
        <v>0</v>
      </c>
      <c r="D46" s="4">
        <v>0</v>
      </c>
      <c r="E46" s="6">
        <v>3.2330500813024599E-3</v>
      </c>
      <c r="F46" s="7">
        <v>8.9599999999999999E-2</v>
      </c>
      <c r="G46" s="7">
        <v>5.0000000000000001E-4</v>
      </c>
    </row>
    <row r="47" spans="1:7" x14ac:dyDescent="0.25">
      <c r="A47" t="s">
        <v>3</v>
      </c>
      <c r="B47" s="1">
        <v>41671</v>
      </c>
      <c r="C47" s="4">
        <v>7.4269999999999996</v>
      </c>
      <c r="D47" s="4">
        <v>0</v>
      </c>
      <c r="E47" s="6">
        <v>8.3035215336207903E-4</v>
      </c>
      <c r="F47" s="6">
        <v>6.7999999999999996E-3</v>
      </c>
      <c r="G47" s="6">
        <v>0</v>
      </c>
    </row>
    <row r="48" spans="1:7" x14ac:dyDescent="0.25">
      <c r="A48" t="s">
        <v>3</v>
      </c>
      <c r="B48" s="1">
        <v>41699</v>
      </c>
      <c r="C48" s="4">
        <v>3.8881000000000001</v>
      </c>
      <c r="D48" s="4">
        <v>0</v>
      </c>
      <c r="E48" s="6">
        <v>1.5226672684829901E-3</v>
      </c>
      <c r="F48" s="6">
        <v>1.03E-2</v>
      </c>
      <c r="G48" s="6">
        <v>0</v>
      </c>
    </row>
    <row r="49" spans="1:7" x14ac:dyDescent="0.25">
      <c r="A49" t="s">
        <v>3</v>
      </c>
      <c r="B49" s="1">
        <v>41730</v>
      </c>
      <c r="C49" s="4">
        <v>4.7267999999999999</v>
      </c>
      <c r="D49" s="4">
        <v>0</v>
      </c>
      <c r="E49" s="6">
        <v>1.1277179985904899E-3</v>
      </c>
      <c r="F49" s="6">
        <v>1.4500000000000001E-2</v>
      </c>
      <c r="G49" s="6">
        <v>0</v>
      </c>
    </row>
    <row r="50" spans="1:7" x14ac:dyDescent="0.25">
      <c r="A50" t="s">
        <v>3</v>
      </c>
      <c r="B50" s="1">
        <v>41760</v>
      </c>
      <c r="C50" s="4">
        <v>5.5388000000000002</v>
      </c>
      <c r="D50" s="4">
        <v>1.5599999999999999E-2</v>
      </c>
      <c r="E50" s="6">
        <v>1.3793726491836899E-3</v>
      </c>
      <c r="F50" s="6">
        <v>1.95E-2</v>
      </c>
      <c r="G50" s="6">
        <v>0</v>
      </c>
    </row>
    <row r="51" spans="1:7" x14ac:dyDescent="0.25">
      <c r="A51" t="s">
        <v>3</v>
      </c>
      <c r="B51" s="1">
        <v>41791</v>
      </c>
      <c r="C51" s="4">
        <v>5.3395999999999999</v>
      </c>
      <c r="D51" s="4">
        <v>3.0999999999999999E-3</v>
      </c>
      <c r="E51" s="6">
        <v>1.6926852605984801E-3</v>
      </c>
      <c r="F51" s="6">
        <v>2.4199999999999999E-2</v>
      </c>
      <c r="G51" s="6">
        <v>0</v>
      </c>
    </row>
    <row r="52" spans="1:7" x14ac:dyDescent="0.25">
      <c r="A52" t="s">
        <v>3</v>
      </c>
      <c r="B52" s="1">
        <v>41821</v>
      </c>
      <c r="C52" s="4">
        <v>4.8250000000000002</v>
      </c>
      <c r="D52" s="4">
        <v>2.6100000000000002E-2</v>
      </c>
      <c r="E52" s="6">
        <v>2.0239341257222701E-3</v>
      </c>
      <c r="F52" s="6">
        <v>2.8500000000000001E-2</v>
      </c>
      <c r="G52" s="6">
        <v>0</v>
      </c>
    </row>
    <row r="53" spans="1:7" x14ac:dyDescent="0.25">
      <c r="A53" t="s">
        <v>3</v>
      </c>
      <c r="B53" s="1">
        <v>41852</v>
      </c>
      <c r="C53" s="4">
        <v>4.5701999999999998</v>
      </c>
      <c r="D53" s="4">
        <v>4.4900000000000002E-2</v>
      </c>
      <c r="E53" s="6">
        <v>2.1676206490169798E-3</v>
      </c>
      <c r="F53" s="6">
        <v>3.2500000000000001E-2</v>
      </c>
      <c r="G53" s="6">
        <v>0</v>
      </c>
    </row>
    <row r="54" spans="1:7" x14ac:dyDescent="0.25">
      <c r="A54" t="s">
        <v>3</v>
      </c>
      <c r="B54" s="1">
        <v>41883</v>
      </c>
      <c r="C54" s="4">
        <v>5.1115000000000004</v>
      </c>
      <c r="D54" s="4">
        <v>2.86E-2</v>
      </c>
      <c r="E54" s="6">
        <v>2.5084879073542202E-3</v>
      </c>
      <c r="F54" s="6">
        <v>3.6900000000000002E-2</v>
      </c>
      <c r="G54" s="6">
        <v>1E-4</v>
      </c>
    </row>
    <row r="55" spans="1:7" x14ac:dyDescent="0.25">
      <c r="A55" t="s">
        <v>3</v>
      </c>
      <c r="B55" s="1">
        <v>41913</v>
      </c>
      <c r="C55" s="4">
        <v>4.7755000000000001</v>
      </c>
      <c r="D55" s="4">
        <v>4.2700000000000002E-2</v>
      </c>
      <c r="E55" s="6">
        <v>2.43580365405539E-3</v>
      </c>
      <c r="F55" s="6">
        <v>4.1000000000000002E-2</v>
      </c>
      <c r="G55" s="6">
        <v>1E-4</v>
      </c>
    </row>
    <row r="56" spans="1:7" x14ac:dyDescent="0.25">
      <c r="A56" t="s">
        <v>3</v>
      </c>
      <c r="B56" s="1">
        <v>41944</v>
      </c>
      <c r="C56" s="4">
        <v>5.1914999999999996</v>
      </c>
      <c r="D56" s="4">
        <v>2.1299999999999999E-2</v>
      </c>
      <c r="E56" s="6">
        <v>1.9498019037850699E-3</v>
      </c>
      <c r="F56" s="6">
        <v>4.5499999999999999E-2</v>
      </c>
      <c r="G56" s="6">
        <v>1E-4</v>
      </c>
    </row>
    <row r="57" spans="1:7" x14ac:dyDescent="0.25">
      <c r="A57" t="s">
        <v>3</v>
      </c>
      <c r="B57" s="1">
        <v>41974</v>
      </c>
      <c r="C57" s="4">
        <v>4.2118000000000002</v>
      </c>
      <c r="D57" s="4">
        <v>6.59E-2</v>
      </c>
      <c r="E57" s="6">
        <v>3.1639523448709602E-3</v>
      </c>
      <c r="F57" s="6">
        <v>4.9099999999999998E-2</v>
      </c>
      <c r="G57" s="6">
        <v>2.0000000000000001E-4</v>
      </c>
    </row>
    <row r="58" spans="1:7" x14ac:dyDescent="0.25">
      <c r="A58" t="s">
        <v>3</v>
      </c>
      <c r="B58" s="1">
        <v>42005</v>
      </c>
      <c r="C58" s="4">
        <v>5.9295999999999998</v>
      </c>
      <c r="D58" s="4">
        <v>2.35E-2</v>
      </c>
      <c r="E58" s="6">
        <v>2.4825080357062301E-3</v>
      </c>
      <c r="F58" s="6">
        <v>5.4100000000000002E-2</v>
      </c>
      <c r="G58" s="6">
        <v>2.0000000000000001E-4</v>
      </c>
    </row>
    <row r="59" spans="1:7" x14ac:dyDescent="0.25">
      <c r="A59" t="s">
        <v>3</v>
      </c>
      <c r="B59" s="1">
        <v>42036</v>
      </c>
      <c r="C59" s="4">
        <v>7.6299000000000001</v>
      </c>
      <c r="D59" s="4">
        <v>3.1099999999999999E-2</v>
      </c>
      <c r="E59" s="6">
        <v>2.52494335767715E-3</v>
      </c>
      <c r="F59" s="6">
        <v>6.0600000000000001E-2</v>
      </c>
      <c r="G59" s="6">
        <v>2.0000000000000001E-4</v>
      </c>
    </row>
    <row r="60" spans="1:7" x14ac:dyDescent="0.25">
      <c r="A60" t="s">
        <v>3</v>
      </c>
      <c r="B60" s="1">
        <v>42064</v>
      </c>
      <c r="C60" s="4">
        <v>8.0511999999999997</v>
      </c>
      <c r="D60" s="4">
        <v>2.2800000000000001E-2</v>
      </c>
      <c r="E60" s="6">
        <v>3.1499647857695201E-3</v>
      </c>
      <c r="F60" s="6">
        <v>6.7500000000000004E-2</v>
      </c>
      <c r="G60" s="6">
        <v>2.0000000000000001E-4</v>
      </c>
    </row>
    <row r="61" spans="1:7" x14ac:dyDescent="0.25">
      <c r="A61" t="s">
        <v>3</v>
      </c>
      <c r="B61" s="1">
        <v>42095</v>
      </c>
      <c r="C61" s="4">
        <v>9.2845999999999993</v>
      </c>
      <c r="D61" s="4">
        <v>6.3500000000000001E-2</v>
      </c>
      <c r="E61" s="6">
        <v>2.35929860311377E-3</v>
      </c>
      <c r="F61" s="6">
        <v>7.5300000000000006E-2</v>
      </c>
      <c r="G61" s="6">
        <v>2.9999999999999997E-4</v>
      </c>
    </row>
    <row r="62" spans="1:7" x14ac:dyDescent="0.25">
      <c r="A62" t="s">
        <v>3</v>
      </c>
      <c r="B62" s="1">
        <v>42125</v>
      </c>
      <c r="C62" s="4">
        <v>9.7987000000000002</v>
      </c>
      <c r="D62" s="4">
        <v>2.69E-2</v>
      </c>
      <c r="E62" s="6">
        <v>2.45970523329553E-3</v>
      </c>
      <c r="F62" s="6">
        <v>8.3500000000000005E-2</v>
      </c>
      <c r="G62" s="6">
        <v>2.9999999999999997E-4</v>
      </c>
    </row>
    <row r="63" spans="1:7" x14ac:dyDescent="0.25">
      <c r="A63" t="s">
        <v>3</v>
      </c>
      <c r="B63" s="1">
        <v>42156</v>
      </c>
      <c r="C63" s="4">
        <v>0</v>
      </c>
      <c r="D63" s="4">
        <v>0</v>
      </c>
      <c r="E63" s="6">
        <v>2.8305324114169098E-3</v>
      </c>
      <c r="F63" s="7">
        <v>8.3500000000000005E-2</v>
      </c>
      <c r="G63" s="7">
        <v>2.9999999999999997E-4</v>
      </c>
    </row>
    <row r="64" spans="1:7" x14ac:dyDescent="0.25">
      <c r="A64" t="s">
        <v>4</v>
      </c>
      <c r="B64" s="1">
        <v>41730</v>
      </c>
      <c r="C64" s="4">
        <v>14.718299999999999</v>
      </c>
      <c r="D64" s="4">
        <v>0</v>
      </c>
      <c r="E64" s="6">
        <v>1.2582498026457499E-3</v>
      </c>
      <c r="F64" s="6">
        <v>1.4999999999999999E-2</v>
      </c>
      <c r="G64" s="6">
        <v>0</v>
      </c>
    </row>
    <row r="65" spans="1:7" x14ac:dyDescent="0.25">
      <c r="A65" t="s">
        <v>4</v>
      </c>
      <c r="B65" s="1">
        <v>41760</v>
      </c>
      <c r="C65" s="4">
        <v>8.6524000000000001</v>
      </c>
      <c r="D65" s="4">
        <v>0</v>
      </c>
      <c r="E65" s="6">
        <v>1.5944404332331099E-3</v>
      </c>
      <c r="F65" s="6">
        <v>2.3400000000000001E-2</v>
      </c>
      <c r="G65" s="6">
        <v>0</v>
      </c>
    </row>
    <row r="66" spans="1:7" x14ac:dyDescent="0.25">
      <c r="A66" t="s">
        <v>4</v>
      </c>
      <c r="B66" s="1">
        <v>41791</v>
      </c>
      <c r="C66" s="4">
        <v>8.5411999999999999</v>
      </c>
      <c r="D66" s="4">
        <v>0</v>
      </c>
      <c r="E66" s="6">
        <v>1.62206789496806E-3</v>
      </c>
      <c r="F66" s="6">
        <v>3.1600000000000003E-2</v>
      </c>
      <c r="G66" s="6">
        <v>0</v>
      </c>
    </row>
    <row r="67" spans="1:7" x14ac:dyDescent="0.25">
      <c r="A67" t="s">
        <v>4</v>
      </c>
      <c r="B67" s="1">
        <v>41821</v>
      </c>
      <c r="C67" s="4">
        <v>7.7906000000000004</v>
      </c>
      <c r="D67" s="4">
        <v>4.2799999999999998E-2</v>
      </c>
      <c r="E67" s="6">
        <v>1.83497047924029E-3</v>
      </c>
      <c r="F67" s="6">
        <v>3.9100000000000003E-2</v>
      </c>
      <c r="G67" s="6">
        <v>0</v>
      </c>
    </row>
    <row r="68" spans="1:7" x14ac:dyDescent="0.25">
      <c r="A68" t="s">
        <v>4</v>
      </c>
      <c r="B68" s="1">
        <v>41852</v>
      </c>
      <c r="C68" s="4">
        <v>7.0224000000000002</v>
      </c>
      <c r="D68" s="4">
        <v>3.3999999999999998E-3</v>
      </c>
      <c r="E68" s="6">
        <v>1.77433496993155E-3</v>
      </c>
      <c r="F68" s="6">
        <v>4.5699999999999998E-2</v>
      </c>
      <c r="G68" s="6">
        <v>0</v>
      </c>
    </row>
    <row r="69" spans="1:7" x14ac:dyDescent="0.25">
      <c r="A69" t="s">
        <v>4</v>
      </c>
      <c r="B69" s="1">
        <v>41883</v>
      </c>
      <c r="C69" s="4">
        <v>7.5042999999999997</v>
      </c>
      <c r="D69" s="4">
        <v>3.9E-2</v>
      </c>
      <c r="E69" s="6">
        <v>2.2391729474885501E-3</v>
      </c>
      <c r="F69" s="6">
        <v>5.2699999999999997E-2</v>
      </c>
      <c r="G69" s="6">
        <v>0</v>
      </c>
    </row>
    <row r="70" spans="1:7" x14ac:dyDescent="0.25">
      <c r="A70" t="s">
        <v>4</v>
      </c>
      <c r="B70" s="1">
        <v>41913</v>
      </c>
      <c r="C70" s="4">
        <v>10.3561</v>
      </c>
      <c r="D70" s="4">
        <v>2.5000000000000001E-2</v>
      </c>
      <c r="E70" s="6">
        <v>2.3875834479081602E-3</v>
      </c>
      <c r="F70" s="6">
        <v>6.2399999999999997E-2</v>
      </c>
      <c r="G70" s="6">
        <v>1E-4</v>
      </c>
    </row>
    <row r="71" spans="1:7" x14ac:dyDescent="0.25">
      <c r="A71" t="s">
        <v>4</v>
      </c>
      <c r="B71" s="1">
        <v>41944</v>
      </c>
      <c r="C71" s="4">
        <v>11.3248</v>
      </c>
      <c r="D71" s="4">
        <v>2.2499999999999999E-2</v>
      </c>
      <c r="E71" s="6">
        <v>2.2911961585951198E-3</v>
      </c>
      <c r="F71" s="6">
        <v>7.2999999999999995E-2</v>
      </c>
      <c r="G71" s="6">
        <v>1E-4</v>
      </c>
    </row>
    <row r="72" spans="1:7" x14ac:dyDescent="0.25">
      <c r="A72" t="s">
        <v>4</v>
      </c>
      <c r="B72" s="1">
        <v>41974</v>
      </c>
      <c r="C72" s="4">
        <v>9.6349999999999998</v>
      </c>
      <c r="D72" s="4">
        <v>3.2599999999999997E-2</v>
      </c>
      <c r="E72" s="6">
        <v>3.61345336157841E-3</v>
      </c>
      <c r="F72" s="6">
        <v>8.1799999999999998E-2</v>
      </c>
      <c r="G72" s="6">
        <v>1E-4</v>
      </c>
    </row>
    <row r="73" spans="1:7" x14ac:dyDescent="0.25">
      <c r="A73" t="s">
        <v>4</v>
      </c>
      <c r="B73" s="1">
        <v>42005</v>
      </c>
      <c r="C73" s="4">
        <v>17.597200000000001</v>
      </c>
      <c r="D73" s="4">
        <v>3.6299999999999999E-2</v>
      </c>
      <c r="E73" s="6">
        <v>2.8897348095416799E-3</v>
      </c>
      <c r="F73" s="6">
        <v>9.8400000000000001E-2</v>
      </c>
      <c r="G73" s="6">
        <v>1E-4</v>
      </c>
    </row>
    <row r="74" spans="1:7" x14ac:dyDescent="0.25">
      <c r="A74" t="s">
        <v>4</v>
      </c>
      <c r="B74" s="1">
        <v>42036</v>
      </c>
      <c r="C74" s="4">
        <v>19.887699999999999</v>
      </c>
      <c r="D74" s="4">
        <v>3.4700000000000002E-2</v>
      </c>
      <c r="E74" s="6">
        <v>2.89173380183875E-3</v>
      </c>
      <c r="F74" s="6">
        <v>0.1171</v>
      </c>
      <c r="G74" s="6">
        <v>2.0000000000000001E-4</v>
      </c>
    </row>
    <row r="75" spans="1:7" x14ac:dyDescent="0.25">
      <c r="A75" t="s">
        <v>4</v>
      </c>
      <c r="B75" s="1">
        <v>42064</v>
      </c>
      <c r="C75" s="4">
        <v>13.9582</v>
      </c>
      <c r="D75" s="4">
        <v>4.1599999999999998E-2</v>
      </c>
      <c r="E75" s="6">
        <v>3.4767765375114E-3</v>
      </c>
      <c r="F75" s="6">
        <v>0.1295</v>
      </c>
      <c r="G75" s="6">
        <v>2.0000000000000001E-4</v>
      </c>
    </row>
    <row r="76" spans="1:7" x14ac:dyDescent="0.25">
      <c r="A76" t="s">
        <v>4</v>
      </c>
      <c r="B76" s="1">
        <v>42095</v>
      </c>
      <c r="C76" s="4">
        <v>13.7494</v>
      </c>
      <c r="D76" s="4">
        <v>5.2600000000000001E-2</v>
      </c>
      <c r="E76" s="6">
        <v>2.63312904737718E-3</v>
      </c>
      <c r="F76" s="6">
        <v>0.14149999999999999</v>
      </c>
      <c r="G76" s="6">
        <v>2.0000000000000001E-4</v>
      </c>
    </row>
    <row r="77" spans="1:7" x14ac:dyDescent="0.25">
      <c r="A77" t="s">
        <v>4</v>
      </c>
      <c r="B77" s="1">
        <v>42125</v>
      </c>
      <c r="C77" s="4">
        <v>13.478199999999999</v>
      </c>
      <c r="D77" s="4">
        <v>5.04E-2</v>
      </c>
      <c r="E77" s="6">
        <v>2.8994875935216798E-3</v>
      </c>
      <c r="F77" s="6">
        <v>0.1532</v>
      </c>
      <c r="G77" s="6">
        <v>2.9999999999999997E-4</v>
      </c>
    </row>
    <row r="78" spans="1:7" x14ac:dyDescent="0.25">
      <c r="A78" t="s">
        <v>4</v>
      </c>
      <c r="B78" s="1">
        <v>42156</v>
      </c>
      <c r="C78" s="4">
        <v>0</v>
      </c>
      <c r="D78" s="4">
        <v>0</v>
      </c>
      <c r="E78" s="6">
        <v>3.4288805643157899E-3</v>
      </c>
      <c r="F78" s="7">
        <v>0.1532</v>
      </c>
      <c r="G78" s="7">
        <v>2.9999999999999997E-4</v>
      </c>
    </row>
    <row r="79" spans="1:7" x14ac:dyDescent="0.25">
      <c r="A79" t="s">
        <v>5</v>
      </c>
      <c r="B79" s="1">
        <v>41852</v>
      </c>
      <c r="C79" s="4">
        <v>34.337400000000002</v>
      </c>
      <c r="D79" s="4">
        <v>0</v>
      </c>
      <c r="E79" s="6">
        <v>1.8750273449471E-3</v>
      </c>
      <c r="F79" s="6">
        <v>4.3799999999999999E-2</v>
      </c>
      <c r="G79" s="6">
        <v>0</v>
      </c>
    </row>
    <row r="80" spans="1:7" x14ac:dyDescent="0.25">
      <c r="A80" t="s">
        <v>5</v>
      </c>
      <c r="B80" s="1">
        <v>41883</v>
      </c>
      <c r="C80" s="4">
        <v>13.198499999999999</v>
      </c>
      <c r="D80" s="4">
        <v>0</v>
      </c>
      <c r="E80" s="6">
        <v>2.18480727059924E-3</v>
      </c>
      <c r="F80" s="6">
        <v>5.8099999999999999E-2</v>
      </c>
      <c r="G80" s="6">
        <v>0</v>
      </c>
    </row>
    <row r="81" spans="1:7" x14ac:dyDescent="0.25">
      <c r="A81" t="s">
        <v>5</v>
      </c>
      <c r="B81" s="1">
        <v>41913</v>
      </c>
      <c r="C81" s="4">
        <v>22.500599999999999</v>
      </c>
      <c r="D81" s="4">
        <v>0</v>
      </c>
      <c r="E81" s="6">
        <v>2.5633474783678901E-3</v>
      </c>
      <c r="F81" s="6">
        <v>8.3599999999999994E-2</v>
      </c>
      <c r="G81" s="6">
        <v>0</v>
      </c>
    </row>
    <row r="82" spans="1:7" x14ac:dyDescent="0.25">
      <c r="A82" t="s">
        <v>5</v>
      </c>
      <c r="B82" s="1">
        <v>41944</v>
      </c>
      <c r="C82" s="4">
        <v>22.5213</v>
      </c>
      <c r="D82" s="4">
        <v>4.2700000000000002E-2</v>
      </c>
      <c r="E82" s="6">
        <v>2.5782310018865502E-3</v>
      </c>
      <c r="F82" s="6">
        <v>0.1084</v>
      </c>
      <c r="G82" s="6">
        <v>0</v>
      </c>
    </row>
    <row r="83" spans="1:7" x14ac:dyDescent="0.25">
      <c r="A83" t="s">
        <v>5</v>
      </c>
      <c r="B83" s="1">
        <v>41974</v>
      </c>
      <c r="C83" s="4">
        <v>19.411799999999999</v>
      </c>
      <c r="D83" s="4">
        <v>0</v>
      </c>
      <c r="E83" s="6">
        <v>4.1618114863963898E-3</v>
      </c>
      <c r="F83" s="6">
        <v>0.129</v>
      </c>
      <c r="G83" s="6">
        <v>0</v>
      </c>
    </row>
    <row r="84" spans="1:7" x14ac:dyDescent="0.25">
      <c r="A84" t="s">
        <v>5</v>
      </c>
      <c r="B84" s="1">
        <v>42005</v>
      </c>
      <c r="C84" s="4">
        <v>37.158299999999997</v>
      </c>
      <c r="D84" s="4">
        <v>4.1000000000000002E-2</v>
      </c>
      <c r="E84" s="6">
        <v>3.69019871178118E-3</v>
      </c>
      <c r="F84" s="6">
        <v>0.17199999999999999</v>
      </c>
      <c r="G84" s="6">
        <v>0</v>
      </c>
    </row>
    <row r="85" spans="1:7" x14ac:dyDescent="0.25">
      <c r="A85" t="s">
        <v>5</v>
      </c>
      <c r="B85" s="1">
        <v>42036</v>
      </c>
      <c r="C85" s="4">
        <v>38.846600000000002</v>
      </c>
      <c r="D85" s="4">
        <v>4.6100000000000002E-2</v>
      </c>
      <c r="E85" s="6">
        <v>3.9045994484270099E-3</v>
      </c>
      <c r="F85" s="6">
        <v>0.21560000000000001</v>
      </c>
      <c r="G85" s="6">
        <v>1E-4</v>
      </c>
    </row>
    <row r="86" spans="1:7" x14ac:dyDescent="0.25">
      <c r="A86" t="s">
        <v>5</v>
      </c>
      <c r="B86" s="1">
        <v>42064</v>
      </c>
      <c r="C86" s="4">
        <v>27.4253</v>
      </c>
      <c r="D86" s="4">
        <v>9.6799999999999997E-2</v>
      </c>
      <c r="E86" s="6">
        <v>4.9454945394582697E-3</v>
      </c>
      <c r="F86" s="6">
        <v>0.24299999999999999</v>
      </c>
      <c r="G86" s="6">
        <v>2.0000000000000001E-4</v>
      </c>
    </row>
    <row r="87" spans="1:7" x14ac:dyDescent="0.25">
      <c r="A87" t="s">
        <v>5</v>
      </c>
      <c r="B87" s="1">
        <v>42095</v>
      </c>
      <c r="C87" s="4">
        <v>24.923400000000001</v>
      </c>
      <c r="D87" s="4">
        <v>5.9700000000000003E-2</v>
      </c>
      <c r="E87" s="6">
        <v>4.09348673887507E-3</v>
      </c>
      <c r="F87" s="6">
        <v>0.26690000000000003</v>
      </c>
      <c r="G87" s="6">
        <v>2.0000000000000001E-4</v>
      </c>
    </row>
    <row r="88" spans="1:7" x14ac:dyDescent="0.25">
      <c r="A88" t="s">
        <v>5</v>
      </c>
      <c r="B88" s="1">
        <v>42125</v>
      </c>
      <c r="C88" s="4">
        <v>21.3535</v>
      </c>
      <c r="D88" s="4">
        <v>0.1091</v>
      </c>
      <c r="E88" s="6">
        <v>4.1318942079793201E-3</v>
      </c>
      <c r="F88" s="6">
        <v>0.28639999999999999</v>
      </c>
      <c r="G88" s="6">
        <v>2.9999999999999997E-4</v>
      </c>
    </row>
    <row r="89" spans="1:7" x14ac:dyDescent="0.25">
      <c r="A89" t="s">
        <v>5</v>
      </c>
      <c r="B89" s="1">
        <v>42156</v>
      </c>
      <c r="C89" s="4">
        <v>0</v>
      </c>
      <c r="D89" s="4">
        <v>0</v>
      </c>
      <c r="E89" s="6">
        <v>5.3233273851439897E-3</v>
      </c>
      <c r="F89" s="7">
        <v>0.28639999999999999</v>
      </c>
      <c r="G89" s="7">
        <v>2.9999999999999997E-4</v>
      </c>
    </row>
    <row r="90" spans="1:7" x14ac:dyDescent="0.25">
      <c r="A90" t="s">
        <v>6</v>
      </c>
      <c r="B90" s="1">
        <v>41883</v>
      </c>
      <c r="C90" s="4">
        <v>13.3165</v>
      </c>
      <c r="D90" s="4">
        <v>0</v>
      </c>
      <c r="E90" s="6">
        <v>0</v>
      </c>
      <c r="F90" s="6">
        <v>1.46E-2</v>
      </c>
      <c r="G90" s="6">
        <v>0</v>
      </c>
    </row>
    <row r="91" spans="1:7" x14ac:dyDescent="0.25">
      <c r="A91" t="s">
        <v>6</v>
      </c>
      <c r="B91" s="1">
        <v>41913</v>
      </c>
      <c r="C91" s="4">
        <v>22.260400000000001</v>
      </c>
      <c r="D91" s="4">
        <v>0</v>
      </c>
      <c r="E91" s="6">
        <v>1.9170658184365799E-3</v>
      </c>
      <c r="F91" s="6">
        <v>3.9800000000000002E-2</v>
      </c>
      <c r="G91" s="6">
        <v>0</v>
      </c>
    </row>
    <row r="92" spans="1:7" x14ac:dyDescent="0.25">
      <c r="A92" t="s">
        <v>6</v>
      </c>
      <c r="B92" s="1">
        <v>41944</v>
      </c>
      <c r="C92" s="4">
        <v>21.629799999999999</v>
      </c>
      <c r="D92" s="4">
        <v>0</v>
      </c>
      <c r="E92" s="6">
        <v>1.7382168099278599E-3</v>
      </c>
      <c r="F92" s="6">
        <v>6.3700000000000007E-2</v>
      </c>
      <c r="G92" s="6">
        <v>0</v>
      </c>
    </row>
    <row r="93" spans="1:7" x14ac:dyDescent="0.25">
      <c r="A93" t="s">
        <v>6</v>
      </c>
      <c r="B93" s="1">
        <v>41974</v>
      </c>
      <c r="C93" s="4">
        <v>21.002500000000001</v>
      </c>
      <c r="D93" s="4">
        <v>0</v>
      </c>
      <c r="E93" s="6">
        <v>3.5413995458346702E-3</v>
      </c>
      <c r="F93" s="6">
        <v>8.6300000000000002E-2</v>
      </c>
      <c r="G93" s="6">
        <v>0</v>
      </c>
    </row>
    <row r="94" spans="1:7" x14ac:dyDescent="0.25">
      <c r="A94" t="s">
        <v>6</v>
      </c>
      <c r="B94" s="1">
        <v>42005</v>
      </c>
      <c r="C94" s="4">
        <v>35.541899999999998</v>
      </c>
      <c r="D94" s="4">
        <v>0</v>
      </c>
      <c r="E94" s="6">
        <v>2.7748621000516899E-3</v>
      </c>
      <c r="F94" s="6">
        <v>0.12720000000000001</v>
      </c>
      <c r="G94" s="6">
        <v>0</v>
      </c>
    </row>
    <row r="95" spans="1:7" x14ac:dyDescent="0.25">
      <c r="A95" t="s">
        <v>6</v>
      </c>
      <c r="B95" s="1">
        <v>42036</v>
      </c>
      <c r="C95" s="4">
        <v>41.523499999999999</v>
      </c>
      <c r="D95" s="4">
        <v>1.9099999999999999E-2</v>
      </c>
      <c r="E95" s="6">
        <v>3.0916978033754998E-3</v>
      </c>
      <c r="F95" s="6">
        <v>0.17510000000000001</v>
      </c>
      <c r="G95" s="6">
        <v>0</v>
      </c>
    </row>
    <row r="96" spans="1:7" x14ac:dyDescent="0.25">
      <c r="A96" t="s">
        <v>6</v>
      </c>
      <c r="B96" s="1">
        <v>42064</v>
      </c>
      <c r="C96" s="4">
        <v>27.0959</v>
      </c>
      <c r="D96" s="4">
        <v>0</v>
      </c>
      <c r="E96" s="6">
        <v>4.2376432266131598E-3</v>
      </c>
      <c r="F96" s="6">
        <v>0.20230000000000001</v>
      </c>
      <c r="G96" s="6">
        <v>0</v>
      </c>
    </row>
    <row r="97" spans="1:7" x14ac:dyDescent="0.25">
      <c r="A97" t="s">
        <v>6</v>
      </c>
      <c r="B97" s="1">
        <v>42095</v>
      </c>
      <c r="C97" s="4">
        <v>23.529800000000002</v>
      </c>
      <c r="D97" s="4">
        <v>6.83E-2</v>
      </c>
      <c r="E97" s="6">
        <v>3.5782370579607601E-3</v>
      </c>
      <c r="F97" s="6">
        <v>0.22470000000000001</v>
      </c>
      <c r="G97" s="6">
        <v>0</v>
      </c>
    </row>
    <row r="98" spans="1:7" x14ac:dyDescent="0.25">
      <c r="A98" t="s">
        <v>6</v>
      </c>
      <c r="B98" s="1">
        <v>42125</v>
      </c>
      <c r="C98" s="4">
        <v>22.621600000000001</v>
      </c>
      <c r="D98" s="4">
        <v>5.1000000000000004E-3</v>
      </c>
      <c r="E98" s="6">
        <v>3.9062777689486301E-3</v>
      </c>
      <c r="F98" s="6">
        <v>0.2457</v>
      </c>
      <c r="G98" s="6">
        <v>0</v>
      </c>
    </row>
    <row r="99" spans="1:7" x14ac:dyDescent="0.25">
      <c r="A99" t="s">
        <v>6</v>
      </c>
      <c r="B99" s="1">
        <v>42156</v>
      </c>
      <c r="C99" s="4">
        <v>0</v>
      </c>
      <c r="D99" s="4">
        <v>0</v>
      </c>
      <c r="E99" s="6">
        <v>4.7030986431971997E-3</v>
      </c>
      <c r="F99" s="7">
        <v>0.2457</v>
      </c>
      <c r="G99" s="7">
        <v>0</v>
      </c>
    </row>
    <row r="100" spans="1:7" x14ac:dyDescent="0.25">
      <c r="A100" t="s">
        <v>7</v>
      </c>
      <c r="B100" s="1">
        <v>41852</v>
      </c>
      <c r="C100" s="4">
        <v>26.836099999999998</v>
      </c>
      <c r="D100" s="4">
        <v>0</v>
      </c>
      <c r="E100" s="6">
        <v>1.77747015749579E-3</v>
      </c>
      <c r="F100" s="6">
        <v>3.1199999999999999E-2</v>
      </c>
      <c r="G100" s="6">
        <v>0</v>
      </c>
    </row>
    <row r="101" spans="1:7" x14ac:dyDescent="0.25">
      <c r="A101" t="s">
        <v>7</v>
      </c>
      <c r="B101" s="1">
        <v>41883</v>
      </c>
      <c r="C101" s="4">
        <v>11.3437</v>
      </c>
      <c r="D101" s="4">
        <v>0</v>
      </c>
      <c r="E101" s="6">
        <v>2.6546245827528099E-3</v>
      </c>
      <c r="F101" s="6">
        <v>4.2999999999999997E-2</v>
      </c>
      <c r="G101" s="6">
        <v>0</v>
      </c>
    </row>
    <row r="102" spans="1:7" x14ac:dyDescent="0.25">
      <c r="A102" t="s">
        <v>7</v>
      </c>
      <c r="B102" s="1">
        <v>41913</v>
      </c>
      <c r="C102" s="4">
        <v>17.6995</v>
      </c>
      <c r="D102" s="4">
        <v>0</v>
      </c>
      <c r="E102" s="6">
        <v>3.07291430520249E-3</v>
      </c>
      <c r="F102" s="6">
        <v>6.1800000000000001E-2</v>
      </c>
      <c r="G102" s="6">
        <v>0</v>
      </c>
    </row>
    <row r="103" spans="1:7" x14ac:dyDescent="0.25">
      <c r="A103" t="s">
        <v>7</v>
      </c>
      <c r="B103" s="1">
        <v>41944</v>
      </c>
      <c r="C103" s="4">
        <v>18.272500000000001</v>
      </c>
      <c r="D103" s="4">
        <v>4.3099999999999999E-2</v>
      </c>
      <c r="E103" s="6">
        <v>3.5378818839678899E-3</v>
      </c>
      <c r="F103" s="6">
        <v>8.09E-2</v>
      </c>
      <c r="G103" s="6">
        <v>0</v>
      </c>
    </row>
    <row r="104" spans="1:7" x14ac:dyDescent="0.25">
      <c r="A104" t="s">
        <v>7</v>
      </c>
      <c r="B104" s="1">
        <v>41974</v>
      </c>
      <c r="C104" s="4">
        <v>15.596500000000001</v>
      </c>
      <c r="D104" s="4">
        <v>0.1948</v>
      </c>
      <c r="E104" s="6">
        <v>5.1635036194168701E-3</v>
      </c>
      <c r="F104" s="6">
        <v>9.6699999999999994E-2</v>
      </c>
      <c r="G104" s="6">
        <v>2.0000000000000001E-4</v>
      </c>
    </row>
    <row r="105" spans="1:7" x14ac:dyDescent="0.25">
      <c r="A105" t="s">
        <v>7</v>
      </c>
      <c r="B105" s="1">
        <v>42005</v>
      </c>
      <c r="C105" s="4">
        <v>30.398</v>
      </c>
      <c r="D105" s="4">
        <v>0</v>
      </c>
      <c r="E105" s="6">
        <v>4.2606312132453398E-3</v>
      </c>
      <c r="F105" s="6">
        <v>0.12970000000000001</v>
      </c>
      <c r="G105" s="6">
        <v>2.0000000000000001E-4</v>
      </c>
    </row>
    <row r="106" spans="1:7" x14ac:dyDescent="0.25">
      <c r="A106" t="s">
        <v>7</v>
      </c>
      <c r="B106" s="1">
        <v>42036</v>
      </c>
      <c r="C106" s="4">
        <v>33.429000000000002</v>
      </c>
      <c r="D106" s="4">
        <v>0.1084</v>
      </c>
      <c r="E106" s="6">
        <v>5.3237138676784897E-3</v>
      </c>
      <c r="F106" s="6">
        <v>0.16539999999999999</v>
      </c>
      <c r="G106" s="6">
        <v>2.9999999999999997E-4</v>
      </c>
    </row>
    <row r="107" spans="1:7" x14ac:dyDescent="0.25">
      <c r="A107" t="s">
        <v>7</v>
      </c>
      <c r="B107" s="1">
        <v>42064</v>
      </c>
      <c r="C107" s="4">
        <v>22.344000000000001</v>
      </c>
      <c r="D107" s="4">
        <v>0.1807</v>
      </c>
      <c r="E107" s="6">
        <v>5.8858695835742603E-3</v>
      </c>
      <c r="F107" s="6">
        <v>0.187</v>
      </c>
      <c r="G107" s="6">
        <v>4.0000000000000002E-4</v>
      </c>
    </row>
    <row r="108" spans="1:7" x14ac:dyDescent="0.25">
      <c r="A108" t="s">
        <v>7</v>
      </c>
      <c r="B108" s="1">
        <v>42095</v>
      </c>
      <c r="C108" s="4">
        <v>21.953800000000001</v>
      </c>
      <c r="D108" s="4">
        <v>0.22869999999999999</v>
      </c>
      <c r="E108" s="6">
        <v>4.2740795025214898E-3</v>
      </c>
      <c r="F108" s="6">
        <v>0.2077</v>
      </c>
      <c r="G108" s="6">
        <v>5.9999999999999995E-4</v>
      </c>
    </row>
    <row r="109" spans="1:7" x14ac:dyDescent="0.25">
      <c r="A109" t="s">
        <v>7</v>
      </c>
      <c r="B109" s="1">
        <v>42125</v>
      </c>
      <c r="C109" s="4">
        <v>21.616299999999999</v>
      </c>
      <c r="D109" s="4">
        <v>6.4899999999999999E-2</v>
      </c>
      <c r="E109" s="6">
        <v>5.1322419447953497E-3</v>
      </c>
      <c r="F109" s="6">
        <v>0.2276</v>
      </c>
      <c r="G109" s="6">
        <v>6.9999999999999999E-4</v>
      </c>
    </row>
    <row r="110" spans="1:7" x14ac:dyDescent="0.25">
      <c r="A110" t="s">
        <v>7</v>
      </c>
      <c r="B110" s="1">
        <v>42156</v>
      </c>
      <c r="C110" s="4">
        <v>0</v>
      </c>
      <c r="D110" s="4">
        <v>0</v>
      </c>
      <c r="E110" s="6">
        <v>6.1644989212499097E-3</v>
      </c>
      <c r="F110" s="7">
        <v>0.2276</v>
      </c>
      <c r="G110" s="7">
        <v>6.9999999999999999E-4</v>
      </c>
    </row>
    <row r="111" spans="1:7" x14ac:dyDescent="0.25">
      <c r="A111" t="s">
        <v>8</v>
      </c>
      <c r="B111" s="1">
        <v>41883</v>
      </c>
      <c r="C111" s="4">
        <v>17.9786</v>
      </c>
      <c r="D111" s="4">
        <v>6.1999999999999998E-3</v>
      </c>
      <c r="E111" s="6">
        <v>1.9867683813505799E-3</v>
      </c>
      <c r="F111" s="6">
        <v>1.7299999999999999E-2</v>
      </c>
      <c r="G111" s="6">
        <v>0</v>
      </c>
    </row>
    <row r="112" spans="1:7" x14ac:dyDescent="0.25">
      <c r="A112" t="s">
        <v>8</v>
      </c>
      <c r="B112" s="1">
        <v>41913</v>
      </c>
      <c r="C112" s="4">
        <v>7.1130000000000004</v>
      </c>
      <c r="D112" s="4">
        <v>0</v>
      </c>
      <c r="E112" s="6">
        <v>1.9704739462751298E-3</v>
      </c>
      <c r="F112" s="6">
        <v>2.3699999999999999E-2</v>
      </c>
      <c r="G112" s="6">
        <v>0</v>
      </c>
    </row>
    <row r="113" spans="1:7" x14ac:dyDescent="0.25">
      <c r="A113" t="s">
        <v>8</v>
      </c>
      <c r="B113" s="1">
        <v>41944</v>
      </c>
      <c r="C113" s="4">
        <v>7.6486000000000001</v>
      </c>
      <c r="D113" s="4">
        <v>0</v>
      </c>
      <c r="E113" s="6">
        <v>1.82791002941537E-3</v>
      </c>
      <c r="F113" s="6">
        <v>3.0599999999999999E-2</v>
      </c>
      <c r="G113" s="6">
        <v>0</v>
      </c>
    </row>
    <row r="114" spans="1:7" x14ac:dyDescent="0.25">
      <c r="A114" t="s">
        <v>8</v>
      </c>
      <c r="B114" s="1">
        <v>41974</v>
      </c>
      <c r="C114" s="4">
        <v>6.3979999999999997</v>
      </c>
      <c r="D114" s="4">
        <v>2.5999999999999999E-2</v>
      </c>
      <c r="E114" s="6">
        <v>3.1173836097395098E-3</v>
      </c>
      <c r="F114" s="6">
        <v>3.6200000000000003E-2</v>
      </c>
      <c r="G114" s="6">
        <v>0</v>
      </c>
    </row>
    <row r="115" spans="1:7" x14ac:dyDescent="0.25">
      <c r="A115" t="s">
        <v>8</v>
      </c>
      <c r="B115" s="1">
        <v>42005</v>
      </c>
      <c r="C115" s="4">
        <v>11.402200000000001</v>
      </c>
      <c r="D115" s="4">
        <v>6.5199999999999994E-2</v>
      </c>
      <c r="E115" s="6">
        <v>2.5871680534557298E-3</v>
      </c>
      <c r="F115" s="6">
        <v>4.6399999999999997E-2</v>
      </c>
      <c r="G115" s="6">
        <v>0</v>
      </c>
    </row>
    <row r="116" spans="1:7" x14ac:dyDescent="0.25">
      <c r="A116" t="s">
        <v>8</v>
      </c>
      <c r="B116" s="1">
        <v>42036</v>
      </c>
      <c r="C116" s="4">
        <v>14.1052</v>
      </c>
      <c r="D116" s="4">
        <v>8.3799999999999999E-2</v>
      </c>
      <c r="E116" s="6">
        <v>2.9512584597165201E-3</v>
      </c>
      <c r="F116" s="6">
        <v>5.91E-2</v>
      </c>
      <c r="G116" s="6">
        <v>1E-4</v>
      </c>
    </row>
    <row r="117" spans="1:7" x14ac:dyDescent="0.25">
      <c r="A117" t="s">
        <v>8</v>
      </c>
      <c r="B117" s="1">
        <v>42064</v>
      </c>
      <c r="C117" s="4">
        <v>12.1469</v>
      </c>
      <c r="D117" s="4">
        <v>0.06</v>
      </c>
      <c r="E117" s="6">
        <v>3.4120372853844198E-3</v>
      </c>
      <c r="F117" s="6">
        <v>6.9699999999999998E-2</v>
      </c>
      <c r="G117" s="6">
        <v>2.0000000000000001E-4</v>
      </c>
    </row>
    <row r="118" spans="1:7" x14ac:dyDescent="0.25">
      <c r="A118" t="s">
        <v>8</v>
      </c>
      <c r="B118" s="1">
        <v>42095</v>
      </c>
      <c r="C118" s="4">
        <v>12.386200000000001</v>
      </c>
      <c r="D118" s="4">
        <v>6.0499999999999998E-2</v>
      </c>
      <c r="E118" s="6">
        <v>2.5385131985243702E-3</v>
      </c>
      <c r="F118" s="6">
        <v>8.0500000000000002E-2</v>
      </c>
      <c r="G118" s="6">
        <v>2.0000000000000001E-4</v>
      </c>
    </row>
    <row r="119" spans="1:7" x14ac:dyDescent="0.25">
      <c r="A119" t="s">
        <v>8</v>
      </c>
      <c r="B119" s="1">
        <v>42125</v>
      </c>
      <c r="C119" s="4">
        <v>12.855</v>
      </c>
      <c r="D119" s="4">
        <v>6.08E-2</v>
      </c>
      <c r="E119" s="6">
        <v>2.9648472609394602E-3</v>
      </c>
      <c r="F119" s="6">
        <v>9.1499999999999998E-2</v>
      </c>
      <c r="G119" s="6">
        <v>2.9999999999999997E-4</v>
      </c>
    </row>
    <row r="120" spans="1:7" x14ac:dyDescent="0.25">
      <c r="A120" t="s">
        <v>8</v>
      </c>
      <c r="B120" s="1">
        <v>42156</v>
      </c>
      <c r="C120" s="4">
        <v>0</v>
      </c>
      <c r="D120" s="4">
        <v>0</v>
      </c>
      <c r="E120" s="6">
        <v>3.7651571127040799E-3</v>
      </c>
      <c r="F120" s="7">
        <v>9.1499999999999998E-2</v>
      </c>
      <c r="G120" s="7">
        <v>2.9999999999999997E-4</v>
      </c>
    </row>
    <row r="121" spans="1:7" x14ac:dyDescent="0.25">
      <c r="A121" t="s">
        <v>9</v>
      </c>
      <c r="B121" s="1">
        <v>41883</v>
      </c>
      <c r="C121" s="4">
        <v>7.9057000000000004</v>
      </c>
      <c r="D121" s="4">
        <v>0</v>
      </c>
      <c r="E121" s="6">
        <v>0</v>
      </c>
      <c r="F121" s="6">
        <v>8.0000000000000002E-3</v>
      </c>
      <c r="G121" s="6">
        <v>0</v>
      </c>
    </row>
    <row r="122" spans="1:7" x14ac:dyDescent="0.25">
      <c r="A122" t="s">
        <v>9</v>
      </c>
      <c r="B122" s="1">
        <v>41913</v>
      </c>
      <c r="C122" s="4">
        <v>16.529800000000002</v>
      </c>
      <c r="D122" s="4">
        <v>0</v>
      </c>
      <c r="E122" s="6">
        <v>1.6623303474317399E-3</v>
      </c>
      <c r="F122" s="6">
        <v>2.53E-2</v>
      </c>
      <c r="G122" s="6">
        <v>0</v>
      </c>
    </row>
    <row r="123" spans="1:7" x14ac:dyDescent="0.25">
      <c r="A123" t="s">
        <v>9</v>
      </c>
      <c r="B123" s="1">
        <v>41944</v>
      </c>
      <c r="C123" s="4">
        <v>14.737299999999999</v>
      </c>
      <c r="D123" s="4">
        <v>0</v>
      </c>
      <c r="E123" s="6">
        <v>1.8127235784901399E-3</v>
      </c>
      <c r="F123" s="6">
        <v>4.0399999999999998E-2</v>
      </c>
      <c r="G123" s="6">
        <v>0</v>
      </c>
    </row>
    <row r="124" spans="1:7" x14ac:dyDescent="0.25">
      <c r="A124" t="s">
        <v>9</v>
      </c>
      <c r="B124" s="1">
        <v>41974</v>
      </c>
      <c r="C124" s="4">
        <v>15.9307</v>
      </c>
      <c r="D124" s="4">
        <v>0</v>
      </c>
      <c r="E124" s="6">
        <v>3.2100016355282599E-3</v>
      </c>
      <c r="F124" s="6">
        <v>5.6599999999999998E-2</v>
      </c>
      <c r="G124" s="6">
        <v>0</v>
      </c>
    </row>
    <row r="125" spans="1:7" x14ac:dyDescent="0.25">
      <c r="A125" t="s">
        <v>9</v>
      </c>
      <c r="B125" s="1">
        <v>42005</v>
      </c>
      <c r="C125" s="4">
        <v>28.165900000000001</v>
      </c>
      <c r="D125" s="4">
        <v>0</v>
      </c>
      <c r="E125" s="6">
        <v>3.4388182085411199E-3</v>
      </c>
      <c r="F125" s="6">
        <v>8.6699999999999999E-2</v>
      </c>
      <c r="G125" s="6">
        <v>0</v>
      </c>
    </row>
    <row r="126" spans="1:7" x14ac:dyDescent="0.25">
      <c r="A126" t="s">
        <v>9</v>
      </c>
      <c r="B126" s="1">
        <v>42036</v>
      </c>
      <c r="C126" s="4">
        <v>34.780200000000001</v>
      </c>
      <c r="D126" s="4">
        <v>0.18659999999999999</v>
      </c>
      <c r="E126" s="6">
        <v>4.1123124381280398E-3</v>
      </c>
      <c r="F126" s="6">
        <v>0.1244</v>
      </c>
      <c r="G126" s="6">
        <v>1E-4</v>
      </c>
    </row>
    <row r="127" spans="1:7" x14ac:dyDescent="0.25">
      <c r="A127" t="s">
        <v>9</v>
      </c>
      <c r="B127" s="1">
        <v>42064</v>
      </c>
      <c r="C127" s="4">
        <v>22.173100000000002</v>
      </c>
      <c r="D127" s="4">
        <v>0.1017</v>
      </c>
      <c r="E127" s="6">
        <v>5.0680743447907902E-3</v>
      </c>
      <c r="F127" s="6">
        <v>0.14580000000000001</v>
      </c>
      <c r="G127" s="6">
        <v>2.0000000000000001E-4</v>
      </c>
    </row>
    <row r="128" spans="1:7" x14ac:dyDescent="0.25">
      <c r="A128" t="s">
        <v>9</v>
      </c>
      <c r="B128" s="1">
        <v>42095</v>
      </c>
      <c r="C128" s="4">
        <v>20.960100000000001</v>
      </c>
      <c r="D128" s="4">
        <v>0.1095</v>
      </c>
      <c r="E128" s="6">
        <v>3.77482947982053E-3</v>
      </c>
      <c r="F128" s="6">
        <v>0.16550000000000001</v>
      </c>
      <c r="G128" s="6">
        <v>2.9999999999999997E-4</v>
      </c>
    </row>
    <row r="129" spans="1:7" x14ac:dyDescent="0.25">
      <c r="A129" t="s">
        <v>9</v>
      </c>
      <c r="B129" s="1">
        <v>42125</v>
      </c>
      <c r="C129" s="4">
        <v>19.663900000000002</v>
      </c>
      <c r="D129" s="4">
        <v>0.1643</v>
      </c>
      <c r="E129" s="6">
        <v>4.4673961711471696E-3</v>
      </c>
      <c r="F129" s="6">
        <v>0.18340000000000001</v>
      </c>
      <c r="G129" s="6">
        <v>4.0000000000000002E-4</v>
      </c>
    </row>
    <row r="130" spans="1:7" x14ac:dyDescent="0.25">
      <c r="A130" t="s">
        <v>9</v>
      </c>
      <c r="B130" s="1">
        <v>42156</v>
      </c>
      <c r="C130" s="4">
        <v>0</v>
      </c>
      <c r="D130" s="4">
        <v>0</v>
      </c>
      <c r="E130" s="6">
        <v>5.9045563730843499E-3</v>
      </c>
      <c r="F130" s="7">
        <v>0.18340000000000001</v>
      </c>
      <c r="G130" s="7">
        <v>4.0000000000000002E-4</v>
      </c>
    </row>
    <row r="131" spans="1:7" x14ac:dyDescent="0.25">
      <c r="A131" t="s">
        <v>10</v>
      </c>
      <c r="B131" s="1">
        <v>42005</v>
      </c>
      <c r="C131" s="4">
        <v>51.978200000000001</v>
      </c>
      <c r="D131" s="4">
        <v>0</v>
      </c>
      <c r="E131" s="6">
        <v>1.5922864086589899E-3</v>
      </c>
      <c r="F131" s="6">
        <v>6.8699999999999997E-2</v>
      </c>
      <c r="G131" s="6">
        <v>0</v>
      </c>
    </row>
    <row r="132" spans="1:7" x14ac:dyDescent="0.25">
      <c r="A132" t="s">
        <v>10</v>
      </c>
      <c r="B132" s="1">
        <v>42036</v>
      </c>
      <c r="C132" s="4">
        <v>37.950000000000003</v>
      </c>
      <c r="D132" s="4">
        <v>0</v>
      </c>
      <c r="E132" s="6">
        <v>1.73183463286868E-3</v>
      </c>
      <c r="F132" s="6">
        <v>0.1111</v>
      </c>
      <c r="G132" s="6">
        <v>0</v>
      </c>
    </row>
    <row r="133" spans="1:7" x14ac:dyDescent="0.25">
      <c r="A133" t="s">
        <v>10</v>
      </c>
      <c r="B133" s="1">
        <v>42064</v>
      </c>
      <c r="C133" s="4">
        <v>23.9587</v>
      </c>
      <c r="D133" s="4">
        <v>0</v>
      </c>
      <c r="E133" s="6">
        <v>3.4222049864019101E-3</v>
      </c>
      <c r="F133" s="6">
        <v>0.13469999999999999</v>
      </c>
      <c r="G133" s="6">
        <v>0</v>
      </c>
    </row>
    <row r="134" spans="1:7" x14ac:dyDescent="0.25">
      <c r="A134" t="s">
        <v>10</v>
      </c>
      <c r="B134" s="1">
        <v>42095</v>
      </c>
      <c r="C134" s="4">
        <v>22.691099999999999</v>
      </c>
      <c r="D134" s="4">
        <v>0</v>
      </c>
      <c r="E134" s="6">
        <v>2.11566290273635E-3</v>
      </c>
      <c r="F134" s="6">
        <v>0.15629999999999999</v>
      </c>
      <c r="G134" s="6">
        <v>0</v>
      </c>
    </row>
    <row r="135" spans="1:7" x14ac:dyDescent="0.25">
      <c r="A135" t="s">
        <v>10</v>
      </c>
      <c r="B135" s="1">
        <v>42125</v>
      </c>
      <c r="C135" s="4">
        <v>19.299199999999999</v>
      </c>
      <c r="D135" s="4">
        <v>2.7900000000000001E-2</v>
      </c>
      <c r="E135" s="6">
        <v>2.7772949574741499E-3</v>
      </c>
      <c r="F135" s="6">
        <v>0.1739</v>
      </c>
      <c r="G135" s="6">
        <v>0</v>
      </c>
    </row>
    <row r="136" spans="1:7" x14ac:dyDescent="0.25">
      <c r="A136" t="s">
        <v>10</v>
      </c>
      <c r="B136" s="1">
        <v>42156</v>
      </c>
      <c r="C136" s="4">
        <v>0</v>
      </c>
      <c r="D136" s="4">
        <v>0</v>
      </c>
      <c r="E136" s="6">
        <v>3.5491638964424998E-3</v>
      </c>
      <c r="F136" s="7">
        <v>0.1739</v>
      </c>
      <c r="G136" s="7">
        <v>0</v>
      </c>
    </row>
    <row r="137" spans="1:7" x14ac:dyDescent="0.25">
      <c r="A137" t="s">
        <v>11</v>
      </c>
      <c r="B137" s="1">
        <v>42095</v>
      </c>
      <c r="C137" s="4">
        <v>16.482600000000001</v>
      </c>
      <c r="D137" s="4">
        <v>0</v>
      </c>
      <c r="E137" s="6">
        <v>5.5999090056126305E-4</v>
      </c>
      <c r="F137" s="6">
        <v>1.43E-2</v>
      </c>
      <c r="G137" s="6">
        <v>0</v>
      </c>
    </row>
    <row r="138" spans="1:7" x14ac:dyDescent="0.25">
      <c r="A138" t="s">
        <v>11</v>
      </c>
      <c r="B138" s="1">
        <v>42125</v>
      </c>
      <c r="C138" s="4">
        <v>10.3049</v>
      </c>
      <c r="D138" s="4">
        <v>0</v>
      </c>
      <c r="E138" s="6">
        <v>7.6209042857628502E-4</v>
      </c>
      <c r="F138" s="6">
        <v>2.29E-2</v>
      </c>
      <c r="G138" s="6">
        <v>0</v>
      </c>
    </row>
    <row r="139" spans="1:7" x14ac:dyDescent="0.25">
      <c r="A139" t="s">
        <v>11</v>
      </c>
      <c r="B139" s="1">
        <v>42156</v>
      </c>
      <c r="C139" s="4">
        <v>0</v>
      </c>
      <c r="D139" s="4">
        <v>0</v>
      </c>
      <c r="E139" s="6">
        <v>1.1834858248674E-3</v>
      </c>
      <c r="F139" s="7">
        <v>2.29E-2</v>
      </c>
      <c r="G139" s="7">
        <v>0</v>
      </c>
    </row>
    <row r="140" spans="1:7" x14ac:dyDescent="0.25">
      <c r="A140" t="s">
        <v>12</v>
      </c>
      <c r="B140" s="1">
        <v>42156</v>
      </c>
      <c r="C140" s="4">
        <v>0</v>
      </c>
      <c r="D140" s="4">
        <v>0</v>
      </c>
      <c r="E140" s="6">
        <v>1.79269471932988E-3</v>
      </c>
      <c r="F140" s="7">
        <v>1.37E-2</v>
      </c>
      <c r="G140" s="7">
        <v>0</v>
      </c>
    </row>
    <row r="141" spans="1:7" x14ac:dyDescent="0.25">
      <c r="A141" t="s">
        <v>13</v>
      </c>
      <c r="B141" s="1">
        <v>42064</v>
      </c>
      <c r="C141" s="4">
        <v>39.482300000000002</v>
      </c>
      <c r="D141" s="4">
        <v>0</v>
      </c>
      <c r="E141" s="6">
        <v>2.03240793500672E-3</v>
      </c>
      <c r="F141" s="6">
        <v>4.3200000000000002E-2</v>
      </c>
      <c r="G141" s="6">
        <v>0</v>
      </c>
    </row>
    <row r="142" spans="1:7" x14ac:dyDescent="0.25">
      <c r="A142" t="s">
        <v>13</v>
      </c>
      <c r="B142" s="1">
        <v>42095</v>
      </c>
      <c r="C142" s="4">
        <v>17.138100000000001</v>
      </c>
      <c r="D142" s="4">
        <v>0</v>
      </c>
      <c r="E142" s="6">
        <v>1.6889907033116099E-3</v>
      </c>
      <c r="F142" s="6">
        <v>5.8999999999999997E-2</v>
      </c>
      <c r="G142" s="6">
        <v>0</v>
      </c>
    </row>
    <row r="143" spans="1:7" x14ac:dyDescent="0.25">
      <c r="A143" t="s">
        <v>13</v>
      </c>
      <c r="B143" s="1">
        <v>42125</v>
      </c>
      <c r="C143" s="4">
        <v>15.325200000000001</v>
      </c>
      <c r="D143" s="4">
        <v>0</v>
      </c>
      <c r="E143" s="6">
        <v>1.94430091270715E-3</v>
      </c>
      <c r="F143" s="6">
        <v>7.2599999999999998E-2</v>
      </c>
      <c r="G143" s="6">
        <v>0</v>
      </c>
    </row>
    <row r="144" spans="1:7" x14ac:dyDescent="0.25">
      <c r="A144" t="s">
        <v>13</v>
      </c>
      <c r="B144" s="1">
        <v>42156</v>
      </c>
      <c r="C144" s="4">
        <v>0</v>
      </c>
      <c r="D144" s="4">
        <v>0</v>
      </c>
      <c r="E144" s="6">
        <v>2.6498330954822999E-3</v>
      </c>
      <c r="F144" s="7">
        <v>7.2599999999999998E-2</v>
      </c>
      <c r="G144" s="7">
        <v>0</v>
      </c>
    </row>
    <row r="145" spans="1:7" x14ac:dyDescent="0.25">
      <c r="A145" t="s">
        <v>14</v>
      </c>
      <c r="B145" s="1">
        <v>42095</v>
      </c>
      <c r="C145" s="4">
        <v>12.428100000000001</v>
      </c>
      <c r="D145" s="4">
        <v>0</v>
      </c>
      <c r="E145" s="6">
        <v>0</v>
      </c>
      <c r="F145" s="6">
        <v>1.0699999999999999E-2</v>
      </c>
      <c r="G145" s="6">
        <v>0</v>
      </c>
    </row>
    <row r="146" spans="1:7" x14ac:dyDescent="0.25">
      <c r="A146" t="s">
        <v>14</v>
      </c>
      <c r="B146" s="1">
        <v>42125</v>
      </c>
      <c r="C146" s="4">
        <v>12.8009</v>
      </c>
      <c r="D146" s="4">
        <v>0</v>
      </c>
      <c r="E146" s="6">
        <v>1.0399318474289801E-3</v>
      </c>
      <c r="F146" s="6">
        <v>2.1700000000000001E-2</v>
      </c>
      <c r="G146" s="6">
        <v>0</v>
      </c>
    </row>
    <row r="147" spans="1:7" x14ac:dyDescent="0.25">
      <c r="A147" t="s">
        <v>14</v>
      </c>
      <c r="B147" s="1">
        <v>42156</v>
      </c>
      <c r="C147" s="4">
        <v>0</v>
      </c>
      <c r="D147" s="4">
        <v>0</v>
      </c>
      <c r="E147" s="6">
        <v>1.6668659441076001E-3</v>
      </c>
      <c r="F147" s="7">
        <v>2.1700000000000001E-2</v>
      </c>
      <c r="G147" s="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2:AD89"/>
  <sheetViews>
    <sheetView zoomScaleNormal="100" workbookViewId="0">
      <selection activeCell="J1" sqref="J1:J1048576"/>
    </sheetView>
  </sheetViews>
  <sheetFormatPr defaultRowHeight="15" x14ac:dyDescent="0.25"/>
  <cols>
    <col min="1" max="14" width="10" style="32" customWidth="1"/>
    <col min="15" max="16" width="2.85546875" style="23" customWidth="1"/>
    <col min="17" max="30" width="10" style="23" customWidth="1"/>
    <col min="31" max="31" width="6.140625" customWidth="1"/>
    <col min="32" max="32" width="15.85546875" bestFit="1" customWidth="1"/>
    <col min="33" max="33" width="12.7109375" bestFit="1" customWidth="1"/>
    <col min="34" max="34" width="15.85546875" bestFit="1" customWidth="1"/>
    <col min="35" max="35" width="12.7109375" bestFit="1" customWidth="1"/>
    <col min="36" max="40" width="6.140625" customWidth="1"/>
    <col min="41" max="41" width="15.85546875" bestFit="1" customWidth="1"/>
    <col min="42" max="42" width="12.7109375" bestFit="1" customWidth="1"/>
    <col min="43" max="45" width="6.140625" customWidth="1"/>
    <col min="46" max="46" width="15.85546875" bestFit="1" customWidth="1"/>
    <col min="47" max="47" width="12.7109375" bestFit="1" customWidth="1"/>
    <col min="48" max="51" width="6.140625" customWidth="1"/>
    <col min="52" max="52" width="15.85546875" bestFit="1" customWidth="1"/>
    <col min="53" max="53" width="12.7109375" bestFit="1" customWidth="1"/>
    <col min="54" max="54" width="15.85546875" bestFit="1" customWidth="1"/>
    <col min="55" max="55" width="13" bestFit="1" customWidth="1"/>
    <col min="56" max="56" width="16.140625" bestFit="1" customWidth="1"/>
    <col min="57" max="57" width="12.7109375" bestFit="1" customWidth="1"/>
    <col min="58" max="58" width="15.85546875" bestFit="1" customWidth="1"/>
    <col min="59" max="59" width="12.7109375" bestFit="1" customWidth="1"/>
    <col min="60" max="60" width="15.85546875" bestFit="1" customWidth="1"/>
  </cols>
  <sheetData>
    <row r="2" spans="1:30" x14ac:dyDescent="0.25">
      <c r="A2" s="52" t="s">
        <v>88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Q2" s="53" t="s">
        <v>85</v>
      </c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</row>
    <row r="3" spans="1:30" hidden="1" x14ac:dyDescent="0.25">
      <c r="A3" s="33" t="s">
        <v>59</v>
      </c>
      <c r="B3" s="33" t="s">
        <v>58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Q3" s="33" t="s">
        <v>85</v>
      </c>
      <c r="R3" s="33" t="s">
        <v>58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</row>
    <row r="4" spans="1:30" x14ac:dyDescent="0.25">
      <c r="A4" s="31" t="s">
        <v>57</v>
      </c>
      <c r="B4" s="31" t="s">
        <v>1</v>
      </c>
      <c r="C4" s="31" t="s">
        <v>2</v>
      </c>
      <c r="D4" s="31" t="s">
        <v>3</v>
      </c>
      <c r="E4" s="31" t="s">
        <v>4</v>
      </c>
      <c r="F4" s="31" t="s">
        <v>5</v>
      </c>
      <c r="G4" s="31" t="s">
        <v>6</v>
      </c>
      <c r="H4" s="31" t="s">
        <v>7</v>
      </c>
      <c r="I4" s="31" t="s">
        <v>8</v>
      </c>
      <c r="J4" s="31" t="s">
        <v>9</v>
      </c>
      <c r="K4" s="31" t="s">
        <v>10</v>
      </c>
      <c r="L4" s="31" t="s">
        <v>11</v>
      </c>
      <c r="M4" s="31" t="s">
        <v>13</v>
      </c>
      <c r="N4" s="31" t="s">
        <v>14</v>
      </c>
      <c r="Q4" s="35" t="s">
        <v>57</v>
      </c>
      <c r="R4" s="35" t="s">
        <v>1</v>
      </c>
      <c r="S4" s="35" t="s">
        <v>2</v>
      </c>
      <c r="T4" s="35" t="s">
        <v>3</v>
      </c>
      <c r="U4" s="35" t="s">
        <v>4</v>
      </c>
      <c r="V4" s="35" t="s">
        <v>5</v>
      </c>
      <c r="W4" s="35" t="s">
        <v>6</v>
      </c>
      <c r="X4" s="35" t="s">
        <v>7</v>
      </c>
      <c r="Y4" s="35" t="s">
        <v>8</v>
      </c>
      <c r="Z4" s="35" t="s">
        <v>9</v>
      </c>
      <c r="AA4" s="35" t="s">
        <v>10</v>
      </c>
      <c r="AB4" s="35" t="s">
        <v>11</v>
      </c>
      <c r="AC4" s="35" t="s">
        <v>13</v>
      </c>
      <c r="AD4" s="35" t="s">
        <v>14</v>
      </c>
    </row>
    <row r="5" spans="1:30" x14ac:dyDescent="0.25">
      <c r="A5" s="36">
        <v>41426</v>
      </c>
      <c r="B5" s="37">
        <v>7.1894999999999998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Q5" s="36">
        <v>41426</v>
      </c>
      <c r="R5" s="38">
        <v>0</v>
      </c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</row>
    <row r="6" spans="1:30" x14ac:dyDescent="0.25">
      <c r="A6" s="36">
        <v>41456</v>
      </c>
      <c r="B6" s="37">
        <v>5.2968000000000002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Q6" s="36">
        <v>41456</v>
      </c>
      <c r="R6" s="38">
        <v>0</v>
      </c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</row>
    <row r="7" spans="1:30" x14ac:dyDescent="0.25">
      <c r="A7" s="36">
        <v>41487</v>
      </c>
      <c r="B7" s="37">
        <v>3.7195999999999998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Q7" s="36">
        <v>41487</v>
      </c>
      <c r="R7" s="38">
        <v>0</v>
      </c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</row>
    <row r="8" spans="1:30" x14ac:dyDescent="0.25">
      <c r="A8" s="36">
        <v>41518</v>
      </c>
      <c r="B8" s="37">
        <v>3.9026999999999998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Q8" s="36">
        <v>41518</v>
      </c>
      <c r="R8" s="38">
        <v>0</v>
      </c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</row>
    <row r="9" spans="1:30" x14ac:dyDescent="0.25">
      <c r="A9" s="36">
        <v>41548</v>
      </c>
      <c r="B9" s="37">
        <v>3.5990000000000002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Q9" s="36">
        <v>41548</v>
      </c>
      <c r="R9" s="38">
        <v>0</v>
      </c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</row>
    <row r="10" spans="1:30" x14ac:dyDescent="0.25">
      <c r="A10" s="36">
        <v>41579</v>
      </c>
      <c r="B10" s="37">
        <v>3.7277999999999998</v>
      </c>
      <c r="C10" s="37">
        <v>8.3688000000000002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Q10" s="36">
        <v>41579</v>
      </c>
      <c r="R10" s="38">
        <v>5.4000000000000003E-3</v>
      </c>
      <c r="S10" s="38">
        <v>0</v>
      </c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</row>
    <row r="11" spans="1:30" x14ac:dyDescent="0.25">
      <c r="A11" s="36">
        <v>41609</v>
      </c>
      <c r="B11" s="37">
        <v>3.1396999999999999</v>
      </c>
      <c r="C11" s="37">
        <v>2.5486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Q11" s="36">
        <v>41609</v>
      </c>
      <c r="R11" s="38">
        <v>1.66E-2</v>
      </c>
      <c r="S11" s="38">
        <v>0</v>
      </c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</row>
    <row r="12" spans="1:30" x14ac:dyDescent="0.25">
      <c r="A12" s="36">
        <v>41640</v>
      </c>
      <c r="B12" s="37">
        <v>2.976</v>
      </c>
      <c r="C12" s="37">
        <v>2.6267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Q12" s="36">
        <v>41640</v>
      </c>
      <c r="R12" s="38">
        <v>0.03</v>
      </c>
      <c r="S12" s="38">
        <v>0</v>
      </c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</row>
    <row r="13" spans="1:30" x14ac:dyDescent="0.25">
      <c r="A13" s="36">
        <v>41671</v>
      </c>
      <c r="B13" s="37">
        <v>3.8313999999999999</v>
      </c>
      <c r="C13" s="37">
        <v>3.6274999999999999</v>
      </c>
      <c r="D13" s="37">
        <v>7.4269999999999996</v>
      </c>
      <c r="E13" s="37"/>
      <c r="F13" s="37"/>
      <c r="G13" s="37"/>
      <c r="H13" s="37"/>
      <c r="I13" s="37"/>
      <c r="J13" s="37"/>
      <c r="K13" s="37"/>
      <c r="L13" s="37"/>
      <c r="M13" s="37"/>
      <c r="N13" s="37"/>
      <c r="Q13" s="36">
        <v>41671</v>
      </c>
      <c r="R13" s="38">
        <v>1.9E-2</v>
      </c>
      <c r="S13" s="38">
        <v>8.9999999999999993E-3</v>
      </c>
      <c r="T13" s="38">
        <v>0</v>
      </c>
      <c r="U13" s="38"/>
      <c r="V13" s="38"/>
      <c r="W13" s="38"/>
      <c r="X13" s="38"/>
      <c r="Y13" s="38"/>
      <c r="Z13" s="38"/>
      <c r="AA13" s="38"/>
      <c r="AB13" s="38"/>
      <c r="AC13" s="38"/>
      <c r="AD13" s="38"/>
    </row>
    <row r="14" spans="1:30" x14ac:dyDescent="0.25">
      <c r="A14" s="36">
        <v>41699</v>
      </c>
      <c r="B14" s="37">
        <v>3.9773000000000001</v>
      </c>
      <c r="C14" s="37">
        <v>3.9352999999999998</v>
      </c>
      <c r="D14" s="37">
        <v>3.8881000000000001</v>
      </c>
      <c r="E14" s="37"/>
      <c r="F14" s="37"/>
      <c r="G14" s="37"/>
      <c r="H14" s="37"/>
      <c r="I14" s="37"/>
      <c r="J14" s="37"/>
      <c r="K14" s="37"/>
      <c r="L14" s="37"/>
      <c r="M14" s="37"/>
      <c r="N14" s="37"/>
      <c r="Q14" s="36">
        <v>41699</v>
      </c>
      <c r="R14" s="38">
        <v>8.3900000000000002E-2</v>
      </c>
      <c r="S14" s="38">
        <v>3.9E-2</v>
      </c>
      <c r="T14" s="38">
        <v>0</v>
      </c>
      <c r="U14" s="38"/>
      <c r="V14" s="38"/>
      <c r="W14" s="38"/>
      <c r="X14" s="38"/>
      <c r="Y14" s="38"/>
      <c r="Z14" s="38"/>
      <c r="AA14" s="38"/>
      <c r="AB14" s="38"/>
      <c r="AC14" s="38"/>
      <c r="AD14" s="38"/>
    </row>
    <row r="15" spans="1:30" x14ac:dyDescent="0.25">
      <c r="A15" s="36">
        <v>41730</v>
      </c>
      <c r="B15" s="37">
        <v>5.8136999999999999</v>
      </c>
      <c r="C15" s="37">
        <v>5.2506000000000004</v>
      </c>
      <c r="D15" s="37">
        <v>4.7267999999999999</v>
      </c>
      <c r="E15" s="37">
        <v>14.718299999999999</v>
      </c>
      <c r="F15" s="37"/>
      <c r="G15" s="37"/>
      <c r="H15" s="37"/>
      <c r="I15" s="37"/>
      <c r="J15" s="37"/>
      <c r="K15" s="37"/>
      <c r="L15" s="37"/>
      <c r="M15" s="37"/>
      <c r="N15" s="37"/>
      <c r="Q15" s="36">
        <v>41730</v>
      </c>
      <c r="R15" s="38">
        <v>5.5599999999999997E-2</v>
      </c>
      <c r="S15" s="38">
        <v>1.7299999999999999E-2</v>
      </c>
      <c r="T15" s="38">
        <v>0</v>
      </c>
      <c r="U15" s="38">
        <v>0</v>
      </c>
      <c r="V15" s="38"/>
      <c r="W15" s="38"/>
      <c r="X15" s="38"/>
      <c r="Y15" s="38"/>
      <c r="Z15" s="38"/>
      <c r="AA15" s="38"/>
      <c r="AB15" s="38"/>
      <c r="AC15" s="38"/>
      <c r="AD15" s="38"/>
    </row>
    <row r="16" spans="1:30" x14ac:dyDescent="0.25">
      <c r="A16" s="36">
        <v>41760</v>
      </c>
      <c r="B16" s="37">
        <v>7.3971999999999998</v>
      </c>
      <c r="C16" s="37">
        <v>5.7789000000000001</v>
      </c>
      <c r="D16" s="37">
        <v>5.5388000000000002</v>
      </c>
      <c r="E16" s="37">
        <v>8.6524000000000001</v>
      </c>
      <c r="F16" s="37"/>
      <c r="G16" s="37"/>
      <c r="H16" s="37"/>
      <c r="I16" s="37"/>
      <c r="J16" s="37"/>
      <c r="K16" s="37"/>
      <c r="L16" s="37"/>
      <c r="M16" s="37"/>
      <c r="N16" s="37"/>
      <c r="Q16" s="36">
        <v>41760</v>
      </c>
      <c r="R16" s="38">
        <v>5.04E-2</v>
      </c>
      <c r="S16" s="38">
        <v>2.12E-2</v>
      </c>
      <c r="T16" s="38">
        <v>1.5599999999999999E-2</v>
      </c>
      <c r="U16" s="38">
        <v>0</v>
      </c>
      <c r="V16" s="38"/>
      <c r="W16" s="38"/>
      <c r="X16" s="38"/>
      <c r="Y16" s="38"/>
      <c r="Z16" s="38"/>
      <c r="AA16" s="38"/>
      <c r="AB16" s="38"/>
      <c r="AC16" s="38"/>
      <c r="AD16" s="38"/>
    </row>
    <row r="17" spans="1:30" x14ac:dyDescent="0.25">
      <c r="A17" s="36">
        <v>41791</v>
      </c>
      <c r="B17" s="37">
        <v>6.9165999999999999</v>
      </c>
      <c r="C17" s="37">
        <v>5.8940999999999999</v>
      </c>
      <c r="D17" s="37">
        <v>5.3395999999999999</v>
      </c>
      <c r="E17" s="37">
        <v>8.5411999999999999</v>
      </c>
      <c r="F17" s="37"/>
      <c r="G17" s="37"/>
      <c r="H17" s="37"/>
      <c r="I17" s="37"/>
      <c r="J17" s="37"/>
      <c r="K17" s="37"/>
      <c r="L17" s="37"/>
      <c r="M17" s="37"/>
      <c r="N17" s="37"/>
      <c r="Q17" s="36">
        <v>41791</v>
      </c>
      <c r="R17" s="38">
        <v>3.8899999999999997E-2</v>
      </c>
      <c r="S17" s="38">
        <v>2.7699999999999999E-2</v>
      </c>
      <c r="T17" s="38">
        <v>3.0999999999999999E-3</v>
      </c>
      <c r="U17" s="38">
        <v>0</v>
      </c>
      <c r="V17" s="38"/>
      <c r="W17" s="38"/>
      <c r="X17" s="38"/>
      <c r="Y17" s="38"/>
      <c r="Z17" s="38"/>
      <c r="AA17" s="38"/>
      <c r="AB17" s="38"/>
      <c r="AC17" s="38"/>
      <c r="AD17" s="38"/>
    </row>
    <row r="18" spans="1:30" x14ac:dyDescent="0.25">
      <c r="A18" s="36">
        <v>41821</v>
      </c>
      <c r="B18" s="37">
        <v>6.4720000000000004</v>
      </c>
      <c r="C18" s="37">
        <v>5.4923000000000002</v>
      </c>
      <c r="D18" s="37">
        <v>4.8250000000000002</v>
      </c>
      <c r="E18" s="37">
        <v>7.7906000000000004</v>
      </c>
      <c r="F18" s="37"/>
      <c r="G18" s="37"/>
      <c r="H18" s="37"/>
      <c r="I18" s="37"/>
      <c r="J18" s="37"/>
      <c r="K18" s="37"/>
      <c r="L18" s="37"/>
      <c r="M18" s="37"/>
      <c r="N18" s="37"/>
      <c r="Q18" s="36">
        <v>41821</v>
      </c>
      <c r="R18" s="38">
        <v>3.9800000000000002E-2</v>
      </c>
      <c r="S18" s="38">
        <v>2.58E-2</v>
      </c>
      <c r="T18" s="38">
        <v>2.6100000000000002E-2</v>
      </c>
      <c r="U18" s="38">
        <v>4.2799999999999998E-2</v>
      </c>
      <c r="V18" s="38"/>
      <c r="W18" s="38"/>
      <c r="X18" s="38"/>
      <c r="Y18" s="38"/>
      <c r="Z18" s="38"/>
      <c r="AA18" s="38"/>
      <c r="AB18" s="38"/>
      <c r="AC18" s="38"/>
      <c r="AD18" s="38"/>
    </row>
    <row r="19" spans="1:30" x14ac:dyDescent="0.25">
      <c r="A19" s="36">
        <v>41852</v>
      </c>
      <c r="B19" s="37">
        <v>5.0166000000000004</v>
      </c>
      <c r="C19" s="37">
        <v>4.6874000000000002</v>
      </c>
      <c r="D19" s="37">
        <v>4.5701999999999998</v>
      </c>
      <c r="E19" s="37">
        <v>7.0224000000000002</v>
      </c>
      <c r="F19" s="37">
        <v>34.337400000000002</v>
      </c>
      <c r="G19" s="37"/>
      <c r="H19" s="37">
        <v>26.836099999999998</v>
      </c>
      <c r="I19" s="37"/>
      <c r="J19" s="37"/>
      <c r="K19" s="37"/>
      <c r="L19" s="37"/>
      <c r="M19" s="37"/>
      <c r="N19" s="37"/>
      <c r="Q19" s="36">
        <v>41852</v>
      </c>
      <c r="R19" s="38">
        <v>3.09E-2</v>
      </c>
      <c r="S19" s="38">
        <v>2.06E-2</v>
      </c>
      <c r="T19" s="38">
        <v>4.4900000000000002E-2</v>
      </c>
      <c r="U19" s="38">
        <v>3.3999999999999998E-3</v>
      </c>
      <c r="V19" s="38">
        <v>0</v>
      </c>
      <c r="W19" s="38"/>
      <c r="X19" s="38">
        <v>0</v>
      </c>
      <c r="Y19" s="38"/>
      <c r="Z19" s="38"/>
      <c r="AA19" s="38"/>
      <c r="AB19" s="38"/>
      <c r="AC19" s="38"/>
      <c r="AD19" s="38"/>
    </row>
    <row r="20" spans="1:30" x14ac:dyDescent="0.25">
      <c r="A20" s="36">
        <v>41883</v>
      </c>
      <c r="B20" s="37">
        <v>6.4724000000000004</v>
      </c>
      <c r="C20" s="37">
        <v>5.3079999999999998</v>
      </c>
      <c r="D20" s="37">
        <v>5.1115000000000004</v>
      </c>
      <c r="E20" s="37">
        <v>7.5042999999999997</v>
      </c>
      <c r="F20" s="37">
        <v>13.198499999999999</v>
      </c>
      <c r="G20" s="37">
        <v>13.3165</v>
      </c>
      <c r="H20" s="37">
        <v>11.3437</v>
      </c>
      <c r="I20" s="37">
        <v>17.9786</v>
      </c>
      <c r="J20" s="37">
        <v>7.9057000000000004</v>
      </c>
      <c r="K20" s="37"/>
      <c r="L20" s="37"/>
      <c r="M20" s="37"/>
      <c r="N20" s="37"/>
      <c r="Q20" s="36">
        <v>41883</v>
      </c>
      <c r="R20" s="38">
        <v>5.0900000000000001E-2</v>
      </c>
      <c r="S20" s="38">
        <v>5.4300000000000001E-2</v>
      </c>
      <c r="T20" s="38">
        <v>2.86E-2</v>
      </c>
      <c r="U20" s="38">
        <v>3.9E-2</v>
      </c>
      <c r="V20" s="38">
        <v>0</v>
      </c>
      <c r="W20" s="38">
        <v>0</v>
      </c>
      <c r="X20" s="38">
        <v>0</v>
      </c>
      <c r="Y20" s="38">
        <v>6.1999999999999998E-3</v>
      </c>
      <c r="Z20" s="38">
        <v>0</v>
      </c>
      <c r="AA20" s="38"/>
      <c r="AB20" s="38"/>
      <c r="AC20" s="38"/>
      <c r="AD20" s="38"/>
    </row>
    <row r="21" spans="1:30" x14ac:dyDescent="0.25">
      <c r="A21" s="36">
        <v>41913</v>
      </c>
      <c r="B21" s="37">
        <v>5.2816000000000001</v>
      </c>
      <c r="C21" s="37">
        <v>4.5232999999999999</v>
      </c>
      <c r="D21" s="37">
        <v>4.7755000000000001</v>
      </c>
      <c r="E21" s="37">
        <v>10.3561</v>
      </c>
      <c r="F21" s="37">
        <v>22.500599999999999</v>
      </c>
      <c r="G21" s="37">
        <v>22.260400000000001</v>
      </c>
      <c r="H21" s="37">
        <v>17.6995</v>
      </c>
      <c r="I21" s="37">
        <v>7.1130000000000004</v>
      </c>
      <c r="J21" s="37">
        <v>16.529800000000002</v>
      </c>
      <c r="K21" s="37"/>
      <c r="L21" s="37"/>
      <c r="M21" s="37"/>
      <c r="N21" s="37"/>
      <c r="Q21" s="36">
        <v>41913</v>
      </c>
      <c r="R21" s="38">
        <v>5.8500000000000003E-2</v>
      </c>
      <c r="S21" s="38">
        <v>5.67E-2</v>
      </c>
      <c r="T21" s="38">
        <v>4.2700000000000002E-2</v>
      </c>
      <c r="U21" s="38">
        <v>2.5000000000000001E-2</v>
      </c>
      <c r="V21" s="38">
        <v>0</v>
      </c>
      <c r="W21" s="38">
        <v>0</v>
      </c>
      <c r="X21" s="38">
        <v>0</v>
      </c>
      <c r="Y21" s="38">
        <v>0</v>
      </c>
      <c r="Z21" s="38">
        <v>0</v>
      </c>
      <c r="AA21" s="38"/>
      <c r="AB21" s="38"/>
      <c r="AC21" s="38"/>
      <c r="AD21" s="38"/>
    </row>
    <row r="22" spans="1:30" x14ac:dyDescent="0.25">
      <c r="A22" s="36">
        <v>41944</v>
      </c>
      <c r="B22" s="37">
        <v>6.0025000000000004</v>
      </c>
      <c r="C22" s="37">
        <v>5.1199000000000003</v>
      </c>
      <c r="D22" s="37">
        <v>5.1914999999999996</v>
      </c>
      <c r="E22" s="37">
        <v>11.3248</v>
      </c>
      <c r="F22" s="37">
        <v>22.5213</v>
      </c>
      <c r="G22" s="37">
        <v>21.629799999999999</v>
      </c>
      <c r="H22" s="37">
        <v>18.272500000000001</v>
      </c>
      <c r="I22" s="37">
        <v>7.6486000000000001</v>
      </c>
      <c r="J22" s="37">
        <v>14.737299999999999</v>
      </c>
      <c r="K22" s="37"/>
      <c r="L22" s="37"/>
      <c r="M22" s="37"/>
      <c r="N22" s="37"/>
      <c r="Q22" s="36">
        <v>41944</v>
      </c>
      <c r="R22" s="38">
        <v>2.3800000000000002E-2</v>
      </c>
      <c r="S22" s="38">
        <v>4.8800000000000003E-2</v>
      </c>
      <c r="T22" s="38">
        <v>2.1299999999999999E-2</v>
      </c>
      <c r="U22" s="38">
        <v>2.2499999999999999E-2</v>
      </c>
      <c r="V22" s="38">
        <v>4.2700000000000002E-2</v>
      </c>
      <c r="W22" s="38">
        <v>0</v>
      </c>
      <c r="X22" s="38">
        <v>4.3099999999999999E-2</v>
      </c>
      <c r="Y22" s="38">
        <v>0</v>
      </c>
      <c r="Z22" s="38">
        <v>0</v>
      </c>
      <c r="AA22" s="38"/>
      <c r="AB22" s="38"/>
      <c r="AC22" s="38"/>
      <c r="AD22" s="38"/>
    </row>
    <row r="23" spans="1:30" x14ac:dyDescent="0.25">
      <c r="A23" s="36">
        <v>41974</v>
      </c>
      <c r="B23" s="37">
        <v>5.2076000000000002</v>
      </c>
      <c r="C23" s="37">
        <v>3.7650000000000001</v>
      </c>
      <c r="D23" s="37">
        <v>4.2118000000000002</v>
      </c>
      <c r="E23" s="37">
        <v>9.6349999999999998</v>
      </c>
      <c r="F23" s="37">
        <v>19.411799999999999</v>
      </c>
      <c r="G23" s="37">
        <v>21.002500000000001</v>
      </c>
      <c r="H23" s="37">
        <v>15.596500000000001</v>
      </c>
      <c r="I23" s="37">
        <v>6.3979999999999997</v>
      </c>
      <c r="J23" s="37">
        <v>15.9307</v>
      </c>
      <c r="K23" s="37"/>
      <c r="L23" s="37"/>
      <c r="M23" s="37"/>
      <c r="N23" s="37"/>
      <c r="Q23" s="36">
        <v>41974</v>
      </c>
      <c r="R23" s="38">
        <v>9.3100000000000002E-2</v>
      </c>
      <c r="S23" s="38">
        <v>2.7799999999999998E-2</v>
      </c>
      <c r="T23" s="38">
        <v>6.59E-2</v>
      </c>
      <c r="U23" s="38">
        <v>3.2599999999999997E-2</v>
      </c>
      <c r="V23" s="38">
        <v>0</v>
      </c>
      <c r="W23" s="38">
        <v>0</v>
      </c>
      <c r="X23" s="38">
        <v>0.1948</v>
      </c>
      <c r="Y23" s="38">
        <v>2.5999999999999999E-2</v>
      </c>
      <c r="Z23" s="38">
        <v>0</v>
      </c>
      <c r="AA23" s="38"/>
      <c r="AB23" s="38"/>
      <c r="AC23" s="38"/>
      <c r="AD23" s="38"/>
    </row>
    <row r="24" spans="1:30" x14ac:dyDescent="0.25">
      <c r="A24" s="36">
        <v>42005</v>
      </c>
      <c r="B24" s="37">
        <v>7.9896000000000003</v>
      </c>
      <c r="C24" s="37">
        <v>4.7008000000000001</v>
      </c>
      <c r="D24" s="37">
        <v>5.9295999999999998</v>
      </c>
      <c r="E24" s="37">
        <v>17.597200000000001</v>
      </c>
      <c r="F24" s="37">
        <v>37.158299999999997</v>
      </c>
      <c r="G24" s="37">
        <v>35.541899999999998</v>
      </c>
      <c r="H24" s="37">
        <v>30.398</v>
      </c>
      <c r="I24" s="37">
        <v>11.402200000000001</v>
      </c>
      <c r="J24" s="37">
        <v>28.165900000000001</v>
      </c>
      <c r="K24" s="37">
        <v>51.978200000000001</v>
      </c>
      <c r="L24" s="37"/>
      <c r="M24" s="37"/>
      <c r="N24" s="37"/>
      <c r="Q24" s="36">
        <v>42005</v>
      </c>
      <c r="R24" s="38">
        <v>3.1E-2</v>
      </c>
      <c r="S24" s="38">
        <v>8.4000000000000005E-2</v>
      </c>
      <c r="T24" s="38">
        <v>2.35E-2</v>
      </c>
      <c r="U24" s="38">
        <v>3.6299999999999999E-2</v>
      </c>
      <c r="V24" s="38">
        <v>4.1000000000000002E-2</v>
      </c>
      <c r="W24" s="38">
        <v>0</v>
      </c>
      <c r="X24" s="38">
        <v>0</v>
      </c>
      <c r="Y24" s="38">
        <v>6.5199999999999994E-2</v>
      </c>
      <c r="Z24" s="38">
        <v>0</v>
      </c>
      <c r="AA24" s="38">
        <v>0</v>
      </c>
      <c r="AB24" s="38"/>
      <c r="AC24" s="38"/>
      <c r="AD24" s="38"/>
    </row>
    <row r="25" spans="1:30" x14ac:dyDescent="0.25">
      <c r="A25" s="36">
        <v>42036</v>
      </c>
      <c r="B25" s="37">
        <v>11.042299999999999</v>
      </c>
      <c r="C25" s="37">
        <v>7.3334999999999999</v>
      </c>
      <c r="D25" s="37">
        <v>7.6299000000000001</v>
      </c>
      <c r="E25" s="37">
        <v>19.887699999999999</v>
      </c>
      <c r="F25" s="37">
        <v>38.846600000000002</v>
      </c>
      <c r="G25" s="37">
        <v>41.523499999999999</v>
      </c>
      <c r="H25" s="37">
        <v>33.429000000000002</v>
      </c>
      <c r="I25" s="37">
        <v>14.1052</v>
      </c>
      <c r="J25" s="37">
        <v>34.780200000000001</v>
      </c>
      <c r="K25" s="37">
        <v>37.950000000000003</v>
      </c>
      <c r="L25" s="37"/>
      <c r="M25" s="37"/>
      <c r="N25" s="37"/>
      <c r="Q25" s="36">
        <v>42036</v>
      </c>
      <c r="R25" s="38">
        <v>5.7599999999999998E-2</v>
      </c>
      <c r="S25" s="38">
        <v>4.3700000000000003E-2</v>
      </c>
      <c r="T25" s="38">
        <v>3.1099999999999999E-2</v>
      </c>
      <c r="U25" s="38">
        <v>3.4700000000000002E-2</v>
      </c>
      <c r="V25" s="38">
        <v>4.6100000000000002E-2</v>
      </c>
      <c r="W25" s="38">
        <v>1.9099999999999999E-2</v>
      </c>
      <c r="X25" s="38">
        <v>0.1084</v>
      </c>
      <c r="Y25" s="38">
        <v>8.3799999999999999E-2</v>
      </c>
      <c r="Z25" s="38">
        <v>0.18659999999999999</v>
      </c>
      <c r="AA25" s="38">
        <v>0</v>
      </c>
      <c r="AB25" s="38"/>
      <c r="AC25" s="38"/>
      <c r="AD25" s="38"/>
    </row>
    <row r="26" spans="1:30" x14ac:dyDescent="0.25">
      <c r="A26" s="36">
        <v>42064</v>
      </c>
      <c r="B26" s="37">
        <v>9.9810999999999996</v>
      </c>
      <c r="C26" s="37">
        <v>7.4539999999999997</v>
      </c>
      <c r="D26" s="37">
        <v>8.0511999999999997</v>
      </c>
      <c r="E26" s="37">
        <v>13.9582</v>
      </c>
      <c r="F26" s="37">
        <v>27.4253</v>
      </c>
      <c r="G26" s="37">
        <v>27.0959</v>
      </c>
      <c r="H26" s="37">
        <v>22.344000000000001</v>
      </c>
      <c r="I26" s="37">
        <v>12.1469</v>
      </c>
      <c r="J26" s="37">
        <v>22.173100000000002</v>
      </c>
      <c r="K26" s="37">
        <v>23.9587</v>
      </c>
      <c r="L26" s="37"/>
      <c r="M26" s="37">
        <v>39.482300000000002</v>
      </c>
      <c r="N26" s="37"/>
      <c r="Q26" s="36">
        <v>42064</v>
      </c>
      <c r="R26" s="38">
        <v>7.2300000000000003E-2</v>
      </c>
      <c r="S26" s="38">
        <v>6.3100000000000003E-2</v>
      </c>
      <c r="T26" s="38">
        <v>2.2800000000000001E-2</v>
      </c>
      <c r="U26" s="38">
        <v>4.1599999999999998E-2</v>
      </c>
      <c r="V26" s="38">
        <v>9.6799999999999997E-2</v>
      </c>
      <c r="W26" s="38">
        <v>0</v>
      </c>
      <c r="X26" s="38">
        <v>0.1807</v>
      </c>
      <c r="Y26" s="38">
        <v>0.06</v>
      </c>
      <c r="Z26" s="38">
        <v>0.1017</v>
      </c>
      <c r="AA26" s="38">
        <v>0</v>
      </c>
      <c r="AB26" s="38"/>
      <c r="AC26" s="38">
        <v>0</v>
      </c>
      <c r="AD26" s="38"/>
    </row>
    <row r="27" spans="1:30" x14ac:dyDescent="0.25">
      <c r="A27" s="36">
        <v>42095</v>
      </c>
      <c r="B27" s="37">
        <v>9.9797999999999991</v>
      </c>
      <c r="C27" s="37">
        <v>8.0878999999999994</v>
      </c>
      <c r="D27" s="37">
        <v>9.2845999999999993</v>
      </c>
      <c r="E27" s="37">
        <v>13.7494</v>
      </c>
      <c r="F27" s="37">
        <v>24.923400000000001</v>
      </c>
      <c r="G27" s="37">
        <v>23.529800000000002</v>
      </c>
      <c r="H27" s="37">
        <v>21.953800000000001</v>
      </c>
      <c r="I27" s="37">
        <v>12.386200000000001</v>
      </c>
      <c r="J27" s="37">
        <v>20.960100000000001</v>
      </c>
      <c r="K27" s="37">
        <v>22.691099999999999</v>
      </c>
      <c r="L27" s="37">
        <v>16.482600000000001</v>
      </c>
      <c r="M27" s="37">
        <v>17.138100000000001</v>
      </c>
      <c r="N27" s="37">
        <v>12.428100000000001</v>
      </c>
      <c r="Q27" s="36">
        <v>42095</v>
      </c>
      <c r="R27" s="38">
        <v>5.2200000000000003E-2</v>
      </c>
      <c r="S27" s="38">
        <v>0.1116</v>
      </c>
      <c r="T27" s="38">
        <v>6.3500000000000001E-2</v>
      </c>
      <c r="U27" s="38">
        <v>5.2600000000000001E-2</v>
      </c>
      <c r="V27" s="38">
        <v>5.9700000000000003E-2</v>
      </c>
      <c r="W27" s="38">
        <v>6.83E-2</v>
      </c>
      <c r="X27" s="38">
        <v>0.22869999999999999</v>
      </c>
      <c r="Y27" s="38">
        <v>6.0499999999999998E-2</v>
      </c>
      <c r="Z27" s="38">
        <v>0.1095</v>
      </c>
      <c r="AA27" s="38">
        <v>0</v>
      </c>
      <c r="AB27" s="38">
        <v>0</v>
      </c>
      <c r="AC27" s="38">
        <v>0</v>
      </c>
      <c r="AD27" s="38">
        <v>0</v>
      </c>
    </row>
    <row r="28" spans="1:30" x14ac:dyDescent="0.25">
      <c r="A28" s="39">
        <v>42125</v>
      </c>
      <c r="B28" s="40">
        <v>11.419499999999999</v>
      </c>
      <c r="C28" s="40">
        <v>9.1</v>
      </c>
      <c r="D28" s="40">
        <v>9.7987000000000002</v>
      </c>
      <c r="E28" s="40">
        <v>13.478199999999999</v>
      </c>
      <c r="F28" s="40">
        <v>21.3535</v>
      </c>
      <c r="G28" s="40">
        <v>22.621600000000001</v>
      </c>
      <c r="H28" s="40">
        <v>21.616299999999999</v>
      </c>
      <c r="I28" s="40">
        <v>12.855</v>
      </c>
      <c r="J28" s="40">
        <v>19.663900000000002</v>
      </c>
      <c r="K28" s="40">
        <v>19.299199999999999</v>
      </c>
      <c r="L28" s="40">
        <v>10.3049</v>
      </c>
      <c r="M28" s="40">
        <v>15.325200000000001</v>
      </c>
      <c r="N28" s="40">
        <v>12.8009</v>
      </c>
      <c r="Q28" s="39">
        <v>42125</v>
      </c>
      <c r="R28" s="41">
        <v>0.12759999999999999</v>
      </c>
      <c r="S28" s="41">
        <v>2.2200000000000001E-2</v>
      </c>
      <c r="T28" s="41">
        <v>2.69E-2</v>
      </c>
      <c r="U28" s="41">
        <v>5.04E-2</v>
      </c>
      <c r="V28" s="41">
        <v>0.1091</v>
      </c>
      <c r="W28" s="41">
        <v>5.1000000000000004E-3</v>
      </c>
      <c r="X28" s="41">
        <v>6.4899999999999999E-2</v>
      </c>
      <c r="Y28" s="41">
        <v>6.08E-2</v>
      </c>
      <c r="Z28" s="41">
        <v>0.1643</v>
      </c>
      <c r="AA28" s="41">
        <v>2.7900000000000001E-2</v>
      </c>
      <c r="AB28" s="41">
        <v>0</v>
      </c>
      <c r="AC28" s="41">
        <v>0</v>
      </c>
      <c r="AD28" s="41">
        <v>0</v>
      </c>
    </row>
    <row r="29" spans="1:30" hidden="1" x14ac:dyDescent="0.25">
      <c r="A29" s="42"/>
      <c r="B29" s="43">
        <v>50</v>
      </c>
      <c r="C29" s="43">
        <v>50</v>
      </c>
      <c r="D29" s="43">
        <v>50</v>
      </c>
      <c r="E29" s="43">
        <v>50</v>
      </c>
      <c r="F29" s="43">
        <v>50</v>
      </c>
      <c r="G29" s="43">
        <v>50</v>
      </c>
      <c r="H29" s="43">
        <v>50</v>
      </c>
      <c r="I29" s="43">
        <v>50</v>
      </c>
      <c r="J29" s="43">
        <v>50</v>
      </c>
      <c r="K29" s="43">
        <v>50</v>
      </c>
      <c r="L29" s="43">
        <v>50</v>
      </c>
      <c r="M29" s="43">
        <v>50</v>
      </c>
      <c r="N29" s="43">
        <v>50</v>
      </c>
      <c r="Q29" s="42"/>
      <c r="R29" s="44">
        <v>0.5</v>
      </c>
      <c r="S29" s="44">
        <v>0.5</v>
      </c>
      <c r="T29" s="44">
        <v>0.5</v>
      </c>
      <c r="U29" s="44">
        <v>0.5</v>
      </c>
      <c r="V29" s="44">
        <v>0.5</v>
      </c>
      <c r="W29" s="44">
        <v>0.5</v>
      </c>
      <c r="X29" s="44">
        <v>0.5</v>
      </c>
      <c r="Y29" s="44">
        <v>0.5</v>
      </c>
      <c r="Z29" s="44">
        <v>0.5</v>
      </c>
      <c r="AA29" s="44">
        <v>0.5</v>
      </c>
      <c r="AB29" s="44">
        <v>0.5</v>
      </c>
      <c r="AC29" s="44">
        <v>0.5</v>
      </c>
      <c r="AD29" s="44">
        <v>0.5</v>
      </c>
    </row>
    <row r="30" spans="1:30" x14ac:dyDescent="0.25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Q30" s="42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</row>
    <row r="31" spans="1:30" x14ac:dyDescent="0.25">
      <c r="A31" s="42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</row>
    <row r="32" spans="1:30" x14ac:dyDescent="0.25">
      <c r="A32" s="51" t="s">
        <v>86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Q32" s="50" t="s">
        <v>87</v>
      </c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</row>
    <row r="33" spans="1:30" hidden="1" x14ac:dyDescent="0.25">
      <c r="A33" s="33" t="s">
        <v>83</v>
      </c>
      <c r="B33" s="33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Q33" s="33" t="s">
        <v>84</v>
      </c>
      <c r="R33" s="33" t="s">
        <v>58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spans="1:30" x14ac:dyDescent="0.25">
      <c r="A34" s="45" t="s">
        <v>57</v>
      </c>
      <c r="B34" s="45" t="s">
        <v>1</v>
      </c>
      <c r="C34" s="45" t="s">
        <v>2</v>
      </c>
      <c r="D34" s="45" t="s">
        <v>3</v>
      </c>
      <c r="E34" s="45" t="s">
        <v>4</v>
      </c>
      <c r="F34" s="45" t="s">
        <v>5</v>
      </c>
      <c r="G34" s="45" t="s">
        <v>6</v>
      </c>
      <c r="H34" s="45" t="s">
        <v>7</v>
      </c>
      <c r="I34" s="45" t="s">
        <v>8</v>
      </c>
      <c r="J34" s="45" t="s">
        <v>9</v>
      </c>
      <c r="K34" s="45" t="s">
        <v>10</v>
      </c>
      <c r="L34" s="45" t="s">
        <v>11</v>
      </c>
      <c r="M34" s="45" t="s">
        <v>13</v>
      </c>
      <c r="N34" s="45" t="s">
        <v>14</v>
      </c>
      <c r="Q34" s="46" t="s">
        <v>57</v>
      </c>
      <c r="R34" s="46" t="s">
        <v>1</v>
      </c>
      <c r="S34" s="46" t="s">
        <v>2</v>
      </c>
      <c r="T34" s="46" t="s">
        <v>3</v>
      </c>
      <c r="U34" s="46" t="s">
        <v>4</v>
      </c>
      <c r="V34" s="46" t="s">
        <v>5</v>
      </c>
      <c r="W34" s="46" t="s">
        <v>6</v>
      </c>
      <c r="X34" s="46" t="s">
        <v>7</v>
      </c>
      <c r="Y34" s="46" t="s">
        <v>8</v>
      </c>
      <c r="Z34" s="46" t="s">
        <v>9</v>
      </c>
      <c r="AA34" s="46" t="s">
        <v>10</v>
      </c>
      <c r="AB34" s="46" t="s">
        <v>11</v>
      </c>
      <c r="AC34" s="46" t="s">
        <v>13</v>
      </c>
      <c r="AD34" s="46" t="s">
        <v>14</v>
      </c>
    </row>
    <row r="35" spans="1:30" x14ac:dyDescent="0.25">
      <c r="A35" s="36">
        <v>41426</v>
      </c>
      <c r="B35" s="47">
        <v>0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Q35" s="36">
        <v>41426</v>
      </c>
      <c r="R35" s="47">
        <v>0</v>
      </c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</row>
    <row r="36" spans="1:30" x14ac:dyDescent="0.25">
      <c r="A36" s="36">
        <v>41456</v>
      </c>
      <c r="B36" s="47">
        <v>0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Q36" s="36">
        <v>41456</v>
      </c>
      <c r="R36" s="47">
        <v>1.2667221826199199E-3</v>
      </c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</row>
    <row r="37" spans="1:30" x14ac:dyDescent="0.25">
      <c r="A37" s="36">
        <v>41487</v>
      </c>
      <c r="B37" s="47">
        <v>0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Q37" s="36">
        <v>41487</v>
      </c>
      <c r="R37" s="47">
        <v>1.0356345223757799E-3</v>
      </c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spans="1:30" x14ac:dyDescent="0.25">
      <c r="A38" s="36">
        <v>41518</v>
      </c>
      <c r="B38" s="47">
        <v>0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Q38" s="36">
        <v>41518</v>
      </c>
      <c r="R38" s="47">
        <v>1.37402924202362E-3</v>
      </c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 spans="1:30" x14ac:dyDescent="0.25">
      <c r="A39" s="36">
        <v>41548</v>
      </c>
      <c r="B39" s="47">
        <v>0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Q39" s="36">
        <v>41548</v>
      </c>
      <c r="R39" s="47">
        <v>1.5484221430720701E-3</v>
      </c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spans="1:30" x14ac:dyDescent="0.25">
      <c r="A40" s="36">
        <v>41579</v>
      </c>
      <c r="B40" s="47">
        <v>0</v>
      </c>
      <c r="C40" s="47"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Q40" s="36">
        <v>41579</v>
      </c>
      <c r="R40" s="47">
        <v>1.5094332223427401E-3</v>
      </c>
      <c r="S40" s="47">
        <v>1.11349989822876E-3</v>
      </c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spans="1:30" x14ac:dyDescent="0.25">
      <c r="A41" s="36">
        <v>41609</v>
      </c>
      <c r="B41" s="47">
        <v>0</v>
      </c>
      <c r="C41" s="47"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Q41" s="36">
        <v>41609</v>
      </c>
      <c r="R41" s="47">
        <v>2.1700490437786399E-3</v>
      </c>
      <c r="S41" s="47">
        <v>1.75388312992754E-3</v>
      </c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spans="1:30" x14ac:dyDescent="0.25">
      <c r="A42" s="36">
        <v>41640</v>
      </c>
      <c r="B42" s="47">
        <v>0</v>
      </c>
      <c r="C42" s="47"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Q42" s="36">
        <v>41640</v>
      </c>
      <c r="R42" s="47">
        <v>2.1894667321964E-3</v>
      </c>
      <c r="S42" s="47">
        <v>1.8421270287605001E-3</v>
      </c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spans="1:30" x14ac:dyDescent="0.25">
      <c r="A43" s="36">
        <v>41671</v>
      </c>
      <c r="B43" s="47">
        <v>0</v>
      </c>
      <c r="C43" s="47">
        <v>0</v>
      </c>
      <c r="D43" s="47">
        <v>0</v>
      </c>
      <c r="E43" s="47"/>
      <c r="F43" s="47"/>
      <c r="G43" s="47"/>
      <c r="H43" s="47"/>
      <c r="I43" s="47"/>
      <c r="J43" s="47"/>
      <c r="K43" s="47"/>
      <c r="L43" s="47"/>
      <c r="M43" s="47"/>
      <c r="N43" s="47"/>
      <c r="Q43" s="36">
        <v>41671</v>
      </c>
      <c r="R43" s="47">
        <v>2.3021683029496001E-3</v>
      </c>
      <c r="S43" s="47">
        <v>1.78254706433518E-3</v>
      </c>
      <c r="T43" s="47">
        <v>8.3035215336207903E-4</v>
      </c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spans="1:30" x14ac:dyDescent="0.25">
      <c r="A44" s="36">
        <v>41699</v>
      </c>
      <c r="B44" s="47">
        <v>1E-4</v>
      </c>
      <c r="C44" s="47">
        <v>0</v>
      </c>
      <c r="D44" s="47">
        <v>0</v>
      </c>
      <c r="E44" s="47"/>
      <c r="F44" s="47"/>
      <c r="G44" s="47"/>
      <c r="H44" s="47"/>
      <c r="I44" s="47"/>
      <c r="J44" s="47"/>
      <c r="K44" s="47"/>
      <c r="L44" s="47"/>
      <c r="M44" s="47"/>
      <c r="N44" s="47"/>
      <c r="Q44" s="36">
        <v>41699</v>
      </c>
      <c r="R44" s="47">
        <v>2.8763854780915598E-3</v>
      </c>
      <c r="S44" s="47">
        <v>2.4791712180864999E-3</v>
      </c>
      <c r="T44" s="47">
        <v>1.5226672684829901E-3</v>
      </c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spans="1:30" x14ac:dyDescent="0.25">
      <c r="A45" s="36">
        <v>41730</v>
      </c>
      <c r="B45" s="47">
        <v>1E-4</v>
      </c>
      <c r="C45" s="47">
        <v>0</v>
      </c>
      <c r="D45" s="47">
        <v>0</v>
      </c>
      <c r="E45" s="47">
        <v>0</v>
      </c>
      <c r="F45" s="47"/>
      <c r="G45" s="47"/>
      <c r="H45" s="47"/>
      <c r="I45" s="47"/>
      <c r="J45" s="47"/>
      <c r="K45" s="47"/>
      <c r="L45" s="47"/>
      <c r="M45" s="47"/>
      <c r="N45" s="47"/>
      <c r="Q45" s="36">
        <v>41730</v>
      </c>
      <c r="R45" s="47">
        <v>1.7641106928362399E-3</v>
      </c>
      <c r="S45" s="47">
        <v>2.0046795170412402E-3</v>
      </c>
      <c r="T45" s="47">
        <v>1.1277179985904899E-3</v>
      </c>
      <c r="U45" s="47">
        <v>1.2582498026457499E-3</v>
      </c>
      <c r="V45" s="47"/>
      <c r="W45" s="47"/>
      <c r="X45" s="47"/>
      <c r="Y45" s="47"/>
      <c r="Z45" s="47"/>
      <c r="AA45" s="47"/>
      <c r="AB45" s="47"/>
      <c r="AC45" s="47"/>
      <c r="AD45" s="47"/>
    </row>
    <row r="46" spans="1:30" x14ac:dyDescent="0.25">
      <c r="A46" s="36">
        <v>41760</v>
      </c>
      <c r="B46" s="47">
        <v>2.0000000000000001E-4</v>
      </c>
      <c r="C46" s="47">
        <v>0</v>
      </c>
      <c r="D46" s="47">
        <v>0</v>
      </c>
      <c r="E46" s="47">
        <v>0</v>
      </c>
      <c r="F46" s="47"/>
      <c r="G46" s="47"/>
      <c r="H46" s="47"/>
      <c r="I46" s="47"/>
      <c r="J46" s="47"/>
      <c r="K46" s="47"/>
      <c r="L46" s="47"/>
      <c r="M46" s="47"/>
      <c r="N46" s="47"/>
      <c r="Q46" s="36">
        <v>41760</v>
      </c>
      <c r="R46" s="47">
        <v>1.74214917294252E-3</v>
      </c>
      <c r="S46" s="47">
        <v>2.0610782018602499E-3</v>
      </c>
      <c r="T46" s="47">
        <v>1.3793726491836899E-3</v>
      </c>
      <c r="U46" s="47">
        <v>1.5944404332331099E-3</v>
      </c>
      <c r="V46" s="47"/>
      <c r="W46" s="47"/>
      <c r="X46" s="47"/>
      <c r="Y46" s="47"/>
      <c r="Z46" s="47"/>
      <c r="AA46" s="47"/>
      <c r="AB46" s="47"/>
      <c r="AC46" s="47"/>
      <c r="AD46" s="47"/>
    </row>
    <row r="47" spans="1:30" x14ac:dyDescent="0.25">
      <c r="A47" s="36">
        <v>41791</v>
      </c>
      <c r="B47" s="47">
        <v>2.0000000000000001E-4</v>
      </c>
      <c r="C47" s="47">
        <v>0</v>
      </c>
      <c r="D47" s="47">
        <v>0</v>
      </c>
      <c r="E47" s="47">
        <v>0</v>
      </c>
      <c r="F47" s="47"/>
      <c r="G47" s="47"/>
      <c r="H47" s="47"/>
      <c r="I47" s="47"/>
      <c r="J47" s="47"/>
      <c r="K47" s="47"/>
      <c r="L47" s="47"/>
      <c r="M47" s="47"/>
      <c r="N47" s="47"/>
      <c r="Q47" s="36">
        <v>41791</v>
      </c>
      <c r="R47" s="47">
        <v>1.8080148243312499E-3</v>
      </c>
      <c r="S47" s="47">
        <v>1.98259965255614E-3</v>
      </c>
      <c r="T47" s="47">
        <v>1.6926852605984801E-3</v>
      </c>
      <c r="U47" s="47">
        <v>1.62206789496806E-3</v>
      </c>
      <c r="V47" s="47"/>
      <c r="W47" s="47"/>
      <c r="X47" s="47"/>
      <c r="Y47" s="47"/>
      <c r="Z47" s="47"/>
      <c r="AA47" s="47"/>
      <c r="AB47" s="47"/>
      <c r="AC47" s="47"/>
      <c r="AD47" s="47"/>
    </row>
    <row r="48" spans="1:30" x14ac:dyDescent="0.25">
      <c r="A48" s="36">
        <v>41821</v>
      </c>
      <c r="B48" s="47">
        <v>2.0000000000000001E-4</v>
      </c>
      <c r="C48" s="47">
        <v>1E-4</v>
      </c>
      <c r="D48" s="47">
        <v>0</v>
      </c>
      <c r="E48" s="47">
        <v>0</v>
      </c>
      <c r="F48" s="47"/>
      <c r="G48" s="47"/>
      <c r="H48" s="47"/>
      <c r="I48" s="47"/>
      <c r="J48" s="47"/>
      <c r="K48" s="47"/>
      <c r="L48" s="47"/>
      <c r="M48" s="47"/>
      <c r="N48" s="47"/>
      <c r="Q48" s="36">
        <v>41821</v>
      </c>
      <c r="R48" s="47">
        <v>2.2194793062559801E-3</v>
      </c>
      <c r="S48" s="47">
        <v>2.2383653709816698E-3</v>
      </c>
      <c r="T48" s="47">
        <v>2.0239341257222701E-3</v>
      </c>
      <c r="U48" s="47">
        <v>1.83497047924029E-3</v>
      </c>
      <c r="V48" s="47"/>
      <c r="W48" s="47"/>
      <c r="X48" s="47"/>
      <c r="Y48" s="47"/>
      <c r="Z48" s="47"/>
      <c r="AA48" s="47"/>
      <c r="AB48" s="47"/>
      <c r="AC48" s="47"/>
      <c r="AD48" s="47"/>
    </row>
    <row r="49" spans="1:30" x14ac:dyDescent="0.25">
      <c r="A49" s="36">
        <v>41852</v>
      </c>
      <c r="B49" s="47">
        <v>2.9999999999999997E-4</v>
      </c>
      <c r="C49" s="47">
        <v>1E-4</v>
      </c>
      <c r="D49" s="47">
        <v>0</v>
      </c>
      <c r="E49" s="47">
        <v>0</v>
      </c>
      <c r="F49" s="47">
        <v>0</v>
      </c>
      <c r="G49" s="47"/>
      <c r="H49" s="47">
        <v>0</v>
      </c>
      <c r="I49" s="47"/>
      <c r="J49" s="47"/>
      <c r="K49" s="47"/>
      <c r="L49" s="47"/>
      <c r="M49" s="47"/>
      <c r="N49" s="47"/>
      <c r="Q49" s="36">
        <v>41852</v>
      </c>
      <c r="R49" s="47">
        <v>2.1691470665304502E-3</v>
      </c>
      <c r="S49" s="47">
        <v>2.2145809990234099E-3</v>
      </c>
      <c r="T49" s="47">
        <v>2.1676206490169798E-3</v>
      </c>
      <c r="U49" s="47">
        <v>1.77433496993155E-3</v>
      </c>
      <c r="V49" s="47">
        <v>1.8750273449471E-3</v>
      </c>
      <c r="W49" s="47"/>
      <c r="X49" s="47">
        <v>1.77747015749579E-3</v>
      </c>
      <c r="Y49" s="47"/>
      <c r="Z49" s="47"/>
      <c r="AA49" s="47"/>
      <c r="AB49" s="47"/>
      <c r="AC49" s="47"/>
      <c r="AD49" s="47"/>
    </row>
    <row r="50" spans="1:30" x14ac:dyDescent="0.25">
      <c r="A50" s="36">
        <v>41883</v>
      </c>
      <c r="B50" s="47">
        <v>2.9999999999999997E-4</v>
      </c>
      <c r="C50" s="47">
        <v>1E-4</v>
      </c>
      <c r="D50" s="47">
        <v>1E-4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/>
      <c r="L50" s="47"/>
      <c r="M50" s="47"/>
      <c r="N50" s="47"/>
      <c r="Q50" s="36">
        <v>41883</v>
      </c>
      <c r="R50" s="47">
        <v>2.5668689206130601E-3</v>
      </c>
      <c r="S50" s="47">
        <v>2.5701887094479298E-3</v>
      </c>
      <c r="T50" s="47">
        <v>2.5084879073542202E-3</v>
      </c>
      <c r="U50" s="47">
        <v>2.2391729474885501E-3</v>
      </c>
      <c r="V50" s="47">
        <v>2.18480727059924E-3</v>
      </c>
      <c r="W50" s="47">
        <v>0</v>
      </c>
      <c r="X50" s="47">
        <v>2.6546245827528099E-3</v>
      </c>
      <c r="Y50" s="47">
        <v>1.9867683813505799E-3</v>
      </c>
      <c r="Z50" s="47">
        <v>0</v>
      </c>
      <c r="AA50" s="47"/>
      <c r="AB50" s="47"/>
      <c r="AC50" s="47"/>
      <c r="AD50" s="47"/>
    </row>
    <row r="51" spans="1:30" x14ac:dyDescent="0.25">
      <c r="A51" s="36">
        <v>41913</v>
      </c>
      <c r="B51" s="47">
        <v>4.0000000000000002E-4</v>
      </c>
      <c r="C51" s="47">
        <v>2.0000000000000001E-4</v>
      </c>
      <c r="D51" s="47">
        <v>1E-4</v>
      </c>
      <c r="E51" s="47">
        <v>1E-4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/>
      <c r="L51" s="47"/>
      <c r="M51" s="47"/>
      <c r="N51" s="47"/>
      <c r="Q51" s="36">
        <v>41913</v>
      </c>
      <c r="R51" s="47">
        <v>2.4419934930955201E-3</v>
      </c>
      <c r="S51" s="47">
        <v>2.5146402216979901E-3</v>
      </c>
      <c r="T51" s="47">
        <v>2.43580365405539E-3</v>
      </c>
      <c r="U51" s="47">
        <v>2.3875834479081602E-3</v>
      </c>
      <c r="V51" s="47">
        <v>2.5633474783678901E-3</v>
      </c>
      <c r="W51" s="47">
        <v>1.9170658184365799E-3</v>
      </c>
      <c r="X51" s="47">
        <v>3.07291430520249E-3</v>
      </c>
      <c r="Y51" s="47">
        <v>1.9704739462751298E-3</v>
      </c>
      <c r="Z51" s="47">
        <v>1.6623303474317399E-3</v>
      </c>
      <c r="AA51" s="47"/>
      <c r="AB51" s="47"/>
      <c r="AC51" s="47"/>
      <c r="AD51" s="47"/>
    </row>
    <row r="52" spans="1:30" x14ac:dyDescent="0.25">
      <c r="A52" s="36">
        <v>41944</v>
      </c>
      <c r="B52" s="47">
        <v>4.0000000000000002E-4</v>
      </c>
      <c r="C52" s="47">
        <v>2.0000000000000001E-4</v>
      </c>
      <c r="D52" s="47">
        <v>1E-4</v>
      </c>
      <c r="E52" s="47">
        <v>1E-4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/>
      <c r="L52" s="47"/>
      <c r="M52" s="47"/>
      <c r="N52" s="47"/>
      <c r="Q52" s="36">
        <v>41944</v>
      </c>
      <c r="R52" s="47">
        <v>2.26047138543922E-3</v>
      </c>
      <c r="S52" s="47">
        <v>2.1534383388060198E-3</v>
      </c>
      <c r="T52" s="47">
        <v>1.9498019037850699E-3</v>
      </c>
      <c r="U52" s="47">
        <v>2.2911961585951198E-3</v>
      </c>
      <c r="V52" s="47">
        <v>2.5782310018865502E-3</v>
      </c>
      <c r="W52" s="47">
        <v>1.7382168099278599E-3</v>
      </c>
      <c r="X52" s="47">
        <v>3.5378818839678899E-3</v>
      </c>
      <c r="Y52" s="47">
        <v>1.82791002941537E-3</v>
      </c>
      <c r="Z52" s="47">
        <v>1.8127235784901399E-3</v>
      </c>
      <c r="AA52" s="47"/>
      <c r="AB52" s="47"/>
      <c r="AC52" s="47"/>
      <c r="AD52" s="47"/>
    </row>
    <row r="53" spans="1:30" x14ac:dyDescent="0.25">
      <c r="A53" s="36">
        <v>41974</v>
      </c>
      <c r="B53" s="47">
        <v>5.0000000000000001E-4</v>
      </c>
      <c r="C53" s="47">
        <v>2.0000000000000001E-4</v>
      </c>
      <c r="D53" s="47">
        <v>2.0000000000000001E-4</v>
      </c>
      <c r="E53" s="47">
        <v>1E-4</v>
      </c>
      <c r="F53" s="47">
        <v>0</v>
      </c>
      <c r="G53" s="47">
        <v>0</v>
      </c>
      <c r="H53" s="47">
        <v>2.0000000000000001E-4</v>
      </c>
      <c r="I53" s="47">
        <v>0</v>
      </c>
      <c r="J53" s="47">
        <v>0</v>
      </c>
      <c r="K53" s="47"/>
      <c r="L53" s="47"/>
      <c r="M53" s="47"/>
      <c r="N53" s="47"/>
      <c r="Q53" s="36">
        <v>41974</v>
      </c>
      <c r="R53" s="47">
        <v>3.1978297540562299E-3</v>
      </c>
      <c r="S53" s="47">
        <v>3.1372260189091402E-3</v>
      </c>
      <c r="T53" s="47">
        <v>3.1639523448709602E-3</v>
      </c>
      <c r="U53" s="47">
        <v>3.61345336157841E-3</v>
      </c>
      <c r="V53" s="47">
        <v>4.1618114863963898E-3</v>
      </c>
      <c r="W53" s="47">
        <v>3.5413995458346702E-3</v>
      </c>
      <c r="X53" s="47">
        <v>5.1635036194168701E-3</v>
      </c>
      <c r="Y53" s="47">
        <v>3.1173836097395098E-3</v>
      </c>
      <c r="Z53" s="47">
        <v>3.2100016355282599E-3</v>
      </c>
      <c r="AA53" s="47"/>
      <c r="AB53" s="47"/>
      <c r="AC53" s="47"/>
      <c r="AD53" s="47"/>
    </row>
    <row r="54" spans="1:30" x14ac:dyDescent="0.25">
      <c r="A54" s="36">
        <v>42005</v>
      </c>
      <c r="B54" s="47">
        <v>5.0000000000000001E-4</v>
      </c>
      <c r="C54" s="47">
        <v>2.9999999999999997E-4</v>
      </c>
      <c r="D54" s="47">
        <v>2.0000000000000001E-4</v>
      </c>
      <c r="E54" s="47">
        <v>1E-4</v>
      </c>
      <c r="F54" s="47">
        <v>0</v>
      </c>
      <c r="G54" s="47">
        <v>0</v>
      </c>
      <c r="H54" s="47">
        <v>2.0000000000000001E-4</v>
      </c>
      <c r="I54" s="47">
        <v>0</v>
      </c>
      <c r="J54" s="47">
        <v>0</v>
      </c>
      <c r="K54" s="47">
        <v>0</v>
      </c>
      <c r="L54" s="47"/>
      <c r="M54" s="47"/>
      <c r="N54" s="47"/>
      <c r="Q54" s="36">
        <v>42005</v>
      </c>
      <c r="R54" s="47">
        <v>2.5090365666056301E-3</v>
      </c>
      <c r="S54" s="47">
        <v>2.5071003222516702E-3</v>
      </c>
      <c r="T54" s="47">
        <v>2.4825080357062301E-3</v>
      </c>
      <c r="U54" s="47">
        <v>2.8897348095416799E-3</v>
      </c>
      <c r="V54" s="47">
        <v>3.69019871178118E-3</v>
      </c>
      <c r="W54" s="47">
        <v>2.7748621000516899E-3</v>
      </c>
      <c r="X54" s="47">
        <v>4.2606312132453398E-3</v>
      </c>
      <c r="Y54" s="47">
        <v>2.5871680534557298E-3</v>
      </c>
      <c r="Z54" s="47">
        <v>3.4388182085411199E-3</v>
      </c>
      <c r="AA54" s="47">
        <v>1.5922864086589899E-3</v>
      </c>
      <c r="AB54" s="47"/>
      <c r="AC54" s="47"/>
      <c r="AD54" s="47"/>
    </row>
    <row r="55" spans="1:30" x14ac:dyDescent="0.25">
      <c r="A55" s="36">
        <v>42036</v>
      </c>
      <c r="B55" s="47">
        <v>5.0000000000000001E-4</v>
      </c>
      <c r="C55" s="47">
        <v>4.0000000000000002E-4</v>
      </c>
      <c r="D55" s="47">
        <v>2.0000000000000001E-4</v>
      </c>
      <c r="E55" s="47">
        <v>2.0000000000000001E-4</v>
      </c>
      <c r="F55" s="47">
        <v>1E-4</v>
      </c>
      <c r="G55" s="47">
        <v>0</v>
      </c>
      <c r="H55" s="47">
        <v>2.9999999999999997E-4</v>
      </c>
      <c r="I55" s="47">
        <v>1E-4</v>
      </c>
      <c r="J55" s="47">
        <v>1E-4</v>
      </c>
      <c r="K55" s="47">
        <v>0</v>
      </c>
      <c r="L55" s="47"/>
      <c r="M55" s="47"/>
      <c r="N55" s="47"/>
      <c r="Q55" s="36">
        <v>42036</v>
      </c>
      <c r="R55" s="47">
        <v>2.5015041079039799E-3</v>
      </c>
      <c r="S55" s="47">
        <v>2.60061031892786E-3</v>
      </c>
      <c r="T55" s="47">
        <v>2.52494335767715E-3</v>
      </c>
      <c r="U55" s="47">
        <v>2.89173380183875E-3</v>
      </c>
      <c r="V55" s="47">
        <v>3.9045994484270099E-3</v>
      </c>
      <c r="W55" s="47">
        <v>3.0916978033754998E-3</v>
      </c>
      <c r="X55" s="47">
        <v>5.3237138676784897E-3</v>
      </c>
      <c r="Y55" s="47">
        <v>2.9512584597165201E-3</v>
      </c>
      <c r="Z55" s="47">
        <v>4.1123124381280398E-3</v>
      </c>
      <c r="AA55" s="47">
        <v>1.73183463286868E-3</v>
      </c>
      <c r="AB55" s="47"/>
      <c r="AC55" s="47"/>
      <c r="AD55" s="47"/>
    </row>
    <row r="56" spans="1:30" x14ac:dyDescent="0.25">
      <c r="A56" s="36">
        <v>42064</v>
      </c>
      <c r="B56" s="47">
        <v>5.9999999999999995E-4</v>
      </c>
      <c r="C56" s="47">
        <v>4.0000000000000002E-4</v>
      </c>
      <c r="D56" s="47">
        <v>2.0000000000000001E-4</v>
      </c>
      <c r="E56" s="47">
        <v>2.0000000000000001E-4</v>
      </c>
      <c r="F56" s="47">
        <v>2.0000000000000001E-4</v>
      </c>
      <c r="G56" s="47">
        <v>0</v>
      </c>
      <c r="H56" s="47">
        <v>4.0000000000000002E-4</v>
      </c>
      <c r="I56" s="47">
        <v>2.0000000000000001E-4</v>
      </c>
      <c r="J56" s="47">
        <v>2.0000000000000001E-4</v>
      </c>
      <c r="K56" s="47">
        <v>0</v>
      </c>
      <c r="L56" s="47"/>
      <c r="M56" s="47">
        <v>0</v>
      </c>
      <c r="N56" s="47"/>
      <c r="Q56" s="36">
        <v>42064</v>
      </c>
      <c r="R56" s="47">
        <v>3.0000390932597401E-3</v>
      </c>
      <c r="S56" s="47">
        <v>3.0653763936751102E-3</v>
      </c>
      <c r="T56" s="47">
        <v>3.1499647857695201E-3</v>
      </c>
      <c r="U56" s="47">
        <v>3.4767765375114E-3</v>
      </c>
      <c r="V56" s="47">
        <v>4.9454945394582697E-3</v>
      </c>
      <c r="W56" s="47">
        <v>4.2376432266131598E-3</v>
      </c>
      <c r="X56" s="47">
        <v>5.8858695835742603E-3</v>
      </c>
      <c r="Y56" s="47">
        <v>3.4120372853844198E-3</v>
      </c>
      <c r="Z56" s="47">
        <v>5.0680743447907902E-3</v>
      </c>
      <c r="AA56" s="47">
        <v>3.4222049864019101E-3</v>
      </c>
      <c r="AB56" s="47"/>
      <c r="AC56" s="47">
        <v>2.03240793500672E-3</v>
      </c>
      <c r="AD56" s="47"/>
    </row>
    <row r="57" spans="1:30" x14ac:dyDescent="0.25">
      <c r="A57" s="36">
        <v>42095</v>
      </c>
      <c r="B57" s="47">
        <v>5.9999999999999995E-4</v>
      </c>
      <c r="C57" s="47">
        <v>5.0000000000000001E-4</v>
      </c>
      <c r="D57" s="47">
        <v>2.9999999999999997E-4</v>
      </c>
      <c r="E57" s="47">
        <v>2.0000000000000001E-4</v>
      </c>
      <c r="F57" s="47">
        <v>2.0000000000000001E-4</v>
      </c>
      <c r="G57" s="47">
        <v>0</v>
      </c>
      <c r="H57" s="47">
        <v>5.9999999999999995E-4</v>
      </c>
      <c r="I57" s="47">
        <v>2.0000000000000001E-4</v>
      </c>
      <c r="J57" s="47">
        <v>2.9999999999999997E-4</v>
      </c>
      <c r="K57" s="47">
        <v>0</v>
      </c>
      <c r="L57" s="47">
        <v>0</v>
      </c>
      <c r="M57" s="47">
        <v>0</v>
      </c>
      <c r="N57" s="47">
        <v>0</v>
      </c>
      <c r="Q57" s="36">
        <v>42095</v>
      </c>
      <c r="R57" s="47">
        <v>2.21292653406198E-3</v>
      </c>
      <c r="S57" s="47">
        <v>2.12804341599132E-3</v>
      </c>
      <c r="T57" s="47">
        <v>2.35929860311377E-3</v>
      </c>
      <c r="U57" s="47">
        <v>2.63312904737718E-3</v>
      </c>
      <c r="V57" s="47">
        <v>4.09348673887507E-3</v>
      </c>
      <c r="W57" s="47">
        <v>3.5782370579607601E-3</v>
      </c>
      <c r="X57" s="47">
        <v>4.2740795025214898E-3</v>
      </c>
      <c r="Y57" s="47">
        <v>2.5385131985243702E-3</v>
      </c>
      <c r="Z57" s="47">
        <v>3.77482947982053E-3</v>
      </c>
      <c r="AA57" s="47">
        <v>2.11566290273635E-3</v>
      </c>
      <c r="AB57" s="47">
        <v>5.5999090056126305E-4</v>
      </c>
      <c r="AC57" s="47">
        <v>1.6889907033116099E-3</v>
      </c>
      <c r="AD57" s="47">
        <v>0</v>
      </c>
    </row>
    <row r="58" spans="1:30" x14ac:dyDescent="0.25">
      <c r="A58" s="39">
        <v>42125</v>
      </c>
      <c r="B58" s="48">
        <v>6.9999999999999999E-4</v>
      </c>
      <c r="C58" s="48">
        <v>5.0000000000000001E-4</v>
      </c>
      <c r="D58" s="48">
        <v>2.9999999999999997E-4</v>
      </c>
      <c r="E58" s="48">
        <v>2.9999999999999997E-4</v>
      </c>
      <c r="F58" s="48">
        <v>2.9999999999999997E-4</v>
      </c>
      <c r="G58" s="48">
        <v>0</v>
      </c>
      <c r="H58" s="48">
        <v>6.9999999999999999E-4</v>
      </c>
      <c r="I58" s="48">
        <v>2.9999999999999997E-4</v>
      </c>
      <c r="J58" s="48">
        <v>4.0000000000000002E-4</v>
      </c>
      <c r="K58" s="48">
        <v>0</v>
      </c>
      <c r="L58" s="48">
        <v>0</v>
      </c>
      <c r="M58" s="48">
        <v>0</v>
      </c>
      <c r="N58" s="48">
        <v>0</v>
      </c>
      <c r="Q58" s="39">
        <v>42125</v>
      </c>
      <c r="R58" s="48">
        <v>2.29371262051119E-3</v>
      </c>
      <c r="S58" s="48">
        <v>2.3137861072066801E-3</v>
      </c>
      <c r="T58" s="48">
        <v>2.45970523329553E-3</v>
      </c>
      <c r="U58" s="48">
        <v>2.8994875935216798E-3</v>
      </c>
      <c r="V58" s="48">
        <v>4.1318942079793201E-3</v>
      </c>
      <c r="W58" s="48">
        <v>3.9062777689486301E-3</v>
      </c>
      <c r="X58" s="48">
        <v>5.1322419447953497E-3</v>
      </c>
      <c r="Y58" s="48">
        <v>2.9648472609394602E-3</v>
      </c>
      <c r="Z58" s="48">
        <v>4.4673961711471696E-3</v>
      </c>
      <c r="AA58" s="48">
        <v>2.7772949574741499E-3</v>
      </c>
      <c r="AB58" s="48">
        <v>7.6209042857628502E-4</v>
      </c>
      <c r="AC58" s="48">
        <v>1.94430091270715E-3</v>
      </c>
      <c r="AD58" s="48">
        <v>1.0399318474289801E-3</v>
      </c>
    </row>
    <row r="59" spans="1:30" hidden="1" x14ac:dyDescent="0.25">
      <c r="A59" s="42"/>
      <c r="B59" s="49">
        <v>1E-3</v>
      </c>
      <c r="C59" s="49">
        <v>1E-3</v>
      </c>
      <c r="D59" s="49">
        <v>1E-3</v>
      </c>
      <c r="E59" s="49">
        <v>1E-3</v>
      </c>
      <c r="F59" s="49">
        <v>1E-3</v>
      </c>
      <c r="G59" s="49">
        <v>1E-3</v>
      </c>
      <c r="H59" s="49">
        <v>1E-3</v>
      </c>
      <c r="I59" s="49">
        <v>1E-3</v>
      </c>
      <c r="J59" s="49">
        <v>1E-3</v>
      </c>
      <c r="K59" s="49">
        <v>1E-3</v>
      </c>
      <c r="L59" s="49">
        <v>1E-3</v>
      </c>
      <c r="M59" s="49">
        <v>1E-3</v>
      </c>
      <c r="N59" s="49">
        <v>1E-3</v>
      </c>
      <c r="Q59" s="32"/>
      <c r="R59" s="32">
        <v>0.01</v>
      </c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</row>
    <row r="60" spans="1:30" x14ac:dyDescent="0.25">
      <c r="A60" s="42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</row>
    <row r="61" spans="1:30" x14ac:dyDescent="0.25">
      <c r="A61" s="42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</row>
    <row r="63" spans="1:30" hidden="1" x14ac:dyDescent="0.25"/>
    <row r="89" hidden="1" x14ac:dyDescent="0.25"/>
  </sheetData>
  <mergeCells count="4">
    <mergeCell ref="A2:N2"/>
    <mergeCell ref="Q2:AD2"/>
    <mergeCell ref="A32:N32"/>
    <mergeCell ref="Q32:AD32"/>
  </mergeCells>
  <conditionalFormatting sqref="B5:B29">
    <cfRule type="dataBar" priority="9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{4939E771-2320-4C32-9D14-F659A9448645}</x14:id>
        </ext>
      </extLst>
    </cfRule>
  </conditionalFormatting>
  <conditionalFormatting sqref="C5:N29">
    <cfRule type="dataBar" priority="8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{76F66E56-9DF5-4F1E-B077-57A37730F1B9}</x14:id>
        </ext>
      </extLst>
    </cfRule>
  </conditionalFormatting>
  <conditionalFormatting sqref="R5:R29">
    <cfRule type="dataBar" priority="7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{0BA28610-3FB1-4E90-87DB-1EF7D2888D3E}</x14:id>
        </ext>
      </extLst>
    </cfRule>
  </conditionalFormatting>
  <conditionalFormatting sqref="S5:AD29">
    <cfRule type="dataBar" priority="6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{0253F3B3-1BAC-49ED-A1EE-65342296AD0E}</x14:id>
        </ext>
      </extLst>
    </cfRule>
  </conditionalFormatting>
  <conditionalFormatting sqref="B35:B59">
    <cfRule type="dataBar" priority="5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{FA09346F-3B2A-4B54-AA4C-CFF971E4B79D}</x14:id>
        </ext>
      </extLst>
    </cfRule>
  </conditionalFormatting>
  <conditionalFormatting sqref="C35:N59">
    <cfRule type="dataBar" priority="3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{43E25E75-F121-4AEC-BD1F-BA3386024C9E}</x14:id>
        </ext>
      </extLst>
    </cfRule>
  </conditionalFormatting>
  <conditionalFormatting sqref="R35:R59">
    <cfRule type="dataBar" priority="2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{324A74DA-B25D-46B5-ABE5-A1190F7711B8}</x14:id>
        </ext>
      </extLst>
    </cfRule>
  </conditionalFormatting>
  <conditionalFormatting sqref="S35:AD59">
    <cfRule type="dataBar" priority="1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{7EE60BA7-C5D9-423D-8599-36022349F14F}</x14:id>
        </ext>
      </extLst>
    </cfRule>
  </conditionalFormatting>
  <pageMargins left="0.7" right="0.7" top="0.75" bottom="0.75" header="0.3" footer="0.3"/>
  <pageSetup scale="43" orientation="landscape" horizontalDpi="1200" verticalDpi="1200"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39E771-2320-4C32-9D14-F659A94486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B5:B29</xm:sqref>
        </x14:conditionalFormatting>
        <x14:conditionalFormatting xmlns:xm="http://schemas.microsoft.com/office/excel/2006/main">
          <x14:cfRule type="dataBar" id="{76F66E56-9DF5-4F1E-B077-57A37730F1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C5:N29</xm:sqref>
        </x14:conditionalFormatting>
        <x14:conditionalFormatting xmlns:xm="http://schemas.microsoft.com/office/excel/2006/main">
          <x14:cfRule type="dataBar" id="{0BA28610-3FB1-4E90-87DB-1EF7D2888D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R5:R29</xm:sqref>
        </x14:conditionalFormatting>
        <x14:conditionalFormatting xmlns:xm="http://schemas.microsoft.com/office/excel/2006/main">
          <x14:cfRule type="dataBar" id="{0253F3B3-1BAC-49ED-A1EE-65342296AD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S5:AD29</xm:sqref>
        </x14:conditionalFormatting>
        <x14:conditionalFormatting xmlns:xm="http://schemas.microsoft.com/office/excel/2006/main">
          <x14:cfRule type="dataBar" id="{FA09346F-3B2A-4B54-AA4C-CFF971E4B7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B35:B59</xm:sqref>
        </x14:conditionalFormatting>
        <x14:conditionalFormatting xmlns:xm="http://schemas.microsoft.com/office/excel/2006/main">
          <x14:cfRule type="dataBar" id="{43E25E75-F121-4AEC-BD1F-BA3386024C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C35:N59</xm:sqref>
        </x14:conditionalFormatting>
        <x14:conditionalFormatting xmlns:xm="http://schemas.microsoft.com/office/excel/2006/main">
          <x14:cfRule type="dataBar" id="{324A74DA-B25D-46B5-ABE5-A1190F7711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R35:R59</xm:sqref>
        </x14:conditionalFormatting>
        <x14:conditionalFormatting xmlns:xm="http://schemas.microsoft.com/office/excel/2006/main">
          <x14:cfRule type="dataBar" id="{7EE60BA7-C5D9-423D-8599-36022349F1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S35:AD59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C13"/>
  <sheetViews>
    <sheetView workbookViewId="0">
      <selection activeCell="F34" sqref="F34"/>
    </sheetView>
  </sheetViews>
  <sheetFormatPr defaultRowHeight="15" x14ac:dyDescent="0.25"/>
  <cols>
    <col min="1" max="1" width="11.140625" bestFit="1" customWidth="1"/>
    <col min="2" max="2" width="17.5703125" style="3" bestFit="1" customWidth="1"/>
    <col min="3" max="4" width="18" style="3" bestFit="1" customWidth="1"/>
    <col min="5" max="5" width="14.140625" style="3" bestFit="1" customWidth="1"/>
    <col min="6" max="6" width="18.85546875" style="4" bestFit="1" customWidth="1"/>
    <col min="7" max="7" width="22" style="4" bestFit="1" customWidth="1"/>
    <col min="8" max="8" width="13.42578125" style="2" bestFit="1" customWidth="1"/>
    <col min="9" max="9" width="14.5703125" style="2" bestFit="1" customWidth="1"/>
    <col min="10" max="10" width="16.42578125" style="2" bestFit="1" customWidth="1"/>
    <col min="11" max="11" width="13" style="2" bestFit="1" customWidth="1"/>
    <col min="12" max="12" width="14.42578125" style="2" bestFit="1" customWidth="1"/>
    <col min="13" max="13" width="18.140625" style="3" bestFit="1" customWidth="1"/>
    <col min="14" max="15" width="12.140625" style="6" bestFit="1" customWidth="1"/>
    <col min="16" max="16" width="23.7109375" style="6" bestFit="1" customWidth="1"/>
    <col min="17" max="17" width="23" style="6" bestFit="1" customWidth="1"/>
    <col min="18" max="18" width="18.140625" style="6" bestFit="1" customWidth="1"/>
    <col min="19" max="20" width="12.140625" style="6" bestFit="1" customWidth="1"/>
    <col min="21" max="21" width="12.85546875" style="6" bestFit="1" customWidth="1"/>
    <col min="22" max="23" width="12.140625" style="6" bestFit="1" customWidth="1"/>
    <col min="24" max="24" width="14.85546875" style="6" bestFit="1" customWidth="1"/>
    <col min="25" max="26" width="12.140625" style="6" bestFit="1" customWidth="1"/>
    <col min="27" max="27" width="12.7109375" style="6" bestFit="1" customWidth="1"/>
    <col min="28" max="28" width="12.140625" style="6" bestFit="1" customWidth="1"/>
    <col min="29" max="29" width="13" style="6" bestFit="1" customWidth="1"/>
  </cols>
  <sheetData>
    <row r="1" spans="1:29" x14ac:dyDescent="0.25">
      <c r="A1" t="s">
        <v>0</v>
      </c>
      <c r="B1" s="3" t="s">
        <v>26</v>
      </c>
      <c r="C1" s="3" t="s">
        <v>27</v>
      </c>
      <c r="D1" s="3" t="s">
        <v>28</v>
      </c>
      <c r="E1" s="3" t="s">
        <v>29</v>
      </c>
      <c r="F1" s="4" t="s">
        <v>30</v>
      </c>
      <c r="G1" s="4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3" t="s">
        <v>37</v>
      </c>
      <c r="N1" s="6" t="s">
        <v>38</v>
      </c>
      <c r="O1" s="6" t="s">
        <v>39</v>
      </c>
      <c r="P1" s="6" t="s">
        <v>40</v>
      </c>
      <c r="Q1" s="6" t="s">
        <v>41</v>
      </c>
      <c r="R1" s="6" t="s">
        <v>42</v>
      </c>
      <c r="S1" s="6" t="s">
        <v>43</v>
      </c>
      <c r="T1" s="6" t="s">
        <v>44</v>
      </c>
      <c r="U1" s="6" t="s">
        <v>45</v>
      </c>
      <c r="V1" s="6" t="s">
        <v>46</v>
      </c>
      <c r="W1" s="6" t="s">
        <v>47</v>
      </c>
      <c r="X1" s="6" t="s">
        <v>48</v>
      </c>
      <c r="Y1" s="6" t="s">
        <v>49</v>
      </c>
      <c r="Z1" s="6" t="s">
        <v>50</v>
      </c>
      <c r="AA1" s="6" t="s">
        <v>51</v>
      </c>
      <c r="AB1" s="6" t="s">
        <v>52</v>
      </c>
      <c r="AC1" s="6" t="s">
        <v>53</v>
      </c>
    </row>
    <row r="2" spans="1:29" x14ac:dyDescent="0.25">
      <c r="A2">
        <v>1372</v>
      </c>
      <c r="B2" s="3">
        <v>100783</v>
      </c>
      <c r="C2" s="3">
        <v>22854846731.060001</v>
      </c>
      <c r="D2" s="3">
        <v>24501111000</v>
      </c>
      <c r="E2" s="3">
        <v>32.973163893245598</v>
      </c>
      <c r="F2" s="4">
        <v>3.8368233403223999</v>
      </c>
      <c r="G2" s="4">
        <v>3.8368251194171998</v>
      </c>
      <c r="H2" s="2">
        <v>74.929150298696598</v>
      </c>
      <c r="I2" s="2">
        <v>75.889939928972098</v>
      </c>
      <c r="J2" s="2">
        <v>60.356354955343399</v>
      </c>
      <c r="K2" s="2">
        <v>31.255500647235699</v>
      </c>
      <c r="L2" s="2">
        <v>765.86119798311995</v>
      </c>
      <c r="M2" s="3">
        <v>309689.23144459899</v>
      </c>
      <c r="N2" s="6">
        <v>0</v>
      </c>
      <c r="O2" s="6">
        <v>8.9249834761652505E-2</v>
      </c>
      <c r="P2" s="6">
        <v>0.122846453184233</v>
      </c>
      <c r="Q2" s="6">
        <v>0.59997443033055997</v>
      </c>
      <c r="R2" s="6">
        <v>2.7463393378481301E-2</v>
      </c>
      <c r="S2" s="6">
        <v>0.64000011193912698</v>
      </c>
      <c r="T2" s="6">
        <v>0.86815326842840501</v>
      </c>
      <c r="U2" s="6">
        <v>0.41264313941179498</v>
      </c>
      <c r="V2" s="6">
        <v>0.15237148222864</v>
      </c>
      <c r="W2" s="6">
        <v>0.99700030798732797</v>
      </c>
      <c r="X2" s="6">
        <v>2.9996920126718401E-3</v>
      </c>
      <c r="Y2" s="6">
        <v>0.97544714600306603</v>
      </c>
      <c r="Z2" s="6">
        <v>2.1553161984261202E-2</v>
      </c>
      <c r="AA2" s="6">
        <v>2.7556807460191101E-3</v>
      </c>
      <c r="AB2" s="6">
        <v>2.4401126665273099E-4</v>
      </c>
      <c r="AC2" s="6">
        <v>1.3265348289909001E-4</v>
      </c>
    </row>
    <row r="3" spans="1:29" x14ac:dyDescent="0.25">
      <c r="A3">
        <v>1378</v>
      </c>
      <c r="B3" s="3">
        <v>112111</v>
      </c>
      <c r="C3" s="3">
        <v>25905894716.189999</v>
      </c>
      <c r="D3" s="3">
        <v>27611457000</v>
      </c>
      <c r="E3" s="3">
        <v>30.018154824178499</v>
      </c>
      <c r="F3" s="4">
        <v>3.6319537076222401</v>
      </c>
      <c r="G3" s="4">
        <v>3.6319448848627802</v>
      </c>
      <c r="H3" s="2">
        <v>74.520234254819101</v>
      </c>
      <c r="I3" s="2">
        <v>75.495005702116302</v>
      </c>
      <c r="J3" s="2">
        <v>60.569679903644598</v>
      </c>
      <c r="K3" s="2">
        <v>31.0298143374626</v>
      </c>
      <c r="L3" s="2">
        <v>765.28393319481995</v>
      </c>
      <c r="M3" s="3">
        <v>312440.25330319401</v>
      </c>
      <c r="N3" s="6">
        <v>0</v>
      </c>
      <c r="O3" s="6">
        <v>9.2970198695156894E-2</v>
      </c>
      <c r="P3" s="6">
        <v>9.42936448422831E-2</v>
      </c>
      <c r="Q3" s="6">
        <v>0.59390034533317004</v>
      </c>
      <c r="R3" s="6">
        <v>2.85464253214089E-2</v>
      </c>
      <c r="S3" s="6">
        <v>0.62961620287742903</v>
      </c>
      <c r="T3" s="6">
        <v>0.87150465624375195</v>
      </c>
      <c r="U3" s="6">
        <v>0.31474859177221198</v>
      </c>
      <c r="V3" s="6">
        <v>0.177601840938719</v>
      </c>
      <c r="W3" s="6">
        <v>0.99696711655471604</v>
      </c>
      <c r="X3" s="6">
        <v>3.0328834452838802E-3</v>
      </c>
      <c r="Y3" s="6">
        <v>0.97747353718243501</v>
      </c>
      <c r="Z3" s="6">
        <v>1.94935793722808E-2</v>
      </c>
      <c r="AA3" s="6">
        <v>2.7789066715773101E-3</v>
      </c>
      <c r="AB3" s="6">
        <v>2.5397677370656902E-4</v>
      </c>
      <c r="AC3" s="6">
        <v>9.9257688189129302E-5</v>
      </c>
    </row>
    <row r="4" spans="1:29" x14ac:dyDescent="0.25">
      <c r="A4">
        <v>1383</v>
      </c>
      <c r="B4" s="3">
        <v>178974</v>
      </c>
      <c r="C4" s="3">
        <v>42347878129.330002</v>
      </c>
      <c r="D4" s="3">
        <v>44856629000</v>
      </c>
      <c r="E4" s="3">
        <v>27.305259481354899</v>
      </c>
      <c r="F4" s="4">
        <v>3.5838216612422702</v>
      </c>
      <c r="G4" s="4">
        <v>3.5838210121338898</v>
      </c>
      <c r="H4" s="2">
        <v>74.279249223552398</v>
      </c>
      <c r="I4" s="2">
        <v>75.351726496680897</v>
      </c>
      <c r="J4" s="2">
        <v>61.377535352388598</v>
      </c>
      <c r="K4" s="2">
        <v>31.233146006315501</v>
      </c>
      <c r="L4" s="2">
        <v>763.98075620070404</v>
      </c>
      <c r="M4" s="3">
        <v>315849.23723978701</v>
      </c>
      <c r="N4" s="6">
        <v>0</v>
      </c>
      <c r="O4" s="6">
        <v>0.101224966544689</v>
      </c>
      <c r="P4" s="6">
        <v>8.8800805324304302E-2</v>
      </c>
      <c r="Q4" s="6">
        <v>0.59024874674058303</v>
      </c>
      <c r="R4" s="6">
        <v>3.04895545700491E-2</v>
      </c>
      <c r="S4" s="6">
        <v>0.62501364840587703</v>
      </c>
      <c r="T4" s="6">
        <v>0.86655119228285604</v>
      </c>
      <c r="U4" s="6">
        <v>0.29358505861357698</v>
      </c>
      <c r="V4" s="6">
        <v>0.147224241258782</v>
      </c>
      <c r="W4" s="6">
        <v>0.99723700852017505</v>
      </c>
      <c r="X4" s="6">
        <v>2.7629914798248498E-3</v>
      </c>
      <c r="Y4" s="6">
        <v>0.98254927643994106</v>
      </c>
      <c r="Z4" s="6">
        <v>1.46877320802339E-2</v>
      </c>
      <c r="AA4" s="6">
        <v>2.59109317838532E-3</v>
      </c>
      <c r="AB4" s="6">
        <v>1.7189830143952799E-4</v>
      </c>
      <c r="AC4" s="6">
        <v>4.5972519191029402E-5</v>
      </c>
    </row>
    <row r="5" spans="1:29" x14ac:dyDescent="0.25">
      <c r="A5">
        <v>1384</v>
      </c>
      <c r="B5" s="3">
        <v>57358</v>
      </c>
      <c r="C5" s="3">
        <v>12403070778.74</v>
      </c>
      <c r="D5" s="3">
        <v>13086676000</v>
      </c>
      <c r="E5" s="3">
        <v>27.303327778522199</v>
      </c>
      <c r="F5" s="4">
        <v>3.5731708448059898</v>
      </c>
      <c r="G5" s="4">
        <v>3.57319684714713</v>
      </c>
      <c r="H5" s="2">
        <v>90.977240090273895</v>
      </c>
      <c r="I5" s="2">
        <v>91.028148425434907</v>
      </c>
      <c r="J5" s="2">
        <v>76.915173396630706</v>
      </c>
      <c r="K5" s="2">
        <v>32.348669466329397</v>
      </c>
      <c r="L5" s="2">
        <v>756.52841991503101</v>
      </c>
      <c r="M5" s="3">
        <v>274921.53157161397</v>
      </c>
      <c r="N5" s="6">
        <v>1</v>
      </c>
      <c r="O5" s="6">
        <v>7.71563353682012E-3</v>
      </c>
      <c r="P5" s="6">
        <v>0.26700679959647999</v>
      </c>
      <c r="Q5" s="6">
        <v>0.55570687375212902</v>
      </c>
      <c r="R5" s="6">
        <v>1.04995031571713E-3</v>
      </c>
      <c r="S5" s="6">
        <v>0.60074624371102203</v>
      </c>
      <c r="T5" s="6">
        <v>0.97008458066481296</v>
      </c>
      <c r="U5" s="6">
        <v>0.60614254080744101</v>
      </c>
      <c r="V5" s="6">
        <v>9.4060508960387895E-2</v>
      </c>
      <c r="W5" s="6">
        <v>0.99500762735336901</v>
      </c>
      <c r="X5" s="6">
        <v>4.9923726466302E-3</v>
      </c>
      <c r="Y5" s="6">
        <v>0.97847264414005597</v>
      </c>
      <c r="Z5" s="6">
        <v>1.6534983213312999E-2</v>
      </c>
      <c r="AA5" s="6">
        <v>4.56769682852324E-3</v>
      </c>
      <c r="AB5" s="6">
        <v>4.2467581810696402E-4</v>
      </c>
      <c r="AC5" s="6">
        <v>1.24871884360667E-4</v>
      </c>
    </row>
    <row r="6" spans="1:29" x14ac:dyDescent="0.25">
      <c r="A6">
        <v>1387</v>
      </c>
      <c r="B6" s="3">
        <v>230558</v>
      </c>
      <c r="C6" s="3">
        <v>53944428669.5</v>
      </c>
      <c r="D6" s="3">
        <v>56711581000</v>
      </c>
      <c r="E6" s="3">
        <v>24.15510004758</v>
      </c>
      <c r="F6" s="4">
        <v>3.7404749177170902</v>
      </c>
      <c r="G6" s="4">
        <v>3.7404785636712399</v>
      </c>
      <c r="H6" s="2">
        <v>74.781346697339302</v>
      </c>
      <c r="I6" s="2">
        <v>75.860761764237196</v>
      </c>
      <c r="J6" s="2">
        <v>63.066550752636701</v>
      </c>
      <c r="K6" s="2">
        <v>32.000581663350097</v>
      </c>
      <c r="L6" s="2">
        <v>761.32538182584506</v>
      </c>
      <c r="M6" s="3">
        <v>313911.88416923099</v>
      </c>
      <c r="N6" s="6">
        <v>0</v>
      </c>
      <c r="O6" s="6">
        <v>9.6605375677404501E-2</v>
      </c>
      <c r="P6" s="6">
        <v>0.121778369530202</v>
      </c>
      <c r="Q6" s="6">
        <v>0.567244494025959</v>
      </c>
      <c r="R6" s="6">
        <v>3.0733882594948699E-2</v>
      </c>
      <c r="S6" s="6">
        <v>0.609832495405774</v>
      </c>
      <c r="T6" s="6">
        <v>0.85923751134594395</v>
      </c>
      <c r="U6" s="6">
        <v>0.39393892172844702</v>
      </c>
      <c r="V6" s="6">
        <v>0.138102978327623</v>
      </c>
      <c r="W6" s="6">
        <v>0.99678110204069703</v>
      </c>
      <c r="X6" s="6">
        <v>3.21889795930263E-3</v>
      </c>
      <c r="Y6" s="6">
        <v>0.98205419407792605</v>
      </c>
      <c r="Z6" s="6">
        <v>1.47269079627711E-2</v>
      </c>
      <c r="AA6" s="6">
        <v>2.9790611124010501E-3</v>
      </c>
      <c r="AB6" s="6">
        <v>2.39836846901578E-4</v>
      </c>
      <c r="AC6" s="6">
        <v>1.61705664795223E-5</v>
      </c>
    </row>
    <row r="7" spans="1:29" x14ac:dyDescent="0.25">
      <c r="A7">
        <v>1388</v>
      </c>
      <c r="B7" s="3">
        <v>79578</v>
      </c>
      <c r="C7" s="3">
        <v>17076873749.98</v>
      </c>
      <c r="D7" s="3">
        <v>17919934000</v>
      </c>
      <c r="E7" s="3">
        <v>24.054456591047899</v>
      </c>
      <c r="F7" s="4">
        <v>3.73091919313481</v>
      </c>
      <c r="G7" s="4">
        <v>3.7309182328705299</v>
      </c>
      <c r="H7" s="2">
        <v>91.566649465009405</v>
      </c>
      <c r="I7" s="2">
        <v>91.603330838302995</v>
      </c>
      <c r="J7" s="2">
        <v>78.853060277343104</v>
      </c>
      <c r="K7" s="2">
        <v>32.838565106713702</v>
      </c>
      <c r="L7" s="2">
        <v>754.61412830066502</v>
      </c>
      <c r="M7" s="3">
        <v>270744.48787422403</v>
      </c>
      <c r="N7" s="6">
        <v>1</v>
      </c>
      <c r="O7" s="6">
        <v>5.8673510073889998E-3</v>
      </c>
      <c r="P7" s="6">
        <v>0.32486391187242297</v>
      </c>
      <c r="Q7" s="6">
        <v>0.53891285663751898</v>
      </c>
      <c r="R7" s="6">
        <v>1.0981944590427099E-3</v>
      </c>
      <c r="S7" s="6">
        <v>0.59260728557777398</v>
      </c>
      <c r="T7" s="6">
        <v>0.96945809953238005</v>
      </c>
      <c r="U7" s="6">
        <v>0.71902091026903403</v>
      </c>
      <c r="V7" s="6">
        <v>9.2057872487453396E-2</v>
      </c>
      <c r="W7" s="6">
        <v>0.99518239043196599</v>
      </c>
      <c r="X7" s="6">
        <v>4.8176095680332702E-3</v>
      </c>
      <c r="Y7" s="6">
        <v>0.97960161835298398</v>
      </c>
      <c r="Z7" s="6">
        <v>1.55807720789826E-2</v>
      </c>
      <c r="AA7" s="6">
        <v>4.2601495750992004E-3</v>
      </c>
      <c r="AB7" s="6">
        <v>5.5745999293407801E-4</v>
      </c>
      <c r="AC7" s="6">
        <v>1.6021756324123401E-5</v>
      </c>
    </row>
    <row r="8" spans="1:29" x14ac:dyDescent="0.25">
      <c r="A8">
        <v>1392</v>
      </c>
      <c r="B8" s="3">
        <v>143199</v>
      </c>
      <c r="C8" s="3">
        <v>32136335636.279999</v>
      </c>
      <c r="D8" s="3">
        <v>33581355000</v>
      </c>
      <c r="E8" s="3">
        <v>21.752533775103</v>
      </c>
      <c r="F8" s="4">
        <v>3.9795648009076601</v>
      </c>
      <c r="G8" s="4">
        <v>3.9795642197666798</v>
      </c>
      <c r="H8" s="2">
        <v>75.294704447497296</v>
      </c>
      <c r="I8" s="2">
        <v>76.335788074537206</v>
      </c>
      <c r="J8" s="2">
        <v>65.407812708045398</v>
      </c>
      <c r="K8" s="2">
        <v>32.575259805596403</v>
      </c>
      <c r="L8" s="2">
        <v>757.53083361946801</v>
      </c>
      <c r="M8" s="3">
        <v>301496.10100748501</v>
      </c>
      <c r="N8" s="6">
        <v>0</v>
      </c>
      <c r="O8" s="6">
        <v>9.1168823801503804E-2</v>
      </c>
      <c r="P8" s="6">
        <v>0.15312355619427401</v>
      </c>
      <c r="Q8" s="6">
        <v>0.55612439576352302</v>
      </c>
      <c r="R8" s="6">
        <v>3.2753913877526401E-2</v>
      </c>
      <c r="S8" s="6">
        <v>0.60401360337662102</v>
      </c>
      <c r="T8" s="6">
        <v>0.84726501419381495</v>
      </c>
      <c r="U8" s="6">
        <v>0.50852625277819896</v>
      </c>
      <c r="V8" s="6">
        <v>0.122750711337063</v>
      </c>
      <c r="W8" s="6">
        <v>0.99681686949321802</v>
      </c>
      <c r="X8" s="6">
        <v>3.1831305067811099E-3</v>
      </c>
      <c r="Y8" s="6">
        <v>0.98602086173344405</v>
      </c>
      <c r="Z8" s="6">
        <v>1.0796007759774601E-2</v>
      </c>
      <c r="AA8" s="6">
        <v>3.0454688788322899E-3</v>
      </c>
      <c r="AB8" s="6">
        <v>1.3766162794882E-4</v>
      </c>
      <c r="AC8" s="6">
        <v>1.00540694389324E-5</v>
      </c>
    </row>
    <row r="9" spans="1:29" x14ac:dyDescent="0.25">
      <c r="A9">
        <v>1393</v>
      </c>
      <c r="B9" s="3">
        <v>74636</v>
      </c>
      <c r="C9" s="3">
        <v>16210833900.969999</v>
      </c>
      <c r="D9" s="3">
        <v>16878588000</v>
      </c>
      <c r="E9" s="3">
        <v>21.70972145248</v>
      </c>
      <c r="F9" s="4">
        <v>4.0289984830016197</v>
      </c>
      <c r="G9" s="4">
        <v>4.0290015086528603</v>
      </c>
      <c r="H9" s="2">
        <v>92.241305971627099</v>
      </c>
      <c r="I9" s="2">
        <v>92.263841538776902</v>
      </c>
      <c r="J9" s="2">
        <v>81.437236718223502</v>
      </c>
      <c r="K9" s="2">
        <v>33.434469982605798</v>
      </c>
      <c r="L9" s="2">
        <v>752.90798863362704</v>
      </c>
      <c r="M9" s="3">
        <v>270334.18995615101</v>
      </c>
      <c r="N9" s="6">
        <v>0.99837945332544298</v>
      </c>
      <c r="O9" s="6">
        <v>3.6814002064649502E-3</v>
      </c>
      <c r="P9" s="6">
        <v>0.360469650150467</v>
      </c>
      <c r="Q9" s="6">
        <v>0.52926132400731096</v>
      </c>
      <c r="R9" s="6">
        <v>1.2787866501278199E-3</v>
      </c>
      <c r="S9" s="6">
        <v>0.59101100330974998</v>
      </c>
      <c r="T9" s="6">
        <v>0.97389601687272298</v>
      </c>
      <c r="U9" s="6">
        <v>0.81179310683163297</v>
      </c>
      <c r="V9" s="6">
        <v>9.2243015858087599E-2</v>
      </c>
      <c r="W9" s="6">
        <v>0.99529692506407996</v>
      </c>
      <c r="X9" s="6">
        <v>4.7030749359191198E-3</v>
      </c>
      <c r="Y9" s="6">
        <v>0.98493221122539598</v>
      </c>
      <c r="Z9" s="6">
        <v>1.03647138386845E-2</v>
      </c>
      <c r="AA9" s="6">
        <v>4.3317198923244898E-3</v>
      </c>
      <c r="AB9" s="6">
        <v>3.7135504359462799E-4</v>
      </c>
      <c r="AC9" s="6">
        <v>0</v>
      </c>
    </row>
    <row r="10" spans="1:29" x14ac:dyDescent="0.25">
      <c r="A10">
        <v>1397</v>
      </c>
      <c r="B10" s="3">
        <v>131082</v>
      </c>
      <c r="C10" s="3">
        <v>26905103057.73</v>
      </c>
      <c r="D10" s="3">
        <v>27945670000</v>
      </c>
      <c r="E10" s="3">
        <v>19.344654731542299</v>
      </c>
      <c r="F10" s="4">
        <v>4.5533943430156398</v>
      </c>
      <c r="G10" s="4">
        <v>4.5533949015289901</v>
      </c>
      <c r="H10" s="2">
        <v>75.872860512214302</v>
      </c>
      <c r="I10" s="2">
        <v>76.835617849467397</v>
      </c>
      <c r="J10" s="2">
        <v>67.634878778517802</v>
      </c>
      <c r="K10" s="2">
        <v>33.650691204330101</v>
      </c>
      <c r="L10" s="2">
        <v>757.272460454662</v>
      </c>
      <c r="M10" s="3">
        <v>277515.74420893099</v>
      </c>
      <c r="N10" s="6">
        <v>0</v>
      </c>
      <c r="O10" s="6">
        <v>7.9358962931998706E-2</v>
      </c>
      <c r="P10" s="6">
        <v>0.185791798184687</v>
      </c>
      <c r="Q10" s="6">
        <v>0.53121607670273097</v>
      </c>
      <c r="R10" s="6">
        <v>3.95005014832924E-2</v>
      </c>
      <c r="S10" s="6">
        <v>0.60198769533672603</v>
      </c>
      <c r="T10" s="6">
        <v>0.82158421741481302</v>
      </c>
      <c r="U10" s="6">
        <v>0.62612026226378203</v>
      </c>
      <c r="V10" s="6">
        <v>0.109312627979509</v>
      </c>
      <c r="W10" s="6">
        <v>0.995790820043431</v>
      </c>
      <c r="X10" s="6">
        <v>4.2091799565682399E-3</v>
      </c>
      <c r="Y10" s="6">
        <v>0.98701135986209798</v>
      </c>
      <c r="Z10" s="6">
        <v>8.7794601813329497E-3</v>
      </c>
      <c r="AA10" s="6">
        <v>4.0138358614825297E-3</v>
      </c>
      <c r="AB10" s="6">
        <v>1.9534409508570799E-4</v>
      </c>
      <c r="AC10" s="6">
        <v>0</v>
      </c>
    </row>
    <row r="11" spans="1:29" x14ac:dyDescent="0.25">
      <c r="A11">
        <v>1398</v>
      </c>
      <c r="B11" s="3">
        <v>79915</v>
      </c>
      <c r="C11" s="3">
        <v>16461150315.379999</v>
      </c>
      <c r="D11" s="3">
        <v>17011927000</v>
      </c>
      <c r="E11" s="3">
        <v>19.303459379312098</v>
      </c>
      <c r="F11" s="4">
        <v>4.5969196438696702</v>
      </c>
      <c r="G11" s="4">
        <v>4.5969214346990999</v>
      </c>
      <c r="H11" s="2">
        <v>92.6911320774703</v>
      </c>
      <c r="I11" s="2">
        <v>92.710565330422298</v>
      </c>
      <c r="J11" s="2">
        <v>83.518350282382102</v>
      </c>
      <c r="K11" s="2">
        <v>34.3038597617753</v>
      </c>
      <c r="L11" s="2">
        <v>754.69066873074098</v>
      </c>
      <c r="M11" s="3">
        <v>255894.93292117101</v>
      </c>
      <c r="N11" s="6">
        <v>0.99292524850519104</v>
      </c>
      <c r="O11" s="6">
        <v>3.0512687326031802E-3</v>
      </c>
      <c r="P11" s="6">
        <v>0.40990520365369898</v>
      </c>
      <c r="Q11" s="6">
        <v>0.51373300614591799</v>
      </c>
      <c r="R11" s="6">
        <v>1.42175474141278E-3</v>
      </c>
      <c r="S11" s="6">
        <v>0.59093896114607203</v>
      </c>
      <c r="T11" s="6">
        <v>0.970059078108927</v>
      </c>
      <c r="U11" s="6">
        <v>0.89055384648807201</v>
      </c>
      <c r="V11" s="6">
        <v>8.7347175690789897E-2</v>
      </c>
      <c r="W11" s="6">
        <v>0.99513244356045105</v>
      </c>
      <c r="X11" s="6">
        <v>4.8675564395482696E-3</v>
      </c>
      <c r="Y11" s="6">
        <v>0.987168366185038</v>
      </c>
      <c r="Z11" s="6">
        <v>7.9640773754135804E-3</v>
      </c>
      <c r="AA11" s="6">
        <v>4.56892282307451E-3</v>
      </c>
      <c r="AB11" s="6">
        <v>2.9863361647375298E-4</v>
      </c>
      <c r="AC11" s="6">
        <v>0</v>
      </c>
    </row>
    <row r="12" spans="1:29" x14ac:dyDescent="0.25">
      <c r="A12">
        <v>1399</v>
      </c>
      <c r="B12" s="3">
        <v>129578</v>
      </c>
      <c r="C12" s="3">
        <v>26524443952.279999</v>
      </c>
      <c r="D12" s="3">
        <v>27339314000</v>
      </c>
      <c r="E12" s="3">
        <v>15.32890716981</v>
      </c>
      <c r="F12" s="4">
        <v>4.6031513805262998</v>
      </c>
      <c r="G12" s="4">
        <v>4.60315332677468</v>
      </c>
      <c r="H12" s="2">
        <v>75.958169713069296</v>
      </c>
      <c r="I12" s="2">
        <v>76.920558376849598</v>
      </c>
      <c r="J12" s="2">
        <v>69.457645905629704</v>
      </c>
      <c r="K12" s="2">
        <v>34.158505789778403</v>
      </c>
      <c r="L12" s="2">
        <v>752.49466140269499</v>
      </c>
      <c r="M12" s="3">
        <v>274847.76600647799</v>
      </c>
      <c r="N12" s="6">
        <v>0</v>
      </c>
      <c r="O12" s="6">
        <v>7.8980928349298096E-2</v>
      </c>
      <c r="P12" s="6">
        <v>0.18237150554985301</v>
      </c>
      <c r="Q12" s="6">
        <v>0.51785255720164802</v>
      </c>
      <c r="R12" s="6">
        <v>4.33336579714124E-2</v>
      </c>
      <c r="S12" s="6">
        <v>0.59479099461438001</v>
      </c>
      <c r="T12" s="6">
        <v>0.80895855021630203</v>
      </c>
      <c r="U12" s="6">
        <v>0.61146320090551198</v>
      </c>
      <c r="V12" s="6">
        <v>0.11489798068087401</v>
      </c>
      <c r="W12" s="6">
        <v>0.99630538881205899</v>
      </c>
      <c r="X12" s="6">
        <v>3.6946111879407099E-3</v>
      </c>
      <c r="Y12" s="6">
        <v>0.99368056145412198</v>
      </c>
      <c r="Z12" s="6">
        <v>2.6248273579365699E-3</v>
      </c>
      <c r="AA12" s="6">
        <v>3.6946111879407099E-3</v>
      </c>
      <c r="AB12" s="6">
        <v>0</v>
      </c>
      <c r="AC12" s="6">
        <v>0</v>
      </c>
    </row>
    <row r="13" spans="1:29" x14ac:dyDescent="0.25">
      <c r="A13">
        <v>1400</v>
      </c>
      <c r="B13" s="3">
        <v>78787</v>
      </c>
      <c r="C13" s="3">
        <v>16269256589.57</v>
      </c>
      <c r="D13" s="3">
        <v>16707432000</v>
      </c>
      <c r="E13" s="3">
        <v>15.2850299637355</v>
      </c>
      <c r="F13" s="4">
        <v>4.6080825742289999</v>
      </c>
      <c r="G13" s="4">
        <v>4.6080843930222004</v>
      </c>
      <c r="H13" s="2">
        <v>92.481167909673701</v>
      </c>
      <c r="I13" s="2">
        <v>92.500070373776893</v>
      </c>
      <c r="J13" s="2">
        <v>85.049924287133507</v>
      </c>
      <c r="K13" s="2">
        <v>34.640794047327397</v>
      </c>
      <c r="L13" s="2">
        <v>750.70937195390695</v>
      </c>
      <c r="M13" s="3">
        <v>256738.880214604</v>
      </c>
      <c r="N13" s="6">
        <v>0.98774557769973204</v>
      </c>
      <c r="O13" s="6">
        <v>3.2088649449089398E-3</v>
      </c>
      <c r="P13" s="6">
        <v>0.42167444684153899</v>
      </c>
      <c r="Q13" s="6">
        <v>0.49911005659875801</v>
      </c>
      <c r="R13" s="6">
        <v>2.5771557120120398E-3</v>
      </c>
      <c r="S13" s="6">
        <v>0.57189539438727999</v>
      </c>
      <c r="T13" s="6">
        <v>0.96489147901962602</v>
      </c>
      <c r="U13" s="6">
        <v>0.88103468993286305</v>
      </c>
      <c r="V13" s="6">
        <v>9.2251030404928103E-2</v>
      </c>
      <c r="W13" s="6">
        <v>0.99640004098358403</v>
      </c>
      <c r="X13" s="6">
        <v>3.5999590164155098E-3</v>
      </c>
      <c r="Y13" s="6">
        <v>0.99425251607440002</v>
      </c>
      <c r="Z13" s="6">
        <v>2.1475249091835302E-3</v>
      </c>
      <c r="AA13" s="6">
        <v>3.5999590164155098E-3</v>
      </c>
      <c r="AB13" s="6">
        <v>0</v>
      </c>
      <c r="AC13" s="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O147"/>
  <sheetViews>
    <sheetView workbookViewId="0">
      <selection activeCell="F34" sqref="F34"/>
    </sheetView>
  </sheetViews>
  <sheetFormatPr defaultRowHeight="15" x14ac:dyDescent="0.25"/>
  <cols>
    <col min="1" max="1" width="11.140625" bestFit="1" customWidth="1"/>
    <col min="2" max="2" width="10.140625" bestFit="1" customWidth="1"/>
    <col min="3" max="3" width="8.140625" style="4" bestFit="1" customWidth="1"/>
    <col min="4" max="4" width="7.140625" style="4" bestFit="1" customWidth="1"/>
    <col min="5" max="5" width="12.140625" style="6" bestFit="1" customWidth="1"/>
    <col min="6" max="6" width="11.85546875" style="8" bestFit="1" customWidth="1"/>
    <col min="7" max="7" width="11.42578125" style="8" bestFit="1" customWidth="1"/>
    <col min="9" max="9" width="11.140625" bestFit="1" customWidth="1"/>
    <col min="10" max="10" width="14.28515625" style="3" bestFit="1" customWidth="1"/>
    <col min="11" max="11" width="16.85546875" style="3" bestFit="1" customWidth="1"/>
    <col min="12" max="12" width="16.140625" bestFit="1" customWidth="1"/>
    <col min="13" max="13" width="16.42578125" bestFit="1" customWidth="1"/>
  </cols>
  <sheetData>
    <row r="1" spans="1:15" x14ac:dyDescent="0.25">
      <c r="A1" t="s">
        <v>0</v>
      </c>
      <c r="B1" t="s">
        <v>18</v>
      </c>
      <c r="C1" s="4" t="s">
        <v>19</v>
      </c>
      <c r="D1" s="4" t="s">
        <v>20</v>
      </c>
      <c r="E1" s="6" t="s">
        <v>21</v>
      </c>
      <c r="F1" s="8" t="s">
        <v>22</v>
      </c>
      <c r="G1" s="8" t="s">
        <v>23</v>
      </c>
      <c r="I1" t="s">
        <v>54</v>
      </c>
      <c r="J1" s="3" t="s">
        <v>16</v>
      </c>
      <c r="K1" s="3" t="s">
        <v>17</v>
      </c>
      <c r="L1" s="3" t="s">
        <v>27</v>
      </c>
      <c r="M1" s="3" t="s">
        <v>28</v>
      </c>
      <c r="N1" t="s">
        <v>55</v>
      </c>
      <c r="O1" t="s">
        <v>56</v>
      </c>
    </row>
    <row r="2" spans="1:15" x14ac:dyDescent="0.25">
      <c r="A2">
        <v>1372</v>
      </c>
      <c r="B2" s="1">
        <v>41487</v>
      </c>
      <c r="C2" s="4">
        <v>3.8847</v>
      </c>
      <c r="D2" s="4">
        <v>0</v>
      </c>
      <c r="E2" s="6">
        <v>0</v>
      </c>
      <c r="F2" s="8">
        <v>3.5000000000000001E-3</v>
      </c>
      <c r="G2" s="8">
        <v>0</v>
      </c>
      <c r="I2">
        <v>1372</v>
      </c>
      <c r="J2" s="3">
        <v>18406623.710000001</v>
      </c>
      <c r="K2" s="3">
        <v>2709030243.77</v>
      </c>
      <c r="L2" s="3">
        <v>22854846731.060001</v>
      </c>
      <c r="M2" s="3">
        <v>24501111000</v>
      </c>
      <c r="N2" s="6">
        <f t="shared" ref="N2:N13" si="0">K2/M2</f>
        <v>0.11056764910660581</v>
      </c>
      <c r="O2" s="6">
        <f>J2/M2</f>
        <v>7.5125669648204939E-4</v>
      </c>
    </row>
    <row r="3" spans="1:15" x14ac:dyDescent="0.25">
      <c r="A3">
        <v>1372</v>
      </c>
      <c r="B3" s="1">
        <v>41518</v>
      </c>
      <c r="C3" s="4">
        <v>4.5888999999999998</v>
      </c>
      <c r="D3" s="4">
        <v>7.6E-3</v>
      </c>
      <c r="E3" s="6">
        <v>1.19693570892173E-3</v>
      </c>
      <c r="F3" s="8">
        <v>7.7999999999999996E-3</v>
      </c>
      <c r="G3" s="8">
        <v>0</v>
      </c>
      <c r="I3">
        <v>1378</v>
      </c>
      <c r="J3" s="3">
        <v>13125931.17</v>
      </c>
      <c r="K3" s="3">
        <v>2273411446.0300002</v>
      </c>
      <c r="L3" s="3">
        <v>25905894716.189999</v>
      </c>
      <c r="M3" s="3">
        <v>27611457000</v>
      </c>
      <c r="N3" s="6">
        <f t="shared" si="0"/>
        <v>8.2335801621406662E-2</v>
      </c>
      <c r="O3" s="6">
        <f t="shared" ref="O3:O13" si="1">J3/M3</f>
        <v>4.7537988198159914E-4</v>
      </c>
    </row>
    <row r="4" spans="1:15" x14ac:dyDescent="0.25">
      <c r="A4">
        <v>1372</v>
      </c>
      <c r="B4" s="1">
        <v>41548</v>
      </c>
      <c r="C4" s="4">
        <v>4.0227000000000004</v>
      </c>
      <c r="D4" s="4">
        <v>0</v>
      </c>
      <c r="E4" s="6">
        <v>1.42030296454453E-3</v>
      </c>
      <c r="F4" s="8">
        <v>1.15E-2</v>
      </c>
      <c r="G4" s="8">
        <v>0</v>
      </c>
      <c r="I4">
        <v>1383</v>
      </c>
      <c r="J4" s="3">
        <v>10979119.75</v>
      </c>
      <c r="K4" s="3">
        <v>3097160547.7199998</v>
      </c>
      <c r="L4" s="3">
        <v>42347878129.330002</v>
      </c>
      <c r="M4" s="3">
        <v>44856629000</v>
      </c>
      <c r="N4" s="6">
        <f t="shared" si="0"/>
        <v>6.9045771311080903E-2</v>
      </c>
      <c r="O4" s="6">
        <f t="shared" si="1"/>
        <v>2.4476025048605416E-4</v>
      </c>
    </row>
    <row r="5" spans="1:15" x14ac:dyDescent="0.25">
      <c r="A5">
        <v>1372</v>
      </c>
      <c r="B5" s="1">
        <v>41579</v>
      </c>
      <c r="C5" s="4">
        <v>4.1105</v>
      </c>
      <c r="D5" s="4">
        <v>0</v>
      </c>
      <c r="E5" s="6">
        <v>2.0281627978564901E-3</v>
      </c>
      <c r="F5" s="8">
        <v>1.52E-2</v>
      </c>
      <c r="G5" s="8">
        <v>0</v>
      </c>
      <c r="I5">
        <v>1384</v>
      </c>
      <c r="J5" s="3">
        <v>7499696.2300000004</v>
      </c>
      <c r="K5" s="3">
        <v>1182850486.3299999</v>
      </c>
      <c r="L5" s="3">
        <v>12403070778.74</v>
      </c>
      <c r="M5" s="3">
        <v>13086676000</v>
      </c>
      <c r="N5" s="6">
        <f t="shared" si="0"/>
        <v>9.0385861645080834E-2</v>
      </c>
      <c r="O5" s="6">
        <f t="shared" si="1"/>
        <v>5.7307877340281063E-4</v>
      </c>
    </row>
    <row r="6" spans="1:15" x14ac:dyDescent="0.25">
      <c r="A6">
        <v>1372</v>
      </c>
      <c r="B6" s="1">
        <v>41609</v>
      </c>
      <c r="C6" s="4">
        <v>3.1019999999999999</v>
      </c>
      <c r="D6" s="4">
        <v>2.1000000000000001E-2</v>
      </c>
      <c r="E6" s="6">
        <v>1.84547209607699E-3</v>
      </c>
      <c r="F6" s="8">
        <v>1.7999999999999999E-2</v>
      </c>
      <c r="G6" s="8">
        <v>0</v>
      </c>
      <c r="I6">
        <v>1387</v>
      </c>
      <c r="J6" s="3">
        <v>11426675.25</v>
      </c>
      <c r="K6" s="3">
        <v>3806605739.9299998</v>
      </c>
      <c r="L6" s="3">
        <v>53944428669.5</v>
      </c>
      <c r="M6" s="3">
        <v>56711581000</v>
      </c>
      <c r="N6" s="6">
        <f t="shared" si="0"/>
        <v>6.7122193964756507E-2</v>
      </c>
      <c r="O6" s="6">
        <f t="shared" si="1"/>
        <v>2.0148751010838509E-4</v>
      </c>
    </row>
    <row r="7" spans="1:15" x14ac:dyDescent="0.25">
      <c r="A7">
        <v>1372</v>
      </c>
      <c r="B7" s="1">
        <v>41640</v>
      </c>
      <c r="C7" s="4">
        <v>2.9948000000000001</v>
      </c>
      <c r="D7" s="4">
        <v>4.7100000000000003E-2</v>
      </c>
      <c r="E7" s="6">
        <v>1.8508419827408199E-3</v>
      </c>
      <c r="F7" s="8">
        <v>2.07E-2</v>
      </c>
      <c r="G7" s="8">
        <v>0</v>
      </c>
      <c r="I7">
        <v>1388</v>
      </c>
      <c r="J7" s="3">
        <v>8318848.7599999998</v>
      </c>
      <c r="K7" s="3">
        <v>1488043474.8699999</v>
      </c>
      <c r="L7" s="3">
        <v>17076873749.98</v>
      </c>
      <c r="M7" s="3">
        <v>17919934000</v>
      </c>
      <c r="N7" s="6">
        <f t="shared" si="0"/>
        <v>8.3038446172290586E-2</v>
      </c>
      <c r="O7" s="6">
        <f t="shared" si="1"/>
        <v>4.6422318073269687E-4</v>
      </c>
    </row>
    <row r="8" spans="1:15" x14ac:dyDescent="0.25">
      <c r="A8">
        <v>1372</v>
      </c>
      <c r="B8" s="1">
        <v>41671</v>
      </c>
      <c r="C8" s="4">
        <v>4.1521999999999997</v>
      </c>
      <c r="D8" s="4">
        <v>3.95E-2</v>
      </c>
      <c r="E8" s="6">
        <v>2.6172817649803598E-3</v>
      </c>
      <c r="F8" s="8">
        <v>2.4500000000000001E-2</v>
      </c>
      <c r="G8" s="8">
        <v>1E-4</v>
      </c>
      <c r="I8">
        <v>1392</v>
      </c>
      <c r="J8" s="3">
        <v>2540140.7400000002</v>
      </c>
      <c r="K8" s="3">
        <v>3135632949.1599998</v>
      </c>
      <c r="L8" s="3">
        <v>32136335636.279999</v>
      </c>
      <c r="M8" s="3">
        <v>33581355000</v>
      </c>
      <c r="N8" s="6">
        <f t="shared" si="0"/>
        <v>9.3374223558281066E-2</v>
      </c>
      <c r="O8" s="6">
        <f t="shared" si="1"/>
        <v>7.5641401009578086E-5</v>
      </c>
    </row>
    <row r="9" spans="1:15" x14ac:dyDescent="0.25">
      <c r="A9">
        <v>1372</v>
      </c>
      <c r="B9" s="1">
        <v>41699</v>
      </c>
      <c r="C9" s="4">
        <v>4.7530000000000001</v>
      </c>
      <c r="D9" s="4">
        <v>1.6299999999999999E-2</v>
      </c>
      <c r="E9" s="6">
        <v>1.8281475231469E-3</v>
      </c>
      <c r="F9" s="8">
        <v>2.87E-2</v>
      </c>
      <c r="G9" s="8">
        <v>1E-4</v>
      </c>
      <c r="I9">
        <v>1393</v>
      </c>
      <c r="J9" s="3">
        <v>2214449.63</v>
      </c>
      <c r="K9" s="3">
        <v>1556432522.46</v>
      </c>
      <c r="L9" s="3">
        <v>16210833900.969999</v>
      </c>
      <c r="M9" s="3">
        <v>16878588000</v>
      </c>
      <c r="N9" s="6">
        <f t="shared" si="0"/>
        <v>9.2213431743224022E-2</v>
      </c>
      <c r="O9" s="6">
        <f t="shared" si="1"/>
        <v>1.3119874897118172E-4</v>
      </c>
    </row>
    <row r="10" spans="1:15" x14ac:dyDescent="0.25">
      <c r="A10">
        <v>1372</v>
      </c>
      <c r="B10" s="1">
        <v>41730</v>
      </c>
      <c r="C10" s="4">
        <v>5.6821999999999999</v>
      </c>
      <c r="D10" s="4">
        <v>3.0499999999999999E-2</v>
      </c>
      <c r="E10" s="6">
        <v>2.2190797439235201E-3</v>
      </c>
      <c r="F10" s="8">
        <v>3.3799999999999997E-2</v>
      </c>
      <c r="G10" s="8">
        <v>1E-4</v>
      </c>
      <c r="I10">
        <v>1397</v>
      </c>
      <c r="J10" s="3">
        <v>0</v>
      </c>
      <c r="K10" s="3">
        <v>4191181559.1799998</v>
      </c>
      <c r="L10" s="3">
        <v>26905103057.73</v>
      </c>
      <c r="M10" s="3">
        <v>27945670000</v>
      </c>
      <c r="N10" s="6">
        <f t="shared" si="0"/>
        <v>0.14997606280973044</v>
      </c>
      <c r="O10" s="6">
        <f t="shared" si="1"/>
        <v>0</v>
      </c>
    </row>
    <row r="11" spans="1:15" x14ac:dyDescent="0.25">
      <c r="A11">
        <v>1372</v>
      </c>
      <c r="B11" s="1">
        <v>41760</v>
      </c>
      <c r="C11" s="4">
        <v>6.9379999999999997</v>
      </c>
      <c r="D11" s="4">
        <v>7.3400000000000007E-2</v>
      </c>
      <c r="E11" s="6">
        <v>2.1605351818320298E-3</v>
      </c>
      <c r="F11" s="8">
        <v>0.04</v>
      </c>
      <c r="G11" s="8">
        <v>2.0000000000000001E-4</v>
      </c>
      <c r="I11">
        <v>1398</v>
      </c>
      <c r="J11" s="3">
        <v>0</v>
      </c>
      <c r="K11" s="3">
        <v>2192819041.29</v>
      </c>
      <c r="L11" s="3">
        <v>16461150315.379999</v>
      </c>
      <c r="M11" s="3">
        <v>17011927000</v>
      </c>
      <c r="N11" s="6">
        <f t="shared" si="0"/>
        <v>0.12889892140320142</v>
      </c>
      <c r="O11" s="6">
        <f t="shared" si="1"/>
        <v>0</v>
      </c>
    </row>
    <row r="12" spans="1:15" x14ac:dyDescent="0.25">
      <c r="A12">
        <v>1372</v>
      </c>
      <c r="B12" s="1">
        <v>41791</v>
      </c>
      <c r="C12" s="4">
        <v>7.4477000000000002</v>
      </c>
      <c r="D12" s="4">
        <v>6.0699999999999997E-2</v>
      </c>
      <c r="E12" s="6">
        <v>2.7163199193600898E-3</v>
      </c>
      <c r="F12" s="8">
        <v>4.6600000000000003E-2</v>
      </c>
      <c r="G12" s="8">
        <v>2.0000000000000001E-4</v>
      </c>
      <c r="I12">
        <v>1399</v>
      </c>
      <c r="J12" s="3">
        <v>0</v>
      </c>
      <c r="K12" s="3">
        <v>1372183796.3399999</v>
      </c>
      <c r="L12" s="3">
        <v>26524443952.279999</v>
      </c>
      <c r="M12" s="3">
        <v>27339314000</v>
      </c>
      <c r="N12" s="6">
        <f t="shared" si="0"/>
        <v>5.0190864201640172E-2</v>
      </c>
      <c r="O12" s="6">
        <f t="shared" si="1"/>
        <v>0</v>
      </c>
    </row>
    <row r="13" spans="1:15" x14ac:dyDescent="0.25">
      <c r="A13">
        <v>1372</v>
      </c>
      <c r="B13" s="1">
        <v>41821</v>
      </c>
      <c r="C13" s="4">
        <v>6.3342999999999998</v>
      </c>
      <c r="D13" s="4">
        <v>2.9000000000000001E-2</v>
      </c>
      <c r="E13" s="6">
        <v>2.3625151724029898E-3</v>
      </c>
      <c r="F13" s="8">
        <v>5.2200000000000003E-2</v>
      </c>
      <c r="G13" s="8">
        <v>2.0000000000000001E-4</v>
      </c>
      <c r="I13">
        <v>1400</v>
      </c>
      <c r="J13" s="3">
        <v>0</v>
      </c>
      <c r="K13" s="3">
        <v>682371859.72000003</v>
      </c>
      <c r="L13" s="3">
        <v>16269256589.57</v>
      </c>
      <c r="M13" s="3">
        <v>16707432000</v>
      </c>
      <c r="N13" s="6">
        <f t="shared" si="0"/>
        <v>4.0842414305202621E-2</v>
      </c>
      <c r="O13" s="6">
        <f t="shared" si="1"/>
        <v>0</v>
      </c>
    </row>
    <row r="14" spans="1:15" x14ac:dyDescent="0.25">
      <c r="A14">
        <v>1372</v>
      </c>
      <c r="B14" s="1">
        <v>41852</v>
      </c>
      <c r="C14" s="4">
        <v>5.9607000000000001</v>
      </c>
      <c r="D14" s="4">
        <v>6.2399999999999997E-2</v>
      </c>
      <c r="E14" s="6">
        <v>3.2399496487507599E-3</v>
      </c>
      <c r="F14" s="8">
        <v>5.7299999999999997E-2</v>
      </c>
      <c r="G14" s="8">
        <v>2.9999999999999997E-4</v>
      </c>
      <c r="N14" s="6"/>
      <c r="O14" s="5"/>
    </row>
    <row r="15" spans="1:15" x14ac:dyDescent="0.25">
      <c r="A15">
        <v>1372</v>
      </c>
      <c r="B15" s="1">
        <v>41883</v>
      </c>
      <c r="C15" s="4">
        <v>6.1177999999999999</v>
      </c>
      <c r="D15" s="4">
        <v>5.4399999999999997E-2</v>
      </c>
      <c r="E15" s="6">
        <v>2.84819350511137E-3</v>
      </c>
      <c r="F15" s="8">
        <v>6.2600000000000003E-2</v>
      </c>
      <c r="G15" s="8">
        <v>2.9999999999999997E-4</v>
      </c>
      <c r="N15" s="6"/>
      <c r="O15" s="5"/>
    </row>
    <row r="16" spans="1:15" x14ac:dyDescent="0.25">
      <c r="A16">
        <v>1372</v>
      </c>
      <c r="B16" s="1">
        <v>41913</v>
      </c>
      <c r="C16" s="4">
        <v>5.6631</v>
      </c>
      <c r="D16" s="4">
        <v>0.06</v>
      </c>
      <c r="E16" s="6">
        <v>2.2977720792578598E-3</v>
      </c>
      <c r="F16" s="8">
        <v>6.7400000000000002E-2</v>
      </c>
      <c r="G16" s="8">
        <v>4.0000000000000002E-4</v>
      </c>
    </row>
    <row r="17" spans="1:8" x14ac:dyDescent="0.25">
      <c r="A17">
        <v>1372</v>
      </c>
      <c r="B17" s="1">
        <v>41944</v>
      </c>
      <c r="C17" s="4">
        <v>7.1135000000000002</v>
      </c>
      <c r="D17" s="4">
        <v>6.7699999999999996E-2</v>
      </c>
      <c r="E17" s="6">
        <v>3.8035222093408499E-3</v>
      </c>
      <c r="F17" s="8">
        <v>7.3499999999999996E-2</v>
      </c>
      <c r="G17" s="8">
        <v>4.0000000000000002E-4</v>
      </c>
    </row>
    <row r="18" spans="1:8" x14ac:dyDescent="0.25">
      <c r="A18">
        <v>1372</v>
      </c>
      <c r="B18" s="1">
        <v>41974</v>
      </c>
      <c r="C18" s="4">
        <v>5.3042999999999996</v>
      </c>
      <c r="D18" s="4">
        <v>0.1072</v>
      </c>
      <c r="E18" s="6">
        <v>2.9290599444669399E-3</v>
      </c>
      <c r="F18" s="8">
        <v>7.8E-2</v>
      </c>
      <c r="G18" s="8">
        <v>5.0000000000000001E-4</v>
      </c>
    </row>
    <row r="19" spans="1:8" x14ac:dyDescent="0.25">
      <c r="A19">
        <v>1372</v>
      </c>
      <c r="B19" s="1">
        <v>42005</v>
      </c>
      <c r="C19" s="4">
        <v>8.4514999999999993</v>
      </c>
      <c r="D19" s="4">
        <v>4.4999999999999998E-2</v>
      </c>
      <c r="E19" s="6">
        <v>3.1054690645333002E-3</v>
      </c>
      <c r="F19" s="8">
        <v>8.5099999999999995E-2</v>
      </c>
      <c r="G19" s="8">
        <v>5.9999999999999995E-4</v>
      </c>
    </row>
    <row r="20" spans="1:8" x14ac:dyDescent="0.25">
      <c r="A20">
        <v>1372</v>
      </c>
      <c r="B20" s="1">
        <v>42036</v>
      </c>
      <c r="C20" s="4">
        <v>10.3119</v>
      </c>
      <c r="D20" s="4">
        <v>2.6499999999999999E-2</v>
      </c>
      <c r="E20" s="6">
        <v>3.7857489958523401E-3</v>
      </c>
      <c r="F20" s="8">
        <v>9.3799999999999994E-2</v>
      </c>
      <c r="G20" s="8">
        <v>5.9999999999999995E-4</v>
      </c>
    </row>
    <row r="21" spans="1:8" x14ac:dyDescent="0.25">
      <c r="A21">
        <v>1372</v>
      </c>
      <c r="B21" s="1">
        <v>42064</v>
      </c>
      <c r="C21" s="4">
        <v>9.4606999999999992</v>
      </c>
      <c r="D21" s="4">
        <v>0.1019</v>
      </c>
      <c r="E21" s="6">
        <v>2.4895222677123702E-3</v>
      </c>
      <c r="F21" s="8">
        <v>0.1017</v>
      </c>
      <c r="G21" s="8">
        <v>6.9999999999999999E-4</v>
      </c>
    </row>
    <row r="22" spans="1:8" x14ac:dyDescent="0.25">
      <c r="A22">
        <v>1372</v>
      </c>
      <c r="B22" s="1">
        <v>42095</v>
      </c>
      <c r="C22" s="4">
        <v>10.670199999999999</v>
      </c>
      <c r="D22" s="4">
        <v>7.9299999999999995E-2</v>
      </c>
      <c r="E22" s="6">
        <v>2.4180215792865998E-3</v>
      </c>
      <c r="F22" s="8">
        <v>0.1105</v>
      </c>
      <c r="G22" s="8">
        <v>6.9999999999999999E-4</v>
      </c>
    </row>
    <row r="23" spans="1:8" x14ac:dyDescent="0.25">
      <c r="A23">
        <v>1372</v>
      </c>
      <c r="B23" s="1">
        <v>42125</v>
      </c>
      <c r="C23" s="4">
        <v>0</v>
      </c>
      <c r="D23" s="4">
        <v>0</v>
      </c>
      <c r="E23" s="6">
        <v>2.9996920126718401E-3</v>
      </c>
      <c r="F23" s="7">
        <v>0.1105</v>
      </c>
      <c r="G23" s="7">
        <v>6.9999999999999999E-4</v>
      </c>
    </row>
    <row r="24" spans="1:8" x14ac:dyDescent="0.25">
      <c r="A24">
        <v>1378</v>
      </c>
      <c r="B24" s="1">
        <v>41579</v>
      </c>
      <c r="C24" s="4">
        <v>3.2976999999999999</v>
      </c>
      <c r="D24" s="4">
        <v>0</v>
      </c>
      <c r="E24" s="6">
        <v>0</v>
      </c>
      <c r="F24" s="8">
        <v>2.8999999999999998E-3</v>
      </c>
      <c r="G24" s="8">
        <v>0</v>
      </c>
    </row>
    <row r="25" spans="1:8" x14ac:dyDescent="0.25">
      <c r="A25">
        <v>1378</v>
      </c>
      <c r="B25" s="1">
        <v>41609</v>
      </c>
      <c r="C25" s="4">
        <v>2.4649999999999999</v>
      </c>
      <c r="D25" s="4">
        <v>0</v>
      </c>
      <c r="E25" s="6">
        <v>1.4537815505715299E-3</v>
      </c>
      <c r="F25" s="8">
        <v>5.1000000000000004E-3</v>
      </c>
      <c r="G25" s="8">
        <v>0</v>
      </c>
    </row>
    <row r="26" spans="1:8" x14ac:dyDescent="0.25">
      <c r="A26">
        <v>1378</v>
      </c>
      <c r="B26" s="1">
        <v>41640</v>
      </c>
      <c r="C26" s="4">
        <v>2.71</v>
      </c>
      <c r="D26" s="4">
        <v>0</v>
      </c>
      <c r="E26" s="6">
        <v>1.61045451354468E-3</v>
      </c>
      <c r="F26" s="8">
        <v>7.4999999999999997E-3</v>
      </c>
      <c r="G26" s="8">
        <v>0</v>
      </c>
      <c r="H26" s="5"/>
    </row>
    <row r="27" spans="1:8" x14ac:dyDescent="0.25">
      <c r="A27">
        <v>1378</v>
      </c>
      <c r="B27" s="1">
        <v>41671</v>
      </c>
      <c r="C27" s="4">
        <v>3.6572</v>
      </c>
      <c r="D27" s="4">
        <v>0</v>
      </c>
      <c r="E27" s="6">
        <v>2.65665421425573E-3</v>
      </c>
      <c r="F27" s="8">
        <v>1.0800000000000001E-2</v>
      </c>
      <c r="G27" s="8">
        <v>0</v>
      </c>
    </row>
    <row r="28" spans="1:8" x14ac:dyDescent="0.25">
      <c r="A28">
        <v>1378</v>
      </c>
      <c r="B28" s="1">
        <v>41699</v>
      </c>
      <c r="C28" s="4">
        <v>4.2172000000000001</v>
      </c>
      <c r="D28" s="4">
        <v>0</v>
      </c>
      <c r="E28" s="6">
        <v>1.75486871218437E-3</v>
      </c>
      <c r="F28" s="8">
        <v>1.4500000000000001E-2</v>
      </c>
      <c r="G28" s="8">
        <v>0</v>
      </c>
    </row>
    <row r="29" spans="1:8" x14ac:dyDescent="0.25">
      <c r="A29">
        <v>1378</v>
      </c>
      <c r="B29" s="1">
        <v>41730</v>
      </c>
      <c r="C29" s="4">
        <v>4.8662000000000001</v>
      </c>
      <c r="D29" s="4">
        <v>4.0599999999999997E-2</v>
      </c>
      <c r="E29" s="6">
        <v>1.9928239657823099E-3</v>
      </c>
      <c r="F29" s="8">
        <v>1.8800000000000001E-2</v>
      </c>
      <c r="G29" s="8">
        <v>0</v>
      </c>
    </row>
    <row r="30" spans="1:8" x14ac:dyDescent="0.25">
      <c r="A30">
        <v>1378</v>
      </c>
      <c r="B30" s="1">
        <v>41760</v>
      </c>
      <c r="C30" s="4">
        <v>5.8967000000000001</v>
      </c>
      <c r="D30" s="4">
        <v>7.3000000000000001E-3</v>
      </c>
      <c r="E30" s="6">
        <v>2.4810393062705098E-3</v>
      </c>
      <c r="F30" s="8">
        <v>2.4E-2</v>
      </c>
      <c r="G30" s="8">
        <v>0</v>
      </c>
    </row>
    <row r="31" spans="1:8" x14ac:dyDescent="0.25">
      <c r="A31">
        <v>1378</v>
      </c>
      <c r="B31" s="1">
        <v>41791</v>
      </c>
      <c r="C31" s="4">
        <v>5.9592000000000001</v>
      </c>
      <c r="D31" s="4">
        <v>3.2000000000000001E-2</v>
      </c>
      <c r="E31" s="6">
        <v>2.58645580201214E-3</v>
      </c>
      <c r="F31" s="8">
        <v>2.92E-2</v>
      </c>
      <c r="G31" s="8">
        <v>0</v>
      </c>
    </row>
    <row r="32" spans="1:8" x14ac:dyDescent="0.25">
      <c r="A32">
        <v>1378</v>
      </c>
      <c r="B32" s="1">
        <v>41821</v>
      </c>
      <c r="C32" s="4">
        <v>5.7567000000000004</v>
      </c>
      <c r="D32" s="4">
        <v>2.7799999999999998E-2</v>
      </c>
      <c r="E32" s="6">
        <v>2.1761305436559398E-3</v>
      </c>
      <c r="F32" s="8">
        <v>3.4200000000000001E-2</v>
      </c>
      <c r="G32" s="8">
        <v>0</v>
      </c>
    </row>
    <row r="33" spans="1:7" x14ac:dyDescent="0.25">
      <c r="A33">
        <v>1378</v>
      </c>
      <c r="B33" s="1">
        <v>41852</v>
      </c>
      <c r="C33" s="4">
        <v>5.7474999999999996</v>
      </c>
      <c r="D33" s="4">
        <v>1.9900000000000001E-2</v>
      </c>
      <c r="E33" s="6">
        <v>2.5420432403536002E-3</v>
      </c>
      <c r="F33" s="8">
        <v>3.9199999999999999E-2</v>
      </c>
      <c r="G33" s="8">
        <v>1E-4</v>
      </c>
    </row>
    <row r="34" spans="1:7" x14ac:dyDescent="0.25">
      <c r="A34">
        <v>1378</v>
      </c>
      <c r="B34" s="1">
        <v>41883</v>
      </c>
      <c r="C34" s="4">
        <v>5.9250999999999996</v>
      </c>
      <c r="D34" s="4">
        <v>6.8000000000000005E-2</v>
      </c>
      <c r="E34" s="6">
        <v>2.3254960135370502E-3</v>
      </c>
      <c r="F34" s="8">
        <v>4.4200000000000003E-2</v>
      </c>
      <c r="G34" s="8">
        <v>1E-4</v>
      </c>
    </row>
    <row r="35" spans="1:7" x14ac:dyDescent="0.25">
      <c r="A35">
        <v>1378</v>
      </c>
      <c r="B35" s="1">
        <v>41913</v>
      </c>
      <c r="C35" s="4">
        <v>4.6448999999999998</v>
      </c>
      <c r="D35" s="4">
        <v>4.9500000000000002E-2</v>
      </c>
      <c r="E35" s="6">
        <v>2.17876807989778E-3</v>
      </c>
      <c r="F35" s="8">
        <v>4.82E-2</v>
      </c>
      <c r="G35" s="8">
        <v>2.0000000000000001E-4</v>
      </c>
    </row>
    <row r="36" spans="1:7" x14ac:dyDescent="0.25">
      <c r="A36">
        <v>1378</v>
      </c>
      <c r="B36" s="1">
        <v>41944</v>
      </c>
      <c r="C36" s="4">
        <v>5.8958000000000004</v>
      </c>
      <c r="D36" s="4">
        <v>6.4100000000000004E-2</v>
      </c>
      <c r="E36" s="6">
        <v>3.3330996018120299E-3</v>
      </c>
      <c r="F36" s="8">
        <v>5.3100000000000001E-2</v>
      </c>
      <c r="G36" s="8">
        <v>2.0000000000000001E-4</v>
      </c>
    </row>
    <row r="37" spans="1:7" x14ac:dyDescent="0.25">
      <c r="A37">
        <v>1378</v>
      </c>
      <c r="B37" s="1">
        <v>41974</v>
      </c>
      <c r="C37" s="4">
        <v>4.4770000000000003</v>
      </c>
      <c r="D37" s="4">
        <v>3.7900000000000003E-2</v>
      </c>
      <c r="E37" s="6">
        <v>2.5140590156749101E-3</v>
      </c>
      <c r="F37" s="8">
        <v>5.6899999999999999E-2</v>
      </c>
      <c r="G37" s="8">
        <v>2.0000000000000001E-4</v>
      </c>
    </row>
    <row r="38" spans="1:7" x14ac:dyDescent="0.25">
      <c r="A38">
        <v>1378</v>
      </c>
      <c r="B38" s="1">
        <v>42005</v>
      </c>
      <c r="C38" s="4">
        <v>5.9882999999999997</v>
      </c>
      <c r="D38" s="4">
        <v>3.7400000000000003E-2</v>
      </c>
      <c r="E38" s="6">
        <v>2.7046618461859201E-3</v>
      </c>
      <c r="F38" s="8">
        <v>6.1899999999999997E-2</v>
      </c>
      <c r="G38" s="8">
        <v>2.9999999999999997E-4</v>
      </c>
    </row>
    <row r="39" spans="1:7" x14ac:dyDescent="0.25">
      <c r="A39">
        <v>1378</v>
      </c>
      <c r="B39" s="1">
        <v>42036</v>
      </c>
      <c r="C39" s="4">
        <v>8.0411000000000001</v>
      </c>
      <c r="D39" s="4">
        <v>8.2900000000000001E-2</v>
      </c>
      <c r="E39" s="6">
        <v>3.3345895061418101E-3</v>
      </c>
      <c r="F39" s="8">
        <v>6.8599999999999994E-2</v>
      </c>
      <c r="G39" s="8">
        <v>2.9999999999999997E-4</v>
      </c>
    </row>
    <row r="40" spans="1:7" x14ac:dyDescent="0.25">
      <c r="A40">
        <v>1378</v>
      </c>
      <c r="B40" s="1">
        <v>42064</v>
      </c>
      <c r="C40" s="4">
        <v>7.9844999999999997</v>
      </c>
      <c r="D40" s="4">
        <v>0.05</v>
      </c>
      <c r="E40" s="6">
        <v>2.3719124655595201E-3</v>
      </c>
      <c r="F40" s="8">
        <v>7.5200000000000003E-2</v>
      </c>
      <c r="G40" s="8">
        <v>4.0000000000000002E-4</v>
      </c>
    </row>
    <row r="41" spans="1:7" x14ac:dyDescent="0.25">
      <c r="A41">
        <v>1378</v>
      </c>
      <c r="B41" s="1">
        <v>42095</v>
      </c>
      <c r="C41" s="4">
        <v>8.6234999999999999</v>
      </c>
      <c r="D41" s="4">
        <v>6.0600000000000001E-2</v>
      </c>
      <c r="E41" s="6">
        <v>2.4619612036957299E-3</v>
      </c>
      <c r="F41" s="8">
        <v>8.2299999999999998E-2</v>
      </c>
      <c r="G41" s="8">
        <v>4.0000000000000002E-4</v>
      </c>
    </row>
    <row r="42" spans="1:7" x14ac:dyDescent="0.25">
      <c r="A42">
        <v>1378</v>
      </c>
      <c r="B42" s="1">
        <v>42125</v>
      </c>
      <c r="C42" s="4">
        <v>0</v>
      </c>
      <c r="D42" s="4">
        <v>0</v>
      </c>
      <c r="E42" s="6">
        <v>3.0328834452838802E-3</v>
      </c>
      <c r="F42" s="7">
        <v>8.2299999999999998E-2</v>
      </c>
      <c r="G42" s="7">
        <v>4.0000000000000002E-4</v>
      </c>
    </row>
    <row r="43" spans="1:7" x14ac:dyDescent="0.25">
      <c r="A43">
        <v>1383</v>
      </c>
      <c r="B43" s="1">
        <v>41699</v>
      </c>
      <c r="C43" s="4">
        <v>4.1657999999999999</v>
      </c>
      <c r="D43" s="4">
        <v>0</v>
      </c>
      <c r="E43" s="6">
        <v>0</v>
      </c>
      <c r="F43" s="8">
        <v>3.5999999999999999E-3</v>
      </c>
      <c r="G43" s="8">
        <v>0</v>
      </c>
    </row>
    <row r="44" spans="1:7" x14ac:dyDescent="0.25">
      <c r="A44">
        <v>1383</v>
      </c>
      <c r="B44" s="1">
        <v>41730</v>
      </c>
      <c r="C44" s="4">
        <v>4.9157999999999999</v>
      </c>
      <c r="D44" s="4">
        <v>0</v>
      </c>
      <c r="E44" s="6">
        <v>1.35043164834497E-3</v>
      </c>
      <c r="F44" s="8">
        <v>8.0000000000000002E-3</v>
      </c>
      <c r="G44" s="8">
        <v>0</v>
      </c>
    </row>
    <row r="45" spans="1:7" x14ac:dyDescent="0.25">
      <c r="A45">
        <v>1383</v>
      </c>
      <c r="B45" s="1">
        <v>41760</v>
      </c>
      <c r="C45" s="4">
        <v>6.0157999999999996</v>
      </c>
      <c r="D45" s="4">
        <v>0</v>
      </c>
      <c r="E45" s="6">
        <v>1.8851227937274301E-3</v>
      </c>
      <c r="F45" s="8">
        <v>1.3299999999999999E-2</v>
      </c>
      <c r="G45" s="8">
        <v>0</v>
      </c>
    </row>
    <row r="46" spans="1:7" x14ac:dyDescent="0.25">
      <c r="A46">
        <v>1383</v>
      </c>
      <c r="B46" s="1">
        <v>41791</v>
      </c>
      <c r="C46" s="4">
        <v>5.7983000000000002</v>
      </c>
      <c r="D46" s="4">
        <v>0</v>
      </c>
      <c r="E46" s="6">
        <v>2.0255578347748598E-3</v>
      </c>
      <c r="F46" s="8">
        <v>1.84E-2</v>
      </c>
      <c r="G46" s="8">
        <v>0</v>
      </c>
    </row>
    <row r="47" spans="1:7" x14ac:dyDescent="0.25">
      <c r="A47">
        <v>1383</v>
      </c>
      <c r="B47" s="1">
        <v>41821</v>
      </c>
      <c r="C47" s="4">
        <v>5.7346000000000004</v>
      </c>
      <c r="D47" s="4">
        <v>0</v>
      </c>
      <c r="E47" s="6">
        <v>1.9623886640437898E-3</v>
      </c>
      <c r="F47" s="8">
        <v>2.3400000000000001E-2</v>
      </c>
      <c r="G47" s="8">
        <v>0</v>
      </c>
    </row>
    <row r="48" spans="1:7" x14ac:dyDescent="0.25">
      <c r="A48">
        <v>1383</v>
      </c>
      <c r="B48" s="1">
        <v>41852</v>
      </c>
      <c r="C48" s="4">
        <v>5.2504</v>
      </c>
      <c r="D48" s="4">
        <v>1.67E-2</v>
      </c>
      <c r="E48" s="6">
        <v>2.1870267546169101E-3</v>
      </c>
      <c r="F48" s="8">
        <v>2.7900000000000001E-2</v>
      </c>
      <c r="G48" s="8">
        <v>0</v>
      </c>
    </row>
    <row r="49" spans="1:7" x14ac:dyDescent="0.25">
      <c r="A49">
        <v>1383</v>
      </c>
      <c r="B49" s="1">
        <v>41883</v>
      </c>
      <c r="C49" s="4">
        <v>5.0819000000000001</v>
      </c>
      <c r="D49" s="4">
        <v>1.5699999999999999E-2</v>
      </c>
      <c r="E49" s="6">
        <v>1.87560736507433E-3</v>
      </c>
      <c r="F49" s="8">
        <v>3.2300000000000002E-2</v>
      </c>
      <c r="G49" s="8">
        <v>0</v>
      </c>
    </row>
    <row r="50" spans="1:7" x14ac:dyDescent="0.25">
      <c r="A50">
        <v>1383</v>
      </c>
      <c r="B50" s="1">
        <v>41913</v>
      </c>
      <c r="C50" s="4">
        <v>4.4241999999999999</v>
      </c>
      <c r="D50" s="4">
        <v>3.4299999999999997E-2</v>
      </c>
      <c r="E50" s="6">
        <v>1.9487413067094299E-3</v>
      </c>
      <c r="F50" s="8">
        <v>3.5999999999999997E-2</v>
      </c>
      <c r="G50" s="8">
        <v>0</v>
      </c>
    </row>
    <row r="51" spans="1:7" x14ac:dyDescent="0.25">
      <c r="A51">
        <v>1383</v>
      </c>
      <c r="B51" s="1">
        <v>41944</v>
      </c>
      <c r="C51" s="4">
        <v>5.5316999999999998</v>
      </c>
      <c r="D51" s="4">
        <v>2.8500000000000001E-2</v>
      </c>
      <c r="E51" s="6">
        <v>2.97741008802168E-3</v>
      </c>
      <c r="F51" s="8">
        <v>4.07E-2</v>
      </c>
      <c r="G51" s="8">
        <v>0</v>
      </c>
    </row>
    <row r="52" spans="1:7" x14ac:dyDescent="0.25">
      <c r="A52">
        <v>1383</v>
      </c>
      <c r="B52" s="1">
        <v>41974</v>
      </c>
      <c r="C52" s="4">
        <v>3.82</v>
      </c>
      <c r="D52" s="4">
        <v>3.61E-2</v>
      </c>
      <c r="E52" s="6">
        <v>2.3138859480959801E-3</v>
      </c>
      <c r="F52" s="8">
        <v>4.3900000000000002E-2</v>
      </c>
      <c r="G52" s="8">
        <v>1E-4</v>
      </c>
    </row>
    <row r="53" spans="1:7" x14ac:dyDescent="0.25">
      <c r="A53">
        <v>1383</v>
      </c>
      <c r="B53" s="1">
        <v>42005</v>
      </c>
      <c r="C53" s="4">
        <v>5.8019999999999996</v>
      </c>
      <c r="D53" s="4">
        <v>5.2200000000000003E-2</v>
      </c>
      <c r="E53" s="6">
        <v>2.3362766329376602E-3</v>
      </c>
      <c r="F53" s="8">
        <v>4.8800000000000003E-2</v>
      </c>
      <c r="G53" s="8">
        <v>1E-4</v>
      </c>
    </row>
    <row r="54" spans="1:7" x14ac:dyDescent="0.25">
      <c r="A54">
        <v>1383</v>
      </c>
      <c r="B54" s="1">
        <v>42036</v>
      </c>
      <c r="C54" s="4">
        <v>8.0004000000000008</v>
      </c>
      <c r="D54" s="4">
        <v>4.8599999999999997E-2</v>
      </c>
      <c r="E54" s="6">
        <v>2.98917775769022E-3</v>
      </c>
      <c r="F54" s="8">
        <v>5.5500000000000001E-2</v>
      </c>
      <c r="G54" s="8">
        <v>1E-4</v>
      </c>
    </row>
    <row r="55" spans="1:7" x14ac:dyDescent="0.25">
      <c r="A55">
        <v>1383</v>
      </c>
      <c r="B55" s="1">
        <v>42064</v>
      </c>
      <c r="C55" s="4">
        <v>7.8365</v>
      </c>
      <c r="D55" s="4">
        <v>3.7199999999999997E-2</v>
      </c>
      <c r="E55" s="6">
        <v>2.03531324332973E-3</v>
      </c>
      <c r="F55" s="8">
        <v>6.2E-2</v>
      </c>
      <c r="G55" s="8">
        <v>2.0000000000000001E-4</v>
      </c>
    </row>
    <row r="56" spans="1:7" x14ac:dyDescent="0.25">
      <c r="A56">
        <v>1383</v>
      </c>
      <c r="B56" s="1">
        <v>42095</v>
      </c>
      <c r="C56" s="4">
        <v>8.4571000000000005</v>
      </c>
      <c r="D56" s="4">
        <v>3.0099999999999998E-2</v>
      </c>
      <c r="E56" s="6">
        <v>2.1041517639343202E-3</v>
      </c>
      <c r="F56" s="8">
        <v>6.9000000000000006E-2</v>
      </c>
      <c r="G56" s="8">
        <v>2.0000000000000001E-4</v>
      </c>
    </row>
    <row r="57" spans="1:7" x14ac:dyDescent="0.25">
      <c r="A57">
        <v>1383</v>
      </c>
      <c r="B57" s="1">
        <v>42125</v>
      </c>
      <c r="C57" s="4">
        <v>0</v>
      </c>
      <c r="D57" s="4">
        <v>0</v>
      </c>
      <c r="E57" s="6">
        <v>2.7629914798248498E-3</v>
      </c>
      <c r="F57" s="7">
        <v>6.9000000000000006E-2</v>
      </c>
      <c r="G57" s="7">
        <v>2.0000000000000001E-4</v>
      </c>
    </row>
    <row r="58" spans="1:7" x14ac:dyDescent="0.25">
      <c r="A58">
        <v>1384</v>
      </c>
      <c r="B58" s="1">
        <v>41699</v>
      </c>
      <c r="C58" s="4">
        <v>4.7587000000000002</v>
      </c>
      <c r="D58" s="4">
        <v>0</v>
      </c>
      <c r="E58" s="6">
        <v>0</v>
      </c>
      <c r="F58" s="8">
        <v>4.3E-3</v>
      </c>
      <c r="G58" s="8">
        <v>0</v>
      </c>
    </row>
    <row r="59" spans="1:7" x14ac:dyDescent="0.25">
      <c r="A59">
        <v>1384</v>
      </c>
      <c r="B59" s="1">
        <v>41730</v>
      </c>
      <c r="C59" s="4">
        <v>5.8910999999999998</v>
      </c>
      <c r="D59" s="4">
        <v>0</v>
      </c>
      <c r="E59" s="6">
        <v>1.62835183622744E-3</v>
      </c>
      <c r="F59" s="8">
        <v>9.5999999999999992E-3</v>
      </c>
      <c r="G59" s="8">
        <v>0</v>
      </c>
    </row>
    <row r="60" spans="1:7" x14ac:dyDescent="0.25">
      <c r="A60">
        <v>1384</v>
      </c>
      <c r="B60" s="1">
        <v>41760</v>
      </c>
      <c r="C60" s="4">
        <v>6.7278000000000002</v>
      </c>
      <c r="D60" s="4">
        <v>0</v>
      </c>
      <c r="E60" s="6">
        <v>2.0663736546191699E-3</v>
      </c>
      <c r="F60" s="8">
        <v>1.5699999999999999E-2</v>
      </c>
      <c r="G60" s="8">
        <v>0</v>
      </c>
    </row>
    <row r="61" spans="1:7" x14ac:dyDescent="0.25">
      <c r="A61">
        <v>1384</v>
      </c>
      <c r="B61" s="1">
        <v>41791</v>
      </c>
      <c r="C61" s="4">
        <v>7.2092999999999998</v>
      </c>
      <c r="D61" s="4">
        <v>0</v>
      </c>
      <c r="E61" s="6">
        <v>2.5497768917156199E-3</v>
      </c>
      <c r="F61" s="8">
        <v>2.2200000000000001E-2</v>
      </c>
      <c r="G61" s="8">
        <v>0</v>
      </c>
    </row>
    <row r="62" spans="1:7" x14ac:dyDescent="0.25">
      <c r="A62">
        <v>1384</v>
      </c>
      <c r="B62" s="1">
        <v>41821</v>
      </c>
      <c r="C62" s="4">
        <v>6.3723999999999998</v>
      </c>
      <c r="D62" s="4">
        <v>0</v>
      </c>
      <c r="E62" s="6">
        <v>2.5569212938249099E-3</v>
      </c>
      <c r="F62" s="8">
        <v>2.7900000000000001E-2</v>
      </c>
      <c r="G62" s="8">
        <v>0</v>
      </c>
    </row>
    <row r="63" spans="1:7" x14ac:dyDescent="0.25">
      <c r="A63">
        <v>1384</v>
      </c>
      <c r="B63" s="1">
        <v>41852</v>
      </c>
      <c r="C63" s="4">
        <v>5.8578999999999999</v>
      </c>
      <c r="D63" s="4">
        <v>6.4899999999999999E-2</v>
      </c>
      <c r="E63" s="6">
        <v>3.7871743187434001E-3</v>
      </c>
      <c r="F63" s="8">
        <v>3.3099999999999997E-2</v>
      </c>
      <c r="G63" s="8">
        <v>0</v>
      </c>
    </row>
    <row r="64" spans="1:7" x14ac:dyDescent="0.25">
      <c r="A64">
        <v>1384</v>
      </c>
      <c r="B64" s="1">
        <v>41883</v>
      </c>
      <c r="C64" s="4">
        <v>5.9108999999999998</v>
      </c>
      <c r="D64" s="4">
        <v>0</v>
      </c>
      <c r="E64" s="6">
        <v>2.35166618880465E-3</v>
      </c>
      <c r="F64" s="8">
        <v>3.8300000000000001E-2</v>
      </c>
      <c r="G64" s="8">
        <v>0</v>
      </c>
    </row>
    <row r="65" spans="1:7" x14ac:dyDescent="0.25">
      <c r="A65">
        <v>1384</v>
      </c>
      <c r="B65" s="1">
        <v>41913</v>
      </c>
      <c r="C65" s="4">
        <v>5.718</v>
      </c>
      <c r="D65" s="4">
        <v>9.9900000000000003E-2</v>
      </c>
      <c r="E65" s="6">
        <v>2.86763498807013E-3</v>
      </c>
      <c r="F65" s="8">
        <v>4.3200000000000002E-2</v>
      </c>
      <c r="G65" s="8">
        <v>1E-4</v>
      </c>
    </row>
    <row r="66" spans="1:7" x14ac:dyDescent="0.25">
      <c r="A66">
        <v>1384</v>
      </c>
      <c r="B66" s="1">
        <v>41944</v>
      </c>
      <c r="C66" s="4">
        <v>6.9710999999999999</v>
      </c>
      <c r="D66" s="4">
        <v>9.9000000000000008E-3</v>
      </c>
      <c r="E66" s="6">
        <v>4.3426454162178302E-3</v>
      </c>
      <c r="F66" s="8">
        <v>4.9299999999999997E-2</v>
      </c>
      <c r="G66" s="8">
        <v>1E-4</v>
      </c>
    </row>
    <row r="67" spans="1:7" x14ac:dyDescent="0.25">
      <c r="A67">
        <v>1384</v>
      </c>
      <c r="B67" s="1">
        <v>41974</v>
      </c>
      <c r="C67" s="4">
        <v>5.5896999999999997</v>
      </c>
      <c r="D67" s="4">
        <v>6.6699999999999995E-2</v>
      </c>
      <c r="E67" s="6">
        <v>3.4913903398255501E-3</v>
      </c>
      <c r="F67" s="8">
        <v>5.4100000000000002E-2</v>
      </c>
      <c r="G67" s="8">
        <v>2.0000000000000001E-4</v>
      </c>
    </row>
    <row r="68" spans="1:7" x14ac:dyDescent="0.25">
      <c r="A68">
        <v>1384</v>
      </c>
      <c r="B68" s="1">
        <v>42005</v>
      </c>
      <c r="C68" s="4">
        <v>8.3718000000000004</v>
      </c>
      <c r="D68" s="4">
        <v>8.8099999999999998E-2</v>
      </c>
      <c r="E68" s="6">
        <v>3.51815914913048E-3</v>
      </c>
      <c r="F68" s="8">
        <v>6.13E-2</v>
      </c>
      <c r="G68" s="8">
        <v>2.0000000000000001E-4</v>
      </c>
    </row>
    <row r="69" spans="1:7" x14ac:dyDescent="0.25">
      <c r="A69">
        <v>1384</v>
      </c>
      <c r="B69" s="1">
        <v>42036</v>
      </c>
      <c r="C69" s="4">
        <v>11.4252</v>
      </c>
      <c r="D69" s="4">
        <v>0.15479999999999999</v>
      </c>
      <c r="E69" s="6">
        <v>4.6700372740440099E-3</v>
      </c>
      <c r="F69" s="8">
        <v>7.1099999999999997E-2</v>
      </c>
      <c r="G69" s="8">
        <v>4.0000000000000002E-4</v>
      </c>
    </row>
    <row r="70" spans="1:7" x14ac:dyDescent="0.25">
      <c r="A70">
        <v>1384</v>
      </c>
      <c r="B70" s="1">
        <v>42064</v>
      </c>
      <c r="C70" s="4">
        <v>10.9275</v>
      </c>
      <c r="D70" s="4">
        <v>0.11890000000000001</v>
      </c>
      <c r="E70" s="6">
        <v>3.11869772840279E-3</v>
      </c>
      <c r="F70" s="8">
        <v>8.0500000000000002E-2</v>
      </c>
      <c r="G70" s="8">
        <v>5.0000000000000001E-4</v>
      </c>
    </row>
    <row r="71" spans="1:7" x14ac:dyDescent="0.25">
      <c r="A71">
        <v>1384</v>
      </c>
      <c r="B71" s="1">
        <v>42095</v>
      </c>
      <c r="C71" s="4">
        <v>11.6615</v>
      </c>
      <c r="D71" s="4">
        <v>9.0499999999999997E-2</v>
      </c>
      <c r="E71" s="6">
        <v>3.4374970583607401E-3</v>
      </c>
      <c r="F71" s="8">
        <v>9.0300000000000005E-2</v>
      </c>
      <c r="G71" s="8">
        <v>5.0000000000000001E-4</v>
      </c>
    </row>
    <row r="72" spans="1:7" x14ac:dyDescent="0.25">
      <c r="A72">
        <v>1384</v>
      </c>
      <c r="B72" s="1">
        <v>42125</v>
      </c>
      <c r="C72" s="4">
        <v>0</v>
      </c>
      <c r="D72" s="4">
        <v>0</v>
      </c>
      <c r="E72" s="6">
        <v>4.9923726466302E-3</v>
      </c>
      <c r="F72" s="7">
        <v>9.0300000000000005E-2</v>
      </c>
      <c r="G72" s="7">
        <v>5.0000000000000001E-4</v>
      </c>
    </row>
    <row r="73" spans="1:7" x14ac:dyDescent="0.25">
      <c r="A73">
        <v>1387</v>
      </c>
      <c r="B73" s="1">
        <v>41760</v>
      </c>
      <c r="C73" s="4">
        <v>7.2774999999999999</v>
      </c>
      <c r="D73" s="4">
        <v>0</v>
      </c>
      <c r="E73" s="6">
        <v>0</v>
      </c>
      <c r="F73" s="8">
        <v>4.7999999999999996E-3</v>
      </c>
      <c r="G73" s="8">
        <v>0</v>
      </c>
    </row>
    <row r="74" spans="1:7" x14ac:dyDescent="0.25">
      <c r="A74">
        <v>1387</v>
      </c>
      <c r="B74" s="1">
        <v>41791</v>
      </c>
      <c r="C74" s="4">
        <v>6.0399000000000003</v>
      </c>
      <c r="D74" s="4">
        <v>0</v>
      </c>
      <c r="E74" s="6">
        <v>1.5750085197403999E-3</v>
      </c>
      <c r="F74" s="8">
        <v>1.0200000000000001E-2</v>
      </c>
      <c r="G74" s="8">
        <v>0</v>
      </c>
    </row>
    <row r="75" spans="1:7" x14ac:dyDescent="0.25">
      <c r="A75">
        <v>1387</v>
      </c>
      <c r="B75" s="1">
        <v>41821</v>
      </c>
      <c r="C75" s="4">
        <v>5.6378000000000004</v>
      </c>
      <c r="D75" s="4">
        <v>0</v>
      </c>
      <c r="E75" s="6">
        <v>1.8474308569931899E-3</v>
      </c>
      <c r="F75" s="8">
        <v>1.5100000000000001E-2</v>
      </c>
      <c r="G75" s="8">
        <v>0</v>
      </c>
    </row>
    <row r="76" spans="1:7" x14ac:dyDescent="0.25">
      <c r="A76">
        <v>1387</v>
      </c>
      <c r="B76" s="1">
        <v>41852</v>
      </c>
      <c r="C76" s="4">
        <v>5.2755000000000001</v>
      </c>
      <c r="D76" s="4">
        <v>0</v>
      </c>
      <c r="E76" s="6">
        <v>2.47716620077937E-3</v>
      </c>
      <c r="F76" s="8">
        <v>1.9699999999999999E-2</v>
      </c>
      <c r="G76" s="8">
        <v>0</v>
      </c>
    </row>
    <row r="77" spans="1:7" x14ac:dyDescent="0.25">
      <c r="A77">
        <v>1387</v>
      </c>
      <c r="B77" s="1">
        <v>41883</v>
      </c>
      <c r="C77" s="4">
        <v>5.3105000000000002</v>
      </c>
      <c r="D77" s="4">
        <v>0</v>
      </c>
      <c r="E77" s="6">
        <v>2.1700582845001599E-3</v>
      </c>
      <c r="F77" s="8">
        <v>2.4299999999999999E-2</v>
      </c>
      <c r="G77" s="8">
        <v>0</v>
      </c>
    </row>
    <row r="78" spans="1:7" x14ac:dyDescent="0.25">
      <c r="A78">
        <v>1387</v>
      </c>
      <c r="B78" s="1">
        <v>41913</v>
      </c>
      <c r="C78" s="4">
        <v>5.0564</v>
      </c>
      <c r="D78" s="4">
        <v>2.07E-2</v>
      </c>
      <c r="E78" s="6">
        <v>1.9485113062116699E-3</v>
      </c>
      <c r="F78" s="8">
        <v>2.87E-2</v>
      </c>
      <c r="G78" s="8">
        <v>0</v>
      </c>
    </row>
    <row r="79" spans="1:7" x14ac:dyDescent="0.25">
      <c r="A79">
        <v>1387</v>
      </c>
      <c r="B79" s="1">
        <v>41944</v>
      </c>
      <c r="C79" s="4">
        <v>5.8857999999999997</v>
      </c>
      <c r="D79" s="4">
        <v>2.0899999999999998E-2</v>
      </c>
      <c r="E79" s="6">
        <v>3.5550725954850799E-3</v>
      </c>
      <c r="F79" s="8">
        <v>3.3700000000000001E-2</v>
      </c>
      <c r="G79" s="8">
        <v>0</v>
      </c>
    </row>
    <row r="80" spans="1:7" x14ac:dyDescent="0.25">
      <c r="A80">
        <v>1387</v>
      </c>
      <c r="B80" s="1">
        <v>41974</v>
      </c>
      <c r="C80" s="4">
        <v>4.6173999999999999</v>
      </c>
      <c r="D80" s="4">
        <v>6.6900000000000001E-2</v>
      </c>
      <c r="E80" s="6">
        <v>2.6851648903531101E-3</v>
      </c>
      <c r="F80" s="8">
        <v>3.7699999999999997E-2</v>
      </c>
      <c r="G80" s="8">
        <v>0</v>
      </c>
    </row>
    <row r="81" spans="1:7" x14ac:dyDescent="0.25">
      <c r="A81">
        <v>1387</v>
      </c>
      <c r="B81" s="1">
        <v>42005</v>
      </c>
      <c r="C81" s="4">
        <v>6.7785000000000002</v>
      </c>
      <c r="D81" s="4">
        <v>3.3399999999999999E-2</v>
      </c>
      <c r="E81" s="6">
        <v>2.5401356604809202E-3</v>
      </c>
      <c r="F81" s="8">
        <v>4.3400000000000001E-2</v>
      </c>
      <c r="G81" s="8">
        <v>1E-4</v>
      </c>
    </row>
    <row r="82" spans="1:7" x14ac:dyDescent="0.25">
      <c r="A82">
        <v>1387</v>
      </c>
      <c r="B82" s="1">
        <v>42036</v>
      </c>
      <c r="C82" s="4">
        <v>9.3575999999999997</v>
      </c>
      <c r="D82" s="4">
        <v>2.6200000000000001E-2</v>
      </c>
      <c r="E82" s="6">
        <v>3.6881828904798001E-3</v>
      </c>
      <c r="F82" s="8">
        <v>5.1400000000000001E-2</v>
      </c>
      <c r="G82" s="8">
        <v>1E-4</v>
      </c>
    </row>
    <row r="83" spans="1:7" x14ac:dyDescent="0.25">
      <c r="A83">
        <v>1387</v>
      </c>
      <c r="B83" s="1">
        <v>42064</v>
      </c>
      <c r="C83" s="4">
        <v>8.9893000000000001</v>
      </c>
      <c r="D83" s="4">
        <v>2.5399999999999999E-2</v>
      </c>
      <c r="E83" s="6">
        <v>2.6064369582711401E-3</v>
      </c>
      <c r="F83" s="8">
        <v>5.8999999999999997E-2</v>
      </c>
      <c r="G83" s="8">
        <v>1E-4</v>
      </c>
    </row>
    <row r="84" spans="1:7" x14ac:dyDescent="0.25">
      <c r="A84">
        <v>1387</v>
      </c>
      <c r="B84" s="1">
        <v>42095</v>
      </c>
      <c r="C84" s="4">
        <v>9.5945</v>
      </c>
      <c r="D84" s="4">
        <v>5.1400000000000001E-2</v>
      </c>
      <c r="E84" s="6">
        <v>2.5829076593737502E-3</v>
      </c>
      <c r="F84" s="8">
        <v>6.7100000000000007E-2</v>
      </c>
      <c r="G84" s="8">
        <v>2.0000000000000001E-4</v>
      </c>
    </row>
    <row r="85" spans="1:7" x14ac:dyDescent="0.25">
      <c r="A85">
        <v>1387</v>
      </c>
      <c r="B85" s="1">
        <v>42125</v>
      </c>
      <c r="C85" s="4">
        <v>0</v>
      </c>
      <c r="D85" s="4">
        <v>0</v>
      </c>
      <c r="E85" s="6">
        <v>3.21889795930263E-3</v>
      </c>
      <c r="F85" s="7">
        <v>6.7100000000000007E-2</v>
      </c>
      <c r="G85" s="7">
        <v>2.0000000000000001E-4</v>
      </c>
    </row>
    <row r="86" spans="1:7" x14ac:dyDescent="0.25">
      <c r="A86">
        <v>1388</v>
      </c>
      <c r="B86" s="1">
        <v>41760</v>
      </c>
      <c r="C86" s="4">
        <v>6.1360999999999999</v>
      </c>
      <c r="D86" s="4">
        <v>0</v>
      </c>
      <c r="E86" s="6">
        <v>0</v>
      </c>
      <c r="F86" s="8">
        <v>5.4999999999999997E-3</v>
      </c>
      <c r="G86" s="8">
        <v>0</v>
      </c>
    </row>
    <row r="87" spans="1:7" x14ac:dyDescent="0.25">
      <c r="A87">
        <v>1388</v>
      </c>
      <c r="B87" s="1">
        <v>41791</v>
      </c>
      <c r="C87" s="4">
        <v>6.7660999999999998</v>
      </c>
      <c r="D87" s="4">
        <v>0</v>
      </c>
      <c r="E87" s="6">
        <v>2.0170913792236598E-3</v>
      </c>
      <c r="F87" s="8">
        <v>1.17E-2</v>
      </c>
      <c r="G87" s="8">
        <v>0</v>
      </c>
    </row>
    <row r="88" spans="1:7" x14ac:dyDescent="0.25">
      <c r="A88">
        <v>1388</v>
      </c>
      <c r="B88" s="1">
        <v>41821</v>
      </c>
      <c r="C88" s="4">
        <v>5.7000999999999999</v>
      </c>
      <c r="D88" s="4">
        <v>0</v>
      </c>
      <c r="E88" s="6">
        <v>2.3644451481957202E-3</v>
      </c>
      <c r="F88" s="8">
        <v>1.6799999999999999E-2</v>
      </c>
      <c r="G88" s="8">
        <v>0</v>
      </c>
    </row>
    <row r="89" spans="1:7" x14ac:dyDescent="0.25">
      <c r="A89">
        <v>1388</v>
      </c>
      <c r="B89" s="1">
        <v>41852</v>
      </c>
      <c r="C89" s="4">
        <v>5.7121000000000004</v>
      </c>
      <c r="D89" s="4">
        <v>0</v>
      </c>
      <c r="E89" s="6">
        <v>3.18405847040367E-3</v>
      </c>
      <c r="F89" s="8">
        <v>2.18E-2</v>
      </c>
      <c r="G89" s="8">
        <v>0</v>
      </c>
    </row>
    <row r="90" spans="1:7" x14ac:dyDescent="0.25">
      <c r="A90">
        <v>1388</v>
      </c>
      <c r="B90" s="1">
        <v>41883</v>
      </c>
      <c r="C90" s="4">
        <v>6.0377999999999998</v>
      </c>
      <c r="D90" s="4">
        <v>0</v>
      </c>
      <c r="E90" s="6">
        <v>2.8720660897544798E-3</v>
      </c>
      <c r="F90" s="8">
        <v>2.7199999999999998E-2</v>
      </c>
      <c r="G90" s="8">
        <v>0</v>
      </c>
    </row>
    <row r="91" spans="1:7" x14ac:dyDescent="0.25">
      <c r="A91">
        <v>1388</v>
      </c>
      <c r="B91" s="1">
        <v>41913</v>
      </c>
      <c r="C91" s="4">
        <v>5.9686000000000003</v>
      </c>
      <c r="D91" s="4">
        <v>8.7800000000000003E-2</v>
      </c>
      <c r="E91" s="6">
        <v>2.9094737549257101E-3</v>
      </c>
      <c r="F91" s="8">
        <v>3.2399999999999998E-2</v>
      </c>
      <c r="G91" s="8">
        <v>0</v>
      </c>
    </row>
    <row r="92" spans="1:7" x14ac:dyDescent="0.25">
      <c r="A92">
        <v>1388</v>
      </c>
      <c r="B92" s="1">
        <v>41944</v>
      </c>
      <c r="C92" s="4">
        <v>6.5345000000000004</v>
      </c>
      <c r="D92" s="4">
        <v>4.3999999999999997E-2</v>
      </c>
      <c r="E92" s="6">
        <v>4.5386776061148697E-3</v>
      </c>
      <c r="F92" s="8">
        <v>3.8100000000000002E-2</v>
      </c>
      <c r="G92" s="8">
        <v>1E-4</v>
      </c>
    </row>
    <row r="93" spans="1:7" x14ac:dyDescent="0.25">
      <c r="A93">
        <v>1388</v>
      </c>
      <c r="B93" s="1">
        <v>41974</v>
      </c>
      <c r="C93" s="4">
        <v>5.8544</v>
      </c>
      <c r="D93" s="4">
        <v>8.8200000000000001E-2</v>
      </c>
      <c r="E93" s="6">
        <v>3.9271981402140702E-3</v>
      </c>
      <c r="F93" s="8">
        <v>4.3200000000000002E-2</v>
      </c>
      <c r="G93" s="8">
        <v>1E-4</v>
      </c>
    </row>
    <row r="94" spans="1:7" x14ac:dyDescent="0.25">
      <c r="A94">
        <v>1388</v>
      </c>
      <c r="B94" s="1">
        <v>42005</v>
      </c>
      <c r="C94" s="4">
        <v>9.8636999999999997</v>
      </c>
      <c r="D94" s="4">
        <v>0.1137</v>
      </c>
      <c r="E94" s="6">
        <v>3.9074379004465001E-3</v>
      </c>
      <c r="F94" s="8">
        <v>5.1799999999999999E-2</v>
      </c>
      <c r="G94" s="8">
        <v>2.0000000000000001E-4</v>
      </c>
    </row>
    <row r="95" spans="1:7" x14ac:dyDescent="0.25">
      <c r="A95">
        <v>1388</v>
      </c>
      <c r="B95" s="1">
        <v>42036</v>
      </c>
      <c r="C95" s="4">
        <v>11.690300000000001</v>
      </c>
      <c r="D95" s="4">
        <v>0.10290000000000001</v>
      </c>
      <c r="E95" s="6">
        <v>4.8390839154342502E-3</v>
      </c>
      <c r="F95" s="8">
        <v>6.2E-2</v>
      </c>
      <c r="G95" s="8">
        <v>2.9999999999999997E-4</v>
      </c>
    </row>
    <row r="96" spans="1:7" x14ac:dyDescent="0.25">
      <c r="A96">
        <v>1388</v>
      </c>
      <c r="B96" s="1">
        <v>42064</v>
      </c>
      <c r="C96" s="4">
        <v>11.203799999999999</v>
      </c>
      <c r="D96" s="4">
        <v>3.95E-2</v>
      </c>
      <c r="E96" s="6">
        <v>3.2299827318826202E-3</v>
      </c>
      <c r="F96" s="8">
        <v>7.1599999999999997E-2</v>
      </c>
      <c r="G96" s="8">
        <v>2.9999999999999997E-4</v>
      </c>
    </row>
    <row r="97" spans="1:7" x14ac:dyDescent="0.25">
      <c r="A97">
        <v>1388</v>
      </c>
      <c r="B97" s="1">
        <v>42095</v>
      </c>
      <c r="C97" s="4">
        <v>13.216799999999999</v>
      </c>
      <c r="D97" s="4">
        <v>8.14E-2</v>
      </c>
      <c r="E97" s="6">
        <v>3.3434995017667698E-3</v>
      </c>
      <c r="F97" s="8">
        <v>8.3000000000000004E-2</v>
      </c>
      <c r="G97" s="8">
        <v>4.0000000000000002E-4</v>
      </c>
    </row>
    <row r="98" spans="1:7" x14ac:dyDescent="0.25">
      <c r="A98">
        <v>1388</v>
      </c>
      <c r="B98" s="1">
        <v>42125</v>
      </c>
      <c r="C98" s="4">
        <v>0</v>
      </c>
      <c r="D98" s="4">
        <v>0</v>
      </c>
      <c r="E98" s="6">
        <v>4.8176095680332702E-3</v>
      </c>
      <c r="F98" s="7">
        <v>8.3000000000000004E-2</v>
      </c>
      <c r="G98" s="7">
        <v>4.0000000000000002E-4</v>
      </c>
    </row>
    <row r="99" spans="1:7" x14ac:dyDescent="0.25">
      <c r="A99">
        <v>1392</v>
      </c>
      <c r="B99" s="1">
        <v>41913</v>
      </c>
      <c r="C99" s="4">
        <v>9.3973999999999993</v>
      </c>
      <c r="D99" s="4">
        <v>0</v>
      </c>
      <c r="E99" s="6">
        <v>1.5465165497908001E-3</v>
      </c>
      <c r="F99" s="8">
        <v>1.5800000000000002E-2</v>
      </c>
      <c r="G99" s="8">
        <v>0</v>
      </c>
    </row>
    <row r="100" spans="1:7" x14ac:dyDescent="0.25">
      <c r="A100">
        <v>1392</v>
      </c>
      <c r="B100" s="1">
        <v>41944</v>
      </c>
      <c r="C100" s="4">
        <v>11.042299999999999</v>
      </c>
      <c r="D100" s="4">
        <v>0</v>
      </c>
      <c r="E100" s="6">
        <v>3.03197827151724E-3</v>
      </c>
      <c r="F100" s="8">
        <v>2.5999999999999999E-2</v>
      </c>
      <c r="G100" s="8">
        <v>0</v>
      </c>
    </row>
    <row r="101" spans="1:7" x14ac:dyDescent="0.25">
      <c r="A101">
        <v>1392</v>
      </c>
      <c r="B101" s="1">
        <v>41974</v>
      </c>
      <c r="C101" s="4">
        <v>9.3477999999999994</v>
      </c>
      <c r="D101" s="4">
        <v>0</v>
      </c>
      <c r="E101" s="6">
        <v>2.1671784794344401E-3</v>
      </c>
      <c r="F101" s="8">
        <v>3.44E-2</v>
      </c>
      <c r="G101" s="8">
        <v>0</v>
      </c>
    </row>
    <row r="102" spans="1:7" x14ac:dyDescent="0.25">
      <c r="A102">
        <v>1392</v>
      </c>
      <c r="B102" s="1">
        <v>42005</v>
      </c>
      <c r="C102" s="4">
        <v>17.206399999999999</v>
      </c>
      <c r="D102" s="4">
        <v>0</v>
      </c>
      <c r="E102" s="6">
        <v>2.61360608101359E-3</v>
      </c>
      <c r="F102" s="8">
        <v>5.04E-2</v>
      </c>
      <c r="G102" s="8">
        <v>0</v>
      </c>
    </row>
    <row r="103" spans="1:7" x14ac:dyDescent="0.25">
      <c r="A103">
        <v>1392</v>
      </c>
      <c r="B103" s="1">
        <v>42036</v>
      </c>
      <c r="C103" s="4">
        <v>19.359500000000001</v>
      </c>
      <c r="D103" s="4">
        <v>1.6299999999999999E-2</v>
      </c>
      <c r="E103" s="6">
        <v>3.7236609124432301E-3</v>
      </c>
      <c r="F103" s="8">
        <v>6.83E-2</v>
      </c>
      <c r="G103" s="8">
        <v>0</v>
      </c>
    </row>
    <row r="104" spans="1:7" x14ac:dyDescent="0.25">
      <c r="A104">
        <v>1392</v>
      </c>
      <c r="B104" s="1">
        <v>42064</v>
      </c>
      <c r="C104" s="4">
        <v>15.288</v>
      </c>
      <c r="D104" s="4">
        <v>4.1000000000000002E-2</v>
      </c>
      <c r="E104" s="6">
        <v>2.4593219335188E-3</v>
      </c>
      <c r="F104" s="8">
        <v>8.1799999999999998E-2</v>
      </c>
      <c r="G104" s="8">
        <v>0</v>
      </c>
    </row>
    <row r="105" spans="1:7" x14ac:dyDescent="0.25">
      <c r="A105">
        <v>1392</v>
      </c>
      <c r="B105" s="1">
        <v>42095</v>
      </c>
      <c r="C105" s="4">
        <v>13.3316</v>
      </c>
      <c r="D105" s="4">
        <v>3.4799999999999998E-2</v>
      </c>
      <c r="E105" s="6">
        <v>2.68256302708989E-3</v>
      </c>
      <c r="F105" s="8">
        <v>9.3299999999999994E-2</v>
      </c>
      <c r="G105" s="8">
        <v>0</v>
      </c>
    </row>
    <row r="106" spans="1:7" x14ac:dyDescent="0.25">
      <c r="A106">
        <v>1392</v>
      </c>
      <c r="B106" s="1">
        <v>42125</v>
      </c>
      <c r="C106" s="4">
        <v>0</v>
      </c>
      <c r="D106" s="4">
        <v>0</v>
      </c>
      <c r="E106" s="6">
        <v>3.1831305067811099E-3</v>
      </c>
      <c r="F106" s="7">
        <v>9.3299999999999994E-2</v>
      </c>
      <c r="G106" s="7">
        <v>0</v>
      </c>
    </row>
    <row r="107" spans="1:7" x14ac:dyDescent="0.25">
      <c r="A107">
        <v>1393</v>
      </c>
      <c r="B107" s="1">
        <v>41913</v>
      </c>
      <c r="C107" s="4">
        <v>9.2777999999999992</v>
      </c>
      <c r="D107" s="4">
        <v>0</v>
      </c>
      <c r="E107" s="6">
        <v>1.85852851463797E-3</v>
      </c>
      <c r="F107" s="8">
        <v>1.5599999999999999E-2</v>
      </c>
      <c r="G107" s="8">
        <v>0</v>
      </c>
    </row>
    <row r="108" spans="1:7" x14ac:dyDescent="0.25">
      <c r="A108">
        <v>1393</v>
      </c>
      <c r="B108" s="1">
        <v>41944</v>
      </c>
      <c r="C108" s="4">
        <v>9.7567000000000004</v>
      </c>
      <c r="D108" s="4">
        <v>0</v>
      </c>
      <c r="E108" s="6">
        <v>3.2475336634477099E-3</v>
      </c>
      <c r="F108" s="8">
        <v>2.4500000000000001E-2</v>
      </c>
      <c r="G108" s="8">
        <v>0</v>
      </c>
    </row>
    <row r="109" spans="1:7" x14ac:dyDescent="0.25">
      <c r="A109">
        <v>1393</v>
      </c>
      <c r="B109" s="1">
        <v>41974</v>
      </c>
      <c r="C109" s="4">
        <v>8.7114999999999991</v>
      </c>
      <c r="D109" s="4">
        <v>0</v>
      </c>
      <c r="E109" s="6">
        <v>2.5975583930583999E-3</v>
      </c>
      <c r="F109" s="8">
        <v>3.2399999999999998E-2</v>
      </c>
      <c r="G109" s="8">
        <v>0</v>
      </c>
    </row>
    <row r="110" spans="1:7" x14ac:dyDescent="0.25">
      <c r="A110">
        <v>1393</v>
      </c>
      <c r="B110" s="1">
        <v>42005</v>
      </c>
      <c r="C110" s="4">
        <v>16.593399999999999</v>
      </c>
      <c r="D110" s="4">
        <v>0</v>
      </c>
      <c r="E110" s="6">
        <v>3.2578666025775702E-3</v>
      </c>
      <c r="F110" s="8">
        <v>4.7800000000000002E-2</v>
      </c>
      <c r="G110" s="8">
        <v>0</v>
      </c>
    </row>
    <row r="111" spans="1:7" x14ac:dyDescent="0.25">
      <c r="A111">
        <v>1393</v>
      </c>
      <c r="B111" s="1">
        <v>42036</v>
      </c>
      <c r="C111" s="4">
        <v>18.695499999999999</v>
      </c>
      <c r="D111" s="4">
        <v>3.0599999999999999E-2</v>
      </c>
      <c r="E111" s="6">
        <v>4.08154311104909E-3</v>
      </c>
      <c r="F111" s="8">
        <v>6.5100000000000005E-2</v>
      </c>
      <c r="G111" s="8">
        <v>0</v>
      </c>
    </row>
    <row r="112" spans="1:7" x14ac:dyDescent="0.25">
      <c r="A112">
        <v>1393</v>
      </c>
      <c r="B112" s="1">
        <v>42064</v>
      </c>
      <c r="C112" s="4">
        <v>14.889099999999999</v>
      </c>
      <c r="D112" s="4">
        <v>4.0500000000000001E-2</v>
      </c>
      <c r="E112" s="6">
        <v>2.7381461906083502E-3</v>
      </c>
      <c r="F112" s="8">
        <v>7.8299999999999995E-2</v>
      </c>
      <c r="G112" s="8">
        <v>0</v>
      </c>
    </row>
    <row r="113" spans="1:7" x14ac:dyDescent="0.25">
      <c r="A113">
        <v>1393</v>
      </c>
      <c r="B113" s="1">
        <v>42095</v>
      </c>
      <c r="C113" s="4">
        <v>15.747400000000001</v>
      </c>
      <c r="D113" s="4">
        <v>8.8300000000000003E-2</v>
      </c>
      <c r="E113" s="6">
        <v>3.35284701298848E-3</v>
      </c>
      <c r="F113" s="8">
        <v>9.2200000000000004E-2</v>
      </c>
      <c r="G113" s="8">
        <v>1E-4</v>
      </c>
    </row>
    <row r="114" spans="1:7" x14ac:dyDescent="0.25">
      <c r="A114">
        <v>1393</v>
      </c>
      <c r="B114" s="1">
        <v>42125</v>
      </c>
      <c r="C114" s="4">
        <v>0</v>
      </c>
      <c r="D114" s="4">
        <v>0</v>
      </c>
      <c r="E114" s="6">
        <v>4.7030749359191198E-3</v>
      </c>
      <c r="F114" s="7">
        <v>9.2200000000000004E-2</v>
      </c>
      <c r="G114" s="7">
        <v>1E-4</v>
      </c>
    </row>
    <row r="115" spans="1:7" x14ac:dyDescent="0.25">
      <c r="A115">
        <v>1397</v>
      </c>
      <c r="B115" s="1">
        <v>42005</v>
      </c>
      <c r="C115" s="4">
        <v>34.206299999999999</v>
      </c>
      <c r="D115" s="4">
        <v>0</v>
      </c>
      <c r="E115" s="6">
        <v>2.3508958009950602E-3</v>
      </c>
      <c r="F115" s="8">
        <v>5.8099999999999999E-2</v>
      </c>
      <c r="G115" s="8">
        <v>0</v>
      </c>
    </row>
    <row r="116" spans="1:7" x14ac:dyDescent="0.25">
      <c r="A116">
        <v>1397</v>
      </c>
      <c r="B116" s="1">
        <v>42036</v>
      </c>
      <c r="C116" s="4">
        <v>38.085099999999997</v>
      </c>
      <c r="D116" s="4">
        <v>0</v>
      </c>
      <c r="E116" s="6">
        <v>4.4260802822598403E-3</v>
      </c>
      <c r="F116" s="8">
        <v>9.9599999999999994E-2</v>
      </c>
      <c r="G116" s="8">
        <v>0</v>
      </c>
    </row>
    <row r="117" spans="1:7" x14ac:dyDescent="0.25">
      <c r="A117">
        <v>1397</v>
      </c>
      <c r="B117" s="1">
        <v>42064</v>
      </c>
      <c r="C117" s="4">
        <v>27.818200000000001</v>
      </c>
      <c r="D117" s="4">
        <v>0</v>
      </c>
      <c r="E117" s="6">
        <v>2.5214380336980899E-3</v>
      </c>
      <c r="F117" s="8">
        <v>0.12690000000000001</v>
      </c>
      <c r="G117" s="8">
        <v>0</v>
      </c>
    </row>
    <row r="118" spans="1:7" x14ac:dyDescent="0.25">
      <c r="A118">
        <v>1397</v>
      </c>
      <c r="B118" s="1">
        <v>42095</v>
      </c>
      <c r="C118" s="4">
        <v>24.670500000000001</v>
      </c>
      <c r="D118" s="4">
        <v>0</v>
      </c>
      <c r="E118" s="6">
        <v>3.56500114658368E-3</v>
      </c>
      <c r="F118" s="8">
        <v>0.14990000000000001</v>
      </c>
      <c r="G118" s="8">
        <v>0</v>
      </c>
    </row>
    <row r="119" spans="1:7" x14ac:dyDescent="0.25">
      <c r="A119">
        <v>1397</v>
      </c>
      <c r="B119" s="1">
        <v>42125</v>
      </c>
      <c r="C119" s="4">
        <v>0</v>
      </c>
      <c r="D119" s="4">
        <v>0</v>
      </c>
      <c r="E119" s="6">
        <v>4.2091799565682399E-3</v>
      </c>
      <c r="F119" s="7">
        <v>0.14990000000000001</v>
      </c>
      <c r="G119" s="7">
        <v>0</v>
      </c>
    </row>
    <row r="120" spans="1:7" x14ac:dyDescent="0.25">
      <c r="A120">
        <v>1398</v>
      </c>
      <c r="B120" s="1">
        <v>42005</v>
      </c>
      <c r="C120" s="4">
        <v>28.768799999999999</v>
      </c>
      <c r="D120" s="4">
        <v>0</v>
      </c>
      <c r="E120" s="6">
        <v>2.1584159338798002E-3</v>
      </c>
      <c r="F120" s="8">
        <v>4.6699999999999998E-2</v>
      </c>
      <c r="G120" s="8">
        <v>0</v>
      </c>
    </row>
    <row r="121" spans="1:7" x14ac:dyDescent="0.25">
      <c r="A121">
        <v>1398</v>
      </c>
      <c r="B121" s="1">
        <v>42036</v>
      </c>
      <c r="C121" s="4">
        <v>34.203600000000002</v>
      </c>
      <c r="D121" s="4">
        <v>0</v>
      </c>
      <c r="E121" s="6">
        <v>4.3765074733300496E-3</v>
      </c>
      <c r="F121" s="8">
        <v>8.2900000000000001E-2</v>
      </c>
      <c r="G121" s="8">
        <v>0</v>
      </c>
    </row>
    <row r="122" spans="1:7" x14ac:dyDescent="0.25">
      <c r="A122">
        <v>1398</v>
      </c>
      <c r="B122" s="1">
        <v>42064</v>
      </c>
      <c r="C122" s="4">
        <v>24.572600000000001</v>
      </c>
      <c r="D122" s="4">
        <v>0</v>
      </c>
      <c r="E122" s="6">
        <v>2.3593048131424601E-3</v>
      </c>
      <c r="F122" s="8">
        <v>0.1065</v>
      </c>
      <c r="G122" s="8">
        <v>0</v>
      </c>
    </row>
    <row r="123" spans="1:7" x14ac:dyDescent="0.25">
      <c r="A123">
        <v>1398</v>
      </c>
      <c r="B123" s="1">
        <v>42095</v>
      </c>
      <c r="C123" s="4">
        <v>23.898700000000002</v>
      </c>
      <c r="D123" s="4">
        <v>0</v>
      </c>
      <c r="E123" s="6">
        <v>3.79561341522482E-3</v>
      </c>
      <c r="F123" s="8">
        <v>0.1288</v>
      </c>
      <c r="G123" s="8">
        <v>0</v>
      </c>
    </row>
    <row r="124" spans="1:7" x14ac:dyDescent="0.25">
      <c r="A124">
        <v>1398</v>
      </c>
      <c r="B124" s="1">
        <v>42125</v>
      </c>
      <c r="C124" s="4">
        <v>0</v>
      </c>
      <c r="D124" s="4">
        <v>0</v>
      </c>
      <c r="E124" s="6">
        <v>4.8675564395482696E-3</v>
      </c>
      <c r="F124" s="7">
        <v>0.1288</v>
      </c>
      <c r="G124" s="7">
        <v>0</v>
      </c>
    </row>
    <row r="125" spans="1:7" x14ac:dyDescent="0.25">
      <c r="A125">
        <v>1399</v>
      </c>
      <c r="B125" s="1">
        <v>42095</v>
      </c>
      <c r="C125" s="4">
        <v>24.545400000000001</v>
      </c>
      <c r="D125" s="4">
        <v>0</v>
      </c>
      <c r="E125" s="6">
        <v>3.3725582675833798E-3</v>
      </c>
      <c r="F125" s="8">
        <v>5.0099999999999999E-2</v>
      </c>
      <c r="G125" s="8">
        <v>0</v>
      </c>
    </row>
    <row r="126" spans="1:7" x14ac:dyDescent="0.25">
      <c r="A126">
        <v>1399</v>
      </c>
      <c r="B126" s="1">
        <v>42125</v>
      </c>
      <c r="C126" s="4">
        <v>0</v>
      </c>
      <c r="D126" s="4">
        <v>0</v>
      </c>
      <c r="E126" s="6">
        <v>3.6946111879407099E-3</v>
      </c>
      <c r="F126" s="7">
        <v>5.0099999999999999E-2</v>
      </c>
      <c r="G126" s="7">
        <v>0</v>
      </c>
    </row>
    <row r="127" spans="1:7" x14ac:dyDescent="0.25">
      <c r="A127">
        <v>1400</v>
      </c>
      <c r="B127" s="1">
        <v>42095</v>
      </c>
      <c r="C127" s="4">
        <v>20.803100000000001</v>
      </c>
      <c r="D127" s="4">
        <v>0</v>
      </c>
      <c r="E127" s="6">
        <v>2.9213370701654099E-3</v>
      </c>
      <c r="F127" s="8">
        <v>4.0800000000000003E-2</v>
      </c>
      <c r="G127" s="8">
        <v>0</v>
      </c>
    </row>
    <row r="128" spans="1:7" x14ac:dyDescent="0.25">
      <c r="A128">
        <v>1400</v>
      </c>
      <c r="B128" s="1">
        <v>42125</v>
      </c>
      <c r="C128" s="4">
        <v>0</v>
      </c>
      <c r="D128" s="4">
        <v>0</v>
      </c>
      <c r="E128" s="6">
        <v>3.5999590164155098E-3</v>
      </c>
      <c r="F128" s="7">
        <v>4.0800000000000003E-2</v>
      </c>
      <c r="G128" s="7">
        <v>0</v>
      </c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D1:J47"/>
  <sheetViews>
    <sheetView zoomScaleNormal="100" workbookViewId="0">
      <selection activeCell="F34" sqref="F34"/>
    </sheetView>
  </sheetViews>
  <sheetFormatPr defaultRowHeight="15" x14ac:dyDescent="0.25"/>
  <cols>
    <col min="3" max="3" width="8.42578125" customWidth="1"/>
    <col min="4" max="4" width="10.7109375" customWidth="1"/>
    <col min="5" max="5" width="27.28515625" bestFit="1" customWidth="1"/>
    <col min="6" max="10" width="17.140625" customWidth="1"/>
  </cols>
  <sheetData>
    <row r="1" spans="4:10" x14ac:dyDescent="0.25">
      <c r="F1" t="s">
        <v>76</v>
      </c>
    </row>
    <row r="2" spans="4:10" x14ac:dyDescent="0.25">
      <c r="D2" s="12"/>
      <c r="E2" s="12"/>
      <c r="F2" s="24" t="s">
        <v>82</v>
      </c>
      <c r="G2" s="24" t="s">
        <v>75</v>
      </c>
      <c r="H2" s="24" t="s">
        <v>81</v>
      </c>
      <c r="I2" s="24" t="s">
        <v>79</v>
      </c>
      <c r="J2" s="24" t="s">
        <v>80</v>
      </c>
    </row>
    <row r="3" spans="4:10" x14ac:dyDescent="0.25">
      <c r="D3" s="25" t="s">
        <v>77</v>
      </c>
      <c r="E3" s="12" t="s">
        <v>62</v>
      </c>
      <c r="F3" s="12"/>
      <c r="G3" s="12"/>
      <c r="H3" s="12"/>
      <c r="I3" s="12"/>
      <c r="J3" s="12"/>
    </row>
    <row r="4" spans="4:10" x14ac:dyDescent="0.25">
      <c r="D4" s="25"/>
      <c r="E4" s="12" t="s">
        <v>63</v>
      </c>
      <c r="F4" s="12"/>
      <c r="G4" s="12"/>
      <c r="H4" s="12"/>
      <c r="I4" s="12"/>
      <c r="J4" s="12"/>
    </row>
    <row r="5" spans="4:10" x14ac:dyDescent="0.25">
      <c r="D5" s="25"/>
      <c r="E5" s="12" t="s">
        <v>64</v>
      </c>
      <c r="F5" s="12"/>
      <c r="G5" s="12"/>
      <c r="H5" s="12"/>
      <c r="I5" s="12"/>
      <c r="J5" s="12"/>
    </row>
    <row r="6" spans="4:10" x14ac:dyDescent="0.25">
      <c r="D6" s="25"/>
      <c r="E6" s="12" t="s">
        <v>65</v>
      </c>
      <c r="F6" s="12"/>
      <c r="G6" s="12"/>
      <c r="H6" s="12"/>
      <c r="I6" s="12"/>
      <c r="J6" s="12"/>
    </row>
    <row r="7" spans="4:10" x14ac:dyDescent="0.25">
      <c r="D7" s="25"/>
      <c r="E7" s="12" t="s">
        <v>66</v>
      </c>
      <c r="F7" s="12"/>
      <c r="G7" s="12"/>
      <c r="H7" s="12"/>
      <c r="I7" s="12"/>
      <c r="J7" s="12"/>
    </row>
    <row r="8" spans="4:10" x14ac:dyDescent="0.25">
      <c r="D8" s="25"/>
      <c r="E8" s="12" t="s">
        <v>67</v>
      </c>
      <c r="F8" s="12"/>
      <c r="G8" s="12"/>
      <c r="H8" s="12"/>
      <c r="I8" s="12"/>
      <c r="J8" s="12"/>
    </row>
    <row r="9" spans="4:10" x14ac:dyDescent="0.25">
      <c r="D9" s="25"/>
      <c r="E9" s="12" t="s">
        <v>68</v>
      </c>
      <c r="F9" s="12"/>
      <c r="G9" s="12"/>
      <c r="H9" s="12"/>
      <c r="I9" s="12"/>
      <c r="J9" s="12"/>
    </row>
    <row r="10" spans="4:10" x14ac:dyDescent="0.25">
      <c r="D10" s="25"/>
      <c r="E10" s="12" t="s">
        <v>69</v>
      </c>
      <c r="F10" s="12"/>
      <c r="G10" s="12"/>
      <c r="H10" s="12"/>
      <c r="I10" s="12"/>
      <c r="J10" s="12"/>
    </row>
    <row r="11" spans="4:10" x14ac:dyDescent="0.25">
      <c r="D11" s="25"/>
      <c r="E11" s="12" t="s">
        <v>19</v>
      </c>
      <c r="F11" s="12"/>
      <c r="G11" s="12"/>
      <c r="H11" s="12"/>
      <c r="I11" s="12"/>
      <c r="J11" s="12"/>
    </row>
    <row r="12" spans="4:10" x14ac:dyDescent="0.25">
      <c r="D12" s="25"/>
      <c r="E12" s="12" t="s">
        <v>20</v>
      </c>
      <c r="F12" s="12"/>
      <c r="G12" s="12"/>
      <c r="H12" s="12"/>
      <c r="I12" s="12"/>
      <c r="J12" s="12"/>
    </row>
    <row r="13" spans="4:10" x14ac:dyDescent="0.25">
      <c r="D13" s="25"/>
      <c r="E13" s="12" t="s">
        <v>70</v>
      </c>
      <c r="F13" s="12"/>
      <c r="G13" s="12"/>
      <c r="H13" s="12"/>
      <c r="I13" s="12"/>
      <c r="J13" s="12"/>
    </row>
    <row r="14" spans="4:10" x14ac:dyDescent="0.25">
      <c r="D14" s="25"/>
      <c r="E14" s="12" t="s">
        <v>71</v>
      </c>
      <c r="F14" s="12"/>
      <c r="G14" s="12"/>
      <c r="H14" s="12"/>
      <c r="I14" s="12"/>
      <c r="J14" s="12"/>
    </row>
    <row r="15" spans="4:10" x14ac:dyDescent="0.25">
      <c r="D15" s="25"/>
      <c r="E15" s="12" t="s">
        <v>72</v>
      </c>
      <c r="F15" s="12"/>
      <c r="G15" s="12"/>
      <c r="H15" s="12"/>
      <c r="I15" s="12"/>
      <c r="J15" s="12"/>
    </row>
    <row r="16" spans="4:10" x14ac:dyDescent="0.25">
      <c r="D16" s="25"/>
      <c r="E16" s="12" t="s">
        <v>73</v>
      </c>
      <c r="F16" s="12"/>
      <c r="G16" s="12"/>
      <c r="H16" s="12"/>
      <c r="I16" s="12"/>
      <c r="J16" s="12"/>
    </row>
    <row r="17" spans="4:10" x14ac:dyDescent="0.25">
      <c r="D17" s="25"/>
      <c r="E17" s="12" t="s">
        <v>74</v>
      </c>
      <c r="F17" s="12"/>
      <c r="G17" s="12"/>
      <c r="H17" s="12"/>
      <c r="I17" s="12"/>
      <c r="J17" s="12"/>
    </row>
    <row r="18" spans="4:10" ht="7.5" customHeight="1" x14ac:dyDescent="0.25">
      <c r="D18" s="12"/>
      <c r="E18" s="12"/>
      <c r="F18" s="12"/>
      <c r="G18" s="12"/>
      <c r="H18" s="12"/>
      <c r="I18" s="12"/>
      <c r="J18" s="12"/>
    </row>
    <row r="19" spans="4:10" x14ac:dyDescent="0.25">
      <c r="D19" s="25" t="s">
        <v>78</v>
      </c>
      <c r="E19" s="12" t="s">
        <v>0</v>
      </c>
      <c r="F19" s="12"/>
      <c r="G19" s="12"/>
      <c r="H19" s="12"/>
      <c r="I19" s="12"/>
      <c r="J19" s="12"/>
    </row>
    <row r="20" spans="4:10" x14ac:dyDescent="0.25">
      <c r="D20" s="25"/>
      <c r="E20" s="26" t="s">
        <v>26</v>
      </c>
      <c r="F20" s="12"/>
      <c r="G20" s="12"/>
      <c r="H20" s="12"/>
      <c r="I20" s="12"/>
      <c r="J20" s="12"/>
    </row>
    <row r="21" spans="4:10" x14ac:dyDescent="0.25">
      <c r="D21" s="25"/>
      <c r="E21" s="26" t="s">
        <v>27</v>
      </c>
      <c r="F21" s="12"/>
      <c r="G21" s="12"/>
      <c r="H21" s="12"/>
      <c r="I21" s="12"/>
      <c r="J21" s="12"/>
    </row>
    <row r="22" spans="4:10" x14ac:dyDescent="0.25">
      <c r="D22" s="25"/>
      <c r="E22" s="26" t="s">
        <v>28</v>
      </c>
      <c r="F22" s="12"/>
      <c r="G22" s="12"/>
      <c r="H22" s="12"/>
      <c r="I22" s="12"/>
      <c r="J22" s="12"/>
    </row>
    <row r="23" spans="4:10" x14ac:dyDescent="0.25">
      <c r="D23" s="25"/>
      <c r="E23" s="26" t="s">
        <v>29</v>
      </c>
      <c r="F23" s="12"/>
      <c r="G23" s="12"/>
      <c r="H23" s="12"/>
      <c r="I23" s="12"/>
      <c r="J23" s="12"/>
    </row>
    <row r="24" spans="4:10" x14ac:dyDescent="0.25">
      <c r="D24" s="25"/>
      <c r="E24" s="27" t="s">
        <v>30</v>
      </c>
      <c r="F24" s="12"/>
      <c r="G24" s="12"/>
      <c r="H24" s="12"/>
      <c r="I24" s="12"/>
      <c r="J24" s="12"/>
    </row>
    <row r="25" spans="4:10" x14ac:dyDescent="0.25">
      <c r="D25" s="25"/>
      <c r="E25" s="27" t="s">
        <v>31</v>
      </c>
      <c r="F25" s="12"/>
      <c r="G25" s="12"/>
      <c r="H25" s="12"/>
      <c r="I25" s="12"/>
      <c r="J25" s="12"/>
    </row>
    <row r="26" spans="4:10" x14ac:dyDescent="0.25">
      <c r="D26" s="25"/>
      <c r="E26" s="28" t="s">
        <v>32</v>
      </c>
      <c r="F26" s="12"/>
      <c r="G26" s="12"/>
      <c r="H26" s="12"/>
      <c r="I26" s="12"/>
      <c r="J26" s="12"/>
    </row>
    <row r="27" spans="4:10" x14ac:dyDescent="0.25">
      <c r="D27" s="25"/>
      <c r="E27" s="28" t="s">
        <v>33</v>
      </c>
      <c r="F27" s="12"/>
      <c r="G27" s="12"/>
      <c r="H27" s="12"/>
      <c r="I27" s="12"/>
      <c r="J27" s="12"/>
    </row>
    <row r="28" spans="4:10" x14ac:dyDescent="0.25">
      <c r="D28" s="25"/>
      <c r="E28" s="28" t="s">
        <v>34</v>
      </c>
      <c r="F28" s="12"/>
      <c r="G28" s="12"/>
      <c r="H28" s="12"/>
      <c r="I28" s="12"/>
      <c r="J28" s="12"/>
    </row>
    <row r="29" spans="4:10" x14ac:dyDescent="0.25">
      <c r="D29" s="25"/>
      <c r="E29" s="28" t="s">
        <v>35</v>
      </c>
      <c r="F29" s="12"/>
      <c r="G29" s="12"/>
      <c r="H29" s="12"/>
      <c r="I29" s="12"/>
      <c r="J29" s="12"/>
    </row>
    <row r="30" spans="4:10" x14ac:dyDescent="0.25">
      <c r="D30" s="25"/>
      <c r="E30" s="28" t="s">
        <v>36</v>
      </c>
      <c r="F30" s="12"/>
      <c r="G30" s="12"/>
      <c r="H30" s="12"/>
      <c r="I30" s="12"/>
      <c r="J30" s="12"/>
    </row>
    <row r="31" spans="4:10" x14ac:dyDescent="0.25">
      <c r="D31" s="25"/>
      <c r="E31" s="26" t="s">
        <v>37</v>
      </c>
      <c r="F31" s="12"/>
      <c r="G31" s="12"/>
      <c r="H31" s="12"/>
      <c r="I31" s="12"/>
      <c r="J31" s="12"/>
    </row>
    <row r="32" spans="4:10" x14ac:dyDescent="0.25">
      <c r="D32" s="25"/>
      <c r="E32" s="29" t="s">
        <v>38</v>
      </c>
      <c r="F32" s="12"/>
      <c r="G32" s="12"/>
      <c r="H32" s="12"/>
      <c r="I32" s="12"/>
      <c r="J32" s="12"/>
    </row>
    <row r="33" spans="4:10" x14ac:dyDescent="0.25">
      <c r="D33" s="25"/>
      <c r="E33" s="29" t="s">
        <v>39</v>
      </c>
      <c r="F33" s="12"/>
      <c r="G33" s="12"/>
      <c r="H33" s="12"/>
      <c r="I33" s="12"/>
      <c r="J33" s="12"/>
    </row>
    <row r="34" spans="4:10" x14ac:dyDescent="0.25">
      <c r="D34" s="25"/>
      <c r="E34" s="29" t="s">
        <v>40</v>
      </c>
      <c r="F34" s="12"/>
      <c r="G34" s="12"/>
      <c r="H34" s="12"/>
      <c r="I34" s="12"/>
      <c r="J34" s="12"/>
    </row>
    <row r="35" spans="4:10" x14ac:dyDescent="0.25">
      <c r="D35" s="25"/>
      <c r="E35" s="29" t="s">
        <v>41</v>
      </c>
      <c r="F35" s="12"/>
      <c r="G35" s="12"/>
      <c r="H35" s="12"/>
      <c r="I35" s="12"/>
      <c r="J35" s="12"/>
    </row>
    <row r="36" spans="4:10" x14ac:dyDescent="0.25">
      <c r="D36" s="25"/>
      <c r="E36" s="29" t="s">
        <v>42</v>
      </c>
      <c r="F36" s="12"/>
      <c r="G36" s="12"/>
      <c r="H36" s="12"/>
      <c r="I36" s="12"/>
      <c r="J36" s="12"/>
    </row>
    <row r="37" spans="4:10" x14ac:dyDescent="0.25">
      <c r="D37" s="25"/>
      <c r="E37" s="29" t="s">
        <v>43</v>
      </c>
      <c r="F37" s="12"/>
      <c r="G37" s="12"/>
      <c r="H37" s="12"/>
      <c r="I37" s="12"/>
      <c r="J37" s="12"/>
    </row>
    <row r="38" spans="4:10" x14ac:dyDescent="0.25">
      <c r="D38" s="25"/>
      <c r="E38" s="29" t="s">
        <v>44</v>
      </c>
      <c r="F38" s="12"/>
      <c r="G38" s="12"/>
      <c r="H38" s="12"/>
      <c r="I38" s="12"/>
      <c r="J38" s="12"/>
    </row>
    <row r="39" spans="4:10" x14ac:dyDescent="0.25">
      <c r="D39" s="25"/>
      <c r="E39" s="29" t="s">
        <v>45</v>
      </c>
      <c r="F39" s="12"/>
      <c r="G39" s="12"/>
      <c r="H39" s="12"/>
      <c r="I39" s="12"/>
      <c r="J39" s="12"/>
    </row>
    <row r="40" spans="4:10" x14ac:dyDescent="0.25">
      <c r="D40" s="25"/>
      <c r="E40" s="29" t="s">
        <v>46</v>
      </c>
      <c r="F40" s="12"/>
      <c r="G40" s="12"/>
      <c r="H40" s="12"/>
      <c r="I40" s="12"/>
      <c r="J40" s="12"/>
    </row>
    <row r="41" spans="4:10" x14ac:dyDescent="0.25">
      <c r="D41" s="25"/>
      <c r="E41" s="29" t="s">
        <v>47</v>
      </c>
      <c r="F41" s="12"/>
      <c r="G41" s="12"/>
      <c r="H41" s="12"/>
      <c r="I41" s="12"/>
      <c r="J41" s="12"/>
    </row>
    <row r="42" spans="4:10" x14ac:dyDescent="0.25">
      <c r="D42" s="25"/>
      <c r="E42" s="29" t="s">
        <v>48</v>
      </c>
      <c r="F42" s="12"/>
      <c r="G42" s="12"/>
      <c r="H42" s="12"/>
      <c r="I42" s="12"/>
      <c r="J42" s="12"/>
    </row>
    <row r="43" spans="4:10" x14ac:dyDescent="0.25">
      <c r="D43" s="25"/>
      <c r="E43" s="29" t="s">
        <v>49</v>
      </c>
      <c r="F43" s="12"/>
      <c r="G43" s="12"/>
      <c r="H43" s="12"/>
      <c r="I43" s="12"/>
      <c r="J43" s="12"/>
    </row>
    <row r="44" spans="4:10" x14ac:dyDescent="0.25">
      <c r="D44" s="25"/>
      <c r="E44" s="29" t="s">
        <v>50</v>
      </c>
      <c r="F44" s="12"/>
      <c r="G44" s="12"/>
      <c r="H44" s="12"/>
      <c r="I44" s="12"/>
      <c r="J44" s="12"/>
    </row>
    <row r="45" spans="4:10" x14ac:dyDescent="0.25">
      <c r="D45" s="25"/>
      <c r="E45" s="29" t="s">
        <v>51</v>
      </c>
      <c r="F45" s="12"/>
      <c r="G45" s="12"/>
      <c r="H45" s="12"/>
      <c r="I45" s="12"/>
      <c r="J45" s="12"/>
    </row>
    <row r="46" spans="4:10" x14ac:dyDescent="0.25">
      <c r="D46" s="25"/>
      <c r="E46" s="29" t="s">
        <v>52</v>
      </c>
      <c r="F46" s="12"/>
      <c r="G46" s="12"/>
      <c r="H46" s="12"/>
      <c r="I46" s="12"/>
      <c r="J46" s="12"/>
    </row>
    <row r="47" spans="4:10" x14ac:dyDescent="0.25">
      <c r="D47" s="25"/>
      <c r="E47" s="29" t="s">
        <v>53</v>
      </c>
      <c r="F47" s="12"/>
      <c r="G47" s="12"/>
      <c r="H47" s="12"/>
      <c r="I47" s="12"/>
      <c r="J47" s="12"/>
    </row>
  </sheetData>
  <mergeCells count="2">
    <mergeCell ref="D3:D17"/>
    <mergeCell ref="D19:D47"/>
  </mergeCells>
  <pageMargins left="0.7" right="0.7" top="0.75" bottom="0.75" header="0.3" footer="0.3"/>
  <pageSetup scale="6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Draft</vt:lpstr>
      <vt:lpstr>Freddie_orig</vt:lpstr>
      <vt:lpstr>Freddie_perf</vt:lpstr>
      <vt:lpstr>Sheet4</vt:lpstr>
      <vt:lpstr>Fannie_orig</vt:lpstr>
      <vt:lpstr>Fannie_perf</vt:lpstr>
      <vt:lpstr>Survey</vt:lpstr>
      <vt:lpstr>Draft!Print_Area</vt:lpstr>
      <vt:lpstr>Sheet4!Print_Area</vt:lpstr>
      <vt:lpstr>Survey!Print_Area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Morris</dc:creator>
  <cp:lastModifiedBy>Lien Chen</cp:lastModifiedBy>
  <cp:lastPrinted>2015-07-29T20:48:22Z</cp:lastPrinted>
  <dcterms:created xsi:type="dcterms:W3CDTF">2015-07-29T13:00:21Z</dcterms:created>
  <dcterms:modified xsi:type="dcterms:W3CDTF">2015-08-04T13:50:17Z</dcterms:modified>
</cp:coreProperties>
</file>