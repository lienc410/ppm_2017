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1"/>
  </bookViews>
  <sheets>
    <sheet name="Report" sheetId="7" r:id="rId1"/>
    <sheet name="Report (2)" sheetId="9" r:id="rId2"/>
    <sheet name="Performance" sheetId="8" r:id="rId3"/>
    <sheet name="Origination" sheetId="10" r:id="rId4"/>
    <sheet name="Deal Detail" sheetId="11" r:id="rId5"/>
    <sheet name="Projection" sheetId="12" r:id="rId6"/>
  </sheets>
  <functionGroups builtInGroupCount="17"/>
  <externalReferences>
    <externalReference r:id="rId7"/>
  </externalReferences>
  <definedNames>
    <definedName name="CurrentCloseDate" localSheetId="0">Report!$AJ$2</definedName>
    <definedName name="DatabaseEnv" localSheetId="0">Report!$AJ$1</definedName>
    <definedName name="PDFReportDir" localSheetId="0">Report!$AJ$3</definedName>
    <definedName name="PDFReportName" localSheetId="0">Report!$AJ$4</definedName>
    <definedName name="_xlnm.Print_Area" localSheetId="0">Report!$C$1:$AF$74</definedName>
    <definedName name="_xlnm.Print_Area" localSheetId="1">'Report (2)'!$A$1:$V$64</definedName>
    <definedName name="SaveRatesToDB" localSheetId="0">Report!$AL$1</definedName>
  </definedNames>
  <calcPr calcId="145621"/>
  <pivotCaches>
    <pivotCache cacheId="24" r:id="rId8"/>
    <pivotCache cacheId="28" r:id="rId9"/>
  </pivotCaches>
  <fileRecoveryPr repairLoad="1"/>
</workbook>
</file>

<file path=xl/calcChain.xml><?xml version="1.0" encoding="utf-8"?>
<calcChain xmlns="http://schemas.openxmlformats.org/spreadsheetml/2006/main">
  <c r="AB33" i="11" l="1"/>
  <c r="AB34" i="11"/>
  <c r="AB35" i="11"/>
  <c r="AB36" i="11"/>
  <c r="AB37" i="11"/>
  <c r="AB38" i="11"/>
  <c r="AB39" i="11"/>
  <c r="AB40" i="11"/>
  <c r="AB41" i="11"/>
  <c r="AB42" i="11"/>
  <c r="AA34" i="11"/>
  <c r="AA35" i="11"/>
  <c r="AA36" i="11"/>
  <c r="AA37" i="11"/>
  <c r="AA38" i="11"/>
  <c r="AA39" i="11"/>
  <c r="AA40" i="11"/>
  <c r="AA41" i="11"/>
  <c r="AA42" i="11"/>
  <c r="AA33" i="11"/>
  <c r="Z34" i="11"/>
  <c r="Z35" i="11"/>
  <c r="Z36" i="11"/>
  <c r="Z37" i="11"/>
  <c r="Z38" i="11"/>
  <c r="Z39" i="11"/>
  <c r="Z40" i="11"/>
  <c r="Z41" i="11"/>
  <c r="Z42" i="11"/>
  <c r="Z33" i="11"/>
  <c r="J433" i="12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403" i="12"/>
  <c r="J402" i="12"/>
  <c r="J401" i="12"/>
  <c r="J400" i="12"/>
  <c r="J399" i="12"/>
  <c r="J398" i="12"/>
  <c r="J397" i="12"/>
  <c r="J396" i="12"/>
  <c r="J395" i="12"/>
  <c r="J394" i="12"/>
  <c r="J393" i="12"/>
  <c r="J392" i="12"/>
  <c r="J391" i="12"/>
  <c r="J390" i="12"/>
  <c r="J389" i="12"/>
  <c r="J388" i="12"/>
  <c r="J387" i="12"/>
  <c r="J386" i="12"/>
  <c r="J385" i="12"/>
  <c r="J384" i="12"/>
  <c r="J383" i="12"/>
  <c r="J382" i="12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AJ4" i="7"/>
</calcChain>
</file>

<file path=xl/sharedStrings.xml><?xml version="1.0" encoding="utf-8"?>
<sst xmlns="http://schemas.openxmlformats.org/spreadsheetml/2006/main" count="3012" uniqueCount="127">
  <si>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</si>
  <si>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</si>
  <si>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</si>
  <si>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</si>
  <si>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</si>
  <si>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</si>
  <si>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</si>
  <si>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</si>
  <si>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Check Update:</t>
  </si>
  <si>
    <t>http://portal.hud.gov/hudportal/HUD?src=/program_offices/housing/hsgrroom/fhaprodrpt</t>
  </si>
  <si>
    <t>CPR %</t>
  </si>
  <si>
    <t>CDR %</t>
  </si>
  <si>
    <t>Sum of CPR</t>
  </si>
  <si>
    <t>Column Labels</t>
  </si>
  <si>
    <t>Row Labels</t>
  </si>
  <si>
    <t>FHL13DN01</t>
  </si>
  <si>
    <t>FHL13DN02</t>
  </si>
  <si>
    <t>FHL14DN01</t>
  </si>
  <si>
    <t>FHL14DN02</t>
  </si>
  <si>
    <t>FHL14DN03</t>
  </si>
  <si>
    <t>FHL14DN04</t>
  </si>
  <si>
    <t>FHL14HQ01</t>
  </si>
  <si>
    <t>FHL14HQ02</t>
  </si>
  <si>
    <t>FHL14HQ03</t>
  </si>
  <si>
    <t>FHL15DN01</t>
  </si>
  <si>
    <t>FHL15DNA1</t>
  </si>
  <si>
    <t>FHL15HQ01</t>
  </si>
  <si>
    <t>FHL15HQ02</t>
  </si>
  <si>
    <t>Sum of cum_df_pct</t>
  </si>
  <si>
    <t>Sum of pct_dq</t>
  </si>
  <si>
    <t>DealID</t>
  </si>
  <si>
    <t>beginDate</t>
  </si>
  <si>
    <t>CPR</t>
  </si>
  <si>
    <t>CDR</t>
  </si>
  <si>
    <t>pct_dq</t>
  </si>
  <si>
    <t>cum_pp_pct</t>
  </si>
  <si>
    <t>cum_df_pct</t>
  </si>
  <si>
    <t>FHL15DNA2</t>
  </si>
  <si>
    <t>Cumulative Default Rate %</t>
  </si>
  <si>
    <t>Delinquency %</t>
  </si>
  <si>
    <t>CurrentLoanCount</t>
  </si>
  <si>
    <t>CurrentBalance</t>
  </si>
  <si>
    <t>OriginalBalance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</si>
  <si>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</si>
  <si>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</si>
  <si>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</si>
  <si>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</si>
  <si>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</si>
  <si>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</si>
  <si>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</si>
  <si>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</si>
  <si>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</si>
  <si>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</si>
  <si>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</si>
  <si>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</si>
  <si>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</si>
  <si>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</si>
  <si>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</si>
  <si>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</si>
  <si>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</si>
  <si>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</si>
  <si>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</si>
  <si>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</si>
  <si>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</si>
  <si>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</si>
  <si>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</si>
  <si>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</si>
  <si>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</si>
  <si>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loanCount</t>
  </si>
  <si>
    <t>currentBalance</t>
  </si>
  <si>
    <t>prepaymentBalance</t>
  </si>
  <si>
    <t>defaultBalance</t>
  </si>
  <si>
    <t>cum_prepayment</t>
  </si>
  <si>
    <t>cum_default</t>
  </si>
  <si>
    <t>Cum Prepay %</t>
  </si>
  <si>
    <t>Cum Default %</t>
  </si>
  <si>
    <t>type</t>
  </si>
  <si>
    <t>period</t>
  </si>
  <si>
    <t>bucket</t>
  </si>
  <si>
    <t>bucket.val</t>
  </si>
  <si>
    <t>metric</t>
  </si>
  <si>
    <t>metric.val</t>
  </si>
  <si>
    <t>File</t>
  </si>
  <si>
    <t>Scenario</t>
  </si>
  <si>
    <t>Proj</t>
  </si>
  <si>
    <t>Period</t>
  </si>
  <si>
    <t>ALL</t>
  </si>
  <si>
    <t>Single Month Mortality</t>
  </si>
  <si>
    <t>Sev</t>
  </si>
  <si>
    <t>Monthly Default Rate</t>
  </si>
  <si>
    <t>Flat</t>
  </si>
  <si>
    <t>Base</t>
  </si>
  <si>
    <t>Grand Total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</si>
  <si>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</si>
  <si>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</si>
  <si>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</si>
  <si>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</si>
  <si>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</si>
  <si>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</si>
  <si>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</si>
  <si>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</si>
  <si>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</si>
  <si>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</si>
  <si>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</si>
  <si>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</si>
  <si>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</si>
  <si>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lateNPL</t>
  </si>
  <si>
    <t>2nd</t>
  </si>
  <si>
    <t>modified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</si>
  <si>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</si>
  <si>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</si>
  <si>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</si>
  <si>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</si>
  <si>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</si>
  <si>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</si>
  <si>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</si>
  <si>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</si>
  <si>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</si>
  <si>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</si>
  <si>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>Annualized</t>
  </si>
  <si>
    <t>Sum of Annualized</t>
  </si>
  <si>
    <t xml:space="preserve">Note: </t>
  </si>
  <si>
    <t xml:space="preserve">           Mortgage rate unchanged for the first year, then down 25 bps each year for 2 years, then unchanged for the following years</t>
  </si>
  <si>
    <t>CRT_STACR_2014-HQ1_2015-06-01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</si>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</sst>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B3275C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0" fontId="129" fillId="52" borderId="39" xfId="0" applyFont="1" applyFill="1" applyBorder="1" applyAlignment="1">
      <alignment horizontal="center"/>
    </xf>
    <xf numFmtId="0" fontId="7" fillId="53" borderId="39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56" borderId="39" xfId="0" applyFont="1" applyFill="1" applyBorder="1" applyAlignment="1">
      <alignment horizontal="center"/>
    </xf>
    <xf numFmtId="0" fontId="7" fillId="57" borderId="39" xfId="0" applyFont="1" applyFill="1" applyBorder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43" fontId="0" fillId="58" borderId="0" xfId="526" applyNumberFormat="1" applyFont="1" applyFill="1"/>
    <xf numFmtId="10" fontId="0" fillId="58" borderId="0" xfId="527" applyNumberFormat="1" applyFont="1" applyFill="1"/>
    <xf numFmtId="10" fontId="0" fillId="0" borderId="0" xfId="527" applyNumberFormat="1" applyFont="1"/>
    <xf numFmtId="14" fontId="0" fillId="0" borderId="0" xfId="0" applyNumberFormat="1"/>
    <xf numFmtId="43" fontId="0" fillId="0" borderId="0" xfId="526" applyNumberFormat="1" applyFont="1"/>
    <xf numFmtId="2" fontId="0" fillId="0" borderId="0" xfId="527" applyNumberFormat="1" applyFont="1"/>
    <xf numFmtId="2" fontId="0" fillId="60" borderId="0" xfId="527" applyNumberFormat="1" applyFont="1" applyFill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94" fontId="0" fillId="0" borderId="0" xfId="526" applyNumberFormat="1" applyFont="1"/>
    <xf numFmtId="195" fontId="0" fillId="0" borderId="0" xfId="526" applyNumberFormat="1" applyFont="1"/>
    <xf numFmtId="194" fontId="0" fillId="58" borderId="0" xfId="526" applyNumberFormat="1" applyFont="1" applyFill="1"/>
    <xf numFmtId="194" fontId="0" fillId="61" borderId="0" xfId="526" applyNumberFormat="1" applyFont="1" applyFill="1"/>
    <xf numFmtId="43" fontId="0" fillId="61" borderId="0" xfId="526" applyNumberFormat="1" applyFont="1" applyFill="1"/>
    <xf numFmtId="10" fontId="0" fillId="61" borderId="0" xfId="527" applyNumberFormat="1" applyFont="1" applyFill="1"/>
    <xf numFmtId="194" fontId="0" fillId="62" borderId="0" xfId="526" applyNumberFormat="1" applyFont="1" applyFill="1"/>
    <xf numFmtId="43" fontId="0" fillId="62" borderId="0" xfId="526" applyNumberFormat="1" applyFont="1" applyFill="1"/>
    <xf numFmtId="10" fontId="0" fillId="62" borderId="0" xfId="527" applyNumberFormat="1" applyFont="1" applyFill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60" borderId="0" xfId="0" applyFont="1" applyFill="1"/>
    <xf numFmtId="0" fontId="131" fillId="0" borderId="0" xfId="0" applyFont="1"/>
    <xf numFmtId="194" fontId="0" fillId="0" borderId="41" xfId="526" applyNumberFormat="1" applyFont="1" applyBorder="1"/>
    <xf numFmtId="10" fontId="0" fillId="0" borderId="41" xfId="527" applyNumberFormat="1" applyFont="1" applyBorder="1"/>
    <xf numFmtId="43" fontId="0" fillId="0" borderId="41" xfId="526" applyNumberFormat="1" applyFont="1" applyBorder="1"/>
    <xf numFmtId="195" fontId="0" fillId="0" borderId="41" xfId="526" applyNumberFormat="1" applyFont="1" applyBorder="1"/>
    <xf numFmtId="0" fontId="131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130" fillId="59" borderId="38" xfId="0" applyFont="1" applyFill="1" applyBorder="1" applyAlignment="1">
      <alignment horizontal="center" vertical="center"/>
    </xf>
    <xf numFmtId="0" fontId="130" fillId="51" borderId="38" xfId="0" applyFont="1" applyFill="1" applyBorder="1" applyAlignment="1">
      <alignment horizontal="center" vertical="center"/>
    </xf>
    <xf numFmtId="0" fontId="130" fillId="54" borderId="38" xfId="0" applyFont="1" applyFill="1" applyBorder="1" applyAlignment="1">
      <alignment horizontal="center" vertical="center"/>
    </xf>
    <xf numFmtId="0" fontId="130" fillId="55" borderId="38" xfId="0" applyFont="1" applyFill="1" applyBorder="1" applyAlignment="1">
      <alignment horizontal="center" vertical="center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10" fontId="0" fillId="60" borderId="0" xfId="527" applyNumberFormat="1" applyFont="1" applyFill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8"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Detail'!$S$1</c:f>
              <c:strCache>
                <c:ptCount val="1"/>
                <c:pt idx="0">
                  <c:v>Cum Prepay %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Detail'!$S$2:$S$25</c:f>
              <c:numCache>
                <c:formatCode>0.00</c:formatCode>
                <c:ptCount val="24"/>
                <c:pt idx="0">
                  <c:v>3.1199999999999997</c:v>
                </c:pt>
                <c:pt idx="1">
                  <c:v>4.3</c:v>
                </c:pt>
                <c:pt idx="2">
                  <c:v>6.18</c:v>
                </c:pt>
                <c:pt idx="3">
                  <c:v>8.09</c:v>
                </c:pt>
                <c:pt idx="4">
                  <c:v>9.67</c:v>
                </c:pt>
                <c:pt idx="5">
                  <c:v>12.97</c:v>
                </c:pt>
                <c:pt idx="6">
                  <c:v>16.54</c:v>
                </c:pt>
                <c:pt idx="7">
                  <c:v>18.7</c:v>
                </c:pt>
                <c:pt idx="8">
                  <c:v>20.77</c:v>
                </c:pt>
                <c:pt idx="9">
                  <c:v>22.759999999999998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909120"/>
        <c:axId val="259910656"/>
      </c:barChart>
      <c:lineChart>
        <c:grouping val="standard"/>
        <c:varyColors val="0"/>
        <c:ser>
          <c:idx val="0"/>
          <c:order val="0"/>
          <c:tx>
            <c:strRef>
              <c:f>'Deal Detail'!$Q$1</c:f>
              <c:strCache>
                <c:ptCount val="1"/>
                <c:pt idx="0">
                  <c:v>CPR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Detail'!$Q$2:$Q$25</c:f>
              <c:numCache>
                <c:formatCode>_(* #,##0.00_);_(* \(#,##0.00\);_(* "-"??_);_(@_)</c:formatCode>
                <c:ptCount val="24"/>
                <c:pt idx="0">
                  <c:v>26.836099999999998</c:v>
                </c:pt>
                <c:pt idx="1">
                  <c:v>11.3437</c:v>
                </c:pt>
                <c:pt idx="2">
                  <c:v>17.6995</c:v>
                </c:pt>
                <c:pt idx="3">
                  <c:v>18.272500000000001</c:v>
                </c:pt>
                <c:pt idx="4">
                  <c:v>15.596500000000001</c:v>
                </c:pt>
                <c:pt idx="5">
                  <c:v>30.398</c:v>
                </c:pt>
                <c:pt idx="6">
                  <c:v>33.429000000000002</c:v>
                </c:pt>
                <c:pt idx="7">
                  <c:v>22.344000000000001</c:v>
                </c:pt>
                <c:pt idx="8">
                  <c:v>21.953800000000001</c:v>
                </c:pt>
                <c:pt idx="9">
                  <c:v>21.616299999999999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Detail'!$R$1</c:f>
              <c:strCache>
                <c:ptCount val="1"/>
                <c:pt idx="0">
                  <c:v>cum_prepayment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Detail'!$R$2:$R$25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909120"/>
        <c:axId val="259910656"/>
      </c:lineChart>
      <c:dateAx>
        <c:axId val="259909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910656"/>
        <c:crosses val="autoZero"/>
        <c:auto val="1"/>
        <c:lblOffset val="100"/>
        <c:baseTimeUnit val="months"/>
        <c:majorUnit val="2"/>
        <c:majorTimeUnit val="months"/>
      </c:dateAx>
      <c:valAx>
        <c:axId val="25991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Prepayment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990912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'Deal Detail'!$X$1</c:f>
              <c:strCache>
                <c:ptCount val="1"/>
                <c:pt idx="0">
                  <c:v>Delinquency %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Detail'!$X$2:$X$25</c:f>
              <c:numCache>
                <c:formatCode>General</c:formatCode>
                <c:ptCount val="24"/>
                <c:pt idx="0">
                  <c:v>0.17774701574957899</c:v>
                </c:pt>
                <c:pt idx="1">
                  <c:v>0.26546245827528098</c:v>
                </c:pt>
                <c:pt idx="2">
                  <c:v>0.30729143052024899</c:v>
                </c:pt>
                <c:pt idx="3">
                  <c:v>0.35378818839678899</c:v>
                </c:pt>
                <c:pt idx="4">
                  <c:v>0.51635036194168704</c:v>
                </c:pt>
                <c:pt idx="5">
                  <c:v>0.426063121324534</c:v>
                </c:pt>
                <c:pt idx="6">
                  <c:v>0.53237138676784901</c:v>
                </c:pt>
                <c:pt idx="7">
                  <c:v>0.58858695835742603</c:v>
                </c:pt>
                <c:pt idx="8">
                  <c:v>0.42740795025214895</c:v>
                </c:pt>
                <c:pt idx="9">
                  <c:v>0.51322419447953493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271680"/>
        <c:axId val="257273216"/>
      </c:lineChart>
      <c:dateAx>
        <c:axId val="257271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7273216"/>
        <c:crosses val="autoZero"/>
        <c:auto val="1"/>
        <c:lblOffset val="100"/>
        <c:baseTimeUnit val="months"/>
        <c:majorUnit val="2"/>
        <c:majorTimeUnit val="months"/>
      </c:dateAx>
      <c:valAx>
        <c:axId val="25727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27168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Detail'!$W$1</c:f>
              <c:strCache>
                <c:ptCount val="1"/>
                <c:pt idx="0">
                  <c:v>Cum Default %</c:v>
                </c:pt>
              </c:strCache>
            </c:strRef>
          </c:tx>
          <c:spPr>
            <a:solidFill>
              <a:srgbClr val="B3275C">
                <a:alpha val="20000"/>
              </a:srgbClr>
            </a:solidFill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Detail'!$W$2:$W$25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0.02</c:v>
                </c:pt>
                <c:pt idx="6">
                  <c:v>0.03</c:v>
                </c:pt>
                <c:pt idx="7">
                  <c:v>0.04</c:v>
                </c:pt>
                <c:pt idx="8">
                  <c:v>0.06</c:v>
                </c:pt>
                <c:pt idx="9">
                  <c:v>6.9999999999999993E-2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660416"/>
        <c:axId val="259666304"/>
      </c:barChart>
      <c:lineChart>
        <c:grouping val="standard"/>
        <c:varyColors val="0"/>
        <c:ser>
          <c:idx val="0"/>
          <c:order val="0"/>
          <c:tx>
            <c:strRef>
              <c:f>'Deal Detail'!$U$1</c:f>
              <c:strCache>
                <c:ptCount val="1"/>
                <c:pt idx="0">
                  <c:v>CDR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Detail'!$U$2:$U$25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4.3099999999999999E-2</c:v>
                </c:pt>
                <c:pt idx="4">
                  <c:v>0.1948</c:v>
                </c:pt>
                <c:pt idx="5">
                  <c:v>0</c:v>
                </c:pt>
                <c:pt idx="6">
                  <c:v>0.1084</c:v>
                </c:pt>
                <c:pt idx="7">
                  <c:v>0.1807</c:v>
                </c:pt>
                <c:pt idx="8">
                  <c:v>0.22869999999999999</c:v>
                </c:pt>
                <c:pt idx="9">
                  <c:v>6.4899999999999999E-2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Detail'!$V$1</c:f>
              <c:strCache>
                <c:ptCount val="1"/>
                <c:pt idx="0">
                  <c:v>cum_default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Detail'!$V$2:$V$25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660416"/>
        <c:axId val="259666304"/>
      </c:lineChart>
      <c:dateAx>
        <c:axId val="259660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666304"/>
        <c:crosses val="autoZero"/>
        <c:auto val="1"/>
        <c:lblOffset val="100"/>
        <c:baseTimeUnit val="months"/>
        <c:majorUnit val="2"/>
        <c:majorTimeUnit val="months"/>
      </c:dateAx>
      <c:valAx>
        <c:axId val="25966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Default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6604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45215938916723E-2"/>
          <c:y val="4.535343008594514E-2"/>
          <c:w val="0.79484391155651002"/>
          <c:h val="0.75393346971334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'Deal Detail'!$N$1</c:f>
              <c:strCache>
                <c:ptCount val="1"/>
                <c:pt idx="0">
                  <c:v>loanCount</c:v>
                </c:pt>
              </c:strCache>
            </c:strRef>
          </c:tx>
          <c:spPr>
            <a:solidFill>
              <a:srgbClr val="C7732D">
                <a:alpha val="20000"/>
              </a:srgb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Detail'!$N$2:$N$25</c:f>
              <c:numCache>
                <c:formatCode>_(* #,##0_);_(* \(#,##0\);_(* "-"??_);_(@_)</c:formatCode>
                <c:ptCount val="24"/>
                <c:pt idx="0">
                  <c:v>45112</c:v>
                </c:pt>
                <c:pt idx="1">
                  <c:v>44147</c:v>
                </c:pt>
                <c:pt idx="2">
                  <c:v>43762</c:v>
                </c:pt>
                <c:pt idx="3">
                  <c:v>43202</c:v>
                </c:pt>
                <c:pt idx="4">
                  <c:v>42618</c:v>
                </c:pt>
                <c:pt idx="5">
                  <c:v>42132</c:v>
                </c:pt>
                <c:pt idx="6">
                  <c:v>41141</c:v>
                </c:pt>
                <c:pt idx="7">
                  <c:v>40029</c:v>
                </c:pt>
                <c:pt idx="8">
                  <c:v>39324</c:v>
                </c:pt>
                <c:pt idx="9">
                  <c:v>38647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684224"/>
        <c:axId val="259685760"/>
      </c:barChart>
      <c:lineChart>
        <c:grouping val="standard"/>
        <c:varyColors val="0"/>
        <c:ser>
          <c:idx val="1"/>
          <c:order val="1"/>
          <c:tx>
            <c:strRef>
              <c:f>'Deal Detail'!$O$1</c:f>
              <c:strCache>
                <c:ptCount val="1"/>
                <c:pt idx="0">
                  <c:v>currentBalance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41852</c:v>
                </c:pt>
                <c:pt idx="1">
                  <c:v>41883</c:v>
                </c:pt>
                <c:pt idx="2">
                  <c:v>41913</c:v>
                </c:pt>
                <c:pt idx="3">
                  <c:v>41944</c:v>
                </c:pt>
                <c:pt idx="4">
                  <c:v>41974</c:v>
                </c:pt>
                <c:pt idx="5">
                  <c:v>42005</c:v>
                </c:pt>
                <c:pt idx="6">
                  <c:v>42036</c:v>
                </c:pt>
                <c:pt idx="7">
                  <c:v>42064</c:v>
                </c:pt>
                <c:pt idx="8">
                  <c:v>42095</c:v>
                </c:pt>
                <c:pt idx="9">
                  <c:v>42125</c:v>
                </c:pt>
              </c:numCache>
            </c:numRef>
          </c:cat>
          <c:val>
            <c:numRef>
              <c:f>'Deal Detail'!$O$2:$O$25</c:f>
              <c:numCache>
                <c:formatCode>_(* #,##0_);_(* \(#,##0\);_(* "-"??_);_(@_)</c:formatCode>
                <c:ptCount val="24"/>
                <c:pt idx="0">
                  <c:v>9940429900.0400009</c:v>
                </c:pt>
                <c:pt idx="1">
                  <c:v>9668617060.4899998</c:v>
                </c:pt>
                <c:pt idx="2">
                  <c:v>9556067688.0200005</c:v>
                </c:pt>
                <c:pt idx="3">
                  <c:v>9385514861.4400005</c:v>
                </c:pt>
                <c:pt idx="4">
                  <c:v>9212632603.0100002</c:v>
                </c:pt>
                <c:pt idx="5">
                  <c:v>9066975658.4200001</c:v>
                </c:pt>
                <c:pt idx="6">
                  <c:v>8782262327.0300007</c:v>
                </c:pt>
                <c:pt idx="7">
                  <c:v>8474595278.0200005</c:v>
                </c:pt>
                <c:pt idx="8">
                  <c:v>8281394201.75</c:v>
                </c:pt>
                <c:pt idx="9">
                  <c:v>8096216510.6300001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15456"/>
        <c:axId val="259696512"/>
      </c:lineChart>
      <c:dateAx>
        <c:axId val="259684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685760"/>
        <c:crosses val="autoZero"/>
        <c:auto val="1"/>
        <c:lblOffset val="100"/>
        <c:baseTimeUnit val="months"/>
        <c:majorUnit val="2"/>
        <c:majorTimeUnit val="months"/>
      </c:dateAx>
      <c:valAx>
        <c:axId val="25968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Loan Count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59684224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2596965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</a:t>
                </a:r>
              </a:p>
            </c:rich>
          </c:tx>
          <c:layout/>
          <c:overlay val="0"/>
        </c:title>
        <c:numFmt formatCode="&quot;$&quot;#,##0" sourceLinked="0"/>
        <c:majorTickMark val="out"/>
        <c:minorTickMark val="none"/>
        <c:tickLblPos val="nextTo"/>
        <c:crossAx val="259715456"/>
        <c:crosses val="max"/>
        <c:crossBetween val="between"/>
        <c:dispUnits>
          <c:builtInUnit val="billions"/>
          <c:dispUnitsLbl>
            <c:layout/>
          </c:dispUnitsLbl>
        </c:dispUnits>
      </c:valAx>
      <c:dateAx>
        <c:axId val="2597154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59696512"/>
        <c:crosses val="autoZero"/>
        <c:auto val="1"/>
        <c:lblOffset val="100"/>
        <c:baseTimeUnit val="month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 FHL14HQ01.xlsm]Projection!PivotTable2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Projection!$N$3:$N$4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Projection!$N$5:$N$77</c:f>
              <c:numCache>
                <c:formatCode>General</c:formatCode>
                <c:ptCount val="72"/>
                <c:pt idx="0">
                  <c:v>0.21931694406223112</c:v>
                </c:pt>
                <c:pt idx="1">
                  <c:v>0.20227033875198641</c:v>
                </c:pt>
                <c:pt idx="2">
                  <c:v>0.27104598330088825</c:v>
                </c:pt>
                <c:pt idx="3">
                  <c:v>0.38400572084148488</c:v>
                </c:pt>
                <c:pt idx="4">
                  <c:v>0.43202956039877227</c:v>
                </c:pt>
                <c:pt idx="5">
                  <c:v>0.54325899358168561</c:v>
                </c:pt>
                <c:pt idx="6">
                  <c:v>0.54237775776263542</c:v>
                </c:pt>
                <c:pt idx="7">
                  <c:v>0.63501860838225399</c:v>
                </c:pt>
                <c:pt idx="8">
                  <c:v>0.75172589667777956</c:v>
                </c:pt>
                <c:pt idx="9">
                  <c:v>0.7553471709698778</c:v>
                </c:pt>
                <c:pt idx="10">
                  <c:v>0.78333158092663835</c:v>
                </c:pt>
                <c:pt idx="11">
                  <c:v>0.84270501640925088</c:v>
                </c:pt>
                <c:pt idx="12">
                  <c:v>0.78213025344227027</c:v>
                </c:pt>
                <c:pt idx="13">
                  <c:v>0.91357304663012284</c:v>
                </c:pt>
                <c:pt idx="14">
                  <c:v>0.84557964255909113</c:v>
                </c:pt>
                <c:pt idx="15">
                  <c:v>0.8551884173035651</c:v>
                </c:pt>
                <c:pt idx="16">
                  <c:v>0.86371263612897708</c:v>
                </c:pt>
                <c:pt idx="17">
                  <c:v>0.87145333411883241</c:v>
                </c:pt>
                <c:pt idx="18">
                  <c:v>0.83693447993159475</c:v>
                </c:pt>
                <c:pt idx="19">
                  <c:v>0.80131853544900267</c:v>
                </c:pt>
                <c:pt idx="20">
                  <c:v>0.97622264565853101</c:v>
                </c:pt>
                <c:pt idx="21">
                  <c:v>0.81256589894710407</c:v>
                </c:pt>
                <c:pt idx="22">
                  <c:v>0.94639949321633221</c:v>
                </c:pt>
                <c:pt idx="23">
                  <c:v>0.95225691353484354</c:v>
                </c:pt>
                <c:pt idx="24">
                  <c:v>0.87117205971967149</c:v>
                </c:pt>
                <c:pt idx="25">
                  <c:v>1.006947836040728</c:v>
                </c:pt>
                <c:pt idx="26">
                  <c:v>0.88093586127221402</c:v>
                </c:pt>
                <c:pt idx="27">
                  <c:v>0.97374017923576028</c:v>
                </c:pt>
                <c:pt idx="28">
                  <c:v>0.92967084382857834</c:v>
                </c:pt>
                <c:pt idx="29">
                  <c:v>0.85981762879705492</c:v>
                </c:pt>
                <c:pt idx="30">
                  <c:v>0.88832143557915355</c:v>
                </c:pt>
                <c:pt idx="31">
                  <c:v>0.78027661511823609</c:v>
                </c:pt>
                <c:pt idx="32">
                  <c:v>0.83102039757467772</c:v>
                </c:pt>
                <c:pt idx="33">
                  <c:v>0.80201529413774786</c:v>
                </c:pt>
                <c:pt idx="34">
                  <c:v>0.815016918271394</c:v>
                </c:pt>
                <c:pt idx="35">
                  <c:v>0.75977404126570391</c:v>
                </c:pt>
                <c:pt idx="36">
                  <c:v>0.74637187338421063</c:v>
                </c:pt>
                <c:pt idx="37">
                  <c:v>0.80682101915653393</c:v>
                </c:pt>
                <c:pt idx="38">
                  <c:v>0.6610411887695733</c:v>
                </c:pt>
                <c:pt idx="39">
                  <c:v>0.79492911973901847</c:v>
                </c:pt>
                <c:pt idx="40">
                  <c:v>0.7232080899434612</c:v>
                </c:pt>
                <c:pt idx="41">
                  <c:v>0.68719865119369894</c:v>
                </c:pt>
                <c:pt idx="42">
                  <c:v>0.72041051102031961</c:v>
                </c:pt>
                <c:pt idx="43">
                  <c:v>0.65151477274619785</c:v>
                </c:pt>
                <c:pt idx="44">
                  <c:v>0.71965258602302296</c:v>
                </c:pt>
                <c:pt idx="45">
                  <c:v>0.71964801272755841</c:v>
                </c:pt>
                <c:pt idx="46">
                  <c:v>0.75393193100113942</c:v>
                </c:pt>
                <c:pt idx="47">
                  <c:v>0.68580467429028014</c:v>
                </c:pt>
                <c:pt idx="48">
                  <c:v>0.75440642318070905</c:v>
                </c:pt>
                <c:pt idx="49">
                  <c:v>0.75468281587934838</c:v>
                </c:pt>
                <c:pt idx="50">
                  <c:v>0.68654313172272774</c:v>
                </c:pt>
                <c:pt idx="51">
                  <c:v>0.78942806699214829</c:v>
                </c:pt>
                <c:pt idx="52">
                  <c:v>0.68700795237254253</c:v>
                </c:pt>
                <c:pt idx="53">
                  <c:v>0.72145669003668145</c:v>
                </c:pt>
                <c:pt idx="54">
                  <c:v>0.72164335191861051</c:v>
                </c:pt>
                <c:pt idx="55">
                  <c:v>0.65326608486593329</c:v>
                </c:pt>
                <c:pt idx="56">
                  <c:v>0.75619281737817623</c:v>
                </c:pt>
                <c:pt idx="57">
                  <c:v>0.72203781842417047</c:v>
                </c:pt>
                <c:pt idx="58">
                  <c:v>0.68783540710596336</c:v>
                </c:pt>
                <c:pt idx="59">
                  <c:v>0.75642956625491253</c:v>
                </c:pt>
                <c:pt idx="60">
                  <c:v>0.75645067128086163</c:v>
                </c:pt>
                <c:pt idx="61">
                  <c:v>0.72217410341043342</c:v>
                </c:pt>
                <c:pt idx="62">
                  <c:v>0.72214147284394015</c:v>
                </c:pt>
                <c:pt idx="63">
                  <c:v>0.75634886437067061</c:v>
                </c:pt>
                <c:pt idx="64">
                  <c:v>0.68772841247731753</c:v>
                </c:pt>
                <c:pt idx="65">
                  <c:v>0.75615051706655612</c:v>
                </c:pt>
                <c:pt idx="66">
                  <c:v>0.65323097556633236</c:v>
                </c:pt>
                <c:pt idx="67">
                  <c:v>0.65309286259492838</c:v>
                </c:pt>
                <c:pt idx="68">
                  <c:v>0.78989594832442611</c:v>
                </c:pt>
                <c:pt idx="69">
                  <c:v>0.72124139590755698</c:v>
                </c:pt>
                <c:pt idx="70">
                  <c:v>0.68679895747899566</c:v>
                </c:pt>
                <c:pt idx="71">
                  <c:v>0.75499312996643031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Projection!$O$3:$O$4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Projection!$O$5:$O$77</c:f>
              <c:numCache>
                <c:formatCode>General</c:formatCode>
                <c:ptCount val="72"/>
                <c:pt idx="0">
                  <c:v>0.21941046544478038</c:v>
                </c:pt>
                <c:pt idx="1">
                  <c:v>0.2026333660513191</c:v>
                </c:pt>
                <c:pt idx="2">
                  <c:v>0.27244338055614215</c:v>
                </c:pt>
                <c:pt idx="3">
                  <c:v>0.38799317996258686</c:v>
                </c:pt>
                <c:pt idx="4">
                  <c:v>0.43919720061129652</c:v>
                </c:pt>
                <c:pt idx="5">
                  <c:v>0.5557917509442678</c:v>
                </c:pt>
                <c:pt idx="6">
                  <c:v>0.55885266568163061</c:v>
                </c:pt>
                <c:pt idx="7">
                  <c:v>0.6589281346040754</c:v>
                </c:pt>
                <c:pt idx="8">
                  <c:v>0.78559269959878053</c:v>
                </c:pt>
                <c:pt idx="9">
                  <c:v>0.79517300986804429</c:v>
                </c:pt>
                <c:pt idx="10">
                  <c:v>0.83085708157729643</c:v>
                </c:pt>
                <c:pt idx="11">
                  <c:v>0.9007360738307213</c:v>
                </c:pt>
                <c:pt idx="12">
                  <c:v>0.84260079365073848</c:v>
                </c:pt>
                <c:pt idx="13">
                  <c:v>0.99201895470498735</c:v>
                </c:pt>
                <c:pt idx="14">
                  <c:v>0.92560585614477331</c:v>
                </c:pt>
                <c:pt idx="15">
                  <c:v>0.94368826157221752</c:v>
                </c:pt>
                <c:pt idx="16">
                  <c:v>0.96080337581667674</c:v>
                </c:pt>
                <c:pt idx="17">
                  <c:v>0.97724444131678245</c:v>
                </c:pt>
                <c:pt idx="18">
                  <c:v>0.94611674035528504</c:v>
                </c:pt>
                <c:pt idx="19">
                  <c:v>0.91314458261750886</c:v>
                </c:pt>
                <c:pt idx="20">
                  <c:v>1.1212050399533546</c:v>
                </c:pt>
                <c:pt idx="21">
                  <c:v>0.94075796356556385</c:v>
                </c:pt>
                <c:pt idx="22">
                  <c:v>1.1042362717724408</c:v>
                </c:pt>
                <c:pt idx="23">
                  <c:v>1.1197685598659857</c:v>
                </c:pt>
                <c:pt idx="24">
                  <c:v>1.0324626809215087</c:v>
                </c:pt>
                <c:pt idx="25">
                  <c:v>1.2024555072282062</c:v>
                </c:pt>
                <c:pt idx="26">
                  <c:v>1.0601741591089175</c:v>
                </c:pt>
                <c:pt idx="27">
                  <c:v>1.1806874598234929</c:v>
                </c:pt>
                <c:pt idx="28">
                  <c:v>1.1362404635746448</c:v>
                </c:pt>
                <c:pt idx="29">
                  <c:v>1.0586748979100835</c:v>
                </c:pt>
                <c:pt idx="30">
                  <c:v>1.1029413519918152</c:v>
                </c:pt>
                <c:pt idx="31">
                  <c:v>0.97720824949574236</c:v>
                </c:pt>
                <c:pt idx="32">
                  <c:v>1.0494926681259065</c:v>
                </c:pt>
                <c:pt idx="33">
                  <c:v>1.0213283753120361</c:v>
                </c:pt>
                <c:pt idx="34">
                  <c:v>1.0463876715449572</c:v>
                </c:pt>
                <c:pt idx="35">
                  <c:v>0.98343912574744285</c:v>
                </c:pt>
                <c:pt idx="36">
                  <c:v>0.97383521167203613</c:v>
                </c:pt>
                <c:pt idx="37">
                  <c:v>1.0609163620871165</c:v>
                </c:pt>
                <c:pt idx="38">
                  <c:v>0.87617747021173642</c:v>
                </c:pt>
                <c:pt idx="39">
                  <c:v>1.06151194239823</c:v>
                </c:pt>
                <c:pt idx="40">
                  <c:v>0.97317122317931437</c:v>
                </c:pt>
                <c:pt idx="41">
                  <c:v>0.93170432476866738</c:v>
                </c:pt>
                <c:pt idx="42">
                  <c:v>0.98392689462954985</c:v>
                </c:pt>
                <c:pt idx="43">
                  <c:v>0.89647791409127597</c:v>
                </c:pt>
                <c:pt idx="44">
                  <c:v>0.99733220553764879</c:v>
                </c:pt>
                <c:pt idx="45">
                  <c:v>1.0045347154111761</c:v>
                </c:pt>
                <c:pt idx="46">
                  <c:v>1.0598720340473933</c:v>
                </c:pt>
                <c:pt idx="47">
                  <c:v>0.97109211115338212</c:v>
                </c:pt>
                <c:pt idx="48">
                  <c:v>1.0756447115302881</c:v>
                </c:pt>
                <c:pt idx="49">
                  <c:v>1.0835986433171407</c:v>
                </c:pt>
                <c:pt idx="50">
                  <c:v>0.99278282754902136</c:v>
                </c:pt>
                <c:pt idx="51">
                  <c:v>1.1492342008615264</c:v>
                </c:pt>
                <c:pt idx="52">
                  <c:v>1.0072493781044023</c:v>
                </c:pt>
                <c:pt idx="53">
                  <c:v>1.0649268858864303</c:v>
                </c:pt>
                <c:pt idx="54">
                  <c:v>1.0724588661672363</c:v>
                </c:pt>
                <c:pt idx="55">
                  <c:v>0.97756889504512223</c:v>
                </c:pt>
                <c:pt idx="56">
                  <c:v>1.138937946714691</c:v>
                </c:pt>
                <c:pt idx="57">
                  <c:v>1.0948599281443983</c:v>
                </c:pt>
                <c:pt idx="58">
                  <c:v>1.0500224053698104</c:v>
                </c:pt>
                <c:pt idx="59">
                  <c:v>1.1621749408223914</c:v>
                </c:pt>
                <c:pt idx="60">
                  <c:v>1.1698450539191163</c:v>
                </c:pt>
                <c:pt idx="61">
                  <c:v>1.1242322978181507</c:v>
                </c:pt>
                <c:pt idx="62">
                  <c:v>1.131484581439357</c:v>
                </c:pt>
                <c:pt idx="63">
                  <c:v>1.1926267311641148</c:v>
                </c:pt>
                <c:pt idx="64">
                  <c:v>1.0915886996446744</c:v>
                </c:pt>
                <c:pt idx="65">
                  <c:v>1.2076247522498917</c:v>
                </c:pt>
                <c:pt idx="66">
                  <c:v>1.0501771078394451</c:v>
                </c:pt>
                <c:pt idx="67">
                  <c:v>1.0565822920928669</c:v>
                </c:pt>
                <c:pt idx="68">
                  <c:v>1.2854114436713804</c:v>
                </c:pt>
                <c:pt idx="69">
                  <c:v>1.1812422132480349</c:v>
                </c:pt>
                <c:pt idx="70">
                  <c:v>1.1319219874726949</c:v>
                </c:pt>
                <c:pt idx="71">
                  <c:v>1.2517235386696024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Projection!$P$3:$P$4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Projection!$P$5:$P$77</c:f>
              <c:numCache>
                <c:formatCode>General</c:formatCode>
                <c:ptCount val="72"/>
                <c:pt idx="0">
                  <c:v>0.21982007107242962</c:v>
                </c:pt>
                <c:pt idx="1">
                  <c:v>0.20423571571628329</c:v>
                </c:pt>
                <c:pt idx="2">
                  <c:v>0.27870973558609125</c:v>
                </c:pt>
                <c:pt idx="3">
                  <c:v>0.40629083136670685</c:v>
                </c:pt>
                <c:pt idx="4">
                  <c:v>0.47295118520509494</c:v>
                </c:pt>
                <c:pt idx="5">
                  <c:v>0.61638534084842433</c:v>
                </c:pt>
                <c:pt idx="6">
                  <c:v>0.6408306333578917</c:v>
                </c:pt>
                <c:pt idx="7">
                  <c:v>0.78128606435595715</c:v>
                </c:pt>
                <c:pt idx="8">
                  <c:v>0.96400324896553924</c:v>
                </c:pt>
                <c:pt idx="9">
                  <c:v>1.0114937473253427</c:v>
                </c:pt>
                <c:pt idx="10">
                  <c:v>1.097399155878731</c:v>
                </c:pt>
                <c:pt idx="11">
                  <c:v>1.2371961452816493</c:v>
                </c:pt>
                <c:pt idx="12">
                  <c:v>1.2055561095942191</c:v>
                </c:pt>
                <c:pt idx="13">
                  <c:v>1.480035362697385</c:v>
                </c:pt>
                <c:pt idx="14">
                  <c:v>1.4426972617029632</c:v>
                </c:pt>
                <c:pt idx="15">
                  <c:v>1.5388991227464954</c:v>
                </c:pt>
                <c:pt idx="16">
                  <c:v>1.6420240082131832</c:v>
                </c:pt>
                <c:pt idx="17">
                  <c:v>1.752993708752415</c:v>
                </c:pt>
                <c:pt idx="18">
                  <c:v>1.7841202282703694</c:v>
                </c:pt>
                <c:pt idx="19">
                  <c:v>1.812393559625658</c:v>
                </c:pt>
                <c:pt idx="20">
                  <c:v>2.3419114365986538</c:v>
                </c:pt>
                <c:pt idx="21">
                  <c:v>2.0739555755903916</c:v>
                </c:pt>
                <c:pt idx="22">
                  <c:v>2.5666509921602243</c:v>
                </c:pt>
                <c:pt idx="23">
                  <c:v>2.7487209933322321</c:v>
                </c:pt>
                <c:pt idx="24">
                  <c:v>2.6731815396692005</c:v>
                </c:pt>
                <c:pt idx="25">
                  <c:v>3.2620755440001425</c:v>
                </c:pt>
                <c:pt idx="26">
                  <c:v>3.0042859779413233</c:v>
                </c:pt>
                <c:pt idx="27">
                  <c:v>3.4601546683331375</c:v>
                </c:pt>
                <c:pt idx="28">
                  <c:v>3.4278598184743769</c:v>
                </c:pt>
                <c:pt idx="29">
                  <c:v>3.2600992848056176</c:v>
                </c:pt>
                <c:pt idx="30">
                  <c:v>3.4614719106316083</c:v>
                </c:pt>
                <c:pt idx="31">
                  <c:v>3.113737217852941</c:v>
                </c:pt>
                <c:pt idx="32">
                  <c:v>3.3725902034178246</c:v>
                </c:pt>
                <c:pt idx="33">
                  <c:v>3.3033850124137509</c:v>
                </c:pt>
                <c:pt idx="34">
                  <c:v>3.3983791383955575</c:v>
                </c:pt>
                <c:pt idx="35">
                  <c:v>3.2069028410266265</c:v>
                </c:pt>
                <c:pt idx="36">
                  <c:v>3.1850385252375268</c:v>
                </c:pt>
                <c:pt idx="37">
                  <c:v>3.4750282392168819</c:v>
                </c:pt>
                <c:pt idx="38">
                  <c:v>2.8815665657127232</c:v>
                </c:pt>
                <c:pt idx="39">
                  <c:v>3.4900750020789073</c:v>
                </c:pt>
                <c:pt idx="40">
                  <c:v>3.2068005135942101</c:v>
                </c:pt>
                <c:pt idx="41">
                  <c:v>3.0744032978970548</c:v>
                </c:pt>
                <c:pt idx="42">
                  <c:v>3.2469733328971295</c:v>
                </c:pt>
                <c:pt idx="43">
                  <c:v>2.9623554473762748</c:v>
                </c:pt>
                <c:pt idx="44">
                  <c:v>3.2927453088180569</c:v>
                </c:pt>
                <c:pt idx="45">
                  <c:v>3.3164892435850857</c:v>
                </c:pt>
                <c:pt idx="46">
                  <c:v>3.4969414664465681</c:v>
                </c:pt>
                <c:pt idx="47">
                  <c:v>3.2066526957700403</c:v>
                </c:pt>
                <c:pt idx="48">
                  <c:v>3.5471726031130357</c:v>
                </c:pt>
                <c:pt idx="49">
                  <c:v>3.5721550390970802</c:v>
                </c:pt>
                <c:pt idx="50">
                  <c:v>3.2749499341005905</c:v>
                </c:pt>
                <c:pt idx="51">
                  <c:v>3.7833346062255413</c:v>
                </c:pt>
                <c:pt idx="52">
                  <c:v>3.3196813512418544</c:v>
                </c:pt>
                <c:pt idx="53">
                  <c:v>3.5061173041672999</c:v>
                </c:pt>
                <c:pt idx="54">
                  <c:v>3.5290323111077826</c:v>
                </c:pt>
                <c:pt idx="55">
                  <c:v>3.2185162823340163</c:v>
                </c:pt>
                <c:pt idx="56">
                  <c:v>3.7414314920027669</c:v>
                </c:pt>
                <c:pt idx="57">
                  <c:v>3.5964304848043693</c:v>
                </c:pt>
                <c:pt idx="58">
                  <c:v>3.4488983631075887</c:v>
                </c:pt>
                <c:pt idx="59">
                  <c:v>3.8105139841085767</c:v>
                </c:pt>
                <c:pt idx="60">
                  <c:v>3.8330746395700444</c:v>
                </c:pt>
                <c:pt idx="61">
                  <c:v>3.6831588177966168</c:v>
                </c:pt>
                <c:pt idx="62">
                  <c:v>3.7042913843048475</c:v>
                </c:pt>
                <c:pt idx="63">
                  <c:v>3.8993844369017538</c:v>
                </c:pt>
                <c:pt idx="64">
                  <c:v>3.5704939659594648</c:v>
                </c:pt>
                <c:pt idx="65">
                  <c:v>3.9424711355044995</c:v>
                </c:pt>
                <c:pt idx="66">
                  <c:v>3.4318006388347477</c:v>
                </c:pt>
                <c:pt idx="67">
                  <c:v>3.4500283957567768</c:v>
                </c:pt>
                <c:pt idx="68">
                  <c:v>4.1839930880401948</c:v>
                </c:pt>
                <c:pt idx="69">
                  <c:v>3.8463160350240444</c:v>
                </c:pt>
                <c:pt idx="70">
                  <c:v>3.6848569503883599</c:v>
                </c:pt>
                <c:pt idx="71">
                  <c:v>4.0665713829608379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944256"/>
        <c:axId val="260945792"/>
      </c:lineChart>
      <c:catAx>
        <c:axId val="26094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6094579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6094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94425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 FHL14HQ01.xlsm]Projection!PivotTable5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Projection!$U$3:$U$4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Projection!$U$5:$U$77</c:f>
              <c:numCache>
                <c:formatCode>General</c:formatCode>
                <c:ptCount val="72"/>
                <c:pt idx="0">
                  <c:v>19.444740225117808</c:v>
                </c:pt>
                <c:pt idx="1">
                  <c:v>18.675956084518162</c:v>
                </c:pt>
                <c:pt idx="2">
                  <c:v>18.706277001745143</c:v>
                </c:pt>
                <c:pt idx="3">
                  <c:v>19.543230987419669</c:v>
                </c:pt>
                <c:pt idx="4">
                  <c:v>16.705570211292265</c:v>
                </c:pt>
                <c:pt idx="5">
                  <c:v>18.26167640078048</c:v>
                </c:pt>
                <c:pt idx="6">
                  <c:v>15.998226030136365</c:v>
                </c:pt>
                <c:pt idx="7">
                  <c:v>16.805983844829598</c:v>
                </c:pt>
                <c:pt idx="8">
                  <c:v>18.373849037586087</c:v>
                </c:pt>
                <c:pt idx="9">
                  <c:v>17.648445227843801</c:v>
                </c:pt>
                <c:pt idx="10">
                  <c:v>17.686300867123517</c:v>
                </c:pt>
                <c:pt idx="11">
                  <c:v>18.491647416024094</c:v>
                </c:pt>
                <c:pt idx="12">
                  <c:v>16.987028821633032</c:v>
                </c:pt>
                <c:pt idx="13">
                  <c:v>19.334457679442295</c:v>
                </c:pt>
                <c:pt idx="14">
                  <c:v>17.838645611799375</c:v>
                </c:pt>
                <c:pt idx="15">
                  <c:v>17.876641005663295</c:v>
                </c:pt>
                <c:pt idx="16">
                  <c:v>17.914537347006011</c:v>
                </c:pt>
                <c:pt idx="17">
                  <c:v>17.952320468055284</c:v>
                </c:pt>
                <c:pt idx="18">
                  <c:v>17.205606454085419</c:v>
                </c:pt>
                <c:pt idx="19">
                  <c:v>16.448916241076418</c:v>
                </c:pt>
                <c:pt idx="20">
                  <c:v>19.618976022708257</c:v>
                </c:pt>
                <c:pt idx="21">
                  <c:v>16.517663801334713</c:v>
                </c:pt>
                <c:pt idx="22">
                  <c:v>18.922606995089918</c:v>
                </c:pt>
                <c:pt idx="23">
                  <c:v>18.961018638561178</c:v>
                </c:pt>
                <c:pt idx="24">
                  <c:v>17.420022513639179</c:v>
                </c:pt>
                <c:pt idx="25">
                  <c:v>19.817996093824785</c:v>
                </c:pt>
                <c:pt idx="26">
                  <c:v>17.490444916626359</c:v>
                </c:pt>
                <c:pt idx="27">
                  <c:v>19.113148572143324</c:v>
                </c:pt>
                <c:pt idx="28">
                  <c:v>16.696246394199711</c:v>
                </c:pt>
                <c:pt idx="29">
                  <c:v>16.001557266851307</c:v>
                </c:pt>
                <c:pt idx="30">
                  <c:v>16.776134413442044</c:v>
                </c:pt>
                <c:pt idx="31">
                  <c:v>15.333469351511631</c:v>
                </c:pt>
                <c:pt idx="32">
                  <c:v>16.853374352320539</c:v>
                </c:pt>
                <c:pt idx="33">
                  <c:v>16.89061051475732</c:v>
                </c:pt>
                <c:pt idx="34">
                  <c:v>17.663370536353018</c:v>
                </c:pt>
                <c:pt idx="35">
                  <c:v>16.962873405051791</c:v>
                </c:pt>
                <c:pt idx="36">
                  <c:v>16.998171230670479</c:v>
                </c:pt>
                <c:pt idx="37">
                  <c:v>18.507898026225167</c:v>
                </c:pt>
                <c:pt idx="38">
                  <c:v>15.565581300943411</c:v>
                </c:pt>
                <c:pt idx="39">
                  <c:v>18.582076856270124</c:v>
                </c:pt>
                <c:pt idx="40">
                  <c:v>17.1359805642056</c:v>
                </c:pt>
                <c:pt idx="41">
                  <c:v>16.4178584443878</c:v>
                </c:pt>
                <c:pt idx="42">
                  <c:v>17.203545604539428</c:v>
                </c:pt>
                <c:pt idx="43">
                  <c:v>15.721458892790697</c:v>
                </c:pt>
                <c:pt idx="44">
                  <c:v>17.270467546931279</c:v>
                </c:pt>
                <c:pt idx="45">
                  <c:v>17.303712214943857</c:v>
                </c:pt>
                <c:pt idx="46">
                  <c:v>18.089104710287764</c:v>
                </c:pt>
                <c:pt idx="47">
                  <c:v>16.609876897112418</c:v>
                </c:pt>
                <c:pt idx="48">
                  <c:v>18.157482797737103</c:v>
                </c:pt>
                <c:pt idx="49">
                  <c:v>18.191470134279474</c:v>
                </c:pt>
                <c:pt idx="50">
                  <c:v>16.704145444496767</c:v>
                </c:pt>
                <c:pt idx="51">
                  <c:v>19.011286204183008</c:v>
                </c:pt>
                <c:pt idx="52">
                  <c:v>16.766388347487961</c:v>
                </c:pt>
                <c:pt idx="53">
                  <c:v>17.56496806809087</c:v>
                </c:pt>
                <c:pt idx="54">
                  <c:v>17.597060508443075</c:v>
                </c:pt>
                <c:pt idx="55">
                  <c:v>16.082103561203777</c:v>
                </c:pt>
                <c:pt idx="56">
                  <c:v>18.42573056181881</c:v>
                </c:pt>
                <c:pt idx="57">
                  <c:v>17.692602807850388</c:v>
                </c:pt>
                <c:pt idx="58">
                  <c:v>16.95028809988851</c:v>
                </c:pt>
                <c:pt idx="59">
                  <c:v>18.524209106726087</c:v>
                </c:pt>
                <c:pt idx="60">
                  <c:v>18.556783017648026</c:v>
                </c:pt>
                <c:pt idx="61">
                  <c:v>17.818294008138068</c:v>
                </c:pt>
                <c:pt idx="62">
                  <c:v>17.849416161938091</c:v>
                </c:pt>
                <c:pt idx="63">
                  <c:v>18.653753641355941</c:v>
                </c:pt>
                <c:pt idx="64">
                  <c:v>17.130019212369163</c:v>
                </c:pt>
                <c:pt idx="65">
                  <c:v>18.717778685052554</c:v>
                </c:pt>
                <c:pt idx="66">
                  <c:v>16.398462430869966</c:v>
                </c:pt>
                <c:pt idx="67">
                  <c:v>16.426569177424522</c:v>
                </c:pt>
                <c:pt idx="68">
                  <c:v>19.585333331513965</c:v>
                </c:pt>
                <c:pt idx="69">
                  <c:v>18.063945030580598</c:v>
                </c:pt>
                <c:pt idx="70">
                  <c:v>17.305659400663043</c:v>
                </c:pt>
                <c:pt idx="71">
                  <c:v>18.906900819437965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Projection!$V$3:$V$4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Projection!$V$5:$V$77</c:f>
              <c:numCache>
                <c:formatCode>General</c:formatCode>
                <c:ptCount val="72"/>
                <c:pt idx="0">
                  <c:v>19.395251141750457</c:v>
                </c:pt>
                <c:pt idx="1">
                  <c:v>18.580669684624763</c:v>
                </c:pt>
                <c:pt idx="2">
                  <c:v>18.563510964133943</c:v>
                </c:pt>
                <c:pt idx="3">
                  <c:v>19.345865713215581</c:v>
                </c:pt>
                <c:pt idx="4">
                  <c:v>16.49177769929754</c:v>
                </c:pt>
                <c:pt idx="5">
                  <c:v>17.984548811258559</c:v>
                </c:pt>
                <c:pt idx="6">
                  <c:v>15.712261054570309</c:v>
                </c:pt>
                <c:pt idx="7">
                  <c:v>16.465314317753698</c:v>
                </c:pt>
                <c:pt idx="8">
                  <c:v>17.959907711332967</c:v>
                </c:pt>
                <c:pt idx="9">
                  <c:v>17.206371629172512</c:v>
                </c:pt>
                <c:pt idx="10">
                  <c:v>17.200776322616019</c:v>
                </c:pt>
                <c:pt idx="11">
                  <c:v>17.942308208807589</c:v>
                </c:pt>
                <c:pt idx="12">
                  <c:v>16.437693275135889</c:v>
                </c:pt>
                <c:pt idx="13">
                  <c:v>18.672283752397522</c:v>
                </c:pt>
                <c:pt idx="14">
                  <c:v>17.180917903840953</c:v>
                </c:pt>
                <c:pt idx="15">
                  <c:v>17.176268672233764</c:v>
                </c:pt>
                <c:pt idx="16">
                  <c:v>17.171683785618043</c:v>
                </c:pt>
                <c:pt idx="17">
                  <c:v>17.167149072951382</c:v>
                </c:pt>
                <c:pt idx="18">
                  <c:v>16.410948743273266</c:v>
                </c:pt>
                <c:pt idx="19">
                  <c:v>15.64889200249997</c:v>
                </c:pt>
                <c:pt idx="20">
                  <c:v>18.637934721840509</c:v>
                </c:pt>
                <c:pt idx="21">
                  <c:v>15.640768140553407</c:v>
                </c:pt>
                <c:pt idx="22">
                  <c:v>17.889803247282877</c:v>
                </c:pt>
                <c:pt idx="23">
                  <c:v>17.885280577818776</c:v>
                </c:pt>
                <c:pt idx="24">
                  <c:v>16.385643910886749</c:v>
                </c:pt>
                <c:pt idx="25">
                  <c:v>18.614483148934045</c:v>
                </c:pt>
                <c:pt idx="26">
                  <c:v>16.377391463973112</c:v>
                </c:pt>
                <c:pt idx="27">
                  <c:v>17.867351908583661</c:v>
                </c:pt>
                <c:pt idx="28">
                  <c:v>15.559620042347488</c:v>
                </c:pt>
                <c:pt idx="29">
                  <c:v>14.876160652382964</c:v>
                </c:pt>
                <c:pt idx="30">
                  <c:v>15.567360463208434</c:v>
                </c:pt>
                <c:pt idx="31">
                  <c:v>14.189422814037755</c:v>
                </c:pt>
                <c:pt idx="32">
                  <c:v>15.57221485940371</c:v>
                </c:pt>
                <c:pt idx="33">
                  <c:v>15.573338834522655</c:v>
                </c:pt>
                <c:pt idx="34">
                  <c:v>16.256623266049896</c:v>
                </c:pt>
                <c:pt idx="35">
                  <c:v>15.573576402837974</c:v>
                </c:pt>
                <c:pt idx="36">
                  <c:v>15.572985359830337</c:v>
                </c:pt>
                <c:pt idx="37">
                  <c:v>16.932650433852281</c:v>
                </c:pt>
                <c:pt idx="38">
                  <c:v>14.190087976696763</c:v>
                </c:pt>
                <c:pt idx="39">
                  <c:v>16.930062582693871</c:v>
                </c:pt>
                <c:pt idx="40">
                  <c:v>15.568302712162808</c:v>
                </c:pt>
                <c:pt idx="41">
                  <c:v>14.879142891075603</c:v>
                </c:pt>
                <c:pt idx="42">
                  <c:v>15.565341165071889</c:v>
                </c:pt>
                <c:pt idx="43">
                  <c:v>14.183513644701085</c:v>
                </c:pt>
                <c:pt idx="44">
                  <c:v>15.562244410843284</c:v>
                </c:pt>
                <c:pt idx="45">
                  <c:v>15.560672370527474</c:v>
                </c:pt>
                <c:pt idx="46">
                  <c:v>16.241390705769643</c:v>
                </c:pt>
                <c:pt idx="47">
                  <c:v>14.870183557846396</c:v>
                </c:pt>
                <c:pt idx="48">
                  <c:v>16.238095419014563</c:v>
                </c:pt>
                <c:pt idx="49">
                  <c:v>16.236447266329236</c:v>
                </c:pt>
                <c:pt idx="50">
                  <c:v>14.865622394597377</c:v>
                </c:pt>
                <c:pt idx="51">
                  <c:v>16.910086684713932</c:v>
                </c:pt>
                <c:pt idx="52">
                  <c:v>14.862590378240704</c:v>
                </c:pt>
                <c:pt idx="53">
                  <c:v>15.548019403363778</c:v>
                </c:pt>
                <c:pt idx="54">
                  <c:v>15.546447031883581</c:v>
                </c:pt>
                <c:pt idx="55">
                  <c:v>14.166134555421174</c:v>
                </c:pt>
                <c:pt idx="56">
                  <c:v>16.224981623777634</c:v>
                </c:pt>
                <c:pt idx="57">
                  <c:v>15.541750549094735</c:v>
                </c:pt>
                <c:pt idx="58">
                  <c:v>14.853568437332543</c:v>
                </c:pt>
                <c:pt idx="59">
                  <c:v>16.220119782867215</c:v>
                </c:pt>
                <c:pt idx="60">
                  <c:v>16.218506453030702</c:v>
                </c:pt>
                <c:pt idx="61">
                  <c:v>15.535537617076844</c:v>
                </c:pt>
                <c:pt idx="62">
                  <c:v>15.533993039058947</c:v>
                </c:pt>
                <c:pt idx="63">
                  <c:v>16.213687932750396</c:v>
                </c:pt>
                <c:pt idx="64">
                  <c:v>14.844666402256912</c:v>
                </c:pt>
                <c:pt idx="65">
                  <c:v>16.210493089162348</c:v>
                </c:pt>
                <c:pt idx="66">
                  <c:v>14.15049637592498</c:v>
                </c:pt>
                <c:pt idx="67">
                  <c:v>14.149093238277333</c:v>
                </c:pt>
                <c:pt idx="68">
                  <c:v>16.88162222722832</c:v>
                </c:pt>
                <c:pt idx="69">
                  <c:v>15.523273738407294</c:v>
                </c:pt>
                <c:pt idx="70">
                  <c:v>14.835878741774067</c:v>
                </c:pt>
                <c:pt idx="71">
                  <c:v>16.200988726148868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Projection!$W$3:$W$4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Projection!$W$5:$W$77</c:f>
              <c:numCache>
                <c:formatCode>General</c:formatCode>
                <c:ptCount val="72"/>
                <c:pt idx="0">
                  <c:v>19.179187005508791</c:v>
                </c:pt>
                <c:pt idx="1">
                  <c:v>18.161574766212361</c:v>
                </c:pt>
                <c:pt idx="2">
                  <c:v>17.930873552468462</c:v>
                </c:pt>
                <c:pt idx="3">
                  <c:v>18.464452226033469</c:v>
                </c:pt>
                <c:pt idx="4">
                  <c:v>15.531009529146644</c:v>
                </c:pt>
                <c:pt idx="5">
                  <c:v>16.729020023285447</c:v>
                </c:pt>
                <c:pt idx="6">
                  <c:v>14.408773013203646</c:v>
                </c:pt>
                <c:pt idx="7">
                  <c:v>14.900275762717563</c:v>
                </c:pt>
                <c:pt idx="8">
                  <c:v>16.041876583958505</c:v>
                </c:pt>
                <c:pt idx="9">
                  <c:v>15.143862936219632</c:v>
                </c:pt>
                <c:pt idx="10">
                  <c:v>14.918528356682925</c:v>
                </c:pt>
                <c:pt idx="11">
                  <c:v>15.338566136578002</c:v>
                </c:pt>
                <c:pt idx="12">
                  <c:v>14.035281946030409</c:v>
                </c:pt>
                <c:pt idx="13">
                  <c:v>15.966199144623394</c:v>
                </c:pt>
                <c:pt idx="14">
                  <c:v>14.659865438517095</c:v>
                </c:pt>
                <c:pt idx="15">
                  <c:v>14.635923058249157</c:v>
                </c:pt>
                <c:pt idx="16">
                  <c:v>14.604765543979958</c:v>
                </c:pt>
                <c:pt idx="17">
                  <c:v>14.566137738026995</c:v>
                </c:pt>
                <c:pt idx="18">
                  <c:v>13.874771225949678</c:v>
                </c:pt>
                <c:pt idx="19">
                  <c:v>13.175453622217992</c:v>
                </c:pt>
                <c:pt idx="20">
                  <c:v>15.670216875545318</c:v>
                </c:pt>
                <c:pt idx="21">
                  <c:v>13.052815564652864</c:v>
                </c:pt>
                <c:pt idx="22">
                  <c:v>14.88155156223544</c:v>
                </c:pt>
                <c:pt idx="23">
                  <c:v>14.788955492735489</c:v>
                </c:pt>
                <c:pt idx="24">
                  <c:v>13.725163148718201</c:v>
                </c:pt>
                <c:pt idx="25">
                  <c:v>15.849640509781192</c:v>
                </c:pt>
                <c:pt idx="26">
                  <c:v>14.122620552730547</c:v>
                </c:pt>
                <c:pt idx="27">
                  <c:v>15.650970662971575</c:v>
                </c:pt>
                <c:pt idx="28">
                  <c:v>13.267331292558781</c:v>
                </c:pt>
                <c:pt idx="29">
                  <c:v>12.851061298436871</c:v>
                </c:pt>
                <c:pt idx="30">
                  <c:v>13.635325263251886</c:v>
                </c:pt>
                <c:pt idx="31">
                  <c:v>12.582798531533001</c:v>
                </c:pt>
                <c:pt idx="32">
                  <c:v>14.003154599215307</c:v>
                </c:pt>
                <c:pt idx="33">
                  <c:v>14.187313487649577</c:v>
                </c:pt>
                <c:pt idx="34">
                  <c:v>15.006285192413438</c:v>
                </c:pt>
                <c:pt idx="35">
                  <c:v>14.556549678671004</c:v>
                </c:pt>
                <c:pt idx="36">
                  <c:v>14.555367446661061</c:v>
                </c:pt>
                <c:pt idx="37">
                  <c:v>15.832982675890307</c:v>
                </c:pt>
                <c:pt idx="38">
                  <c:v>13.254119804924979</c:v>
                </c:pt>
                <c:pt idx="39">
                  <c:v>15.827636353617891</c:v>
                </c:pt>
                <c:pt idx="40">
                  <c:v>14.545733670369343</c:v>
                </c:pt>
                <c:pt idx="41">
                  <c:v>13.896815423324149</c:v>
                </c:pt>
                <c:pt idx="42">
                  <c:v>14.539729052330951</c:v>
                </c:pt>
                <c:pt idx="43">
                  <c:v>13.240766579477626</c:v>
                </c:pt>
                <c:pt idx="44">
                  <c:v>14.533535019485221</c:v>
                </c:pt>
                <c:pt idx="45">
                  <c:v>14.530419829616415</c:v>
                </c:pt>
                <c:pt idx="46">
                  <c:v>15.168192649953205</c:v>
                </c:pt>
                <c:pt idx="47">
                  <c:v>13.879011173414824</c:v>
                </c:pt>
                <c:pt idx="48">
                  <c:v>15.16175024519918</c:v>
                </c:pt>
                <c:pt idx="49">
                  <c:v>15.158553460413881</c:v>
                </c:pt>
                <c:pt idx="50">
                  <c:v>13.870173388568075</c:v>
                </c:pt>
                <c:pt idx="51">
                  <c:v>15.788084714686612</c:v>
                </c:pt>
                <c:pt idx="52">
                  <c:v>13.86437262001442</c:v>
                </c:pt>
                <c:pt idx="53">
                  <c:v>14.505945790540286</c:v>
                </c:pt>
                <c:pt idx="54">
                  <c:v>14.502972795609859</c:v>
                </c:pt>
                <c:pt idx="55">
                  <c:v>13.207172336488737</c:v>
                </c:pt>
                <c:pt idx="56">
                  <c:v>15.136752803156439</c:v>
                </c:pt>
                <c:pt idx="57">
                  <c:v>14.49417835907072</c:v>
                </c:pt>
                <c:pt idx="58">
                  <c:v>13.847445541219583</c:v>
                </c:pt>
                <c:pt idx="59">
                  <c:v>15.127730937353313</c:v>
                </c:pt>
                <c:pt idx="60">
                  <c:v>15.124765672226935</c:v>
                </c:pt>
                <c:pt idx="61">
                  <c:v>14.482737740259399</c:v>
                </c:pt>
                <c:pt idx="62">
                  <c:v>14.479927192508757</c:v>
                </c:pt>
                <c:pt idx="63">
                  <c:v>15.115992808291745</c:v>
                </c:pt>
                <c:pt idx="64">
                  <c:v>13.831216345230168</c:v>
                </c:pt>
                <c:pt idx="65">
                  <c:v>15.110244308660558</c:v>
                </c:pt>
                <c:pt idx="66">
                  <c:v>13.178604601880028</c:v>
                </c:pt>
                <c:pt idx="67">
                  <c:v>13.17611343359204</c:v>
                </c:pt>
                <c:pt idx="68">
                  <c:v>15.735701626436283</c:v>
                </c:pt>
                <c:pt idx="69">
                  <c:v>14.460783578902047</c:v>
                </c:pt>
                <c:pt idx="70">
                  <c:v>13.815640997493528</c:v>
                </c:pt>
                <c:pt idx="71">
                  <c:v>15.093458299911177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783488"/>
        <c:axId val="260801664"/>
      </c:lineChart>
      <c:catAx>
        <c:axId val="260783488"/>
        <c:scaling>
          <c:orientation val="minMax"/>
        </c:scaling>
        <c:delete val="0"/>
        <c:axPos val="b"/>
        <c:majorTickMark val="out"/>
        <c:minorTickMark val="none"/>
        <c:tickLblPos val="nextTo"/>
        <c:crossAx val="26080166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60801664"/>
        <c:scaling>
          <c:orientation val="minMax"/>
          <c:min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78348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57150</xdr:colOff>
      <xdr:row>5</xdr:row>
      <xdr:rowOff>28576</xdr:rowOff>
    </xdr:from>
    <xdr:to>
      <xdr:col>36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694764</xdr:colOff>
      <xdr:row>10</xdr:row>
      <xdr:rowOff>0</xdr:rowOff>
    </xdr:from>
    <xdr:to>
      <xdr:col>13</xdr:col>
      <xdr:colOff>165846</xdr:colOff>
      <xdr:row>25</xdr:row>
      <xdr:rowOff>128195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22409</xdr:colOff>
      <xdr:row>26</xdr:row>
      <xdr:rowOff>78439</xdr:rowOff>
    </xdr:from>
    <xdr:to>
      <xdr:col>21</xdr:col>
      <xdr:colOff>188256</xdr:colOff>
      <xdr:row>42</xdr:row>
      <xdr:rowOff>161811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537881</xdr:colOff>
      <xdr:row>43</xdr:row>
      <xdr:rowOff>201707</xdr:rowOff>
    </xdr:from>
    <xdr:to>
      <xdr:col>21</xdr:col>
      <xdr:colOff>145676</xdr:colOff>
      <xdr:row>58</xdr:row>
      <xdr:rowOff>116991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100853</xdr:colOff>
      <xdr:row>43</xdr:row>
      <xdr:rowOff>168088</xdr:rowOff>
    </xdr:from>
    <xdr:to>
      <xdr:col>13</xdr:col>
      <xdr:colOff>389963</xdr:colOff>
      <xdr:row>58</xdr:row>
      <xdr:rowOff>83372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20.661315277779" createdVersion="4" refreshedVersion="4" minRefreshableVersion="3" recordCount="432">
  <cacheSource type="worksheet">
    <worksheetSource ref="B1:J433" sheet="Projection"/>
  </cacheSource>
  <cacheFields count="9">
    <cacheField name="type" numFmtId="0">
      <sharedItems/>
    </cacheField>
    <cacheField name="period" numFmtId="14">
      <sharedItems containsSemiMixedTypes="0" containsNonDate="0" containsDate="1" containsString="0" minDate="2015-07-01T00:00:00" maxDate="2021-06-02T00:00:00" count="72"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</sharedItems>
    </cacheField>
    <cacheField name="bucket" numFmtId="0">
      <sharedItems/>
    </cacheField>
    <cacheField name="bucket.val" numFmtId="0">
      <sharedItems/>
    </cacheField>
    <cacheField name="metric" numFmtId="0">
      <sharedItems count="2">
        <s v="Single Month Mortality"/>
        <s v="Monthly Default Rate"/>
      </sharedItems>
    </cacheField>
    <cacheField name="metric.val" numFmtId="0">
      <sharedItems containsSemiMixedTypes="0" containsString="0" containsNumber="1" minValue="1.6871508390285599E-4" maxValue="1.82375693467412E-2"/>
    </cacheField>
    <cacheField name="File" numFmtId="0">
      <sharedItems/>
    </cacheField>
    <cacheField name="Scenario" numFmtId="0">
      <sharedItems count="3">
        <s v="Sev"/>
        <s v="Flat"/>
        <s v="Base"/>
      </sharedItems>
    </cacheField>
    <cacheField name="Annualized" numFmtId="0">
      <sharedItems containsSemiMixedTypes="0" containsString="0" containsNumber="1" minValue="0.20227033875198641" maxValue="19.8179960938247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20.661316550926" createdVersion="4" refreshedVersion="4" minRefreshableVersion="3" recordCount="146">
  <cacheSource type="worksheet">
    <worksheetSource ref="A1:G147" sheet="Performance"/>
  </cacheSource>
  <cacheFields count="7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2">
      <sharedItems containsSemiMixedTypes="0" containsString="0" containsNumber="1" minValue="0" maxValue="0.61644989212499102"/>
    </cacheField>
    <cacheField name="cum_pp_pct" numFmtId="2">
      <sharedItems containsSemiMixedTypes="0" containsString="0" containsNumber="1" minValue="0.67999999999999994" maxValue="28.64"/>
    </cacheField>
    <cacheField name="cum_df_pct" numFmtId="2">
      <sharedItems containsSemiMixedTypes="0" containsString="0" containsNumber="1" minValue="0" maxValue="6.999999999999999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2">
  <r>
    <s v="Proj"/>
    <x v="0"/>
    <s v="Period"/>
    <s v="ALL"/>
    <x v="0"/>
    <n v="1.7588129916078499E-2"/>
    <s v="CRT_STACR_2014-HQ1_2015-06-01"/>
    <x v="0"/>
    <n v="19.179187005508791"/>
  </r>
  <r>
    <s v="Proj"/>
    <x v="1"/>
    <s v="Period"/>
    <s v="ALL"/>
    <x v="0"/>
    <n v="1.6563238058118799E-2"/>
    <s v="CRT_STACR_2014-HQ1_2015-06-01"/>
    <x v="0"/>
    <n v="18.161574766212361"/>
  </r>
  <r>
    <s v="Proj"/>
    <x v="2"/>
    <s v="Period"/>
    <s v="ALL"/>
    <x v="0"/>
    <n v="1.63325116358914E-2"/>
    <s v="CRT_STACR_2014-HQ1_2015-06-01"/>
    <x v="0"/>
    <n v="17.930873552468462"/>
  </r>
  <r>
    <s v="Proj"/>
    <x v="3"/>
    <s v="Period"/>
    <s v="ALL"/>
    <x v="0"/>
    <n v="1.6867055481790901E-2"/>
    <s v="CRT_STACR_2014-HQ1_2015-06-01"/>
    <x v="0"/>
    <n v="18.464452226033469"/>
  </r>
  <r>
    <s v="Proj"/>
    <x v="4"/>
    <s v="Period"/>
    <s v="ALL"/>
    <x v="0"/>
    <n v="1.39670180030716E-2"/>
    <s v="CRT_STACR_2014-HQ1_2015-06-01"/>
    <x v="0"/>
    <n v="15.531009529146644"/>
  </r>
  <r>
    <s v="Proj"/>
    <x v="5"/>
    <s v="Period"/>
    <s v="ALL"/>
    <x v="0"/>
    <n v="1.51400589641776E-2"/>
    <s v="CRT_STACR_2014-HQ1_2015-06-01"/>
    <x v="0"/>
    <n v="16.729020023285447"/>
  </r>
  <r>
    <s v="Proj"/>
    <x v="6"/>
    <s v="Period"/>
    <s v="ALL"/>
    <x v="0"/>
    <n v="1.28819248708041E-2"/>
    <s v="CRT_STACR_2014-HQ1_2015-06-01"/>
    <x v="0"/>
    <n v="14.408773013203646"/>
  </r>
  <r>
    <s v="Proj"/>
    <x v="7"/>
    <s v="Period"/>
    <s v="ALL"/>
    <x v="0"/>
    <n v="1.3355545160383999E-2"/>
    <s v="CRT_STACR_2014-HQ1_2015-06-01"/>
    <x v="0"/>
    <n v="14.900275762717563"/>
  </r>
  <r>
    <s v="Proj"/>
    <x v="8"/>
    <s v="Period"/>
    <s v="ALL"/>
    <x v="0"/>
    <n v="1.44653601783337E-2"/>
    <s v="CRT_STACR_2014-HQ1_2015-06-01"/>
    <x v="0"/>
    <n v="16.041876583958505"/>
  </r>
  <r>
    <s v="Proj"/>
    <x v="9"/>
    <s v="Period"/>
    <s v="ALL"/>
    <x v="0"/>
    <n v="1.35911998712934E-2"/>
    <s v="CRT_STACR_2014-HQ1_2015-06-01"/>
    <x v="0"/>
    <n v="15.143862936219632"/>
  </r>
  <r>
    <s v="Proj"/>
    <x v="10"/>
    <s v="Period"/>
    <s v="ALL"/>
    <x v="0"/>
    <n v="1.3373181910867799E-2"/>
    <s v="CRT_STACR_2014-HQ1_2015-06-01"/>
    <x v="0"/>
    <n v="14.918528356682925"/>
  </r>
  <r>
    <s v="Proj"/>
    <x v="11"/>
    <s v="Period"/>
    <s v="ALL"/>
    <x v="0"/>
    <n v="1.3780008866332599E-2"/>
    <s v="CRT_STACR_2014-HQ1_2015-06-01"/>
    <x v="0"/>
    <n v="15.338566136578002"/>
  </r>
  <r>
    <s v="Proj"/>
    <x v="12"/>
    <s v="Period"/>
    <s v="ALL"/>
    <x v="0"/>
    <n v="1.25236867645497E-2"/>
    <s v="CRT_STACR_2014-HQ1_2015-06-01"/>
    <x v="0"/>
    <n v="14.035281946030409"/>
  </r>
  <r>
    <s v="Proj"/>
    <x v="13"/>
    <s v="Period"/>
    <s v="ALL"/>
    <x v="0"/>
    <n v="1.4391363027172E-2"/>
    <s v="CRT_STACR_2014-HQ1_2015-06-01"/>
    <x v="0"/>
    <n v="15.966199144623394"/>
  </r>
  <r>
    <s v="Proj"/>
    <x v="14"/>
    <s v="Period"/>
    <s v="ALL"/>
    <x v="0"/>
    <n v="1.31235693421906E-2"/>
    <s v="CRT_STACR_2014-HQ1_2015-06-01"/>
    <x v="0"/>
    <n v="14.659865438517095"/>
  </r>
  <r>
    <s v="Proj"/>
    <x v="15"/>
    <s v="Period"/>
    <s v="ALL"/>
    <x v="0"/>
    <n v="1.3100499761875399E-2"/>
    <s v="CRT_STACR_2014-HQ1_2015-06-01"/>
    <x v="0"/>
    <n v="14.635923058249157"/>
  </r>
  <r>
    <s v="Proj"/>
    <x v="16"/>
    <s v="Period"/>
    <s v="ALL"/>
    <x v="0"/>
    <n v="1.30704869493867E-2"/>
    <s v="CRT_STACR_2014-HQ1_2015-06-01"/>
    <x v="0"/>
    <n v="14.604765543979958"/>
  </r>
  <r>
    <s v="Proj"/>
    <x v="17"/>
    <s v="Period"/>
    <s v="ALL"/>
    <x v="0"/>
    <n v="1.3033292231125201E-2"/>
    <s v="CRT_STACR_2014-HQ1_2015-06-01"/>
    <x v="0"/>
    <n v="14.566137738026995"/>
  </r>
  <r>
    <s v="Proj"/>
    <x v="18"/>
    <s v="Period"/>
    <s v="ALL"/>
    <x v="0"/>
    <n v="1.2370169274355001E-2"/>
    <s v="CRT_STACR_2014-HQ1_2015-06-01"/>
    <x v="0"/>
    <n v="13.874771225949678"/>
  </r>
  <r>
    <s v="Proj"/>
    <x v="19"/>
    <s v="Period"/>
    <s v="ALL"/>
    <x v="0"/>
    <n v="1.17043657009519E-2"/>
    <s v="CRT_STACR_2014-HQ1_2015-06-01"/>
    <x v="0"/>
    <n v="13.175453622217992"/>
  </r>
  <r>
    <s v="Proj"/>
    <x v="20"/>
    <s v="Period"/>
    <s v="ALL"/>
    <x v="0"/>
    <n v="1.4102537977707901E-2"/>
    <s v="CRT_STACR_2014-HQ1_2015-06-01"/>
    <x v="0"/>
    <n v="15.670216875545318"/>
  </r>
  <r>
    <s v="Proj"/>
    <x v="21"/>
    <s v="Period"/>
    <s v="ALL"/>
    <x v="0"/>
    <n v="1.1588111842244101E-2"/>
    <s v="CRT_STACR_2014-HQ1_2015-06-01"/>
    <x v="0"/>
    <n v="13.052815564652864"/>
  </r>
  <r>
    <s v="Proj"/>
    <x v="22"/>
    <s v="Period"/>
    <s v="ALL"/>
    <x v="0"/>
    <n v="1.33374563181742E-2"/>
    <s v="CRT_STACR_2014-HQ1_2015-06-01"/>
    <x v="0"/>
    <n v="14.88155156223544"/>
  </r>
  <r>
    <s v="Proj"/>
    <x v="23"/>
    <s v="Period"/>
    <s v="ALL"/>
    <x v="0"/>
    <n v="1.3248055847071401E-2"/>
    <s v="CRT_STACR_2014-HQ1_2015-06-01"/>
    <x v="0"/>
    <n v="14.788955492735489"/>
  </r>
  <r>
    <s v="Proj"/>
    <x v="24"/>
    <s v="Period"/>
    <s v="ALL"/>
    <x v="0"/>
    <n v="1.22273153816384E-2"/>
    <s v="CRT_STACR_2014-HQ1_2015-06-01"/>
    <x v="0"/>
    <n v="13.725163148718201"/>
  </r>
  <r>
    <s v="Proj"/>
    <x v="25"/>
    <s v="Period"/>
    <s v="ALL"/>
    <x v="0"/>
    <n v="1.4277511787736299E-2"/>
    <s v="CRT_STACR_2014-HQ1_2015-06-01"/>
    <x v="0"/>
    <n v="15.849640509781192"/>
  </r>
  <r>
    <s v="Proj"/>
    <x v="26"/>
    <s v="Period"/>
    <s v="ALL"/>
    <x v="0"/>
    <n v="1.2607330568279101E-2"/>
    <s v="CRT_STACR_2014-HQ1_2015-06-01"/>
    <x v="0"/>
    <n v="14.122620552730547"/>
  </r>
  <r>
    <s v="Proj"/>
    <x v="27"/>
    <s v="Period"/>
    <s v="ALL"/>
    <x v="0"/>
    <n v="1.4083789354852E-2"/>
    <s v="CRT_STACR_2014-HQ1_2015-06-01"/>
    <x v="0"/>
    <n v="15.650970662971575"/>
  </r>
  <r>
    <s v="Proj"/>
    <x v="28"/>
    <s v="Period"/>
    <s v="ALL"/>
    <x v="0"/>
    <n v="1.17915591405915E-2"/>
    <s v="CRT_STACR_2014-HQ1_2015-06-01"/>
    <x v="0"/>
    <n v="13.267331292558781"/>
  </r>
  <r>
    <s v="Proj"/>
    <x v="29"/>
    <s v="Period"/>
    <s v="ALL"/>
    <x v="0"/>
    <n v="1.1397186985875401E-2"/>
    <s v="CRT_STACR_2014-HQ1_2015-06-01"/>
    <x v="0"/>
    <n v="12.851061298436871"/>
  </r>
  <r>
    <s v="Proj"/>
    <x v="30"/>
    <s v="Period"/>
    <s v="ALL"/>
    <x v="0"/>
    <n v="1.2141642385166899E-2"/>
    <s v="CRT_STACR_2014-HQ1_2015-06-01"/>
    <x v="0"/>
    <n v="13.635325263251886"/>
  </r>
  <r>
    <s v="Proj"/>
    <x v="31"/>
    <s v="Period"/>
    <s v="ALL"/>
    <x v="0"/>
    <n v="1.11439501133202E-2"/>
    <s v="CRT_STACR_2014-HQ1_2015-06-01"/>
    <x v="0"/>
    <n v="12.582798531533001"/>
  </r>
  <r>
    <s v="Proj"/>
    <x v="32"/>
    <s v="Period"/>
    <s v="ALL"/>
    <x v="0"/>
    <n v="1.2492938140989099E-2"/>
    <s v="CRT_STACR_2014-HQ1_2015-06-01"/>
    <x v="0"/>
    <n v="14.003154599215307"/>
  </r>
  <r>
    <s v="Proj"/>
    <x v="33"/>
    <s v="Period"/>
    <s v="ALL"/>
    <x v="0"/>
    <n v="1.2669336996994201E-2"/>
    <s v="CRT_STACR_2014-HQ1_2015-06-01"/>
    <x v="0"/>
    <n v="14.187313487649577"/>
  </r>
  <r>
    <s v="Proj"/>
    <x v="34"/>
    <s v="Period"/>
    <s v="ALL"/>
    <x v="0"/>
    <n v="1.3458026280979101E-2"/>
    <s v="CRT_STACR_2014-HQ1_2015-06-01"/>
    <x v="0"/>
    <n v="15.006285192413438"/>
  </r>
  <r>
    <s v="Proj"/>
    <x v="35"/>
    <s v="Period"/>
    <s v="ALL"/>
    <x v="0"/>
    <n v="1.30240622759291E-2"/>
    <s v="CRT_STACR_2014-HQ1_2015-06-01"/>
    <x v="0"/>
    <n v="14.556549678671004"/>
  </r>
  <r>
    <s v="Proj"/>
    <x v="36"/>
    <s v="Period"/>
    <s v="ALL"/>
    <x v="0"/>
    <n v="1.3022924264821E-2"/>
    <s v="CRT_STACR_2014-HQ1_2015-06-01"/>
    <x v="0"/>
    <n v="14.555367446661061"/>
  </r>
  <r>
    <s v="Proj"/>
    <x v="37"/>
    <s v="Period"/>
    <s v="ALL"/>
    <x v="0"/>
    <n v="1.42612526851846E-2"/>
    <s v="CRT_STACR_2014-HQ1_2015-06-01"/>
    <x v="0"/>
    <n v="15.832982675890307"/>
  </r>
  <r>
    <s v="Proj"/>
    <x v="38"/>
    <s v="Period"/>
    <s v="ALL"/>
    <x v="0"/>
    <n v="1.17790160081597E-2"/>
    <s v="CRT_STACR_2014-HQ1_2015-06-01"/>
    <x v="0"/>
    <n v="13.254119804924979"/>
  </r>
  <r>
    <s v="Proj"/>
    <x v="39"/>
    <s v="Period"/>
    <s v="ALL"/>
    <x v="0"/>
    <n v="1.4256034960788901E-2"/>
    <s v="CRT_STACR_2014-HQ1_2015-06-01"/>
    <x v="0"/>
    <n v="15.827636353617891"/>
  </r>
  <r>
    <s v="Proj"/>
    <x v="40"/>
    <s v="Period"/>
    <s v="ALL"/>
    <x v="0"/>
    <n v="1.3013651373956599E-2"/>
    <s v="CRT_STACR_2014-HQ1_2015-06-01"/>
    <x v="0"/>
    <n v="14.545733670369343"/>
  </r>
  <r>
    <s v="Proj"/>
    <x v="41"/>
    <s v="Period"/>
    <s v="ALL"/>
    <x v="0"/>
    <n v="1.239123749262E-2"/>
    <s v="CRT_STACR_2014-HQ1_2015-06-01"/>
    <x v="0"/>
    <n v="13.896815423324149"/>
  </r>
  <r>
    <s v="Proj"/>
    <x v="42"/>
    <s v="Period"/>
    <s v="ALL"/>
    <x v="0"/>
    <n v="1.30078721762745E-2"/>
    <s v="CRT_STACR_2014-HQ1_2015-06-01"/>
    <x v="0"/>
    <n v="14.539729052330951"/>
  </r>
  <r>
    <s v="Proj"/>
    <x v="43"/>
    <s v="Period"/>
    <s v="ALL"/>
    <x v="0"/>
    <n v="1.1766340087573299E-2"/>
    <s v="CRT_STACR_2014-HQ1_2015-06-01"/>
    <x v="0"/>
    <n v="13.240766579477626"/>
  </r>
  <r>
    <s v="Proj"/>
    <x v="44"/>
    <s v="Period"/>
    <s v="ALL"/>
    <x v="0"/>
    <n v="1.30019110646426E-2"/>
    <s v="CRT_STACR_2014-HQ1_2015-06-01"/>
    <x v="0"/>
    <n v="14.533535019485221"/>
  </r>
  <r>
    <s v="Proj"/>
    <x v="45"/>
    <s v="Period"/>
    <s v="ALL"/>
    <x v="0"/>
    <n v="1.29989131684466E-2"/>
    <s v="CRT_STACR_2014-HQ1_2015-06-01"/>
    <x v="0"/>
    <n v="14.530419829616415"/>
  </r>
  <r>
    <s v="Proj"/>
    <x v="46"/>
    <s v="Period"/>
    <s v="ALL"/>
    <x v="0"/>
    <n v="1.36147713328511E-2"/>
    <s v="CRT_STACR_2014-HQ1_2015-06-01"/>
    <x v="0"/>
    <n v="15.168192649953205"/>
  </r>
  <r>
    <s v="Proj"/>
    <x v="47"/>
    <s v="Period"/>
    <s v="ALL"/>
    <x v="0"/>
    <n v="1.23742211195049E-2"/>
    <s v="CRT_STACR_2014-HQ1_2015-06-01"/>
    <x v="0"/>
    <n v="13.879011173414824"/>
  </r>
  <r>
    <s v="Proj"/>
    <x v="48"/>
    <s v="Period"/>
    <s v="ALL"/>
    <x v="0"/>
    <n v="1.3608529106904301E-2"/>
    <s v="CRT_STACR_2014-HQ1_2015-06-01"/>
    <x v="0"/>
    <n v="15.16175024519918"/>
  </r>
  <r>
    <s v="Proj"/>
    <x v="49"/>
    <s v="Period"/>
    <s v="ALL"/>
    <x v="0"/>
    <n v="1.36054318141164E-2"/>
    <s v="CRT_STACR_2014-HQ1_2015-06-01"/>
    <x v="0"/>
    <n v="15.158553460413881"/>
  </r>
  <r>
    <s v="Proj"/>
    <x v="50"/>
    <s v="Period"/>
    <s v="ALL"/>
    <x v="0"/>
    <n v="1.23657756234725E-2"/>
    <s v="CRT_STACR_2014-HQ1_2015-06-01"/>
    <x v="0"/>
    <n v="13.870173388568075"/>
  </r>
  <r>
    <s v="Proj"/>
    <x v="51"/>
    <s v="Period"/>
    <s v="ALL"/>
    <x v="0"/>
    <n v="1.42174441122161E-2"/>
    <s v="CRT_STACR_2014-HQ1_2015-06-01"/>
    <x v="0"/>
    <n v="15.788084714686612"/>
  </r>
  <r>
    <s v="Proj"/>
    <x v="52"/>
    <s v="Period"/>
    <s v="ALL"/>
    <x v="0"/>
    <n v="1.2360232769409099E-2"/>
    <s v="CRT_STACR_2014-HQ1_2015-06-01"/>
    <x v="0"/>
    <n v="13.86437262001442"/>
  </r>
  <r>
    <s v="Proj"/>
    <x v="53"/>
    <s v="Period"/>
    <s v="ALL"/>
    <x v="0"/>
    <n v="1.2975364114102401E-2"/>
    <s v="CRT_STACR_2014-HQ1_2015-06-01"/>
    <x v="0"/>
    <n v="14.505945790540286"/>
  </r>
  <r>
    <s v="Proj"/>
    <x v="54"/>
    <s v="Period"/>
    <s v="ALL"/>
    <x v="0"/>
    <n v="1.2972503903044901E-2"/>
    <s v="CRT_STACR_2014-HQ1_2015-06-01"/>
    <x v="0"/>
    <n v="14.502972795609859"/>
  </r>
  <r>
    <s v="Proj"/>
    <x v="55"/>
    <s v="Period"/>
    <s v="ALL"/>
    <x v="0"/>
    <n v="1.1734457725745599E-2"/>
    <s v="CRT_STACR_2014-HQ1_2015-06-01"/>
    <x v="0"/>
    <n v="13.207172336488737"/>
  </r>
  <r>
    <s v="Proj"/>
    <x v="56"/>
    <s v="Period"/>
    <s v="ALL"/>
    <x v="0"/>
    <n v="1.3584312500174601E-2"/>
    <s v="CRT_STACR_2014-HQ1_2015-06-01"/>
    <x v="0"/>
    <n v="15.136752803156439"/>
  </r>
  <r>
    <s v="Proj"/>
    <x v="57"/>
    <s v="Period"/>
    <s v="ALL"/>
    <x v="0"/>
    <n v="1.2964043626949501E-2"/>
    <s v="CRT_STACR_2014-HQ1_2015-06-01"/>
    <x v="0"/>
    <n v="14.49417835907072"/>
  </r>
  <r>
    <s v="Proj"/>
    <x v="58"/>
    <s v="Period"/>
    <s v="ALL"/>
    <x v="0"/>
    <n v="1.23440602603485E-2"/>
    <s v="CRT_STACR_2014-HQ1_2015-06-01"/>
    <x v="0"/>
    <n v="13.847445541219583"/>
  </r>
  <r>
    <s v="Proj"/>
    <x v="59"/>
    <s v="Period"/>
    <s v="ALL"/>
    <x v="0"/>
    <n v="1.35755740526753E-2"/>
    <s v="CRT_STACR_2014-HQ1_2015-06-01"/>
    <x v="0"/>
    <n v="15.127730937353313"/>
  </r>
  <r>
    <s v="Proj"/>
    <x v="60"/>
    <s v="Period"/>
    <s v="ALL"/>
    <x v="0"/>
    <n v="1.35727021260883E-2"/>
    <s v="CRT_STACR_2014-HQ1_2015-06-01"/>
    <x v="0"/>
    <n v="15.124765672226935"/>
  </r>
  <r>
    <s v="Proj"/>
    <x v="61"/>
    <s v="Period"/>
    <s v="ALL"/>
    <x v="0"/>
    <n v="1.2953038908717299E-2"/>
    <s v="CRT_STACR_2014-HQ1_2015-06-01"/>
    <x v="0"/>
    <n v="14.482737740259399"/>
  </r>
  <r>
    <s v="Proj"/>
    <x v="62"/>
    <s v="Period"/>
    <s v="ALL"/>
    <x v="0"/>
    <n v="1.2950335652520699E-2"/>
    <s v="CRT_STACR_2014-HQ1_2015-06-01"/>
    <x v="0"/>
    <n v="14.479927192508757"/>
  </r>
  <r>
    <s v="Proj"/>
    <x v="63"/>
    <s v="Period"/>
    <s v="ALL"/>
    <x v="0"/>
    <n v="1.35642059467696E-2"/>
    <s v="CRT_STACR_2014-HQ1_2015-06-01"/>
    <x v="0"/>
    <n v="15.115992808291745"/>
  </r>
  <r>
    <s v="Proj"/>
    <x v="64"/>
    <s v="Period"/>
    <s v="ALL"/>
    <x v="0"/>
    <n v="1.23285572589604E-2"/>
    <s v="CRT_STACR_2014-HQ1_2015-06-01"/>
    <x v="0"/>
    <n v="13.831216345230168"/>
  </r>
  <r>
    <s v="Proj"/>
    <x v="65"/>
    <s v="Period"/>
    <s v="ALL"/>
    <x v="0"/>
    <n v="1.35586391837782E-2"/>
    <s v="CRT_STACR_2014-HQ1_2015-06-01"/>
    <x v="0"/>
    <n v="15.110244308660558"/>
  </r>
  <r>
    <s v="Proj"/>
    <x v="66"/>
    <s v="Period"/>
    <s v="ALL"/>
    <x v="0"/>
    <n v="1.1707354632244401E-2"/>
    <s v="CRT_STACR_2014-HQ1_2015-06-01"/>
    <x v="0"/>
    <n v="13.178604601880028"/>
  </r>
  <r>
    <s v="Proj"/>
    <x v="67"/>
    <s v="Period"/>
    <s v="ALL"/>
    <x v="0"/>
    <n v="1.17049915713604E-2"/>
    <s v="CRT_STACR_2014-HQ1_2015-06-01"/>
    <x v="0"/>
    <n v="13.17611343359204"/>
  </r>
  <r>
    <s v="Proj"/>
    <x v="68"/>
    <s v="Period"/>
    <s v="ALL"/>
    <x v="0"/>
    <n v="1.4166359082518201E-2"/>
    <s v="CRT_STACR_2014-HQ1_2015-06-01"/>
    <x v="0"/>
    <n v="15.735701626436283"/>
  </r>
  <r>
    <s v="Proj"/>
    <x v="69"/>
    <s v="Period"/>
    <s v="ALL"/>
    <x v="0"/>
    <n v="1.29319250049886E-2"/>
    <s v="CRT_STACR_2014-HQ1_2015-06-01"/>
    <x v="0"/>
    <n v="14.460783578902047"/>
  </r>
  <r>
    <s v="Proj"/>
    <x v="70"/>
    <s v="Period"/>
    <s v="ALL"/>
    <x v="0"/>
    <n v="1.2313681365370499E-2"/>
    <s v="CRT_STACR_2014-HQ1_2015-06-01"/>
    <x v="0"/>
    <n v="13.815640997493528"/>
  </r>
  <r>
    <s v="Proj"/>
    <x v="71"/>
    <s v="Period"/>
    <s v="ALL"/>
    <x v="0"/>
    <n v="1.3542385835859001E-2"/>
    <s v="CRT_STACR_2014-HQ1_2015-06-01"/>
    <x v="0"/>
    <n v="15.093458299911177"/>
  </r>
  <r>
    <s v="Proj"/>
    <x v="0"/>
    <s v="Period"/>
    <s v="ALL"/>
    <x v="1"/>
    <n v="1.8336821102630201E-4"/>
    <s v="CRT_STACR_2014-HQ1_2015-06-01"/>
    <x v="0"/>
    <n v="0.21982007107242962"/>
  </r>
  <r>
    <s v="Proj"/>
    <x v="1"/>
    <s v="Period"/>
    <s v="ALL"/>
    <x v="1"/>
    <n v="1.7035595549332901E-4"/>
    <s v="CRT_STACR_2014-HQ1_2015-06-01"/>
    <x v="0"/>
    <n v="0.20423571571628329"/>
  </r>
  <r>
    <s v="Proj"/>
    <x v="2"/>
    <s v="Period"/>
    <s v="ALL"/>
    <x v="1"/>
    <n v="2.3255533343677801E-4"/>
    <s v="CRT_STACR_2014-HQ1_2015-06-01"/>
    <x v="0"/>
    <n v="0.27870973558609125"/>
  </r>
  <r>
    <s v="Proj"/>
    <x v="3"/>
    <s v="Period"/>
    <s v="ALL"/>
    <x v="1"/>
    <n v="3.3920781849574899E-4"/>
    <s v="CRT_STACR_2014-HQ1_2015-06-01"/>
    <x v="0"/>
    <n v="0.40629083136670685"/>
  </r>
  <r>
    <s v="Proj"/>
    <x v="4"/>
    <s v="Period"/>
    <s v="ALL"/>
    <x v="1"/>
    <n v="3.94982922238537E-4"/>
    <s v="CRT_STACR_2014-HQ1_2015-06-01"/>
    <x v="0"/>
    <n v="0.47295118520509494"/>
  </r>
  <r>
    <s v="Proj"/>
    <x v="5"/>
    <s v="Period"/>
    <s v="ALL"/>
    <x v="1"/>
    <n v="5.1511131599187596E-4"/>
    <s v="CRT_STACR_2014-HQ1_2015-06-01"/>
    <x v="0"/>
    <n v="0.61638534084842433"/>
  </r>
  <r>
    <s v="Proj"/>
    <x v="6"/>
    <s v="Period"/>
    <s v="ALL"/>
    <x v="1"/>
    <n v="5.3560048768935701E-4"/>
    <s v="CRT_STACR_2014-HQ1_2015-06-01"/>
    <x v="0"/>
    <n v="0.6408306333578917"/>
  </r>
  <r>
    <s v="Proj"/>
    <x v="7"/>
    <s v="Period"/>
    <s v="ALL"/>
    <x v="1"/>
    <n v="6.5341484351383804E-4"/>
    <s v="CRT_STACR_2014-HQ1_2015-06-01"/>
    <x v="0"/>
    <n v="0.78128606435595715"/>
  </r>
  <r>
    <s v="Proj"/>
    <x v="8"/>
    <s v="Period"/>
    <s v="ALL"/>
    <x v="1"/>
    <n v="8.0690747455274697E-4"/>
    <s v="CRT_STACR_2014-HQ1_2015-06-01"/>
    <x v="0"/>
    <n v="0.96400324896553924"/>
  </r>
  <r>
    <s v="Proj"/>
    <x v="9"/>
    <s v="Period"/>
    <s v="ALL"/>
    <x v="1"/>
    <n v="8.4684464544755405E-4"/>
    <s v="CRT_STACR_2014-HQ1_2015-06-01"/>
    <x v="0"/>
    <n v="1.0114937473253427"/>
  </r>
  <r>
    <s v="Proj"/>
    <x v="10"/>
    <s v="Period"/>
    <s v="ALL"/>
    <x v="1"/>
    <n v="9.1913150539058095E-4"/>
    <s v="CRT_STACR_2014-HQ1_2015-06-01"/>
    <x v="0"/>
    <n v="1.097399155878731"/>
  </r>
  <r>
    <s v="Proj"/>
    <x v="11"/>
    <s v="Period"/>
    <s v="ALL"/>
    <x v="1"/>
    <n v="1.0368896683191E-3"/>
    <s v="CRT_STACR_2014-HQ1_2015-06-01"/>
    <x v="0"/>
    <n v="1.2371961452816493"/>
  </r>
  <r>
    <s v="Proj"/>
    <x v="12"/>
    <s v="Period"/>
    <s v="ALL"/>
    <x v="1"/>
    <n v="1.0102242747537899E-3"/>
    <s v="CRT_STACR_2014-HQ1_2015-06-01"/>
    <x v="0"/>
    <n v="1.2055561095942191"/>
  </r>
  <r>
    <s v="Proj"/>
    <x v="13"/>
    <s v="Period"/>
    <s v="ALL"/>
    <x v="1"/>
    <n v="1.24180928884712E-3"/>
    <s v="CRT_STACR_2014-HQ1_2015-06-01"/>
    <x v="0"/>
    <n v="1.480035362697385"/>
  </r>
  <r>
    <s v="Proj"/>
    <x v="14"/>
    <s v="Period"/>
    <s v="ALL"/>
    <x v="1"/>
    <n v="1.2102714695993401E-3"/>
    <s v="CRT_STACR_2014-HQ1_2015-06-01"/>
    <x v="0"/>
    <n v="1.4426972617029632"/>
  </r>
  <r>
    <s v="Proj"/>
    <x v="15"/>
    <s v="Period"/>
    <s v="ALL"/>
    <x v="1"/>
    <n v="1.2915511257706E-3"/>
    <s v="CRT_STACR_2014-HQ1_2015-06-01"/>
    <x v="0"/>
    <n v="1.5388991227464954"/>
  </r>
  <r>
    <s v="Proj"/>
    <x v="16"/>
    <s v="Period"/>
    <s v="ALL"/>
    <x v="1"/>
    <n v="1.37876083519555E-3"/>
    <s v="CRT_STACR_2014-HQ1_2015-06-01"/>
    <x v="0"/>
    <n v="1.6420240082131832"/>
  </r>
  <r>
    <s v="Proj"/>
    <x v="17"/>
    <s v="Period"/>
    <s v="ALL"/>
    <x v="1"/>
    <n v="1.4726983490131499E-3"/>
    <s v="CRT_STACR_2014-HQ1_2015-06-01"/>
    <x v="0"/>
    <n v="1.752993708752415"/>
  </r>
  <r>
    <s v="Proj"/>
    <x v="18"/>
    <s v="Period"/>
    <s v="ALL"/>
    <x v="1"/>
    <n v="1.4990648806909E-3"/>
    <s v="CRT_STACR_2014-HQ1_2015-06-01"/>
    <x v="0"/>
    <n v="1.7841202282703694"/>
  </r>
  <r>
    <s v="Proj"/>
    <x v="19"/>
    <s v="Period"/>
    <s v="ALL"/>
    <x v="1"/>
    <n v="1.52302118434671E-3"/>
    <s v="CRT_STACR_2014-HQ1_2015-06-01"/>
    <x v="0"/>
    <n v="1.812393559625658"/>
  </r>
  <r>
    <s v="Proj"/>
    <x v="20"/>
    <s v="Period"/>
    <s v="ALL"/>
    <x v="1"/>
    <n v="1.9728596744298102E-3"/>
    <s v="CRT_STACR_2014-HQ1_2015-06-01"/>
    <x v="0"/>
    <n v="2.3419114365986538"/>
  </r>
  <r>
    <s v="Proj"/>
    <x v="21"/>
    <s v="Period"/>
    <s v="ALL"/>
    <x v="1"/>
    <n v="1.74494588680724E-3"/>
    <s v="CRT_STACR_2014-HQ1_2015-06-01"/>
    <x v="0"/>
    <n v="2.0739555755903916"/>
  </r>
  <r>
    <s v="Proj"/>
    <x v="22"/>
    <s v="Period"/>
    <s v="ALL"/>
    <x v="1"/>
    <n v="2.16445764804632E-3"/>
    <s v="CRT_STACR_2014-HQ1_2015-06-01"/>
    <x v="0"/>
    <n v="2.5666509921602243"/>
  </r>
  <r>
    <s v="Proj"/>
    <x v="23"/>
    <s v="Period"/>
    <s v="ALL"/>
    <x v="1"/>
    <n v="2.3199756732988899E-3"/>
    <s v="CRT_STACR_2014-HQ1_2015-06-01"/>
    <x v="0"/>
    <n v="2.7487209933322321"/>
  </r>
  <r>
    <s v="Proj"/>
    <x v="24"/>
    <s v="Period"/>
    <s v="ALL"/>
    <x v="1"/>
    <n v="2.25542006387433E-3"/>
    <s v="CRT_STACR_2014-HQ1_2015-06-01"/>
    <x v="0"/>
    <n v="2.6731815396692005"/>
  </r>
  <r>
    <s v="Proj"/>
    <x v="25"/>
    <s v="Period"/>
    <s v="ALL"/>
    <x v="1"/>
    <n v="2.7599072416640801E-3"/>
    <s v="CRT_STACR_2014-HQ1_2015-06-01"/>
    <x v="0"/>
    <n v="3.2620755440001425"/>
  </r>
  <r>
    <s v="Proj"/>
    <x v="26"/>
    <s v="Period"/>
    <s v="ALL"/>
    <x v="1"/>
    <n v="2.5387214655199501E-3"/>
    <s v="CRT_STACR_2014-HQ1_2015-06-01"/>
    <x v="0"/>
    <n v="3.0042859779413233"/>
  </r>
  <r>
    <s v="Proj"/>
    <x v="27"/>
    <s v="Period"/>
    <s v="ALL"/>
    <x v="1"/>
    <n v="2.93022829883781E-3"/>
    <s v="CRT_STACR_2014-HQ1_2015-06-01"/>
    <x v="0"/>
    <n v="3.4601546683331375"/>
  </r>
  <r>
    <s v="Proj"/>
    <x v="28"/>
    <s v="Period"/>
    <s v="ALL"/>
    <x v="1"/>
    <n v="2.9024372846052598E-3"/>
    <s v="CRT_STACR_2014-HQ1_2015-06-01"/>
    <x v="0"/>
    <n v="3.4278598184743769"/>
  </r>
  <r>
    <s v="Proj"/>
    <x v="29"/>
    <s v="Period"/>
    <s v="ALL"/>
    <x v="1"/>
    <n v="2.7582095392888399E-3"/>
    <s v="CRT_STACR_2014-HQ1_2015-06-01"/>
    <x v="0"/>
    <n v="3.2600992848056176"/>
  </r>
  <r>
    <s v="Proj"/>
    <x v="30"/>
    <s v="Period"/>
    <s v="ALL"/>
    <x v="1"/>
    <n v="2.93136201957155E-3"/>
    <s v="CRT_STACR_2014-HQ1_2015-06-01"/>
    <x v="0"/>
    <n v="3.4614719106316083"/>
  </r>
  <r>
    <s v="Proj"/>
    <x v="31"/>
    <s v="Period"/>
    <s v="ALL"/>
    <x v="1"/>
    <n v="2.6325657132168501E-3"/>
    <s v="CRT_STACR_2014-HQ1_2015-06-01"/>
    <x v="0"/>
    <n v="3.113737217852941"/>
  </r>
  <r>
    <s v="Proj"/>
    <x v="32"/>
    <s v="Period"/>
    <s v="ALL"/>
    <x v="1"/>
    <n v="2.8548953227862301E-3"/>
    <s v="CRT_STACR_2014-HQ1_2015-06-01"/>
    <x v="0"/>
    <n v="3.3725902034178246"/>
  </r>
  <r>
    <s v="Proj"/>
    <x v="33"/>
    <s v="Period"/>
    <s v="ALL"/>
    <x v="1"/>
    <n v="2.7954013557034401E-3"/>
    <s v="CRT_STACR_2014-HQ1_2015-06-01"/>
    <x v="0"/>
    <n v="3.3033850124137509"/>
  </r>
  <r>
    <s v="Proj"/>
    <x v="34"/>
    <s v="Period"/>
    <s v="ALL"/>
    <x v="1"/>
    <n v="2.8770754133687799E-3"/>
    <s v="CRT_STACR_2014-HQ1_2015-06-01"/>
    <x v="0"/>
    <n v="3.3983791383955575"/>
  </r>
  <r>
    <s v="Proj"/>
    <x v="35"/>
    <s v="Period"/>
    <s v="ALL"/>
    <x v="1"/>
    <n v="2.71252315856285E-3"/>
    <s v="CRT_STACR_2014-HQ1_2015-06-01"/>
    <x v="0"/>
    <n v="3.2069028410266265"/>
  </r>
  <r>
    <s v="Proj"/>
    <x v="36"/>
    <s v="Period"/>
    <s v="ALL"/>
    <x v="1"/>
    <n v="2.6937522339615001E-3"/>
    <s v="CRT_STACR_2014-HQ1_2015-06-01"/>
    <x v="0"/>
    <n v="3.1850385252375268"/>
  </r>
  <r>
    <s v="Proj"/>
    <x v="37"/>
    <s v="Period"/>
    <s v="ALL"/>
    <x v="1"/>
    <n v="2.9430304697796198E-3"/>
    <s v="CRT_STACR_2014-HQ1_2015-06-01"/>
    <x v="0"/>
    <n v="3.4750282392168819"/>
  </r>
  <r>
    <s v="Proj"/>
    <x v="38"/>
    <s v="Period"/>
    <s v="ALL"/>
    <x v="1"/>
    <n v="2.4336163604047399E-3"/>
    <s v="CRT_STACR_2014-HQ1_2015-06-01"/>
    <x v="0"/>
    <n v="2.8815665657127232"/>
  </r>
  <r>
    <s v="Proj"/>
    <x v="39"/>
    <s v="Period"/>
    <s v="ALL"/>
    <x v="1"/>
    <n v="2.9559835528848101E-3"/>
    <s v="CRT_STACR_2014-HQ1_2015-06-01"/>
    <x v="0"/>
    <n v="3.4900750020789073"/>
  </r>
  <r>
    <s v="Proj"/>
    <x v="40"/>
    <s v="Period"/>
    <s v="ALL"/>
    <x v="1"/>
    <n v="2.7124352994932301E-3"/>
    <s v="CRT_STACR_2014-HQ1_2015-06-01"/>
    <x v="0"/>
    <n v="3.2068005135942101"/>
  </r>
  <r>
    <s v="Proj"/>
    <x v="41"/>
    <s v="Period"/>
    <s v="ALL"/>
    <x v="1"/>
    <n v="2.5988293576281601E-3"/>
    <s v="CRT_STACR_2014-HQ1_2015-06-01"/>
    <x v="0"/>
    <n v="3.0744032978970548"/>
  </r>
  <r>
    <s v="Proj"/>
    <x v="42"/>
    <s v="Period"/>
    <s v="ALL"/>
    <x v="1"/>
    <n v="2.7469345175284402E-3"/>
    <s v="CRT_STACR_2014-HQ1_2015-06-01"/>
    <x v="0"/>
    <n v="3.2469733328971295"/>
  </r>
  <r>
    <s v="Proj"/>
    <x v="43"/>
    <s v="Period"/>
    <s v="ALL"/>
    <x v="1"/>
    <n v="2.5027956546396098E-3"/>
    <s v="CRT_STACR_2014-HQ1_2015-06-01"/>
    <x v="0"/>
    <n v="2.9623554473762748"/>
  </r>
  <r>
    <s v="Proj"/>
    <x v="44"/>
    <s v="Period"/>
    <s v="ALL"/>
    <x v="1"/>
    <n v="2.7862581311972898E-3"/>
    <s v="CRT_STACR_2014-HQ1_2015-06-01"/>
    <x v="0"/>
    <n v="3.2927453088180569"/>
  </r>
  <r>
    <s v="Proj"/>
    <x v="45"/>
    <s v="Period"/>
    <s v="ALL"/>
    <x v="1"/>
    <n v="2.8066637383319798E-3"/>
    <s v="CRT_STACR_2014-HQ1_2015-06-01"/>
    <x v="0"/>
    <n v="3.3164892435850857"/>
  </r>
  <r>
    <s v="Proj"/>
    <x v="46"/>
    <s v="Period"/>
    <s v="ALL"/>
    <x v="1"/>
    <n v="2.9618951991668102E-3"/>
    <s v="CRT_STACR_2014-HQ1_2015-06-01"/>
    <x v="0"/>
    <n v="3.4969414664465681"/>
  </r>
  <r>
    <s v="Proj"/>
    <x v="47"/>
    <s v="Period"/>
    <s v="ALL"/>
    <x v="1"/>
    <n v="2.7123083821964998E-3"/>
    <s v="CRT_STACR_2014-HQ1_2015-06-01"/>
    <x v="0"/>
    <n v="3.2066526957700403"/>
  </r>
  <r>
    <s v="Proj"/>
    <x v="48"/>
    <s v="Period"/>
    <s v="ALL"/>
    <x v="1"/>
    <n v="3.00515316262784E-3"/>
    <s v="CRT_STACR_2014-HQ1_2015-06-01"/>
    <x v="0"/>
    <n v="3.5471726031130357"/>
  </r>
  <r>
    <s v="Proj"/>
    <x v="49"/>
    <s v="Period"/>
    <s v="ALL"/>
    <x v="1"/>
    <n v="3.0266751835878601E-3"/>
    <s v="CRT_STACR_2014-HQ1_2015-06-01"/>
    <x v="0"/>
    <n v="3.5721550390970802"/>
  </r>
  <r>
    <s v="Proj"/>
    <x v="50"/>
    <s v="Period"/>
    <s v="ALL"/>
    <x v="1"/>
    <n v="2.7709677446104198E-3"/>
    <s v="CRT_STACR_2014-HQ1_2015-06-01"/>
    <x v="0"/>
    <n v="3.2749499341005905"/>
  </r>
  <r>
    <s v="Proj"/>
    <x v="51"/>
    <s v="Period"/>
    <s v="ALL"/>
    <x v="1"/>
    <n v="3.2088079343638299E-3"/>
    <s v="CRT_STACR_2014-HQ1_2015-06-01"/>
    <x v="0"/>
    <n v="3.7833346062255413"/>
  </r>
  <r>
    <s v="Proj"/>
    <x v="52"/>
    <s v="Period"/>
    <s v="ALL"/>
    <x v="1"/>
    <n v="2.8094073952980299E-3"/>
    <s v="CRT_STACR_2014-HQ1_2015-06-01"/>
    <x v="0"/>
    <n v="3.3196813512418544"/>
  </r>
  <r>
    <s v="Proj"/>
    <x v="53"/>
    <s v="Period"/>
    <s v="ALL"/>
    <x v="1"/>
    <n v="2.9697956901908601E-3"/>
    <s v="CRT_STACR_2014-HQ1_2015-06-01"/>
    <x v="0"/>
    <n v="3.5061173041672999"/>
  </r>
  <r>
    <s v="Proj"/>
    <x v="54"/>
    <s v="Period"/>
    <s v="ALL"/>
    <x v="1"/>
    <n v="2.9895287555833602E-3"/>
    <s v="CRT_STACR_2014-HQ1_2015-06-01"/>
    <x v="0"/>
    <n v="3.5290323111077826"/>
  </r>
  <r>
    <s v="Proj"/>
    <x v="55"/>
    <s v="Period"/>
    <s v="ALL"/>
    <x v="1"/>
    <n v="2.7224950960248601E-3"/>
    <s v="CRT_STACR_2014-HQ1_2015-06-01"/>
    <x v="0"/>
    <n v="3.2185162823340163"/>
  </r>
  <r>
    <s v="Proj"/>
    <x v="56"/>
    <s v="Period"/>
    <s v="ALL"/>
    <x v="1"/>
    <n v="3.1726392866063299E-3"/>
    <s v="CRT_STACR_2014-HQ1_2015-06-01"/>
    <x v="0"/>
    <n v="3.7414314920027669"/>
  </r>
  <r>
    <s v="Proj"/>
    <x v="57"/>
    <s v="Period"/>
    <s v="ALL"/>
    <x v="1"/>
    <n v="3.0475930391456098E-3"/>
    <s v="CRT_STACR_2014-HQ1_2015-06-01"/>
    <x v="0"/>
    <n v="3.5964304848043693"/>
  </r>
  <r>
    <s v="Proj"/>
    <x v="58"/>
    <s v="Period"/>
    <s v="ALL"/>
    <x v="1"/>
    <n v="2.9205408291135999E-3"/>
    <s v="CRT_STACR_2014-HQ1_2015-06-01"/>
    <x v="0"/>
    <n v="3.4488983631075887"/>
  </r>
  <r>
    <s v="Proj"/>
    <x v="59"/>
    <s v="Period"/>
    <s v="ALL"/>
    <x v="1"/>
    <n v="3.2322755189005399E-3"/>
    <s v="CRT_STACR_2014-HQ1_2015-06-01"/>
    <x v="0"/>
    <n v="3.8105139841085767"/>
  </r>
  <r>
    <s v="Proj"/>
    <x v="60"/>
    <s v="Period"/>
    <s v="ALL"/>
    <x v="1"/>
    <n v="3.2517597611637999E-3"/>
    <s v="CRT_STACR_2014-HQ1_2015-06-01"/>
    <x v="0"/>
    <n v="3.8330746395700444"/>
  </r>
  <r>
    <s v="Proj"/>
    <x v="61"/>
    <s v="Period"/>
    <s v="ALL"/>
    <x v="1"/>
    <n v="3.1223652470443401E-3"/>
    <s v="CRT_STACR_2014-HQ1_2015-06-01"/>
    <x v="0"/>
    <n v="3.6831588177966168"/>
  </r>
  <r>
    <s v="Proj"/>
    <x v="62"/>
    <s v="Period"/>
    <s v="ALL"/>
    <x v="1"/>
    <n v="3.1405938882673999E-3"/>
    <s v="CRT_STACR_2014-HQ1_2015-06-01"/>
    <x v="0"/>
    <n v="3.7042913843048475"/>
  </r>
  <r>
    <s v="Proj"/>
    <x v="63"/>
    <s v="Period"/>
    <s v="ALL"/>
    <x v="1"/>
    <n v="3.3090516962952501E-3"/>
    <s v="CRT_STACR_2014-HQ1_2015-06-01"/>
    <x v="0"/>
    <n v="3.8993844369017538"/>
  </r>
  <r>
    <s v="Proj"/>
    <x v="64"/>
    <s v="Period"/>
    <s v="ALL"/>
    <x v="1"/>
    <n v="3.02524403357903E-3"/>
    <s v="CRT_STACR_2014-HQ1_2015-06-01"/>
    <x v="0"/>
    <n v="3.5704939659594648"/>
  </r>
  <r>
    <s v="Proj"/>
    <x v="65"/>
    <s v="Period"/>
    <s v="ALL"/>
    <x v="1"/>
    <n v="3.3462982056897102E-3"/>
    <s v="CRT_STACR_2014-HQ1_2015-06-01"/>
    <x v="0"/>
    <n v="3.9424711355044995"/>
  </r>
  <r>
    <s v="Proj"/>
    <x v="66"/>
    <s v="Period"/>
    <s v="ALL"/>
    <x v="1"/>
    <n v="2.9058280622690398E-3"/>
    <s v="CRT_STACR_2014-HQ1_2015-06-01"/>
    <x v="0"/>
    <n v="3.4318006388347477"/>
  </r>
  <r>
    <s v="Proj"/>
    <x v="67"/>
    <s v="Period"/>
    <s v="ALL"/>
    <x v="1"/>
    <n v="2.9215133179198798E-3"/>
    <s v="CRT_STACR_2014-HQ1_2015-06-01"/>
    <x v="0"/>
    <n v="3.4500283957567768"/>
  </r>
  <r>
    <s v="Proj"/>
    <x v="68"/>
    <s v="Period"/>
    <s v="ALL"/>
    <x v="1"/>
    <n v="3.5553670123650901E-3"/>
    <s v="CRT_STACR_2014-HQ1_2015-06-01"/>
    <x v="0"/>
    <n v="4.1839930880401948"/>
  </r>
  <r>
    <s v="Proj"/>
    <x v="69"/>
    <s v="Period"/>
    <s v="ALL"/>
    <x v="1"/>
    <n v="3.2631974865660902E-3"/>
    <s v="CRT_STACR_2014-HQ1_2015-06-01"/>
    <x v="0"/>
    <n v="3.8463160350240444"/>
  </r>
  <r>
    <s v="Proj"/>
    <x v="70"/>
    <s v="Period"/>
    <s v="ALL"/>
    <x v="1"/>
    <n v="3.12382989578444E-3"/>
    <s v="CRT_STACR_2014-HQ1_2015-06-01"/>
    <x v="0"/>
    <n v="3.6848569503883599"/>
  </r>
  <r>
    <s v="Proj"/>
    <x v="71"/>
    <s v="Period"/>
    <s v="ALL"/>
    <x v="1"/>
    <n v="3.4536629202876101E-3"/>
    <s v="CRT_STACR_2014-HQ1_2015-06-01"/>
    <x v="0"/>
    <n v="4.0665713829608379"/>
  </r>
  <r>
    <s v="Proj"/>
    <x v="0"/>
    <s v="Period"/>
    <s v="ALL"/>
    <x v="0"/>
    <n v="1.78072612836641E-2"/>
    <s v="CRT_STACR_2014-HQ1_2015-06-01"/>
    <x v="1"/>
    <n v="19.395251141750457"/>
  </r>
  <r>
    <s v="Proj"/>
    <x v="1"/>
    <s v="Period"/>
    <s v="ALL"/>
    <x v="0"/>
    <n v="1.6983908321336699E-2"/>
    <s v="CRT_STACR_2014-HQ1_2015-06-01"/>
    <x v="1"/>
    <n v="18.580669684624763"/>
  </r>
  <r>
    <s v="Proj"/>
    <x v="2"/>
    <s v="Period"/>
    <s v="ALL"/>
    <x v="0"/>
    <n v="1.69666461743831E-2"/>
    <s v="CRT_STACR_2014-HQ1_2015-06-01"/>
    <x v="1"/>
    <n v="18.563510964133943"/>
  </r>
  <r>
    <s v="Proj"/>
    <x v="3"/>
    <s v="Period"/>
    <s v="ALL"/>
    <x v="0"/>
    <n v="1.7757127354287E-2"/>
    <s v="CRT_STACR_2014-HQ1_2015-06-01"/>
    <x v="1"/>
    <n v="19.345865713215581"/>
  </r>
  <r>
    <s v="Proj"/>
    <x v="4"/>
    <s v="Period"/>
    <s v="ALL"/>
    <x v="0"/>
    <n v="1.4906538322281501E-2"/>
    <s v="CRT_STACR_2014-HQ1_2015-06-01"/>
    <x v="1"/>
    <n v="16.49177769929754"/>
  </r>
  <r>
    <s v="Proj"/>
    <x v="5"/>
    <s v="Period"/>
    <s v="ALL"/>
    <x v="0"/>
    <n v="1.6386139639188699E-2"/>
    <s v="CRT_STACR_2014-HQ1_2015-06-01"/>
    <x v="1"/>
    <n v="17.984548811258559"/>
  </r>
  <r>
    <s v="Proj"/>
    <x v="6"/>
    <s v="Period"/>
    <s v="ALL"/>
    <x v="0"/>
    <n v="1.4143508797787901E-2"/>
    <s v="CRT_STACR_2014-HQ1_2015-06-01"/>
    <x v="1"/>
    <n v="15.712261054570309"/>
  </r>
  <r>
    <s v="Proj"/>
    <x v="7"/>
    <s v="Period"/>
    <s v="ALL"/>
    <x v="0"/>
    <n v="1.48805277911877E-2"/>
    <s v="CRT_STACR_2014-HQ1_2015-06-01"/>
    <x v="1"/>
    <n v="16.465314317753698"/>
  </r>
  <r>
    <s v="Proj"/>
    <x v="8"/>
    <s v="Period"/>
    <s v="ALL"/>
    <x v="0"/>
    <n v="1.6361516239838302E-2"/>
    <s v="CRT_STACR_2014-HQ1_2015-06-01"/>
    <x v="1"/>
    <n v="17.959907711332967"/>
  </r>
  <r>
    <s v="Proj"/>
    <x v="9"/>
    <s v="Period"/>
    <s v="ALL"/>
    <x v="0"/>
    <n v="1.5611776144184001E-2"/>
    <s v="CRT_STACR_2014-HQ1_2015-06-01"/>
    <x v="1"/>
    <n v="17.206371629172512"/>
  </r>
  <r>
    <s v="Proj"/>
    <x v="10"/>
    <s v="Period"/>
    <s v="ALL"/>
    <x v="0"/>
    <n v="1.56062324574383E-2"/>
    <s v="CRT_STACR_2014-HQ1_2015-06-01"/>
    <x v="1"/>
    <n v="17.200776322616019"/>
  </r>
  <r>
    <s v="Proj"/>
    <x v="11"/>
    <s v="Period"/>
    <s v="ALL"/>
    <x v="0"/>
    <n v="1.63439335295603E-2"/>
    <s v="CRT_STACR_2014-HQ1_2015-06-01"/>
    <x v="1"/>
    <n v="17.942308208807589"/>
  </r>
  <r>
    <s v="Proj"/>
    <x v="12"/>
    <s v="Period"/>
    <s v="ALL"/>
    <x v="0"/>
    <n v="1.48533874642815E-2"/>
    <s v="CRT_STACR_2014-HQ1_2015-06-01"/>
    <x v="1"/>
    <n v="16.437693275135889"/>
  </r>
  <r>
    <s v="Proj"/>
    <x v="13"/>
    <s v="Period"/>
    <s v="ALL"/>
    <x v="0"/>
    <n v="1.7076131078207699E-2"/>
    <s v="CRT_STACR_2014-HQ1_2015-06-01"/>
    <x v="1"/>
    <n v="18.672283752397522"/>
  </r>
  <r>
    <s v="Proj"/>
    <x v="14"/>
    <s v="Period"/>
    <s v="ALL"/>
    <x v="0"/>
    <n v="1.55865600154248E-2"/>
    <s v="CRT_STACR_2014-HQ1_2015-06-01"/>
    <x v="1"/>
    <n v="17.180917903840953"/>
  </r>
  <r>
    <s v="Proj"/>
    <x v="15"/>
    <s v="Period"/>
    <s v="ALL"/>
    <x v="0"/>
    <n v="1.55819549491667E-2"/>
    <s v="CRT_STACR_2014-HQ1_2015-06-01"/>
    <x v="1"/>
    <n v="17.176268672233764"/>
  </r>
  <r>
    <s v="Proj"/>
    <x v="16"/>
    <s v="Period"/>
    <s v="ALL"/>
    <x v="0"/>
    <n v="1.5577413848712101E-2"/>
    <s v="CRT_STACR_2014-HQ1_2015-06-01"/>
    <x v="1"/>
    <n v="17.171683785618043"/>
  </r>
  <r>
    <s v="Proj"/>
    <x v="17"/>
    <s v="Period"/>
    <s v="ALL"/>
    <x v="0"/>
    <n v="1.5572922669686899E-2"/>
    <s v="CRT_STACR_2014-HQ1_2015-06-01"/>
    <x v="1"/>
    <n v="17.167149072951382"/>
  </r>
  <r>
    <s v="Proj"/>
    <x v="18"/>
    <s v="Period"/>
    <s v="ALL"/>
    <x v="0"/>
    <n v="1.4827116228423099E-2"/>
    <s v="CRT_STACR_2014-HQ1_2015-06-01"/>
    <x v="1"/>
    <n v="16.410948743273266"/>
  </r>
  <r>
    <s v="Proj"/>
    <x v="19"/>
    <s v="Period"/>
    <s v="ALL"/>
    <x v="0"/>
    <n v="1.40817646705095E-2"/>
    <s v="CRT_STACR_2014-HQ1_2015-06-01"/>
    <x v="1"/>
    <n v="15.64889200249997"/>
  </r>
  <r>
    <s v="Proj"/>
    <x v="20"/>
    <s v="Period"/>
    <s v="ALL"/>
    <x v="0"/>
    <n v="1.70415426770705E-2"/>
    <s v="CRT_STACR_2014-HQ1_2015-06-01"/>
    <x v="1"/>
    <n v="18.637934721840509"/>
  </r>
  <r>
    <s v="Proj"/>
    <x v="21"/>
    <s v="Period"/>
    <s v="ALL"/>
    <x v="0"/>
    <n v="1.40738521977794E-2"/>
    <s v="CRT_STACR_2014-HQ1_2015-06-01"/>
    <x v="1"/>
    <n v="15.640768140553407"/>
  </r>
  <r>
    <s v="Proj"/>
    <x v="22"/>
    <s v="Period"/>
    <s v="ALL"/>
    <x v="0"/>
    <n v="1.6291499196774799E-2"/>
    <s v="CRT_STACR_2014-HQ1_2015-06-01"/>
    <x v="1"/>
    <n v="17.889803247282877"/>
  </r>
  <r>
    <s v="Proj"/>
    <x v="23"/>
    <s v="Period"/>
    <s v="ALL"/>
    <x v="0"/>
    <n v="1.6286984048979099E-2"/>
    <s v="CRT_STACR_2014-HQ1_2015-06-01"/>
    <x v="1"/>
    <n v="17.885280577818776"/>
  </r>
  <r>
    <s v="Proj"/>
    <x v="24"/>
    <s v="Period"/>
    <s v="ALL"/>
    <x v="0"/>
    <n v="1.4802266306909499E-2"/>
    <s v="CRT_STACR_2014-HQ1_2015-06-01"/>
    <x v="1"/>
    <n v="16.385643910886749"/>
  </r>
  <r>
    <s v="Proj"/>
    <x v="25"/>
    <s v="Period"/>
    <s v="ALL"/>
    <x v="0"/>
    <n v="1.70179353638341E-2"/>
    <s v="CRT_STACR_2014-HQ1_2015-06-01"/>
    <x v="1"/>
    <n v="18.614483148934045"/>
  </r>
  <r>
    <s v="Proj"/>
    <x v="26"/>
    <s v="Period"/>
    <s v="ALL"/>
    <x v="0"/>
    <n v="1.47941637068507E-2"/>
    <s v="CRT_STACR_2014-HQ1_2015-06-01"/>
    <x v="1"/>
    <n v="16.377391463973112"/>
  </r>
  <r>
    <s v="Proj"/>
    <x v="27"/>
    <s v="Period"/>
    <s v="ALL"/>
    <x v="0"/>
    <n v="1.6269087439682799E-2"/>
    <s v="CRT_STACR_2014-HQ1_2015-06-01"/>
    <x v="1"/>
    <n v="17.867351908583661"/>
  </r>
  <r>
    <s v="Proj"/>
    <x v="28"/>
    <s v="Period"/>
    <s v="ALL"/>
    <x v="0"/>
    <n v="1.3994853948115201E-2"/>
    <s v="CRT_STACR_2014-HQ1_2015-06-01"/>
    <x v="1"/>
    <n v="15.559620042347488"/>
  </r>
  <r>
    <s v="Proj"/>
    <x v="29"/>
    <s v="Period"/>
    <s v="ALL"/>
    <x v="0"/>
    <n v="1.3332249011443999E-2"/>
    <s v="CRT_STACR_2014-HQ1_2015-06-01"/>
    <x v="1"/>
    <n v="14.876160652382964"/>
  </r>
  <r>
    <s v="Proj"/>
    <x v="30"/>
    <s v="Period"/>
    <s v="ALL"/>
    <x v="0"/>
    <n v="1.40023862996199E-2"/>
    <s v="CRT_STACR_2014-HQ1_2015-06-01"/>
    <x v="1"/>
    <n v="15.567360463208434"/>
  </r>
  <r>
    <s v="Proj"/>
    <x v="31"/>
    <s v="Period"/>
    <s v="ALL"/>
    <x v="0"/>
    <n v="1.2671359450558599E-2"/>
    <s v="CRT_STACR_2014-HQ1_2015-06-01"/>
    <x v="1"/>
    <n v="14.189422814037755"/>
  </r>
  <r>
    <s v="Proj"/>
    <x v="32"/>
    <s v="Period"/>
    <s v="ALL"/>
    <x v="0"/>
    <n v="1.40071105283316E-2"/>
    <s v="CRT_STACR_2014-HQ1_2015-06-01"/>
    <x v="1"/>
    <n v="15.57221485940371"/>
  </r>
  <r>
    <s v="Proj"/>
    <x v="33"/>
    <s v="Period"/>
    <s v="ALL"/>
    <x v="0"/>
    <n v="1.40082044002874E-2"/>
    <s v="CRT_STACR_2014-HQ1_2015-06-01"/>
    <x v="1"/>
    <n v="15.573338834522655"/>
  </r>
  <r>
    <s v="Proj"/>
    <x v="34"/>
    <s v="Period"/>
    <s v="ALL"/>
    <x v="0"/>
    <n v="1.4675672177888901E-2"/>
    <s v="CRT_STACR_2014-HQ1_2015-06-01"/>
    <x v="1"/>
    <n v="16.256623266049896"/>
  </r>
  <r>
    <s v="Proj"/>
    <x v="35"/>
    <s v="Period"/>
    <s v="ALL"/>
    <x v="0"/>
    <n v="1.40084356075749E-2"/>
    <s v="CRT_STACR_2014-HQ1_2015-06-01"/>
    <x v="1"/>
    <n v="15.573576402837974"/>
  </r>
  <r>
    <s v="Proj"/>
    <x v="36"/>
    <s v="Period"/>
    <s v="ALL"/>
    <x v="0"/>
    <n v="1.4007860391186301E-2"/>
    <s v="CRT_STACR_2014-HQ1_2015-06-01"/>
    <x v="1"/>
    <n v="15.572985359830337"/>
  </r>
  <r>
    <s v="Proj"/>
    <x v="37"/>
    <s v="Period"/>
    <s v="ALL"/>
    <x v="0"/>
    <n v="1.53409818634742E-2"/>
    <s v="CRT_STACR_2014-HQ1_2015-06-01"/>
    <x v="1"/>
    <n v="16.932650433852281"/>
  </r>
  <r>
    <s v="Proj"/>
    <x v="38"/>
    <s v="Period"/>
    <s v="ALL"/>
    <x v="0"/>
    <n v="1.26719972278765E-2"/>
    <s v="CRT_STACR_2014-HQ1_2015-06-01"/>
    <x v="1"/>
    <n v="14.190087976696763"/>
  </r>
  <r>
    <s v="Proj"/>
    <x v="39"/>
    <s v="Period"/>
    <s v="ALL"/>
    <x v="0"/>
    <n v="1.53384255897494E-2"/>
    <s v="CRT_STACR_2014-HQ1_2015-06-01"/>
    <x v="1"/>
    <n v="16.930062582693871"/>
  </r>
  <r>
    <s v="Proj"/>
    <x v="40"/>
    <s v="Period"/>
    <s v="ALL"/>
    <x v="0"/>
    <n v="1.4003303263306101E-2"/>
    <s v="CRT_STACR_2014-HQ1_2015-06-01"/>
    <x v="1"/>
    <n v="15.568302712162808"/>
  </r>
  <r>
    <s v="Proj"/>
    <x v="41"/>
    <s v="Period"/>
    <s v="ALL"/>
    <x v="0"/>
    <n v="1.3335129643959E-2"/>
    <s v="CRT_STACR_2014-HQ1_2015-06-01"/>
    <x v="1"/>
    <n v="14.879142891075603"/>
  </r>
  <r>
    <s v="Proj"/>
    <x v="42"/>
    <s v="Period"/>
    <s v="ALL"/>
    <x v="0"/>
    <n v="1.4000421220978001E-2"/>
    <s v="CRT_STACR_2014-HQ1_2015-06-01"/>
    <x v="1"/>
    <n v="15.565341165071889"/>
  </r>
  <r>
    <s v="Proj"/>
    <x v="43"/>
    <s v="Period"/>
    <s v="ALL"/>
    <x v="0"/>
    <n v="1.2665693765954E-2"/>
    <s v="CRT_STACR_2014-HQ1_2015-06-01"/>
    <x v="1"/>
    <n v="14.183513644701085"/>
  </r>
  <r>
    <s v="Proj"/>
    <x v="44"/>
    <s v="Period"/>
    <s v="ALL"/>
    <x v="0"/>
    <n v="1.3997407700344799E-2"/>
    <s v="CRT_STACR_2014-HQ1_2015-06-01"/>
    <x v="1"/>
    <n v="15.562244410843284"/>
  </r>
  <r>
    <s v="Proj"/>
    <x v="45"/>
    <s v="Period"/>
    <s v="ALL"/>
    <x v="0"/>
    <n v="1.3995877951607401E-2"/>
    <s v="CRT_STACR_2014-HQ1_2015-06-01"/>
    <x v="1"/>
    <n v="15.560672370527474"/>
  </r>
  <r>
    <s v="Proj"/>
    <x v="46"/>
    <s v="Period"/>
    <s v="ALL"/>
    <x v="0"/>
    <n v="1.46607379012277E-2"/>
    <s v="CRT_STACR_2014-HQ1_2015-06-01"/>
    <x v="1"/>
    <n v="16.241390705769643"/>
  </r>
  <r>
    <s v="Proj"/>
    <x v="47"/>
    <s v="Period"/>
    <s v="ALL"/>
    <x v="0"/>
    <n v="1.33264758376343E-2"/>
    <s v="CRT_STACR_2014-HQ1_2015-06-01"/>
    <x v="1"/>
    <n v="14.870183557846396"/>
  </r>
  <r>
    <s v="Proj"/>
    <x v="48"/>
    <s v="Period"/>
    <s v="ALL"/>
    <x v="0"/>
    <n v="1.4657507470251799E-2"/>
    <s v="CRT_STACR_2014-HQ1_2015-06-01"/>
    <x v="1"/>
    <n v="16.238095419014563"/>
  </r>
  <r>
    <s v="Proj"/>
    <x v="49"/>
    <s v="Period"/>
    <s v="ALL"/>
    <x v="0"/>
    <n v="1.4655891799184599E-2"/>
    <s v="CRT_STACR_2014-HQ1_2015-06-01"/>
    <x v="1"/>
    <n v="16.236447266329236"/>
  </r>
  <r>
    <s v="Proj"/>
    <x v="50"/>
    <s v="Period"/>
    <s v="ALL"/>
    <x v="0"/>
    <n v="1.3322070537692399E-2"/>
    <s v="CRT_STACR_2014-HQ1_2015-06-01"/>
    <x v="1"/>
    <n v="14.865622394597377"/>
  </r>
  <r>
    <s v="Proj"/>
    <x v="51"/>
    <s v="Period"/>
    <s v="ALL"/>
    <x v="0"/>
    <n v="1.5318695897506601E-2"/>
    <s v="CRT_STACR_2014-HQ1_2015-06-01"/>
    <x v="1"/>
    <n v="16.910086684713932"/>
  </r>
  <r>
    <s v="Proj"/>
    <x v="52"/>
    <s v="Period"/>
    <s v="ALL"/>
    <x v="0"/>
    <n v="1.3319142250599899E-2"/>
    <s v="CRT_STACR_2014-HQ1_2015-06-01"/>
    <x v="1"/>
    <n v="14.862590378240704"/>
  </r>
  <r>
    <s v="Proj"/>
    <x v="53"/>
    <s v="Period"/>
    <s v="ALL"/>
    <x v="0"/>
    <n v="1.39835663295914E-2"/>
    <s v="CRT_STACR_2014-HQ1_2015-06-01"/>
    <x v="1"/>
    <n v="15.548019403363778"/>
  </r>
  <r>
    <s v="Proj"/>
    <x v="54"/>
    <s v="Period"/>
    <s v="ALL"/>
    <x v="0"/>
    <n v="1.39820364948475E-2"/>
    <s v="CRT_STACR_2014-HQ1_2015-06-01"/>
    <x v="1"/>
    <n v="15.546447031883581"/>
  </r>
  <r>
    <s v="Proj"/>
    <x v="55"/>
    <s v="Period"/>
    <s v="ALL"/>
    <x v="0"/>
    <n v="1.2649032846715799E-2"/>
    <s v="CRT_STACR_2014-HQ1_2015-06-01"/>
    <x v="1"/>
    <n v="14.166134555421174"/>
  </r>
  <r>
    <s v="Proj"/>
    <x v="56"/>
    <s v="Period"/>
    <s v="ALL"/>
    <x v="0"/>
    <n v="1.46446529267386E-2"/>
    <s v="CRT_STACR_2014-HQ1_2015-06-01"/>
    <x v="1"/>
    <n v="16.224981623777634"/>
  </r>
  <r>
    <s v="Proj"/>
    <x v="57"/>
    <s v="Period"/>
    <s v="ALL"/>
    <x v="0"/>
    <n v="1.3977467219581E-2"/>
    <s v="CRT_STACR_2014-HQ1_2015-06-01"/>
    <x v="1"/>
    <n v="15.541750549094735"/>
  </r>
  <r>
    <s v="Proj"/>
    <x v="58"/>
    <s v="Period"/>
    <s v="ALL"/>
    <x v="0"/>
    <n v="1.33104295275341E-2"/>
    <s v="CRT_STACR_2014-HQ1_2015-06-01"/>
    <x v="1"/>
    <n v="14.853568437332543"/>
  </r>
  <r>
    <s v="Proj"/>
    <x v="59"/>
    <s v="Period"/>
    <s v="ALL"/>
    <x v="0"/>
    <n v="1.46398876701339E-2"/>
    <s v="CRT_STACR_2014-HQ1_2015-06-01"/>
    <x v="1"/>
    <n v="16.220119782867215"/>
  </r>
  <r>
    <s v="Proj"/>
    <x v="60"/>
    <s v="Period"/>
    <s v="ALL"/>
    <x v="0"/>
    <n v="1.46383064463821E-2"/>
    <s v="CRT_STACR_2014-HQ1_2015-06-01"/>
    <x v="1"/>
    <n v="16.218506453030702"/>
  </r>
  <r>
    <s v="Proj"/>
    <x v="61"/>
    <s v="Period"/>
    <s v="ALL"/>
    <x v="0"/>
    <n v="1.39714229270198E-2"/>
    <s v="CRT_STACR_2014-HQ1_2015-06-01"/>
    <x v="1"/>
    <n v="15.535537617076844"/>
  </r>
  <r>
    <s v="Proj"/>
    <x v="62"/>
    <s v="Period"/>
    <s v="ALL"/>
    <x v="0"/>
    <n v="1.39699203371953E-2"/>
    <s v="CRT_STACR_2014-HQ1_2015-06-01"/>
    <x v="1"/>
    <n v="15.533993039058947"/>
  </r>
  <r>
    <s v="Proj"/>
    <x v="63"/>
    <s v="Period"/>
    <s v="ALL"/>
    <x v="0"/>
    <n v="1.4633583983272001E-2"/>
    <s v="CRT_STACR_2014-HQ1_2015-06-01"/>
    <x v="1"/>
    <n v="16.213687932750396"/>
  </r>
  <r>
    <s v="Proj"/>
    <x v="64"/>
    <s v="Period"/>
    <s v="ALL"/>
    <x v="0"/>
    <n v="1.3301833430065401E-2"/>
    <s v="CRT_STACR_2014-HQ1_2015-06-01"/>
    <x v="1"/>
    <n v="14.844666402256912"/>
  </r>
  <r>
    <s v="Proj"/>
    <x v="65"/>
    <s v="Period"/>
    <s v="ALL"/>
    <x v="0"/>
    <n v="1.46304529661227E-2"/>
    <s v="CRT_STACR_2014-HQ1_2015-06-01"/>
    <x v="1"/>
    <n v="16.210493089162348"/>
  </r>
  <r>
    <s v="Proj"/>
    <x v="66"/>
    <s v="Period"/>
    <s v="ALL"/>
    <x v="0"/>
    <n v="1.2634043539191E-2"/>
    <s v="CRT_STACR_2014-HQ1_2015-06-01"/>
    <x v="1"/>
    <n v="14.15049637592498"/>
  </r>
  <r>
    <s v="Proj"/>
    <x v="67"/>
    <s v="Period"/>
    <s v="ALL"/>
    <x v="0"/>
    <n v="1.26326987440272E-2"/>
    <s v="CRT_STACR_2014-HQ1_2015-06-01"/>
    <x v="1"/>
    <n v="14.149093238277333"/>
  </r>
  <r>
    <s v="Proj"/>
    <x v="68"/>
    <s v="Period"/>
    <s v="ALL"/>
    <x v="0"/>
    <n v="1.5290589779154699E-2"/>
    <s v="CRT_STACR_2014-HQ1_2015-06-01"/>
    <x v="1"/>
    <n v="16.88162222722832"/>
  </r>
  <r>
    <s v="Proj"/>
    <x v="69"/>
    <s v="Period"/>
    <s v="ALL"/>
    <x v="0"/>
    <n v="1.39594931265718E-2"/>
    <s v="CRT_STACR_2014-HQ1_2015-06-01"/>
    <x v="1"/>
    <n v="15.523273738407294"/>
  </r>
  <r>
    <s v="Proj"/>
    <x v="70"/>
    <s v="Period"/>
    <s v="ALL"/>
    <x v="0"/>
    <n v="1.32933485843552E-2"/>
    <s v="CRT_STACR_2014-HQ1_2015-06-01"/>
    <x v="1"/>
    <n v="14.835878741774067"/>
  </r>
  <r>
    <s v="Proj"/>
    <x v="71"/>
    <s v="Period"/>
    <s v="ALL"/>
    <x v="0"/>
    <n v="1.4621139127830101E-2"/>
    <s v="CRT_STACR_2014-HQ1_2015-06-01"/>
    <x v="1"/>
    <n v="16.200988726148868"/>
  </r>
  <r>
    <s v="Proj"/>
    <x v="0"/>
    <s v="Period"/>
    <s v="ALL"/>
    <x v="1"/>
    <n v="1.8302618439273199E-4"/>
    <s v="CRT_STACR_2014-HQ1_2015-06-01"/>
    <x v="1"/>
    <n v="0.21941046544478038"/>
  </r>
  <r>
    <s v="Proj"/>
    <x v="1"/>
    <s v="Period"/>
    <s v="ALL"/>
    <x v="1"/>
    <n v="1.6901816916798301E-4"/>
    <s v="CRT_STACR_2014-HQ1_2015-06-01"/>
    <x v="1"/>
    <n v="0.2026333660513191"/>
  </r>
  <r>
    <s v="Proj"/>
    <x v="2"/>
    <s v="Period"/>
    <s v="ALL"/>
    <x v="1"/>
    <n v="2.2732014468340199E-4"/>
    <s v="CRT_STACR_2014-HQ1_2015-06-01"/>
    <x v="1"/>
    <n v="0.27244338055614215"/>
  </r>
  <r>
    <s v="Proj"/>
    <x v="3"/>
    <s v="Period"/>
    <s v="ALL"/>
    <x v="1"/>
    <n v="3.2390405351638899E-4"/>
    <s v="CRT_STACR_2014-HQ1_2015-06-01"/>
    <x v="1"/>
    <n v="0.38799317996258686"/>
  </r>
  <r>
    <s v="Proj"/>
    <x v="4"/>
    <s v="Period"/>
    <s v="ALL"/>
    <x v="1"/>
    <n v="3.66736489730935E-4"/>
    <s v="CRT_STACR_2014-HQ1_2015-06-01"/>
    <x v="1"/>
    <n v="0.43919720061129652"/>
  </r>
  <r>
    <s v="Proj"/>
    <x v="5"/>
    <s v="Period"/>
    <s v="ALL"/>
    <x v="1"/>
    <n v="4.6434384246618002E-4"/>
    <s v="CRT_STACR_2014-HQ1_2015-06-01"/>
    <x v="1"/>
    <n v="0.5557917509442678"/>
  </r>
  <r>
    <s v="Proj"/>
    <x v="6"/>
    <s v="Period"/>
    <s v="ALL"/>
    <x v="1"/>
    <n v="4.6690770602790998E-4"/>
    <s v="CRT_STACR_2014-HQ1_2015-06-01"/>
    <x v="1"/>
    <n v="0.55885266568163061"/>
  </r>
  <r>
    <s v="Proj"/>
    <x v="7"/>
    <s v="Period"/>
    <s v="ALL"/>
    <x v="1"/>
    <n v="5.5077214430854303E-4"/>
    <s v="CRT_STACR_2014-HQ1_2015-06-01"/>
    <x v="1"/>
    <n v="0.6589281346040754"/>
  </r>
  <r>
    <s v="Proj"/>
    <x v="8"/>
    <s v="Period"/>
    <s v="ALL"/>
    <x v="1"/>
    <n v="6.5702967472537101E-4"/>
    <s v="CRT_STACR_2014-HQ1_2015-06-01"/>
    <x v="1"/>
    <n v="0.78559269959878053"/>
  </r>
  <r>
    <s v="Proj"/>
    <x v="9"/>
    <s v="Period"/>
    <s v="ALL"/>
    <x v="1"/>
    <n v="6.6507155067293297E-4"/>
    <s v="CRT_STACR_2014-HQ1_2015-06-01"/>
    <x v="1"/>
    <n v="0.79517300986804429"/>
  </r>
  <r>
    <s v="Proj"/>
    <x v="10"/>
    <s v="Period"/>
    <s v="ALL"/>
    <x v="1"/>
    <n v="6.9503163489995903E-4"/>
    <s v="CRT_STACR_2014-HQ1_2015-06-01"/>
    <x v="1"/>
    <n v="0.83085708157729643"/>
  </r>
  <r>
    <s v="Proj"/>
    <x v="11"/>
    <s v="Period"/>
    <s v="ALL"/>
    <x v="1"/>
    <n v="7.5373015813660601E-4"/>
    <s v="CRT_STACR_2014-HQ1_2015-06-01"/>
    <x v="1"/>
    <n v="0.9007360738307213"/>
  </r>
  <r>
    <s v="Proj"/>
    <x v="12"/>
    <s v="Period"/>
    <s v="ALL"/>
    <x v="1"/>
    <n v="7.04893730513469E-4"/>
    <s v="CRT_STACR_2014-HQ1_2015-06-01"/>
    <x v="1"/>
    <n v="0.84260079365073848"/>
  </r>
  <r>
    <s v="Proj"/>
    <x v="13"/>
    <s v="Period"/>
    <s v="ALL"/>
    <x v="1"/>
    <n v="8.3046517973276997E-4"/>
    <s v="CRT_STACR_2014-HQ1_2015-06-01"/>
    <x v="1"/>
    <n v="0.99201895470498735"/>
  </r>
  <r>
    <s v="Proj"/>
    <x v="14"/>
    <s v="Period"/>
    <s v="ALL"/>
    <x v="1"/>
    <n v="7.7462999054751997E-4"/>
    <s v="CRT_STACR_2014-HQ1_2015-06-01"/>
    <x v="1"/>
    <n v="0.92560585614477331"/>
  </r>
  <r>
    <s v="Proj"/>
    <x v="15"/>
    <s v="Period"/>
    <s v="ALL"/>
    <x v="1"/>
    <n v="7.8982893107055801E-4"/>
    <s v="CRT_STACR_2014-HQ1_2015-06-01"/>
    <x v="1"/>
    <n v="0.94368826157221752"/>
  </r>
  <r>
    <s v="Proj"/>
    <x v="16"/>
    <s v="Period"/>
    <s v="ALL"/>
    <x v="1"/>
    <n v="8.0421717009693803E-4"/>
    <s v="CRT_STACR_2014-HQ1_2015-06-01"/>
    <x v="1"/>
    <n v="0.96080337581667674"/>
  </r>
  <r>
    <s v="Proj"/>
    <x v="17"/>
    <s v="Period"/>
    <s v="ALL"/>
    <x v="1"/>
    <n v="8.1804090010577303E-4"/>
    <s v="CRT_STACR_2014-HQ1_2015-06-01"/>
    <x v="1"/>
    <n v="0.97724444131678245"/>
  </r>
  <r>
    <s v="Proj"/>
    <x v="18"/>
    <s v="Period"/>
    <s v="ALL"/>
    <x v="1"/>
    <n v="7.91870352362882E-4"/>
    <s v="CRT_STACR_2014-HQ1_2015-06-01"/>
    <x v="1"/>
    <n v="0.94611674035528504"/>
  </r>
  <r>
    <s v="Proj"/>
    <x v="19"/>
    <s v="Period"/>
    <s v="ALL"/>
    <x v="1"/>
    <n v="7.6415730231472198E-4"/>
    <s v="CRT_STACR_2014-HQ1_2015-06-01"/>
    <x v="1"/>
    <n v="0.91314458261750886"/>
  </r>
  <r>
    <s v="Proj"/>
    <x v="20"/>
    <s v="Period"/>
    <s v="ALL"/>
    <x v="1"/>
    <n v="9.3917363725499103E-4"/>
    <s v="CRT_STACR_2014-HQ1_2015-06-01"/>
    <x v="1"/>
    <n v="1.1212050399533546"/>
  </r>
  <r>
    <s v="Proj"/>
    <x v="21"/>
    <s v="Period"/>
    <s v="ALL"/>
    <x v="1"/>
    <n v="7.8736573293040901E-4"/>
    <s v="CRT_STACR_2014-HQ1_2015-06-01"/>
    <x v="1"/>
    <n v="0.94075796356556385"/>
  </r>
  <r>
    <s v="Proj"/>
    <x v="22"/>
    <s v="Period"/>
    <s v="ALL"/>
    <x v="1"/>
    <n v="9.2488720853331399E-4"/>
    <s v="CRT_STACR_2014-HQ1_2015-06-01"/>
    <x v="1"/>
    <n v="1.1042362717724408"/>
  </r>
  <r>
    <s v="Proj"/>
    <x v="23"/>
    <s v="Period"/>
    <s v="ALL"/>
    <x v="1"/>
    <n v="9.3796414180831705E-4"/>
    <s v="CRT_STACR_2014-HQ1_2015-06-01"/>
    <x v="1"/>
    <n v="1.1197685598659857"/>
  </r>
  <r>
    <s v="Proj"/>
    <x v="24"/>
    <s v="Period"/>
    <s v="ALL"/>
    <x v="1"/>
    <n v="8.6448407600565598E-4"/>
    <s v="CRT_STACR_2014-HQ1_2015-06-01"/>
    <x v="1"/>
    <n v="1.0324626809215087"/>
  </r>
  <r>
    <s v="Proj"/>
    <x v="25"/>
    <s v="Period"/>
    <s v="ALL"/>
    <x v="1"/>
    <n v="1.0076115894435301E-3"/>
    <s v="CRT_STACR_2014-HQ1_2015-06-01"/>
    <x v="1"/>
    <n v="1.2024555072282062"/>
  </r>
  <r>
    <s v="Proj"/>
    <x v="26"/>
    <s v="Period"/>
    <s v="ALL"/>
    <x v="1"/>
    <n v="8.8780070819517796E-4"/>
    <s v="CRT_STACR_2014-HQ1_2015-06-01"/>
    <x v="1"/>
    <n v="1.0601741591089175"/>
  </r>
  <r>
    <s v="Proj"/>
    <x v="27"/>
    <s v="Period"/>
    <s v="ALL"/>
    <x v="1"/>
    <n v="9.8927112185062107E-4"/>
    <s v="CRT_STACR_2014-HQ1_2015-06-01"/>
    <x v="1"/>
    <n v="1.1806874598234929"/>
  </r>
  <r>
    <s v="Proj"/>
    <x v="28"/>
    <s v="Period"/>
    <s v="ALL"/>
    <x v="1"/>
    <n v="9.5183421305288299E-4"/>
    <s v="CRT_STACR_2014-HQ1_2015-06-01"/>
    <x v="1"/>
    <n v="1.1362404635746448"/>
  </r>
  <r>
    <s v="Proj"/>
    <x v="29"/>
    <s v="Period"/>
    <s v="ALL"/>
    <x v="1"/>
    <n v="8.86539066133479E-4"/>
    <s v="CRT_STACR_2014-HQ1_2015-06-01"/>
    <x v="1"/>
    <n v="1.0586748979100835"/>
  </r>
  <r>
    <s v="Proj"/>
    <x v="30"/>
    <s v="Period"/>
    <s v="ALL"/>
    <x v="1"/>
    <n v="9.2379707558829503E-4"/>
    <s v="CRT_STACR_2014-HQ1_2015-06-01"/>
    <x v="1"/>
    <n v="1.1029413519918152"/>
  </r>
  <r>
    <s v="Proj"/>
    <x v="31"/>
    <s v="Period"/>
    <s v="ALL"/>
    <x v="1"/>
    <n v="8.1801046753131096E-4"/>
    <s v="CRT_STACR_2014-HQ1_2015-06-01"/>
    <x v="1"/>
    <n v="0.97720824949574236"/>
  </r>
  <r>
    <s v="Proj"/>
    <x v="32"/>
    <s v="Period"/>
    <s v="ALL"/>
    <x v="1"/>
    <n v="8.7881251779142104E-4"/>
    <s v="CRT_STACR_2014-HQ1_2015-06-01"/>
    <x v="1"/>
    <n v="1.0494926681259065"/>
  </r>
  <r>
    <s v="Proj"/>
    <x v="33"/>
    <s v="Period"/>
    <s v="ALL"/>
    <x v="1"/>
    <n v="8.5511727849959401E-4"/>
    <s v="CRT_STACR_2014-HQ1_2015-06-01"/>
    <x v="1"/>
    <n v="1.0213283753120361"/>
  </r>
  <r>
    <s v="Proj"/>
    <x v="34"/>
    <s v="Period"/>
    <s v="ALL"/>
    <x v="1"/>
    <n v="8.7619991264644803E-4"/>
    <s v="CRT_STACR_2014-HQ1_2015-06-01"/>
    <x v="1"/>
    <n v="1.0463876715449572"/>
  </r>
  <r>
    <s v="Proj"/>
    <x v="35"/>
    <s v="Period"/>
    <s v="ALL"/>
    <x v="1"/>
    <n v="8.2324996743026705E-4"/>
    <s v="CRT_STACR_2014-HQ1_2015-06-01"/>
    <x v="1"/>
    <n v="0.98343912574744285"/>
  </r>
  <r>
    <s v="Proj"/>
    <x v="36"/>
    <s v="Period"/>
    <s v="ALL"/>
    <x v="1"/>
    <n v="8.1517422989420697E-4"/>
    <s v="CRT_STACR_2014-HQ1_2015-06-01"/>
    <x v="1"/>
    <n v="0.97383521167203613"/>
  </r>
  <r>
    <s v="Proj"/>
    <x v="37"/>
    <s v="Period"/>
    <s v="ALL"/>
    <x v="1"/>
    <n v="8.88425285299739E-4"/>
    <s v="CRT_STACR_2014-HQ1_2015-06-01"/>
    <x v="1"/>
    <n v="1.0609163620871165"/>
  </r>
  <r>
    <s v="Proj"/>
    <x v="38"/>
    <s v="Period"/>
    <s v="ALL"/>
    <x v="1"/>
    <n v="7.3309654864423804E-4"/>
    <s v="CRT_STACR_2014-HQ1_2015-06-01"/>
    <x v="1"/>
    <n v="0.87617747021173642"/>
  </r>
  <r>
    <s v="Proj"/>
    <x v="39"/>
    <s v="Period"/>
    <s v="ALL"/>
    <x v="1"/>
    <n v="8.8892647990893698E-4"/>
    <s v="CRT_STACR_2014-HQ1_2015-06-01"/>
    <x v="1"/>
    <n v="1.06151194239823"/>
  </r>
  <r>
    <s v="Proj"/>
    <x v="40"/>
    <s v="Period"/>
    <s v="ALL"/>
    <x v="1"/>
    <n v="8.1461592190483305E-4"/>
    <s v="CRT_STACR_2014-HQ1_2015-06-01"/>
    <x v="1"/>
    <n v="0.97317122317931437"/>
  </r>
  <r>
    <s v="Proj"/>
    <x v="41"/>
    <s v="Period"/>
    <s v="ALL"/>
    <x v="1"/>
    <n v="7.7975569814170496E-4"/>
    <s v="CRT_STACR_2014-HQ1_2015-06-01"/>
    <x v="1"/>
    <n v="0.93170432476866738"/>
  </r>
  <r>
    <s v="Proj"/>
    <x v="42"/>
    <s v="Period"/>
    <s v="ALL"/>
    <x v="1"/>
    <n v="8.2366014159918901E-4"/>
    <s v="CRT_STACR_2014-HQ1_2015-06-01"/>
    <x v="1"/>
    <n v="0.98392689462954985"/>
  </r>
  <r>
    <s v="Proj"/>
    <x v="43"/>
    <s v="Period"/>
    <s v="ALL"/>
    <x v="1"/>
    <n v="7.5015220821644595E-4"/>
    <s v="CRT_STACR_2014-HQ1_2015-06-01"/>
    <x v="1"/>
    <n v="0.89647791409127597"/>
  </r>
  <r>
    <s v="Proj"/>
    <x v="44"/>
    <s v="Period"/>
    <s v="ALL"/>
    <x v="1"/>
    <n v="8.34933648578674E-4"/>
    <s v="CRT_STACR_2014-HQ1_2015-06-01"/>
    <x v="1"/>
    <n v="0.99733220553764879"/>
  </r>
  <r>
    <s v="Proj"/>
    <x v="45"/>
    <s v="Period"/>
    <s v="ALL"/>
    <x v="1"/>
    <n v="8.4099134411653E-4"/>
    <s v="CRT_STACR_2014-HQ1_2015-06-01"/>
    <x v="1"/>
    <n v="1.0045347154111761"/>
  </r>
  <r>
    <s v="Proj"/>
    <x v="46"/>
    <s v="Period"/>
    <s v="ALL"/>
    <x v="1"/>
    <n v="8.8754646577250099E-4"/>
    <s v="CRT_STACR_2014-HQ1_2015-06-01"/>
    <x v="1"/>
    <n v="1.0598720340473933"/>
  </r>
  <r>
    <s v="Proj"/>
    <x v="47"/>
    <s v="Period"/>
    <s v="ALL"/>
    <x v="1"/>
    <n v="8.1286774384090705E-4"/>
    <s v="CRT_STACR_2014-HQ1_2015-06-01"/>
    <x v="1"/>
    <n v="0.97109211115338212"/>
  </r>
  <r>
    <s v="Proj"/>
    <x v="48"/>
    <s v="Period"/>
    <s v="ALL"/>
    <x v="1"/>
    <n v="9.0082034358896401E-4"/>
    <s v="CRT_STACR_2014-HQ1_2015-06-01"/>
    <x v="1"/>
    <n v="1.0756447115302881"/>
  </r>
  <r>
    <s v="Proj"/>
    <x v="49"/>
    <s v="Period"/>
    <s v="ALL"/>
    <x v="1"/>
    <n v="9.0751490292228501E-4"/>
    <s v="CRT_STACR_2014-HQ1_2015-06-01"/>
    <x v="1"/>
    <n v="1.0835986433171407"/>
  </r>
  <r>
    <s v="Proj"/>
    <x v="50"/>
    <s v="Period"/>
    <s v="ALL"/>
    <x v="1"/>
    <n v="8.3110758684396403E-4"/>
    <s v="CRT_STACR_2014-HQ1_2015-06-01"/>
    <x v="1"/>
    <n v="0.99278282754902136"/>
  </r>
  <r>
    <s v="Proj"/>
    <x v="51"/>
    <s v="Period"/>
    <s v="ALL"/>
    <x v="1"/>
    <n v="9.6277700907480303E-4"/>
    <s v="CRT_STACR_2014-HQ1_2015-06-01"/>
    <x v="1"/>
    <n v="1.1492342008615264"/>
  </r>
  <r>
    <s v="Proj"/>
    <x v="52"/>
    <s v="Period"/>
    <s v="ALL"/>
    <x v="1"/>
    <n v="8.4327462528219796E-4"/>
    <s v="CRT_STACR_2014-HQ1_2015-06-01"/>
    <x v="1"/>
    <n v="1.0072493781044023"/>
  </r>
  <r>
    <s v="Proj"/>
    <x v="53"/>
    <s v="Period"/>
    <s v="ALL"/>
    <x v="1"/>
    <n v="8.9180028724298005E-4"/>
    <s v="CRT_STACR_2014-HQ1_2015-06-01"/>
    <x v="1"/>
    <n v="1.0649268858864303"/>
  </r>
  <r>
    <s v="Proj"/>
    <x v="54"/>
    <s v="Period"/>
    <s v="ALL"/>
    <x v="1"/>
    <n v="8.9813906210377498E-4"/>
    <s v="CRT_STACR_2014-HQ1_2015-06-01"/>
    <x v="1"/>
    <n v="1.0724588661672363"/>
  </r>
  <r>
    <s v="Proj"/>
    <x v="55"/>
    <s v="Period"/>
    <s v="ALL"/>
    <x v="1"/>
    <n v="8.1831372359044395E-4"/>
    <s v="CRT_STACR_2014-HQ1_2015-06-01"/>
    <x v="1"/>
    <n v="0.97756889504512223"/>
  </r>
  <r>
    <s v="Proj"/>
    <x v="56"/>
    <s v="Period"/>
    <s v="ALL"/>
    <x v="1"/>
    <n v="9.5410581498430304E-4"/>
    <s v="CRT_STACR_2014-HQ1_2015-06-01"/>
    <x v="1"/>
    <n v="1.138937946714691"/>
  </r>
  <r>
    <s v="Proj"/>
    <x v="57"/>
    <s v="Period"/>
    <s v="ALL"/>
    <x v="1"/>
    <n v="9.1699399503809105E-4"/>
    <s v="CRT_STACR_2014-HQ1_2015-06-01"/>
    <x v="1"/>
    <n v="1.0948599281443983"/>
  </r>
  <r>
    <s v="Proj"/>
    <x v="58"/>
    <s v="Period"/>
    <s v="ALL"/>
    <x v="1"/>
    <n v="8.7925825662344499E-4"/>
    <s v="CRT_STACR_2014-HQ1_2015-06-01"/>
    <x v="1"/>
    <n v="1.0500224053698104"/>
  </r>
  <r>
    <s v="Proj"/>
    <x v="59"/>
    <s v="Period"/>
    <s v="ALL"/>
    <x v="1"/>
    <n v="9.7367648347242402E-4"/>
    <s v="CRT_STACR_2014-HQ1_2015-06-01"/>
    <x v="1"/>
    <n v="1.1621749408223914"/>
  </r>
  <r>
    <s v="Proj"/>
    <x v="60"/>
    <s v="Period"/>
    <s v="ALL"/>
    <x v="1"/>
    <n v="9.8013733440195194E-4"/>
    <s v="CRT_STACR_2014-HQ1_2015-06-01"/>
    <x v="1"/>
    <n v="1.1698450539191163"/>
  </r>
  <r>
    <s v="Proj"/>
    <x v="61"/>
    <s v="Period"/>
    <s v="ALL"/>
    <x v="1"/>
    <n v="9.4172259731048404E-4"/>
    <s v="CRT_STACR_2014-HQ1_2015-06-01"/>
    <x v="1"/>
    <n v="1.1242322978181507"/>
  </r>
  <r>
    <s v="Proj"/>
    <x v="62"/>
    <s v="Period"/>
    <s v="ALL"/>
    <x v="1"/>
    <n v="9.4782933250652001E-4"/>
    <s v="CRT_STACR_2014-HQ1_2015-06-01"/>
    <x v="1"/>
    <n v="1.131484581439357"/>
  </r>
  <r>
    <s v="Proj"/>
    <x v="63"/>
    <s v="Period"/>
    <s v="ALL"/>
    <x v="1"/>
    <n v="9.9932998618711502E-4"/>
    <s v="CRT_STACR_2014-HQ1_2015-06-01"/>
    <x v="1"/>
    <n v="1.1926267311641148"/>
  </r>
  <r>
    <s v="Proj"/>
    <x v="64"/>
    <s v="Period"/>
    <s v="ALL"/>
    <x v="1"/>
    <n v="9.1424036391730501E-4"/>
    <s v="CRT_STACR_2014-HQ1_2015-06-01"/>
    <x v="1"/>
    <n v="1.0915886996446744"/>
  </r>
  <r>
    <s v="Proj"/>
    <x v="65"/>
    <s v="Period"/>
    <s v="ALL"/>
    <x v="1"/>
    <n v="1.01196743342269E-3"/>
    <s v="CRT_STACR_2014-HQ1_2015-06-01"/>
    <x v="1"/>
    <n v="1.2076247522498917"/>
  </r>
  <r>
    <s v="Proj"/>
    <x v="66"/>
    <s v="Period"/>
    <s v="ALL"/>
    <x v="1"/>
    <n v="8.7938842892600598E-4"/>
    <s v="CRT_STACR_2014-HQ1_2015-06-01"/>
    <x v="1"/>
    <n v="1.0501771078394451"/>
  </r>
  <r>
    <s v="Proj"/>
    <x v="67"/>
    <s v="Period"/>
    <s v="ALL"/>
    <x v="1"/>
    <n v="8.8477814842850995E-4"/>
    <s v="CRT_STACR_2014-HQ1_2015-06-01"/>
    <x v="1"/>
    <n v="1.0565822920928669"/>
  </r>
  <r>
    <s v="Proj"/>
    <x v="68"/>
    <s v="Period"/>
    <s v="ALL"/>
    <x v="1"/>
    <n v="1.0775393217972999E-3"/>
    <s v="CRT_STACR_2014-HQ1_2015-06-01"/>
    <x v="1"/>
    <n v="1.2854114436713804"/>
  </r>
  <r>
    <s v="Proj"/>
    <x v="69"/>
    <s v="Period"/>
    <s v="ALL"/>
    <x v="1"/>
    <n v="9.8973847824312109E-4"/>
    <s v="CRT_STACR_2014-HQ1_2015-06-01"/>
    <x v="1"/>
    <n v="1.1812422132480349"/>
  </r>
  <r>
    <s v="Proj"/>
    <x v="70"/>
    <s v="Period"/>
    <s v="ALL"/>
    <x v="1"/>
    <n v="9.4819766035687705E-4"/>
    <s v="CRT_STACR_2014-HQ1_2015-06-01"/>
    <x v="1"/>
    <n v="1.1319219874726949"/>
  </r>
  <r>
    <s v="Proj"/>
    <x v="71"/>
    <s v="Period"/>
    <s v="ALL"/>
    <x v="1"/>
    <n v="1.0491355982992E-3"/>
    <s v="CRT_STACR_2014-HQ1_2015-06-01"/>
    <x v="1"/>
    <n v="1.2517235386696024"/>
  </r>
  <r>
    <s v="Proj"/>
    <x v="0"/>
    <s v="Period"/>
    <s v="ALL"/>
    <x v="0"/>
    <n v="1.7857528692242101E-2"/>
    <s v="CRT_STACR_2014-HQ1_2015-06-01"/>
    <x v="2"/>
    <n v="19.444740225117808"/>
  </r>
  <r>
    <s v="Proj"/>
    <x v="1"/>
    <s v="Period"/>
    <s v="ALL"/>
    <x v="0"/>
    <n v="1.7079829794308801E-2"/>
    <s v="CRT_STACR_2014-HQ1_2015-06-01"/>
    <x v="2"/>
    <n v="18.675956084518162"/>
  </r>
  <r>
    <s v="Proj"/>
    <x v="2"/>
    <s v="Period"/>
    <s v="ALL"/>
    <x v="0"/>
    <n v="1.71103744051057E-2"/>
    <s v="CRT_STACR_2014-HQ1_2015-06-01"/>
    <x v="2"/>
    <n v="18.706277001745143"/>
  </r>
  <r>
    <s v="Proj"/>
    <x v="3"/>
    <s v="Period"/>
    <s v="ALL"/>
    <x v="0"/>
    <n v="1.7957652725159499E-2"/>
    <s v="CRT_STACR_2014-HQ1_2015-06-01"/>
    <x v="2"/>
    <n v="19.543230987419669"/>
  </r>
  <r>
    <s v="Proj"/>
    <x v="4"/>
    <s v="Period"/>
    <s v="ALL"/>
    <x v="0"/>
    <n v="1.5116949872887401E-2"/>
    <s v="CRT_STACR_2014-HQ1_2015-06-01"/>
    <x v="2"/>
    <n v="16.705570211292265"/>
  </r>
  <r>
    <s v="Proj"/>
    <x v="5"/>
    <s v="Period"/>
    <s v="ALL"/>
    <x v="0"/>
    <n v="1.6663536154953099E-2"/>
    <s v="CRT_STACR_2014-HQ1_2015-06-01"/>
    <x v="2"/>
    <n v="18.26167640078048"/>
  </r>
  <r>
    <s v="Proj"/>
    <x v="6"/>
    <s v="Period"/>
    <s v="ALL"/>
    <x v="0"/>
    <n v="1.44226713518479E-2"/>
    <s v="CRT_STACR_2014-HQ1_2015-06-01"/>
    <x v="2"/>
    <n v="15.998226030136365"/>
  </r>
  <r>
    <s v="Proj"/>
    <x v="7"/>
    <s v="Period"/>
    <s v="ALL"/>
    <x v="0"/>
    <n v="1.52159464596235E-2"/>
    <s v="CRT_STACR_2014-HQ1_2015-06-01"/>
    <x v="2"/>
    <n v="16.805983844829598"/>
  </r>
  <r>
    <s v="Proj"/>
    <x v="8"/>
    <s v="Period"/>
    <s v="ALL"/>
    <x v="0"/>
    <n v="1.6776062812824798E-2"/>
    <s v="CRT_STACR_2014-HQ1_2015-06-01"/>
    <x v="2"/>
    <n v="18.373849037586087"/>
  </r>
  <r>
    <s v="Proj"/>
    <x v="9"/>
    <s v="Period"/>
    <s v="ALL"/>
    <x v="0"/>
    <n v="1.60508605248821E-2"/>
    <s v="CRT_STACR_2014-HQ1_2015-06-01"/>
    <x v="2"/>
    <n v="17.648445227843801"/>
  </r>
  <r>
    <s v="Proj"/>
    <x v="10"/>
    <s v="Period"/>
    <s v="ALL"/>
    <x v="0"/>
    <n v="1.60885605555833E-2"/>
    <s v="CRT_STACR_2014-HQ1_2015-06-01"/>
    <x v="2"/>
    <n v="17.686300867123517"/>
  </r>
  <r>
    <s v="Proj"/>
    <x v="11"/>
    <s v="Period"/>
    <s v="ALL"/>
    <x v="0"/>
    <n v="1.6894385662778E-2"/>
    <s v="CRT_STACR_2014-HQ1_2015-06-01"/>
    <x v="2"/>
    <n v="18.491647416024094"/>
  </r>
  <r>
    <s v="Proj"/>
    <x v="12"/>
    <s v="Period"/>
    <s v="ALL"/>
    <x v="0"/>
    <n v="1.5394713606702699E-2"/>
    <s v="CRT_STACR_2014-HQ1_2015-06-01"/>
    <x v="2"/>
    <n v="16.987028821633032"/>
  </r>
  <r>
    <s v="Proj"/>
    <x v="13"/>
    <s v="Period"/>
    <s v="ALL"/>
    <x v="0"/>
    <n v="1.77455504177822E-2"/>
    <s v="CRT_STACR_2014-HQ1_2015-06-01"/>
    <x v="2"/>
    <n v="19.334457679442295"/>
  </r>
  <r>
    <s v="Proj"/>
    <x v="14"/>
    <s v="Period"/>
    <s v="ALL"/>
    <x v="0"/>
    <n v="1.62404399311789E-2"/>
    <s v="CRT_STACR_2014-HQ1_2015-06-01"/>
    <x v="2"/>
    <n v="17.838645611799375"/>
  </r>
  <r>
    <s v="Proj"/>
    <x v="15"/>
    <s v="Period"/>
    <s v="ALL"/>
    <x v="0"/>
    <n v="1.6278359478956901E-2"/>
    <s v="CRT_STACR_2014-HQ1_2015-06-01"/>
    <x v="2"/>
    <n v="17.876641005663295"/>
  </r>
  <r>
    <s v="Proj"/>
    <x v="16"/>
    <s v="Period"/>
    <s v="ALL"/>
    <x v="0"/>
    <n v="1.6316196194449399E-2"/>
    <s v="CRT_STACR_2014-HQ1_2015-06-01"/>
    <x v="2"/>
    <n v="17.914537347006011"/>
  </r>
  <r>
    <s v="Proj"/>
    <x v="17"/>
    <s v="Period"/>
    <s v="ALL"/>
    <x v="0"/>
    <n v="1.6353935811842E-2"/>
    <s v="CRT_STACR_2014-HQ1_2015-06-01"/>
    <x v="2"/>
    <n v="17.952320468055284"/>
  </r>
  <r>
    <s v="Proj"/>
    <x v="18"/>
    <s v="Period"/>
    <s v="ALL"/>
    <x v="0"/>
    <n v="1.5611018007991201E-2"/>
    <s v="CRT_STACR_2014-HQ1_2015-06-01"/>
    <x v="2"/>
    <n v="17.205606454085419"/>
  </r>
  <r>
    <s v="Proj"/>
    <x v="19"/>
    <s v="Period"/>
    <s v="ALL"/>
    <x v="0"/>
    <n v="1.48644141140986E-2"/>
    <s v="CRT_STACR_2014-HQ1_2015-06-01"/>
    <x v="2"/>
    <n v="16.448916241076418"/>
  </r>
  <r>
    <s v="Proj"/>
    <x v="20"/>
    <s v="Period"/>
    <s v="ALL"/>
    <x v="0"/>
    <n v="1.8034730296300799E-2"/>
    <s v="CRT_STACR_2014-HQ1_2015-06-01"/>
    <x v="2"/>
    <n v="19.618976022708257"/>
  </r>
  <r>
    <s v="Proj"/>
    <x v="21"/>
    <s v="Period"/>
    <s v="ALL"/>
    <x v="0"/>
    <n v="1.4931988763802201E-2"/>
    <s v="CRT_STACR_2014-HQ1_2015-06-01"/>
    <x v="2"/>
    <n v="16.517663801334713"/>
  </r>
  <r>
    <s v="Proj"/>
    <x v="22"/>
    <s v="Period"/>
    <s v="ALL"/>
    <x v="0"/>
    <n v="1.7328603927207399E-2"/>
    <s v="CRT_STACR_2014-HQ1_2015-06-01"/>
    <x v="2"/>
    <n v="18.922606995089918"/>
  </r>
  <r>
    <s v="Proj"/>
    <x v="23"/>
    <s v="Period"/>
    <s v="ALL"/>
    <x v="0"/>
    <n v="1.7367408642737499E-2"/>
    <s v="CRT_STACR_2014-HQ1_2015-06-01"/>
    <x v="2"/>
    <n v="18.961018638561178"/>
  </r>
  <r>
    <s v="Proj"/>
    <x v="24"/>
    <s v="Period"/>
    <s v="ALL"/>
    <x v="0"/>
    <n v="1.58237133207151E-2"/>
    <s v="CRT_STACR_2014-HQ1_2015-06-01"/>
    <x v="2"/>
    <n v="17.420022513639179"/>
  </r>
  <r>
    <s v="Proj"/>
    <x v="25"/>
    <s v="Period"/>
    <s v="ALL"/>
    <x v="0"/>
    <n v="1.82375693467412E-2"/>
    <s v="CRT_STACR_2014-HQ1_2015-06-01"/>
    <x v="2"/>
    <n v="19.817996093824785"/>
  </r>
  <r>
    <s v="Proj"/>
    <x v="26"/>
    <s v="Period"/>
    <s v="ALL"/>
    <x v="0"/>
    <n v="1.58936810108933E-2"/>
    <s v="CRT_STACR_2014-HQ1_2015-06-01"/>
    <x v="2"/>
    <n v="17.490444916626359"/>
  </r>
  <r>
    <s v="Proj"/>
    <x v="27"/>
    <s v="Period"/>
    <s v="ALL"/>
    <x v="0"/>
    <n v="1.75212611495425E-2"/>
    <s v="CRT_STACR_2014-HQ1_2015-06-01"/>
    <x v="2"/>
    <n v="19.113148572143324"/>
  </r>
  <r>
    <s v="Proj"/>
    <x v="28"/>
    <s v="Period"/>
    <s v="ALL"/>
    <x v="0"/>
    <n v="1.51077631858271E-2"/>
    <s v="CRT_STACR_2014-HQ1_2015-06-01"/>
    <x v="2"/>
    <n v="16.696246394199711"/>
  </r>
  <r>
    <s v="Proj"/>
    <x v="29"/>
    <s v="Period"/>
    <s v="ALL"/>
    <x v="0"/>
    <n v="1.44259284765731E-2"/>
    <s v="CRT_STACR_2014-HQ1_2015-06-01"/>
    <x v="2"/>
    <n v="16.001557266851307"/>
  </r>
  <r>
    <s v="Proj"/>
    <x v="30"/>
    <s v="Period"/>
    <s v="ALL"/>
    <x v="0"/>
    <n v="1.5186506831080001E-2"/>
    <s v="CRT_STACR_2014-HQ1_2015-06-01"/>
    <x v="2"/>
    <n v="16.776134413442044"/>
  </r>
  <r>
    <s v="Proj"/>
    <x v="31"/>
    <s v="Period"/>
    <s v="ALL"/>
    <x v="0"/>
    <n v="1.3775061304021299E-2"/>
    <s v="CRT_STACR_2014-HQ1_2015-06-01"/>
    <x v="2"/>
    <n v="15.333469351511631"/>
  </r>
  <r>
    <s v="Proj"/>
    <x v="32"/>
    <s v="Period"/>
    <s v="ALL"/>
    <x v="0"/>
    <n v="1.52627062380612E-2"/>
    <s v="CRT_STACR_2014-HQ1_2015-06-01"/>
    <x v="2"/>
    <n v="16.853374352320539"/>
  </r>
  <r>
    <s v="Proj"/>
    <x v="33"/>
    <s v="Period"/>
    <s v="ALL"/>
    <x v="0"/>
    <n v="1.5299463959828801E-2"/>
    <s v="CRT_STACR_2014-HQ1_2015-06-01"/>
    <x v="2"/>
    <n v="16.89061051475732"/>
  </r>
  <r>
    <s v="Proj"/>
    <x v="34"/>
    <s v="Period"/>
    <s v="ALL"/>
    <x v="0"/>
    <n v="1.6065722584417699E-2"/>
    <s v="CRT_STACR_2014-HQ1_2015-06-01"/>
    <x v="2"/>
    <n v="17.663370536353018"/>
  </r>
  <r>
    <s v="Proj"/>
    <x v="35"/>
    <s v="Period"/>
    <s v="ALL"/>
    <x v="0"/>
    <n v="1.53708414543952E-2"/>
    <s v="CRT_STACR_2014-HQ1_2015-06-01"/>
    <x v="2"/>
    <n v="16.962873405051791"/>
  </r>
  <r>
    <s v="Proj"/>
    <x v="36"/>
    <s v="Period"/>
    <s v="ALL"/>
    <x v="0"/>
    <n v="1.54057274977339E-2"/>
    <s v="CRT_STACR_2014-HQ1_2015-06-01"/>
    <x v="2"/>
    <n v="16.998171230670479"/>
  </r>
  <r>
    <s v="Proj"/>
    <x v="37"/>
    <s v="Period"/>
    <s v="ALL"/>
    <x v="0"/>
    <n v="1.6910720927498599E-2"/>
    <s v="CRT_STACR_2014-HQ1_2015-06-01"/>
    <x v="2"/>
    <n v="18.507898026225167"/>
  </r>
  <r>
    <s v="Proj"/>
    <x v="38"/>
    <s v="Period"/>
    <s v="ALL"/>
    <x v="0"/>
    <n v="1.40006549067852E-2"/>
    <s v="CRT_STACR_2014-HQ1_2015-06-01"/>
    <x v="2"/>
    <n v="15.565581300943411"/>
  </r>
  <r>
    <s v="Proj"/>
    <x v="39"/>
    <s v="Period"/>
    <s v="ALL"/>
    <x v="0"/>
    <n v="1.6985324122845698E-2"/>
    <s v="CRT_STACR_2014-HQ1_2015-06-01"/>
    <x v="2"/>
    <n v="18.582076856270124"/>
  </r>
  <r>
    <s v="Proj"/>
    <x v="40"/>
    <s v="Period"/>
    <s v="ALL"/>
    <x v="0"/>
    <n v="1.5542059478324899E-2"/>
    <s v="CRT_STACR_2014-HQ1_2015-06-01"/>
    <x v="2"/>
    <n v="17.1359805642056"/>
  </r>
  <r>
    <s v="Proj"/>
    <x v="41"/>
    <s v="Period"/>
    <s v="ALL"/>
    <x v="0"/>
    <n v="1.4833902910800801E-2"/>
    <s v="CRT_STACR_2014-HQ1_2015-06-01"/>
    <x v="2"/>
    <n v="16.4178584443878"/>
  </r>
  <r>
    <s v="Proj"/>
    <x v="42"/>
    <s v="Period"/>
    <s v="ALL"/>
    <x v="0"/>
    <n v="1.5608976148275101E-2"/>
    <s v="CRT_STACR_2014-HQ1_2015-06-01"/>
    <x v="2"/>
    <n v="17.203545604539428"/>
  </r>
  <r>
    <s v="Proj"/>
    <x v="43"/>
    <s v="Period"/>
    <s v="ALL"/>
    <x v="0"/>
    <n v="1.41524743189359E-2"/>
    <s v="CRT_STACR_2014-HQ1_2015-06-01"/>
    <x v="2"/>
    <n v="15.721458892790697"/>
  </r>
  <r>
    <s v="Proj"/>
    <x v="44"/>
    <s v="Period"/>
    <s v="ALL"/>
    <x v="0"/>
    <n v="1.5675305253421999E-2"/>
    <s v="CRT_STACR_2014-HQ1_2015-06-01"/>
    <x v="2"/>
    <n v="17.270467546931279"/>
  </r>
  <r>
    <s v="Proj"/>
    <x v="45"/>
    <s v="Period"/>
    <s v="ALL"/>
    <x v="0"/>
    <n v="1.5708273706261901E-2"/>
    <s v="CRT_STACR_2014-HQ1_2015-06-01"/>
    <x v="2"/>
    <n v="17.303712214943857"/>
  </r>
  <r>
    <s v="Proj"/>
    <x v="46"/>
    <s v="Period"/>
    <s v="ALL"/>
    <x v="0"/>
    <n v="1.6490695924716699E-2"/>
    <s v="CRT_STACR_2014-HQ1_2015-06-01"/>
    <x v="2"/>
    <n v="18.089104710287764"/>
  </r>
  <r>
    <s v="Proj"/>
    <x v="47"/>
    <s v="Period"/>
    <s v="ALL"/>
    <x v="0"/>
    <n v="1.50227087440435E-2"/>
    <s v="CRT_STACR_2014-HQ1_2015-06-01"/>
    <x v="2"/>
    <n v="16.609876897112418"/>
  </r>
  <r>
    <s v="Proj"/>
    <x v="48"/>
    <s v="Period"/>
    <s v="ALL"/>
    <x v="0"/>
    <n v="1.6559140451568002E-2"/>
    <s v="CRT_STACR_2014-HQ1_2015-06-01"/>
    <x v="2"/>
    <n v="18.157482797737103"/>
  </r>
  <r>
    <s v="Proj"/>
    <x v="49"/>
    <s v="Period"/>
    <s v="ALL"/>
    <x v="0"/>
    <n v="1.6593180316753602E-2"/>
    <s v="CRT_STACR_2014-HQ1_2015-06-01"/>
    <x v="2"/>
    <n v="18.191470134279474"/>
  </r>
  <r>
    <s v="Proj"/>
    <x v="50"/>
    <s v="Period"/>
    <s v="ALL"/>
    <x v="0"/>
    <n v="1.51155459998335E-2"/>
    <s v="CRT_STACR_2014-HQ1_2015-06-01"/>
    <x v="2"/>
    <n v="16.704145444496767"/>
  </r>
  <r>
    <s v="Proj"/>
    <x v="51"/>
    <s v="Period"/>
    <s v="ALL"/>
    <x v="0"/>
    <n v="1.7418216081151801E-2"/>
    <s v="CRT_STACR_2014-HQ1_2015-06-01"/>
    <x v="2"/>
    <n v="19.011286204183008"/>
  </r>
  <r>
    <s v="Proj"/>
    <x v="52"/>
    <s v="Period"/>
    <s v="ALL"/>
    <x v="0"/>
    <n v="1.5176896664910599E-2"/>
    <s v="CRT_STACR_2014-HQ1_2015-06-01"/>
    <x v="2"/>
    <n v="16.766388347487961"/>
  </r>
  <r>
    <s v="Proj"/>
    <x v="53"/>
    <s v="Period"/>
    <s v="ALL"/>
    <x v="0"/>
    <n v="1.59677826121312E-2"/>
    <s v="CRT_STACR_2014-HQ1_2015-06-01"/>
    <x v="2"/>
    <n v="17.56496806809087"/>
  </r>
  <r>
    <s v="Proj"/>
    <x v="54"/>
    <s v="Period"/>
    <s v="ALL"/>
    <x v="0"/>
    <n v="1.5999712434905701E-2"/>
    <s v="CRT_STACR_2014-HQ1_2015-06-01"/>
    <x v="2"/>
    <n v="17.597060508443075"/>
  </r>
  <r>
    <s v="Proj"/>
    <x v="55"/>
    <s v="Period"/>
    <s v="ALL"/>
    <x v="0"/>
    <n v="1.4504718875581E-2"/>
    <s v="CRT_STACR_2014-HQ1_2015-06-01"/>
    <x v="2"/>
    <n v="16.082103561203777"/>
  </r>
  <r>
    <s v="Proj"/>
    <x v="56"/>
    <s v="Period"/>
    <s v="ALL"/>
    <x v="0"/>
    <n v="1.6828156027175401E-2"/>
    <s v="CRT_STACR_2014-HQ1_2015-06-01"/>
    <x v="2"/>
    <n v="18.42573056181881"/>
  </r>
  <r>
    <s v="Proj"/>
    <x v="57"/>
    <s v="Period"/>
    <s v="ALL"/>
    <x v="0"/>
    <n v="1.60948381347563E-2"/>
    <s v="CRT_STACR_2014-HQ1_2015-06-01"/>
    <x v="2"/>
    <n v="17.692602807850388"/>
  </r>
  <r>
    <s v="Proj"/>
    <x v="58"/>
    <s v="Period"/>
    <s v="ALL"/>
    <x v="0"/>
    <n v="1.5358406256018199E-2"/>
    <s v="CRT_STACR_2014-HQ1_2015-06-01"/>
    <x v="2"/>
    <n v="16.95028809988851"/>
  </r>
  <r>
    <s v="Proj"/>
    <x v="59"/>
    <s v="Period"/>
    <s v="ALL"/>
    <x v="0"/>
    <n v="1.6927119980504699E-2"/>
    <s v="CRT_STACR_2014-HQ1_2015-06-01"/>
    <x v="2"/>
    <n v="18.524209106726087"/>
  </r>
  <r>
    <s v="Proj"/>
    <x v="60"/>
    <s v="Period"/>
    <s v="ALL"/>
    <x v="0"/>
    <n v="1.6959878584229399E-2"/>
    <s v="CRT_STACR_2014-HQ1_2015-06-01"/>
    <x v="2"/>
    <n v="18.556783017648026"/>
  </r>
  <r>
    <s v="Proj"/>
    <x v="61"/>
    <s v="Period"/>
    <s v="ALL"/>
    <x v="0"/>
    <n v="1.6220135563663401E-2"/>
    <s v="CRT_STACR_2014-HQ1_2015-06-01"/>
    <x v="2"/>
    <n v="17.818294008138068"/>
  </r>
  <r>
    <s v="Proj"/>
    <x v="62"/>
    <s v="Period"/>
    <s v="ALL"/>
    <x v="0"/>
    <n v="1.6251187348477299E-2"/>
    <s v="CRT_STACR_2014-HQ1_2015-06-01"/>
    <x v="2"/>
    <n v="17.849416161938091"/>
  </r>
  <r>
    <s v="Proj"/>
    <x v="63"/>
    <s v="Period"/>
    <s v="ALL"/>
    <x v="0"/>
    <n v="1.70574701719413E-2"/>
    <s v="CRT_STACR_2014-HQ1_2015-06-01"/>
    <x v="2"/>
    <n v="18.653753641355941"/>
  </r>
  <r>
    <s v="Proj"/>
    <x v="64"/>
    <s v="Period"/>
    <s v="ALL"/>
    <x v="0"/>
    <n v="1.55361577344286E-2"/>
    <s v="CRT_STACR_2014-HQ1_2015-06-01"/>
    <x v="2"/>
    <n v="17.130019212369163"/>
  </r>
  <r>
    <s v="Proj"/>
    <x v="65"/>
    <s v="Period"/>
    <s v="ALL"/>
    <x v="0"/>
    <n v="1.7121963674578199E-2"/>
    <s v="CRT_STACR_2014-HQ1_2015-06-01"/>
    <x v="2"/>
    <n v="18.717778685052554"/>
  </r>
  <r>
    <s v="Proj"/>
    <x v="66"/>
    <s v="Period"/>
    <s v="ALL"/>
    <x v="0"/>
    <n v="1.4814853523660999E-2"/>
    <s v="CRT_STACR_2014-HQ1_2015-06-01"/>
    <x v="2"/>
    <n v="16.398462430869966"/>
  </r>
  <r>
    <s v="Proj"/>
    <x v="67"/>
    <s v="Period"/>
    <s v="ALL"/>
    <x v="0"/>
    <n v="1.4842459292826699E-2"/>
    <s v="CRT_STACR_2014-HQ1_2015-06-01"/>
    <x v="2"/>
    <n v="16.426569177424522"/>
  </r>
  <r>
    <s v="Proj"/>
    <x v="68"/>
    <s v="Period"/>
    <s v="ALL"/>
    <x v="0"/>
    <n v="1.8000487534893899E-2"/>
    <s v="CRT_STACR_2014-HQ1_2015-06-01"/>
    <x v="2"/>
    <n v="19.585333331513965"/>
  </r>
  <r>
    <s v="Proj"/>
    <x v="69"/>
    <s v="Period"/>
    <s v="ALL"/>
    <x v="0"/>
    <n v="1.64655249792297E-2"/>
    <s v="CRT_STACR_2014-HQ1_2015-06-01"/>
    <x v="2"/>
    <n v="18.063945030580598"/>
  </r>
  <r>
    <s v="Proj"/>
    <x v="70"/>
    <s v="Period"/>
    <s v="ALL"/>
    <x v="0"/>
    <n v="1.5710205090294398E-2"/>
    <s v="CRT_STACR_2014-HQ1_2015-06-01"/>
    <x v="2"/>
    <n v="17.305659400663043"/>
  </r>
  <r>
    <s v="Proj"/>
    <x v="71"/>
    <s v="Period"/>
    <s v="ALL"/>
    <x v="0"/>
    <n v="1.7312741881898502E-2"/>
    <s v="CRT_STACR_2014-HQ1_2015-06-01"/>
    <x v="2"/>
    <n v="18.906900819437965"/>
  </r>
  <r>
    <s v="Proj"/>
    <x v="0"/>
    <s v="Period"/>
    <s v="ALL"/>
    <x v="1"/>
    <n v="1.8294809286381199E-4"/>
    <s v="CRT_STACR_2014-HQ1_2015-06-01"/>
    <x v="2"/>
    <n v="0.21931694406223112"/>
  </r>
  <r>
    <s v="Proj"/>
    <x v="1"/>
    <s v="Period"/>
    <s v="ALL"/>
    <x v="1"/>
    <n v="1.6871508390285599E-4"/>
    <s v="CRT_STACR_2014-HQ1_2015-06-01"/>
    <x v="2"/>
    <n v="0.20227033875198641"/>
  </r>
  <r>
    <s v="Proj"/>
    <x v="2"/>
    <s v="Period"/>
    <s v="ALL"/>
    <x v="1"/>
    <n v="2.2615273864094699E-4"/>
    <s v="CRT_STACR_2014-HQ1_2015-06-01"/>
    <x v="2"/>
    <n v="0.27104598330088825"/>
  </r>
  <r>
    <s v="Proj"/>
    <x v="3"/>
    <s v="Period"/>
    <s v="ALL"/>
    <x v="1"/>
    <n v="3.2056936980894799E-4"/>
    <s v="CRT_STACR_2014-HQ1_2015-06-01"/>
    <x v="2"/>
    <n v="0.38400572084148488"/>
  </r>
  <r>
    <s v="Proj"/>
    <x v="4"/>
    <s v="Period"/>
    <s v="ALL"/>
    <x v="1"/>
    <n v="3.6073950517004398E-4"/>
    <s v="CRT_STACR_2014-HQ1_2015-06-01"/>
    <x v="2"/>
    <n v="0.43202956039877227"/>
  </r>
  <r>
    <s v="Proj"/>
    <x v="5"/>
    <s v="Period"/>
    <s v="ALL"/>
    <x v="1"/>
    <n v="4.5384698989175699E-4"/>
    <s v="CRT_STACR_2014-HQ1_2015-06-01"/>
    <x v="2"/>
    <n v="0.54325899358168561"/>
  </r>
  <r>
    <s v="Proj"/>
    <x v="6"/>
    <s v="Period"/>
    <s v="ALL"/>
    <x v="1"/>
    <n v="4.5310895352967002E-4"/>
    <s v="CRT_STACR_2014-HQ1_2015-06-01"/>
    <x v="2"/>
    <n v="0.54237775776263542"/>
  </r>
  <r>
    <s v="Proj"/>
    <x v="7"/>
    <s v="Period"/>
    <s v="ALL"/>
    <x v="1"/>
    <n v="5.3072863711202704E-4"/>
    <s v="CRT_STACR_2014-HQ1_2015-06-01"/>
    <x v="2"/>
    <n v="0.63501860838225399"/>
  </r>
  <r>
    <s v="Proj"/>
    <x v="8"/>
    <s v="Period"/>
    <s v="ALL"/>
    <x v="1"/>
    <n v="6.2860700704309397E-4"/>
    <s v="CRT_STACR_2014-HQ1_2015-06-01"/>
    <x v="2"/>
    <n v="0.75172589667777956"/>
  </r>
  <r>
    <s v="Proj"/>
    <x v="9"/>
    <s v="Period"/>
    <s v="ALL"/>
    <x v="1"/>
    <n v="6.3164573197242203E-4"/>
    <s v="CRT_STACR_2014-HQ1_2015-06-01"/>
    <x v="2"/>
    <n v="0.7553471709698778"/>
  </r>
  <r>
    <s v="Proj"/>
    <x v="10"/>
    <s v="Period"/>
    <s v="ALL"/>
    <x v="1"/>
    <n v="6.5513175694906103E-4"/>
    <s v="CRT_STACR_2014-HQ1_2015-06-01"/>
    <x v="2"/>
    <n v="0.78333158092663835"/>
  </r>
  <r>
    <s v="Proj"/>
    <x v="11"/>
    <s v="Period"/>
    <s v="ALL"/>
    <x v="1"/>
    <n v="7.0498125914944705E-4"/>
    <s v="CRT_STACR_2014-HQ1_2015-06-01"/>
    <x v="2"/>
    <n v="0.84270501640925088"/>
  </r>
  <r>
    <s v="Proj"/>
    <x v="12"/>
    <s v="Period"/>
    <s v="ALL"/>
    <x v="1"/>
    <n v="6.5412341344750903E-4"/>
    <s v="CRT_STACR_2014-HQ1_2015-06-01"/>
    <x v="2"/>
    <n v="0.78213025344227027"/>
  </r>
  <r>
    <s v="Proj"/>
    <x v="13"/>
    <s v="Period"/>
    <s v="ALL"/>
    <x v="1"/>
    <n v="7.6451737147280698E-4"/>
    <s v="CRT_STACR_2014-HQ1_2015-06-01"/>
    <x v="2"/>
    <n v="0.91357304663012284"/>
  </r>
  <r>
    <s v="Proj"/>
    <x v="14"/>
    <s v="Period"/>
    <s v="ALL"/>
    <x v="1"/>
    <n v="7.0739546861551996E-4"/>
    <s v="CRT_STACR_2014-HQ1_2015-06-01"/>
    <x v="2"/>
    <n v="0.84557964255909113"/>
  </r>
  <r>
    <s v="Proj"/>
    <x v="15"/>
    <s v="Period"/>
    <s v="ALL"/>
    <x v="1"/>
    <n v="7.15465712325652E-4"/>
    <s v="CRT_STACR_2014-HQ1_2015-06-01"/>
    <x v="2"/>
    <n v="0.8551884173035651"/>
  </r>
  <r>
    <s v="Proj"/>
    <x v="16"/>
    <s v="Period"/>
    <s v="ALL"/>
    <x v="1"/>
    <n v="7.2262565644284004E-4"/>
    <s v="CRT_STACR_2014-HQ1_2015-06-01"/>
    <x v="2"/>
    <n v="0.86371263612897708"/>
  </r>
  <r>
    <s v="Proj"/>
    <x v="17"/>
    <s v="Period"/>
    <s v="ALL"/>
    <x v="1"/>
    <n v="7.29127968731865E-4"/>
    <s v="CRT_STACR_2014-HQ1_2015-06-01"/>
    <x v="2"/>
    <n v="0.87145333411883241"/>
  </r>
  <r>
    <s v="Proj"/>
    <x v="18"/>
    <s v="Period"/>
    <s v="ALL"/>
    <x v="1"/>
    <n v="7.0013515868946397E-4"/>
    <s v="CRT_STACR_2014-HQ1_2015-06-01"/>
    <x v="2"/>
    <n v="0.83693447993159475"/>
  </r>
  <r>
    <s v="Proj"/>
    <x v="19"/>
    <s v="Period"/>
    <s v="ALL"/>
    <x v="1"/>
    <n v="6.7023058453955203E-4"/>
    <s v="CRT_STACR_2014-HQ1_2015-06-01"/>
    <x v="2"/>
    <n v="0.80131853544900267"/>
  </r>
  <r>
    <s v="Proj"/>
    <x v="20"/>
    <s v="Period"/>
    <s v="ALL"/>
    <x v="1"/>
    <n v="8.1718170789842298E-4"/>
    <s v="CRT_STACR_2014-HQ1_2015-06-01"/>
    <x v="2"/>
    <n v="0.97622264565853101"/>
  </r>
  <r>
    <s v="Proj"/>
    <x v="21"/>
    <s v="Period"/>
    <s v="ALL"/>
    <x v="1"/>
    <n v="6.79673258193397E-4"/>
    <s v="CRT_STACR_2014-HQ1_2015-06-01"/>
    <x v="2"/>
    <n v="0.81256589894710407"/>
  </r>
  <r>
    <s v="Proj"/>
    <x v="22"/>
    <s v="Period"/>
    <s v="ALL"/>
    <x v="1"/>
    <n v="7.92108042292918E-4"/>
    <s v="CRT_STACR_2014-HQ1_2015-06-01"/>
    <x v="2"/>
    <n v="0.94639949321633221"/>
  </r>
  <r>
    <s v="Proj"/>
    <x v="23"/>
    <s v="Period"/>
    <s v="ALL"/>
    <x v="1"/>
    <n v="7.9703209285146505E-4"/>
    <s v="CRT_STACR_2014-HQ1_2015-06-01"/>
    <x v="2"/>
    <n v="0.95225691353484354"/>
  </r>
  <r>
    <s v="Proj"/>
    <x v="24"/>
    <s v="Period"/>
    <s v="ALL"/>
    <x v="1"/>
    <n v="7.2889168550996602E-4"/>
    <s v="CRT_STACR_2014-HQ1_2015-06-01"/>
    <x v="2"/>
    <n v="0.87117205971967149"/>
  </r>
  <r>
    <s v="Proj"/>
    <x v="25"/>
    <s v="Period"/>
    <s v="ALL"/>
    <x v="1"/>
    <n v="8.4302099782091898E-4"/>
    <s v="CRT_STACR_2014-HQ1_2015-06-01"/>
    <x v="2"/>
    <n v="1.006947836040728"/>
  </r>
  <r>
    <s v="Proj"/>
    <x v="26"/>
    <s v="Period"/>
    <s v="ALL"/>
    <x v="1"/>
    <n v="7.3709408021639298E-4"/>
    <s v="CRT_STACR_2014-HQ1_2015-06-01"/>
    <x v="2"/>
    <n v="0.88093586127221402"/>
  </r>
  <r>
    <s v="Proj"/>
    <x v="27"/>
    <s v="Period"/>
    <s v="ALL"/>
    <x v="1"/>
    <n v="8.15094322623594E-4"/>
    <s v="CRT_STACR_2014-HQ1_2015-06-01"/>
    <x v="2"/>
    <n v="0.97374017923576028"/>
  </r>
  <r>
    <s v="Proj"/>
    <x v="28"/>
    <s v="Period"/>
    <s v="ALL"/>
    <x v="1"/>
    <n v="7.7804654370398495E-4"/>
    <s v="CRT_STACR_2014-HQ1_2015-06-01"/>
    <x v="2"/>
    <n v="0.92967084382857834"/>
  </r>
  <r>
    <s v="Proj"/>
    <x v="29"/>
    <s v="Period"/>
    <s v="ALL"/>
    <x v="1"/>
    <n v="7.1935396290220301E-4"/>
    <s v="CRT_STACR_2014-HQ1_2015-06-01"/>
    <x v="2"/>
    <n v="0.85981762879705492"/>
  </r>
  <r>
    <s v="Proj"/>
    <x v="30"/>
    <s v="Period"/>
    <s v="ALL"/>
    <x v="1"/>
    <n v="7.43299060864109E-4"/>
    <s v="CRT_STACR_2014-HQ1_2015-06-01"/>
    <x v="2"/>
    <n v="0.88832143557915355"/>
  </r>
  <r>
    <s v="Proj"/>
    <x v="31"/>
    <s v="Period"/>
    <s v="ALL"/>
    <x v="1"/>
    <n v="6.5256756976161501E-4"/>
    <s v="CRT_STACR_2014-HQ1_2015-06-01"/>
    <x v="2"/>
    <n v="0.78027661511823609"/>
  </r>
  <r>
    <s v="Proj"/>
    <x v="32"/>
    <s v="Period"/>
    <s v="ALL"/>
    <x v="1"/>
    <n v="6.9516877652656898E-4"/>
    <s v="CRT_STACR_2014-HQ1_2015-06-01"/>
    <x v="2"/>
    <n v="0.83102039757467772"/>
  </r>
  <r>
    <s v="Proj"/>
    <x v="33"/>
    <s v="Period"/>
    <s v="ALL"/>
    <x v="1"/>
    <n v="6.7081551666018497E-4"/>
    <s v="CRT_STACR_2014-HQ1_2015-06-01"/>
    <x v="2"/>
    <n v="0.80201529413774786"/>
  </r>
  <r>
    <s v="Proj"/>
    <x v="34"/>
    <s v="Period"/>
    <s v="ALL"/>
    <x v="1"/>
    <n v="6.8173113074190004E-4"/>
    <s v="CRT_STACR_2014-HQ1_2015-06-01"/>
    <x v="2"/>
    <n v="0.815016918271394"/>
  </r>
  <r>
    <s v="Proj"/>
    <x v="35"/>
    <s v="Period"/>
    <s v="ALL"/>
    <x v="1"/>
    <n v="6.3536059586794696E-4"/>
    <s v="CRT_STACR_2014-HQ1_2015-06-01"/>
    <x v="2"/>
    <n v="0.75977404126570391"/>
  </r>
  <r>
    <s v="Proj"/>
    <x v="36"/>
    <s v="Period"/>
    <s v="ALL"/>
    <x v="1"/>
    <n v="6.2411446424738299E-4"/>
    <s v="CRT_STACR_2014-HQ1_2015-06-01"/>
    <x v="2"/>
    <n v="0.74637187338421063"/>
  </r>
  <r>
    <s v="Proj"/>
    <x v="37"/>
    <s v="Period"/>
    <s v="ALL"/>
    <x v="1"/>
    <n v="6.7485004746709498E-4"/>
    <s v="CRT_STACR_2014-HQ1_2015-06-01"/>
    <x v="2"/>
    <n v="0.80682101915653393"/>
  </r>
  <r>
    <s v="Proj"/>
    <x v="38"/>
    <s v="Period"/>
    <s v="ALL"/>
    <x v="1"/>
    <n v="5.5254374366119096E-4"/>
    <s v="CRT_STACR_2014-HQ1_2015-06-01"/>
    <x v="2"/>
    <n v="0.6610411887695733"/>
  </r>
  <r>
    <s v="Proj"/>
    <x v="39"/>
    <s v="Period"/>
    <s v="ALL"/>
    <x v="1"/>
    <n v="6.6486681630550796E-4"/>
    <s v="CRT_STACR_2014-HQ1_2015-06-01"/>
    <x v="2"/>
    <n v="0.79492911973901847"/>
  </r>
  <r>
    <s v="Proj"/>
    <x v="40"/>
    <s v="Period"/>
    <s v="ALL"/>
    <x v="1"/>
    <n v="6.0468037133263404E-4"/>
    <s v="CRT_STACR_2014-HQ1_2015-06-01"/>
    <x v="2"/>
    <n v="0.7232080899434612"/>
  </r>
  <r>
    <s v="Proj"/>
    <x v="41"/>
    <s v="Period"/>
    <s v="ALL"/>
    <x v="1"/>
    <n v="5.7447720362577704E-4"/>
    <s v="CRT_STACR_2014-HQ1_2015-06-01"/>
    <x v="2"/>
    <n v="0.68719865119369894"/>
  </r>
  <r>
    <s v="Proj"/>
    <x v="42"/>
    <s v="Period"/>
    <s v="ALL"/>
    <x v="1"/>
    <n v="6.0233352275719195E-4"/>
    <s v="CRT_STACR_2014-HQ1_2015-06-01"/>
    <x v="2"/>
    <n v="0.72041051102031961"/>
  </r>
  <r>
    <s v="Proj"/>
    <x v="43"/>
    <s v="Period"/>
    <s v="ALL"/>
    <x v="1"/>
    <n v="5.4455700318241298E-4"/>
    <s v="CRT_STACR_2014-HQ1_2015-06-01"/>
    <x v="2"/>
    <n v="0.65151477274619785"/>
  </r>
  <r>
    <s v="Proj"/>
    <x v="44"/>
    <s v="Period"/>
    <s v="ALL"/>
    <x v="1"/>
    <n v="6.0169772085402003E-4"/>
    <s v="CRT_STACR_2014-HQ1_2015-06-01"/>
    <x v="2"/>
    <n v="0.71965258602302296"/>
  </r>
  <r>
    <s v="Proj"/>
    <x v="45"/>
    <s v="Period"/>
    <s v="ALL"/>
    <x v="1"/>
    <n v="6.01693884458942E-4"/>
    <s v="CRT_STACR_2014-HQ1_2015-06-01"/>
    <x v="2"/>
    <n v="0.71964801272755841"/>
  </r>
  <r>
    <s v="Proj"/>
    <x v="46"/>
    <s v="Period"/>
    <s v="ALL"/>
    <x v="1"/>
    <n v="6.3045814759186904E-4"/>
    <s v="CRT_STACR_2014-HQ1_2015-06-01"/>
    <x v="2"/>
    <n v="0.75393193100113942"/>
  </r>
  <r>
    <s v="Proj"/>
    <x v="47"/>
    <s v="Period"/>
    <s v="ALL"/>
    <x v="1"/>
    <n v="5.7330819762154296E-4"/>
    <s v="CRT_STACR_2014-HQ1_2015-06-01"/>
    <x v="2"/>
    <n v="0.68580467429028014"/>
  </r>
  <r>
    <s v="Proj"/>
    <x v="48"/>
    <s v="Period"/>
    <s v="ALL"/>
    <x v="1"/>
    <n v="6.3085631120048797E-4"/>
    <s v="CRT_STACR_2014-HQ1_2015-06-01"/>
    <x v="2"/>
    <n v="0.75440642318070905"/>
  </r>
  <r>
    <s v="Proj"/>
    <x v="49"/>
    <s v="Period"/>
    <s v="ALL"/>
    <x v="1"/>
    <n v="6.3108824314928903E-4"/>
    <s v="CRT_STACR_2014-HQ1_2015-06-01"/>
    <x v="2"/>
    <n v="0.75468281587934838"/>
  </r>
  <r>
    <s v="Proj"/>
    <x v="50"/>
    <s v="Period"/>
    <s v="ALL"/>
    <x v="1"/>
    <n v="5.7392747514245501E-4"/>
    <s v="CRT_STACR_2014-HQ1_2015-06-01"/>
    <x v="2"/>
    <n v="0.68654313172272774"/>
  </r>
  <r>
    <s v="Proj"/>
    <x v="51"/>
    <s v="Period"/>
    <s v="ALL"/>
    <x v="1"/>
    <n v="6.6024906212702901E-4"/>
    <s v="CRT_STACR_2014-HQ1_2015-06-01"/>
    <x v="2"/>
    <n v="0.78942806699214829"/>
  </r>
  <r>
    <s v="Proj"/>
    <x v="52"/>
    <s v="Period"/>
    <s v="ALL"/>
    <x v="1"/>
    <n v="5.7431728038441997E-4"/>
    <s v="CRT_STACR_2014-HQ1_2015-06-01"/>
    <x v="2"/>
    <n v="0.68700795237254253"/>
  </r>
  <r>
    <s v="Proj"/>
    <x v="53"/>
    <s v="Period"/>
    <s v="ALL"/>
    <x v="1"/>
    <n v="6.0321114013630803E-4"/>
    <s v="CRT_STACR_2014-HQ1_2015-06-01"/>
    <x v="2"/>
    <n v="0.72145669003668145"/>
  </r>
  <r>
    <s v="Proj"/>
    <x v="54"/>
    <s v="Period"/>
    <s v="ALL"/>
    <x v="1"/>
    <n v="6.03367727719641E-4"/>
    <s v="CRT_STACR_2014-HQ1_2015-06-01"/>
    <x v="2"/>
    <n v="0.72164335191861051"/>
  </r>
  <r>
    <s v="Proj"/>
    <x v="55"/>
    <s v="Period"/>
    <s v="ALL"/>
    <x v="1"/>
    <n v="5.4602521259412699E-4"/>
    <s v="CRT_STACR_2014-HQ1_2015-06-01"/>
    <x v="2"/>
    <n v="0.65326608486593329"/>
  </r>
  <r>
    <s v="Proj"/>
    <x v="56"/>
    <s v="Period"/>
    <s v="ALL"/>
    <x v="1"/>
    <n v="6.3235535505677296E-4"/>
    <s v="CRT_STACR_2014-HQ1_2015-06-01"/>
    <x v="2"/>
    <n v="0.75619281737817623"/>
  </r>
  <r>
    <s v="Proj"/>
    <x v="57"/>
    <s v="Period"/>
    <s v="ALL"/>
    <x v="1"/>
    <n v="6.0369864007264599E-4"/>
    <s v="CRT_STACR_2014-HQ1_2015-06-01"/>
    <x v="2"/>
    <n v="0.72203781842417047"/>
  </r>
  <r>
    <s v="Proj"/>
    <x v="58"/>
    <s v="Period"/>
    <s v="ALL"/>
    <x v="1"/>
    <n v="5.7501119989141901E-4"/>
    <s v="CRT_STACR_2014-HQ1_2015-06-01"/>
    <x v="2"/>
    <n v="0.68783540710596336"/>
  </r>
  <r>
    <s v="Proj"/>
    <x v="59"/>
    <s v="Period"/>
    <s v="ALL"/>
    <x v="1"/>
    <n v="6.3255402356207895E-4"/>
    <s v="CRT_STACR_2014-HQ1_2015-06-01"/>
    <x v="2"/>
    <n v="0.75642956625491253"/>
  </r>
  <r>
    <s v="Proj"/>
    <x v="60"/>
    <s v="Period"/>
    <s v="ALL"/>
    <x v="1"/>
    <n v="6.3257173392685198E-4"/>
    <s v="CRT_STACR_2014-HQ1_2015-06-01"/>
    <x v="2"/>
    <n v="0.75645067128086163"/>
  </r>
  <r>
    <s v="Proj"/>
    <x v="61"/>
    <s v="Period"/>
    <s v="ALL"/>
    <x v="1"/>
    <n v="6.0381296789347599E-4"/>
    <s v="CRT_STACR_2014-HQ1_2015-06-01"/>
    <x v="2"/>
    <n v="0.72217410341043342"/>
  </r>
  <r>
    <s v="Proj"/>
    <x v="62"/>
    <s v="Period"/>
    <s v="ALL"/>
    <x v="1"/>
    <n v="6.0378559449414902E-4"/>
    <s v="CRT_STACR_2014-HQ1_2015-06-01"/>
    <x v="2"/>
    <n v="0.72214147284394015"/>
  </r>
  <r>
    <s v="Proj"/>
    <x v="63"/>
    <s v="Period"/>
    <s v="ALL"/>
    <x v="1"/>
    <n v="6.3248630229352195E-4"/>
    <s v="CRT_STACR_2014-HQ1_2015-06-01"/>
    <x v="2"/>
    <n v="0.75634886437067061"/>
  </r>
  <r>
    <s v="Proj"/>
    <x v="64"/>
    <s v="Period"/>
    <s v="ALL"/>
    <x v="1"/>
    <n v="5.7492147183279597E-4"/>
    <s v="CRT_STACR_2014-HQ1_2015-06-01"/>
    <x v="2"/>
    <n v="0.68772841247731753"/>
  </r>
  <r>
    <s v="Proj"/>
    <x v="65"/>
    <s v="Period"/>
    <s v="ALL"/>
    <x v="1"/>
    <n v="6.3231985867361301E-4"/>
    <s v="CRT_STACR_2014-HQ1_2015-06-01"/>
    <x v="2"/>
    <n v="0.75615051706655612"/>
  </r>
  <r>
    <s v="Proj"/>
    <x v="66"/>
    <s v="Period"/>
    <s v="ALL"/>
    <x v="1"/>
    <n v="5.4599577854208005E-4"/>
    <s v="CRT_STACR_2014-HQ1_2015-06-01"/>
    <x v="2"/>
    <n v="0.65323097556633236"/>
  </r>
  <r>
    <s v="Proj"/>
    <x v="67"/>
    <s v="Period"/>
    <s v="ALL"/>
    <x v="1"/>
    <n v="5.4587999095300497E-4"/>
    <s v="CRT_STACR_2014-HQ1_2015-06-01"/>
    <x v="2"/>
    <n v="0.65309286259492838"/>
  </r>
  <r>
    <s v="Proj"/>
    <x v="68"/>
    <s v="Period"/>
    <s v="ALL"/>
    <x v="1"/>
    <n v="6.6064180708652804E-4"/>
    <s v="CRT_STACR_2014-HQ1_2015-06-01"/>
    <x v="2"/>
    <n v="0.78989594832442611"/>
  </r>
  <r>
    <s v="Proj"/>
    <x v="69"/>
    <s v="Period"/>
    <s v="ALL"/>
    <x v="1"/>
    <n v="6.0303053376660205E-4"/>
    <s v="CRT_STACR_2014-HQ1_2015-06-01"/>
    <x v="2"/>
    <n v="0.72124139590755698"/>
  </r>
  <r>
    <s v="Proj"/>
    <x v="70"/>
    <s v="Period"/>
    <s v="ALL"/>
    <x v="1"/>
    <n v="5.7414201407192205E-4"/>
    <s v="CRT_STACR_2014-HQ1_2015-06-01"/>
    <x v="2"/>
    <n v="0.68679895747899566"/>
  </r>
  <r>
    <s v="Proj"/>
    <x v="71"/>
    <s v="Period"/>
    <s v="ALL"/>
    <x v="1"/>
    <n v="6.3134864057045898E-4"/>
    <s v="CRT_STACR_2014-HQ1_2015-06-01"/>
    <x v="2"/>
    <n v="0.7549931299664303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6">
  <r>
    <x v="0"/>
    <x v="0"/>
    <n v="7.1894999999999998"/>
    <n v="0"/>
    <n v="0"/>
    <n v="0.69"/>
    <n v="0"/>
  </r>
  <r>
    <x v="0"/>
    <x v="1"/>
    <n v="5.2968000000000002"/>
    <n v="0"/>
    <n v="0.12667221826199199"/>
    <n v="1.1900000000000002"/>
    <n v="0"/>
  </r>
  <r>
    <x v="0"/>
    <x v="2"/>
    <n v="3.7195999999999998"/>
    <n v="0"/>
    <n v="0.10356345223757799"/>
    <n v="1.53"/>
    <n v="0"/>
  </r>
  <r>
    <x v="0"/>
    <x v="3"/>
    <n v="3.9026999999999998"/>
    <n v="0"/>
    <n v="0.137402924202362"/>
    <n v="1.9"/>
    <n v="0"/>
  </r>
  <r>
    <x v="0"/>
    <x v="4"/>
    <n v="3.5990000000000002"/>
    <n v="0"/>
    <n v="0.15484221430720702"/>
    <n v="2.23"/>
    <n v="0"/>
  </r>
  <r>
    <x v="0"/>
    <x v="5"/>
    <n v="3.7277999999999998"/>
    <n v="5.4000000000000003E-3"/>
    <n v="0.15094332223427401"/>
    <n v="2.5700000000000003"/>
    <n v="0"/>
  </r>
  <r>
    <x v="0"/>
    <x v="6"/>
    <n v="3.1396999999999999"/>
    <n v="1.66E-2"/>
    <n v="0.21700490437786399"/>
    <n v="2.85"/>
    <n v="0"/>
  </r>
  <r>
    <x v="0"/>
    <x v="7"/>
    <n v="2.976"/>
    <n v="0.03"/>
    <n v="0.21894667321964001"/>
    <n v="3.1199999999999997"/>
    <n v="0"/>
  </r>
  <r>
    <x v="0"/>
    <x v="8"/>
    <n v="3.8313999999999999"/>
    <n v="1.9E-2"/>
    <n v="0.23021683029496001"/>
    <n v="3.47"/>
    <n v="0"/>
  </r>
  <r>
    <x v="0"/>
    <x v="9"/>
    <n v="3.9773000000000001"/>
    <n v="8.3900000000000002E-2"/>
    <n v="0.28763854780915599"/>
    <n v="3.83"/>
    <n v="0.01"/>
  </r>
  <r>
    <x v="0"/>
    <x v="10"/>
    <n v="5.8136999999999999"/>
    <n v="5.5599999999999997E-2"/>
    <n v="0.17641106928362399"/>
    <n v="4.3499999999999996"/>
    <n v="0.01"/>
  </r>
  <r>
    <x v="0"/>
    <x v="11"/>
    <n v="7.3971999999999998"/>
    <n v="5.04E-2"/>
    <n v="0.17421491729425201"/>
    <n v="5.0200000000000005"/>
    <n v="0.02"/>
  </r>
  <r>
    <x v="0"/>
    <x v="12"/>
    <n v="6.9165999999999999"/>
    <n v="3.8899999999999997E-2"/>
    <n v="0.18080148243312499"/>
    <n v="5.64"/>
    <n v="0.02"/>
  </r>
  <r>
    <x v="0"/>
    <x v="13"/>
    <n v="6.4720000000000004"/>
    <n v="3.9800000000000002E-2"/>
    <n v="0.22194793062559801"/>
    <n v="6.21"/>
    <n v="0.02"/>
  </r>
  <r>
    <x v="0"/>
    <x v="14"/>
    <n v="5.0166000000000004"/>
    <n v="3.09E-2"/>
    <n v="0.21691470665304502"/>
    <n v="6.65"/>
    <n v="0.03"/>
  </r>
  <r>
    <x v="0"/>
    <x v="15"/>
    <n v="6.4724000000000004"/>
    <n v="5.0900000000000001E-2"/>
    <n v="0.25668689206130602"/>
    <n v="7.21"/>
    <n v="0.03"/>
  </r>
  <r>
    <x v="0"/>
    <x v="16"/>
    <n v="5.2816000000000001"/>
    <n v="5.8500000000000003E-2"/>
    <n v="0.24419934930955201"/>
    <n v="7.66"/>
    <n v="0.04"/>
  </r>
  <r>
    <x v="0"/>
    <x v="17"/>
    <n v="6.0025000000000004"/>
    <n v="2.3800000000000002E-2"/>
    <n v="0.226047138543922"/>
    <n v="8.18"/>
    <n v="0.04"/>
  </r>
  <r>
    <x v="0"/>
    <x v="18"/>
    <n v="5.2076000000000002"/>
    <n v="9.3100000000000002E-2"/>
    <n v="0.319782975405623"/>
    <n v="8.6199999999999992"/>
    <n v="0.05"/>
  </r>
  <r>
    <x v="0"/>
    <x v="19"/>
    <n v="7.9896000000000003"/>
    <n v="3.1E-2"/>
    <n v="0.25090365666056302"/>
    <n v="9.3000000000000007"/>
    <n v="0.05"/>
  </r>
  <r>
    <x v="0"/>
    <x v="20"/>
    <n v="11.042299999999999"/>
    <n v="5.7599999999999998E-2"/>
    <n v="0.25015041079039801"/>
    <n v="10.24"/>
    <n v="0.05"/>
  </r>
  <r>
    <x v="0"/>
    <x v="21"/>
    <n v="9.9810999999999996"/>
    <n v="7.2300000000000003E-2"/>
    <n v="0.30000390932597404"/>
    <n v="11.09"/>
    <n v="0.06"/>
  </r>
  <r>
    <x v="0"/>
    <x v="22"/>
    <n v="9.9797999999999991"/>
    <n v="5.2200000000000003E-2"/>
    <n v="0.221292653406198"/>
    <n v="11.92"/>
    <n v="0.06"/>
  </r>
  <r>
    <x v="0"/>
    <x v="23"/>
    <n v="11.419499999999999"/>
    <n v="0.12759999999999999"/>
    <n v="0.22937126205111899"/>
    <n v="12.86"/>
    <n v="6.9999999999999993E-2"/>
  </r>
  <r>
    <x v="0"/>
    <x v="24"/>
    <n v="0"/>
    <n v="0"/>
    <n v="0.26052343270604"/>
    <n v="12.86"/>
    <n v="6.9999999999999993E-2"/>
  </r>
  <r>
    <x v="1"/>
    <x v="5"/>
    <n v="8.3688000000000002"/>
    <n v="0"/>
    <n v="0.111349989822876"/>
    <n v="0.77"/>
    <n v="0"/>
  </r>
  <r>
    <x v="1"/>
    <x v="6"/>
    <n v="2.5486"/>
    <n v="0"/>
    <n v="0.17538831299275401"/>
    <n v="1"/>
    <n v="0"/>
  </r>
  <r>
    <x v="1"/>
    <x v="7"/>
    <n v="2.6267"/>
    <n v="0"/>
    <n v="0.18421270287605002"/>
    <n v="1.24"/>
    <n v="0"/>
  </r>
  <r>
    <x v="1"/>
    <x v="8"/>
    <n v="3.6274999999999999"/>
    <n v="8.9999999999999993E-3"/>
    <n v="0.17825470643351798"/>
    <n v="1.5599999999999998"/>
    <n v="0"/>
  </r>
  <r>
    <x v="1"/>
    <x v="9"/>
    <n v="3.9352999999999998"/>
    <n v="3.9E-2"/>
    <n v="0.24791712180865"/>
    <n v="1.91"/>
    <n v="0"/>
  </r>
  <r>
    <x v="1"/>
    <x v="10"/>
    <n v="5.2506000000000004"/>
    <n v="1.7299999999999999E-2"/>
    <n v="0.20046795170412401"/>
    <n v="2.3800000000000003"/>
    <n v="0"/>
  </r>
  <r>
    <x v="1"/>
    <x v="11"/>
    <n v="5.7789000000000001"/>
    <n v="2.12E-2"/>
    <n v="0.206107820186025"/>
    <n v="2.9000000000000004"/>
    <n v="0"/>
  </r>
  <r>
    <x v="1"/>
    <x v="12"/>
    <n v="5.8940999999999999"/>
    <n v="2.7699999999999999E-2"/>
    <n v="0.19825996525561401"/>
    <n v="3.42"/>
    <n v="0"/>
  </r>
  <r>
    <x v="1"/>
    <x v="13"/>
    <n v="5.4923000000000002"/>
    <n v="2.58E-2"/>
    <n v="0.22383653709816698"/>
    <n v="3.9"/>
    <n v="0.01"/>
  </r>
  <r>
    <x v="1"/>
    <x v="14"/>
    <n v="4.6874000000000002"/>
    <n v="2.06E-2"/>
    <n v="0.221458099902341"/>
    <n v="4.3"/>
    <n v="0.01"/>
  </r>
  <r>
    <x v="1"/>
    <x v="15"/>
    <n v="5.3079999999999998"/>
    <n v="5.4300000000000001E-2"/>
    <n v="0.25701887094479298"/>
    <n v="4.7600000000000007"/>
    <n v="0.01"/>
  </r>
  <r>
    <x v="1"/>
    <x v="16"/>
    <n v="4.5232999999999999"/>
    <n v="5.67E-2"/>
    <n v="0.25146402216979902"/>
    <n v="5.1499999999999995"/>
    <n v="0.02"/>
  </r>
  <r>
    <x v="1"/>
    <x v="17"/>
    <n v="5.1199000000000003"/>
    <n v="4.8800000000000003E-2"/>
    <n v="0.21534383388060199"/>
    <n v="5.58"/>
    <n v="0.02"/>
  </r>
  <r>
    <x v="1"/>
    <x v="18"/>
    <n v="3.7650000000000001"/>
    <n v="2.7799999999999998E-2"/>
    <n v="0.313722601890914"/>
    <n v="5.8999999999999995"/>
    <n v="0.02"/>
  </r>
  <r>
    <x v="1"/>
    <x v="19"/>
    <n v="4.7008000000000001"/>
    <n v="8.4000000000000005E-2"/>
    <n v="0.25071003222516702"/>
    <n v="6.29"/>
    <n v="0.03"/>
  </r>
  <r>
    <x v="1"/>
    <x v="20"/>
    <n v="7.3334999999999999"/>
    <n v="4.3700000000000003E-2"/>
    <n v="0.26006103189278601"/>
    <n v="6.9099999999999993"/>
    <n v="0.04"/>
  </r>
  <r>
    <x v="1"/>
    <x v="21"/>
    <n v="7.4539999999999997"/>
    <n v="6.3100000000000003E-2"/>
    <n v="0.30653763936751099"/>
    <n v="7.53"/>
    <n v="0.04"/>
  </r>
  <r>
    <x v="1"/>
    <x v="22"/>
    <n v="8.0878999999999994"/>
    <n v="0.1116"/>
    <n v="0.212804341599132"/>
    <n v="8.2100000000000009"/>
    <n v="0.05"/>
  </r>
  <r>
    <x v="1"/>
    <x v="23"/>
    <n v="9.1"/>
    <n v="2.2200000000000001E-2"/>
    <n v="0.23137861072066801"/>
    <n v="8.9599999999999991"/>
    <n v="0.05"/>
  </r>
  <r>
    <x v="1"/>
    <x v="24"/>
    <n v="0"/>
    <n v="0"/>
    <n v="0.32330500813024599"/>
    <n v="8.9599999999999991"/>
    <n v="0.05"/>
  </r>
  <r>
    <x v="2"/>
    <x v="8"/>
    <n v="7.4269999999999996"/>
    <n v="0"/>
    <n v="8.3035215336207904E-2"/>
    <n v="0.67999999999999994"/>
    <n v="0"/>
  </r>
  <r>
    <x v="2"/>
    <x v="9"/>
    <n v="3.8881000000000001"/>
    <n v="0"/>
    <n v="0.15226672684829901"/>
    <n v="1.03"/>
    <n v="0"/>
  </r>
  <r>
    <x v="2"/>
    <x v="10"/>
    <n v="4.7267999999999999"/>
    <n v="0"/>
    <n v="0.11277179985904899"/>
    <n v="1.4500000000000002"/>
    <n v="0"/>
  </r>
  <r>
    <x v="2"/>
    <x v="11"/>
    <n v="5.5388000000000002"/>
    <n v="1.5599999999999999E-2"/>
    <n v="0.137937264918369"/>
    <n v="1.95"/>
    <n v="0"/>
  </r>
  <r>
    <x v="2"/>
    <x v="12"/>
    <n v="5.3395999999999999"/>
    <n v="3.0999999999999999E-3"/>
    <n v="0.16926852605984802"/>
    <n v="2.42"/>
    <n v="0"/>
  </r>
  <r>
    <x v="2"/>
    <x v="13"/>
    <n v="4.8250000000000002"/>
    <n v="2.6100000000000002E-2"/>
    <n v="0.20239341257222701"/>
    <n v="2.85"/>
    <n v="0"/>
  </r>
  <r>
    <x v="2"/>
    <x v="14"/>
    <n v="4.5701999999999998"/>
    <n v="4.4900000000000002E-2"/>
    <n v="0.21676206490169797"/>
    <n v="3.25"/>
    <n v="0"/>
  </r>
  <r>
    <x v="2"/>
    <x v="15"/>
    <n v="5.1115000000000004"/>
    <n v="2.86E-2"/>
    <n v="0.25084879073542204"/>
    <n v="3.6900000000000004"/>
    <n v="0.01"/>
  </r>
  <r>
    <x v="2"/>
    <x v="16"/>
    <n v="4.7755000000000001"/>
    <n v="4.2700000000000002E-2"/>
    <n v="0.24358036540553901"/>
    <n v="4.1000000000000005"/>
    <n v="0.01"/>
  </r>
  <r>
    <x v="2"/>
    <x v="17"/>
    <n v="5.1914999999999996"/>
    <n v="2.1299999999999999E-2"/>
    <n v="0.194980190378507"/>
    <n v="4.55"/>
    <n v="0.01"/>
  </r>
  <r>
    <x v="2"/>
    <x v="18"/>
    <n v="4.2118000000000002"/>
    <n v="6.59E-2"/>
    <n v="0.316395234487096"/>
    <n v="4.91"/>
    <n v="0.02"/>
  </r>
  <r>
    <x v="2"/>
    <x v="19"/>
    <n v="5.9295999999999998"/>
    <n v="2.35E-2"/>
    <n v="0.24825080357062301"/>
    <n v="5.41"/>
    <n v="0.02"/>
  </r>
  <r>
    <x v="2"/>
    <x v="20"/>
    <n v="7.6299000000000001"/>
    <n v="3.1099999999999999E-2"/>
    <n v="0.25249433576771502"/>
    <n v="6.0600000000000005"/>
    <n v="0.02"/>
  </r>
  <r>
    <x v="2"/>
    <x v="21"/>
    <n v="8.0511999999999997"/>
    <n v="2.2800000000000001E-2"/>
    <n v="0.31499647857695201"/>
    <n v="6.75"/>
    <n v="0.02"/>
  </r>
  <r>
    <x v="2"/>
    <x v="22"/>
    <n v="9.2845999999999993"/>
    <n v="6.3500000000000001E-2"/>
    <n v="0.235929860311377"/>
    <n v="7.53"/>
    <n v="0.03"/>
  </r>
  <r>
    <x v="2"/>
    <x v="23"/>
    <n v="9.7987000000000002"/>
    <n v="2.69E-2"/>
    <n v="0.24597052332955299"/>
    <n v="8.35"/>
    <n v="0.03"/>
  </r>
  <r>
    <x v="2"/>
    <x v="24"/>
    <n v="0"/>
    <n v="0"/>
    <n v="0.283053241141691"/>
    <n v="8.35"/>
    <n v="0.03"/>
  </r>
  <r>
    <x v="3"/>
    <x v="10"/>
    <n v="14.718299999999999"/>
    <n v="0"/>
    <n v="0.125824980264575"/>
    <n v="1.5"/>
    <n v="0"/>
  </r>
  <r>
    <x v="3"/>
    <x v="11"/>
    <n v="8.6524000000000001"/>
    <n v="0"/>
    <n v="0.159444043323311"/>
    <n v="2.34"/>
    <n v="0"/>
  </r>
  <r>
    <x v="3"/>
    <x v="12"/>
    <n v="8.5411999999999999"/>
    <n v="0"/>
    <n v="0.162206789496806"/>
    <n v="3.16"/>
    <n v="0"/>
  </r>
  <r>
    <x v="3"/>
    <x v="13"/>
    <n v="7.7906000000000004"/>
    <n v="4.2799999999999998E-2"/>
    <n v="0.18349704792402902"/>
    <n v="3.91"/>
    <n v="0"/>
  </r>
  <r>
    <x v="3"/>
    <x v="14"/>
    <n v="7.0224000000000002"/>
    <n v="3.3999999999999998E-3"/>
    <n v="0.177433496993155"/>
    <n v="4.5699999999999994"/>
    <n v="0"/>
  </r>
  <r>
    <x v="3"/>
    <x v="15"/>
    <n v="7.5042999999999997"/>
    <n v="3.9E-2"/>
    <n v="0.22391729474885499"/>
    <n v="5.27"/>
    <n v="0"/>
  </r>
  <r>
    <x v="3"/>
    <x v="16"/>
    <n v="10.3561"/>
    <n v="2.5000000000000001E-2"/>
    <n v="0.23875834479081601"/>
    <n v="6.2399999999999993"/>
    <n v="0.01"/>
  </r>
  <r>
    <x v="3"/>
    <x v="17"/>
    <n v="11.3248"/>
    <n v="2.2499999999999999E-2"/>
    <n v="0.22911961585951199"/>
    <n v="7.3"/>
    <n v="0.01"/>
  </r>
  <r>
    <x v="3"/>
    <x v="18"/>
    <n v="9.6349999999999998"/>
    <n v="3.2599999999999997E-2"/>
    <n v="0.36134533615784098"/>
    <n v="8.18"/>
    <n v="0.01"/>
  </r>
  <r>
    <x v="3"/>
    <x v="19"/>
    <n v="17.597200000000001"/>
    <n v="3.6299999999999999E-2"/>
    <n v="0.28897348095416797"/>
    <n v="9.84"/>
    <n v="0.01"/>
  </r>
  <r>
    <x v="3"/>
    <x v="20"/>
    <n v="19.887699999999999"/>
    <n v="3.4700000000000002E-2"/>
    <n v="0.28917338018387501"/>
    <n v="11.709999999999999"/>
    <n v="0.02"/>
  </r>
  <r>
    <x v="3"/>
    <x v="21"/>
    <n v="13.9582"/>
    <n v="4.1599999999999998E-2"/>
    <n v="0.34767765375114001"/>
    <n v="12.950000000000001"/>
    <n v="0.02"/>
  </r>
  <r>
    <x v="3"/>
    <x v="22"/>
    <n v="13.7494"/>
    <n v="5.2600000000000001E-2"/>
    <n v="0.26331290473771801"/>
    <n v="14.149999999999999"/>
    <n v="0.02"/>
  </r>
  <r>
    <x v="3"/>
    <x v="23"/>
    <n v="13.478199999999999"/>
    <n v="5.04E-2"/>
    <n v="0.28994875935216796"/>
    <n v="15.32"/>
    <n v="0.03"/>
  </r>
  <r>
    <x v="3"/>
    <x v="24"/>
    <n v="0"/>
    <n v="0"/>
    <n v="0.34288805643157899"/>
    <n v="15.32"/>
    <n v="0.03"/>
  </r>
  <r>
    <x v="4"/>
    <x v="14"/>
    <n v="34.337400000000002"/>
    <n v="0"/>
    <n v="0.18750273449471"/>
    <n v="4.38"/>
    <n v="0"/>
  </r>
  <r>
    <x v="4"/>
    <x v="15"/>
    <n v="13.198499999999999"/>
    <n v="0"/>
    <n v="0.218480727059924"/>
    <n v="5.81"/>
    <n v="0"/>
  </r>
  <r>
    <x v="4"/>
    <x v="16"/>
    <n v="22.500599999999999"/>
    <n v="0"/>
    <n v="0.256334747836789"/>
    <n v="8.36"/>
    <n v="0"/>
  </r>
  <r>
    <x v="4"/>
    <x v="17"/>
    <n v="22.5213"/>
    <n v="4.2700000000000002E-2"/>
    <n v="0.25782310018865501"/>
    <n v="10.84"/>
    <n v="0"/>
  </r>
  <r>
    <x v="4"/>
    <x v="18"/>
    <n v="19.411799999999999"/>
    <n v="0"/>
    <n v="0.41618114863963895"/>
    <n v="12.9"/>
    <n v="0"/>
  </r>
  <r>
    <x v="4"/>
    <x v="19"/>
    <n v="37.158299999999997"/>
    <n v="4.1000000000000002E-2"/>
    <n v="0.36901987117811802"/>
    <n v="17.2"/>
    <n v="0"/>
  </r>
  <r>
    <x v="4"/>
    <x v="20"/>
    <n v="38.846600000000002"/>
    <n v="4.6100000000000002E-2"/>
    <n v="0.39045994484270097"/>
    <n v="21.560000000000002"/>
    <n v="0.01"/>
  </r>
  <r>
    <x v="4"/>
    <x v="21"/>
    <n v="27.4253"/>
    <n v="9.6799999999999997E-2"/>
    <n v="0.49454945394582694"/>
    <n v="24.3"/>
    <n v="0.02"/>
  </r>
  <r>
    <x v="4"/>
    <x v="22"/>
    <n v="24.923400000000001"/>
    <n v="5.9700000000000003E-2"/>
    <n v="0.40934867388750701"/>
    <n v="26.69"/>
    <n v="0.02"/>
  </r>
  <r>
    <x v="4"/>
    <x v="23"/>
    <n v="21.3535"/>
    <n v="0.1091"/>
    <n v="0.41318942079793203"/>
    <n v="28.64"/>
    <n v="0.03"/>
  </r>
  <r>
    <x v="4"/>
    <x v="24"/>
    <n v="0"/>
    <n v="0"/>
    <n v="0.532332738514399"/>
    <n v="28.64"/>
    <n v="0.03"/>
  </r>
  <r>
    <x v="5"/>
    <x v="15"/>
    <n v="13.3165"/>
    <n v="0"/>
    <n v="0"/>
    <n v="1.46"/>
    <n v="0"/>
  </r>
  <r>
    <x v="5"/>
    <x v="16"/>
    <n v="22.260400000000001"/>
    <n v="0"/>
    <n v="0.19170658184365799"/>
    <n v="3.9800000000000004"/>
    <n v="0"/>
  </r>
  <r>
    <x v="5"/>
    <x v="17"/>
    <n v="21.629799999999999"/>
    <n v="0"/>
    <n v="0.173821680992786"/>
    <n v="6.370000000000001"/>
    <n v="0"/>
  </r>
  <r>
    <x v="5"/>
    <x v="18"/>
    <n v="21.002500000000001"/>
    <n v="0"/>
    <n v="0.35413995458346703"/>
    <n v="8.6300000000000008"/>
    <n v="0"/>
  </r>
  <r>
    <x v="5"/>
    <x v="19"/>
    <n v="35.541899999999998"/>
    <n v="0"/>
    <n v="0.27748621000516899"/>
    <n v="12.72"/>
    <n v="0"/>
  </r>
  <r>
    <x v="5"/>
    <x v="20"/>
    <n v="41.523499999999999"/>
    <n v="1.9099999999999999E-2"/>
    <n v="0.30916978033754999"/>
    <n v="17.510000000000002"/>
    <n v="0"/>
  </r>
  <r>
    <x v="5"/>
    <x v="21"/>
    <n v="27.0959"/>
    <n v="0"/>
    <n v="0.42376432266131597"/>
    <n v="20.23"/>
    <n v="0"/>
  </r>
  <r>
    <x v="5"/>
    <x v="22"/>
    <n v="23.529800000000002"/>
    <n v="6.83E-2"/>
    <n v="0.35782370579607603"/>
    <n v="22.470000000000002"/>
    <n v="0"/>
  </r>
  <r>
    <x v="5"/>
    <x v="23"/>
    <n v="22.621600000000001"/>
    <n v="5.1000000000000004E-3"/>
    <n v="0.390627776894863"/>
    <n v="24.57"/>
    <n v="0"/>
  </r>
  <r>
    <x v="5"/>
    <x v="24"/>
    <n v="0"/>
    <n v="0"/>
    <n v="0.47030986431971999"/>
    <n v="24.57"/>
    <n v="0"/>
  </r>
  <r>
    <x v="6"/>
    <x v="14"/>
    <n v="26.836099999999998"/>
    <n v="0"/>
    <n v="0.17774701574957899"/>
    <n v="3.1199999999999997"/>
    <n v="0"/>
  </r>
  <r>
    <x v="6"/>
    <x v="15"/>
    <n v="11.3437"/>
    <n v="0"/>
    <n v="0.26546245827528098"/>
    <n v="4.3"/>
    <n v="0"/>
  </r>
  <r>
    <x v="6"/>
    <x v="16"/>
    <n v="17.6995"/>
    <n v="0"/>
    <n v="0.30729143052024899"/>
    <n v="6.18"/>
    <n v="0"/>
  </r>
  <r>
    <x v="6"/>
    <x v="17"/>
    <n v="18.272500000000001"/>
    <n v="4.3099999999999999E-2"/>
    <n v="0.35378818839678899"/>
    <n v="8.09"/>
    <n v="0"/>
  </r>
  <r>
    <x v="6"/>
    <x v="18"/>
    <n v="15.596500000000001"/>
    <n v="0.1948"/>
    <n v="0.51635036194168704"/>
    <n v="9.67"/>
    <n v="0.02"/>
  </r>
  <r>
    <x v="6"/>
    <x v="19"/>
    <n v="30.398"/>
    <n v="0"/>
    <n v="0.426063121324534"/>
    <n v="12.97"/>
    <n v="0.02"/>
  </r>
  <r>
    <x v="6"/>
    <x v="20"/>
    <n v="33.429000000000002"/>
    <n v="0.1084"/>
    <n v="0.53237138676784901"/>
    <n v="16.54"/>
    <n v="0.03"/>
  </r>
  <r>
    <x v="6"/>
    <x v="21"/>
    <n v="22.344000000000001"/>
    <n v="0.1807"/>
    <n v="0.58858695835742603"/>
    <n v="18.7"/>
    <n v="0.04"/>
  </r>
  <r>
    <x v="6"/>
    <x v="22"/>
    <n v="21.953800000000001"/>
    <n v="0.22869999999999999"/>
    <n v="0.42740795025214895"/>
    <n v="20.77"/>
    <n v="0.06"/>
  </r>
  <r>
    <x v="6"/>
    <x v="23"/>
    <n v="21.616299999999999"/>
    <n v="6.4899999999999999E-2"/>
    <n v="0.51322419447953493"/>
    <n v="22.759999999999998"/>
    <n v="6.9999999999999993E-2"/>
  </r>
  <r>
    <x v="6"/>
    <x v="24"/>
    <n v="0"/>
    <n v="0"/>
    <n v="0.61644989212499102"/>
    <n v="22.759999999999998"/>
    <n v="6.9999999999999993E-2"/>
  </r>
  <r>
    <x v="7"/>
    <x v="15"/>
    <n v="17.9786"/>
    <n v="6.1999999999999998E-3"/>
    <n v="0.19867683813505799"/>
    <n v="1.73"/>
    <n v="0"/>
  </r>
  <r>
    <x v="7"/>
    <x v="16"/>
    <n v="7.1130000000000004"/>
    <n v="0"/>
    <n v="0.19704739462751297"/>
    <n v="2.37"/>
    <n v="0"/>
  </r>
  <r>
    <x v="7"/>
    <x v="17"/>
    <n v="7.6486000000000001"/>
    <n v="0"/>
    <n v="0.182791002941537"/>
    <n v="3.06"/>
    <n v="0"/>
  </r>
  <r>
    <x v="7"/>
    <x v="18"/>
    <n v="6.3979999999999997"/>
    <n v="2.5999999999999999E-2"/>
    <n v="0.31173836097395097"/>
    <n v="3.62"/>
    <n v="0"/>
  </r>
  <r>
    <x v="7"/>
    <x v="19"/>
    <n v="11.402200000000001"/>
    <n v="6.5199999999999994E-2"/>
    <n v="0.25871680534557295"/>
    <n v="4.6399999999999997"/>
    <n v="0"/>
  </r>
  <r>
    <x v="7"/>
    <x v="20"/>
    <n v="14.1052"/>
    <n v="8.3799999999999999E-2"/>
    <n v="0.29512584597165203"/>
    <n v="5.91"/>
    <n v="0.01"/>
  </r>
  <r>
    <x v="7"/>
    <x v="21"/>
    <n v="12.1469"/>
    <n v="0.06"/>
    <n v="0.341203728538442"/>
    <n v="6.97"/>
    <n v="0.02"/>
  </r>
  <r>
    <x v="7"/>
    <x v="22"/>
    <n v="12.386200000000001"/>
    <n v="6.0499999999999998E-2"/>
    <n v="0.25385131985243703"/>
    <n v="8.0500000000000007"/>
    <n v="0.02"/>
  </r>
  <r>
    <x v="7"/>
    <x v="23"/>
    <n v="12.855"/>
    <n v="6.08E-2"/>
    <n v="0.29648472609394599"/>
    <n v="9.15"/>
    <n v="0.03"/>
  </r>
  <r>
    <x v="7"/>
    <x v="24"/>
    <n v="0"/>
    <n v="0"/>
    <n v="0.376515711270408"/>
    <n v="9.15"/>
    <n v="0.03"/>
  </r>
  <r>
    <x v="8"/>
    <x v="15"/>
    <n v="7.9057000000000004"/>
    <n v="0"/>
    <n v="0"/>
    <n v="0.8"/>
    <n v="0"/>
  </r>
  <r>
    <x v="8"/>
    <x v="16"/>
    <n v="16.529800000000002"/>
    <n v="0"/>
    <n v="0.166233034743174"/>
    <n v="2.5299999999999998"/>
    <n v="0"/>
  </r>
  <r>
    <x v="8"/>
    <x v="17"/>
    <n v="14.737299999999999"/>
    <n v="0"/>
    <n v="0.18127235784901399"/>
    <n v="4.04"/>
    <n v="0"/>
  </r>
  <r>
    <x v="8"/>
    <x v="18"/>
    <n v="15.9307"/>
    <n v="0"/>
    <n v="0.32100016355282601"/>
    <n v="5.66"/>
    <n v="0"/>
  </r>
  <r>
    <x v="8"/>
    <x v="19"/>
    <n v="28.165900000000001"/>
    <n v="0"/>
    <n v="0.34388182085411201"/>
    <n v="8.67"/>
    <n v="0"/>
  </r>
  <r>
    <x v="8"/>
    <x v="20"/>
    <n v="34.780200000000001"/>
    <n v="0.18659999999999999"/>
    <n v="0.41123124381280396"/>
    <n v="12.44"/>
    <n v="0.01"/>
  </r>
  <r>
    <x v="8"/>
    <x v="21"/>
    <n v="22.173100000000002"/>
    <n v="0.1017"/>
    <n v="0.50680743447907906"/>
    <n v="14.580000000000002"/>
    <n v="0.02"/>
  </r>
  <r>
    <x v="8"/>
    <x v="22"/>
    <n v="20.960100000000001"/>
    <n v="0.1095"/>
    <n v="0.37748294798205301"/>
    <n v="16.55"/>
    <n v="0.03"/>
  </r>
  <r>
    <x v="8"/>
    <x v="23"/>
    <n v="19.663900000000002"/>
    <n v="0.1643"/>
    <n v="0.44673961711471694"/>
    <n v="18.34"/>
    <n v="0.04"/>
  </r>
  <r>
    <x v="8"/>
    <x v="24"/>
    <n v="0"/>
    <n v="0"/>
    <n v="0.59045563730843498"/>
    <n v="18.34"/>
    <n v="0.04"/>
  </r>
  <r>
    <x v="9"/>
    <x v="19"/>
    <n v="51.978200000000001"/>
    <n v="0"/>
    <n v="0.159228640865899"/>
    <n v="6.87"/>
    <n v="0"/>
  </r>
  <r>
    <x v="9"/>
    <x v="20"/>
    <n v="37.950000000000003"/>
    <n v="0"/>
    <n v="0.17318346328686801"/>
    <n v="11.110000000000001"/>
    <n v="0"/>
  </r>
  <r>
    <x v="9"/>
    <x v="21"/>
    <n v="23.9587"/>
    <n v="0"/>
    <n v="0.342220498640191"/>
    <n v="13.469999999999999"/>
    <n v="0"/>
  </r>
  <r>
    <x v="9"/>
    <x v="22"/>
    <n v="22.691099999999999"/>
    <n v="0"/>
    <n v="0.21156629027363499"/>
    <n v="15.629999999999999"/>
    <n v="0"/>
  </r>
  <r>
    <x v="9"/>
    <x v="23"/>
    <n v="19.299199999999999"/>
    <n v="2.7900000000000001E-2"/>
    <n v="0.27772949574741501"/>
    <n v="17.39"/>
    <n v="0"/>
  </r>
  <r>
    <x v="9"/>
    <x v="24"/>
    <n v="0"/>
    <n v="0"/>
    <n v="0.35491638964424999"/>
    <n v="17.39"/>
    <n v="0"/>
  </r>
  <r>
    <x v="10"/>
    <x v="22"/>
    <n v="16.482600000000001"/>
    <n v="0"/>
    <n v="5.5999090056126306E-2"/>
    <n v="1.43"/>
    <n v="0"/>
  </r>
  <r>
    <x v="10"/>
    <x v="23"/>
    <n v="10.3049"/>
    <n v="0"/>
    <n v="7.6209042857628501E-2"/>
    <n v="2.29"/>
    <n v="0"/>
  </r>
  <r>
    <x v="10"/>
    <x v="24"/>
    <n v="0"/>
    <n v="0"/>
    <n v="0.11834858248674"/>
    <n v="2.29"/>
    <n v="0"/>
  </r>
  <r>
    <x v="11"/>
    <x v="24"/>
    <n v="0"/>
    <n v="0"/>
    <n v="0.17926947193298801"/>
    <n v="1.37"/>
    <n v="0"/>
  </r>
  <r>
    <x v="12"/>
    <x v="21"/>
    <n v="39.482300000000002"/>
    <n v="0"/>
    <n v="0.20324079350067201"/>
    <n v="4.32"/>
    <n v="0"/>
  </r>
  <r>
    <x v="12"/>
    <x v="22"/>
    <n v="17.138100000000001"/>
    <n v="0"/>
    <n v="0.168899070331161"/>
    <n v="5.8999999999999995"/>
    <n v="0"/>
  </r>
  <r>
    <x v="12"/>
    <x v="23"/>
    <n v="15.325200000000001"/>
    <n v="0"/>
    <n v="0.19443009127071501"/>
    <n v="7.26"/>
    <n v="0"/>
  </r>
  <r>
    <x v="12"/>
    <x v="24"/>
    <n v="0"/>
    <n v="0"/>
    <n v="0.26498330954823002"/>
    <n v="7.26"/>
    <n v="0"/>
  </r>
  <r>
    <x v="13"/>
    <x v="22"/>
    <n v="12.428100000000001"/>
    <n v="0"/>
    <n v="0"/>
    <n v="1.0699999999999998"/>
    <n v="0"/>
  </r>
  <r>
    <x v="13"/>
    <x v="23"/>
    <n v="12.8009"/>
    <n v="0"/>
    <n v="0.10399318474289801"/>
    <n v="2.17"/>
    <n v="0"/>
  </r>
  <r>
    <x v="13"/>
    <x v="24"/>
    <n v="0"/>
    <n v="0"/>
    <n v="0.16668659441076"/>
    <n v="2.1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7" cacheId="2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dataField="1"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3" baseField="0" baseItem="0" numFmtId="2"/>
  </dataFields>
  <formats count="10"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">
      <pivotArea type="all" dataOnly="0" outline="0" fieldPosition="0"/>
    </format>
    <format dxfId="5">
      <pivotArea type="all" dataOnly="0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field="1" type="button" dataOnly="0" labelOnly="1" outline="0" axis="axisRow" fieldPosition="0"/>
    </format>
    <format dxfId="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6" cacheId="2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numFmtId="10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6" baseField="0" baseItem="0" numFmtId="2"/>
  </dataFields>
  <formats count="11">
    <format dxfId="20">
      <pivotArea outline="0" collapsedLevelsAreSubtotals="1" fieldPosition="0"/>
    </format>
    <format dxfId="19">
      <pivotArea type="all" dataOnly="0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6">
      <pivotArea type="all" dataOnly="0" outline="0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0"/>
        </references>
      </pivotArea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5" cacheId="2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dataField="1"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4" baseField="0" baseItem="0" numFmtId="2"/>
  </dataFields>
  <formats count="13">
    <format dxfId="33">
      <pivotArea outline="0" collapsedLevelsAreSubtotals="1" fieldPosition="0"/>
    </format>
    <format dxfId="32">
      <pivotArea type="all" dataOnly="0" outline="0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9">
      <pivotArea field="1" type="button" dataOnly="0" labelOnly="1" outline="0" axis="axisRow" fieldPosition="0"/>
    </format>
    <format dxfId="2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7">
      <pivotArea type="all" dataOnly="0" outline="0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fieldPosition="0">
        <references count="1">
          <reference field="1" count="0"/>
        </references>
      </pivotArea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8" cacheId="2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dataField="1" numFmtId="43" showAll="0"/>
    <pivotField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2" baseField="0" baseItem="0" numFmtId="164"/>
  </dataFields>
  <formats count="14">
    <format dxfId="47">
      <pivotArea outline="0" collapsedLevelsAreSubtotals="1" fieldPosition="0"/>
    </format>
    <format dxfId="46">
      <pivotArea field="1" type="button" dataOnly="0" labelOnly="1" outline="0" axis="axisRow" fieldPosition="0"/>
    </format>
    <format dxfId="4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0">
      <pivotArea type="all" dataOnly="0" outline="0" fieldPosition="0"/>
    </format>
    <format dxfId="39">
      <pivotArea type="all" dataOnly="0" outline="0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fieldPosition="0">
        <references count="1">
          <reference field="1" count="0"/>
        </references>
      </pivotArea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T3:X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1" hier="-1"/>
  </pageFields>
  <dataFields count="1">
    <dataField name="Sum of Annualized" fld="8" baseField="0" baseItem="0"/>
  </dataFields>
  <chartFormats count="6"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M3:Q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0" hier="-1"/>
  </pageFields>
  <dataFields count="1">
    <dataField name="Sum of Annualized" fld="8" baseField="0" baseItem="0"/>
  </dataFields>
  <chartFormats count="3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B1:AL74"/>
  <sheetViews>
    <sheetView showGridLines="0" zoomScale="85" zoomScaleNormal="85" workbookViewId="0">
      <selection activeCell="T43" sqref="T43"/>
    </sheetView>
  </sheetViews>
  <sheetFormatPr defaultRowHeight="15"/>
  <cols>
    <col min="1" max="1" width="9.140625" customWidth="1"/>
    <col min="3" max="3" width="15.140625" customWidth="1"/>
    <col min="4" max="4" width="17.85546875" customWidth="1"/>
    <col min="5" max="9" width="10.42578125" customWidth="1"/>
    <col min="10" max="12" width="10.5703125" customWidth="1"/>
    <col min="13" max="13" width="10.42578125" customWidth="1"/>
    <col min="14" max="16" width="10.5703125" customWidth="1"/>
    <col min="17" max="18" width="2.85546875" customWidth="1"/>
    <col min="19" max="19" width="15.140625" customWidth="1"/>
    <col min="20" max="20" width="17.85546875" customWidth="1"/>
    <col min="21" max="25" width="10.42578125" customWidth="1"/>
    <col min="26" max="28" width="10.5703125" customWidth="1"/>
    <col min="29" max="29" width="10.42578125" customWidth="1"/>
    <col min="30" max="32" width="10.570312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" spans="2:38">
      <c r="AI1" s="3" t="s">
        <v>0</v>
      </c>
      <c r="AJ1" s="8" t="s">
        <v>6</v>
      </c>
      <c r="AK1" t="s">
        <v>1</v>
      </c>
      <c r="AL1" s="4" t="s">
        <v>4</v>
      </c>
    </row>
    <row r="2" spans="2:38">
      <c r="AI2" s="3" t="s">
        <v>2</v>
      </c>
      <c r="AJ2" s="5">
        <v>42214</v>
      </c>
    </row>
    <row r="3" spans="2:38">
      <c r="AI3" s="3" t="s">
        <v>5</v>
      </c>
      <c r="AJ3" s="8" t="s">
        <v>7</v>
      </c>
    </row>
    <row r="4" spans="2:38">
      <c r="AI4" s="3" t="s">
        <v>3</v>
      </c>
      <c r="AJ4" s="8" t="str">
        <f>PDFReportDir &amp; "\Application Activity " &amp; TEXT(CurrentCloseDate, "yyyy-mm-dd") &amp; ".pdf"</f>
        <v>S:\IT\Production\Daily Reports\Primary Market\tmp\\Application Activity 2015-07-29.pdf</v>
      </c>
    </row>
    <row r="5" spans="2:38">
      <c r="AI5" s="6"/>
    </row>
    <row r="6" spans="2:38">
      <c r="AI6" s="6"/>
    </row>
    <row r="7" spans="2:38">
      <c r="AI7" s="6"/>
    </row>
    <row r="8" spans="2:38">
      <c r="AI8" s="6"/>
    </row>
    <row r="9" spans="2:38">
      <c r="AI9" s="6"/>
    </row>
    <row r="10" spans="2:38">
      <c r="AI10" s="6"/>
    </row>
    <row r="11" spans="2:38">
      <c r="AJ11" t="s">
        <v>8</v>
      </c>
      <c r="AK11" s="9" t="s">
        <v>9</v>
      </c>
    </row>
    <row r="12" spans="2:38" ht="13.5" customHeight="1"/>
    <row r="14" spans="2:38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38" s="2" customFormat="1" ht="19.5" customHeight="1">
      <c r="B15"/>
      <c r="C15" s="60" t="s">
        <v>10</v>
      </c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10"/>
      <c r="R15" s="10"/>
      <c r="S15" s="61" t="s">
        <v>11</v>
      </c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/>
      <c r="AH15"/>
      <c r="AI15"/>
    </row>
    <row r="16" spans="2:38" s="2" customFormat="1" hidden="1">
      <c r="B16"/>
      <c r="C16" s="38" t="s">
        <v>12</v>
      </c>
      <c r="D16" s="38" t="s">
        <v>13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0"/>
      <c r="R16" s="10"/>
      <c r="S16" s="38" t="s">
        <v>11</v>
      </c>
      <c r="T16" s="38" t="s">
        <v>13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/>
      <c r="AH16"/>
      <c r="AI16"/>
    </row>
    <row r="17" spans="2:35" s="30" customFormat="1" ht="12.75">
      <c r="B17" s="7"/>
      <c r="C17" s="11" t="s">
        <v>14</v>
      </c>
      <c r="D17" s="11" t="s">
        <v>15</v>
      </c>
      <c r="E17" s="11" t="s">
        <v>16</v>
      </c>
      <c r="F17" s="11" t="s">
        <v>17</v>
      </c>
      <c r="G17" s="11" t="s">
        <v>18</v>
      </c>
      <c r="H17" s="11" t="s">
        <v>19</v>
      </c>
      <c r="I17" s="11" t="s">
        <v>20</v>
      </c>
      <c r="J17" s="11" t="s">
        <v>21</v>
      </c>
      <c r="K17" s="11" t="s">
        <v>22</v>
      </c>
      <c r="L17" s="11" t="s">
        <v>23</v>
      </c>
      <c r="M17" s="11" t="s">
        <v>24</v>
      </c>
      <c r="N17" s="11" t="s">
        <v>25</v>
      </c>
      <c r="O17" s="11" t="s">
        <v>26</v>
      </c>
      <c r="P17" s="11" t="s">
        <v>27</v>
      </c>
      <c r="Q17" s="19"/>
      <c r="R17" s="19"/>
      <c r="S17" s="12" t="s">
        <v>14</v>
      </c>
      <c r="T17" s="12" t="s">
        <v>15</v>
      </c>
      <c r="U17" s="12" t="s">
        <v>16</v>
      </c>
      <c r="V17" s="12" t="s">
        <v>17</v>
      </c>
      <c r="W17" s="12" t="s">
        <v>18</v>
      </c>
      <c r="X17" s="12" t="s">
        <v>19</v>
      </c>
      <c r="Y17" s="12" t="s">
        <v>20</v>
      </c>
      <c r="Z17" s="12" t="s">
        <v>21</v>
      </c>
      <c r="AA17" s="12" t="s">
        <v>22</v>
      </c>
      <c r="AB17" s="12" t="s">
        <v>23</v>
      </c>
      <c r="AC17" s="12" t="s">
        <v>24</v>
      </c>
      <c r="AD17" s="12" t="s">
        <v>25</v>
      </c>
      <c r="AE17" s="12" t="s">
        <v>26</v>
      </c>
      <c r="AF17" s="12" t="s">
        <v>27</v>
      </c>
      <c r="AG17" s="7"/>
      <c r="AH17" s="7"/>
      <c r="AI17" s="7"/>
    </row>
    <row r="18" spans="2:35" s="22" customFormat="1" ht="18" customHeight="1">
      <c r="B18" s="20"/>
      <c r="C18" s="23">
        <v>41426</v>
      </c>
      <c r="D18" s="24">
        <v>7.1894999999999998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1"/>
      <c r="R18" s="21"/>
      <c r="S18" s="23">
        <v>41426</v>
      </c>
      <c r="T18" s="25">
        <v>0</v>
      </c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0"/>
      <c r="AH18" s="20"/>
      <c r="AI18" s="20"/>
    </row>
    <row r="19" spans="2:35" s="22" customFormat="1" ht="18" customHeight="1">
      <c r="B19" s="20"/>
      <c r="C19" s="23">
        <v>41456</v>
      </c>
      <c r="D19" s="24">
        <v>5.2968000000000002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1"/>
      <c r="R19" s="21"/>
      <c r="S19" s="23">
        <v>41456</v>
      </c>
      <c r="T19" s="25">
        <v>0</v>
      </c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0"/>
      <c r="AH19" s="20"/>
      <c r="AI19" s="20"/>
    </row>
    <row r="20" spans="2:35" s="22" customFormat="1" ht="18" customHeight="1">
      <c r="B20" s="20"/>
      <c r="C20" s="23">
        <v>41487</v>
      </c>
      <c r="D20" s="24">
        <v>3.7195999999999998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1"/>
      <c r="R20" s="21"/>
      <c r="S20" s="23">
        <v>41487</v>
      </c>
      <c r="T20" s="25">
        <v>0</v>
      </c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0"/>
      <c r="AH20" s="20"/>
      <c r="AI20" s="20"/>
    </row>
    <row r="21" spans="2:35" s="22" customFormat="1" ht="18" customHeight="1">
      <c r="B21" s="20"/>
      <c r="C21" s="23">
        <v>41518</v>
      </c>
      <c r="D21" s="24">
        <v>3.9026999999999998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1"/>
      <c r="R21" s="21"/>
      <c r="S21" s="23">
        <v>41518</v>
      </c>
      <c r="T21" s="25">
        <v>0</v>
      </c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0"/>
      <c r="AH21" s="20"/>
      <c r="AI21" s="20"/>
    </row>
    <row r="22" spans="2:35" s="22" customFormat="1" ht="18" customHeight="1">
      <c r="B22" s="20"/>
      <c r="C22" s="23">
        <v>41548</v>
      </c>
      <c r="D22" s="24">
        <v>3.5990000000000002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1"/>
      <c r="R22" s="21"/>
      <c r="S22" s="23">
        <v>41548</v>
      </c>
      <c r="T22" s="25">
        <v>0</v>
      </c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0"/>
      <c r="AH22" s="20"/>
      <c r="AI22" s="20"/>
    </row>
    <row r="23" spans="2:35" s="22" customFormat="1" ht="18" customHeight="1">
      <c r="B23" s="20"/>
      <c r="C23" s="23">
        <v>41579</v>
      </c>
      <c r="D23" s="24">
        <v>3.7277999999999998</v>
      </c>
      <c r="E23" s="24">
        <v>8.3688000000000002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1"/>
      <c r="R23" s="21"/>
      <c r="S23" s="23">
        <v>41579</v>
      </c>
      <c r="T23" s="25">
        <v>5.4000000000000003E-3</v>
      </c>
      <c r="U23" s="25">
        <v>0</v>
      </c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0"/>
      <c r="AH23" s="20"/>
      <c r="AI23" s="20"/>
    </row>
    <row r="24" spans="2:35" s="22" customFormat="1" ht="18" customHeight="1">
      <c r="B24" s="20"/>
      <c r="C24" s="23">
        <v>41609</v>
      </c>
      <c r="D24" s="24">
        <v>3.1396999999999999</v>
      </c>
      <c r="E24" s="24">
        <v>2.5486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1"/>
      <c r="R24" s="21"/>
      <c r="S24" s="23">
        <v>41609</v>
      </c>
      <c r="T24" s="25">
        <v>1.66E-2</v>
      </c>
      <c r="U24" s="25">
        <v>0</v>
      </c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0"/>
      <c r="AH24" s="20"/>
      <c r="AI24" s="20"/>
    </row>
    <row r="25" spans="2:35" s="22" customFormat="1" ht="18" customHeight="1">
      <c r="B25" s="20"/>
      <c r="C25" s="23">
        <v>41640</v>
      </c>
      <c r="D25" s="24">
        <v>2.976</v>
      </c>
      <c r="E25" s="24">
        <v>2.6267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1"/>
      <c r="R25" s="21"/>
      <c r="S25" s="23">
        <v>41640</v>
      </c>
      <c r="T25" s="25">
        <v>0.03</v>
      </c>
      <c r="U25" s="25">
        <v>0</v>
      </c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0"/>
      <c r="AH25" s="20"/>
      <c r="AI25" s="20"/>
    </row>
    <row r="26" spans="2:35" s="20" customFormat="1" ht="18" customHeight="1">
      <c r="C26" s="23">
        <v>41671</v>
      </c>
      <c r="D26" s="24">
        <v>3.8313999999999999</v>
      </c>
      <c r="E26" s="24">
        <v>3.6274999999999999</v>
      </c>
      <c r="F26" s="24">
        <v>7.4269999999999996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1"/>
      <c r="R26" s="21"/>
      <c r="S26" s="23">
        <v>41671</v>
      </c>
      <c r="T26" s="25">
        <v>1.9E-2</v>
      </c>
      <c r="U26" s="25">
        <v>8.9999999999999993E-3</v>
      </c>
      <c r="V26" s="25">
        <v>0</v>
      </c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2:35" s="20" customFormat="1" ht="18" customHeight="1">
      <c r="C27" s="23">
        <v>41699</v>
      </c>
      <c r="D27" s="24">
        <v>3.9773000000000001</v>
      </c>
      <c r="E27" s="24">
        <v>3.9352999999999998</v>
      </c>
      <c r="F27" s="24">
        <v>3.8881000000000001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1"/>
      <c r="R27" s="21"/>
      <c r="S27" s="23">
        <v>41699</v>
      </c>
      <c r="T27" s="25">
        <v>8.3900000000000002E-2</v>
      </c>
      <c r="U27" s="25">
        <v>3.9E-2</v>
      </c>
      <c r="V27" s="25">
        <v>0</v>
      </c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2:35" s="20" customFormat="1" ht="18" customHeight="1">
      <c r="C28" s="23">
        <v>41730</v>
      </c>
      <c r="D28" s="24">
        <v>5.8136999999999999</v>
      </c>
      <c r="E28" s="24">
        <v>5.2506000000000004</v>
      </c>
      <c r="F28" s="24">
        <v>4.7267999999999999</v>
      </c>
      <c r="G28" s="24">
        <v>14.718299999999999</v>
      </c>
      <c r="H28" s="24"/>
      <c r="I28" s="24"/>
      <c r="J28" s="24"/>
      <c r="K28" s="24"/>
      <c r="L28" s="24"/>
      <c r="M28" s="24"/>
      <c r="N28" s="24"/>
      <c r="O28" s="24"/>
      <c r="P28" s="24"/>
      <c r="Q28" s="21"/>
      <c r="R28" s="21"/>
      <c r="S28" s="23">
        <v>41730</v>
      </c>
      <c r="T28" s="25">
        <v>5.5599999999999997E-2</v>
      </c>
      <c r="U28" s="25">
        <v>1.7299999999999999E-2</v>
      </c>
      <c r="V28" s="25">
        <v>0</v>
      </c>
      <c r="W28" s="25">
        <v>0</v>
      </c>
      <c r="X28" s="25"/>
      <c r="Y28" s="25"/>
      <c r="Z28" s="25"/>
      <c r="AA28" s="25"/>
      <c r="AB28" s="25"/>
      <c r="AC28" s="25"/>
      <c r="AD28" s="25"/>
      <c r="AE28" s="25"/>
      <c r="AF28" s="25"/>
    </row>
    <row r="29" spans="2:35" s="20" customFormat="1" ht="18" customHeight="1">
      <c r="C29" s="23">
        <v>41760</v>
      </c>
      <c r="D29" s="24">
        <v>7.3971999999999998</v>
      </c>
      <c r="E29" s="24">
        <v>5.7789000000000001</v>
      </c>
      <c r="F29" s="24">
        <v>5.5388000000000002</v>
      </c>
      <c r="G29" s="24">
        <v>8.6524000000000001</v>
      </c>
      <c r="H29" s="24"/>
      <c r="I29" s="24"/>
      <c r="J29" s="24"/>
      <c r="K29" s="24"/>
      <c r="L29" s="24"/>
      <c r="M29" s="24"/>
      <c r="N29" s="24"/>
      <c r="O29" s="24"/>
      <c r="P29" s="24"/>
      <c r="Q29" s="21"/>
      <c r="R29" s="21"/>
      <c r="S29" s="23">
        <v>41760</v>
      </c>
      <c r="T29" s="25">
        <v>5.04E-2</v>
      </c>
      <c r="U29" s="25">
        <v>2.12E-2</v>
      </c>
      <c r="V29" s="25">
        <v>1.5599999999999999E-2</v>
      </c>
      <c r="W29" s="25">
        <v>0</v>
      </c>
      <c r="X29" s="25"/>
      <c r="Y29" s="25"/>
      <c r="Z29" s="25"/>
      <c r="AA29" s="25"/>
      <c r="AB29" s="25"/>
      <c r="AC29" s="25"/>
      <c r="AD29" s="25"/>
      <c r="AE29" s="25"/>
      <c r="AF29" s="25"/>
    </row>
    <row r="30" spans="2:35" s="20" customFormat="1" ht="18" customHeight="1">
      <c r="C30" s="23">
        <v>41791</v>
      </c>
      <c r="D30" s="24">
        <v>6.9165999999999999</v>
      </c>
      <c r="E30" s="24">
        <v>5.8940999999999999</v>
      </c>
      <c r="F30" s="24">
        <v>5.3395999999999999</v>
      </c>
      <c r="G30" s="24">
        <v>8.5411999999999999</v>
      </c>
      <c r="H30" s="24"/>
      <c r="I30" s="24"/>
      <c r="J30" s="24"/>
      <c r="K30" s="24"/>
      <c r="L30" s="24"/>
      <c r="M30" s="24"/>
      <c r="N30" s="24"/>
      <c r="O30" s="24"/>
      <c r="P30" s="24"/>
      <c r="Q30" s="21"/>
      <c r="R30" s="21"/>
      <c r="S30" s="23">
        <v>41791</v>
      </c>
      <c r="T30" s="25">
        <v>3.8899999999999997E-2</v>
      </c>
      <c r="U30" s="25">
        <v>2.7699999999999999E-2</v>
      </c>
      <c r="V30" s="25">
        <v>3.0999999999999999E-3</v>
      </c>
      <c r="W30" s="25">
        <v>0</v>
      </c>
      <c r="X30" s="25"/>
      <c r="Y30" s="25"/>
      <c r="Z30" s="25"/>
      <c r="AA30" s="25"/>
      <c r="AB30" s="25"/>
      <c r="AC30" s="25"/>
      <c r="AD30" s="25"/>
      <c r="AE30" s="25"/>
      <c r="AF30" s="25"/>
    </row>
    <row r="31" spans="2:35" s="20" customFormat="1" ht="18" customHeight="1">
      <c r="C31" s="23">
        <v>41821</v>
      </c>
      <c r="D31" s="24">
        <v>6.4720000000000004</v>
      </c>
      <c r="E31" s="24">
        <v>5.4923000000000002</v>
      </c>
      <c r="F31" s="24">
        <v>4.8250000000000002</v>
      </c>
      <c r="G31" s="24">
        <v>7.7906000000000004</v>
      </c>
      <c r="H31" s="24"/>
      <c r="I31" s="24"/>
      <c r="J31" s="24"/>
      <c r="K31" s="24"/>
      <c r="L31" s="24"/>
      <c r="M31" s="24"/>
      <c r="N31" s="24"/>
      <c r="O31" s="24"/>
      <c r="P31" s="24"/>
      <c r="Q31" s="21"/>
      <c r="R31" s="21"/>
      <c r="S31" s="23">
        <v>41821</v>
      </c>
      <c r="T31" s="25">
        <v>3.9800000000000002E-2</v>
      </c>
      <c r="U31" s="25">
        <v>2.58E-2</v>
      </c>
      <c r="V31" s="25">
        <v>2.6100000000000002E-2</v>
      </c>
      <c r="W31" s="25">
        <v>4.2799999999999998E-2</v>
      </c>
      <c r="X31" s="25"/>
      <c r="Y31" s="25"/>
      <c r="Z31" s="25"/>
      <c r="AA31" s="25"/>
      <c r="AB31" s="25"/>
      <c r="AC31" s="25"/>
      <c r="AD31" s="25"/>
      <c r="AE31" s="25"/>
      <c r="AF31" s="25"/>
    </row>
    <row r="32" spans="2:35" s="20" customFormat="1" ht="18" customHeight="1">
      <c r="C32" s="23">
        <v>41852</v>
      </c>
      <c r="D32" s="24">
        <v>5.0166000000000004</v>
      </c>
      <c r="E32" s="24">
        <v>4.6874000000000002</v>
      </c>
      <c r="F32" s="24">
        <v>4.5701999999999998</v>
      </c>
      <c r="G32" s="24">
        <v>7.0224000000000002</v>
      </c>
      <c r="H32" s="24">
        <v>34.337400000000002</v>
      </c>
      <c r="I32" s="24"/>
      <c r="J32" s="24">
        <v>26.836099999999998</v>
      </c>
      <c r="K32" s="24"/>
      <c r="L32" s="24"/>
      <c r="M32" s="24"/>
      <c r="N32" s="24"/>
      <c r="O32" s="24"/>
      <c r="P32" s="24"/>
      <c r="Q32" s="21"/>
      <c r="R32" s="21"/>
      <c r="S32" s="23">
        <v>41852</v>
      </c>
      <c r="T32" s="25">
        <v>3.09E-2</v>
      </c>
      <c r="U32" s="25">
        <v>2.06E-2</v>
      </c>
      <c r="V32" s="25">
        <v>4.4900000000000002E-2</v>
      </c>
      <c r="W32" s="25">
        <v>3.3999999999999998E-3</v>
      </c>
      <c r="X32" s="25">
        <v>0</v>
      </c>
      <c r="Y32" s="25"/>
      <c r="Z32" s="25">
        <v>0</v>
      </c>
      <c r="AA32" s="25"/>
      <c r="AB32" s="25"/>
      <c r="AC32" s="25"/>
      <c r="AD32" s="25"/>
      <c r="AE32" s="25"/>
      <c r="AF32" s="25"/>
    </row>
    <row r="33" spans="3:32" s="20" customFormat="1" ht="18" customHeight="1">
      <c r="C33" s="23">
        <v>41883</v>
      </c>
      <c r="D33" s="24">
        <v>6.4724000000000004</v>
      </c>
      <c r="E33" s="24">
        <v>5.3079999999999998</v>
      </c>
      <c r="F33" s="24">
        <v>5.1115000000000004</v>
      </c>
      <c r="G33" s="24">
        <v>7.5042999999999997</v>
      </c>
      <c r="H33" s="24">
        <v>13.198499999999999</v>
      </c>
      <c r="I33" s="24">
        <v>13.3165</v>
      </c>
      <c r="J33" s="24">
        <v>11.3437</v>
      </c>
      <c r="K33" s="24">
        <v>17.9786</v>
      </c>
      <c r="L33" s="24">
        <v>7.9057000000000004</v>
      </c>
      <c r="M33" s="24"/>
      <c r="N33" s="24"/>
      <c r="O33" s="24"/>
      <c r="P33" s="24"/>
      <c r="Q33" s="21"/>
      <c r="R33" s="21"/>
      <c r="S33" s="23">
        <v>41883</v>
      </c>
      <c r="T33" s="25">
        <v>5.0900000000000001E-2</v>
      </c>
      <c r="U33" s="25">
        <v>5.4300000000000001E-2</v>
      </c>
      <c r="V33" s="25">
        <v>2.86E-2</v>
      </c>
      <c r="W33" s="25">
        <v>3.9E-2</v>
      </c>
      <c r="X33" s="25">
        <v>0</v>
      </c>
      <c r="Y33" s="25">
        <v>0</v>
      </c>
      <c r="Z33" s="25">
        <v>0</v>
      </c>
      <c r="AA33" s="25">
        <v>6.1999999999999998E-3</v>
      </c>
      <c r="AB33" s="25">
        <v>0</v>
      </c>
      <c r="AC33" s="25"/>
      <c r="AD33" s="25"/>
      <c r="AE33" s="25"/>
      <c r="AF33" s="25"/>
    </row>
    <row r="34" spans="3:32" s="20" customFormat="1" ht="18" customHeight="1">
      <c r="C34" s="23">
        <v>41913</v>
      </c>
      <c r="D34" s="24">
        <v>5.2816000000000001</v>
      </c>
      <c r="E34" s="24">
        <v>4.5232999999999999</v>
      </c>
      <c r="F34" s="24">
        <v>4.7755000000000001</v>
      </c>
      <c r="G34" s="24">
        <v>10.3561</v>
      </c>
      <c r="H34" s="24">
        <v>22.500599999999999</v>
      </c>
      <c r="I34" s="24">
        <v>22.260400000000001</v>
      </c>
      <c r="J34" s="24">
        <v>17.6995</v>
      </c>
      <c r="K34" s="24">
        <v>7.1130000000000004</v>
      </c>
      <c r="L34" s="24">
        <v>16.529800000000002</v>
      </c>
      <c r="M34" s="24"/>
      <c r="N34" s="24"/>
      <c r="O34" s="24"/>
      <c r="P34" s="24"/>
      <c r="Q34" s="21"/>
      <c r="R34" s="21"/>
      <c r="S34" s="23">
        <v>41913</v>
      </c>
      <c r="T34" s="25">
        <v>5.8500000000000003E-2</v>
      </c>
      <c r="U34" s="25">
        <v>5.67E-2</v>
      </c>
      <c r="V34" s="25">
        <v>4.2700000000000002E-2</v>
      </c>
      <c r="W34" s="25">
        <v>2.5000000000000001E-2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/>
      <c r="AD34" s="25"/>
      <c r="AE34" s="25"/>
      <c r="AF34" s="25"/>
    </row>
    <row r="35" spans="3:32" s="20" customFormat="1" ht="18" customHeight="1">
      <c r="C35" s="23">
        <v>41944</v>
      </c>
      <c r="D35" s="24">
        <v>6.0025000000000004</v>
      </c>
      <c r="E35" s="24">
        <v>5.1199000000000003</v>
      </c>
      <c r="F35" s="24">
        <v>5.1914999999999996</v>
      </c>
      <c r="G35" s="24">
        <v>11.3248</v>
      </c>
      <c r="H35" s="24">
        <v>22.5213</v>
      </c>
      <c r="I35" s="24">
        <v>21.629799999999999</v>
      </c>
      <c r="J35" s="24">
        <v>18.272500000000001</v>
      </c>
      <c r="K35" s="24">
        <v>7.6486000000000001</v>
      </c>
      <c r="L35" s="24">
        <v>14.737299999999999</v>
      </c>
      <c r="M35" s="24"/>
      <c r="N35" s="24"/>
      <c r="O35" s="24"/>
      <c r="P35" s="24"/>
      <c r="Q35" s="21"/>
      <c r="R35" s="21"/>
      <c r="S35" s="23">
        <v>41944</v>
      </c>
      <c r="T35" s="25">
        <v>2.3800000000000002E-2</v>
      </c>
      <c r="U35" s="25">
        <v>4.8800000000000003E-2</v>
      </c>
      <c r="V35" s="25">
        <v>2.1299999999999999E-2</v>
      </c>
      <c r="W35" s="25">
        <v>2.2499999999999999E-2</v>
      </c>
      <c r="X35" s="25">
        <v>4.2700000000000002E-2</v>
      </c>
      <c r="Y35" s="25">
        <v>0</v>
      </c>
      <c r="Z35" s="25">
        <v>4.3099999999999999E-2</v>
      </c>
      <c r="AA35" s="25">
        <v>0</v>
      </c>
      <c r="AB35" s="25">
        <v>0</v>
      </c>
      <c r="AC35" s="25"/>
      <c r="AD35" s="25"/>
      <c r="AE35" s="25"/>
      <c r="AF35" s="25"/>
    </row>
    <row r="36" spans="3:32" s="20" customFormat="1" ht="18" customHeight="1">
      <c r="C36" s="23">
        <v>41974</v>
      </c>
      <c r="D36" s="24">
        <v>5.2076000000000002</v>
      </c>
      <c r="E36" s="24">
        <v>3.7650000000000001</v>
      </c>
      <c r="F36" s="24">
        <v>4.2118000000000002</v>
      </c>
      <c r="G36" s="24">
        <v>9.6349999999999998</v>
      </c>
      <c r="H36" s="24">
        <v>19.411799999999999</v>
      </c>
      <c r="I36" s="24">
        <v>21.002500000000001</v>
      </c>
      <c r="J36" s="24">
        <v>15.596500000000001</v>
      </c>
      <c r="K36" s="24">
        <v>6.3979999999999997</v>
      </c>
      <c r="L36" s="24">
        <v>15.9307</v>
      </c>
      <c r="M36" s="24"/>
      <c r="N36" s="24"/>
      <c r="O36" s="24"/>
      <c r="P36" s="24"/>
      <c r="Q36" s="21"/>
      <c r="R36" s="21"/>
      <c r="S36" s="23">
        <v>41974</v>
      </c>
      <c r="T36" s="25">
        <v>9.3100000000000002E-2</v>
      </c>
      <c r="U36" s="25">
        <v>2.7799999999999998E-2</v>
      </c>
      <c r="V36" s="25">
        <v>6.59E-2</v>
      </c>
      <c r="W36" s="25">
        <v>3.2599999999999997E-2</v>
      </c>
      <c r="X36" s="25">
        <v>0</v>
      </c>
      <c r="Y36" s="25">
        <v>0</v>
      </c>
      <c r="Z36" s="25">
        <v>0.1948</v>
      </c>
      <c r="AA36" s="25">
        <v>2.5999999999999999E-2</v>
      </c>
      <c r="AB36" s="25">
        <v>0</v>
      </c>
      <c r="AC36" s="25"/>
      <c r="AD36" s="25"/>
      <c r="AE36" s="25"/>
      <c r="AF36" s="25"/>
    </row>
    <row r="37" spans="3:32" s="20" customFormat="1" ht="18" customHeight="1">
      <c r="C37" s="23">
        <v>42005</v>
      </c>
      <c r="D37" s="24">
        <v>7.9896000000000003</v>
      </c>
      <c r="E37" s="24">
        <v>4.7008000000000001</v>
      </c>
      <c r="F37" s="24">
        <v>5.9295999999999998</v>
      </c>
      <c r="G37" s="24">
        <v>17.597200000000001</v>
      </c>
      <c r="H37" s="24">
        <v>37.158299999999997</v>
      </c>
      <c r="I37" s="24">
        <v>35.541899999999998</v>
      </c>
      <c r="J37" s="24">
        <v>30.398</v>
      </c>
      <c r="K37" s="24">
        <v>11.402200000000001</v>
      </c>
      <c r="L37" s="24">
        <v>28.165900000000001</v>
      </c>
      <c r="M37" s="24">
        <v>51.978200000000001</v>
      </c>
      <c r="N37" s="24"/>
      <c r="O37" s="24"/>
      <c r="P37" s="24"/>
      <c r="Q37" s="21"/>
      <c r="R37" s="21"/>
      <c r="S37" s="23">
        <v>42005</v>
      </c>
      <c r="T37" s="25">
        <v>3.1E-2</v>
      </c>
      <c r="U37" s="25">
        <v>8.4000000000000005E-2</v>
      </c>
      <c r="V37" s="25">
        <v>2.35E-2</v>
      </c>
      <c r="W37" s="25">
        <v>3.6299999999999999E-2</v>
      </c>
      <c r="X37" s="25">
        <v>4.1000000000000002E-2</v>
      </c>
      <c r="Y37" s="25">
        <v>0</v>
      </c>
      <c r="Z37" s="25">
        <v>0</v>
      </c>
      <c r="AA37" s="25">
        <v>6.5199999999999994E-2</v>
      </c>
      <c r="AB37" s="25">
        <v>0</v>
      </c>
      <c r="AC37" s="25">
        <v>0</v>
      </c>
      <c r="AD37" s="25"/>
      <c r="AE37" s="25"/>
      <c r="AF37" s="25"/>
    </row>
    <row r="38" spans="3:32" s="20" customFormat="1" ht="18" customHeight="1">
      <c r="C38" s="23">
        <v>42036</v>
      </c>
      <c r="D38" s="24">
        <v>11.042299999999999</v>
      </c>
      <c r="E38" s="24">
        <v>7.3334999999999999</v>
      </c>
      <c r="F38" s="24">
        <v>7.6299000000000001</v>
      </c>
      <c r="G38" s="24">
        <v>19.887699999999999</v>
      </c>
      <c r="H38" s="24">
        <v>38.846600000000002</v>
      </c>
      <c r="I38" s="24">
        <v>41.523499999999999</v>
      </c>
      <c r="J38" s="24">
        <v>33.429000000000002</v>
      </c>
      <c r="K38" s="24">
        <v>14.1052</v>
      </c>
      <c r="L38" s="24">
        <v>34.780200000000001</v>
      </c>
      <c r="M38" s="24">
        <v>37.950000000000003</v>
      </c>
      <c r="N38" s="24"/>
      <c r="O38" s="24"/>
      <c r="P38" s="24"/>
      <c r="Q38" s="21"/>
      <c r="R38" s="21"/>
      <c r="S38" s="23">
        <v>42036</v>
      </c>
      <c r="T38" s="25">
        <v>5.7599999999999998E-2</v>
      </c>
      <c r="U38" s="25">
        <v>4.3700000000000003E-2</v>
      </c>
      <c r="V38" s="25">
        <v>3.1099999999999999E-2</v>
      </c>
      <c r="W38" s="25">
        <v>3.4700000000000002E-2</v>
      </c>
      <c r="X38" s="25">
        <v>4.6100000000000002E-2</v>
      </c>
      <c r="Y38" s="25">
        <v>1.9099999999999999E-2</v>
      </c>
      <c r="Z38" s="25">
        <v>0.1084</v>
      </c>
      <c r="AA38" s="25">
        <v>8.3799999999999999E-2</v>
      </c>
      <c r="AB38" s="25">
        <v>0.18659999999999999</v>
      </c>
      <c r="AC38" s="25">
        <v>0</v>
      </c>
      <c r="AD38" s="25"/>
      <c r="AE38" s="25"/>
      <c r="AF38" s="25"/>
    </row>
    <row r="39" spans="3:32" s="20" customFormat="1" ht="18" customHeight="1">
      <c r="C39" s="23">
        <v>42064</v>
      </c>
      <c r="D39" s="24">
        <v>9.9810999999999996</v>
      </c>
      <c r="E39" s="24">
        <v>7.4539999999999997</v>
      </c>
      <c r="F39" s="24">
        <v>8.0511999999999997</v>
      </c>
      <c r="G39" s="24">
        <v>13.9582</v>
      </c>
      <c r="H39" s="24">
        <v>27.4253</v>
      </c>
      <c r="I39" s="24">
        <v>27.0959</v>
      </c>
      <c r="J39" s="24">
        <v>22.344000000000001</v>
      </c>
      <c r="K39" s="24">
        <v>12.1469</v>
      </c>
      <c r="L39" s="24">
        <v>22.173100000000002</v>
      </c>
      <c r="M39" s="24">
        <v>23.9587</v>
      </c>
      <c r="N39" s="24"/>
      <c r="O39" s="24">
        <v>39.482300000000002</v>
      </c>
      <c r="P39" s="24"/>
      <c r="Q39" s="21"/>
      <c r="R39" s="21"/>
      <c r="S39" s="23">
        <v>42064</v>
      </c>
      <c r="T39" s="25">
        <v>7.2300000000000003E-2</v>
      </c>
      <c r="U39" s="25">
        <v>6.3100000000000003E-2</v>
      </c>
      <c r="V39" s="25">
        <v>2.2800000000000001E-2</v>
      </c>
      <c r="W39" s="25">
        <v>4.1599999999999998E-2</v>
      </c>
      <c r="X39" s="25">
        <v>9.6799999999999997E-2</v>
      </c>
      <c r="Y39" s="25">
        <v>0</v>
      </c>
      <c r="Z39" s="25">
        <v>0.1807</v>
      </c>
      <c r="AA39" s="25">
        <v>0.06</v>
      </c>
      <c r="AB39" s="25">
        <v>0.1017</v>
      </c>
      <c r="AC39" s="25">
        <v>0</v>
      </c>
      <c r="AD39" s="25"/>
      <c r="AE39" s="25">
        <v>0</v>
      </c>
      <c r="AF39" s="25"/>
    </row>
    <row r="40" spans="3:32" s="20" customFormat="1" ht="18" customHeight="1">
      <c r="C40" s="23">
        <v>42095</v>
      </c>
      <c r="D40" s="24">
        <v>9.9797999999999991</v>
      </c>
      <c r="E40" s="24">
        <v>8.0878999999999994</v>
      </c>
      <c r="F40" s="24">
        <v>9.2845999999999993</v>
      </c>
      <c r="G40" s="24">
        <v>13.7494</v>
      </c>
      <c r="H40" s="24">
        <v>24.923400000000001</v>
      </c>
      <c r="I40" s="24">
        <v>23.529800000000002</v>
      </c>
      <c r="J40" s="24">
        <v>21.953800000000001</v>
      </c>
      <c r="K40" s="24">
        <v>12.386200000000001</v>
      </c>
      <c r="L40" s="24">
        <v>20.960100000000001</v>
      </c>
      <c r="M40" s="24">
        <v>22.691099999999999</v>
      </c>
      <c r="N40" s="24">
        <v>16.482600000000001</v>
      </c>
      <c r="O40" s="24">
        <v>17.138100000000001</v>
      </c>
      <c r="P40" s="24">
        <v>12.428100000000001</v>
      </c>
      <c r="Q40" s="21"/>
      <c r="R40" s="21"/>
      <c r="S40" s="23">
        <v>42095</v>
      </c>
      <c r="T40" s="25">
        <v>5.2200000000000003E-2</v>
      </c>
      <c r="U40" s="25">
        <v>0.1116</v>
      </c>
      <c r="V40" s="25">
        <v>6.3500000000000001E-2</v>
      </c>
      <c r="W40" s="25">
        <v>5.2600000000000001E-2</v>
      </c>
      <c r="X40" s="25">
        <v>5.9700000000000003E-2</v>
      </c>
      <c r="Y40" s="25">
        <v>6.83E-2</v>
      </c>
      <c r="Z40" s="25">
        <v>0.22869999999999999</v>
      </c>
      <c r="AA40" s="25">
        <v>6.0499999999999998E-2</v>
      </c>
      <c r="AB40" s="25">
        <v>0.1095</v>
      </c>
      <c r="AC40" s="25">
        <v>0</v>
      </c>
      <c r="AD40" s="25">
        <v>0</v>
      </c>
      <c r="AE40" s="25">
        <v>0</v>
      </c>
      <c r="AF40" s="25">
        <v>0</v>
      </c>
    </row>
    <row r="41" spans="3:32" s="20" customFormat="1" ht="18" customHeight="1">
      <c r="C41" s="26">
        <v>42125</v>
      </c>
      <c r="D41" s="27">
        <v>11.419499999999999</v>
      </c>
      <c r="E41" s="27">
        <v>9.1</v>
      </c>
      <c r="F41" s="27">
        <v>9.7987000000000002</v>
      </c>
      <c r="G41" s="27">
        <v>13.478199999999999</v>
      </c>
      <c r="H41" s="27">
        <v>21.3535</v>
      </c>
      <c r="I41" s="27">
        <v>22.621600000000001</v>
      </c>
      <c r="J41" s="27">
        <v>21.616299999999999</v>
      </c>
      <c r="K41" s="27">
        <v>12.855</v>
      </c>
      <c r="L41" s="27">
        <v>19.663900000000002</v>
      </c>
      <c r="M41" s="27">
        <v>19.299199999999999</v>
      </c>
      <c r="N41" s="27">
        <v>10.3049</v>
      </c>
      <c r="O41" s="27">
        <v>15.325200000000001</v>
      </c>
      <c r="P41" s="27">
        <v>12.8009</v>
      </c>
      <c r="Q41" s="21"/>
      <c r="R41" s="21"/>
      <c r="S41" s="26">
        <v>42125</v>
      </c>
      <c r="T41" s="28">
        <v>0.12759999999999999</v>
      </c>
      <c r="U41" s="28">
        <v>2.2200000000000001E-2</v>
      </c>
      <c r="V41" s="28">
        <v>2.69E-2</v>
      </c>
      <c r="W41" s="28">
        <v>5.04E-2</v>
      </c>
      <c r="X41" s="28">
        <v>0.1091</v>
      </c>
      <c r="Y41" s="28">
        <v>5.1000000000000004E-3</v>
      </c>
      <c r="Z41" s="28">
        <v>6.4899999999999999E-2</v>
      </c>
      <c r="AA41" s="28">
        <v>6.08E-2</v>
      </c>
      <c r="AB41" s="28">
        <v>0.1643</v>
      </c>
      <c r="AC41" s="28">
        <v>2.7900000000000001E-2</v>
      </c>
      <c r="AD41" s="28">
        <v>0</v>
      </c>
      <c r="AE41" s="28">
        <v>0</v>
      </c>
      <c r="AF41" s="28">
        <v>0</v>
      </c>
    </row>
    <row r="42" spans="3:32" ht="17.25" hidden="1" customHeight="1">
      <c r="C42" s="13"/>
      <c r="D42" s="14">
        <v>50</v>
      </c>
      <c r="E42" s="14">
        <v>50</v>
      </c>
      <c r="F42" s="14">
        <v>50</v>
      </c>
      <c r="G42" s="14">
        <v>50</v>
      </c>
      <c r="H42" s="14">
        <v>50</v>
      </c>
      <c r="I42" s="14">
        <v>50</v>
      </c>
      <c r="J42" s="14">
        <v>50</v>
      </c>
      <c r="K42" s="14">
        <v>50</v>
      </c>
      <c r="L42" s="14">
        <v>50</v>
      </c>
      <c r="M42" s="14">
        <v>50</v>
      </c>
      <c r="N42" s="14">
        <v>50</v>
      </c>
      <c r="O42" s="14">
        <v>50</v>
      </c>
      <c r="P42" s="14">
        <v>50</v>
      </c>
      <c r="Q42" s="10"/>
      <c r="R42" s="10"/>
      <c r="S42" s="13"/>
      <c r="T42" s="15">
        <v>0.5</v>
      </c>
      <c r="U42" s="15">
        <v>0.5</v>
      </c>
      <c r="V42" s="15">
        <v>0.5</v>
      </c>
      <c r="W42" s="15">
        <v>0.5</v>
      </c>
      <c r="X42" s="15">
        <v>0.5</v>
      </c>
      <c r="Y42" s="15">
        <v>0.5</v>
      </c>
      <c r="Z42" s="15">
        <v>0.5</v>
      </c>
      <c r="AA42" s="15">
        <v>0.5</v>
      </c>
      <c r="AB42" s="15">
        <v>0.5</v>
      </c>
      <c r="AC42" s="15">
        <v>0.5</v>
      </c>
      <c r="AD42" s="15">
        <v>0.5</v>
      </c>
      <c r="AE42" s="15">
        <v>0.5</v>
      </c>
      <c r="AF42" s="15">
        <v>0.5</v>
      </c>
    </row>
    <row r="43" spans="3:32" ht="17.25" customHeight="1">
      <c r="C43" s="13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0"/>
      <c r="R43" s="10"/>
      <c r="S43" s="13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3:32" ht="17.25" customHeight="1">
      <c r="C44" s="13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0"/>
      <c r="R44" s="10"/>
      <c r="S44" s="13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3:32" ht="17.25" customHeight="1">
      <c r="C45" s="13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3:32" ht="17.25" customHeight="1">
      <c r="C46" s="62" t="s">
        <v>38</v>
      </c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10"/>
      <c r="R46" s="10"/>
      <c r="S46" s="63" t="s">
        <v>39</v>
      </c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</row>
    <row r="47" spans="3:32" hidden="1">
      <c r="C47" s="38" t="s">
        <v>28</v>
      </c>
      <c r="D47" s="38" t="s">
        <v>13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10"/>
      <c r="R47" s="10"/>
      <c r="S47" s="38" t="s">
        <v>29</v>
      </c>
      <c r="T47" s="38" t="s">
        <v>13</v>
      </c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</row>
    <row r="48" spans="3:32" s="7" customFormat="1" ht="12.75">
      <c r="C48" s="16" t="s">
        <v>14</v>
      </c>
      <c r="D48" s="16" t="s">
        <v>15</v>
      </c>
      <c r="E48" s="16" t="s">
        <v>16</v>
      </c>
      <c r="F48" s="16" t="s">
        <v>17</v>
      </c>
      <c r="G48" s="16" t="s">
        <v>18</v>
      </c>
      <c r="H48" s="16" t="s">
        <v>19</v>
      </c>
      <c r="I48" s="16" t="s">
        <v>20</v>
      </c>
      <c r="J48" s="16" t="s">
        <v>21</v>
      </c>
      <c r="K48" s="16" t="s">
        <v>22</v>
      </c>
      <c r="L48" s="16" t="s">
        <v>23</v>
      </c>
      <c r="M48" s="16" t="s">
        <v>24</v>
      </c>
      <c r="N48" s="16" t="s">
        <v>25</v>
      </c>
      <c r="O48" s="16" t="s">
        <v>26</v>
      </c>
      <c r="P48" s="16" t="s">
        <v>27</v>
      </c>
      <c r="Q48" s="19"/>
      <c r="R48" s="19"/>
      <c r="S48" s="17" t="s">
        <v>14</v>
      </c>
      <c r="T48" s="17" t="s">
        <v>15</v>
      </c>
      <c r="U48" s="17" t="s">
        <v>16</v>
      </c>
      <c r="V48" s="17" t="s">
        <v>17</v>
      </c>
      <c r="W48" s="17" t="s">
        <v>18</v>
      </c>
      <c r="X48" s="17" t="s">
        <v>19</v>
      </c>
      <c r="Y48" s="17" t="s">
        <v>20</v>
      </c>
      <c r="Z48" s="17" t="s">
        <v>21</v>
      </c>
      <c r="AA48" s="17" t="s">
        <v>22</v>
      </c>
      <c r="AB48" s="17" t="s">
        <v>23</v>
      </c>
      <c r="AC48" s="17" t="s">
        <v>24</v>
      </c>
      <c r="AD48" s="17" t="s">
        <v>25</v>
      </c>
      <c r="AE48" s="17" t="s">
        <v>26</v>
      </c>
      <c r="AF48" s="17" t="s">
        <v>27</v>
      </c>
    </row>
    <row r="49" spans="3:34" s="20" customFormat="1" ht="18" customHeight="1">
      <c r="C49" s="23">
        <v>41426</v>
      </c>
      <c r="D49" s="25">
        <v>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1"/>
      <c r="R49" s="21"/>
      <c r="S49" s="23">
        <v>41426</v>
      </c>
      <c r="T49" s="25">
        <v>0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</row>
    <row r="50" spans="3:34" s="20" customFormat="1" ht="18" customHeight="1">
      <c r="C50" s="23">
        <v>41456</v>
      </c>
      <c r="D50" s="25"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1"/>
      <c r="R50" s="21"/>
      <c r="S50" s="23">
        <v>41456</v>
      </c>
      <c r="T50" s="25">
        <v>0.12667221826199199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</row>
    <row r="51" spans="3:34" s="20" customFormat="1" ht="18" customHeight="1">
      <c r="C51" s="23">
        <v>41487</v>
      </c>
      <c r="D51" s="25">
        <v>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1"/>
      <c r="R51" s="21"/>
      <c r="S51" s="23">
        <v>41487</v>
      </c>
      <c r="T51" s="25">
        <v>0.10356345223757799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9"/>
      <c r="AH51" s="29"/>
    </row>
    <row r="52" spans="3:34" s="20" customFormat="1" ht="18" customHeight="1">
      <c r="C52" s="23">
        <v>41518</v>
      </c>
      <c r="D52" s="25">
        <v>0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1"/>
      <c r="R52" s="21"/>
      <c r="S52" s="23">
        <v>41518</v>
      </c>
      <c r="T52" s="25">
        <v>0.137402924202362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9"/>
      <c r="AH52" s="29"/>
    </row>
    <row r="53" spans="3:34" s="20" customFormat="1" ht="18" customHeight="1">
      <c r="C53" s="23">
        <v>41548</v>
      </c>
      <c r="D53" s="25">
        <v>0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1"/>
      <c r="R53" s="21"/>
      <c r="S53" s="23">
        <v>41548</v>
      </c>
      <c r="T53" s="25">
        <v>0.15484221430720702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9"/>
      <c r="AH53" s="29"/>
    </row>
    <row r="54" spans="3:34" s="20" customFormat="1" ht="18" customHeight="1">
      <c r="C54" s="23">
        <v>41579</v>
      </c>
      <c r="D54" s="25">
        <v>0</v>
      </c>
      <c r="E54" s="25">
        <v>0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1"/>
      <c r="R54" s="21"/>
      <c r="S54" s="23">
        <v>41579</v>
      </c>
      <c r="T54" s="25">
        <v>0.15094332223427401</v>
      </c>
      <c r="U54" s="25">
        <v>0.111349989822876</v>
      </c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9"/>
      <c r="AH54" s="29"/>
    </row>
    <row r="55" spans="3:34" s="20" customFormat="1" ht="18" customHeight="1">
      <c r="C55" s="23">
        <v>41609</v>
      </c>
      <c r="D55" s="25">
        <v>0</v>
      </c>
      <c r="E55" s="25">
        <v>0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1"/>
      <c r="R55" s="21"/>
      <c r="S55" s="23">
        <v>41609</v>
      </c>
      <c r="T55" s="25">
        <v>0.21700490437786399</v>
      </c>
      <c r="U55" s="25">
        <v>0.17538831299275401</v>
      </c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9"/>
      <c r="AH55" s="29"/>
    </row>
    <row r="56" spans="3:34" s="20" customFormat="1" ht="18" customHeight="1">
      <c r="C56" s="23">
        <v>41640</v>
      </c>
      <c r="D56" s="25">
        <v>0</v>
      </c>
      <c r="E56" s="25">
        <v>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1"/>
      <c r="R56" s="21"/>
      <c r="S56" s="23">
        <v>41640</v>
      </c>
      <c r="T56" s="25">
        <v>0.21894667321964001</v>
      </c>
      <c r="U56" s="25">
        <v>0.18421270287605002</v>
      </c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9"/>
      <c r="AH56" s="29"/>
    </row>
    <row r="57" spans="3:34" s="20" customFormat="1" ht="18" customHeight="1">
      <c r="C57" s="23">
        <v>41671</v>
      </c>
      <c r="D57" s="25">
        <v>0</v>
      </c>
      <c r="E57" s="25">
        <v>0</v>
      </c>
      <c r="F57" s="25">
        <v>0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1"/>
      <c r="R57" s="21"/>
      <c r="S57" s="23">
        <v>41671</v>
      </c>
      <c r="T57" s="25">
        <v>0.23021683029496001</v>
      </c>
      <c r="U57" s="25">
        <v>0.17825470643351798</v>
      </c>
      <c r="V57" s="25">
        <v>8.3035215336207904E-2</v>
      </c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9"/>
      <c r="AH57" s="29"/>
    </row>
    <row r="58" spans="3:34" s="20" customFormat="1" ht="18" customHeight="1">
      <c r="C58" s="23">
        <v>41699</v>
      </c>
      <c r="D58" s="25">
        <v>0.01</v>
      </c>
      <c r="E58" s="25">
        <v>0</v>
      </c>
      <c r="F58" s="25">
        <v>0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1"/>
      <c r="R58" s="21"/>
      <c r="S58" s="23">
        <v>41699</v>
      </c>
      <c r="T58" s="25">
        <v>0.28763854780915599</v>
      </c>
      <c r="U58" s="25">
        <v>0.24791712180865</v>
      </c>
      <c r="V58" s="25">
        <v>0.15226672684829901</v>
      </c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9"/>
      <c r="AH58" s="29"/>
    </row>
    <row r="59" spans="3:34" s="20" customFormat="1" ht="18" customHeight="1">
      <c r="C59" s="23">
        <v>41730</v>
      </c>
      <c r="D59" s="25">
        <v>0.01</v>
      </c>
      <c r="E59" s="25">
        <v>0</v>
      </c>
      <c r="F59" s="25">
        <v>0</v>
      </c>
      <c r="G59" s="25">
        <v>0</v>
      </c>
      <c r="H59" s="25"/>
      <c r="I59" s="25"/>
      <c r="J59" s="25"/>
      <c r="K59" s="25"/>
      <c r="L59" s="25"/>
      <c r="M59" s="25"/>
      <c r="N59" s="25"/>
      <c r="O59" s="25"/>
      <c r="P59" s="25"/>
      <c r="Q59" s="21"/>
      <c r="R59" s="21"/>
      <c r="S59" s="23">
        <v>41730</v>
      </c>
      <c r="T59" s="25">
        <v>0.17641106928362399</v>
      </c>
      <c r="U59" s="25">
        <v>0.20046795170412401</v>
      </c>
      <c r="V59" s="25">
        <v>0.11277179985904899</v>
      </c>
      <c r="W59" s="25">
        <v>0.125824980264575</v>
      </c>
      <c r="X59" s="25"/>
      <c r="Y59" s="25"/>
      <c r="Z59" s="25"/>
      <c r="AA59" s="25"/>
      <c r="AB59" s="25"/>
      <c r="AC59" s="25"/>
      <c r="AD59" s="25"/>
      <c r="AE59" s="25"/>
      <c r="AF59" s="25"/>
      <c r="AG59" s="29"/>
      <c r="AH59" s="29"/>
    </row>
    <row r="60" spans="3:34" s="20" customFormat="1" ht="18" customHeight="1">
      <c r="C60" s="23">
        <v>41760</v>
      </c>
      <c r="D60" s="25">
        <v>0.02</v>
      </c>
      <c r="E60" s="25">
        <v>0</v>
      </c>
      <c r="F60" s="25">
        <v>0</v>
      </c>
      <c r="G60" s="25">
        <v>0</v>
      </c>
      <c r="H60" s="25"/>
      <c r="I60" s="25"/>
      <c r="J60" s="25"/>
      <c r="K60" s="25"/>
      <c r="L60" s="25"/>
      <c r="M60" s="25"/>
      <c r="N60" s="25"/>
      <c r="O60" s="25"/>
      <c r="P60" s="25"/>
      <c r="Q60" s="21"/>
      <c r="R60" s="21"/>
      <c r="S60" s="23">
        <v>41760</v>
      </c>
      <c r="T60" s="25">
        <v>0.17421491729425201</v>
      </c>
      <c r="U60" s="25">
        <v>0.206107820186025</v>
      </c>
      <c r="V60" s="25">
        <v>0.137937264918369</v>
      </c>
      <c r="W60" s="25">
        <v>0.159444043323311</v>
      </c>
      <c r="X60" s="25"/>
      <c r="Y60" s="25"/>
      <c r="Z60" s="25"/>
      <c r="AA60" s="25"/>
      <c r="AB60" s="25"/>
      <c r="AC60" s="25"/>
      <c r="AD60" s="25"/>
      <c r="AE60" s="25"/>
      <c r="AF60" s="25"/>
      <c r="AG60" s="29"/>
      <c r="AH60" s="29"/>
    </row>
    <row r="61" spans="3:34" s="20" customFormat="1" ht="18" customHeight="1">
      <c r="C61" s="23">
        <v>41791</v>
      </c>
      <c r="D61" s="25">
        <v>0.02</v>
      </c>
      <c r="E61" s="25">
        <v>0</v>
      </c>
      <c r="F61" s="25">
        <v>0</v>
      </c>
      <c r="G61" s="25">
        <v>0</v>
      </c>
      <c r="H61" s="25"/>
      <c r="I61" s="25"/>
      <c r="J61" s="25"/>
      <c r="K61" s="25"/>
      <c r="L61" s="25"/>
      <c r="M61" s="25"/>
      <c r="N61" s="25"/>
      <c r="O61" s="25"/>
      <c r="P61" s="25"/>
      <c r="Q61" s="21"/>
      <c r="R61" s="21"/>
      <c r="S61" s="23">
        <v>41791</v>
      </c>
      <c r="T61" s="25">
        <v>0.18080148243312499</v>
      </c>
      <c r="U61" s="25">
        <v>0.19825996525561401</v>
      </c>
      <c r="V61" s="25">
        <v>0.16926852605984802</v>
      </c>
      <c r="W61" s="25">
        <v>0.162206789496806</v>
      </c>
      <c r="X61" s="25"/>
      <c r="Y61" s="25"/>
      <c r="Z61" s="25"/>
      <c r="AA61" s="25"/>
      <c r="AB61" s="25"/>
      <c r="AC61" s="25"/>
      <c r="AD61" s="25"/>
      <c r="AE61" s="25"/>
      <c r="AF61" s="25"/>
      <c r="AG61" s="29"/>
      <c r="AH61" s="29"/>
    </row>
    <row r="62" spans="3:34" s="20" customFormat="1" ht="18" customHeight="1">
      <c r="C62" s="23">
        <v>41821</v>
      </c>
      <c r="D62" s="25">
        <v>0.02</v>
      </c>
      <c r="E62" s="25">
        <v>0.01</v>
      </c>
      <c r="F62" s="25">
        <v>0</v>
      </c>
      <c r="G62" s="25">
        <v>0</v>
      </c>
      <c r="H62" s="25"/>
      <c r="I62" s="25"/>
      <c r="J62" s="25"/>
      <c r="K62" s="25"/>
      <c r="L62" s="25"/>
      <c r="M62" s="25"/>
      <c r="N62" s="25"/>
      <c r="O62" s="25"/>
      <c r="P62" s="25"/>
      <c r="Q62" s="21"/>
      <c r="R62" s="21"/>
      <c r="S62" s="23">
        <v>41821</v>
      </c>
      <c r="T62" s="25">
        <v>0.22194793062559801</v>
      </c>
      <c r="U62" s="25">
        <v>0.22383653709816698</v>
      </c>
      <c r="V62" s="25">
        <v>0.20239341257222701</v>
      </c>
      <c r="W62" s="25">
        <v>0.18349704792402902</v>
      </c>
      <c r="X62" s="25"/>
      <c r="Y62" s="25"/>
      <c r="Z62" s="25"/>
      <c r="AA62" s="25"/>
      <c r="AB62" s="25"/>
      <c r="AC62" s="25"/>
      <c r="AD62" s="25"/>
      <c r="AE62" s="25"/>
      <c r="AF62" s="25"/>
      <c r="AG62" s="29"/>
      <c r="AH62" s="29"/>
    </row>
    <row r="63" spans="3:34" s="20" customFormat="1" ht="18" customHeight="1">
      <c r="C63" s="23">
        <v>41852</v>
      </c>
      <c r="D63" s="25">
        <v>0.03</v>
      </c>
      <c r="E63" s="25">
        <v>0.01</v>
      </c>
      <c r="F63" s="25">
        <v>0</v>
      </c>
      <c r="G63" s="25">
        <v>0</v>
      </c>
      <c r="H63" s="25">
        <v>0</v>
      </c>
      <c r="I63" s="25"/>
      <c r="J63" s="25">
        <v>0</v>
      </c>
      <c r="K63" s="25"/>
      <c r="L63" s="25"/>
      <c r="M63" s="25"/>
      <c r="N63" s="25"/>
      <c r="O63" s="25"/>
      <c r="P63" s="25"/>
      <c r="Q63" s="21"/>
      <c r="R63" s="21"/>
      <c r="S63" s="23">
        <v>41852</v>
      </c>
      <c r="T63" s="25">
        <v>0.21691470665304502</v>
      </c>
      <c r="U63" s="25">
        <v>0.221458099902341</v>
      </c>
      <c r="V63" s="25">
        <v>0.21676206490169797</v>
      </c>
      <c r="W63" s="25">
        <v>0.177433496993155</v>
      </c>
      <c r="X63" s="25">
        <v>0.18750273449471</v>
      </c>
      <c r="Y63" s="25"/>
      <c r="Z63" s="25">
        <v>0.17774701574957899</v>
      </c>
      <c r="AA63" s="25"/>
      <c r="AB63" s="25"/>
      <c r="AC63" s="25"/>
      <c r="AD63" s="25"/>
      <c r="AE63" s="25"/>
      <c r="AF63" s="25"/>
      <c r="AG63" s="29"/>
      <c r="AH63" s="29"/>
    </row>
    <row r="64" spans="3:34" s="20" customFormat="1" ht="18" customHeight="1">
      <c r="C64" s="23">
        <v>41883</v>
      </c>
      <c r="D64" s="25">
        <v>0.03</v>
      </c>
      <c r="E64" s="25">
        <v>0.01</v>
      </c>
      <c r="F64" s="25">
        <v>0.01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/>
      <c r="N64" s="25"/>
      <c r="O64" s="25"/>
      <c r="P64" s="25"/>
      <c r="Q64" s="21"/>
      <c r="R64" s="21"/>
      <c r="S64" s="23">
        <v>41883</v>
      </c>
      <c r="T64" s="25">
        <v>0.25668689206130602</v>
      </c>
      <c r="U64" s="25">
        <v>0.25701887094479298</v>
      </c>
      <c r="V64" s="25">
        <v>0.25084879073542204</v>
      </c>
      <c r="W64" s="25">
        <v>0.22391729474885499</v>
      </c>
      <c r="X64" s="25">
        <v>0.218480727059924</v>
      </c>
      <c r="Y64" s="25">
        <v>0</v>
      </c>
      <c r="Z64" s="25">
        <v>0.26546245827528098</v>
      </c>
      <c r="AA64" s="25">
        <v>0.19867683813505799</v>
      </c>
      <c r="AB64" s="25">
        <v>0</v>
      </c>
      <c r="AC64" s="25"/>
      <c r="AD64" s="25"/>
      <c r="AE64" s="25"/>
      <c r="AF64" s="25"/>
      <c r="AG64" s="29"/>
      <c r="AH64" s="29"/>
    </row>
    <row r="65" spans="3:34" s="20" customFormat="1" ht="18" customHeight="1">
      <c r="C65" s="23">
        <v>41913</v>
      </c>
      <c r="D65" s="25">
        <v>0.04</v>
      </c>
      <c r="E65" s="25">
        <v>0.02</v>
      </c>
      <c r="F65" s="25">
        <v>0.01</v>
      </c>
      <c r="G65" s="25">
        <v>0.01</v>
      </c>
      <c r="H65" s="25">
        <v>0</v>
      </c>
      <c r="I65" s="25">
        <v>0</v>
      </c>
      <c r="J65" s="25">
        <v>0</v>
      </c>
      <c r="K65" s="25">
        <v>0</v>
      </c>
      <c r="L65" s="25">
        <v>0</v>
      </c>
      <c r="M65" s="25"/>
      <c r="N65" s="25"/>
      <c r="O65" s="25"/>
      <c r="P65" s="25"/>
      <c r="Q65" s="21"/>
      <c r="R65" s="21"/>
      <c r="S65" s="23">
        <v>41913</v>
      </c>
      <c r="T65" s="25">
        <v>0.24419934930955201</v>
      </c>
      <c r="U65" s="25">
        <v>0.25146402216979902</v>
      </c>
      <c r="V65" s="25">
        <v>0.24358036540553901</v>
      </c>
      <c r="W65" s="25">
        <v>0.23875834479081601</v>
      </c>
      <c r="X65" s="25">
        <v>0.256334747836789</v>
      </c>
      <c r="Y65" s="25">
        <v>0.19170658184365799</v>
      </c>
      <c r="Z65" s="25">
        <v>0.30729143052024899</v>
      </c>
      <c r="AA65" s="25">
        <v>0.19704739462751297</v>
      </c>
      <c r="AB65" s="25">
        <v>0.166233034743174</v>
      </c>
      <c r="AC65" s="25"/>
      <c r="AD65" s="25"/>
      <c r="AE65" s="25"/>
      <c r="AF65" s="25"/>
      <c r="AG65" s="29"/>
      <c r="AH65" s="29"/>
    </row>
    <row r="66" spans="3:34" s="20" customFormat="1" ht="18" customHeight="1">
      <c r="C66" s="23">
        <v>41944</v>
      </c>
      <c r="D66" s="25">
        <v>0.04</v>
      </c>
      <c r="E66" s="25">
        <v>0.02</v>
      </c>
      <c r="F66" s="25">
        <v>0.01</v>
      </c>
      <c r="G66" s="25">
        <v>0.01</v>
      </c>
      <c r="H66" s="25">
        <v>0</v>
      </c>
      <c r="I66" s="25">
        <v>0</v>
      </c>
      <c r="J66" s="25">
        <v>0</v>
      </c>
      <c r="K66" s="25">
        <v>0</v>
      </c>
      <c r="L66" s="25">
        <v>0</v>
      </c>
      <c r="M66" s="25"/>
      <c r="N66" s="25"/>
      <c r="O66" s="25"/>
      <c r="P66" s="25"/>
      <c r="Q66" s="21"/>
      <c r="R66" s="21"/>
      <c r="S66" s="23">
        <v>41944</v>
      </c>
      <c r="T66" s="25">
        <v>0.226047138543922</v>
      </c>
      <c r="U66" s="25">
        <v>0.21534383388060199</v>
      </c>
      <c r="V66" s="25">
        <v>0.194980190378507</v>
      </c>
      <c r="W66" s="25">
        <v>0.22911961585951199</v>
      </c>
      <c r="X66" s="25">
        <v>0.25782310018865501</v>
      </c>
      <c r="Y66" s="25">
        <v>0.173821680992786</v>
      </c>
      <c r="Z66" s="25">
        <v>0.35378818839678899</v>
      </c>
      <c r="AA66" s="25">
        <v>0.182791002941537</v>
      </c>
      <c r="AB66" s="25">
        <v>0.18127235784901399</v>
      </c>
      <c r="AC66" s="25"/>
      <c r="AD66" s="25"/>
      <c r="AE66" s="25"/>
      <c r="AF66" s="25"/>
      <c r="AG66" s="29"/>
      <c r="AH66" s="29"/>
    </row>
    <row r="67" spans="3:34" s="20" customFormat="1" ht="18" customHeight="1">
      <c r="C67" s="23">
        <v>41974</v>
      </c>
      <c r="D67" s="25">
        <v>0.05</v>
      </c>
      <c r="E67" s="25">
        <v>0.02</v>
      </c>
      <c r="F67" s="25">
        <v>0.02</v>
      </c>
      <c r="G67" s="25">
        <v>0.01</v>
      </c>
      <c r="H67" s="25">
        <v>0</v>
      </c>
      <c r="I67" s="25">
        <v>0</v>
      </c>
      <c r="J67" s="25">
        <v>0.02</v>
      </c>
      <c r="K67" s="25">
        <v>0</v>
      </c>
      <c r="L67" s="25">
        <v>0</v>
      </c>
      <c r="M67" s="25"/>
      <c r="N67" s="25"/>
      <c r="O67" s="25"/>
      <c r="P67" s="25"/>
      <c r="Q67" s="21"/>
      <c r="R67" s="21"/>
      <c r="S67" s="23">
        <v>41974</v>
      </c>
      <c r="T67" s="25">
        <v>0.319782975405623</v>
      </c>
      <c r="U67" s="25">
        <v>0.313722601890914</v>
      </c>
      <c r="V67" s="25">
        <v>0.316395234487096</v>
      </c>
      <c r="W67" s="25">
        <v>0.36134533615784098</v>
      </c>
      <c r="X67" s="25">
        <v>0.41618114863963895</v>
      </c>
      <c r="Y67" s="25">
        <v>0.35413995458346703</v>
      </c>
      <c r="Z67" s="25">
        <v>0.51635036194168704</v>
      </c>
      <c r="AA67" s="25">
        <v>0.31173836097395097</v>
      </c>
      <c r="AB67" s="25">
        <v>0.32100016355282601</v>
      </c>
      <c r="AC67" s="25"/>
      <c r="AD67" s="25"/>
      <c r="AE67" s="25"/>
      <c r="AF67" s="25"/>
      <c r="AG67" s="29"/>
      <c r="AH67" s="29"/>
    </row>
    <row r="68" spans="3:34" s="20" customFormat="1" ht="18" customHeight="1">
      <c r="C68" s="23">
        <v>42005</v>
      </c>
      <c r="D68" s="25">
        <v>0.05</v>
      </c>
      <c r="E68" s="25">
        <v>0.03</v>
      </c>
      <c r="F68" s="25">
        <v>0.02</v>
      </c>
      <c r="G68" s="25">
        <v>0.01</v>
      </c>
      <c r="H68" s="25">
        <v>0</v>
      </c>
      <c r="I68" s="25">
        <v>0</v>
      </c>
      <c r="J68" s="25">
        <v>0.02</v>
      </c>
      <c r="K68" s="25">
        <v>0</v>
      </c>
      <c r="L68" s="25">
        <v>0</v>
      </c>
      <c r="M68" s="25">
        <v>0</v>
      </c>
      <c r="N68" s="25"/>
      <c r="O68" s="25"/>
      <c r="P68" s="25"/>
      <c r="Q68" s="21"/>
      <c r="R68" s="21"/>
      <c r="S68" s="23">
        <v>42005</v>
      </c>
      <c r="T68" s="25">
        <v>0.25090365666056302</v>
      </c>
      <c r="U68" s="25">
        <v>0.25071003222516702</v>
      </c>
      <c r="V68" s="25">
        <v>0.24825080357062301</v>
      </c>
      <c r="W68" s="25">
        <v>0.28897348095416797</v>
      </c>
      <c r="X68" s="25">
        <v>0.36901987117811802</v>
      </c>
      <c r="Y68" s="25">
        <v>0.27748621000516899</v>
      </c>
      <c r="Z68" s="25">
        <v>0.426063121324534</v>
      </c>
      <c r="AA68" s="25">
        <v>0.25871680534557295</v>
      </c>
      <c r="AB68" s="25">
        <v>0.34388182085411201</v>
      </c>
      <c r="AC68" s="25">
        <v>0.159228640865899</v>
      </c>
      <c r="AD68" s="25"/>
      <c r="AE68" s="25"/>
      <c r="AF68" s="25"/>
      <c r="AG68" s="29"/>
      <c r="AH68" s="29"/>
    </row>
    <row r="69" spans="3:34" s="20" customFormat="1" ht="18" customHeight="1">
      <c r="C69" s="23">
        <v>42036</v>
      </c>
      <c r="D69" s="25">
        <v>0.05</v>
      </c>
      <c r="E69" s="25">
        <v>0.04</v>
      </c>
      <c r="F69" s="25">
        <v>0.02</v>
      </c>
      <c r="G69" s="25">
        <v>0.02</v>
      </c>
      <c r="H69" s="25">
        <v>0.01</v>
      </c>
      <c r="I69" s="25">
        <v>0</v>
      </c>
      <c r="J69" s="25">
        <v>0.03</v>
      </c>
      <c r="K69" s="25">
        <v>0.01</v>
      </c>
      <c r="L69" s="25">
        <v>0.01</v>
      </c>
      <c r="M69" s="25">
        <v>0</v>
      </c>
      <c r="N69" s="25"/>
      <c r="O69" s="25"/>
      <c r="P69" s="25"/>
      <c r="Q69" s="21"/>
      <c r="R69" s="21"/>
      <c r="S69" s="23">
        <v>42036</v>
      </c>
      <c r="T69" s="25">
        <v>0.25015041079039801</v>
      </c>
      <c r="U69" s="25">
        <v>0.26006103189278601</v>
      </c>
      <c r="V69" s="25">
        <v>0.25249433576771502</v>
      </c>
      <c r="W69" s="25">
        <v>0.28917338018387501</v>
      </c>
      <c r="X69" s="25">
        <v>0.39045994484270097</v>
      </c>
      <c r="Y69" s="25">
        <v>0.30916978033754999</v>
      </c>
      <c r="Z69" s="25">
        <v>0.53237138676784901</v>
      </c>
      <c r="AA69" s="25">
        <v>0.29512584597165203</v>
      </c>
      <c r="AB69" s="25">
        <v>0.41123124381280396</v>
      </c>
      <c r="AC69" s="25">
        <v>0.17318346328686801</v>
      </c>
      <c r="AD69" s="25"/>
      <c r="AE69" s="25"/>
      <c r="AF69" s="25"/>
      <c r="AG69" s="29"/>
      <c r="AH69" s="29"/>
    </row>
    <row r="70" spans="3:34" s="20" customFormat="1" ht="18" customHeight="1">
      <c r="C70" s="23">
        <v>42064</v>
      </c>
      <c r="D70" s="25">
        <v>0.06</v>
      </c>
      <c r="E70" s="25">
        <v>0.04</v>
      </c>
      <c r="F70" s="25">
        <v>0.02</v>
      </c>
      <c r="G70" s="25">
        <v>0.02</v>
      </c>
      <c r="H70" s="25">
        <v>0.02</v>
      </c>
      <c r="I70" s="25">
        <v>0</v>
      </c>
      <c r="J70" s="25">
        <v>0.04</v>
      </c>
      <c r="K70" s="25">
        <v>0.02</v>
      </c>
      <c r="L70" s="25">
        <v>0.02</v>
      </c>
      <c r="M70" s="25">
        <v>0</v>
      </c>
      <c r="N70" s="25"/>
      <c r="O70" s="25">
        <v>0</v>
      </c>
      <c r="P70" s="25"/>
      <c r="Q70" s="21"/>
      <c r="R70" s="21"/>
      <c r="S70" s="23">
        <v>42064</v>
      </c>
      <c r="T70" s="25">
        <v>0.30000390932597404</v>
      </c>
      <c r="U70" s="25">
        <v>0.30653763936751099</v>
      </c>
      <c r="V70" s="25">
        <v>0.31499647857695201</v>
      </c>
      <c r="W70" s="25">
        <v>0.34767765375114001</v>
      </c>
      <c r="X70" s="25">
        <v>0.49454945394582694</v>
      </c>
      <c r="Y70" s="25">
        <v>0.42376432266131597</v>
      </c>
      <c r="Z70" s="25">
        <v>0.58858695835742603</v>
      </c>
      <c r="AA70" s="25">
        <v>0.341203728538442</v>
      </c>
      <c r="AB70" s="25">
        <v>0.50680743447907906</v>
      </c>
      <c r="AC70" s="25">
        <v>0.342220498640191</v>
      </c>
      <c r="AD70" s="25"/>
      <c r="AE70" s="25">
        <v>0.20324079350067201</v>
      </c>
      <c r="AF70" s="25"/>
      <c r="AG70" s="29"/>
      <c r="AH70" s="29"/>
    </row>
    <row r="71" spans="3:34" s="20" customFormat="1" ht="18" customHeight="1">
      <c r="C71" s="23">
        <v>42095</v>
      </c>
      <c r="D71" s="25">
        <v>0.06</v>
      </c>
      <c r="E71" s="25">
        <v>0.05</v>
      </c>
      <c r="F71" s="25">
        <v>0.03</v>
      </c>
      <c r="G71" s="25">
        <v>0.02</v>
      </c>
      <c r="H71" s="25">
        <v>0.02</v>
      </c>
      <c r="I71" s="25">
        <v>0</v>
      </c>
      <c r="J71" s="25">
        <v>0.06</v>
      </c>
      <c r="K71" s="25">
        <v>0.02</v>
      </c>
      <c r="L71" s="25">
        <v>0.03</v>
      </c>
      <c r="M71" s="25">
        <v>0</v>
      </c>
      <c r="N71" s="25">
        <v>0</v>
      </c>
      <c r="O71" s="25">
        <v>0</v>
      </c>
      <c r="P71" s="25">
        <v>0</v>
      </c>
      <c r="Q71" s="21"/>
      <c r="R71" s="21"/>
      <c r="S71" s="23">
        <v>42095</v>
      </c>
      <c r="T71" s="25">
        <v>0.221292653406198</v>
      </c>
      <c r="U71" s="25">
        <v>0.212804341599132</v>
      </c>
      <c r="V71" s="25">
        <v>0.235929860311377</v>
      </c>
      <c r="W71" s="25">
        <v>0.26331290473771801</v>
      </c>
      <c r="X71" s="25">
        <v>0.40934867388750701</v>
      </c>
      <c r="Y71" s="25">
        <v>0.35782370579607603</v>
      </c>
      <c r="Z71" s="25">
        <v>0.42740795025214895</v>
      </c>
      <c r="AA71" s="25">
        <v>0.25385131985243703</v>
      </c>
      <c r="AB71" s="25">
        <v>0.37748294798205301</v>
      </c>
      <c r="AC71" s="25">
        <v>0.21156629027363499</v>
      </c>
      <c r="AD71" s="25">
        <v>5.5999090056126306E-2</v>
      </c>
      <c r="AE71" s="25">
        <v>0.168899070331161</v>
      </c>
      <c r="AF71" s="25">
        <v>0</v>
      </c>
      <c r="AG71" s="29"/>
      <c r="AH71" s="29"/>
    </row>
    <row r="72" spans="3:34" s="20" customFormat="1" ht="18" customHeight="1">
      <c r="C72" s="26">
        <v>42125</v>
      </c>
      <c r="D72" s="28">
        <v>6.9999999999999993E-2</v>
      </c>
      <c r="E72" s="28">
        <v>0.05</v>
      </c>
      <c r="F72" s="28">
        <v>0.03</v>
      </c>
      <c r="G72" s="28">
        <v>0.03</v>
      </c>
      <c r="H72" s="28">
        <v>0.03</v>
      </c>
      <c r="I72" s="28">
        <v>0</v>
      </c>
      <c r="J72" s="28">
        <v>6.9999999999999993E-2</v>
      </c>
      <c r="K72" s="28">
        <v>0.03</v>
      </c>
      <c r="L72" s="28">
        <v>0.04</v>
      </c>
      <c r="M72" s="28">
        <v>0</v>
      </c>
      <c r="N72" s="28">
        <v>0</v>
      </c>
      <c r="O72" s="28">
        <v>0</v>
      </c>
      <c r="P72" s="28">
        <v>0</v>
      </c>
      <c r="Q72" s="21"/>
      <c r="R72" s="21"/>
      <c r="S72" s="26">
        <v>42125</v>
      </c>
      <c r="T72" s="28">
        <v>0.22937126205111899</v>
      </c>
      <c r="U72" s="28">
        <v>0.23137861072066801</v>
      </c>
      <c r="V72" s="28">
        <v>0.24597052332955299</v>
      </c>
      <c r="W72" s="28">
        <v>0.28994875935216796</v>
      </c>
      <c r="X72" s="28">
        <v>0.41318942079793203</v>
      </c>
      <c r="Y72" s="28">
        <v>0.390627776894863</v>
      </c>
      <c r="Z72" s="28">
        <v>0.51322419447953493</v>
      </c>
      <c r="AA72" s="28">
        <v>0.29648472609394599</v>
      </c>
      <c r="AB72" s="28">
        <v>0.44673961711471694</v>
      </c>
      <c r="AC72" s="28">
        <v>0.27772949574741501</v>
      </c>
      <c r="AD72" s="28">
        <v>7.6209042857628501E-2</v>
      </c>
      <c r="AE72" s="28">
        <v>0.19443009127071501</v>
      </c>
      <c r="AF72" s="28">
        <v>0.10399318474289801</v>
      </c>
      <c r="AG72" s="29"/>
      <c r="AH72" s="29"/>
    </row>
    <row r="73" spans="3:34" hidden="1">
      <c r="C73" s="13"/>
      <c r="D73" s="18">
        <v>0.1</v>
      </c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0"/>
      <c r="R73" s="10"/>
      <c r="S73" s="19"/>
      <c r="T73" s="15">
        <v>1</v>
      </c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9"/>
      <c r="AH73" s="19"/>
    </row>
    <row r="74" spans="3:34">
      <c r="C74" s="13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0"/>
      <c r="R74" s="10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</sheetData>
  <mergeCells count="4">
    <mergeCell ref="C15:P15"/>
    <mergeCell ref="S15:AF15"/>
    <mergeCell ref="C46:P46"/>
    <mergeCell ref="S46:AF46"/>
  </mergeCells>
  <conditionalFormatting sqref="D42">
    <cfRule type="dataBar" priority="1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{A5DA7839-D386-4DEB-B34A-F76077E22625}</x14:id>
        </ext>
      </extLst>
    </cfRule>
  </conditionalFormatting>
  <conditionalFormatting sqref="E42:P42">
    <cfRule type="dataBar" priority="1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{588488D4-34AA-4487-9D89-C7DC767A8D79}</x14:id>
        </ext>
      </extLst>
    </cfRule>
  </conditionalFormatting>
  <conditionalFormatting sqref="T42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{4242798E-7594-4B67-BE00-977E5703BA31}</x14:id>
        </ext>
      </extLst>
    </cfRule>
  </conditionalFormatting>
  <conditionalFormatting sqref="U42:AF42">
    <cfRule type="dataBar" priority="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{2869B8FB-C15B-43B1-87A4-CBD9A99423E9}</x14:id>
        </ext>
      </extLst>
    </cfRule>
  </conditionalFormatting>
  <conditionalFormatting sqref="D73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T73">
    <cfRule type="dataBar" priority="6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{9226FE07-62FC-4907-819E-9F59DFBABE13}</x14:id>
        </ext>
      </extLst>
    </cfRule>
  </conditionalFormatting>
  <conditionalFormatting sqref="U73:AH73 AG51:AH72">
    <cfRule type="dataBar" priority="5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{13FD29DA-0ECC-4A3B-854D-BE45D5BFA93C}</x14:id>
        </ext>
      </extLst>
    </cfRule>
  </conditionalFormatting>
  <conditionalFormatting sqref="D73:P73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T73:AF73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{3639C360-747A-49CC-842A-BCE9CB0A4482}</x14:id>
        </ext>
      </extLst>
    </cfRule>
  </conditionalFormatting>
  <conditionalFormatting sqref="D42:P43">
    <cfRule type="dataBar" priority="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42:AF43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dataValidations disablePrompts="1" count="2">
    <dataValidation type="list" allowBlank="1" showInputMessage="1" showErrorMessage="1" sqref="AJ1">
      <formula1>"PROD, DEV"</formula1>
    </dataValidation>
    <dataValidation type="list" allowBlank="1" showInputMessage="1" showErrorMessage="1" sqref="AL1">
      <formula1>"Yes, No"</formula1>
    </dataValidation>
  </dataValidations>
  <hyperlinks>
    <hyperlink ref="AK11" r:id="rId5"/>
  </hyperlinks>
  <pageMargins left="0.25" right="0.25" top="0.255" bottom="0.25" header="0.1" footer="0.1"/>
  <pageSetup scale="42" orientation="landscape" r:id="rId6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drawing r:id="rId7"/>
  <legacyDrawingHF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DA7839-D386-4DEB-B34A-F76077E226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588488D4-34AA-4487-9D89-C7DC767A8D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E42:P42</xm:sqref>
        </x14:conditionalFormatting>
        <x14:conditionalFormatting xmlns:xm="http://schemas.microsoft.com/office/excel/2006/main">
          <x14:cfRule type="dataBar" id="{4242798E-7594-4B67-BE00-977E5703BA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2869B8FB-C15B-43B1-87A4-CBD9A9942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U42:AF42</xm:sqref>
        </x14:conditionalFormatting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9226FE07-62FC-4907-819E-9F59DFBAB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</xm:sqref>
        </x14:conditionalFormatting>
        <x14:conditionalFormatting xmlns:xm="http://schemas.microsoft.com/office/excel/2006/main">
          <x14:cfRule type="dataBar" id="{13FD29DA-0ECC-4A3B-854D-BE45D5BFA9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U73:AH73 AG51:AH72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D73:P73</xm:sqref>
        </x14:conditionalFormatting>
        <x14:conditionalFormatting xmlns:xm="http://schemas.microsoft.com/office/excel/2006/main">
          <x14:cfRule type="dataBar" id="{3639C360-747A-49CC-842A-BCE9CB0A44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T73:AF73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T42:AF43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0:AN69"/>
  <sheetViews>
    <sheetView showGridLines="0" tabSelected="1" zoomScale="85" zoomScaleNormal="85" workbookViewId="0">
      <selection activeCell="L65" sqref="L65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0" spans="1:40" s="2" customFormat="1" ht="19.5" customHeight="1">
      <c r="A10" s="64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2" customFormat="1" hidden="1">
      <c r="A11" s="64"/>
      <c r="B11"/>
      <c r="E11" s="33" t="s">
        <v>93</v>
      </c>
      <c r="F11" s="33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30" customFormat="1" ht="16.5" customHeight="1">
      <c r="A12" s="65"/>
      <c r="B12" s="7"/>
      <c r="C12" s="53" t="s">
        <v>30</v>
      </c>
      <c r="D12" s="58" t="s">
        <v>21</v>
      </c>
      <c r="F12" s="33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7"/>
      <c r="AG12" s="7"/>
      <c r="AH12"/>
      <c r="AI12"/>
      <c r="AJ12"/>
      <c r="AK12"/>
      <c r="AL12"/>
      <c r="AM12"/>
      <c r="AN12"/>
    </row>
    <row r="13" spans="1:40" s="22" customFormat="1" ht="16.5" customHeight="1">
      <c r="A13" s="66"/>
      <c r="B13" s="20"/>
      <c r="C13" s="54" t="s">
        <v>40</v>
      </c>
      <c r="D13" s="54">
        <v>37981</v>
      </c>
      <c r="F13" s="3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20"/>
      <c r="AG13" s="20"/>
      <c r="AH13"/>
      <c r="AI13"/>
      <c r="AJ13"/>
      <c r="AK13"/>
      <c r="AL13"/>
      <c r="AM13"/>
      <c r="AN13"/>
    </row>
    <row r="14" spans="1:40" s="22" customFormat="1" ht="16.5" customHeight="1">
      <c r="A14" s="66"/>
      <c r="B14" s="20"/>
      <c r="C14" s="54" t="s">
        <v>41</v>
      </c>
      <c r="D14" s="54">
        <v>7919678628.1700001</v>
      </c>
      <c r="F14" s="33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20"/>
      <c r="AG14" s="20"/>
      <c r="AH14"/>
      <c r="AI14"/>
      <c r="AJ14"/>
      <c r="AK14"/>
      <c r="AL14"/>
      <c r="AM14"/>
      <c r="AN14"/>
    </row>
    <row r="15" spans="1:40" s="22" customFormat="1" ht="16.5" customHeight="1">
      <c r="A15" s="66"/>
      <c r="B15" s="20"/>
      <c r="C15" s="54" t="s">
        <v>42</v>
      </c>
      <c r="D15" s="54">
        <v>8182812000</v>
      </c>
      <c r="F15" s="33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20"/>
      <c r="AG15" s="20"/>
      <c r="AH15"/>
      <c r="AI15"/>
      <c r="AJ15"/>
      <c r="AK15"/>
      <c r="AL15"/>
      <c r="AM15"/>
      <c r="AN15"/>
    </row>
    <row r="16" spans="1:40" s="22" customFormat="1" ht="16.5" customHeight="1">
      <c r="A16" s="66"/>
      <c r="B16" s="20"/>
      <c r="C16" s="54" t="s">
        <v>109</v>
      </c>
      <c r="D16" s="54">
        <v>19.223525697993999</v>
      </c>
      <c r="F16" s="33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20"/>
      <c r="AG16" s="20"/>
      <c r="AH16"/>
      <c r="AI16"/>
      <c r="AJ16"/>
      <c r="AK16"/>
      <c r="AL16"/>
      <c r="AM16"/>
      <c r="AN16"/>
    </row>
    <row r="17" spans="1:40" s="22" customFormat="1" ht="16.5" customHeight="1">
      <c r="A17" s="66"/>
      <c r="B17" s="20"/>
      <c r="C17" s="56" t="s">
        <v>110</v>
      </c>
      <c r="D17" s="56">
        <v>4.5516286331051203</v>
      </c>
      <c r="F17" s="33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20"/>
      <c r="AG17" s="20"/>
      <c r="AH17"/>
      <c r="AI17"/>
      <c r="AJ17"/>
      <c r="AK17"/>
      <c r="AL17"/>
      <c r="AM17"/>
      <c r="AN17"/>
    </row>
    <row r="18" spans="1:40" s="22" customFormat="1" ht="16.5" customHeight="1">
      <c r="A18" s="66"/>
      <c r="B18" s="20"/>
      <c r="C18" s="56" t="s">
        <v>111</v>
      </c>
      <c r="D18" s="56">
        <v>4.5515971531744999</v>
      </c>
      <c r="F18" s="33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6"/>
      <c r="B19" s="20"/>
      <c r="C19" s="57" t="s">
        <v>112</v>
      </c>
      <c r="D19" s="57">
        <v>92.314133295397895</v>
      </c>
      <c r="F19" s="33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6"/>
      <c r="B20" s="20"/>
      <c r="C20" s="57" t="s">
        <v>113</v>
      </c>
      <c r="D20" s="57">
        <v>92.3249810488919</v>
      </c>
      <c r="F20" s="33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0" customFormat="1" ht="16.5" customHeight="1">
      <c r="A21" s="67"/>
      <c r="C21" s="57" t="s">
        <v>114</v>
      </c>
      <c r="D21" s="57">
        <v>83.687363108517999</v>
      </c>
      <c r="F21" s="33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20" customFormat="1" ht="16.5" customHeight="1">
      <c r="A22" s="67"/>
      <c r="C22" s="57" t="s">
        <v>115</v>
      </c>
      <c r="D22" s="57">
        <v>34.722093165548202</v>
      </c>
      <c r="F22" s="33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20" customFormat="1" ht="16.5" customHeight="1">
      <c r="A23" s="67"/>
      <c r="C23" s="57" t="s">
        <v>116</v>
      </c>
      <c r="D23" s="57">
        <v>751.27795762989103</v>
      </c>
      <c r="F23" s="3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20" customFormat="1" ht="16.5" customHeight="1">
      <c r="A24" s="67"/>
      <c r="C24" s="54" t="s">
        <v>117</v>
      </c>
      <c r="D24" s="54">
        <v>257728.99219422101</v>
      </c>
      <c r="F24" s="33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20" customFormat="1" ht="16.5" customHeight="1">
      <c r="A25" s="67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20" customFormat="1" ht="16.5" customHeight="1">
      <c r="A26" s="67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7"/>
      <c r="C27" s="53" t="s">
        <v>118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7"/>
      <c r="C28" s="55" t="s">
        <v>105</v>
      </c>
      <c r="D28" s="55">
        <v>0.99801637525112097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7"/>
      <c r="C29" s="55" t="s">
        <v>107</v>
      </c>
      <c r="D29" s="55">
        <v>1.68610543014995E-3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7"/>
      <c r="C30" s="55" t="s">
        <v>94</v>
      </c>
      <c r="D30" s="55">
        <v>0.54258630000532304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7"/>
      <c r="C31" s="55" t="s">
        <v>95</v>
      </c>
      <c r="D31" s="55">
        <v>0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7"/>
      <c r="C32" s="55" t="s">
        <v>96</v>
      </c>
      <c r="D32" s="55">
        <v>0.60735330321117498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7"/>
      <c r="C33" s="55" t="s">
        <v>97</v>
      </c>
      <c r="D33" s="55">
        <v>0.99548008661075205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7"/>
      <c r="C34" s="55" t="s">
        <v>98</v>
      </c>
      <c r="D34" s="55">
        <v>0.90576257158019802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7"/>
      <c r="C35" s="55" t="s">
        <v>99</v>
      </c>
      <c r="D35" s="55">
        <v>7.9505437242154198E-2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7"/>
      <c r="C36" s="55" t="s">
        <v>100</v>
      </c>
      <c r="D36" s="55">
        <v>0.99383550107874996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A37" s="68"/>
      <c r="C37" s="55" t="s">
        <v>101</v>
      </c>
      <c r="D37" s="55">
        <v>6.1644989212499097E-3</v>
      </c>
    </row>
    <row r="38" spans="1:40" ht="17.25" customHeight="1">
      <c r="A38" s="68"/>
      <c r="C38" s="55" t="s">
        <v>102</v>
      </c>
      <c r="D38" s="55">
        <v>0.98018477958665995</v>
      </c>
    </row>
    <row r="39" spans="1:40" ht="17.25" customHeight="1">
      <c r="A39" s="68"/>
      <c r="C39" s="55" t="s">
        <v>103</v>
      </c>
      <c r="D39" s="55">
        <v>1.36507214920892E-2</v>
      </c>
    </row>
    <row r="40" spans="1:40" ht="17.25" customHeight="1">
      <c r="A40" s="68"/>
      <c r="C40" s="55" t="s">
        <v>104</v>
      </c>
      <c r="D40" s="55">
        <v>5.4569332796255299E-3</v>
      </c>
    </row>
    <row r="41" spans="1:40" ht="17.25" customHeight="1">
      <c r="A41" s="68"/>
    </row>
    <row r="42" spans="1:40" ht="17.25" hidden="1" customHeight="1">
      <c r="A42" s="68"/>
    </row>
    <row r="43" spans="1:40" s="7" customFormat="1" ht="16.5" customHeight="1">
      <c r="A43" s="69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20" customFormat="1" ht="16.5" customHeight="1">
      <c r="A44" s="67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20" customFormat="1" ht="16.5" customHeight="1">
      <c r="A45" s="67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20" customFormat="1" ht="16.5" customHeight="1">
      <c r="A46" s="67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29"/>
      <c r="AG46" s="29"/>
      <c r="AH46"/>
      <c r="AI46"/>
      <c r="AJ46"/>
      <c r="AK46"/>
      <c r="AL46"/>
      <c r="AM46"/>
      <c r="AN46"/>
    </row>
    <row r="47" spans="1:40" s="20" customFormat="1" ht="16.5" customHeight="1">
      <c r="A47" s="6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29"/>
      <c r="AG47" s="29"/>
      <c r="AH47"/>
      <c r="AI47"/>
      <c r="AJ47"/>
      <c r="AK47"/>
      <c r="AL47"/>
      <c r="AM47"/>
      <c r="AN47"/>
    </row>
    <row r="48" spans="1:40" s="20" customFormat="1" ht="16.5" customHeight="1">
      <c r="A48" s="67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29"/>
      <c r="AG48" s="29"/>
      <c r="AH48"/>
      <c r="AI48"/>
      <c r="AJ48"/>
      <c r="AK48"/>
      <c r="AL48"/>
      <c r="AM48"/>
      <c r="AN48"/>
    </row>
    <row r="49" spans="1:40" s="20" customFormat="1" ht="16.5" customHeight="1">
      <c r="A49" s="67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29"/>
      <c r="AG49" s="29"/>
      <c r="AH49"/>
      <c r="AI49"/>
      <c r="AJ49"/>
      <c r="AK49"/>
      <c r="AL49"/>
      <c r="AM49"/>
      <c r="AN49"/>
    </row>
    <row r="50" spans="1:40" s="20" customFormat="1" ht="16.5" customHeight="1">
      <c r="A50" s="67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29"/>
      <c r="AG50" s="29"/>
      <c r="AH50"/>
      <c r="AI50"/>
      <c r="AJ50"/>
      <c r="AK50"/>
      <c r="AL50"/>
      <c r="AM50"/>
      <c r="AN50"/>
    </row>
    <row r="51" spans="1:40" s="20" customFormat="1" ht="16.5" customHeight="1">
      <c r="A51" s="67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29"/>
      <c r="AG51" s="29"/>
      <c r="AH51"/>
      <c r="AI51"/>
      <c r="AJ51"/>
      <c r="AK51"/>
      <c r="AL51"/>
      <c r="AM51"/>
      <c r="AN51"/>
    </row>
    <row r="52" spans="1:40" s="20" customFormat="1" ht="16.5" customHeight="1">
      <c r="A52" s="67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7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7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7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7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7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7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7"/>
      <c r="C60"/>
      <c r="D60"/>
      <c r="E60"/>
      <c r="F60"/>
      <c r="G60" s="59" t="s">
        <v>121</v>
      </c>
      <c r="H60" t="s">
        <v>124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7"/>
      <c r="C61"/>
      <c r="D61"/>
      <c r="E61"/>
      <c r="F61"/>
      <c r="G61"/>
      <c r="H61" t="s">
        <v>125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7"/>
      <c r="C62"/>
      <c r="D62"/>
      <c r="E62"/>
      <c r="F62"/>
      <c r="G62"/>
      <c r="H62" t="s">
        <v>126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7"/>
      <c r="C63"/>
      <c r="D63"/>
      <c r="E63"/>
      <c r="F63"/>
      <c r="G63"/>
      <c r="H63" t="s">
        <v>122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7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52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52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52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hidden="1">
      <c r="C68" s="13"/>
      <c r="D68" s="18">
        <v>1E-3</v>
      </c>
      <c r="E68" s="18">
        <v>1E-3</v>
      </c>
      <c r="F68" s="18">
        <v>1E-3</v>
      </c>
      <c r="G68" s="18">
        <v>1E-3</v>
      </c>
      <c r="H68" s="18">
        <v>1E-3</v>
      </c>
      <c r="I68" s="18">
        <v>1E-3</v>
      </c>
      <c r="J68" s="18">
        <v>1E-3</v>
      </c>
      <c r="K68" s="18">
        <v>1E-3</v>
      </c>
      <c r="L68" s="18">
        <v>1E-3</v>
      </c>
      <c r="M68" s="18">
        <v>1E-3</v>
      </c>
      <c r="N68" s="18">
        <v>1E-3</v>
      </c>
      <c r="O68" s="18">
        <v>1E-3</v>
      </c>
      <c r="P68" s="10"/>
      <c r="Q68" s="10"/>
      <c r="R68" s="19"/>
      <c r="S68" s="19">
        <v>0.01</v>
      </c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</row>
    <row r="69" spans="1:40">
      <c r="C69" s="13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0"/>
      <c r="Q69" s="10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</row>
  </sheetData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pageMargins left="0.25" right="0.25" top="0.255" bottom="0.25" header="0.1" footer="0.1"/>
  <pageSetup scale="55" orientation="landscape" r:id="rId1"/>
  <headerFooter scaleWithDoc="0">
    <oddHeader>&amp;L&amp;G&amp;C&amp;"-,Bold"&amp;10&amp;K2E398A
&amp;15Deal Detail - FHL14HQ01&amp;R&amp;"-,Bold"&amp;10&amp;K2E398A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7"/>
  <sheetViews>
    <sheetView topLeftCell="A82" workbookViewId="0">
      <selection activeCell="A100" sqref="A100:G110"/>
    </sheetView>
  </sheetViews>
  <sheetFormatPr defaultRowHeight="15"/>
  <cols>
    <col min="1" max="1" width="11.140625" bestFit="1" customWidth="1"/>
  </cols>
  <sheetData>
    <row r="1" spans="1:7">
      <c r="A1" t="s">
        <v>30</v>
      </c>
      <c r="B1" t="s">
        <v>31</v>
      </c>
      <c r="C1" s="31" t="s">
        <v>32</v>
      </c>
      <c r="D1" s="31" t="s">
        <v>33</v>
      </c>
      <c r="E1" s="32" t="s">
        <v>34</v>
      </c>
      <c r="F1" s="33" t="s">
        <v>35</v>
      </c>
      <c r="G1" s="33" t="s">
        <v>36</v>
      </c>
    </row>
    <row r="2" spans="1:7">
      <c r="A2" t="s">
        <v>15</v>
      </c>
      <c r="B2" s="34">
        <v>41426</v>
      </c>
      <c r="C2" s="35">
        <v>7.1894999999999998</v>
      </c>
      <c r="D2" s="35">
        <v>0</v>
      </c>
      <c r="E2" s="36">
        <v>0</v>
      </c>
      <c r="F2" s="36">
        <v>0.69</v>
      </c>
      <c r="G2" s="36">
        <v>0</v>
      </c>
    </row>
    <row r="3" spans="1:7">
      <c r="A3" t="s">
        <v>15</v>
      </c>
      <c r="B3" s="34">
        <v>41456</v>
      </c>
      <c r="C3" s="35">
        <v>5.2968000000000002</v>
      </c>
      <c r="D3" s="35">
        <v>0</v>
      </c>
      <c r="E3" s="36">
        <v>0.12667221826199199</v>
      </c>
      <c r="F3" s="36">
        <v>1.1900000000000002</v>
      </c>
      <c r="G3" s="36">
        <v>0</v>
      </c>
    </row>
    <row r="4" spans="1:7">
      <c r="A4" t="s">
        <v>15</v>
      </c>
      <c r="B4" s="34">
        <v>41487</v>
      </c>
      <c r="C4" s="35">
        <v>3.7195999999999998</v>
      </c>
      <c r="D4" s="35">
        <v>0</v>
      </c>
      <c r="E4" s="36">
        <v>0.10356345223757799</v>
      </c>
      <c r="F4" s="36">
        <v>1.53</v>
      </c>
      <c r="G4" s="36">
        <v>0</v>
      </c>
    </row>
    <row r="5" spans="1:7">
      <c r="A5" t="s">
        <v>15</v>
      </c>
      <c r="B5" s="34">
        <v>41518</v>
      </c>
      <c r="C5" s="35">
        <v>3.9026999999999998</v>
      </c>
      <c r="D5" s="35">
        <v>0</v>
      </c>
      <c r="E5" s="36">
        <v>0.137402924202362</v>
      </c>
      <c r="F5" s="36">
        <v>1.9</v>
      </c>
      <c r="G5" s="36">
        <v>0</v>
      </c>
    </row>
    <row r="6" spans="1:7">
      <c r="A6" t="s">
        <v>15</v>
      </c>
      <c r="B6" s="34">
        <v>41548</v>
      </c>
      <c r="C6" s="35">
        <v>3.5990000000000002</v>
      </c>
      <c r="D6" s="35">
        <v>0</v>
      </c>
      <c r="E6" s="36">
        <v>0.15484221430720702</v>
      </c>
      <c r="F6" s="36">
        <v>2.23</v>
      </c>
      <c r="G6" s="36">
        <v>0</v>
      </c>
    </row>
    <row r="7" spans="1:7">
      <c r="A7" t="s">
        <v>15</v>
      </c>
      <c r="B7" s="34">
        <v>41579</v>
      </c>
      <c r="C7" s="35">
        <v>3.7277999999999998</v>
      </c>
      <c r="D7" s="35">
        <v>5.4000000000000003E-3</v>
      </c>
      <c r="E7" s="36">
        <v>0.15094332223427401</v>
      </c>
      <c r="F7" s="36">
        <v>2.5700000000000003</v>
      </c>
      <c r="G7" s="36">
        <v>0</v>
      </c>
    </row>
    <row r="8" spans="1:7">
      <c r="A8" t="s">
        <v>15</v>
      </c>
      <c r="B8" s="34">
        <v>41609</v>
      </c>
      <c r="C8" s="35">
        <v>3.1396999999999999</v>
      </c>
      <c r="D8" s="35">
        <v>1.66E-2</v>
      </c>
      <c r="E8" s="36">
        <v>0.21700490437786399</v>
      </c>
      <c r="F8" s="36">
        <v>2.85</v>
      </c>
      <c r="G8" s="36">
        <v>0</v>
      </c>
    </row>
    <row r="9" spans="1:7">
      <c r="A9" t="s">
        <v>15</v>
      </c>
      <c r="B9" s="34">
        <v>41640</v>
      </c>
      <c r="C9" s="35">
        <v>2.976</v>
      </c>
      <c r="D9" s="35">
        <v>0.03</v>
      </c>
      <c r="E9" s="36">
        <v>0.21894667321964001</v>
      </c>
      <c r="F9" s="36">
        <v>3.1199999999999997</v>
      </c>
      <c r="G9" s="36">
        <v>0</v>
      </c>
    </row>
    <row r="10" spans="1:7">
      <c r="A10" t="s">
        <v>15</v>
      </c>
      <c r="B10" s="34">
        <v>41671</v>
      </c>
      <c r="C10" s="35">
        <v>3.8313999999999999</v>
      </c>
      <c r="D10" s="35">
        <v>1.9E-2</v>
      </c>
      <c r="E10" s="36">
        <v>0.23021683029496001</v>
      </c>
      <c r="F10" s="36">
        <v>3.47</v>
      </c>
      <c r="G10" s="36">
        <v>0</v>
      </c>
    </row>
    <row r="11" spans="1:7">
      <c r="A11" t="s">
        <v>15</v>
      </c>
      <c r="B11" s="34">
        <v>41699</v>
      </c>
      <c r="C11" s="35">
        <v>3.9773000000000001</v>
      </c>
      <c r="D11" s="35">
        <v>8.3900000000000002E-2</v>
      </c>
      <c r="E11" s="36">
        <v>0.28763854780915599</v>
      </c>
      <c r="F11" s="36">
        <v>3.83</v>
      </c>
      <c r="G11" s="36">
        <v>0.01</v>
      </c>
    </row>
    <row r="12" spans="1:7">
      <c r="A12" t="s">
        <v>15</v>
      </c>
      <c r="B12" s="34">
        <v>41730</v>
      </c>
      <c r="C12" s="35">
        <v>5.8136999999999999</v>
      </c>
      <c r="D12" s="35">
        <v>5.5599999999999997E-2</v>
      </c>
      <c r="E12" s="36">
        <v>0.17641106928362399</v>
      </c>
      <c r="F12" s="36">
        <v>4.3499999999999996</v>
      </c>
      <c r="G12" s="36">
        <v>0.01</v>
      </c>
    </row>
    <row r="13" spans="1:7">
      <c r="A13" t="s">
        <v>15</v>
      </c>
      <c r="B13" s="34">
        <v>41760</v>
      </c>
      <c r="C13" s="35">
        <v>7.3971999999999998</v>
      </c>
      <c r="D13" s="35">
        <v>5.04E-2</v>
      </c>
      <c r="E13" s="36">
        <v>0.17421491729425201</v>
      </c>
      <c r="F13" s="36">
        <v>5.0200000000000005</v>
      </c>
      <c r="G13" s="36">
        <v>0.02</v>
      </c>
    </row>
    <row r="14" spans="1:7">
      <c r="A14" t="s">
        <v>15</v>
      </c>
      <c r="B14" s="34">
        <v>41791</v>
      </c>
      <c r="C14" s="35">
        <v>6.9165999999999999</v>
      </c>
      <c r="D14" s="35">
        <v>3.8899999999999997E-2</v>
      </c>
      <c r="E14" s="36">
        <v>0.18080148243312499</v>
      </c>
      <c r="F14" s="36">
        <v>5.64</v>
      </c>
      <c r="G14" s="36">
        <v>0.02</v>
      </c>
    </row>
    <row r="15" spans="1:7">
      <c r="A15" t="s">
        <v>15</v>
      </c>
      <c r="B15" s="34">
        <v>41821</v>
      </c>
      <c r="C15" s="35">
        <v>6.4720000000000004</v>
      </c>
      <c r="D15" s="35">
        <v>3.9800000000000002E-2</v>
      </c>
      <c r="E15" s="36">
        <v>0.22194793062559801</v>
      </c>
      <c r="F15" s="36">
        <v>6.21</v>
      </c>
      <c r="G15" s="36">
        <v>0.02</v>
      </c>
    </row>
    <row r="16" spans="1:7">
      <c r="A16" t="s">
        <v>15</v>
      </c>
      <c r="B16" s="34">
        <v>41852</v>
      </c>
      <c r="C16" s="35">
        <v>5.0166000000000004</v>
      </c>
      <c r="D16" s="35">
        <v>3.09E-2</v>
      </c>
      <c r="E16" s="36">
        <v>0.21691470665304502</v>
      </c>
      <c r="F16" s="36">
        <v>6.65</v>
      </c>
      <c r="G16" s="36">
        <v>0.03</v>
      </c>
    </row>
    <row r="17" spans="1:7">
      <c r="A17" t="s">
        <v>15</v>
      </c>
      <c r="B17" s="34">
        <v>41883</v>
      </c>
      <c r="C17" s="35">
        <v>6.4724000000000004</v>
      </c>
      <c r="D17" s="35">
        <v>5.0900000000000001E-2</v>
      </c>
      <c r="E17" s="36">
        <v>0.25668689206130602</v>
      </c>
      <c r="F17" s="36">
        <v>7.21</v>
      </c>
      <c r="G17" s="36">
        <v>0.03</v>
      </c>
    </row>
    <row r="18" spans="1:7">
      <c r="A18" t="s">
        <v>15</v>
      </c>
      <c r="B18" s="34">
        <v>41913</v>
      </c>
      <c r="C18" s="35">
        <v>5.2816000000000001</v>
      </c>
      <c r="D18" s="35">
        <v>5.8500000000000003E-2</v>
      </c>
      <c r="E18" s="36">
        <v>0.24419934930955201</v>
      </c>
      <c r="F18" s="36">
        <v>7.66</v>
      </c>
      <c r="G18" s="36">
        <v>0.04</v>
      </c>
    </row>
    <row r="19" spans="1:7">
      <c r="A19" t="s">
        <v>15</v>
      </c>
      <c r="B19" s="34">
        <v>41944</v>
      </c>
      <c r="C19" s="35">
        <v>6.0025000000000004</v>
      </c>
      <c r="D19" s="35">
        <v>2.3800000000000002E-2</v>
      </c>
      <c r="E19" s="36">
        <v>0.226047138543922</v>
      </c>
      <c r="F19" s="36">
        <v>8.18</v>
      </c>
      <c r="G19" s="36">
        <v>0.04</v>
      </c>
    </row>
    <row r="20" spans="1:7">
      <c r="A20" t="s">
        <v>15</v>
      </c>
      <c r="B20" s="34">
        <v>41974</v>
      </c>
      <c r="C20" s="35">
        <v>5.2076000000000002</v>
      </c>
      <c r="D20" s="35">
        <v>9.3100000000000002E-2</v>
      </c>
      <c r="E20" s="36">
        <v>0.319782975405623</v>
      </c>
      <c r="F20" s="36">
        <v>8.6199999999999992</v>
      </c>
      <c r="G20" s="36">
        <v>0.05</v>
      </c>
    </row>
    <row r="21" spans="1:7">
      <c r="A21" t="s">
        <v>15</v>
      </c>
      <c r="B21" s="34">
        <v>42005</v>
      </c>
      <c r="C21" s="35">
        <v>7.9896000000000003</v>
      </c>
      <c r="D21" s="35">
        <v>3.1E-2</v>
      </c>
      <c r="E21" s="36">
        <v>0.25090365666056302</v>
      </c>
      <c r="F21" s="36">
        <v>9.3000000000000007</v>
      </c>
      <c r="G21" s="36">
        <v>0.05</v>
      </c>
    </row>
    <row r="22" spans="1:7">
      <c r="A22" t="s">
        <v>15</v>
      </c>
      <c r="B22" s="34">
        <v>42036</v>
      </c>
      <c r="C22" s="35">
        <v>11.042299999999999</v>
      </c>
      <c r="D22" s="35">
        <v>5.7599999999999998E-2</v>
      </c>
      <c r="E22" s="36">
        <v>0.25015041079039801</v>
      </c>
      <c r="F22" s="36">
        <v>10.24</v>
      </c>
      <c r="G22" s="36">
        <v>0.05</v>
      </c>
    </row>
    <row r="23" spans="1:7">
      <c r="A23" t="s">
        <v>15</v>
      </c>
      <c r="B23" s="34">
        <v>42064</v>
      </c>
      <c r="C23" s="35">
        <v>9.9810999999999996</v>
      </c>
      <c r="D23" s="35">
        <v>7.2300000000000003E-2</v>
      </c>
      <c r="E23" s="36">
        <v>0.30000390932597404</v>
      </c>
      <c r="F23" s="36">
        <v>11.09</v>
      </c>
      <c r="G23" s="36">
        <v>0.06</v>
      </c>
    </row>
    <row r="24" spans="1:7">
      <c r="A24" t="s">
        <v>15</v>
      </c>
      <c r="B24" s="34">
        <v>42095</v>
      </c>
      <c r="C24" s="35">
        <v>9.9797999999999991</v>
      </c>
      <c r="D24" s="35">
        <v>5.2200000000000003E-2</v>
      </c>
      <c r="E24" s="36">
        <v>0.221292653406198</v>
      </c>
      <c r="F24" s="36">
        <v>11.92</v>
      </c>
      <c r="G24" s="36">
        <v>0.06</v>
      </c>
    </row>
    <row r="25" spans="1:7">
      <c r="A25" t="s">
        <v>15</v>
      </c>
      <c r="B25" s="34">
        <v>42125</v>
      </c>
      <c r="C25" s="35">
        <v>11.419499999999999</v>
      </c>
      <c r="D25" s="35">
        <v>0.12759999999999999</v>
      </c>
      <c r="E25" s="36">
        <v>0.22937126205111899</v>
      </c>
      <c r="F25" s="36">
        <v>12.86</v>
      </c>
      <c r="G25" s="36">
        <v>6.9999999999999993E-2</v>
      </c>
    </row>
    <row r="26" spans="1:7">
      <c r="A26" t="s">
        <v>15</v>
      </c>
      <c r="B26" s="34">
        <v>42156</v>
      </c>
      <c r="C26" s="35">
        <v>0</v>
      </c>
      <c r="D26" s="35">
        <v>0</v>
      </c>
      <c r="E26" s="36">
        <v>0.26052343270604</v>
      </c>
      <c r="F26" s="37">
        <v>12.86</v>
      </c>
      <c r="G26" s="37">
        <v>6.9999999999999993E-2</v>
      </c>
    </row>
    <row r="27" spans="1:7">
      <c r="A27" t="s">
        <v>16</v>
      </c>
      <c r="B27" s="34">
        <v>41579</v>
      </c>
      <c r="C27" s="35">
        <v>8.3688000000000002</v>
      </c>
      <c r="D27" s="35">
        <v>0</v>
      </c>
      <c r="E27" s="36">
        <v>0.111349989822876</v>
      </c>
      <c r="F27" s="36">
        <v>0.77</v>
      </c>
      <c r="G27" s="36">
        <v>0</v>
      </c>
    </row>
    <row r="28" spans="1:7">
      <c r="A28" t="s">
        <v>16</v>
      </c>
      <c r="B28" s="34">
        <v>41609</v>
      </c>
      <c r="C28" s="35">
        <v>2.5486</v>
      </c>
      <c r="D28" s="35">
        <v>0</v>
      </c>
      <c r="E28" s="36">
        <v>0.17538831299275401</v>
      </c>
      <c r="F28" s="36">
        <v>1</v>
      </c>
      <c r="G28" s="36">
        <v>0</v>
      </c>
    </row>
    <row r="29" spans="1:7">
      <c r="A29" t="s">
        <v>16</v>
      </c>
      <c r="B29" s="34">
        <v>41640</v>
      </c>
      <c r="C29" s="35">
        <v>2.6267</v>
      </c>
      <c r="D29" s="35">
        <v>0</v>
      </c>
      <c r="E29" s="36">
        <v>0.18421270287605002</v>
      </c>
      <c r="F29" s="36">
        <v>1.24</v>
      </c>
      <c r="G29" s="36">
        <v>0</v>
      </c>
    </row>
    <row r="30" spans="1:7">
      <c r="A30" t="s">
        <v>16</v>
      </c>
      <c r="B30" s="34">
        <v>41671</v>
      </c>
      <c r="C30" s="35">
        <v>3.6274999999999999</v>
      </c>
      <c r="D30" s="35">
        <v>8.9999999999999993E-3</v>
      </c>
      <c r="E30" s="36">
        <v>0.17825470643351798</v>
      </c>
      <c r="F30" s="36">
        <v>1.5599999999999998</v>
      </c>
      <c r="G30" s="36">
        <v>0</v>
      </c>
    </row>
    <row r="31" spans="1:7">
      <c r="A31" t="s">
        <v>16</v>
      </c>
      <c r="B31" s="34">
        <v>41699</v>
      </c>
      <c r="C31" s="35">
        <v>3.9352999999999998</v>
      </c>
      <c r="D31" s="35">
        <v>3.9E-2</v>
      </c>
      <c r="E31" s="36">
        <v>0.24791712180865</v>
      </c>
      <c r="F31" s="36">
        <v>1.91</v>
      </c>
      <c r="G31" s="36">
        <v>0</v>
      </c>
    </row>
    <row r="32" spans="1:7">
      <c r="A32" t="s">
        <v>16</v>
      </c>
      <c r="B32" s="34">
        <v>41730</v>
      </c>
      <c r="C32" s="35">
        <v>5.2506000000000004</v>
      </c>
      <c r="D32" s="35">
        <v>1.7299999999999999E-2</v>
      </c>
      <c r="E32" s="36">
        <v>0.20046795170412401</v>
      </c>
      <c r="F32" s="36">
        <v>2.3800000000000003</v>
      </c>
      <c r="G32" s="36">
        <v>0</v>
      </c>
    </row>
    <row r="33" spans="1:7">
      <c r="A33" t="s">
        <v>16</v>
      </c>
      <c r="B33" s="34">
        <v>41760</v>
      </c>
      <c r="C33" s="35">
        <v>5.7789000000000001</v>
      </c>
      <c r="D33" s="35">
        <v>2.12E-2</v>
      </c>
      <c r="E33" s="36">
        <v>0.206107820186025</v>
      </c>
      <c r="F33" s="36">
        <v>2.9000000000000004</v>
      </c>
      <c r="G33" s="36">
        <v>0</v>
      </c>
    </row>
    <row r="34" spans="1:7">
      <c r="A34" t="s">
        <v>16</v>
      </c>
      <c r="B34" s="34">
        <v>41791</v>
      </c>
      <c r="C34" s="35">
        <v>5.8940999999999999</v>
      </c>
      <c r="D34" s="35">
        <v>2.7699999999999999E-2</v>
      </c>
      <c r="E34" s="36">
        <v>0.19825996525561401</v>
      </c>
      <c r="F34" s="36">
        <v>3.42</v>
      </c>
      <c r="G34" s="36">
        <v>0</v>
      </c>
    </row>
    <row r="35" spans="1:7">
      <c r="A35" t="s">
        <v>16</v>
      </c>
      <c r="B35" s="34">
        <v>41821</v>
      </c>
      <c r="C35" s="35">
        <v>5.4923000000000002</v>
      </c>
      <c r="D35" s="35">
        <v>2.58E-2</v>
      </c>
      <c r="E35" s="36">
        <v>0.22383653709816698</v>
      </c>
      <c r="F35" s="36">
        <v>3.9</v>
      </c>
      <c r="G35" s="36">
        <v>0.01</v>
      </c>
    </row>
    <row r="36" spans="1:7">
      <c r="A36" t="s">
        <v>16</v>
      </c>
      <c r="B36" s="34">
        <v>41852</v>
      </c>
      <c r="C36" s="35">
        <v>4.6874000000000002</v>
      </c>
      <c r="D36" s="35">
        <v>2.06E-2</v>
      </c>
      <c r="E36" s="36">
        <v>0.221458099902341</v>
      </c>
      <c r="F36" s="36">
        <v>4.3</v>
      </c>
      <c r="G36" s="36">
        <v>0.01</v>
      </c>
    </row>
    <row r="37" spans="1:7">
      <c r="A37" t="s">
        <v>16</v>
      </c>
      <c r="B37" s="34">
        <v>41883</v>
      </c>
      <c r="C37" s="35">
        <v>5.3079999999999998</v>
      </c>
      <c r="D37" s="35">
        <v>5.4300000000000001E-2</v>
      </c>
      <c r="E37" s="36">
        <v>0.25701887094479298</v>
      </c>
      <c r="F37" s="36">
        <v>4.7600000000000007</v>
      </c>
      <c r="G37" s="36">
        <v>0.01</v>
      </c>
    </row>
    <row r="38" spans="1:7">
      <c r="A38" t="s">
        <v>16</v>
      </c>
      <c r="B38" s="34">
        <v>41913</v>
      </c>
      <c r="C38" s="35">
        <v>4.5232999999999999</v>
      </c>
      <c r="D38" s="35">
        <v>5.67E-2</v>
      </c>
      <c r="E38" s="36">
        <v>0.25146402216979902</v>
      </c>
      <c r="F38" s="36">
        <v>5.1499999999999995</v>
      </c>
      <c r="G38" s="36">
        <v>0.02</v>
      </c>
    </row>
    <row r="39" spans="1:7">
      <c r="A39" t="s">
        <v>16</v>
      </c>
      <c r="B39" s="34">
        <v>41944</v>
      </c>
      <c r="C39" s="35">
        <v>5.1199000000000003</v>
      </c>
      <c r="D39" s="35">
        <v>4.8800000000000003E-2</v>
      </c>
      <c r="E39" s="36">
        <v>0.21534383388060199</v>
      </c>
      <c r="F39" s="36">
        <v>5.58</v>
      </c>
      <c r="G39" s="36">
        <v>0.02</v>
      </c>
    </row>
    <row r="40" spans="1:7">
      <c r="A40" t="s">
        <v>16</v>
      </c>
      <c r="B40" s="34">
        <v>41974</v>
      </c>
      <c r="C40" s="35">
        <v>3.7650000000000001</v>
      </c>
      <c r="D40" s="35">
        <v>2.7799999999999998E-2</v>
      </c>
      <c r="E40" s="36">
        <v>0.313722601890914</v>
      </c>
      <c r="F40" s="36">
        <v>5.8999999999999995</v>
      </c>
      <c r="G40" s="36">
        <v>0.02</v>
      </c>
    </row>
    <row r="41" spans="1:7">
      <c r="A41" t="s">
        <v>16</v>
      </c>
      <c r="B41" s="34">
        <v>42005</v>
      </c>
      <c r="C41" s="35">
        <v>4.7008000000000001</v>
      </c>
      <c r="D41" s="35">
        <v>8.4000000000000005E-2</v>
      </c>
      <c r="E41" s="36">
        <v>0.25071003222516702</v>
      </c>
      <c r="F41" s="36">
        <v>6.29</v>
      </c>
      <c r="G41" s="36">
        <v>0.03</v>
      </c>
    </row>
    <row r="42" spans="1:7">
      <c r="A42" t="s">
        <v>16</v>
      </c>
      <c r="B42" s="34">
        <v>42036</v>
      </c>
      <c r="C42" s="35">
        <v>7.3334999999999999</v>
      </c>
      <c r="D42" s="35">
        <v>4.3700000000000003E-2</v>
      </c>
      <c r="E42" s="36">
        <v>0.26006103189278601</v>
      </c>
      <c r="F42" s="36">
        <v>6.9099999999999993</v>
      </c>
      <c r="G42" s="36">
        <v>0.04</v>
      </c>
    </row>
    <row r="43" spans="1:7">
      <c r="A43" t="s">
        <v>16</v>
      </c>
      <c r="B43" s="34">
        <v>42064</v>
      </c>
      <c r="C43" s="35">
        <v>7.4539999999999997</v>
      </c>
      <c r="D43" s="35">
        <v>6.3100000000000003E-2</v>
      </c>
      <c r="E43" s="36">
        <v>0.30653763936751099</v>
      </c>
      <c r="F43" s="36">
        <v>7.53</v>
      </c>
      <c r="G43" s="36">
        <v>0.04</v>
      </c>
    </row>
    <row r="44" spans="1:7">
      <c r="A44" t="s">
        <v>16</v>
      </c>
      <c r="B44" s="34">
        <v>42095</v>
      </c>
      <c r="C44" s="35">
        <v>8.0878999999999994</v>
      </c>
      <c r="D44" s="35">
        <v>0.1116</v>
      </c>
      <c r="E44" s="36">
        <v>0.212804341599132</v>
      </c>
      <c r="F44" s="36">
        <v>8.2100000000000009</v>
      </c>
      <c r="G44" s="36">
        <v>0.05</v>
      </c>
    </row>
    <row r="45" spans="1:7">
      <c r="A45" t="s">
        <v>16</v>
      </c>
      <c r="B45" s="34">
        <v>42125</v>
      </c>
      <c r="C45" s="35">
        <v>9.1</v>
      </c>
      <c r="D45" s="35">
        <v>2.2200000000000001E-2</v>
      </c>
      <c r="E45" s="36">
        <v>0.23137861072066801</v>
      </c>
      <c r="F45" s="36">
        <v>8.9599999999999991</v>
      </c>
      <c r="G45" s="36">
        <v>0.05</v>
      </c>
    </row>
    <row r="46" spans="1:7">
      <c r="A46" t="s">
        <v>16</v>
      </c>
      <c r="B46" s="34">
        <v>42156</v>
      </c>
      <c r="C46" s="35">
        <v>0</v>
      </c>
      <c r="D46" s="35">
        <v>0</v>
      </c>
      <c r="E46" s="36">
        <v>0.32330500813024599</v>
      </c>
      <c r="F46" s="37">
        <v>8.9599999999999991</v>
      </c>
      <c r="G46" s="37">
        <v>0.05</v>
      </c>
    </row>
    <row r="47" spans="1:7">
      <c r="A47" t="s">
        <v>17</v>
      </c>
      <c r="B47" s="34">
        <v>41671</v>
      </c>
      <c r="C47" s="35">
        <v>7.4269999999999996</v>
      </c>
      <c r="D47" s="35">
        <v>0</v>
      </c>
      <c r="E47" s="36">
        <v>8.3035215336207904E-2</v>
      </c>
      <c r="F47" s="36">
        <v>0.67999999999999994</v>
      </c>
      <c r="G47" s="36">
        <v>0</v>
      </c>
    </row>
    <row r="48" spans="1:7">
      <c r="A48" t="s">
        <v>17</v>
      </c>
      <c r="B48" s="34">
        <v>41699</v>
      </c>
      <c r="C48" s="35">
        <v>3.8881000000000001</v>
      </c>
      <c r="D48" s="35">
        <v>0</v>
      </c>
      <c r="E48" s="36">
        <v>0.15226672684829901</v>
      </c>
      <c r="F48" s="36">
        <v>1.03</v>
      </c>
      <c r="G48" s="36">
        <v>0</v>
      </c>
    </row>
    <row r="49" spans="1:7">
      <c r="A49" t="s">
        <v>17</v>
      </c>
      <c r="B49" s="34">
        <v>41730</v>
      </c>
      <c r="C49" s="35">
        <v>4.7267999999999999</v>
      </c>
      <c r="D49" s="35">
        <v>0</v>
      </c>
      <c r="E49" s="36">
        <v>0.11277179985904899</v>
      </c>
      <c r="F49" s="36">
        <v>1.4500000000000002</v>
      </c>
      <c r="G49" s="36">
        <v>0</v>
      </c>
    </row>
    <row r="50" spans="1:7">
      <c r="A50" t="s">
        <v>17</v>
      </c>
      <c r="B50" s="34">
        <v>41760</v>
      </c>
      <c r="C50" s="35">
        <v>5.5388000000000002</v>
      </c>
      <c r="D50" s="35">
        <v>1.5599999999999999E-2</v>
      </c>
      <c r="E50" s="36">
        <v>0.137937264918369</v>
      </c>
      <c r="F50" s="36">
        <v>1.95</v>
      </c>
      <c r="G50" s="36">
        <v>0</v>
      </c>
    </row>
    <row r="51" spans="1:7">
      <c r="A51" t="s">
        <v>17</v>
      </c>
      <c r="B51" s="34">
        <v>41791</v>
      </c>
      <c r="C51" s="35">
        <v>5.3395999999999999</v>
      </c>
      <c r="D51" s="35">
        <v>3.0999999999999999E-3</v>
      </c>
      <c r="E51" s="36">
        <v>0.16926852605984802</v>
      </c>
      <c r="F51" s="36">
        <v>2.42</v>
      </c>
      <c r="G51" s="36">
        <v>0</v>
      </c>
    </row>
    <row r="52" spans="1:7">
      <c r="A52" t="s">
        <v>17</v>
      </c>
      <c r="B52" s="34">
        <v>41821</v>
      </c>
      <c r="C52" s="35">
        <v>4.8250000000000002</v>
      </c>
      <c r="D52" s="35">
        <v>2.6100000000000002E-2</v>
      </c>
      <c r="E52" s="36">
        <v>0.20239341257222701</v>
      </c>
      <c r="F52" s="36">
        <v>2.85</v>
      </c>
      <c r="G52" s="36">
        <v>0</v>
      </c>
    </row>
    <row r="53" spans="1:7">
      <c r="A53" t="s">
        <v>17</v>
      </c>
      <c r="B53" s="34">
        <v>41852</v>
      </c>
      <c r="C53" s="35">
        <v>4.5701999999999998</v>
      </c>
      <c r="D53" s="35">
        <v>4.4900000000000002E-2</v>
      </c>
      <c r="E53" s="36">
        <v>0.21676206490169797</v>
      </c>
      <c r="F53" s="36">
        <v>3.25</v>
      </c>
      <c r="G53" s="36">
        <v>0</v>
      </c>
    </row>
    <row r="54" spans="1:7">
      <c r="A54" t="s">
        <v>17</v>
      </c>
      <c r="B54" s="34">
        <v>41883</v>
      </c>
      <c r="C54" s="35">
        <v>5.1115000000000004</v>
      </c>
      <c r="D54" s="35">
        <v>2.86E-2</v>
      </c>
      <c r="E54" s="36">
        <v>0.25084879073542204</v>
      </c>
      <c r="F54" s="36">
        <v>3.6900000000000004</v>
      </c>
      <c r="G54" s="36">
        <v>0.01</v>
      </c>
    </row>
    <row r="55" spans="1:7">
      <c r="A55" t="s">
        <v>17</v>
      </c>
      <c r="B55" s="34">
        <v>41913</v>
      </c>
      <c r="C55" s="35">
        <v>4.7755000000000001</v>
      </c>
      <c r="D55" s="35">
        <v>4.2700000000000002E-2</v>
      </c>
      <c r="E55" s="36">
        <v>0.24358036540553901</v>
      </c>
      <c r="F55" s="36">
        <v>4.1000000000000005</v>
      </c>
      <c r="G55" s="36">
        <v>0.01</v>
      </c>
    </row>
    <row r="56" spans="1:7">
      <c r="A56" t="s">
        <v>17</v>
      </c>
      <c r="B56" s="34">
        <v>41944</v>
      </c>
      <c r="C56" s="35">
        <v>5.1914999999999996</v>
      </c>
      <c r="D56" s="35">
        <v>2.1299999999999999E-2</v>
      </c>
      <c r="E56" s="36">
        <v>0.194980190378507</v>
      </c>
      <c r="F56" s="36">
        <v>4.55</v>
      </c>
      <c r="G56" s="36">
        <v>0.01</v>
      </c>
    </row>
    <row r="57" spans="1:7">
      <c r="A57" t="s">
        <v>17</v>
      </c>
      <c r="B57" s="34">
        <v>41974</v>
      </c>
      <c r="C57" s="35">
        <v>4.2118000000000002</v>
      </c>
      <c r="D57" s="35">
        <v>6.59E-2</v>
      </c>
      <c r="E57" s="36">
        <v>0.316395234487096</v>
      </c>
      <c r="F57" s="36">
        <v>4.91</v>
      </c>
      <c r="G57" s="36">
        <v>0.02</v>
      </c>
    </row>
    <row r="58" spans="1:7">
      <c r="A58" t="s">
        <v>17</v>
      </c>
      <c r="B58" s="34">
        <v>42005</v>
      </c>
      <c r="C58" s="35">
        <v>5.9295999999999998</v>
      </c>
      <c r="D58" s="35">
        <v>2.35E-2</v>
      </c>
      <c r="E58" s="36">
        <v>0.24825080357062301</v>
      </c>
      <c r="F58" s="36">
        <v>5.41</v>
      </c>
      <c r="G58" s="36">
        <v>0.02</v>
      </c>
    </row>
    <row r="59" spans="1:7">
      <c r="A59" t="s">
        <v>17</v>
      </c>
      <c r="B59" s="34">
        <v>42036</v>
      </c>
      <c r="C59" s="35">
        <v>7.6299000000000001</v>
      </c>
      <c r="D59" s="35">
        <v>3.1099999999999999E-2</v>
      </c>
      <c r="E59" s="36">
        <v>0.25249433576771502</v>
      </c>
      <c r="F59" s="36">
        <v>6.0600000000000005</v>
      </c>
      <c r="G59" s="36">
        <v>0.02</v>
      </c>
    </row>
    <row r="60" spans="1:7">
      <c r="A60" t="s">
        <v>17</v>
      </c>
      <c r="B60" s="34">
        <v>42064</v>
      </c>
      <c r="C60" s="35">
        <v>8.0511999999999997</v>
      </c>
      <c r="D60" s="35">
        <v>2.2800000000000001E-2</v>
      </c>
      <c r="E60" s="36">
        <v>0.31499647857695201</v>
      </c>
      <c r="F60" s="36">
        <v>6.75</v>
      </c>
      <c r="G60" s="36">
        <v>0.02</v>
      </c>
    </row>
    <row r="61" spans="1:7">
      <c r="A61" t="s">
        <v>17</v>
      </c>
      <c r="B61" s="34">
        <v>42095</v>
      </c>
      <c r="C61" s="35">
        <v>9.2845999999999993</v>
      </c>
      <c r="D61" s="35">
        <v>6.3500000000000001E-2</v>
      </c>
      <c r="E61" s="36">
        <v>0.235929860311377</v>
      </c>
      <c r="F61" s="36">
        <v>7.53</v>
      </c>
      <c r="G61" s="36">
        <v>0.03</v>
      </c>
    </row>
    <row r="62" spans="1:7">
      <c r="A62" t="s">
        <v>17</v>
      </c>
      <c r="B62" s="34">
        <v>42125</v>
      </c>
      <c r="C62" s="35">
        <v>9.7987000000000002</v>
      </c>
      <c r="D62" s="35">
        <v>2.69E-2</v>
      </c>
      <c r="E62" s="36">
        <v>0.24597052332955299</v>
      </c>
      <c r="F62" s="36">
        <v>8.35</v>
      </c>
      <c r="G62" s="36">
        <v>0.03</v>
      </c>
    </row>
    <row r="63" spans="1:7">
      <c r="A63" t="s">
        <v>17</v>
      </c>
      <c r="B63" s="34">
        <v>42156</v>
      </c>
      <c r="C63" s="35">
        <v>0</v>
      </c>
      <c r="D63" s="35">
        <v>0</v>
      </c>
      <c r="E63" s="36">
        <v>0.283053241141691</v>
      </c>
      <c r="F63" s="37">
        <v>8.35</v>
      </c>
      <c r="G63" s="37">
        <v>0.03</v>
      </c>
    </row>
    <row r="64" spans="1:7">
      <c r="A64" t="s">
        <v>18</v>
      </c>
      <c r="B64" s="34">
        <v>41730</v>
      </c>
      <c r="C64" s="35">
        <v>14.718299999999999</v>
      </c>
      <c r="D64" s="35">
        <v>0</v>
      </c>
      <c r="E64" s="36">
        <v>0.125824980264575</v>
      </c>
      <c r="F64" s="36">
        <v>1.5</v>
      </c>
      <c r="G64" s="36">
        <v>0</v>
      </c>
    </row>
    <row r="65" spans="1:7">
      <c r="A65" t="s">
        <v>18</v>
      </c>
      <c r="B65" s="34">
        <v>41760</v>
      </c>
      <c r="C65" s="35">
        <v>8.6524000000000001</v>
      </c>
      <c r="D65" s="35">
        <v>0</v>
      </c>
      <c r="E65" s="36">
        <v>0.159444043323311</v>
      </c>
      <c r="F65" s="36">
        <v>2.34</v>
      </c>
      <c r="G65" s="36">
        <v>0</v>
      </c>
    </row>
    <row r="66" spans="1:7">
      <c r="A66" t="s">
        <v>18</v>
      </c>
      <c r="B66" s="34">
        <v>41791</v>
      </c>
      <c r="C66" s="35">
        <v>8.5411999999999999</v>
      </c>
      <c r="D66" s="35">
        <v>0</v>
      </c>
      <c r="E66" s="36">
        <v>0.162206789496806</v>
      </c>
      <c r="F66" s="36">
        <v>3.16</v>
      </c>
      <c r="G66" s="36">
        <v>0</v>
      </c>
    </row>
    <row r="67" spans="1:7">
      <c r="A67" t="s">
        <v>18</v>
      </c>
      <c r="B67" s="34">
        <v>41821</v>
      </c>
      <c r="C67" s="35">
        <v>7.7906000000000004</v>
      </c>
      <c r="D67" s="35">
        <v>4.2799999999999998E-2</v>
      </c>
      <c r="E67" s="36">
        <v>0.18349704792402902</v>
      </c>
      <c r="F67" s="36">
        <v>3.91</v>
      </c>
      <c r="G67" s="36">
        <v>0</v>
      </c>
    </row>
    <row r="68" spans="1:7">
      <c r="A68" t="s">
        <v>18</v>
      </c>
      <c r="B68" s="34">
        <v>41852</v>
      </c>
      <c r="C68" s="35">
        <v>7.0224000000000002</v>
      </c>
      <c r="D68" s="35">
        <v>3.3999999999999998E-3</v>
      </c>
      <c r="E68" s="36">
        <v>0.177433496993155</v>
      </c>
      <c r="F68" s="36">
        <v>4.5699999999999994</v>
      </c>
      <c r="G68" s="36">
        <v>0</v>
      </c>
    </row>
    <row r="69" spans="1:7">
      <c r="A69" t="s">
        <v>18</v>
      </c>
      <c r="B69" s="34">
        <v>41883</v>
      </c>
      <c r="C69" s="35">
        <v>7.5042999999999997</v>
      </c>
      <c r="D69" s="35">
        <v>3.9E-2</v>
      </c>
      <c r="E69" s="36">
        <v>0.22391729474885499</v>
      </c>
      <c r="F69" s="36">
        <v>5.27</v>
      </c>
      <c r="G69" s="36">
        <v>0</v>
      </c>
    </row>
    <row r="70" spans="1:7">
      <c r="A70" t="s">
        <v>18</v>
      </c>
      <c r="B70" s="34">
        <v>41913</v>
      </c>
      <c r="C70" s="35">
        <v>10.3561</v>
      </c>
      <c r="D70" s="35">
        <v>2.5000000000000001E-2</v>
      </c>
      <c r="E70" s="36">
        <v>0.23875834479081601</v>
      </c>
      <c r="F70" s="36">
        <v>6.2399999999999993</v>
      </c>
      <c r="G70" s="36">
        <v>0.01</v>
      </c>
    </row>
    <row r="71" spans="1:7">
      <c r="A71" t="s">
        <v>18</v>
      </c>
      <c r="B71" s="34">
        <v>41944</v>
      </c>
      <c r="C71" s="35">
        <v>11.3248</v>
      </c>
      <c r="D71" s="35">
        <v>2.2499999999999999E-2</v>
      </c>
      <c r="E71" s="36">
        <v>0.22911961585951199</v>
      </c>
      <c r="F71" s="36">
        <v>7.3</v>
      </c>
      <c r="G71" s="36">
        <v>0.01</v>
      </c>
    </row>
    <row r="72" spans="1:7">
      <c r="A72" t="s">
        <v>18</v>
      </c>
      <c r="B72" s="34">
        <v>41974</v>
      </c>
      <c r="C72" s="35">
        <v>9.6349999999999998</v>
      </c>
      <c r="D72" s="35">
        <v>3.2599999999999997E-2</v>
      </c>
      <c r="E72" s="36">
        <v>0.36134533615784098</v>
      </c>
      <c r="F72" s="36">
        <v>8.18</v>
      </c>
      <c r="G72" s="36">
        <v>0.01</v>
      </c>
    </row>
    <row r="73" spans="1:7">
      <c r="A73" t="s">
        <v>18</v>
      </c>
      <c r="B73" s="34">
        <v>42005</v>
      </c>
      <c r="C73" s="35">
        <v>17.597200000000001</v>
      </c>
      <c r="D73" s="35">
        <v>3.6299999999999999E-2</v>
      </c>
      <c r="E73" s="36">
        <v>0.28897348095416797</v>
      </c>
      <c r="F73" s="36">
        <v>9.84</v>
      </c>
      <c r="G73" s="36">
        <v>0.01</v>
      </c>
    </row>
    <row r="74" spans="1:7">
      <c r="A74" t="s">
        <v>18</v>
      </c>
      <c r="B74" s="34">
        <v>42036</v>
      </c>
      <c r="C74" s="35">
        <v>19.887699999999999</v>
      </c>
      <c r="D74" s="35">
        <v>3.4700000000000002E-2</v>
      </c>
      <c r="E74" s="36">
        <v>0.28917338018387501</v>
      </c>
      <c r="F74" s="36">
        <v>11.709999999999999</v>
      </c>
      <c r="G74" s="36">
        <v>0.02</v>
      </c>
    </row>
    <row r="75" spans="1:7">
      <c r="A75" t="s">
        <v>18</v>
      </c>
      <c r="B75" s="34">
        <v>42064</v>
      </c>
      <c r="C75" s="35">
        <v>13.9582</v>
      </c>
      <c r="D75" s="35">
        <v>4.1599999999999998E-2</v>
      </c>
      <c r="E75" s="36">
        <v>0.34767765375114001</v>
      </c>
      <c r="F75" s="36">
        <v>12.950000000000001</v>
      </c>
      <c r="G75" s="36">
        <v>0.02</v>
      </c>
    </row>
    <row r="76" spans="1:7">
      <c r="A76" t="s">
        <v>18</v>
      </c>
      <c r="B76" s="34">
        <v>42095</v>
      </c>
      <c r="C76" s="35">
        <v>13.7494</v>
      </c>
      <c r="D76" s="35">
        <v>5.2600000000000001E-2</v>
      </c>
      <c r="E76" s="36">
        <v>0.26331290473771801</v>
      </c>
      <c r="F76" s="36">
        <v>14.149999999999999</v>
      </c>
      <c r="G76" s="36">
        <v>0.02</v>
      </c>
    </row>
    <row r="77" spans="1:7">
      <c r="A77" t="s">
        <v>18</v>
      </c>
      <c r="B77" s="34">
        <v>42125</v>
      </c>
      <c r="C77" s="35">
        <v>13.478199999999999</v>
      </c>
      <c r="D77" s="35">
        <v>5.04E-2</v>
      </c>
      <c r="E77" s="36">
        <v>0.28994875935216796</v>
      </c>
      <c r="F77" s="36">
        <v>15.32</v>
      </c>
      <c r="G77" s="36">
        <v>0.03</v>
      </c>
    </row>
    <row r="78" spans="1:7">
      <c r="A78" t="s">
        <v>18</v>
      </c>
      <c r="B78" s="34">
        <v>42156</v>
      </c>
      <c r="C78" s="35">
        <v>0</v>
      </c>
      <c r="D78" s="35">
        <v>0</v>
      </c>
      <c r="E78" s="36">
        <v>0.34288805643157899</v>
      </c>
      <c r="F78" s="37">
        <v>15.32</v>
      </c>
      <c r="G78" s="37">
        <v>0.03</v>
      </c>
    </row>
    <row r="79" spans="1:7">
      <c r="A79" t="s">
        <v>19</v>
      </c>
      <c r="B79" s="34">
        <v>41852</v>
      </c>
      <c r="C79" s="35">
        <v>34.337400000000002</v>
      </c>
      <c r="D79" s="35">
        <v>0</v>
      </c>
      <c r="E79" s="36">
        <v>0.18750273449471</v>
      </c>
      <c r="F79" s="36">
        <v>4.38</v>
      </c>
      <c r="G79" s="36">
        <v>0</v>
      </c>
    </row>
    <row r="80" spans="1:7">
      <c r="A80" t="s">
        <v>19</v>
      </c>
      <c r="B80" s="34">
        <v>41883</v>
      </c>
      <c r="C80" s="35">
        <v>13.198499999999999</v>
      </c>
      <c r="D80" s="35">
        <v>0</v>
      </c>
      <c r="E80" s="36">
        <v>0.218480727059924</v>
      </c>
      <c r="F80" s="36">
        <v>5.81</v>
      </c>
      <c r="G80" s="36">
        <v>0</v>
      </c>
    </row>
    <row r="81" spans="1:7">
      <c r="A81" t="s">
        <v>19</v>
      </c>
      <c r="B81" s="34">
        <v>41913</v>
      </c>
      <c r="C81" s="35">
        <v>22.500599999999999</v>
      </c>
      <c r="D81" s="35">
        <v>0</v>
      </c>
      <c r="E81" s="36">
        <v>0.256334747836789</v>
      </c>
      <c r="F81" s="36">
        <v>8.36</v>
      </c>
      <c r="G81" s="36">
        <v>0</v>
      </c>
    </row>
    <row r="82" spans="1:7">
      <c r="A82" t="s">
        <v>19</v>
      </c>
      <c r="B82" s="34">
        <v>41944</v>
      </c>
      <c r="C82" s="35">
        <v>22.5213</v>
      </c>
      <c r="D82" s="35">
        <v>4.2700000000000002E-2</v>
      </c>
      <c r="E82" s="36">
        <v>0.25782310018865501</v>
      </c>
      <c r="F82" s="36">
        <v>10.84</v>
      </c>
      <c r="G82" s="36">
        <v>0</v>
      </c>
    </row>
    <row r="83" spans="1:7">
      <c r="A83" t="s">
        <v>19</v>
      </c>
      <c r="B83" s="34">
        <v>41974</v>
      </c>
      <c r="C83" s="35">
        <v>19.411799999999999</v>
      </c>
      <c r="D83" s="35">
        <v>0</v>
      </c>
      <c r="E83" s="36">
        <v>0.41618114863963895</v>
      </c>
      <c r="F83" s="36">
        <v>12.9</v>
      </c>
      <c r="G83" s="36">
        <v>0</v>
      </c>
    </row>
    <row r="84" spans="1:7">
      <c r="A84" t="s">
        <v>19</v>
      </c>
      <c r="B84" s="34">
        <v>42005</v>
      </c>
      <c r="C84" s="35">
        <v>37.158299999999997</v>
      </c>
      <c r="D84" s="35">
        <v>4.1000000000000002E-2</v>
      </c>
      <c r="E84" s="36">
        <v>0.36901987117811802</v>
      </c>
      <c r="F84" s="36">
        <v>17.2</v>
      </c>
      <c r="G84" s="36">
        <v>0</v>
      </c>
    </row>
    <row r="85" spans="1:7">
      <c r="A85" t="s">
        <v>19</v>
      </c>
      <c r="B85" s="34">
        <v>42036</v>
      </c>
      <c r="C85" s="35">
        <v>38.846600000000002</v>
      </c>
      <c r="D85" s="35">
        <v>4.6100000000000002E-2</v>
      </c>
      <c r="E85" s="36">
        <v>0.39045994484270097</v>
      </c>
      <c r="F85" s="36">
        <v>21.560000000000002</v>
      </c>
      <c r="G85" s="36">
        <v>0.01</v>
      </c>
    </row>
    <row r="86" spans="1:7">
      <c r="A86" t="s">
        <v>19</v>
      </c>
      <c r="B86" s="34">
        <v>42064</v>
      </c>
      <c r="C86" s="35">
        <v>27.4253</v>
      </c>
      <c r="D86" s="35">
        <v>9.6799999999999997E-2</v>
      </c>
      <c r="E86" s="36">
        <v>0.49454945394582694</v>
      </c>
      <c r="F86" s="36">
        <v>24.3</v>
      </c>
      <c r="G86" s="36">
        <v>0.02</v>
      </c>
    </row>
    <row r="87" spans="1:7">
      <c r="A87" t="s">
        <v>19</v>
      </c>
      <c r="B87" s="34">
        <v>42095</v>
      </c>
      <c r="C87" s="35">
        <v>24.923400000000001</v>
      </c>
      <c r="D87" s="35">
        <v>5.9700000000000003E-2</v>
      </c>
      <c r="E87" s="36">
        <v>0.40934867388750701</v>
      </c>
      <c r="F87" s="36">
        <v>26.69</v>
      </c>
      <c r="G87" s="36">
        <v>0.02</v>
      </c>
    </row>
    <row r="88" spans="1:7">
      <c r="A88" t="s">
        <v>19</v>
      </c>
      <c r="B88" s="34">
        <v>42125</v>
      </c>
      <c r="C88" s="35">
        <v>21.3535</v>
      </c>
      <c r="D88" s="35">
        <v>0.1091</v>
      </c>
      <c r="E88" s="36">
        <v>0.41318942079793203</v>
      </c>
      <c r="F88" s="36">
        <v>28.64</v>
      </c>
      <c r="G88" s="36">
        <v>0.03</v>
      </c>
    </row>
    <row r="89" spans="1:7">
      <c r="A89" t="s">
        <v>19</v>
      </c>
      <c r="B89" s="34">
        <v>42156</v>
      </c>
      <c r="C89" s="35">
        <v>0</v>
      </c>
      <c r="D89" s="35">
        <v>0</v>
      </c>
      <c r="E89" s="36">
        <v>0.532332738514399</v>
      </c>
      <c r="F89" s="37">
        <v>28.64</v>
      </c>
      <c r="G89" s="37">
        <v>0.03</v>
      </c>
    </row>
    <row r="90" spans="1:7">
      <c r="A90" t="s">
        <v>20</v>
      </c>
      <c r="B90" s="34">
        <v>41883</v>
      </c>
      <c r="C90" s="35">
        <v>13.3165</v>
      </c>
      <c r="D90" s="35">
        <v>0</v>
      </c>
      <c r="E90" s="36">
        <v>0</v>
      </c>
      <c r="F90" s="36">
        <v>1.46</v>
      </c>
      <c r="G90" s="36">
        <v>0</v>
      </c>
    </row>
    <row r="91" spans="1:7">
      <c r="A91" t="s">
        <v>20</v>
      </c>
      <c r="B91" s="34">
        <v>41913</v>
      </c>
      <c r="C91" s="35">
        <v>22.260400000000001</v>
      </c>
      <c r="D91" s="35">
        <v>0</v>
      </c>
      <c r="E91" s="36">
        <v>0.19170658184365799</v>
      </c>
      <c r="F91" s="36">
        <v>3.9800000000000004</v>
      </c>
      <c r="G91" s="36">
        <v>0</v>
      </c>
    </row>
    <row r="92" spans="1:7">
      <c r="A92" t="s">
        <v>20</v>
      </c>
      <c r="B92" s="34">
        <v>41944</v>
      </c>
      <c r="C92" s="35">
        <v>21.629799999999999</v>
      </c>
      <c r="D92" s="35">
        <v>0</v>
      </c>
      <c r="E92" s="36">
        <v>0.173821680992786</v>
      </c>
      <c r="F92" s="36">
        <v>6.370000000000001</v>
      </c>
      <c r="G92" s="36">
        <v>0</v>
      </c>
    </row>
    <row r="93" spans="1:7">
      <c r="A93" t="s">
        <v>20</v>
      </c>
      <c r="B93" s="34">
        <v>41974</v>
      </c>
      <c r="C93" s="35">
        <v>21.002500000000001</v>
      </c>
      <c r="D93" s="35">
        <v>0</v>
      </c>
      <c r="E93" s="36">
        <v>0.35413995458346703</v>
      </c>
      <c r="F93" s="36">
        <v>8.6300000000000008</v>
      </c>
      <c r="G93" s="36">
        <v>0</v>
      </c>
    </row>
    <row r="94" spans="1:7">
      <c r="A94" t="s">
        <v>20</v>
      </c>
      <c r="B94" s="34">
        <v>42005</v>
      </c>
      <c r="C94" s="35">
        <v>35.541899999999998</v>
      </c>
      <c r="D94" s="35">
        <v>0</v>
      </c>
      <c r="E94" s="36">
        <v>0.27748621000516899</v>
      </c>
      <c r="F94" s="36">
        <v>12.72</v>
      </c>
      <c r="G94" s="36">
        <v>0</v>
      </c>
    </row>
    <row r="95" spans="1:7">
      <c r="A95" t="s">
        <v>20</v>
      </c>
      <c r="B95" s="34">
        <v>42036</v>
      </c>
      <c r="C95" s="35">
        <v>41.523499999999999</v>
      </c>
      <c r="D95" s="35">
        <v>1.9099999999999999E-2</v>
      </c>
      <c r="E95" s="36">
        <v>0.30916978033754999</v>
      </c>
      <c r="F95" s="36">
        <v>17.510000000000002</v>
      </c>
      <c r="G95" s="36">
        <v>0</v>
      </c>
    </row>
    <row r="96" spans="1:7">
      <c r="A96" t="s">
        <v>20</v>
      </c>
      <c r="B96" s="34">
        <v>42064</v>
      </c>
      <c r="C96" s="35">
        <v>27.0959</v>
      </c>
      <c r="D96" s="35">
        <v>0</v>
      </c>
      <c r="E96" s="36">
        <v>0.42376432266131597</v>
      </c>
      <c r="F96" s="36">
        <v>20.23</v>
      </c>
      <c r="G96" s="36">
        <v>0</v>
      </c>
    </row>
    <row r="97" spans="1:7">
      <c r="A97" t="s">
        <v>20</v>
      </c>
      <c r="B97" s="34">
        <v>42095</v>
      </c>
      <c r="C97" s="35">
        <v>23.529800000000002</v>
      </c>
      <c r="D97" s="35">
        <v>6.83E-2</v>
      </c>
      <c r="E97" s="36">
        <v>0.35782370579607603</v>
      </c>
      <c r="F97" s="36">
        <v>22.470000000000002</v>
      </c>
      <c r="G97" s="36">
        <v>0</v>
      </c>
    </row>
    <row r="98" spans="1:7">
      <c r="A98" t="s">
        <v>20</v>
      </c>
      <c r="B98" s="34">
        <v>42125</v>
      </c>
      <c r="C98" s="35">
        <v>22.621600000000001</v>
      </c>
      <c r="D98" s="35">
        <v>5.1000000000000004E-3</v>
      </c>
      <c r="E98" s="36">
        <v>0.390627776894863</v>
      </c>
      <c r="F98" s="36">
        <v>24.57</v>
      </c>
      <c r="G98" s="36">
        <v>0</v>
      </c>
    </row>
    <row r="99" spans="1:7">
      <c r="A99" t="s">
        <v>20</v>
      </c>
      <c r="B99" s="34">
        <v>42156</v>
      </c>
      <c r="C99" s="35">
        <v>0</v>
      </c>
      <c r="D99" s="35">
        <v>0</v>
      </c>
      <c r="E99" s="36">
        <v>0.47030986431971999</v>
      </c>
      <c r="F99" s="37">
        <v>24.57</v>
      </c>
      <c r="G99" s="37">
        <v>0</v>
      </c>
    </row>
    <row r="100" spans="1:7">
      <c r="A100" t="s">
        <v>21</v>
      </c>
      <c r="B100" s="34">
        <v>41852</v>
      </c>
      <c r="C100" s="35">
        <v>26.836099999999998</v>
      </c>
      <c r="D100" s="35">
        <v>0</v>
      </c>
      <c r="E100" s="36">
        <v>0.17774701574957899</v>
      </c>
      <c r="F100" s="36">
        <v>3.1199999999999997</v>
      </c>
      <c r="G100" s="36">
        <v>0</v>
      </c>
    </row>
    <row r="101" spans="1:7">
      <c r="A101" t="s">
        <v>21</v>
      </c>
      <c r="B101" s="34">
        <v>41883</v>
      </c>
      <c r="C101" s="35">
        <v>11.3437</v>
      </c>
      <c r="D101" s="35">
        <v>0</v>
      </c>
      <c r="E101" s="36">
        <v>0.26546245827528098</v>
      </c>
      <c r="F101" s="36">
        <v>4.3</v>
      </c>
      <c r="G101" s="36">
        <v>0</v>
      </c>
    </row>
    <row r="102" spans="1:7">
      <c r="A102" t="s">
        <v>21</v>
      </c>
      <c r="B102" s="34">
        <v>41913</v>
      </c>
      <c r="C102" s="35">
        <v>17.6995</v>
      </c>
      <c r="D102" s="35">
        <v>0</v>
      </c>
      <c r="E102" s="36">
        <v>0.30729143052024899</v>
      </c>
      <c r="F102" s="36">
        <v>6.18</v>
      </c>
      <c r="G102" s="36">
        <v>0</v>
      </c>
    </row>
    <row r="103" spans="1:7">
      <c r="A103" t="s">
        <v>21</v>
      </c>
      <c r="B103" s="34">
        <v>41944</v>
      </c>
      <c r="C103" s="35">
        <v>18.272500000000001</v>
      </c>
      <c r="D103" s="35">
        <v>4.3099999999999999E-2</v>
      </c>
      <c r="E103" s="36">
        <v>0.35378818839678899</v>
      </c>
      <c r="F103" s="36">
        <v>8.09</v>
      </c>
      <c r="G103" s="36">
        <v>0</v>
      </c>
    </row>
    <row r="104" spans="1:7">
      <c r="A104" t="s">
        <v>21</v>
      </c>
      <c r="B104" s="34">
        <v>41974</v>
      </c>
      <c r="C104" s="35">
        <v>15.596500000000001</v>
      </c>
      <c r="D104" s="35">
        <v>0.1948</v>
      </c>
      <c r="E104" s="36">
        <v>0.51635036194168704</v>
      </c>
      <c r="F104" s="36">
        <v>9.67</v>
      </c>
      <c r="G104" s="36">
        <v>0.02</v>
      </c>
    </row>
    <row r="105" spans="1:7">
      <c r="A105" t="s">
        <v>21</v>
      </c>
      <c r="B105" s="34">
        <v>42005</v>
      </c>
      <c r="C105" s="35">
        <v>30.398</v>
      </c>
      <c r="D105" s="35">
        <v>0</v>
      </c>
      <c r="E105" s="36">
        <v>0.426063121324534</v>
      </c>
      <c r="F105" s="36">
        <v>12.97</v>
      </c>
      <c r="G105" s="36">
        <v>0.02</v>
      </c>
    </row>
    <row r="106" spans="1:7">
      <c r="A106" t="s">
        <v>21</v>
      </c>
      <c r="B106" s="34">
        <v>42036</v>
      </c>
      <c r="C106" s="35">
        <v>33.429000000000002</v>
      </c>
      <c r="D106" s="35">
        <v>0.1084</v>
      </c>
      <c r="E106" s="36">
        <v>0.53237138676784901</v>
      </c>
      <c r="F106" s="36">
        <v>16.54</v>
      </c>
      <c r="G106" s="36">
        <v>0.03</v>
      </c>
    </row>
    <row r="107" spans="1:7">
      <c r="A107" t="s">
        <v>21</v>
      </c>
      <c r="B107" s="34">
        <v>42064</v>
      </c>
      <c r="C107" s="35">
        <v>22.344000000000001</v>
      </c>
      <c r="D107" s="35">
        <v>0.1807</v>
      </c>
      <c r="E107" s="36">
        <v>0.58858695835742603</v>
      </c>
      <c r="F107" s="36">
        <v>18.7</v>
      </c>
      <c r="G107" s="36">
        <v>0.04</v>
      </c>
    </row>
    <row r="108" spans="1:7">
      <c r="A108" t="s">
        <v>21</v>
      </c>
      <c r="B108" s="34">
        <v>42095</v>
      </c>
      <c r="C108" s="35">
        <v>21.953800000000001</v>
      </c>
      <c r="D108" s="35">
        <v>0.22869999999999999</v>
      </c>
      <c r="E108" s="36">
        <v>0.42740795025214895</v>
      </c>
      <c r="F108" s="36">
        <v>20.77</v>
      </c>
      <c r="G108" s="36">
        <v>0.06</v>
      </c>
    </row>
    <row r="109" spans="1:7">
      <c r="A109" t="s">
        <v>21</v>
      </c>
      <c r="B109" s="34">
        <v>42125</v>
      </c>
      <c r="C109" s="35">
        <v>21.616299999999999</v>
      </c>
      <c r="D109" s="35">
        <v>6.4899999999999999E-2</v>
      </c>
      <c r="E109" s="36">
        <v>0.51322419447953493</v>
      </c>
      <c r="F109" s="36">
        <v>22.759999999999998</v>
      </c>
      <c r="G109" s="36">
        <v>6.9999999999999993E-2</v>
      </c>
    </row>
    <row r="110" spans="1:7">
      <c r="A110" t="s">
        <v>21</v>
      </c>
      <c r="B110" s="34">
        <v>42156</v>
      </c>
      <c r="C110" s="35">
        <v>0</v>
      </c>
      <c r="D110" s="35">
        <v>0</v>
      </c>
      <c r="E110" s="36">
        <v>0.61644989212499102</v>
      </c>
      <c r="F110" s="37">
        <v>22.759999999999998</v>
      </c>
      <c r="G110" s="37">
        <v>6.9999999999999993E-2</v>
      </c>
    </row>
    <row r="111" spans="1:7">
      <c r="A111" t="s">
        <v>22</v>
      </c>
      <c r="B111" s="34">
        <v>41883</v>
      </c>
      <c r="C111" s="35">
        <v>17.9786</v>
      </c>
      <c r="D111" s="35">
        <v>6.1999999999999998E-3</v>
      </c>
      <c r="E111" s="36">
        <v>0.19867683813505799</v>
      </c>
      <c r="F111" s="36">
        <v>1.73</v>
      </c>
      <c r="G111" s="36">
        <v>0</v>
      </c>
    </row>
    <row r="112" spans="1:7">
      <c r="A112" t="s">
        <v>22</v>
      </c>
      <c r="B112" s="34">
        <v>41913</v>
      </c>
      <c r="C112" s="35">
        <v>7.1130000000000004</v>
      </c>
      <c r="D112" s="35">
        <v>0</v>
      </c>
      <c r="E112" s="36">
        <v>0.19704739462751297</v>
      </c>
      <c r="F112" s="36">
        <v>2.37</v>
      </c>
      <c r="G112" s="36">
        <v>0</v>
      </c>
    </row>
    <row r="113" spans="1:7">
      <c r="A113" t="s">
        <v>22</v>
      </c>
      <c r="B113" s="34">
        <v>41944</v>
      </c>
      <c r="C113" s="35">
        <v>7.6486000000000001</v>
      </c>
      <c r="D113" s="35">
        <v>0</v>
      </c>
      <c r="E113" s="36">
        <v>0.182791002941537</v>
      </c>
      <c r="F113" s="36">
        <v>3.06</v>
      </c>
      <c r="G113" s="36">
        <v>0</v>
      </c>
    </row>
    <row r="114" spans="1:7">
      <c r="A114" t="s">
        <v>22</v>
      </c>
      <c r="B114" s="34">
        <v>41974</v>
      </c>
      <c r="C114" s="35">
        <v>6.3979999999999997</v>
      </c>
      <c r="D114" s="35">
        <v>2.5999999999999999E-2</v>
      </c>
      <c r="E114" s="36">
        <v>0.31173836097395097</v>
      </c>
      <c r="F114" s="36">
        <v>3.62</v>
      </c>
      <c r="G114" s="36">
        <v>0</v>
      </c>
    </row>
    <row r="115" spans="1:7">
      <c r="A115" t="s">
        <v>22</v>
      </c>
      <c r="B115" s="34">
        <v>42005</v>
      </c>
      <c r="C115" s="35">
        <v>11.402200000000001</v>
      </c>
      <c r="D115" s="35">
        <v>6.5199999999999994E-2</v>
      </c>
      <c r="E115" s="36">
        <v>0.25871680534557295</v>
      </c>
      <c r="F115" s="36">
        <v>4.6399999999999997</v>
      </c>
      <c r="G115" s="36">
        <v>0</v>
      </c>
    </row>
    <row r="116" spans="1:7">
      <c r="A116" t="s">
        <v>22</v>
      </c>
      <c r="B116" s="34">
        <v>42036</v>
      </c>
      <c r="C116" s="35">
        <v>14.1052</v>
      </c>
      <c r="D116" s="35">
        <v>8.3799999999999999E-2</v>
      </c>
      <c r="E116" s="36">
        <v>0.29512584597165203</v>
      </c>
      <c r="F116" s="36">
        <v>5.91</v>
      </c>
      <c r="G116" s="36">
        <v>0.01</v>
      </c>
    </row>
    <row r="117" spans="1:7">
      <c r="A117" t="s">
        <v>22</v>
      </c>
      <c r="B117" s="34">
        <v>42064</v>
      </c>
      <c r="C117" s="35">
        <v>12.1469</v>
      </c>
      <c r="D117" s="35">
        <v>0.06</v>
      </c>
      <c r="E117" s="36">
        <v>0.341203728538442</v>
      </c>
      <c r="F117" s="36">
        <v>6.97</v>
      </c>
      <c r="G117" s="36">
        <v>0.02</v>
      </c>
    </row>
    <row r="118" spans="1:7">
      <c r="A118" t="s">
        <v>22</v>
      </c>
      <c r="B118" s="34">
        <v>42095</v>
      </c>
      <c r="C118" s="35">
        <v>12.386200000000001</v>
      </c>
      <c r="D118" s="35">
        <v>6.0499999999999998E-2</v>
      </c>
      <c r="E118" s="36">
        <v>0.25385131985243703</v>
      </c>
      <c r="F118" s="36">
        <v>8.0500000000000007</v>
      </c>
      <c r="G118" s="36">
        <v>0.02</v>
      </c>
    </row>
    <row r="119" spans="1:7">
      <c r="A119" t="s">
        <v>22</v>
      </c>
      <c r="B119" s="34">
        <v>42125</v>
      </c>
      <c r="C119" s="35">
        <v>12.855</v>
      </c>
      <c r="D119" s="35">
        <v>6.08E-2</v>
      </c>
      <c r="E119" s="36">
        <v>0.29648472609394599</v>
      </c>
      <c r="F119" s="36">
        <v>9.15</v>
      </c>
      <c r="G119" s="36">
        <v>0.03</v>
      </c>
    </row>
    <row r="120" spans="1:7">
      <c r="A120" t="s">
        <v>22</v>
      </c>
      <c r="B120" s="34">
        <v>42156</v>
      </c>
      <c r="C120" s="35">
        <v>0</v>
      </c>
      <c r="D120" s="35">
        <v>0</v>
      </c>
      <c r="E120" s="36">
        <v>0.376515711270408</v>
      </c>
      <c r="F120" s="37">
        <v>9.15</v>
      </c>
      <c r="G120" s="37">
        <v>0.03</v>
      </c>
    </row>
    <row r="121" spans="1:7">
      <c r="A121" t="s">
        <v>23</v>
      </c>
      <c r="B121" s="34">
        <v>41883</v>
      </c>
      <c r="C121" s="35">
        <v>7.9057000000000004</v>
      </c>
      <c r="D121" s="35">
        <v>0</v>
      </c>
      <c r="E121" s="36">
        <v>0</v>
      </c>
      <c r="F121" s="36">
        <v>0.8</v>
      </c>
      <c r="G121" s="36">
        <v>0</v>
      </c>
    </row>
    <row r="122" spans="1:7">
      <c r="A122" t="s">
        <v>23</v>
      </c>
      <c r="B122" s="34">
        <v>41913</v>
      </c>
      <c r="C122" s="35">
        <v>16.529800000000002</v>
      </c>
      <c r="D122" s="35">
        <v>0</v>
      </c>
      <c r="E122" s="36">
        <v>0.166233034743174</v>
      </c>
      <c r="F122" s="36">
        <v>2.5299999999999998</v>
      </c>
      <c r="G122" s="36">
        <v>0</v>
      </c>
    </row>
    <row r="123" spans="1:7">
      <c r="A123" t="s">
        <v>23</v>
      </c>
      <c r="B123" s="34">
        <v>41944</v>
      </c>
      <c r="C123" s="35">
        <v>14.737299999999999</v>
      </c>
      <c r="D123" s="35">
        <v>0</v>
      </c>
      <c r="E123" s="36">
        <v>0.18127235784901399</v>
      </c>
      <c r="F123" s="36">
        <v>4.04</v>
      </c>
      <c r="G123" s="36">
        <v>0</v>
      </c>
    </row>
    <row r="124" spans="1:7">
      <c r="A124" t="s">
        <v>23</v>
      </c>
      <c r="B124" s="34">
        <v>41974</v>
      </c>
      <c r="C124" s="35">
        <v>15.9307</v>
      </c>
      <c r="D124" s="35">
        <v>0</v>
      </c>
      <c r="E124" s="36">
        <v>0.32100016355282601</v>
      </c>
      <c r="F124" s="36">
        <v>5.66</v>
      </c>
      <c r="G124" s="36">
        <v>0</v>
      </c>
    </row>
    <row r="125" spans="1:7">
      <c r="A125" t="s">
        <v>23</v>
      </c>
      <c r="B125" s="34">
        <v>42005</v>
      </c>
      <c r="C125" s="35">
        <v>28.165900000000001</v>
      </c>
      <c r="D125" s="35">
        <v>0</v>
      </c>
      <c r="E125" s="36">
        <v>0.34388182085411201</v>
      </c>
      <c r="F125" s="36">
        <v>8.67</v>
      </c>
      <c r="G125" s="36">
        <v>0</v>
      </c>
    </row>
    <row r="126" spans="1:7">
      <c r="A126" t="s">
        <v>23</v>
      </c>
      <c r="B126" s="34">
        <v>42036</v>
      </c>
      <c r="C126" s="35">
        <v>34.780200000000001</v>
      </c>
      <c r="D126" s="35">
        <v>0.18659999999999999</v>
      </c>
      <c r="E126" s="36">
        <v>0.41123124381280396</v>
      </c>
      <c r="F126" s="36">
        <v>12.44</v>
      </c>
      <c r="G126" s="36">
        <v>0.01</v>
      </c>
    </row>
    <row r="127" spans="1:7">
      <c r="A127" t="s">
        <v>23</v>
      </c>
      <c r="B127" s="34">
        <v>42064</v>
      </c>
      <c r="C127" s="35">
        <v>22.173100000000002</v>
      </c>
      <c r="D127" s="35">
        <v>0.1017</v>
      </c>
      <c r="E127" s="36">
        <v>0.50680743447907906</v>
      </c>
      <c r="F127" s="36">
        <v>14.580000000000002</v>
      </c>
      <c r="G127" s="36">
        <v>0.02</v>
      </c>
    </row>
    <row r="128" spans="1:7">
      <c r="A128" t="s">
        <v>23</v>
      </c>
      <c r="B128" s="34">
        <v>42095</v>
      </c>
      <c r="C128" s="35">
        <v>20.960100000000001</v>
      </c>
      <c r="D128" s="35">
        <v>0.1095</v>
      </c>
      <c r="E128" s="36">
        <v>0.37748294798205301</v>
      </c>
      <c r="F128" s="36">
        <v>16.55</v>
      </c>
      <c r="G128" s="36">
        <v>0.03</v>
      </c>
    </row>
    <row r="129" spans="1:7">
      <c r="A129" t="s">
        <v>23</v>
      </c>
      <c r="B129" s="34">
        <v>42125</v>
      </c>
      <c r="C129" s="35">
        <v>19.663900000000002</v>
      </c>
      <c r="D129" s="35">
        <v>0.1643</v>
      </c>
      <c r="E129" s="36">
        <v>0.44673961711471694</v>
      </c>
      <c r="F129" s="36">
        <v>18.34</v>
      </c>
      <c r="G129" s="36">
        <v>0.04</v>
      </c>
    </row>
    <row r="130" spans="1:7">
      <c r="A130" t="s">
        <v>23</v>
      </c>
      <c r="B130" s="34">
        <v>42156</v>
      </c>
      <c r="C130" s="35">
        <v>0</v>
      </c>
      <c r="D130" s="35">
        <v>0</v>
      </c>
      <c r="E130" s="36">
        <v>0.59045563730843498</v>
      </c>
      <c r="F130" s="37">
        <v>18.34</v>
      </c>
      <c r="G130" s="37">
        <v>0.04</v>
      </c>
    </row>
    <row r="131" spans="1:7">
      <c r="A131" t="s">
        <v>24</v>
      </c>
      <c r="B131" s="34">
        <v>42005</v>
      </c>
      <c r="C131" s="35">
        <v>51.978200000000001</v>
      </c>
      <c r="D131" s="35">
        <v>0</v>
      </c>
      <c r="E131" s="36">
        <v>0.159228640865899</v>
      </c>
      <c r="F131" s="36">
        <v>6.87</v>
      </c>
      <c r="G131" s="36">
        <v>0</v>
      </c>
    </row>
    <row r="132" spans="1:7">
      <c r="A132" t="s">
        <v>24</v>
      </c>
      <c r="B132" s="34">
        <v>42036</v>
      </c>
      <c r="C132" s="35">
        <v>37.950000000000003</v>
      </c>
      <c r="D132" s="35">
        <v>0</v>
      </c>
      <c r="E132" s="36">
        <v>0.17318346328686801</v>
      </c>
      <c r="F132" s="36">
        <v>11.110000000000001</v>
      </c>
      <c r="G132" s="36">
        <v>0</v>
      </c>
    </row>
    <row r="133" spans="1:7">
      <c r="A133" t="s">
        <v>24</v>
      </c>
      <c r="B133" s="34">
        <v>42064</v>
      </c>
      <c r="C133" s="35">
        <v>23.9587</v>
      </c>
      <c r="D133" s="35">
        <v>0</v>
      </c>
      <c r="E133" s="36">
        <v>0.342220498640191</v>
      </c>
      <c r="F133" s="36">
        <v>13.469999999999999</v>
      </c>
      <c r="G133" s="36">
        <v>0</v>
      </c>
    </row>
    <row r="134" spans="1:7">
      <c r="A134" t="s">
        <v>24</v>
      </c>
      <c r="B134" s="34">
        <v>42095</v>
      </c>
      <c r="C134" s="35">
        <v>22.691099999999999</v>
      </c>
      <c r="D134" s="35">
        <v>0</v>
      </c>
      <c r="E134" s="36">
        <v>0.21156629027363499</v>
      </c>
      <c r="F134" s="36">
        <v>15.629999999999999</v>
      </c>
      <c r="G134" s="36">
        <v>0</v>
      </c>
    </row>
    <row r="135" spans="1:7">
      <c r="A135" t="s">
        <v>24</v>
      </c>
      <c r="B135" s="34">
        <v>42125</v>
      </c>
      <c r="C135" s="35">
        <v>19.299199999999999</v>
      </c>
      <c r="D135" s="35">
        <v>2.7900000000000001E-2</v>
      </c>
      <c r="E135" s="36">
        <v>0.27772949574741501</v>
      </c>
      <c r="F135" s="36">
        <v>17.39</v>
      </c>
      <c r="G135" s="36">
        <v>0</v>
      </c>
    </row>
    <row r="136" spans="1:7">
      <c r="A136" t="s">
        <v>24</v>
      </c>
      <c r="B136" s="34">
        <v>42156</v>
      </c>
      <c r="C136" s="35">
        <v>0</v>
      </c>
      <c r="D136" s="35">
        <v>0</v>
      </c>
      <c r="E136" s="36">
        <v>0.35491638964424999</v>
      </c>
      <c r="F136" s="37">
        <v>17.39</v>
      </c>
      <c r="G136" s="37">
        <v>0</v>
      </c>
    </row>
    <row r="137" spans="1:7">
      <c r="A137" t="s">
        <v>25</v>
      </c>
      <c r="B137" s="34">
        <v>42095</v>
      </c>
      <c r="C137" s="35">
        <v>16.482600000000001</v>
      </c>
      <c r="D137" s="35">
        <v>0</v>
      </c>
      <c r="E137" s="36">
        <v>5.5999090056126306E-2</v>
      </c>
      <c r="F137" s="36">
        <v>1.43</v>
      </c>
      <c r="G137" s="36">
        <v>0</v>
      </c>
    </row>
    <row r="138" spans="1:7">
      <c r="A138" t="s">
        <v>25</v>
      </c>
      <c r="B138" s="34">
        <v>42125</v>
      </c>
      <c r="C138" s="35">
        <v>10.3049</v>
      </c>
      <c r="D138" s="35">
        <v>0</v>
      </c>
      <c r="E138" s="36">
        <v>7.6209042857628501E-2</v>
      </c>
      <c r="F138" s="36">
        <v>2.29</v>
      </c>
      <c r="G138" s="36">
        <v>0</v>
      </c>
    </row>
    <row r="139" spans="1:7">
      <c r="A139" t="s">
        <v>25</v>
      </c>
      <c r="B139" s="34">
        <v>42156</v>
      </c>
      <c r="C139" s="35">
        <v>0</v>
      </c>
      <c r="D139" s="35">
        <v>0</v>
      </c>
      <c r="E139" s="36">
        <v>0.11834858248674</v>
      </c>
      <c r="F139" s="37">
        <v>2.29</v>
      </c>
      <c r="G139" s="37">
        <v>0</v>
      </c>
    </row>
    <row r="140" spans="1:7">
      <c r="A140" t="s">
        <v>37</v>
      </c>
      <c r="B140" s="34">
        <v>42156</v>
      </c>
      <c r="C140" s="35">
        <v>0</v>
      </c>
      <c r="D140" s="35">
        <v>0</v>
      </c>
      <c r="E140" s="36">
        <v>0.17926947193298801</v>
      </c>
      <c r="F140" s="37">
        <v>1.37</v>
      </c>
      <c r="G140" s="37">
        <v>0</v>
      </c>
    </row>
    <row r="141" spans="1:7">
      <c r="A141" t="s">
        <v>26</v>
      </c>
      <c r="B141" s="34">
        <v>42064</v>
      </c>
      <c r="C141" s="35">
        <v>39.482300000000002</v>
      </c>
      <c r="D141" s="35">
        <v>0</v>
      </c>
      <c r="E141" s="36">
        <v>0.20324079350067201</v>
      </c>
      <c r="F141" s="36">
        <v>4.32</v>
      </c>
      <c r="G141" s="36">
        <v>0</v>
      </c>
    </row>
    <row r="142" spans="1:7">
      <c r="A142" t="s">
        <v>26</v>
      </c>
      <c r="B142" s="34">
        <v>42095</v>
      </c>
      <c r="C142" s="35">
        <v>17.138100000000001</v>
      </c>
      <c r="D142" s="35">
        <v>0</v>
      </c>
      <c r="E142" s="36">
        <v>0.168899070331161</v>
      </c>
      <c r="F142" s="36">
        <v>5.8999999999999995</v>
      </c>
      <c r="G142" s="36">
        <v>0</v>
      </c>
    </row>
    <row r="143" spans="1:7">
      <c r="A143" t="s">
        <v>26</v>
      </c>
      <c r="B143" s="34">
        <v>42125</v>
      </c>
      <c r="C143" s="35">
        <v>15.325200000000001</v>
      </c>
      <c r="D143" s="35">
        <v>0</v>
      </c>
      <c r="E143" s="36">
        <v>0.19443009127071501</v>
      </c>
      <c r="F143" s="36">
        <v>7.26</v>
      </c>
      <c r="G143" s="36">
        <v>0</v>
      </c>
    </row>
    <row r="144" spans="1:7">
      <c r="A144" t="s">
        <v>26</v>
      </c>
      <c r="B144" s="34">
        <v>42156</v>
      </c>
      <c r="C144" s="35">
        <v>0</v>
      </c>
      <c r="D144" s="35">
        <v>0</v>
      </c>
      <c r="E144" s="36">
        <v>0.26498330954823002</v>
      </c>
      <c r="F144" s="37">
        <v>7.26</v>
      </c>
      <c r="G144" s="37">
        <v>0</v>
      </c>
    </row>
    <row r="145" spans="1:7">
      <c r="A145" t="s">
        <v>27</v>
      </c>
      <c r="B145" s="34">
        <v>42095</v>
      </c>
      <c r="C145" s="35">
        <v>12.428100000000001</v>
      </c>
      <c r="D145" s="35">
        <v>0</v>
      </c>
      <c r="E145" s="36">
        <v>0</v>
      </c>
      <c r="F145" s="36">
        <v>1.0699999999999998</v>
      </c>
      <c r="G145" s="36">
        <v>0</v>
      </c>
    </row>
    <row r="146" spans="1:7">
      <c r="A146" t="s">
        <v>27</v>
      </c>
      <c r="B146" s="34">
        <v>42125</v>
      </c>
      <c r="C146" s="35">
        <v>12.8009</v>
      </c>
      <c r="D146" s="35">
        <v>0</v>
      </c>
      <c r="E146" s="36">
        <v>0.10399318474289801</v>
      </c>
      <c r="F146" s="36">
        <v>2.17</v>
      </c>
      <c r="G146" s="36">
        <v>0</v>
      </c>
    </row>
    <row r="147" spans="1:7">
      <c r="A147" t="s">
        <v>27</v>
      </c>
      <c r="B147" s="34">
        <v>42156</v>
      </c>
      <c r="C147" s="35">
        <v>0</v>
      </c>
      <c r="D147" s="35">
        <v>0</v>
      </c>
      <c r="E147" s="36">
        <v>0.16668659441076</v>
      </c>
      <c r="F147" s="37">
        <v>2.17</v>
      </c>
      <c r="G147" s="3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5"/>
  <sheetViews>
    <sheetView topLeftCell="H1" workbookViewId="0">
      <selection activeCell="AA8" sqref="AA8"/>
    </sheetView>
  </sheetViews>
  <sheetFormatPr defaultRowHeight="15"/>
  <cols>
    <col min="1" max="1" width="11.140625" bestFit="1" customWidth="1"/>
    <col min="2" max="2" width="18.85546875" bestFit="1" customWidth="1"/>
    <col min="3" max="3" width="16.140625" bestFit="1" customWidth="1"/>
    <col min="4" max="4" width="16.42578125" bestFit="1" customWidth="1"/>
    <col min="5" max="5" width="15.42578125" bestFit="1" customWidth="1"/>
    <col min="6" max="6" width="20.140625" bestFit="1" customWidth="1"/>
    <col min="7" max="7" width="23.28515625" bestFit="1" customWidth="1"/>
    <col min="8" max="8" width="14.7109375" bestFit="1" customWidth="1"/>
    <col min="9" max="9" width="15.85546875" bestFit="1" customWidth="1"/>
    <col min="10" max="10" width="17.85546875" bestFit="1" customWidth="1"/>
    <col min="11" max="11" width="14.42578125" bestFit="1" customWidth="1"/>
    <col min="12" max="12" width="15.7109375" bestFit="1" customWidth="1"/>
    <col min="13" max="13" width="19.42578125" bestFit="1" customWidth="1"/>
    <col min="14" max="14" width="7.140625" bestFit="1" customWidth="1"/>
    <col min="15" max="15" width="8" bestFit="1" customWidth="1"/>
    <col min="16" max="16" width="23.5703125" bestFit="1" customWidth="1"/>
    <col min="17" max="17" width="22.85546875" bestFit="1" customWidth="1"/>
    <col min="18" max="18" width="18" bestFit="1" customWidth="1"/>
    <col min="19" max="19" width="7.140625" bestFit="1" customWidth="1"/>
    <col min="20" max="20" width="10.42578125" bestFit="1" customWidth="1"/>
    <col min="21" max="21" width="12.7109375" bestFit="1" customWidth="1"/>
    <col min="22" max="22" width="10.5703125" bestFit="1" customWidth="1"/>
    <col min="23" max="23" width="11.140625" bestFit="1" customWidth="1"/>
    <col min="24" max="24" width="14.7109375" bestFit="1" customWidth="1"/>
    <col min="25" max="25" width="8" bestFit="1" customWidth="1"/>
    <col min="26" max="26" width="7.85546875" bestFit="1" customWidth="1"/>
    <col min="27" max="27" width="12.5703125" bestFit="1" customWidth="1"/>
    <col min="28" max="28" width="11.5703125" bestFit="1" customWidth="1"/>
    <col min="29" max="29" width="12.85546875" bestFit="1" customWidth="1"/>
  </cols>
  <sheetData>
    <row r="1" spans="1:29">
      <c r="A1" t="s">
        <v>30</v>
      </c>
      <c r="B1" s="40" t="s">
        <v>40</v>
      </c>
      <c r="C1" s="40" t="s">
        <v>41</v>
      </c>
      <c r="D1" s="40" t="s">
        <v>42</v>
      </c>
      <c r="E1" s="40" t="s">
        <v>43</v>
      </c>
      <c r="F1" s="35" t="s">
        <v>44</v>
      </c>
      <c r="G1" s="35" t="s">
        <v>45</v>
      </c>
      <c r="H1" s="41" t="s">
        <v>46</v>
      </c>
      <c r="I1" s="41" t="s">
        <v>47</v>
      </c>
      <c r="J1" s="41" t="s">
        <v>48</v>
      </c>
      <c r="K1" s="41" t="s">
        <v>49</v>
      </c>
      <c r="L1" s="41" t="s">
        <v>50</v>
      </c>
      <c r="M1" s="40" t="s">
        <v>51</v>
      </c>
      <c r="N1" s="33" t="s">
        <v>52</v>
      </c>
      <c r="O1" s="33" t="s">
        <v>53</v>
      </c>
      <c r="P1" s="33" t="s">
        <v>54</v>
      </c>
      <c r="Q1" s="33" t="s">
        <v>55</v>
      </c>
      <c r="R1" s="33" t="s">
        <v>56</v>
      </c>
      <c r="S1" s="33" t="s">
        <v>57</v>
      </c>
      <c r="T1" s="33" t="s">
        <v>58</v>
      </c>
      <c r="U1" s="33" t="s">
        <v>59</v>
      </c>
      <c r="V1" s="33" t="s">
        <v>60</v>
      </c>
      <c r="W1" s="33" t="s">
        <v>61</v>
      </c>
      <c r="X1" s="33" t="s">
        <v>62</v>
      </c>
      <c r="Y1" s="33" t="s">
        <v>63</v>
      </c>
      <c r="Z1" s="33" t="s">
        <v>64</v>
      </c>
      <c r="AA1" s="33" t="s">
        <v>65</v>
      </c>
      <c r="AB1" s="33" t="s">
        <v>66</v>
      </c>
      <c r="AC1" s="33" t="s">
        <v>67</v>
      </c>
    </row>
    <row r="2" spans="1:29">
      <c r="A2" t="s">
        <v>15</v>
      </c>
      <c r="B2" s="40">
        <v>84793</v>
      </c>
      <c r="C2" s="40">
        <v>18844871637.860001</v>
      </c>
      <c r="D2" s="40">
        <v>20248789000</v>
      </c>
      <c r="E2" s="40">
        <v>34.160833355208403</v>
      </c>
      <c r="F2" s="35">
        <v>3.8292562292607899</v>
      </c>
      <c r="G2" s="35">
        <v>3.8292601897346499</v>
      </c>
      <c r="H2" s="41">
        <v>74.826692598709997</v>
      </c>
      <c r="I2" s="41">
        <v>75.582367490546403</v>
      </c>
      <c r="J2" s="41">
        <v>60.618714100668697</v>
      </c>
      <c r="K2" s="41">
        <v>32.199716089737002</v>
      </c>
      <c r="L2" s="41">
        <v>766.69279975411803</v>
      </c>
      <c r="M2" s="40">
        <v>306098.61692109698</v>
      </c>
      <c r="N2" s="33">
        <v>0</v>
      </c>
      <c r="O2" s="33">
        <v>7.0286712970702506E-2</v>
      </c>
      <c r="P2" s="33">
        <v>0.105014142542322</v>
      </c>
      <c r="Q2" s="33">
        <v>0.63129471675833404</v>
      </c>
      <c r="R2" s="33">
        <v>2.3630007779695698E-2</v>
      </c>
      <c r="S2" s="33">
        <v>0.71571042737819401</v>
      </c>
      <c r="T2" s="33">
        <v>0.89395305003696202</v>
      </c>
      <c r="U2" s="33">
        <v>0.40084822924629898</v>
      </c>
      <c r="V2" s="33">
        <v>0.140747616088893</v>
      </c>
      <c r="W2" s="33">
        <v>0.99739476567293905</v>
      </c>
      <c r="X2" s="33">
        <v>2.6052343270604001E-3</v>
      </c>
      <c r="Y2" s="33">
        <v>0.97746113060718898</v>
      </c>
      <c r="Z2" s="33">
        <v>1.99336350657498E-2</v>
      </c>
      <c r="AA2" s="33">
        <v>2.33150770004339E-3</v>
      </c>
      <c r="AB2" s="33">
        <v>2.7372662701701298E-4</v>
      </c>
      <c r="AC2" s="33">
        <v>1.06326131507019E-4</v>
      </c>
    </row>
    <row r="3" spans="1:29">
      <c r="A3" t="s">
        <v>16</v>
      </c>
      <c r="B3" s="40">
        <v>132693</v>
      </c>
      <c r="C3" s="40">
        <v>30868963894.860001</v>
      </c>
      <c r="D3" s="40">
        <v>32744707000</v>
      </c>
      <c r="E3" s="40">
        <v>28.388378680159501</v>
      </c>
      <c r="F3" s="35">
        <v>3.5940966808970498</v>
      </c>
      <c r="G3" s="35">
        <v>3.59411456185369</v>
      </c>
      <c r="H3" s="41">
        <v>74.283992916362394</v>
      </c>
      <c r="I3" s="41">
        <v>75.279818992311107</v>
      </c>
      <c r="J3" s="41">
        <v>61.599118717611702</v>
      </c>
      <c r="K3" s="41">
        <v>32.138041426937498</v>
      </c>
      <c r="L3" s="41">
        <v>764.25690807350702</v>
      </c>
      <c r="M3" s="40">
        <v>313353.88862311898</v>
      </c>
      <c r="N3" s="33">
        <v>0</v>
      </c>
      <c r="O3" s="33">
        <v>9.3519772610854895E-2</v>
      </c>
      <c r="P3" s="33">
        <v>7.4736240114756297E-2</v>
      </c>
      <c r="Q3" s="33">
        <v>0.60931048166284096</v>
      </c>
      <c r="R3" s="33">
        <v>2.8841972311168099E-2</v>
      </c>
      <c r="S3" s="33">
        <v>0.67373260854385097</v>
      </c>
      <c r="T3" s="33">
        <v>0.88653955961789799</v>
      </c>
      <c r="U3" s="33">
        <v>0.26778516042439598</v>
      </c>
      <c r="V3" s="33">
        <v>0.122149590301858</v>
      </c>
      <c r="W3" s="33">
        <v>0.99676694991869697</v>
      </c>
      <c r="X3" s="33">
        <v>3.2330500813024599E-3</v>
      </c>
      <c r="Y3" s="33">
        <v>0.97970960481915303</v>
      </c>
      <c r="Z3" s="33">
        <v>1.7057345099544201E-2</v>
      </c>
      <c r="AA3" s="33">
        <v>2.9992835054440002E-3</v>
      </c>
      <c r="AB3" s="33">
        <v>2.3376657585846399E-4</v>
      </c>
      <c r="AC3" s="33">
        <v>1.14430765218789E-4</v>
      </c>
    </row>
    <row r="4" spans="1:29">
      <c r="A4" t="s">
        <v>17</v>
      </c>
      <c r="B4" s="40">
        <v>128194</v>
      </c>
      <c r="C4" s="40">
        <v>28730000635.919998</v>
      </c>
      <c r="D4" s="40">
        <v>30261960000</v>
      </c>
      <c r="E4" s="40">
        <v>25.215118808229001</v>
      </c>
      <c r="F4" s="35">
        <v>3.7159873508281001</v>
      </c>
      <c r="G4" s="35">
        <v>3.71599278627968</v>
      </c>
      <c r="H4" s="41">
        <v>74.8308152396678</v>
      </c>
      <c r="I4" s="41">
        <v>75.722337139684299</v>
      </c>
      <c r="J4" s="41">
        <v>63.536959983013503</v>
      </c>
      <c r="K4" s="41">
        <v>32.835626074592703</v>
      </c>
      <c r="L4" s="41">
        <v>761.35779383455997</v>
      </c>
      <c r="M4" s="40">
        <v>302441.392871955</v>
      </c>
      <c r="N4" s="33">
        <v>0</v>
      </c>
      <c r="O4" s="33">
        <v>8.0487457430783699E-2</v>
      </c>
      <c r="P4" s="33">
        <v>0.112468208129454</v>
      </c>
      <c r="Q4" s="33">
        <v>0.58662336641470403</v>
      </c>
      <c r="R4" s="33">
        <v>3.2283576632099797E-2</v>
      </c>
      <c r="S4" s="33">
        <v>0.657221934105096</v>
      </c>
      <c r="T4" s="33">
        <v>0.85746265877035599</v>
      </c>
      <c r="U4" s="33">
        <v>0.407853972339279</v>
      </c>
      <c r="V4" s="33">
        <v>0.12274786113477799</v>
      </c>
      <c r="W4" s="33">
        <v>0.99716946758858305</v>
      </c>
      <c r="X4" s="33">
        <v>2.8305324114169098E-3</v>
      </c>
      <c r="Y4" s="33">
        <v>0.98149129867803797</v>
      </c>
      <c r="Z4" s="33">
        <v>1.5678168910544299E-2</v>
      </c>
      <c r="AA4" s="33">
        <v>2.6510414515889202E-3</v>
      </c>
      <c r="AB4" s="33">
        <v>1.7949095982798801E-4</v>
      </c>
      <c r="AC4" s="33">
        <v>8.4162055568383701E-5</v>
      </c>
    </row>
    <row r="5" spans="1:29">
      <c r="A5" t="s">
        <v>18</v>
      </c>
      <c r="B5" s="40">
        <v>102690</v>
      </c>
      <c r="C5" s="40">
        <v>23516001945.110001</v>
      </c>
      <c r="D5" s="40">
        <v>24605428000</v>
      </c>
      <c r="E5" s="40">
        <v>22.542349212856799</v>
      </c>
      <c r="F5" s="35">
        <v>3.9738534854824601</v>
      </c>
      <c r="G5" s="35">
        <v>3.9738622374935502</v>
      </c>
      <c r="H5" s="41">
        <v>75.281709742869197</v>
      </c>
      <c r="I5" s="41">
        <v>76.339009535012707</v>
      </c>
      <c r="J5" s="41">
        <v>65.853191465945997</v>
      </c>
      <c r="K5" s="41">
        <v>33.067403096573102</v>
      </c>
      <c r="L5" s="41">
        <v>760.03980686218995</v>
      </c>
      <c r="M5" s="40">
        <v>303628.014954363</v>
      </c>
      <c r="N5" s="33">
        <v>0</v>
      </c>
      <c r="O5" s="33">
        <v>9.0462926605275398E-2</v>
      </c>
      <c r="P5" s="33">
        <v>0.15007943610303501</v>
      </c>
      <c r="Q5" s="33">
        <v>0.58850832344431703</v>
      </c>
      <c r="R5" s="33">
        <v>2.9315808846637401E-2</v>
      </c>
      <c r="S5" s="33">
        <v>0.636897315309774</v>
      </c>
      <c r="T5" s="33">
        <v>0.87896531170546699</v>
      </c>
      <c r="U5" s="33">
        <v>0.51999656120851701</v>
      </c>
      <c r="V5" s="33">
        <v>9.9023718611497405E-2</v>
      </c>
      <c r="W5" s="33">
        <v>0.99657111943568399</v>
      </c>
      <c r="X5" s="33">
        <v>3.4288805643157899E-3</v>
      </c>
      <c r="Y5" s="33">
        <v>0.98145424869508102</v>
      </c>
      <c r="Z5" s="33">
        <v>1.5116870740603101E-2</v>
      </c>
      <c r="AA5" s="33">
        <v>3.12590570121489E-3</v>
      </c>
      <c r="AB5" s="33">
        <v>3.0297486310089101E-4</v>
      </c>
      <c r="AC5" s="33">
        <v>7.4070098908211795E-5</v>
      </c>
    </row>
    <row r="6" spans="1:29">
      <c r="A6" t="s">
        <v>19</v>
      </c>
      <c r="B6" s="40">
        <v>71708</v>
      </c>
      <c r="C6" s="40">
        <v>14903591509.59</v>
      </c>
      <c r="D6" s="40">
        <v>15465048000</v>
      </c>
      <c r="E6" s="40">
        <v>19.160845104267398</v>
      </c>
      <c r="F6" s="35">
        <v>4.5363102345626301</v>
      </c>
      <c r="G6" s="35">
        <v>4.5363102345626301</v>
      </c>
      <c r="H6" s="41">
        <v>75.917112759675703</v>
      </c>
      <c r="I6" s="41">
        <v>76.686157591043695</v>
      </c>
      <c r="J6" s="41">
        <v>68.293092302147201</v>
      </c>
      <c r="K6" s="41">
        <v>34.478418486754101</v>
      </c>
      <c r="L6" s="41">
        <v>753.80486724772595</v>
      </c>
      <c r="M6" s="40">
        <v>280501.71368464403</v>
      </c>
      <c r="N6" s="33">
        <v>0</v>
      </c>
      <c r="O6" s="33">
        <v>6.2884593991115206E-2</v>
      </c>
      <c r="P6" s="33">
        <v>0.18928094221817501</v>
      </c>
      <c r="Q6" s="33">
        <v>0.55742381848390699</v>
      </c>
      <c r="R6" s="33">
        <v>3.4989357507178798E-2</v>
      </c>
      <c r="S6" s="33">
        <v>0.63150636996685305</v>
      </c>
      <c r="T6" s="33">
        <v>0.85486638953582605</v>
      </c>
      <c r="U6" s="33">
        <v>0.636277261282161</v>
      </c>
      <c r="V6" s="33">
        <v>0.12366351842937</v>
      </c>
      <c r="W6" s="33">
        <v>0.99467667261485604</v>
      </c>
      <c r="X6" s="33">
        <v>5.3233273851439897E-3</v>
      </c>
      <c r="Y6" s="33">
        <v>0.97980849253575097</v>
      </c>
      <c r="Z6" s="33">
        <v>1.48681800791047E-2</v>
      </c>
      <c r="AA6" s="33">
        <v>4.7958792002590397E-3</v>
      </c>
      <c r="AB6" s="33">
        <v>5.2744818488495004E-4</v>
      </c>
      <c r="AC6" s="33">
        <v>5.6965739396017199E-5</v>
      </c>
    </row>
    <row r="7" spans="1:29">
      <c r="A7" t="s">
        <v>20</v>
      </c>
      <c r="B7" s="40">
        <v>59082</v>
      </c>
      <c r="C7" s="40">
        <v>12356174994.129999</v>
      </c>
      <c r="D7" s="40">
        <v>12760098000</v>
      </c>
      <c r="E7" s="40">
        <v>16.3807543534034</v>
      </c>
      <c r="F7" s="35">
        <v>4.5668291499254297</v>
      </c>
      <c r="G7" s="35">
        <v>4.5668291499254297</v>
      </c>
      <c r="H7" s="41">
        <v>75.876078813017898</v>
      </c>
      <c r="I7" s="41">
        <v>76.700996994193105</v>
      </c>
      <c r="J7" s="41">
        <v>69.302217548040403</v>
      </c>
      <c r="K7" s="41">
        <v>34.776090603203301</v>
      </c>
      <c r="L7" s="41">
        <v>751.52818465194605</v>
      </c>
      <c r="M7" s="40">
        <v>280695.33743058302</v>
      </c>
      <c r="N7" s="33">
        <v>0</v>
      </c>
      <c r="O7" s="33">
        <v>6.7788188143006703E-2</v>
      </c>
      <c r="P7" s="33">
        <v>0.17352569864530001</v>
      </c>
      <c r="Q7" s="33">
        <v>0.54743106271183595</v>
      </c>
      <c r="R7" s="33">
        <v>3.6391874004990998E-2</v>
      </c>
      <c r="S7" s="33">
        <v>0.63295607042514701</v>
      </c>
      <c r="T7" s="33">
        <v>0.84416041759729199</v>
      </c>
      <c r="U7" s="33">
        <v>0.60963829247470003</v>
      </c>
      <c r="V7" s="33">
        <v>0.116810665398934</v>
      </c>
      <c r="W7" s="33">
        <v>0.99529690135680204</v>
      </c>
      <c r="X7" s="33">
        <v>4.7030986431971997E-3</v>
      </c>
      <c r="Y7" s="33">
        <v>0.98203506134418905</v>
      </c>
      <c r="Z7" s="33">
        <v>1.32618400126128E-2</v>
      </c>
      <c r="AA7" s="33">
        <v>4.2847106904160201E-3</v>
      </c>
      <c r="AB7" s="33">
        <v>4.1838795278117502E-4</v>
      </c>
      <c r="AC7" s="33">
        <v>0</v>
      </c>
    </row>
    <row r="8" spans="1:29">
      <c r="A8" t="s">
        <v>21</v>
      </c>
      <c r="B8" s="40">
        <v>37981</v>
      </c>
      <c r="C8" s="40">
        <v>7919678628.1700001</v>
      </c>
      <c r="D8" s="40">
        <v>8182812000</v>
      </c>
      <c r="E8" s="40">
        <v>19.223525697993999</v>
      </c>
      <c r="F8" s="35">
        <v>4.5516286331051203</v>
      </c>
      <c r="G8" s="35">
        <v>4.5515971531744999</v>
      </c>
      <c r="H8" s="41">
        <v>92.314133295397895</v>
      </c>
      <c r="I8" s="41">
        <v>92.3249810488919</v>
      </c>
      <c r="J8" s="41">
        <v>83.687363108517999</v>
      </c>
      <c r="K8" s="41">
        <v>34.722093165548202</v>
      </c>
      <c r="L8" s="41">
        <v>751.27795762989103</v>
      </c>
      <c r="M8" s="40">
        <v>257728.99219422101</v>
      </c>
      <c r="N8" s="33">
        <v>0.99801637525112097</v>
      </c>
      <c r="O8" s="33">
        <v>1.68610543014995E-3</v>
      </c>
      <c r="P8" s="33">
        <v>0.39643030257093398</v>
      </c>
      <c r="Q8" s="33">
        <v>0.54258630000532304</v>
      </c>
      <c r="R8" s="33">
        <v>0</v>
      </c>
      <c r="S8" s="33">
        <v>0.60735330321117498</v>
      </c>
      <c r="T8" s="33">
        <v>0.99548008661075205</v>
      </c>
      <c r="U8" s="33">
        <v>0.90576257158019802</v>
      </c>
      <c r="V8" s="33">
        <v>7.9505437242154198E-2</v>
      </c>
      <c r="W8" s="33">
        <v>0.99383550107874996</v>
      </c>
      <c r="X8" s="33">
        <v>6.1644989212499097E-3</v>
      </c>
      <c r="Y8" s="33">
        <v>0.98018477958665995</v>
      </c>
      <c r="Z8" s="33">
        <v>1.36507214920892E-2</v>
      </c>
      <c r="AA8" s="33">
        <v>5.4569332796255299E-3</v>
      </c>
      <c r="AB8" s="33">
        <v>7.0756564162437999E-4</v>
      </c>
      <c r="AC8" s="33">
        <v>8.9954897597229494E-5</v>
      </c>
    </row>
    <row r="9" spans="1:29">
      <c r="A9" t="s">
        <v>22</v>
      </c>
      <c r="B9" s="40">
        <v>135963</v>
      </c>
      <c r="C9" s="40">
        <v>29875609801.369999</v>
      </c>
      <c r="D9" s="40">
        <v>31361353000</v>
      </c>
      <c r="E9" s="40">
        <v>25.2121776592499</v>
      </c>
      <c r="F9" s="35">
        <v>3.79669684971442</v>
      </c>
      <c r="G9" s="35">
        <v>3.7966977189181401</v>
      </c>
      <c r="H9" s="41">
        <v>91.538060510031499</v>
      </c>
      <c r="I9" s="41">
        <v>91.562355822901694</v>
      </c>
      <c r="J9" s="41">
        <v>79.439633154000802</v>
      </c>
      <c r="K9" s="41">
        <v>33.148326786784601</v>
      </c>
      <c r="L9" s="41">
        <v>757.09097000118902</v>
      </c>
      <c r="M9" s="40">
        <v>274161.09979895299</v>
      </c>
      <c r="N9" s="33">
        <v>0.999304563393412</v>
      </c>
      <c r="O9" s="33">
        <v>3.9655796791323401E-3</v>
      </c>
      <c r="P9" s="33">
        <v>0.297197002461279</v>
      </c>
      <c r="Q9" s="33">
        <v>0.56621639503386001</v>
      </c>
      <c r="R9" s="33">
        <v>0</v>
      </c>
      <c r="S9" s="33">
        <v>0.62092425225440295</v>
      </c>
      <c r="T9" s="33">
        <v>0.99602556414347798</v>
      </c>
      <c r="U9" s="33">
        <v>0.71684535995606402</v>
      </c>
      <c r="V9" s="33">
        <v>7.7128833318218404E-2</v>
      </c>
      <c r="W9" s="33">
        <v>0.99623484288729502</v>
      </c>
      <c r="X9" s="33">
        <v>3.7651571127040799E-3</v>
      </c>
      <c r="Y9" s="33">
        <v>0.98681432852520601</v>
      </c>
      <c r="Z9" s="33">
        <v>9.4205143620898994E-3</v>
      </c>
      <c r="AA9" s="33">
        <v>3.2583719334001999E-3</v>
      </c>
      <c r="AB9" s="33">
        <v>5.06785179303878E-4</v>
      </c>
      <c r="AC9" s="33">
        <v>1.9732516387764699E-5</v>
      </c>
    </row>
    <row r="10" spans="1:29">
      <c r="A10" t="s">
        <v>23</v>
      </c>
      <c r="B10" s="40">
        <v>31630</v>
      </c>
      <c r="C10" s="40">
        <v>6632739546.4499998</v>
      </c>
      <c r="D10" s="40">
        <v>6823093000</v>
      </c>
      <c r="E10" s="40">
        <v>16.3784791544564</v>
      </c>
      <c r="F10" s="35">
        <v>4.5605805664145196</v>
      </c>
      <c r="G10" s="35">
        <v>4.5605126292845304</v>
      </c>
      <c r="H10" s="41">
        <v>92.369456020445</v>
      </c>
      <c r="I10" s="41">
        <v>92.378822957986401</v>
      </c>
      <c r="J10" s="41">
        <v>84.837973658007897</v>
      </c>
      <c r="K10" s="41">
        <v>34.914017671663998</v>
      </c>
      <c r="L10" s="41">
        <v>748.63164981732302</v>
      </c>
      <c r="M10" s="40">
        <v>258772.95562326</v>
      </c>
      <c r="N10" s="33">
        <v>0.99787556214572803</v>
      </c>
      <c r="O10" s="33">
        <v>1.4654595860321899E-3</v>
      </c>
      <c r="P10" s="33">
        <v>0.393983315768616</v>
      </c>
      <c r="Q10" s="33">
        <v>0.53975274066446899</v>
      </c>
      <c r="R10" s="33">
        <v>0</v>
      </c>
      <c r="S10" s="33">
        <v>0.59680719831953299</v>
      </c>
      <c r="T10" s="33">
        <v>0.995109091481307</v>
      </c>
      <c r="U10" s="33">
        <v>0.89881178197035905</v>
      </c>
      <c r="V10" s="33">
        <v>8.8609534730571995E-2</v>
      </c>
      <c r="W10" s="33">
        <v>0.99409544362691504</v>
      </c>
      <c r="X10" s="33">
        <v>5.9045563730843499E-3</v>
      </c>
      <c r="Y10" s="33">
        <v>0.98336518772562698</v>
      </c>
      <c r="Z10" s="33">
        <v>1.07302559012877E-2</v>
      </c>
      <c r="AA10" s="33">
        <v>5.0841820342619696E-3</v>
      </c>
      <c r="AB10" s="33">
        <v>8.2037433882238401E-4</v>
      </c>
      <c r="AC10" s="33">
        <v>6.0388559990174699E-5</v>
      </c>
    </row>
    <row r="11" spans="1:29">
      <c r="A11" t="s">
        <v>24</v>
      </c>
      <c r="B11" s="40">
        <v>107563</v>
      </c>
      <c r="C11" s="40">
        <v>23204440894.529999</v>
      </c>
      <c r="D11" s="40">
        <v>23801939000</v>
      </c>
      <c r="E11" s="40">
        <v>12.505718981802501</v>
      </c>
      <c r="F11" s="35">
        <v>4.51958030391304</v>
      </c>
      <c r="G11" s="35">
        <v>4.5195802139696903</v>
      </c>
      <c r="H11" s="41">
        <v>76.213677098987006</v>
      </c>
      <c r="I11" s="41">
        <v>77.015588711609695</v>
      </c>
      <c r="J11" s="41">
        <v>71.710370688618696</v>
      </c>
      <c r="K11" s="41">
        <v>34.480601611133302</v>
      </c>
      <c r="L11" s="41">
        <v>752.26310007983204</v>
      </c>
      <c r="M11" s="40">
        <v>284854.19919722702</v>
      </c>
      <c r="N11" s="33">
        <v>0</v>
      </c>
      <c r="O11" s="33">
        <v>6.4889682685478803E-2</v>
      </c>
      <c r="P11" s="33">
        <v>0.193494976380509</v>
      </c>
      <c r="Q11" s="33">
        <v>0.552612513181163</v>
      </c>
      <c r="R11" s="33">
        <v>3.4019637397774402E-2</v>
      </c>
      <c r="S11" s="33">
        <v>0.61989908816940498</v>
      </c>
      <c r="T11" s="33">
        <v>0.84966590518488505</v>
      </c>
      <c r="U11" s="33">
        <v>0.67181533554444794</v>
      </c>
      <c r="V11" s="33">
        <v>0.13026393858869201</v>
      </c>
      <c r="W11" s="33">
        <v>0.996450836103557</v>
      </c>
      <c r="X11" s="33">
        <v>3.5491638964424998E-3</v>
      </c>
      <c r="Y11" s="33">
        <v>0.98926828604007799</v>
      </c>
      <c r="Z11" s="33">
        <v>7.1825500634789497E-3</v>
      </c>
      <c r="AA11" s="33">
        <v>3.4281744029761099E-3</v>
      </c>
      <c r="AB11" s="33">
        <v>1.20989493466391E-4</v>
      </c>
      <c r="AC11" s="33">
        <v>0</v>
      </c>
    </row>
    <row r="12" spans="1:29">
      <c r="A12" t="s">
        <v>25</v>
      </c>
      <c r="B12" s="40">
        <v>132605</v>
      </c>
      <c r="C12" s="40">
        <v>30902656949.099998</v>
      </c>
      <c r="D12" s="40">
        <v>33002088000</v>
      </c>
      <c r="E12" s="40">
        <v>31.459982571827801</v>
      </c>
      <c r="F12" s="35">
        <v>3.6653300358472798</v>
      </c>
      <c r="G12" s="35">
        <v>3.66533024624965</v>
      </c>
      <c r="H12" s="41">
        <v>74.468186906887297</v>
      </c>
      <c r="I12" s="41">
        <v>75.489855449732801</v>
      </c>
      <c r="J12" s="41">
        <v>60.817591198192297</v>
      </c>
      <c r="K12" s="41">
        <v>31.9957291431604</v>
      </c>
      <c r="L12" s="41">
        <v>766.36911300325505</v>
      </c>
      <c r="M12" s="40">
        <v>314581.67473241698</v>
      </c>
      <c r="N12" s="33">
        <v>0</v>
      </c>
      <c r="O12" s="33">
        <v>9.5284311467456306E-2</v>
      </c>
      <c r="P12" s="33">
        <v>8.1393873836251296E-2</v>
      </c>
      <c r="Q12" s="33">
        <v>0.623578599544374</v>
      </c>
      <c r="R12" s="33">
        <v>2.5401029397339899E-2</v>
      </c>
      <c r="S12" s="33">
        <v>0.70198675552012002</v>
      </c>
      <c r="T12" s="33">
        <v>0.89209194671019598</v>
      </c>
      <c r="U12" s="33">
        <v>0.30733603070614202</v>
      </c>
      <c r="V12" s="33">
        <v>0.125649778648663</v>
      </c>
      <c r="W12" s="33">
        <v>0.99881651417513195</v>
      </c>
      <c r="X12" s="33">
        <v>1.1834858248674E-3</v>
      </c>
      <c r="Y12" s="33">
        <v>0.99783014810213699</v>
      </c>
      <c r="Z12" s="33">
        <v>9.8636607299514793E-4</v>
      </c>
      <c r="AA12" s="33">
        <v>1.1292800430551999E-3</v>
      </c>
      <c r="AB12" s="33">
        <v>5.4205781812194099E-5</v>
      </c>
      <c r="AC12" s="33">
        <v>0</v>
      </c>
    </row>
    <row r="13" spans="1:29">
      <c r="A13" t="s">
        <v>37</v>
      </c>
      <c r="B13" s="40">
        <v>141967</v>
      </c>
      <c r="C13" s="40">
        <v>31928168573.73</v>
      </c>
      <c r="D13" s="40">
        <v>32518882000</v>
      </c>
      <c r="E13" s="40">
        <v>8.7545979936163096</v>
      </c>
      <c r="F13" s="35">
        <v>4.37955953225784</v>
      </c>
      <c r="G13" s="35">
        <v>4.37955953225784</v>
      </c>
      <c r="H13" s="41">
        <v>75.9572137273572</v>
      </c>
      <c r="I13" s="41">
        <v>76.871091511166497</v>
      </c>
      <c r="J13" s="41">
        <v>73.487001855973404</v>
      </c>
      <c r="K13" s="41">
        <v>34.626370253664803</v>
      </c>
      <c r="L13" s="41">
        <v>751.69752539868705</v>
      </c>
      <c r="M13" s="40">
        <v>294182.62573164701</v>
      </c>
      <c r="N13" s="33">
        <v>0</v>
      </c>
      <c r="O13" s="33">
        <v>7.5041649686457199E-2</v>
      </c>
      <c r="P13" s="33">
        <v>0.17036935063997299</v>
      </c>
      <c r="Q13" s="33">
        <v>0.55562806941129494</v>
      </c>
      <c r="R13" s="33">
        <v>3.3118285136154502E-2</v>
      </c>
      <c r="S13" s="33">
        <v>0.62772848756475197</v>
      </c>
      <c r="T13" s="33">
        <v>0.85505301200809303</v>
      </c>
      <c r="U13" s="33">
        <v>0.61957617450367197</v>
      </c>
      <c r="V13" s="33">
        <v>0.121193763642733</v>
      </c>
      <c r="W13" s="33">
        <v>0.99820730528067003</v>
      </c>
      <c r="X13" s="33">
        <v>1.79269471932988E-3</v>
      </c>
      <c r="Y13" s="33">
        <v>0.99820730528067003</v>
      </c>
      <c r="Z13" s="33">
        <v>0</v>
      </c>
      <c r="AA13" s="33">
        <v>1.79269471932988E-3</v>
      </c>
      <c r="AB13" s="33">
        <v>0</v>
      </c>
      <c r="AC13" s="33">
        <v>0</v>
      </c>
    </row>
    <row r="14" spans="1:29">
      <c r="A14" t="s">
        <v>26</v>
      </c>
      <c r="B14" s="40">
        <v>71306</v>
      </c>
      <c r="C14" s="40">
        <v>15307704367.93</v>
      </c>
      <c r="D14" s="40">
        <v>15648312000</v>
      </c>
      <c r="E14" s="40">
        <v>12.4578112545452</v>
      </c>
      <c r="F14" s="35">
        <v>4.5402168157034204</v>
      </c>
      <c r="G14" s="35">
        <v>4.5402168157034204</v>
      </c>
      <c r="H14" s="41">
        <v>92.482191295939998</v>
      </c>
      <c r="I14" s="41">
        <v>92.489408970936495</v>
      </c>
      <c r="J14" s="41">
        <v>87.411302845692205</v>
      </c>
      <c r="K14" s="41">
        <v>34.741520116496403</v>
      </c>
      <c r="L14" s="41">
        <v>748.17364565155799</v>
      </c>
      <c r="M14" s="40">
        <v>261492.37113095701</v>
      </c>
      <c r="N14" s="33">
        <v>0.99829433543773505</v>
      </c>
      <c r="O14" s="33">
        <v>1.16631951734081E-3</v>
      </c>
      <c r="P14" s="33">
        <v>0.405933977118626</v>
      </c>
      <c r="Q14" s="33">
        <v>0.54599575686868296</v>
      </c>
      <c r="R14" s="33">
        <v>0</v>
      </c>
      <c r="S14" s="33">
        <v>0.59745977775482295</v>
      </c>
      <c r="T14" s="33">
        <v>0.99488595389952705</v>
      </c>
      <c r="U14" s="33">
        <v>0.92472485564954598</v>
      </c>
      <c r="V14" s="33">
        <v>0.10252488746503099</v>
      </c>
      <c r="W14" s="33">
        <v>0.99735016690451705</v>
      </c>
      <c r="X14" s="33">
        <v>2.6498330954822999E-3</v>
      </c>
      <c r="Y14" s="33">
        <v>0.99352357934951296</v>
      </c>
      <c r="Z14" s="33">
        <v>3.8265875550039098E-3</v>
      </c>
      <c r="AA14" s="33">
        <v>2.5400054061311701E-3</v>
      </c>
      <c r="AB14" s="33">
        <v>1.09827689351133E-4</v>
      </c>
      <c r="AC14" s="33">
        <v>0</v>
      </c>
    </row>
    <row r="15" spans="1:29">
      <c r="A15" t="s">
        <v>27</v>
      </c>
      <c r="B15" s="40">
        <v>134396</v>
      </c>
      <c r="C15" s="40">
        <v>29531552788.639999</v>
      </c>
      <c r="D15" s="40">
        <v>31002448000</v>
      </c>
      <c r="E15" s="40">
        <v>25.214556203141999</v>
      </c>
      <c r="F15" s="35">
        <v>3.7955551703555699</v>
      </c>
      <c r="G15" s="35">
        <v>3.7955551703555699</v>
      </c>
      <c r="H15" s="41">
        <v>91.535120058433805</v>
      </c>
      <c r="I15" s="41">
        <v>91.560280840275496</v>
      </c>
      <c r="J15" s="41">
        <v>79.431489742485397</v>
      </c>
      <c r="K15" s="41">
        <v>33.120655391504499</v>
      </c>
      <c r="L15" s="41">
        <v>757.39548421027405</v>
      </c>
      <c r="M15" s="40">
        <v>274143.878702202</v>
      </c>
      <c r="N15" s="33">
        <v>0.99931025504362103</v>
      </c>
      <c r="O15" s="33">
        <v>4.0987360788749799E-3</v>
      </c>
      <c r="P15" s="33">
        <v>0.29779204123505798</v>
      </c>
      <c r="Q15" s="33">
        <v>0.56770692301486902</v>
      </c>
      <c r="R15" s="33">
        <v>0</v>
      </c>
      <c r="S15" s="33">
        <v>0.62065396964668296</v>
      </c>
      <c r="T15" s="33">
        <v>0.99606576875447195</v>
      </c>
      <c r="U15" s="33">
        <v>0.71654250149351795</v>
      </c>
      <c r="V15" s="33">
        <v>7.6888101069763196E-2</v>
      </c>
      <c r="W15" s="33">
        <v>0.99833313405589197</v>
      </c>
      <c r="X15" s="33">
        <v>1.6668659441076001E-3</v>
      </c>
      <c r="Y15" s="33">
        <v>0.99761597253913803</v>
      </c>
      <c r="Z15" s="33">
        <v>7.1716151675393599E-4</v>
      </c>
      <c r="AA15" s="33">
        <v>1.6668659441076001E-3</v>
      </c>
      <c r="AB15" s="33">
        <v>0</v>
      </c>
      <c r="AC15" s="3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Y56"/>
  <sheetViews>
    <sheetView topLeftCell="C1" workbookViewId="0">
      <selection activeCell="D56" sqref="D56"/>
    </sheetView>
  </sheetViews>
  <sheetFormatPr defaultRowHeight="15"/>
  <cols>
    <col min="3" max="3" width="23.5703125" bestFit="1" customWidth="1"/>
    <col min="4" max="4" width="15.28515625" bestFit="1" customWidth="1"/>
    <col min="5" max="5" width="5" customWidth="1"/>
    <col min="6" max="6" width="23.5703125" bestFit="1" customWidth="1"/>
    <col min="12" max="12" width="10.85546875" bestFit="1" customWidth="1"/>
    <col min="13" max="13" width="10.140625" bestFit="1" customWidth="1"/>
    <col min="14" max="14" width="11.5703125" customWidth="1"/>
    <col min="15" max="15" width="15.85546875" customWidth="1"/>
    <col min="16" max="16" width="20.42578125" hidden="1" customWidth="1"/>
    <col min="17" max="17" width="7" bestFit="1" customWidth="1"/>
    <col min="18" max="18" width="18.28515625" hidden="1" customWidth="1"/>
    <col min="19" max="19" width="11.42578125" customWidth="1"/>
    <col min="20" max="20" width="15.85546875" hidden="1" customWidth="1"/>
    <col min="21" max="21" width="6" bestFit="1" customWidth="1"/>
    <col min="22" max="22" width="13.7109375" hidden="1" customWidth="1"/>
    <col min="23" max="23" width="11.28515625" bestFit="1" customWidth="1"/>
    <col min="24" max="24" width="7" bestFit="1" customWidth="1"/>
    <col min="27" max="27" width="15.7109375" customWidth="1"/>
  </cols>
  <sheetData>
    <row r="1" spans="3:51">
      <c r="L1" t="s">
        <v>30</v>
      </c>
      <c r="M1" t="s">
        <v>31</v>
      </c>
      <c r="N1" s="42" t="s">
        <v>68</v>
      </c>
      <c r="O1" s="42" t="s">
        <v>69</v>
      </c>
      <c r="P1" s="43" t="s">
        <v>70</v>
      </c>
      <c r="Q1" s="44" t="s">
        <v>32</v>
      </c>
      <c r="R1" s="43" t="s">
        <v>72</v>
      </c>
      <c r="S1" s="45" t="s">
        <v>74</v>
      </c>
      <c r="T1" s="46" t="s">
        <v>71</v>
      </c>
      <c r="U1" s="47" t="s">
        <v>33</v>
      </c>
      <c r="V1" s="46" t="s">
        <v>73</v>
      </c>
      <c r="W1" s="48" t="s">
        <v>75</v>
      </c>
      <c r="X1" s="33" t="s">
        <v>39</v>
      </c>
    </row>
    <row r="2" spans="3:51">
      <c r="L2" t="s">
        <v>21</v>
      </c>
      <c r="M2" s="34">
        <v>41852</v>
      </c>
      <c r="N2" s="40">
        <v>45112</v>
      </c>
      <c r="O2" s="40">
        <v>9940429900.0400009</v>
      </c>
      <c r="P2" s="40">
        <v>255498541.15000001</v>
      </c>
      <c r="Q2" s="35">
        <v>26.836099999999998</v>
      </c>
      <c r="R2" s="40">
        <v>255498541.15000001</v>
      </c>
      <c r="S2" s="36">
        <v>3.1199999999999997</v>
      </c>
      <c r="T2" s="40">
        <v>0</v>
      </c>
      <c r="U2" s="35">
        <v>0</v>
      </c>
      <c r="V2" s="40">
        <v>0</v>
      </c>
      <c r="W2">
        <v>0</v>
      </c>
      <c r="X2">
        <v>0.17774701574957899</v>
      </c>
      <c r="AA2" t="s">
        <v>31</v>
      </c>
      <c r="AB2" s="34">
        <v>41426</v>
      </c>
      <c r="AC2" s="34">
        <v>41456</v>
      </c>
      <c r="AD2" s="34">
        <v>41487</v>
      </c>
      <c r="AE2" s="34">
        <v>41518</v>
      </c>
      <c r="AF2" s="34">
        <v>41548</v>
      </c>
      <c r="AG2" s="34">
        <v>41579</v>
      </c>
      <c r="AH2" s="34">
        <v>41609</v>
      </c>
      <c r="AI2" s="34">
        <v>41640</v>
      </c>
      <c r="AJ2" s="34">
        <v>41671</v>
      </c>
      <c r="AK2" s="34">
        <v>41699</v>
      </c>
      <c r="AL2" s="34">
        <v>41730</v>
      </c>
      <c r="AM2" s="34">
        <v>41760</v>
      </c>
      <c r="AN2" s="34">
        <v>41791</v>
      </c>
      <c r="AO2" s="34">
        <v>41821</v>
      </c>
      <c r="AP2" s="34">
        <v>41852</v>
      </c>
      <c r="AQ2" s="34">
        <v>41883</v>
      </c>
      <c r="AR2" s="34">
        <v>41913</v>
      </c>
      <c r="AS2" s="34">
        <v>41944</v>
      </c>
      <c r="AT2" s="34">
        <v>41974</v>
      </c>
      <c r="AU2" s="34">
        <v>42005</v>
      </c>
      <c r="AV2" s="34">
        <v>42036</v>
      </c>
      <c r="AW2" s="34">
        <v>42064</v>
      </c>
      <c r="AX2" s="34">
        <v>42095</v>
      </c>
      <c r="AY2" s="34">
        <v>42125</v>
      </c>
    </row>
    <row r="3" spans="3:51">
      <c r="C3" t="s">
        <v>30</v>
      </c>
      <c r="D3" t="s">
        <v>15</v>
      </c>
      <c r="L3" t="s">
        <v>21</v>
      </c>
      <c r="M3" s="34">
        <v>41883</v>
      </c>
      <c r="N3" s="40">
        <v>44147</v>
      </c>
      <c r="O3" s="40">
        <v>9668617060.4899998</v>
      </c>
      <c r="P3" s="40">
        <v>96526009.129999995</v>
      </c>
      <c r="Q3" s="35">
        <v>11.3437</v>
      </c>
      <c r="R3" s="40">
        <v>352024550.27999997</v>
      </c>
      <c r="S3" s="36">
        <v>4.3</v>
      </c>
      <c r="T3" s="40">
        <v>0</v>
      </c>
      <c r="U3" s="35">
        <v>0</v>
      </c>
      <c r="V3" s="40">
        <v>0</v>
      </c>
      <c r="W3">
        <v>0</v>
      </c>
      <c r="X3">
        <v>0.26546245827528098</v>
      </c>
      <c r="AA3" s="44" t="s">
        <v>32</v>
      </c>
      <c r="AB3" s="35">
        <v>7.1894999999999998</v>
      </c>
      <c r="AC3" s="35">
        <v>5.2968000000000002</v>
      </c>
      <c r="AD3" s="35">
        <v>3.7195999999999998</v>
      </c>
      <c r="AE3" s="35">
        <v>3.9026999999999998</v>
      </c>
      <c r="AF3" s="35">
        <v>3.5990000000000002</v>
      </c>
      <c r="AG3" s="35">
        <v>3.7277999999999998</v>
      </c>
      <c r="AH3" s="35">
        <v>3.1396999999999999</v>
      </c>
      <c r="AI3" s="35">
        <v>2.976</v>
      </c>
      <c r="AJ3" s="35">
        <v>3.8313999999999999</v>
      </c>
      <c r="AK3" s="35">
        <v>3.9773000000000001</v>
      </c>
      <c r="AL3" s="35">
        <v>5.8136999999999999</v>
      </c>
      <c r="AM3" s="35">
        <v>7.3971999999999998</v>
      </c>
      <c r="AN3" s="35">
        <v>6.9165999999999999</v>
      </c>
      <c r="AO3" s="35">
        <v>6.4720000000000004</v>
      </c>
      <c r="AP3" s="35">
        <v>5.0166000000000004</v>
      </c>
      <c r="AQ3" s="35">
        <v>6.4724000000000004</v>
      </c>
      <c r="AR3" s="35">
        <v>5.2816000000000001</v>
      </c>
      <c r="AS3" s="35">
        <v>6.0025000000000004</v>
      </c>
      <c r="AT3" s="35">
        <v>5.2076000000000002</v>
      </c>
      <c r="AU3" s="35">
        <v>7.9896000000000003</v>
      </c>
      <c r="AV3" s="35">
        <v>11.042299999999999</v>
      </c>
      <c r="AW3" s="35">
        <v>9.9810999999999996</v>
      </c>
      <c r="AX3" s="35">
        <v>9.9797999999999991</v>
      </c>
      <c r="AY3" s="35">
        <v>11.419499999999999</v>
      </c>
    </row>
    <row r="4" spans="3:51">
      <c r="C4" s="40" t="s">
        <v>40</v>
      </c>
      <c r="D4" s="40">
        <v>84793</v>
      </c>
      <c r="E4" s="40"/>
      <c r="F4" s="33" t="s">
        <v>93</v>
      </c>
      <c r="G4" s="33">
        <v>0.105</v>
      </c>
      <c r="L4" t="s">
        <v>21</v>
      </c>
      <c r="M4" s="34">
        <v>41913</v>
      </c>
      <c r="N4" s="40">
        <v>43762</v>
      </c>
      <c r="O4" s="40">
        <v>9556067688.0200005</v>
      </c>
      <c r="P4" s="40">
        <v>153869136.05000001</v>
      </c>
      <c r="Q4" s="35">
        <v>17.6995</v>
      </c>
      <c r="R4" s="40">
        <v>505893686.32999998</v>
      </c>
      <c r="S4" s="36">
        <v>6.18</v>
      </c>
      <c r="T4" s="40">
        <v>0</v>
      </c>
      <c r="U4" s="35">
        <v>0</v>
      </c>
      <c r="V4" s="40">
        <v>0</v>
      </c>
      <c r="W4">
        <v>0</v>
      </c>
      <c r="X4">
        <v>0.30729143052024899</v>
      </c>
      <c r="AA4" s="45" t="s">
        <v>74</v>
      </c>
      <c r="AB4" s="36">
        <v>0.69</v>
      </c>
      <c r="AC4" s="36">
        <v>1.1900000000000002</v>
      </c>
      <c r="AD4" s="36">
        <v>1.53</v>
      </c>
      <c r="AE4" s="36">
        <v>1.9</v>
      </c>
      <c r="AF4" s="36">
        <v>2.23</v>
      </c>
      <c r="AG4" s="36">
        <v>2.5700000000000003</v>
      </c>
      <c r="AH4" s="36">
        <v>2.85</v>
      </c>
      <c r="AI4" s="36">
        <v>3.1199999999999997</v>
      </c>
      <c r="AJ4" s="36">
        <v>3.47</v>
      </c>
      <c r="AK4" s="36">
        <v>3.83</v>
      </c>
      <c r="AL4" s="36">
        <v>4.3499999999999996</v>
      </c>
      <c r="AM4" s="36">
        <v>5.0200000000000005</v>
      </c>
      <c r="AN4" s="36">
        <v>5.64</v>
      </c>
      <c r="AO4" s="36">
        <v>6.21</v>
      </c>
      <c r="AP4" s="36">
        <v>6.65</v>
      </c>
      <c r="AQ4" s="36">
        <v>7.21</v>
      </c>
      <c r="AR4" s="36">
        <v>7.66</v>
      </c>
      <c r="AS4" s="36">
        <v>8.18</v>
      </c>
      <c r="AT4" s="36">
        <v>8.6199999999999992</v>
      </c>
      <c r="AU4" s="36">
        <v>9.3000000000000007</v>
      </c>
      <c r="AV4" s="36">
        <v>10.24</v>
      </c>
      <c r="AW4" s="36">
        <v>11.09</v>
      </c>
      <c r="AX4" s="36">
        <v>11.92</v>
      </c>
      <c r="AY4" s="36">
        <v>12.86</v>
      </c>
    </row>
    <row r="5" spans="3:51">
      <c r="C5" s="40" t="s">
        <v>41</v>
      </c>
      <c r="D5" s="40">
        <v>18844871638</v>
      </c>
      <c r="E5" s="40"/>
      <c r="F5" s="33" t="s">
        <v>94</v>
      </c>
      <c r="G5" s="33">
        <v>0.63129999999999997</v>
      </c>
      <c r="L5" t="s">
        <v>21</v>
      </c>
      <c r="M5" s="34">
        <v>41944</v>
      </c>
      <c r="N5" s="40">
        <v>43202</v>
      </c>
      <c r="O5" s="40">
        <v>9385514861.4400005</v>
      </c>
      <c r="P5" s="40">
        <v>156498005.96000001</v>
      </c>
      <c r="Q5" s="35">
        <v>18.272500000000001</v>
      </c>
      <c r="R5" s="40">
        <v>662391692.28999996</v>
      </c>
      <c r="S5" s="36">
        <v>8.09</v>
      </c>
      <c r="T5" s="40">
        <v>337571.16</v>
      </c>
      <c r="U5" s="35">
        <v>4.3099999999999999E-2</v>
      </c>
      <c r="V5" s="40">
        <v>337571.16</v>
      </c>
      <c r="W5">
        <v>0</v>
      </c>
      <c r="X5">
        <v>0.35378818839678899</v>
      </c>
      <c r="AA5" s="47" t="s">
        <v>33</v>
      </c>
      <c r="AB5" s="35">
        <v>0</v>
      </c>
      <c r="AC5" s="35">
        <v>0</v>
      </c>
      <c r="AD5" s="35">
        <v>0</v>
      </c>
      <c r="AE5" s="35">
        <v>0</v>
      </c>
      <c r="AF5" s="35">
        <v>0</v>
      </c>
      <c r="AG5" s="35">
        <v>5.4000000000000003E-3</v>
      </c>
      <c r="AH5" s="35">
        <v>1.66E-2</v>
      </c>
      <c r="AI5" s="35">
        <v>0.03</v>
      </c>
      <c r="AJ5" s="35">
        <v>1.9E-2</v>
      </c>
      <c r="AK5" s="35">
        <v>8.3900000000000002E-2</v>
      </c>
      <c r="AL5" s="35">
        <v>5.5599999999999997E-2</v>
      </c>
      <c r="AM5" s="35">
        <v>5.04E-2</v>
      </c>
      <c r="AN5" s="35">
        <v>3.8899999999999997E-2</v>
      </c>
      <c r="AO5" s="35">
        <v>3.9800000000000002E-2</v>
      </c>
      <c r="AP5" s="35">
        <v>3.09E-2</v>
      </c>
      <c r="AQ5" s="35">
        <v>5.0900000000000001E-2</v>
      </c>
      <c r="AR5" s="35">
        <v>5.8500000000000003E-2</v>
      </c>
      <c r="AS5" s="35">
        <v>2.3800000000000002E-2</v>
      </c>
      <c r="AT5" s="35">
        <v>9.3100000000000002E-2</v>
      </c>
      <c r="AU5" s="35">
        <v>3.1E-2</v>
      </c>
      <c r="AV5" s="35">
        <v>5.7599999999999998E-2</v>
      </c>
      <c r="AW5" s="35">
        <v>7.2300000000000003E-2</v>
      </c>
      <c r="AX5" s="35">
        <v>5.2200000000000003E-2</v>
      </c>
      <c r="AY5" s="35">
        <v>0.12759999999999999</v>
      </c>
    </row>
    <row r="6" spans="3:51">
      <c r="C6" s="40" t="s">
        <v>42</v>
      </c>
      <c r="D6" s="40">
        <v>20248789000</v>
      </c>
      <c r="E6" s="40"/>
      <c r="F6" s="33" t="s">
        <v>95</v>
      </c>
      <c r="G6" s="33">
        <v>2.3599999999999999E-2</v>
      </c>
      <c r="L6" t="s">
        <v>21</v>
      </c>
      <c r="M6" s="34">
        <v>41974</v>
      </c>
      <c r="N6" s="40">
        <v>42618</v>
      </c>
      <c r="O6" s="40">
        <v>9212632603.0100002</v>
      </c>
      <c r="P6" s="40">
        <v>129260813.67</v>
      </c>
      <c r="Q6" s="35">
        <v>15.596500000000001</v>
      </c>
      <c r="R6" s="40">
        <v>791652505.96000004</v>
      </c>
      <c r="S6" s="36">
        <v>9.67</v>
      </c>
      <c r="T6" s="40">
        <v>1497510.51</v>
      </c>
      <c r="U6" s="35">
        <v>0.1948</v>
      </c>
      <c r="V6" s="40">
        <v>1835081.67</v>
      </c>
      <c r="W6">
        <v>0.02</v>
      </c>
      <c r="X6">
        <v>0.51635036194168704</v>
      </c>
      <c r="AA6" s="48" t="s">
        <v>75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0.01</v>
      </c>
      <c r="AL6" s="36">
        <v>0.01</v>
      </c>
      <c r="AM6" s="36">
        <v>0.02</v>
      </c>
      <c r="AN6" s="36">
        <v>0.02</v>
      </c>
      <c r="AO6" s="36">
        <v>0.02</v>
      </c>
      <c r="AP6" s="36">
        <v>0.03</v>
      </c>
      <c r="AQ6" s="36">
        <v>0.03</v>
      </c>
      <c r="AR6" s="36">
        <v>0.04</v>
      </c>
      <c r="AS6" s="36">
        <v>0.04</v>
      </c>
      <c r="AT6" s="36">
        <v>0.05</v>
      </c>
      <c r="AU6" s="36">
        <v>0.05</v>
      </c>
      <c r="AV6" s="36">
        <v>0.05</v>
      </c>
      <c r="AW6" s="36">
        <v>0.06</v>
      </c>
      <c r="AX6" s="36">
        <v>0.06</v>
      </c>
      <c r="AY6" s="36">
        <v>6.9999999999999993E-2</v>
      </c>
    </row>
    <row r="7" spans="3:51">
      <c r="C7" s="40" t="s">
        <v>109</v>
      </c>
      <c r="D7" s="40">
        <v>34</v>
      </c>
      <c r="E7" s="40"/>
      <c r="F7" s="33" t="s">
        <v>96</v>
      </c>
      <c r="G7" s="33">
        <v>0.7157</v>
      </c>
      <c r="L7" t="s">
        <v>21</v>
      </c>
      <c r="M7" s="34">
        <v>42005</v>
      </c>
      <c r="N7" s="40">
        <v>42132</v>
      </c>
      <c r="O7" s="40">
        <v>9066975658.4200001</v>
      </c>
      <c r="P7" s="40">
        <v>269712527.51999998</v>
      </c>
      <c r="Q7" s="35">
        <v>30.398</v>
      </c>
      <c r="R7" s="40">
        <v>1061365033.48</v>
      </c>
      <c r="S7" s="36">
        <v>12.97</v>
      </c>
      <c r="T7" s="40">
        <v>0</v>
      </c>
      <c r="U7" s="35">
        <v>0</v>
      </c>
      <c r="V7" s="40">
        <v>1835081.67</v>
      </c>
      <c r="W7">
        <v>0.02</v>
      </c>
      <c r="X7">
        <v>0.426063121324534</v>
      </c>
      <c r="AA7" s="33" t="s">
        <v>39</v>
      </c>
      <c r="AB7" s="36">
        <v>0</v>
      </c>
      <c r="AC7" s="36">
        <v>0.12667221826199199</v>
      </c>
      <c r="AD7" s="36">
        <v>0.10356345223757799</v>
      </c>
      <c r="AE7" s="36">
        <v>0.137402924202362</v>
      </c>
      <c r="AF7" s="36">
        <v>0.15484221430720702</v>
      </c>
      <c r="AG7" s="36">
        <v>0.15094332223427401</v>
      </c>
      <c r="AH7" s="36">
        <v>0.21700490437786399</v>
      </c>
      <c r="AI7" s="36">
        <v>0.21894667321964001</v>
      </c>
      <c r="AJ7" s="36">
        <v>0.23021683029496001</v>
      </c>
      <c r="AK7" s="36">
        <v>0.28763854780915599</v>
      </c>
      <c r="AL7" s="36">
        <v>0.17641106928362399</v>
      </c>
      <c r="AM7" s="36">
        <v>0.17421491729425201</v>
      </c>
      <c r="AN7" s="36">
        <v>0.18080148243312499</v>
      </c>
      <c r="AO7" s="36">
        <v>0.22194793062559801</v>
      </c>
      <c r="AP7" s="36">
        <v>0.21691470665304502</v>
      </c>
      <c r="AQ7" s="36">
        <v>0.25668689206130602</v>
      </c>
      <c r="AR7" s="36">
        <v>0.24419934930955201</v>
      </c>
      <c r="AS7" s="36">
        <v>0.226047138543922</v>
      </c>
      <c r="AT7" s="36">
        <v>0.319782975405623</v>
      </c>
      <c r="AU7" s="36">
        <v>0.25090365666056302</v>
      </c>
      <c r="AV7" s="36">
        <v>0.25015041079039801</v>
      </c>
      <c r="AW7" s="36">
        <v>0.30000390932597404</v>
      </c>
      <c r="AX7" s="36">
        <v>0.221292653406198</v>
      </c>
      <c r="AY7" s="36">
        <v>0.22937126205111899</v>
      </c>
    </row>
    <row r="8" spans="3:51">
      <c r="C8" s="35" t="s">
        <v>110</v>
      </c>
      <c r="D8" s="35">
        <v>3.83</v>
      </c>
      <c r="E8" s="35"/>
      <c r="F8" s="33" t="s">
        <v>97</v>
      </c>
      <c r="G8" s="33">
        <v>0.89400000000000002</v>
      </c>
      <c r="L8" t="s">
        <v>21</v>
      </c>
      <c r="M8" s="34">
        <v>42036</v>
      </c>
      <c r="N8" s="40">
        <v>41141</v>
      </c>
      <c r="O8" s="40">
        <v>8782262327.0300007</v>
      </c>
      <c r="P8" s="40">
        <v>292801159.38</v>
      </c>
      <c r="Q8" s="35">
        <v>33.429000000000002</v>
      </c>
      <c r="R8" s="40">
        <v>1354166192.8599999</v>
      </c>
      <c r="S8" s="36">
        <v>16.54</v>
      </c>
      <c r="T8" s="40">
        <v>793770.14</v>
      </c>
      <c r="U8" s="35">
        <v>0.1084</v>
      </c>
      <c r="V8" s="40">
        <v>2628851.81</v>
      </c>
      <c r="W8">
        <v>0.03</v>
      </c>
      <c r="X8">
        <v>0.53237138676784901</v>
      </c>
    </row>
    <row r="9" spans="3:51">
      <c r="C9" s="35" t="s">
        <v>111</v>
      </c>
      <c r="D9" s="35">
        <v>3.83</v>
      </c>
      <c r="E9" s="35"/>
      <c r="F9" s="33" t="s">
        <v>98</v>
      </c>
      <c r="G9" s="33">
        <v>0.40079999999999999</v>
      </c>
      <c r="L9" t="s">
        <v>21</v>
      </c>
      <c r="M9" s="34">
        <v>42064</v>
      </c>
      <c r="N9" s="40">
        <v>40029</v>
      </c>
      <c r="O9" s="40">
        <v>8474595278.0200005</v>
      </c>
      <c r="P9" s="40">
        <v>176721009.63999999</v>
      </c>
      <c r="Q9" s="35">
        <v>22.344000000000001</v>
      </c>
      <c r="R9" s="40">
        <v>1530887202.5</v>
      </c>
      <c r="S9" s="36">
        <v>18.7</v>
      </c>
      <c r="T9" s="40">
        <v>1277554.23</v>
      </c>
      <c r="U9" s="35">
        <v>0.1807</v>
      </c>
      <c r="V9" s="40">
        <v>3906406.04</v>
      </c>
      <c r="W9">
        <v>0.04</v>
      </c>
      <c r="X9">
        <v>0.58858695835742603</v>
      </c>
    </row>
    <row r="10" spans="3:51">
      <c r="C10" s="41" t="s">
        <v>112</v>
      </c>
      <c r="D10" s="41">
        <v>74.8</v>
      </c>
      <c r="E10" s="41"/>
      <c r="F10" s="33" t="s">
        <v>99</v>
      </c>
      <c r="G10" s="33">
        <v>0.14069999999999999</v>
      </c>
      <c r="L10" t="s">
        <v>21</v>
      </c>
      <c r="M10" s="34">
        <v>42095</v>
      </c>
      <c r="N10" s="40">
        <v>39324</v>
      </c>
      <c r="O10" s="40">
        <v>8281394201.75</v>
      </c>
      <c r="P10" s="40">
        <v>169304692.94999999</v>
      </c>
      <c r="Q10" s="35">
        <v>21.953800000000001</v>
      </c>
      <c r="R10" s="40">
        <v>1700191895.45</v>
      </c>
      <c r="S10" s="36">
        <v>20.77</v>
      </c>
      <c r="T10" s="40">
        <v>1580228.66</v>
      </c>
      <c r="U10" s="35">
        <v>0.22869999999999999</v>
      </c>
      <c r="V10" s="40">
        <v>5486634.7000000002</v>
      </c>
      <c r="W10">
        <v>0.06</v>
      </c>
      <c r="X10">
        <v>0.42740795025214895</v>
      </c>
    </row>
    <row r="11" spans="3:51">
      <c r="C11" s="41" t="s">
        <v>113</v>
      </c>
      <c r="D11" s="41">
        <v>75.599999999999994</v>
      </c>
      <c r="E11" s="41"/>
      <c r="F11" s="33" t="s">
        <v>100</v>
      </c>
      <c r="G11" s="33">
        <v>0.99739999999999995</v>
      </c>
      <c r="L11" t="s">
        <v>21</v>
      </c>
      <c r="M11" s="34">
        <v>42125</v>
      </c>
      <c r="N11" s="40">
        <v>38647</v>
      </c>
      <c r="O11" s="40">
        <v>8096216510.6300001</v>
      </c>
      <c r="P11" s="40">
        <v>162666105.31999999</v>
      </c>
      <c r="Q11" s="35">
        <v>21.616299999999999</v>
      </c>
      <c r="R11" s="40">
        <v>1862858000.77</v>
      </c>
      <c r="S11" s="36">
        <v>22.759999999999998</v>
      </c>
      <c r="T11" s="40">
        <v>438173.31</v>
      </c>
      <c r="U11" s="35">
        <v>6.4899999999999999E-2</v>
      </c>
      <c r="V11" s="40">
        <v>5924808.0099999998</v>
      </c>
      <c r="W11">
        <v>6.9999999999999993E-2</v>
      </c>
      <c r="X11">
        <v>0.51322419447953493</v>
      </c>
    </row>
    <row r="12" spans="3:51">
      <c r="C12" s="41" t="s">
        <v>114</v>
      </c>
      <c r="D12" s="41">
        <v>60.6</v>
      </c>
      <c r="E12" s="41"/>
      <c r="F12" s="33" t="s">
        <v>101</v>
      </c>
      <c r="G12" s="33">
        <v>2.5999999999999999E-3</v>
      </c>
      <c r="M12" s="34"/>
      <c r="N12" s="40"/>
      <c r="O12" s="40"/>
      <c r="P12" s="40"/>
      <c r="Q12" s="35"/>
      <c r="R12" s="40"/>
      <c r="S12" s="36"/>
      <c r="T12" s="40"/>
      <c r="U12" s="35"/>
      <c r="V12" s="40"/>
      <c r="W12" s="36"/>
      <c r="X12" s="36"/>
    </row>
    <row r="13" spans="3:51">
      <c r="C13" s="41" t="s">
        <v>115</v>
      </c>
      <c r="D13" s="41">
        <v>32.200000000000003</v>
      </c>
      <c r="E13" s="41"/>
      <c r="F13" s="33" t="s">
        <v>102</v>
      </c>
      <c r="G13" s="33">
        <v>0.97750000000000004</v>
      </c>
      <c r="M13" s="34"/>
      <c r="N13" s="40"/>
      <c r="O13" s="40"/>
      <c r="P13" s="40"/>
      <c r="Q13" s="35"/>
      <c r="R13" s="40"/>
      <c r="S13" s="36"/>
      <c r="T13" s="40"/>
      <c r="U13" s="35"/>
      <c r="V13" s="40"/>
      <c r="W13" s="36"/>
      <c r="X13" s="36"/>
    </row>
    <row r="14" spans="3:51">
      <c r="C14" s="41" t="s">
        <v>116</v>
      </c>
      <c r="D14" s="41">
        <v>766.7</v>
      </c>
      <c r="E14" s="41"/>
      <c r="F14" s="33" t="s">
        <v>103</v>
      </c>
      <c r="G14" s="33">
        <v>1.9900000000000001E-2</v>
      </c>
      <c r="M14" s="34"/>
      <c r="N14" s="40"/>
      <c r="O14" s="40"/>
      <c r="P14" s="40"/>
      <c r="Q14" s="35"/>
      <c r="R14" s="40"/>
      <c r="S14" s="36"/>
      <c r="T14" s="40"/>
      <c r="U14" s="35"/>
      <c r="V14" s="40"/>
      <c r="W14" s="36"/>
      <c r="X14" s="36"/>
    </row>
    <row r="15" spans="3:51">
      <c r="C15" s="40" t="s">
        <v>117</v>
      </c>
      <c r="D15" s="40">
        <v>306099</v>
      </c>
      <c r="E15" s="40"/>
      <c r="F15" s="33" t="s">
        <v>104</v>
      </c>
      <c r="G15" s="33">
        <v>2.3E-3</v>
      </c>
      <c r="M15" s="34"/>
      <c r="N15" s="40"/>
      <c r="O15" s="40"/>
      <c r="P15" s="40"/>
      <c r="Q15" s="35"/>
      <c r="R15" s="40"/>
      <c r="S15" s="36"/>
      <c r="T15" s="40"/>
      <c r="U15" s="35"/>
      <c r="V15" s="40"/>
      <c r="W15" s="36"/>
      <c r="X15" s="36"/>
    </row>
    <row r="16" spans="3:51">
      <c r="C16" s="33" t="s">
        <v>105</v>
      </c>
      <c r="D16" s="33">
        <v>0</v>
      </c>
      <c r="E16" s="33"/>
      <c r="F16" s="33" t="s">
        <v>106</v>
      </c>
      <c r="G16" s="33">
        <v>2.9999999999999997E-4</v>
      </c>
      <c r="M16" s="34"/>
      <c r="N16" s="40"/>
      <c r="O16" s="40"/>
      <c r="P16" s="40"/>
      <c r="Q16" s="35"/>
      <c r="R16" s="40"/>
      <c r="S16" s="36"/>
      <c r="T16" s="40"/>
      <c r="U16" s="35"/>
      <c r="V16" s="40"/>
      <c r="W16" s="36"/>
      <c r="X16" s="36"/>
    </row>
    <row r="17" spans="3:24">
      <c r="C17" s="33" t="s">
        <v>107</v>
      </c>
      <c r="D17" s="33">
        <v>7.0300000000000001E-2</v>
      </c>
      <c r="E17" s="33"/>
      <c r="F17" s="33" t="s">
        <v>108</v>
      </c>
      <c r="G17" s="33">
        <v>1E-4</v>
      </c>
      <c r="M17" s="34"/>
      <c r="N17" s="40"/>
      <c r="O17" s="40"/>
      <c r="P17" s="40"/>
      <c r="Q17" s="35"/>
      <c r="R17" s="40"/>
      <c r="S17" s="36"/>
      <c r="T17" s="40"/>
      <c r="U17" s="35"/>
      <c r="V17" s="40"/>
      <c r="W17" s="36"/>
      <c r="X17" s="36"/>
    </row>
    <row r="18" spans="3:24">
      <c r="M18" s="34"/>
      <c r="N18" s="40"/>
      <c r="O18" s="40"/>
      <c r="P18" s="40"/>
      <c r="Q18" s="35"/>
      <c r="R18" s="40"/>
      <c r="S18" s="36"/>
      <c r="T18" s="40"/>
      <c r="U18" s="35"/>
      <c r="V18" s="40"/>
      <c r="W18" s="36"/>
      <c r="X18" s="36"/>
    </row>
    <row r="19" spans="3:24">
      <c r="M19" s="34"/>
      <c r="N19" s="40"/>
      <c r="O19" s="40"/>
      <c r="P19" s="40"/>
      <c r="Q19" s="35"/>
      <c r="R19" s="40"/>
      <c r="S19" s="36"/>
      <c r="T19" s="40"/>
      <c r="U19" s="35"/>
      <c r="V19" s="40"/>
      <c r="W19" s="36"/>
      <c r="X19" s="36"/>
    </row>
    <row r="20" spans="3:24">
      <c r="M20" s="34"/>
      <c r="N20" s="40"/>
      <c r="O20" s="40"/>
      <c r="P20" s="40"/>
      <c r="Q20" s="35"/>
      <c r="R20" s="40"/>
      <c r="S20" s="36"/>
      <c r="T20" s="40"/>
      <c r="U20" s="35"/>
      <c r="V20" s="40"/>
      <c r="W20" s="36"/>
      <c r="X20" s="36"/>
    </row>
    <row r="21" spans="3:24">
      <c r="M21" s="34"/>
      <c r="N21" s="40"/>
      <c r="O21" s="40"/>
      <c r="P21" s="40"/>
      <c r="Q21" s="35"/>
      <c r="R21" s="40"/>
      <c r="S21" s="36"/>
      <c r="T21" s="40"/>
      <c r="U21" s="35"/>
      <c r="V21" s="40"/>
      <c r="W21" s="36"/>
      <c r="X21" s="36"/>
    </row>
    <row r="22" spans="3:24">
      <c r="M22" s="34"/>
      <c r="N22" s="40"/>
      <c r="O22" s="40"/>
      <c r="P22" s="40"/>
      <c r="Q22" s="35"/>
      <c r="R22" s="40"/>
      <c r="S22" s="36"/>
      <c r="T22" s="40"/>
      <c r="U22" s="35"/>
      <c r="V22" s="40"/>
      <c r="W22" s="36"/>
      <c r="X22" s="36"/>
    </row>
    <row r="23" spans="3:24">
      <c r="M23" s="34"/>
      <c r="N23" s="40"/>
      <c r="O23" s="40"/>
      <c r="P23" s="40"/>
      <c r="Q23" s="35"/>
      <c r="R23" s="40"/>
      <c r="S23" s="36"/>
      <c r="T23" s="40"/>
      <c r="U23" s="35"/>
      <c r="V23" s="40"/>
      <c r="W23" s="36"/>
      <c r="X23" s="36"/>
    </row>
    <row r="24" spans="3:24">
      <c r="M24" s="34"/>
      <c r="N24" s="40"/>
      <c r="O24" s="40"/>
      <c r="P24" s="40"/>
      <c r="Q24" s="35"/>
      <c r="R24" s="40"/>
      <c r="S24" s="36"/>
      <c r="T24" s="40"/>
      <c r="U24" s="35"/>
      <c r="V24" s="40"/>
      <c r="W24" s="36"/>
      <c r="X24" s="36"/>
    </row>
    <row r="25" spans="3:24">
      <c r="M25" s="34"/>
      <c r="N25" s="40"/>
      <c r="O25" s="40"/>
      <c r="P25" s="40"/>
      <c r="Q25" s="35"/>
      <c r="R25" s="40"/>
      <c r="S25" s="36"/>
      <c r="T25" s="40"/>
      <c r="U25" s="35"/>
      <c r="V25" s="40"/>
      <c r="W25" s="36"/>
      <c r="X25" s="36"/>
    </row>
    <row r="28" spans="3:24">
      <c r="C28" t="s">
        <v>21</v>
      </c>
    </row>
    <row r="29" spans="3:24">
      <c r="C29" s="40">
        <v>37981</v>
      </c>
    </row>
    <row r="30" spans="3:24">
      <c r="C30" s="40">
        <v>7919678628.1700001</v>
      </c>
    </row>
    <row r="31" spans="3:24">
      <c r="C31" s="40">
        <v>8182812000</v>
      </c>
    </row>
    <row r="32" spans="3:24">
      <c r="C32" s="40">
        <v>19.223525697993999</v>
      </c>
      <c r="L32" t="s">
        <v>30</v>
      </c>
      <c r="M32" t="s">
        <v>31</v>
      </c>
      <c r="N32" s="40" t="s">
        <v>68</v>
      </c>
      <c r="O32" s="40" t="s">
        <v>69</v>
      </c>
      <c r="P32" s="40" t="s">
        <v>70</v>
      </c>
      <c r="Q32" s="35" t="s">
        <v>32</v>
      </c>
      <c r="R32" s="40" t="s">
        <v>72</v>
      </c>
      <c r="S32" s="33" t="s">
        <v>35</v>
      </c>
      <c r="T32" s="40" t="s">
        <v>71</v>
      </c>
      <c r="U32" s="35" t="s">
        <v>33</v>
      </c>
      <c r="V32" s="40" t="s">
        <v>73</v>
      </c>
      <c r="W32" s="33" t="s">
        <v>36</v>
      </c>
      <c r="X32" s="33" t="s">
        <v>34</v>
      </c>
    </row>
    <row r="33" spans="3:28">
      <c r="C33" s="35">
        <v>4.5516286331051203</v>
      </c>
      <c r="L33" t="s">
        <v>21</v>
      </c>
      <c r="M33" s="34">
        <v>41852</v>
      </c>
      <c r="N33" s="40">
        <v>45112</v>
      </c>
      <c r="O33" s="40">
        <v>9940429900.0400009</v>
      </c>
      <c r="P33" s="40">
        <v>255498541.15000001</v>
      </c>
      <c r="Q33" s="35">
        <v>26.836099999999998</v>
      </c>
      <c r="R33" s="40">
        <v>255498541.15000001</v>
      </c>
      <c r="S33" s="33">
        <v>3.1199999999999999E-2</v>
      </c>
      <c r="T33" s="40">
        <v>0</v>
      </c>
      <c r="U33" s="35">
        <v>0</v>
      </c>
      <c r="V33" s="40">
        <v>0</v>
      </c>
      <c r="W33" s="33">
        <v>0</v>
      </c>
      <c r="X33" s="33">
        <v>1.77747015749579E-3</v>
      </c>
      <c r="Z33">
        <f>S33*100</f>
        <v>3.1199999999999997</v>
      </c>
      <c r="AA33">
        <f>W33*100</f>
        <v>0</v>
      </c>
      <c r="AB33">
        <f>X33*100</f>
        <v>0.17774701574957899</v>
      </c>
    </row>
    <row r="34" spans="3:28">
      <c r="C34" s="35">
        <v>4.5515971531744999</v>
      </c>
      <c r="L34" t="s">
        <v>21</v>
      </c>
      <c r="M34" s="34">
        <v>41883</v>
      </c>
      <c r="N34" s="40">
        <v>44147</v>
      </c>
      <c r="O34" s="40">
        <v>9668617060.4899998</v>
      </c>
      <c r="P34" s="40">
        <v>96526009.129999995</v>
      </c>
      <c r="Q34" s="35">
        <v>11.3437</v>
      </c>
      <c r="R34" s="40">
        <v>352024550.27999997</v>
      </c>
      <c r="S34" s="33">
        <v>4.2999999999999997E-2</v>
      </c>
      <c r="T34" s="40">
        <v>0</v>
      </c>
      <c r="U34" s="35">
        <v>0</v>
      </c>
      <c r="V34" s="40">
        <v>0</v>
      </c>
      <c r="W34" s="33">
        <v>0</v>
      </c>
      <c r="X34" s="33">
        <v>2.6546245827528099E-3</v>
      </c>
      <c r="Z34">
        <f t="shared" ref="Z34:Z42" si="0">S34*100</f>
        <v>4.3</v>
      </c>
      <c r="AA34">
        <f t="shared" ref="AA34:AB42" si="1">W34*100</f>
        <v>0</v>
      </c>
      <c r="AB34">
        <f t="shared" si="1"/>
        <v>0.26546245827528098</v>
      </c>
    </row>
    <row r="35" spans="3:28">
      <c r="C35" s="41">
        <v>92.314133295397895</v>
      </c>
      <c r="L35" t="s">
        <v>21</v>
      </c>
      <c r="M35" s="34">
        <v>41913</v>
      </c>
      <c r="N35" s="40">
        <v>43762</v>
      </c>
      <c r="O35" s="40">
        <v>9556067688.0200005</v>
      </c>
      <c r="P35" s="40">
        <v>153869136.05000001</v>
      </c>
      <c r="Q35" s="35">
        <v>17.6995</v>
      </c>
      <c r="R35" s="40">
        <v>505893686.32999998</v>
      </c>
      <c r="S35" s="33">
        <v>6.1800000000000001E-2</v>
      </c>
      <c r="T35" s="40">
        <v>0</v>
      </c>
      <c r="U35" s="35">
        <v>0</v>
      </c>
      <c r="V35" s="40">
        <v>0</v>
      </c>
      <c r="W35" s="33">
        <v>0</v>
      </c>
      <c r="X35" s="33">
        <v>3.07291430520249E-3</v>
      </c>
      <c r="Z35">
        <f t="shared" si="0"/>
        <v>6.18</v>
      </c>
      <c r="AA35">
        <f t="shared" si="1"/>
        <v>0</v>
      </c>
      <c r="AB35">
        <f t="shared" si="1"/>
        <v>0.30729143052024899</v>
      </c>
    </row>
    <row r="36" spans="3:28">
      <c r="C36" s="41">
        <v>92.3249810488919</v>
      </c>
      <c r="L36" t="s">
        <v>21</v>
      </c>
      <c r="M36" s="34">
        <v>41944</v>
      </c>
      <c r="N36" s="40">
        <v>43202</v>
      </c>
      <c r="O36" s="40">
        <v>9385514861.4400005</v>
      </c>
      <c r="P36" s="40">
        <v>156498005.96000001</v>
      </c>
      <c r="Q36" s="35">
        <v>18.272500000000001</v>
      </c>
      <c r="R36" s="40">
        <v>662391692.28999996</v>
      </c>
      <c r="S36" s="33">
        <v>8.09E-2</v>
      </c>
      <c r="T36" s="40">
        <v>337571.16</v>
      </c>
      <c r="U36" s="35">
        <v>4.3099999999999999E-2</v>
      </c>
      <c r="V36" s="40">
        <v>337571.16</v>
      </c>
      <c r="W36" s="33">
        <v>0</v>
      </c>
      <c r="X36" s="33">
        <v>3.5378818839678899E-3</v>
      </c>
      <c r="Z36">
        <f t="shared" si="0"/>
        <v>8.09</v>
      </c>
      <c r="AA36">
        <f t="shared" si="1"/>
        <v>0</v>
      </c>
      <c r="AB36">
        <f t="shared" si="1"/>
        <v>0.35378818839678899</v>
      </c>
    </row>
    <row r="37" spans="3:28">
      <c r="C37" s="41">
        <v>83.687363108517999</v>
      </c>
      <c r="L37" t="s">
        <v>21</v>
      </c>
      <c r="M37" s="34">
        <v>41974</v>
      </c>
      <c r="N37" s="40">
        <v>42618</v>
      </c>
      <c r="O37" s="40">
        <v>9212632603.0100002</v>
      </c>
      <c r="P37" s="40">
        <v>129260813.67</v>
      </c>
      <c r="Q37" s="35">
        <v>15.596500000000001</v>
      </c>
      <c r="R37" s="40">
        <v>791652505.96000004</v>
      </c>
      <c r="S37" s="33">
        <v>9.6699999999999994E-2</v>
      </c>
      <c r="T37" s="40">
        <v>1497510.51</v>
      </c>
      <c r="U37" s="35">
        <v>0.1948</v>
      </c>
      <c r="V37" s="40">
        <v>1835081.67</v>
      </c>
      <c r="W37" s="33">
        <v>2.0000000000000001E-4</v>
      </c>
      <c r="X37" s="33">
        <v>5.1635036194168701E-3</v>
      </c>
      <c r="Z37">
        <f t="shared" si="0"/>
        <v>9.67</v>
      </c>
      <c r="AA37">
        <f t="shared" si="1"/>
        <v>0.02</v>
      </c>
      <c r="AB37">
        <f t="shared" si="1"/>
        <v>0.51635036194168704</v>
      </c>
    </row>
    <row r="38" spans="3:28">
      <c r="C38" s="41">
        <v>34.722093165548202</v>
      </c>
      <c r="L38" t="s">
        <v>21</v>
      </c>
      <c r="M38" s="34">
        <v>42005</v>
      </c>
      <c r="N38" s="40">
        <v>42132</v>
      </c>
      <c r="O38" s="40">
        <v>9066975658.4200001</v>
      </c>
      <c r="P38" s="40">
        <v>269712527.51999998</v>
      </c>
      <c r="Q38" s="35">
        <v>30.398</v>
      </c>
      <c r="R38" s="40">
        <v>1061365033.48</v>
      </c>
      <c r="S38" s="33">
        <v>0.12970000000000001</v>
      </c>
      <c r="T38" s="40">
        <v>0</v>
      </c>
      <c r="U38" s="35">
        <v>0</v>
      </c>
      <c r="V38" s="40">
        <v>1835081.67</v>
      </c>
      <c r="W38" s="33">
        <v>2.0000000000000001E-4</v>
      </c>
      <c r="X38" s="33">
        <v>4.2606312132453398E-3</v>
      </c>
      <c r="Z38">
        <f t="shared" si="0"/>
        <v>12.97</v>
      </c>
      <c r="AA38">
        <f t="shared" si="1"/>
        <v>0.02</v>
      </c>
      <c r="AB38">
        <f t="shared" si="1"/>
        <v>0.426063121324534</v>
      </c>
    </row>
    <row r="39" spans="3:28">
      <c r="C39" s="41">
        <v>751.27795762989103</v>
      </c>
      <c r="L39" t="s">
        <v>21</v>
      </c>
      <c r="M39" s="34">
        <v>42036</v>
      </c>
      <c r="N39" s="40">
        <v>41141</v>
      </c>
      <c r="O39" s="40">
        <v>8782262327.0300007</v>
      </c>
      <c r="P39" s="40">
        <v>292801159.38</v>
      </c>
      <c r="Q39" s="35">
        <v>33.429000000000002</v>
      </c>
      <c r="R39" s="40">
        <v>1354166192.8599999</v>
      </c>
      <c r="S39" s="33">
        <v>0.16539999999999999</v>
      </c>
      <c r="T39" s="40">
        <v>793770.14</v>
      </c>
      <c r="U39" s="35">
        <v>0.1084</v>
      </c>
      <c r="V39" s="40">
        <v>2628851.81</v>
      </c>
      <c r="W39" s="33">
        <v>2.9999999999999997E-4</v>
      </c>
      <c r="X39" s="33">
        <v>5.3237138676784897E-3</v>
      </c>
      <c r="Z39">
        <f t="shared" si="0"/>
        <v>16.54</v>
      </c>
      <c r="AA39">
        <f t="shared" si="1"/>
        <v>0.03</v>
      </c>
      <c r="AB39">
        <f t="shared" si="1"/>
        <v>0.53237138676784901</v>
      </c>
    </row>
    <row r="40" spans="3:28">
      <c r="C40" s="40">
        <v>257728.99219422101</v>
      </c>
      <c r="L40" t="s">
        <v>21</v>
      </c>
      <c r="M40" s="34">
        <v>42064</v>
      </c>
      <c r="N40" s="40">
        <v>40029</v>
      </c>
      <c r="O40" s="40">
        <v>8474595278.0200005</v>
      </c>
      <c r="P40" s="40">
        <v>176721009.63999999</v>
      </c>
      <c r="Q40" s="35">
        <v>22.344000000000001</v>
      </c>
      <c r="R40" s="40">
        <v>1530887202.5</v>
      </c>
      <c r="S40" s="33">
        <v>0.187</v>
      </c>
      <c r="T40" s="40">
        <v>1277554.23</v>
      </c>
      <c r="U40" s="35">
        <v>0.1807</v>
      </c>
      <c r="V40" s="40">
        <v>3906406.04</v>
      </c>
      <c r="W40" s="33">
        <v>4.0000000000000002E-4</v>
      </c>
      <c r="X40" s="33">
        <v>5.8858695835742603E-3</v>
      </c>
      <c r="Z40">
        <f t="shared" si="0"/>
        <v>18.7</v>
      </c>
      <c r="AA40">
        <f t="shared" si="1"/>
        <v>0.04</v>
      </c>
      <c r="AB40">
        <f t="shared" si="1"/>
        <v>0.58858695835742603</v>
      </c>
    </row>
    <row r="41" spans="3:28">
      <c r="C41" s="33">
        <v>0.99801637525112097</v>
      </c>
      <c r="L41" t="s">
        <v>21</v>
      </c>
      <c r="M41" s="34">
        <v>42095</v>
      </c>
      <c r="N41" s="40">
        <v>39324</v>
      </c>
      <c r="O41" s="40">
        <v>8281394201.75</v>
      </c>
      <c r="P41" s="40">
        <v>169304692.94999999</v>
      </c>
      <c r="Q41" s="35">
        <v>21.953800000000001</v>
      </c>
      <c r="R41" s="40">
        <v>1700191895.45</v>
      </c>
      <c r="S41" s="33">
        <v>0.2077</v>
      </c>
      <c r="T41" s="40">
        <v>1580228.66</v>
      </c>
      <c r="U41" s="35">
        <v>0.22869999999999999</v>
      </c>
      <c r="V41" s="40">
        <v>5486634.7000000002</v>
      </c>
      <c r="W41" s="33">
        <v>5.9999999999999995E-4</v>
      </c>
      <c r="X41" s="33">
        <v>4.2740795025214898E-3</v>
      </c>
      <c r="Z41">
        <f t="shared" si="0"/>
        <v>20.77</v>
      </c>
      <c r="AA41">
        <f t="shared" si="1"/>
        <v>0.06</v>
      </c>
      <c r="AB41">
        <f t="shared" si="1"/>
        <v>0.42740795025214895</v>
      </c>
    </row>
    <row r="42" spans="3:28">
      <c r="C42" s="33">
        <v>1.68610543014995E-3</v>
      </c>
      <c r="L42" t="s">
        <v>21</v>
      </c>
      <c r="M42" s="34">
        <v>42125</v>
      </c>
      <c r="N42" s="40">
        <v>38647</v>
      </c>
      <c r="O42" s="40">
        <v>8096216510.6300001</v>
      </c>
      <c r="P42" s="40">
        <v>162666105.31999999</v>
      </c>
      <c r="Q42" s="35">
        <v>21.616299999999999</v>
      </c>
      <c r="R42" s="40">
        <v>1862858000.77</v>
      </c>
      <c r="S42" s="33">
        <v>0.2276</v>
      </c>
      <c r="T42" s="40">
        <v>438173.31</v>
      </c>
      <c r="U42" s="35">
        <v>6.4899999999999999E-2</v>
      </c>
      <c r="V42" s="40">
        <v>5924808.0099999998</v>
      </c>
      <c r="W42" s="33">
        <v>6.9999999999999999E-4</v>
      </c>
      <c r="X42" s="33">
        <v>5.1322419447953497E-3</v>
      </c>
      <c r="Z42">
        <f t="shared" si="0"/>
        <v>22.759999999999998</v>
      </c>
      <c r="AA42">
        <f t="shared" si="1"/>
        <v>6.9999999999999993E-2</v>
      </c>
      <c r="AB42">
        <f t="shared" si="1"/>
        <v>0.51322419447953493</v>
      </c>
    </row>
    <row r="43" spans="3:28">
      <c r="C43" s="33">
        <v>0.39643030257093398</v>
      </c>
      <c r="M43" s="34"/>
      <c r="N43" s="40"/>
      <c r="O43" s="40"/>
      <c r="P43" s="40"/>
      <c r="Q43" s="35"/>
      <c r="R43" s="40"/>
      <c r="S43" s="70"/>
      <c r="T43" s="40"/>
      <c r="U43" s="35"/>
      <c r="V43" s="40"/>
      <c r="W43" s="70"/>
      <c r="X43" s="33"/>
    </row>
    <row r="44" spans="3:28">
      <c r="C44" s="33">
        <v>0.54258630000532304</v>
      </c>
    </row>
    <row r="45" spans="3:28">
      <c r="C45" s="33">
        <v>0</v>
      </c>
    </row>
    <row r="46" spans="3:28">
      <c r="C46" s="33">
        <v>0.60735330321117498</v>
      </c>
    </row>
    <row r="47" spans="3:28">
      <c r="C47" s="33">
        <v>0.99548008661075205</v>
      </c>
    </row>
    <row r="48" spans="3:28">
      <c r="C48" s="33">
        <v>0.90576257158019802</v>
      </c>
    </row>
    <row r="49" spans="3:3">
      <c r="C49" s="33">
        <v>7.9505437242154198E-2</v>
      </c>
    </row>
    <row r="50" spans="3:3">
      <c r="C50" s="33">
        <v>0.99383550107874996</v>
      </c>
    </row>
    <row r="51" spans="3:3">
      <c r="C51" s="33">
        <v>6.1644989212499097E-3</v>
      </c>
    </row>
    <row r="52" spans="3:3">
      <c r="C52" s="33">
        <v>0.98018477958665995</v>
      </c>
    </row>
    <row r="53" spans="3:3">
      <c r="C53" s="33">
        <v>1.36507214920892E-2</v>
      </c>
    </row>
    <row r="54" spans="3:3">
      <c r="C54" s="33">
        <v>5.4569332796255299E-3</v>
      </c>
    </row>
    <row r="55" spans="3:3">
      <c r="C55" s="33">
        <v>7.0756564162437999E-4</v>
      </c>
    </row>
    <row r="56" spans="3:3">
      <c r="C56" s="33">
        <v>8.9954897597229494E-5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3"/>
  <sheetViews>
    <sheetView topLeftCell="A337" workbookViewId="0">
      <selection activeCell="N6" sqref="N6"/>
    </sheetView>
  </sheetViews>
  <sheetFormatPr defaultRowHeight="15"/>
  <cols>
    <col min="13" max="13" width="17.85546875" customWidth="1"/>
    <col min="14" max="14" width="22.42578125" bestFit="1" customWidth="1"/>
    <col min="15" max="17" width="12" customWidth="1"/>
    <col min="20" max="20" width="17.85546875" customWidth="1"/>
    <col min="21" max="21" width="24" bestFit="1" customWidth="1"/>
    <col min="22" max="24" width="12" customWidth="1"/>
  </cols>
  <sheetData>
    <row r="1" spans="1:24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119</v>
      </c>
      <c r="M1" s="49" t="s">
        <v>80</v>
      </c>
      <c r="N1" t="s">
        <v>89</v>
      </c>
      <c r="T1" s="49" t="s">
        <v>80</v>
      </c>
      <c r="U1" t="s">
        <v>87</v>
      </c>
    </row>
    <row r="2" spans="1:24">
      <c r="A2">
        <v>1</v>
      </c>
      <c r="B2" t="s">
        <v>84</v>
      </c>
      <c r="C2" s="34">
        <v>42186</v>
      </c>
      <c r="D2" t="s">
        <v>85</v>
      </c>
      <c r="E2" t="s">
        <v>86</v>
      </c>
      <c r="F2" t="s">
        <v>87</v>
      </c>
      <c r="G2">
        <v>1.7588129916078499E-2</v>
      </c>
      <c r="H2" t="s">
        <v>123</v>
      </c>
      <c r="I2" t="s">
        <v>88</v>
      </c>
      <c r="J2">
        <f>100*(1-(1-G2)^12)</f>
        <v>19.179187005508791</v>
      </c>
    </row>
    <row r="3" spans="1:24">
      <c r="A3">
        <v>2</v>
      </c>
      <c r="B3" t="s">
        <v>84</v>
      </c>
      <c r="C3" s="34">
        <v>42217</v>
      </c>
      <c r="D3" t="s">
        <v>85</v>
      </c>
      <c r="E3" t="s">
        <v>86</v>
      </c>
      <c r="F3" t="s">
        <v>87</v>
      </c>
      <c r="G3">
        <v>1.6563238058118799E-2</v>
      </c>
      <c r="H3" t="s">
        <v>123</v>
      </c>
      <c r="I3" t="s">
        <v>88</v>
      </c>
      <c r="J3">
        <f t="shared" ref="J3:J66" si="0">100*(1-(1-G3)^12)</f>
        <v>18.161574766212361</v>
      </c>
      <c r="M3" s="49" t="s">
        <v>120</v>
      </c>
      <c r="N3" s="49" t="s">
        <v>13</v>
      </c>
      <c r="T3" s="49" t="s">
        <v>120</v>
      </c>
      <c r="U3" s="49" t="s">
        <v>13</v>
      </c>
    </row>
    <row r="4" spans="1:24">
      <c r="A4">
        <v>3</v>
      </c>
      <c r="B4" t="s">
        <v>84</v>
      </c>
      <c r="C4" s="34">
        <v>42248</v>
      </c>
      <c r="D4" t="s">
        <v>85</v>
      </c>
      <c r="E4" t="s">
        <v>86</v>
      </c>
      <c r="F4" t="s">
        <v>87</v>
      </c>
      <c r="G4">
        <v>1.63325116358914E-2</v>
      </c>
      <c r="H4" t="s">
        <v>123</v>
      </c>
      <c r="I4" t="s">
        <v>88</v>
      </c>
      <c r="J4">
        <f t="shared" si="0"/>
        <v>17.930873552468462</v>
      </c>
      <c r="M4" s="49" t="s">
        <v>14</v>
      </c>
      <c r="N4" t="s">
        <v>91</v>
      </c>
      <c r="O4" t="s">
        <v>90</v>
      </c>
      <c r="P4" t="s">
        <v>88</v>
      </c>
      <c r="Q4" t="s">
        <v>92</v>
      </c>
      <c r="T4" s="49" t="s">
        <v>14</v>
      </c>
      <c r="U4" t="s">
        <v>91</v>
      </c>
      <c r="V4" t="s">
        <v>90</v>
      </c>
      <c r="W4" t="s">
        <v>88</v>
      </c>
      <c r="X4" t="s">
        <v>92</v>
      </c>
    </row>
    <row r="5" spans="1:24">
      <c r="A5">
        <v>4</v>
      </c>
      <c r="B5" t="s">
        <v>84</v>
      </c>
      <c r="C5" s="34">
        <v>42278</v>
      </c>
      <c r="D5" t="s">
        <v>85</v>
      </c>
      <c r="E5" t="s">
        <v>86</v>
      </c>
      <c r="F5" t="s">
        <v>87</v>
      </c>
      <c r="G5">
        <v>1.6867055481790901E-2</v>
      </c>
      <c r="H5" t="s">
        <v>123</v>
      </c>
      <c r="I5" t="s">
        <v>88</v>
      </c>
      <c r="J5">
        <f t="shared" si="0"/>
        <v>18.464452226033469</v>
      </c>
      <c r="M5" s="50">
        <v>42186</v>
      </c>
      <c r="N5" s="51">
        <v>0.21931694406223112</v>
      </c>
      <c r="O5" s="51">
        <v>0.21941046544478038</v>
      </c>
      <c r="P5" s="51">
        <v>0.21982007107242962</v>
      </c>
      <c r="Q5" s="51">
        <v>0.65854748057944112</v>
      </c>
      <c r="T5" s="50">
        <v>42186</v>
      </c>
      <c r="U5" s="51">
        <v>19.444740225117808</v>
      </c>
      <c r="V5" s="51">
        <v>19.395251141750457</v>
      </c>
      <c r="W5" s="51">
        <v>19.179187005508791</v>
      </c>
      <c r="X5" s="51">
        <v>58.019178372377056</v>
      </c>
    </row>
    <row r="6" spans="1:24">
      <c r="A6">
        <v>5</v>
      </c>
      <c r="B6" t="s">
        <v>84</v>
      </c>
      <c r="C6" s="34">
        <v>42309</v>
      </c>
      <c r="D6" t="s">
        <v>85</v>
      </c>
      <c r="E6" t="s">
        <v>86</v>
      </c>
      <c r="F6" t="s">
        <v>87</v>
      </c>
      <c r="G6">
        <v>1.39670180030716E-2</v>
      </c>
      <c r="H6" t="s">
        <v>123</v>
      </c>
      <c r="I6" t="s">
        <v>88</v>
      </c>
      <c r="J6">
        <f t="shared" si="0"/>
        <v>15.531009529146644</v>
      </c>
      <c r="M6" s="50">
        <v>42217</v>
      </c>
      <c r="N6" s="51">
        <v>0.20227033875198641</v>
      </c>
      <c r="O6" s="51">
        <v>0.2026333660513191</v>
      </c>
      <c r="P6" s="51">
        <v>0.20423571571628329</v>
      </c>
      <c r="Q6" s="51">
        <v>0.6091394205195888</v>
      </c>
      <c r="T6" s="50">
        <v>42217</v>
      </c>
      <c r="U6" s="51">
        <v>18.675956084518162</v>
      </c>
      <c r="V6" s="51">
        <v>18.580669684624763</v>
      </c>
      <c r="W6" s="51">
        <v>18.161574766212361</v>
      </c>
      <c r="X6" s="51">
        <v>55.41820053535529</v>
      </c>
    </row>
    <row r="7" spans="1:24">
      <c r="A7">
        <v>6</v>
      </c>
      <c r="B7" t="s">
        <v>84</v>
      </c>
      <c r="C7" s="34">
        <v>42339</v>
      </c>
      <c r="D7" t="s">
        <v>85</v>
      </c>
      <c r="E7" t="s">
        <v>86</v>
      </c>
      <c r="F7" t="s">
        <v>87</v>
      </c>
      <c r="G7">
        <v>1.51400589641776E-2</v>
      </c>
      <c r="H7" t="s">
        <v>123</v>
      </c>
      <c r="I7" t="s">
        <v>88</v>
      </c>
      <c r="J7">
        <f t="shared" si="0"/>
        <v>16.729020023285447</v>
      </c>
      <c r="M7" s="50">
        <v>42248</v>
      </c>
      <c r="N7" s="51">
        <v>0.27104598330088825</v>
      </c>
      <c r="O7" s="51">
        <v>0.27244338055614215</v>
      </c>
      <c r="P7" s="51">
        <v>0.27870973558609125</v>
      </c>
      <c r="Q7" s="51">
        <v>0.82219909944312164</v>
      </c>
      <c r="T7" s="50">
        <v>42248</v>
      </c>
      <c r="U7" s="51">
        <v>18.706277001745143</v>
      </c>
      <c r="V7" s="51">
        <v>18.563510964133943</v>
      </c>
      <c r="W7" s="51">
        <v>17.930873552468462</v>
      </c>
      <c r="X7" s="51">
        <v>55.200661518347552</v>
      </c>
    </row>
    <row r="8" spans="1:24">
      <c r="A8">
        <v>7</v>
      </c>
      <c r="B8" t="s">
        <v>84</v>
      </c>
      <c r="C8" s="34">
        <v>42370</v>
      </c>
      <c r="D8" t="s">
        <v>85</v>
      </c>
      <c r="E8" t="s">
        <v>86</v>
      </c>
      <c r="F8" t="s">
        <v>87</v>
      </c>
      <c r="G8">
        <v>1.28819248708041E-2</v>
      </c>
      <c r="H8" t="s">
        <v>123</v>
      </c>
      <c r="I8" t="s">
        <v>88</v>
      </c>
      <c r="J8">
        <f t="shared" si="0"/>
        <v>14.408773013203646</v>
      </c>
      <c r="M8" s="50">
        <v>42278</v>
      </c>
      <c r="N8" s="51">
        <v>0.38400572084148488</v>
      </c>
      <c r="O8" s="51">
        <v>0.38799317996258686</v>
      </c>
      <c r="P8" s="51">
        <v>0.40629083136670685</v>
      </c>
      <c r="Q8" s="51">
        <v>1.1782897321707786</v>
      </c>
      <c r="T8" s="50">
        <v>42278</v>
      </c>
      <c r="U8" s="51">
        <v>19.543230987419669</v>
      </c>
      <c r="V8" s="51">
        <v>19.345865713215581</v>
      </c>
      <c r="W8" s="51">
        <v>18.464452226033469</v>
      </c>
      <c r="X8" s="51">
        <v>57.353548926668722</v>
      </c>
    </row>
    <row r="9" spans="1:24">
      <c r="A9">
        <v>8</v>
      </c>
      <c r="B9" t="s">
        <v>84</v>
      </c>
      <c r="C9" s="34">
        <v>42401</v>
      </c>
      <c r="D9" t="s">
        <v>85</v>
      </c>
      <c r="E9" t="s">
        <v>86</v>
      </c>
      <c r="F9" t="s">
        <v>87</v>
      </c>
      <c r="G9">
        <v>1.3355545160383999E-2</v>
      </c>
      <c r="H9" t="s">
        <v>123</v>
      </c>
      <c r="I9" t="s">
        <v>88</v>
      </c>
      <c r="J9">
        <f t="shared" si="0"/>
        <v>14.900275762717563</v>
      </c>
      <c r="M9" s="50">
        <v>42309</v>
      </c>
      <c r="N9" s="51">
        <v>0.43202956039877227</v>
      </c>
      <c r="O9" s="51">
        <v>0.43919720061129652</v>
      </c>
      <c r="P9" s="51">
        <v>0.47295118520509494</v>
      </c>
      <c r="Q9" s="51">
        <v>1.3441779462151637</v>
      </c>
      <c r="T9" s="50">
        <v>42309</v>
      </c>
      <c r="U9" s="51">
        <v>16.705570211292265</v>
      </c>
      <c r="V9" s="51">
        <v>16.49177769929754</v>
      </c>
      <c r="W9" s="51">
        <v>15.531009529146644</v>
      </c>
      <c r="X9" s="51">
        <v>48.728357439736449</v>
      </c>
    </row>
    <row r="10" spans="1:24">
      <c r="A10">
        <v>9</v>
      </c>
      <c r="B10" t="s">
        <v>84</v>
      </c>
      <c r="C10" s="34">
        <v>42430</v>
      </c>
      <c r="D10" t="s">
        <v>85</v>
      </c>
      <c r="E10" t="s">
        <v>86</v>
      </c>
      <c r="F10" t="s">
        <v>87</v>
      </c>
      <c r="G10">
        <v>1.44653601783337E-2</v>
      </c>
      <c r="H10" t="s">
        <v>123</v>
      </c>
      <c r="I10" t="s">
        <v>88</v>
      </c>
      <c r="J10">
        <f t="shared" si="0"/>
        <v>16.041876583958505</v>
      </c>
      <c r="M10" s="50">
        <v>42339</v>
      </c>
      <c r="N10" s="51">
        <v>0.54325899358168561</v>
      </c>
      <c r="O10" s="51">
        <v>0.5557917509442678</v>
      </c>
      <c r="P10" s="51">
        <v>0.61638534084842433</v>
      </c>
      <c r="Q10" s="51">
        <v>1.7154360853743778</v>
      </c>
      <c r="T10" s="50">
        <v>42339</v>
      </c>
      <c r="U10" s="51">
        <v>18.26167640078048</v>
      </c>
      <c r="V10" s="51">
        <v>17.984548811258559</v>
      </c>
      <c r="W10" s="51">
        <v>16.729020023285447</v>
      </c>
      <c r="X10" s="51">
        <v>52.975245235324479</v>
      </c>
    </row>
    <row r="11" spans="1:24">
      <c r="A11">
        <v>10</v>
      </c>
      <c r="B11" t="s">
        <v>84</v>
      </c>
      <c r="C11" s="34">
        <v>42461</v>
      </c>
      <c r="D11" t="s">
        <v>85</v>
      </c>
      <c r="E11" t="s">
        <v>86</v>
      </c>
      <c r="F11" t="s">
        <v>87</v>
      </c>
      <c r="G11">
        <v>1.35911998712934E-2</v>
      </c>
      <c r="H11" t="s">
        <v>123</v>
      </c>
      <c r="I11" t="s">
        <v>88</v>
      </c>
      <c r="J11">
        <f t="shared" si="0"/>
        <v>15.143862936219632</v>
      </c>
      <c r="M11" s="50">
        <v>42370</v>
      </c>
      <c r="N11" s="51">
        <v>0.54237775776263542</v>
      </c>
      <c r="O11" s="51">
        <v>0.55885266568163061</v>
      </c>
      <c r="P11" s="51">
        <v>0.6408306333578917</v>
      </c>
      <c r="Q11" s="51">
        <v>1.7420610568021577</v>
      </c>
      <c r="T11" s="50">
        <v>42370</v>
      </c>
      <c r="U11" s="51">
        <v>15.998226030136365</v>
      </c>
      <c r="V11" s="51">
        <v>15.712261054570309</v>
      </c>
      <c r="W11" s="51">
        <v>14.408773013203646</v>
      </c>
      <c r="X11" s="51">
        <v>46.11926009791032</v>
      </c>
    </row>
    <row r="12" spans="1:24">
      <c r="A12">
        <v>11</v>
      </c>
      <c r="B12" t="s">
        <v>84</v>
      </c>
      <c r="C12" s="34">
        <v>42491</v>
      </c>
      <c r="D12" t="s">
        <v>85</v>
      </c>
      <c r="E12" t="s">
        <v>86</v>
      </c>
      <c r="F12" t="s">
        <v>87</v>
      </c>
      <c r="G12">
        <v>1.3373181910867799E-2</v>
      </c>
      <c r="H12" t="s">
        <v>123</v>
      </c>
      <c r="I12" t="s">
        <v>88</v>
      </c>
      <c r="J12">
        <f t="shared" si="0"/>
        <v>14.918528356682925</v>
      </c>
      <c r="M12" s="50">
        <v>42401</v>
      </c>
      <c r="N12" s="51">
        <v>0.63501860838225399</v>
      </c>
      <c r="O12" s="51">
        <v>0.6589281346040754</v>
      </c>
      <c r="P12" s="51">
        <v>0.78128606435595715</v>
      </c>
      <c r="Q12" s="51">
        <v>2.0752328073422865</v>
      </c>
      <c r="T12" s="50">
        <v>42401</v>
      </c>
      <c r="U12" s="51">
        <v>16.805983844829598</v>
      </c>
      <c r="V12" s="51">
        <v>16.465314317753698</v>
      </c>
      <c r="W12" s="51">
        <v>14.900275762717563</v>
      </c>
      <c r="X12" s="51">
        <v>48.171573925300855</v>
      </c>
    </row>
    <row r="13" spans="1:24">
      <c r="A13">
        <v>12</v>
      </c>
      <c r="B13" t="s">
        <v>84</v>
      </c>
      <c r="C13" s="34">
        <v>42522</v>
      </c>
      <c r="D13" t="s">
        <v>85</v>
      </c>
      <c r="E13" t="s">
        <v>86</v>
      </c>
      <c r="F13" t="s">
        <v>87</v>
      </c>
      <c r="G13">
        <v>1.3780008866332599E-2</v>
      </c>
      <c r="H13" t="s">
        <v>123</v>
      </c>
      <c r="I13" t="s">
        <v>88</v>
      </c>
      <c r="J13">
        <f t="shared" si="0"/>
        <v>15.338566136578002</v>
      </c>
      <c r="M13" s="50">
        <v>42430</v>
      </c>
      <c r="N13" s="51">
        <v>0.75172589667777956</v>
      </c>
      <c r="O13" s="51">
        <v>0.78559269959878053</v>
      </c>
      <c r="P13" s="51">
        <v>0.96400324896553924</v>
      </c>
      <c r="Q13" s="51">
        <v>2.5013218452420993</v>
      </c>
      <c r="T13" s="50">
        <v>42430</v>
      </c>
      <c r="U13" s="51">
        <v>18.373849037586087</v>
      </c>
      <c r="V13" s="51">
        <v>17.959907711332967</v>
      </c>
      <c r="W13" s="51">
        <v>16.041876583958505</v>
      </c>
      <c r="X13" s="51">
        <v>52.375633332877563</v>
      </c>
    </row>
    <row r="14" spans="1:24">
      <c r="A14">
        <v>13</v>
      </c>
      <c r="B14" t="s">
        <v>84</v>
      </c>
      <c r="C14" s="34">
        <v>42552</v>
      </c>
      <c r="D14" t="s">
        <v>85</v>
      </c>
      <c r="E14" t="s">
        <v>86</v>
      </c>
      <c r="F14" t="s">
        <v>87</v>
      </c>
      <c r="G14">
        <v>1.25236867645497E-2</v>
      </c>
      <c r="H14" t="s">
        <v>123</v>
      </c>
      <c r="I14" t="s">
        <v>88</v>
      </c>
      <c r="J14">
        <f t="shared" si="0"/>
        <v>14.035281946030409</v>
      </c>
      <c r="M14" s="50">
        <v>42461</v>
      </c>
      <c r="N14" s="51">
        <v>0.7553471709698778</v>
      </c>
      <c r="O14" s="51">
        <v>0.79517300986804429</v>
      </c>
      <c r="P14" s="51">
        <v>1.0114937473253427</v>
      </c>
      <c r="Q14" s="51">
        <v>2.5620139281632648</v>
      </c>
      <c r="T14" s="50">
        <v>42461</v>
      </c>
      <c r="U14" s="51">
        <v>17.648445227843801</v>
      </c>
      <c r="V14" s="51">
        <v>17.206371629172512</v>
      </c>
      <c r="W14" s="51">
        <v>15.143862936219632</v>
      </c>
      <c r="X14" s="51">
        <v>49.998679793235951</v>
      </c>
    </row>
    <row r="15" spans="1:24">
      <c r="A15">
        <v>14</v>
      </c>
      <c r="B15" t="s">
        <v>84</v>
      </c>
      <c r="C15" s="34">
        <v>42583</v>
      </c>
      <c r="D15" t="s">
        <v>85</v>
      </c>
      <c r="E15" t="s">
        <v>86</v>
      </c>
      <c r="F15" t="s">
        <v>87</v>
      </c>
      <c r="G15">
        <v>1.4391363027172E-2</v>
      </c>
      <c r="H15" t="s">
        <v>123</v>
      </c>
      <c r="I15" t="s">
        <v>88</v>
      </c>
      <c r="J15">
        <f t="shared" si="0"/>
        <v>15.966199144623394</v>
      </c>
      <c r="M15" s="50">
        <v>42491</v>
      </c>
      <c r="N15" s="51">
        <v>0.78333158092663835</v>
      </c>
      <c r="O15" s="51">
        <v>0.83085708157729643</v>
      </c>
      <c r="P15" s="51">
        <v>1.097399155878731</v>
      </c>
      <c r="Q15" s="51">
        <v>2.7115878183826658</v>
      </c>
      <c r="T15" s="50">
        <v>42491</v>
      </c>
      <c r="U15" s="51">
        <v>17.686300867123517</v>
      </c>
      <c r="V15" s="51">
        <v>17.200776322616019</v>
      </c>
      <c r="W15" s="51">
        <v>14.918528356682925</v>
      </c>
      <c r="X15" s="51">
        <v>49.805605546422463</v>
      </c>
    </row>
    <row r="16" spans="1:24">
      <c r="A16">
        <v>15</v>
      </c>
      <c r="B16" t="s">
        <v>84</v>
      </c>
      <c r="C16" s="34">
        <v>42614</v>
      </c>
      <c r="D16" t="s">
        <v>85</v>
      </c>
      <c r="E16" t="s">
        <v>86</v>
      </c>
      <c r="F16" t="s">
        <v>87</v>
      </c>
      <c r="G16">
        <v>1.31235693421906E-2</v>
      </c>
      <c r="H16" t="s">
        <v>123</v>
      </c>
      <c r="I16" t="s">
        <v>88</v>
      </c>
      <c r="J16">
        <f t="shared" si="0"/>
        <v>14.659865438517095</v>
      </c>
      <c r="M16" s="50">
        <v>42522</v>
      </c>
      <c r="N16" s="51">
        <v>0.84270501640925088</v>
      </c>
      <c r="O16" s="51">
        <v>0.9007360738307213</v>
      </c>
      <c r="P16" s="51">
        <v>1.2371961452816493</v>
      </c>
      <c r="Q16" s="51">
        <v>2.9806372355216215</v>
      </c>
      <c r="T16" s="50">
        <v>42522</v>
      </c>
      <c r="U16" s="51">
        <v>18.491647416024094</v>
      </c>
      <c r="V16" s="51">
        <v>17.942308208807589</v>
      </c>
      <c r="W16" s="51">
        <v>15.338566136578002</v>
      </c>
      <c r="X16" s="51">
        <v>51.772521761409685</v>
      </c>
    </row>
    <row r="17" spans="1:24">
      <c r="A17">
        <v>16</v>
      </c>
      <c r="B17" t="s">
        <v>84</v>
      </c>
      <c r="C17" s="34">
        <v>42644</v>
      </c>
      <c r="D17" t="s">
        <v>85</v>
      </c>
      <c r="E17" t="s">
        <v>86</v>
      </c>
      <c r="F17" t="s">
        <v>87</v>
      </c>
      <c r="G17">
        <v>1.3100499761875399E-2</v>
      </c>
      <c r="H17" t="s">
        <v>123</v>
      </c>
      <c r="I17" t="s">
        <v>88</v>
      </c>
      <c r="J17">
        <f t="shared" si="0"/>
        <v>14.635923058249157</v>
      </c>
      <c r="M17" s="50">
        <v>42552</v>
      </c>
      <c r="N17" s="51">
        <v>0.78213025344227027</v>
      </c>
      <c r="O17" s="51">
        <v>0.84260079365073848</v>
      </c>
      <c r="P17" s="51">
        <v>1.2055561095942191</v>
      </c>
      <c r="Q17" s="51">
        <v>2.8302871566872279</v>
      </c>
      <c r="T17" s="50">
        <v>42552</v>
      </c>
      <c r="U17" s="51">
        <v>16.987028821633032</v>
      </c>
      <c r="V17" s="51">
        <v>16.437693275135889</v>
      </c>
      <c r="W17" s="51">
        <v>14.035281946030409</v>
      </c>
      <c r="X17" s="51">
        <v>47.460004042799326</v>
      </c>
    </row>
    <row r="18" spans="1:24">
      <c r="A18">
        <v>17</v>
      </c>
      <c r="B18" t="s">
        <v>84</v>
      </c>
      <c r="C18" s="34">
        <v>42675</v>
      </c>
      <c r="D18" t="s">
        <v>85</v>
      </c>
      <c r="E18" t="s">
        <v>86</v>
      </c>
      <c r="F18" t="s">
        <v>87</v>
      </c>
      <c r="G18">
        <v>1.30704869493867E-2</v>
      </c>
      <c r="H18" t="s">
        <v>123</v>
      </c>
      <c r="I18" t="s">
        <v>88</v>
      </c>
      <c r="J18">
        <f t="shared" si="0"/>
        <v>14.604765543979958</v>
      </c>
      <c r="M18" s="50">
        <v>42583</v>
      </c>
      <c r="N18" s="51">
        <v>0.91357304663012284</v>
      </c>
      <c r="O18" s="51">
        <v>0.99201895470498735</v>
      </c>
      <c r="P18" s="51">
        <v>1.480035362697385</v>
      </c>
      <c r="Q18" s="51">
        <v>3.3856273640324952</v>
      </c>
      <c r="T18" s="50">
        <v>42583</v>
      </c>
      <c r="U18" s="51">
        <v>19.334457679442295</v>
      </c>
      <c r="V18" s="51">
        <v>18.672283752397522</v>
      </c>
      <c r="W18" s="51">
        <v>15.966199144623394</v>
      </c>
      <c r="X18" s="51">
        <v>53.972940576463209</v>
      </c>
    </row>
    <row r="19" spans="1:24">
      <c r="A19">
        <v>18</v>
      </c>
      <c r="B19" t="s">
        <v>84</v>
      </c>
      <c r="C19" s="34">
        <v>42705</v>
      </c>
      <c r="D19" t="s">
        <v>85</v>
      </c>
      <c r="E19" t="s">
        <v>86</v>
      </c>
      <c r="F19" t="s">
        <v>87</v>
      </c>
      <c r="G19">
        <v>1.3033292231125201E-2</v>
      </c>
      <c r="H19" t="s">
        <v>123</v>
      </c>
      <c r="I19" t="s">
        <v>88</v>
      </c>
      <c r="J19">
        <f t="shared" si="0"/>
        <v>14.566137738026995</v>
      </c>
      <c r="M19" s="50">
        <v>42614</v>
      </c>
      <c r="N19" s="51">
        <v>0.84557964255909113</v>
      </c>
      <c r="O19" s="51">
        <v>0.92560585614477331</v>
      </c>
      <c r="P19" s="51">
        <v>1.4426972617029632</v>
      </c>
      <c r="Q19" s="51">
        <v>3.2138827604068276</v>
      </c>
      <c r="T19" s="50">
        <v>42614</v>
      </c>
      <c r="U19" s="51">
        <v>17.838645611799375</v>
      </c>
      <c r="V19" s="51">
        <v>17.180917903840953</v>
      </c>
      <c r="W19" s="51">
        <v>14.659865438517095</v>
      </c>
      <c r="X19" s="51">
        <v>49.679428954157423</v>
      </c>
    </row>
    <row r="20" spans="1:24">
      <c r="A20">
        <v>19</v>
      </c>
      <c r="B20" t="s">
        <v>84</v>
      </c>
      <c r="C20" s="34">
        <v>42736</v>
      </c>
      <c r="D20" t="s">
        <v>85</v>
      </c>
      <c r="E20" t="s">
        <v>86</v>
      </c>
      <c r="F20" t="s">
        <v>87</v>
      </c>
      <c r="G20">
        <v>1.2370169274355001E-2</v>
      </c>
      <c r="H20" t="s">
        <v>123</v>
      </c>
      <c r="I20" t="s">
        <v>88</v>
      </c>
      <c r="J20">
        <f t="shared" si="0"/>
        <v>13.874771225949678</v>
      </c>
      <c r="M20" s="50">
        <v>42644</v>
      </c>
      <c r="N20" s="51">
        <v>0.8551884173035651</v>
      </c>
      <c r="O20" s="51">
        <v>0.94368826157221752</v>
      </c>
      <c r="P20" s="51">
        <v>1.5388991227464954</v>
      </c>
      <c r="Q20" s="51">
        <v>3.337775801622278</v>
      </c>
      <c r="T20" s="50">
        <v>42644</v>
      </c>
      <c r="U20" s="51">
        <v>17.876641005663295</v>
      </c>
      <c r="V20" s="51">
        <v>17.176268672233764</v>
      </c>
      <c r="W20" s="51">
        <v>14.635923058249157</v>
      </c>
      <c r="X20" s="51">
        <v>49.688832736146217</v>
      </c>
    </row>
    <row r="21" spans="1:24">
      <c r="A21">
        <v>20</v>
      </c>
      <c r="B21" t="s">
        <v>84</v>
      </c>
      <c r="C21" s="34">
        <v>42767</v>
      </c>
      <c r="D21" t="s">
        <v>85</v>
      </c>
      <c r="E21" t="s">
        <v>86</v>
      </c>
      <c r="F21" t="s">
        <v>87</v>
      </c>
      <c r="G21">
        <v>1.17043657009519E-2</v>
      </c>
      <c r="H21" t="s">
        <v>123</v>
      </c>
      <c r="I21" t="s">
        <v>88</v>
      </c>
      <c r="J21">
        <f t="shared" si="0"/>
        <v>13.175453622217992</v>
      </c>
      <c r="M21" s="50">
        <v>42675</v>
      </c>
      <c r="N21" s="51">
        <v>0.86371263612897708</v>
      </c>
      <c r="O21" s="51">
        <v>0.96080337581667674</v>
      </c>
      <c r="P21" s="51">
        <v>1.6420240082131832</v>
      </c>
      <c r="Q21" s="51">
        <v>3.466540020158837</v>
      </c>
      <c r="T21" s="50">
        <v>42675</v>
      </c>
      <c r="U21" s="51">
        <v>17.914537347006011</v>
      </c>
      <c r="V21" s="51">
        <v>17.171683785618043</v>
      </c>
      <c r="W21" s="51">
        <v>14.604765543979958</v>
      </c>
      <c r="X21" s="51">
        <v>49.690986676604012</v>
      </c>
    </row>
    <row r="22" spans="1:24">
      <c r="A22">
        <v>21</v>
      </c>
      <c r="B22" t="s">
        <v>84</v>
      </c>
      <c r="C22" s="34">
        <v>42795</v>
      </c>
      <c r="D22" t="s">
        <v>85</v>
      </c>
      <c r="E22" t="s">
        <v>86</v>
      </c>
      <c r="F22" t="s">
        <v>87</v>
      </c>
      <c r="G22">
        <v>1.4102537977707901E-2</v>
      </c>
      <c r="H22" t="s">
        <v>123</v>
      </c>
      <c r="I22" t="s">
        <v>88</v>
      </c>
      <c r="J22">
        <f t="shared" si="0"/>
        <v>15.670216875545318</v>
      </c>
      <c r="M22" s="50">
        <v>42705</v>
      </c>
      <c r="N22" s="51">
        <v>0.87145333411883241</v>
      </c>
      <c r="O22" s="51">
        <v>0.97724444131678245</v>
      </c>
      <c r="P22" s="51">
        <v>1.752993708752415</v>
      </c>
      <c r="Q22" s="51">
        <v>3.6016914841880299</v>
      </c>
      <c r="T22" s="50">
        <v>42705</v>
      </c>
      <c r="U22" s="51">
        <v>17.952320468055284</v>
      </c>
      <c r="V22" s="51">
        <v>17.167149072951382</v>
      </c>
      <c r="W22" s="51">
        <v>14.566137738026995</v>
      </c>
      <c r="X22" s="51">
        <v>49.685607279033661</v>
      </c>
    </row>
    <row r="23" spans="1:24">
      <c r="A23">
        <v>22</v>
      </c>
      <c r="B23" t="s">
        <v>84</v>
      </c>
      <c r="C23" s="34">
        <v>42826</v>
      </c>
      <c r="D23" t="s">
        <v>85</v>
      </c>
      <c r="E23" t="s">
        <v>86</v>
      </c>
      <c r="F23" t="s">
        <v>87</v>
      </c>
      <c r="G23">
        <v>1.1588111842244101E-2</v>
      </c>
      <c r="H23" t="s">
        <v>123</v>
      </c>
      <c r="I23" t="s">
        <v>88</v>
      </c>
      <c r="J23">
        <f t="shared" si="0"/>
        <v>13.052815564652864</v>
      </c>
      <c r="M23" s="50">
        <v>42736</v>
      </c>
      <c r="N23" s="51">
        <v>0.83693447993159475</v>
      </c>
      <c r="O23" s="51">
        <v>0.94611674035528504</v>
      </c>
      <c r="P23" s="51">
        <v>1.7841202282703694</v>
      </c>
      <c r="Q23" s="51">
        <v>3.5671714485572492</v>
      </c>
      <c r="T23" s="50">
        <v>42736</v>
      </c>
      <c r="U23" s="51">
        <v>17.205606454085419</v>
      </c>
      <c r="V23" s="51">
        <v>16.410948743273266</v>
      </c>
      <c r="W23" s="51">
        <v>13.874771225949678</v>
      </c>
      <c r="X23" s="51">
        <v>47.491326423308365</v>
      </c>
    </row>
    <row r="24" spans="1:24">
      <c r="A24">
        <v>23</v>
      </c>
      <c r="B24" t="s">
        <v>84</v>
      </c>
      <c r="C24" s="34">
        <v>42856</v>
      </c>
      <c r="D24" t="s">
        <v>85</v>
      </c>
      <c r="E24" t="s">
        <v>86</v>
      </c>
      <c r="F24" t="s">
        <v>87</v>
      </c>
      <c r="G24">
        <v>1.33374563181742E-2</v>
      </c>
      <c r="H24" t="s">
        <v>123</v>
      </c>
      <c r="I24" t="s">
        <v>88</v>
      </c>
      <c r="J24">
        <f t="shared" si="0"/>
        <v>14.88155156223544</v>
      </c>
      <c r="M24" s="50">
        <v>42767</v>
      </c>
      <c r="N24" s="51">
        <v>0.80131853544900267</v>
      </c>
      <c r="O24" s="51">
        <v>0.91314458261750886</v>
      </c>
      <c r="P24" s="51">
        <v>1.812393559625658</v>
      </c>
      <c r="Q24" s="51">
        <v>3.5268566776921695</v>
      </c>
      <c r="T24" s="50">
        <v>42767</v>
      </c>
      <c r="U24" s="51">
        <v>16.448916241076418</v>
      </c>
      <c r="V24" s="51">
        <v>15.64889200249997</v>
      </c>
      <c r="W24" s="51">
        <v>13.175453622217992</v>
      </c>
      <c r="X24" s="51">
        <v>45.273261865794382</v>
      </c>
    </row>
    <row r="25" spans="1:24">
      <c r="A25">
        <v>24</v>
      </c>
      <c r="B25" t="s">
        <v>84</v>
      </c>
      <c r="C25" s="34">
        <v>42887</v>
      </c>
      <c r="D25" t="s">
        <v>85</v>
      </c>
      <c r="E25" t="s">
        <v>86</v>
      </c>
      <c r="F25" t="s">
        <v>87</v>
      </c>
      <c r="G25">
        <v>1.3248055847071401E-2</v>
      </c>
      <c r="H25" t="s">
        <v>123</v>
      </c>
      <c r="I25" t="s">
        <v>88</v>
      </c>
      <c r="J25">
        <f t="shared" si="0"/>
        <v>14.788955492735489</v>
      </c>
      <c r="M25" s="50">
        <v>42795</v>
      </c>
      <c r="N25" s="51">
        <v>0.97622264565853101</v>
      </c>
      <c r="O25" s="51">
        <v>1.1212050399533546</v>
      </c>
      <c r="P25" s="51">
        <v>2.3419114365986538</v>
      </c>
      <c r="Q25" s="51">
        <v>4.4393391222105389</v>
      </c>
      <c r="T25" s="50">
        <v>42795</v>
      </c>
      <c r="U25" s="51">
        <v>19.618976022708257</v>
      </c>
      <c r="V25" s="51">
        <v>18.637934721840509</v>
      </c>
      <c r="W25" s="51">
        <v>15.670216875545318</v>
      </c>
      <c r="X25" s="51">
        <v>53.927127620094083</v>
      </c>
    </row>
    <row r="26" spans="1:24">
      <c r="A26">
        <v>25</v>
      </c>
      <c r="B26" t="s">
        <v>84</v>
      </c>
      <c r="C26" s="34">
        <v>42917</v>
      </c>
      <c r="D26" t="s">
        <v>85</v>
      </c>
      <c r="E26" t="s">
        <v>86</v>
      </c>
      <c r="F26" t="s">
        <v>87</v>
      </c>
      <c r="G26">
        <v>1.22273153816384E-2</v>
      </c>
      <c r="H26" t="s">
        <v>123</v>
      </c>
      <c r="I26" t="s">
        <v>88</v>
      </c>
      <c r="J26">
        <f t="shared" si="0"/>
        <v>13.725163148718201</v>
      </c>
      <c r="M26" s="50">
        <v>42826</v>
      </c>
      <c r="N26" s="51">
        <v>0.81256589894710407</v>
      </c>
      <c r="O26" s="51">
        <v>0.94075796356556385</v>
      </c>
      <c r="P26" s="51">
        <v>2.0739555755903916</v>
      </c>
      <c r="Q26" s="51">
        <v>3.8272794381030595</v>
      </c>
      <c r="T26" s="50">
        <v>42826</v>
      </c>
      <c r="U26" s="51">
        <v>16.517663801334713</v>
      </c>
      <c r="V26" s="51">
        <v>15.640768140553407</v>
      </c>
      <c r="W26" s="51">
        <v>13.052815564652864</v>
      </c>
      <c r="X26" s="51">
        <v>45.211247506540985</v>
      </c>
    </row>
    <row r="27" spans="1:24">
      <c r="A27">
        <v>26</v>
      </c>
      <c r="B27" t="s">
        <v>84</v>
      </c>
      <c r="C27" s="34">
        <v>42948</v>
      </c>
      <c r="D27" t="s">
        <v>85</v>
      </c>
      <c r="E27" t="s">
        <v>86</v>
      </c>
      <c r="F27" t="s">
        <v>87</v>
      </c>
      <c r="G27">
        <v>1.4277511787736299E-2</v>
      </c>
      <c r="H27" t="s">
        <v>123</v>
      </c>
      <c r="I27" t="s">
        <v>88</v>
      </c>
      <c r="J27">
        <f t="shared" si="0"/>
        <v>15.849640509781192</v>
      </c>
      <c r="M27" s="50">
        <v>42856</v>
      </c>
      <c r="N27" s="51">
        <v>0.94639949321633221</v>
      </c>
      <c r="O27" s="51">
        <v>1.1042362717724408</v>
      </c>
      <c r="P27" s="51">
        <v>2.5666509921602243</v>
      </c>
      <c r="Q27" s="51">
        <v>4.6172867571489977</v>
      </c>
      <c r="T27" s="50">
        <v>42856</v>
      </c>
      <c r="U27" s="51">
        <v>18.922606995089918</v>
      </c>
      <c r="V27" s="51">
        <v>17.889803247282877</v>
      </c>
      <c r="W27" s="51">
        <v>14.88155156223544</v>
      </c>
      <c r="X27" s="51">
        <v>51.693961804608236</v>
      </c>
    </row>
    <row r="28" spans="1:24">
      <c r="A28">
        <v>27</v>
      </c>
      <c r="B28" t="s">
        <v>84</v>
      </c>
      <c r="C28" s="34">
        <v>42979</v>
      </c>
      <c r="D28" t="s">
        <v>85</v>
      </c>
      <c r="E28" t="s">
        <v>86</v>
      </c>
      <c r="F28" t="s">
        <v>87</v>
      </c>
      <c r="G28">
        <v>1.2607330568279101E-2</v>
      </c>
      <c r="H28" t="s">
        <v>123</v>
      </c>
      <c r="I28" t="s">
        <v>88</v>
      </c>
      <c r="J28">
        <f t="shared" si="0"/>
        <v>14.122620552730547</v>
      </c>
      <c r="M28" s="50">
        <v>42887</v>
      </c>
      <c r="N28" s="51">
        <v>0.95225691353484354</v>
      </c>
      <c r="O28" s="51">
        <v>1.1197685598659857</v>
      </c>
      <c r="P28" s="51">
        <v>2.7487209933322321</v>
      </c>
      <c r="Q28" s="51">
        <v>4.8207464667330608</v>
      </c>
      <c r="T28" s="50">
        <v>42887</v>
      </c>
      <c r="U28" s="51">
        <v>18.961018638561178</v>
      </c>
      <c r="V28" s="51">
        <v>17.885280577818776</v>
      </c>
      <c r="W28" s="51">
        <v>14.788955492735489</v>
      </c>
      <c r="X28" s="51">
        <v>51.635254709115443</v>
      </c>
    </row>
    <row r="29" spans="1:24">
      <c r="A29">
        <v>28</v>
      </c>
      <c r="B29" t="s">
        <v>84</v>
      </c>
      <c r="C29" s="34">
        <v>43009</v>
      </c>
      <c r="D29" t="s">
        <v>85</v>
      </c>
      <c r="E29" t="s">
        <v>86</v>
      </c>
      <c r="F29" t="s">
        <v>87</v>
      </c>
      <c r="G29">
        <v>1.4083789354852E-2</v>
      </c>
      <c r="H29" t="s">
        <v>123</v>
      </c>
      <c r="I29" t="s">
        <v>88</v>
      </c>
      <c r="J29">
        <f t="shared" si="0"/>
        <v>15.650970662971575</v>
      </c>
      <c r="M29" s="50">
        <v>42917</v>
      </c>
      <c r="N29" s="51">
        <v>0.87117205971967149</v>
      </c>
      <c r="O29" s="51">
        <v>1.0324626809215087</v>
      </c>
      <c r="P29" s="51">
        <v>2.6731815396692005</v>
      </c>
      <c r="Q29" s="51">
        <v>4.5768162803103802</v>
      </c>
      <c r="T29" s="50">
        <v>42917</v>
      </c>
      <c r="U29" s="51">
        <v>17.420022513639179</v>
      </c>
      <c r="V29" s="51">
        <v>16.385643910886749</v>
      </c>
      <c r="W29" s="51">
        <v>13.725163148718201</v>
      </c>
      <c r="X29" s="51">
        <v>47.530829573244127</v>
      </c>
    </row>
    <row r="30" spans="1:24">
      <c r="A30">
        <v>29</v>
      </c>
      <c r="B30" t="s">
        <v>84</v>
      </c>
      <c r="C30" s="34">
        <v>43040</v>
      </c>
      <c r="D30" t="s">
        <v>85</v>
      </c>
      <c r="E30" t="s">
        <v>86</v>
      </c>
      <c r="F30" t="s">
        <v>87</v>
      </c>
      <c r="G30">
        <v>1.17915591405915E-2</v>
      </c>
      <c r="H30" t="s">
        <v>123</v>
      </c>
      <c r="I30" t="s">
        <v>88</v>
      </c>
      <c r="J30">
        <f t="shared" si="0"/>
        <v>13.267331292558781</v>
      </c>
      <c r="M30" s="50">
        <v>42948</v>
      </c>
      <c r="N30" s="51">
        <v>1.006947836040728</v>
      </c>
      <c r="O30" s="51">
        <v>1.2024555072282062</v>
      </c>
      <c r="P30" s="51">
        <v>3.2620755440001425</v>
      </c>
      <c r="Q30" s="51">
        <v>5.4714788872690772</v>
      </c>
      <c r="T30" s="50">
        <v>42948</v>
      </c>
      <c r="U30" s="51">
        <v>19.817996093824785</v>
      </c>
      <c r="V30" s="51">
        <v>18.614483148934045</v>
      </c>
      <c r="W30" s="51">
        <v>15.849640509781192</v>
      </c>
      <c r="X30" s="51">
        <v>54.282119752540027</v>
      </c>
    </row>
    <row r="31" spans="1:24">
      <c r="A31">
        <v>30</v>
      </c>
      <c r="B31" t="s">
        <v>84</v>
      </c>
      <c r="C31" s="34">
        <v>43070</v>
      </c>
      <c r="D31" t="s">
        <v>85</v>
      </c>
      <c r="E31" t="s">
        <v>86</v>
      </c>
      <c r="F31" t="s">
        <v>87</v>
      </c>
      <c r="G31">
        <v>1.1397186985875401E-2</v>
      </c>
      <c r="H31" t="s">
        <v>123</v>
      </c>
      <c r="I31" t="s">
        <v>88</v>
      </c>
      <c r="J31">
        <f t="shared" si="0"/>
        <v>12.851061298436871</v>
      </c>
      <c r="M31" s="50">
        <v>42979</v>
      </c>
      <c r="N31" s="51">
        <v>0.88093586127221402</v>
      </c>
      <c r="O31" s="51">
        <v>1.0601741591089175</v>
      </c>
      <c r="P31" s="51">
        <v>3.0042859779413233</v>
      </c>
      <c r="Q31" s="51">
        <v>4.9453959983224554</v>
      </c>
      <c r="T31" s="50">
        <v>42979</v>
      </c>
      <c r="U31" s="51">
        <v>17.490444916626359</v>
      </c>
      <c r="V31" s="51">
        <v>16.377391463973112</v>
      </c>
      <c r="W31" s="51">
        <v>14.122620552730547</v>
      </c>
      <c r="X31" s="51">
        <v>47.990456933330016</v>
      </c>
    </row>
    <row r="32" spans="1:24">
      <c r="A32">
        <v>31</v>
      </c>
      <c r="B32" t="s">
        <v>84</v>
      </c>
      <c r="C32" s="34">
        <v>43101</v>
      </c>
      <c r="D32" t="s">
        <v>85</v>
      </c>
      <c r="E32" t="s">
        <v>86</v>
      </c>
      <c r="F32" t="s">
        <v>87</v>
      </c>
      <c r="G32">
        <v>1.2141642385166899E-2</v>
      </c>
      <c r="H32" t="s">
        <v>123</v>
      </c>
      <c r="I32" t="s">
        <v>88</v>
      </c>
      <c r="J32">
        <f t="shared" si="0"/>
        <v>13.635325263251886</v>
      </c>
      <c r="M32" s="50">
        <v>43009</v>
      </c>
      <c r="N32" s="51">
        <v>0.97374017923576028</v>
      </c>
      <c r="O32" s="51">
        <v>1.1806874598234929</v>
      </c>
      <c r="P32" s="51">
        <v>3.4601546683331375</v>
      </c>
      <c r="Q32" s="51">
        <v>5.6145823073923911</v>
      </c>
      <c r="T32" s="50">
        <v>43009</v>
      </c>
      <c r="U32" s="51">
        <v>19.113148572143324</v>
      </c>
      <c r="V32" s="51">
        <v>17.867351908583661</v>
      </c>
      <c r="W32" s="51">
        <v>15.650970662971575</v>
      </c>
      <c r="X32" s="51">
        <v>52.631471143698562</v>
      </c>
    </row>
    <row r="33" spans="1:24">
      <c r="A33">
        <v>32</v>
      </c>
      <c r="B33" t="s">
        <v>84</v>
      </c>
      <c r="C33" s="34">
        <v>43132</v>
      </c>
      <c r="D33" t="s">
        <v>85</v>
      </c>
      <c r="E33" t="s">
        <v>86</v>
      </c>
      <c r="F33" t="s">
        <v>87</v>
      </c>
      <c r="G33">
        <v>1.11439501133202E-2</v>
      </c>
      <c r="H33" t="s">
        <v>123</v>
      </c>
      <c r="I33" t="s">
        <v>88</v>
      </c>
      <c r="J33">
        <f t="shared" si="0"/>
        <v>12.582798531533001</v>
      </c>
      <c r="M33" s="50">
        <v>43040</v>
      </c>
      <c r="N33" s="51">
        <v>0.92967084382857834</v>
      </c>
      <c r="O33" s="51">
        <v>1.1362404635746448</v>
      </c>
      <c r="P33" s="51">
        <v>3.4278598184743769</v>
      </c>
      <c r="Q33" s="51">
        <v>5.4937711258776005</v>
      </c>
      <c r="T33" s="50">
        <v>43040</v>
      </c>
      <c r="U33" s="51">
        <v>16.696246394199711</v>
      </c>
      <c r="V33" s="51">
        <v>15.559620042347488</v>
      </c>
      <c r="W33" s="51">
        <v>13.267331292558781</v>
      </c>
      <c r="X33" s="51">
        <v>45.523197729105981</v>
      </c>
    </row>
    <row r="34" spans="1:24">
      <c r="A34">
        <v>33</v>
      </c>
      <c r="B34" t="s">
        <v>84</v>
      </c>
      <c r="C34" s="34">
        <v>43160</v>
      </c>
      <c r="D34" t="s">
        <v>85</v>
      </c>
      <c r="E34" t="s">
        <v>86</v>
      </c>
      <c r="F34" t="s">
        <v>87</v>
      </c>
      <c r="G34">
        <v>1.2492938140989099E-2</v>
      </c>
      <c r="H34" t="s">
        <v>123</v>
      </c>
      <c r="I34" t="s">
        <v>88</v>
      </c>
      <c r="J34">
        <f t="shared" si="0"/>
        <v>14.003154599215307</v>
      </c>
      <c r="M34" s="50">
        <v>43070</v>
      </c>
      <c r="N34" s="51">
        <v>0.85981762879705492</v>
      </c>
      <c r="O34" s="51">
        <v>1.0586748979100835</v>
      </c>
      <c r="P34" s="51">
        <v>3.2600992848056176</v>
      </c>
      <c r="Q34" s="51">
        <v>5.1785918115127565</v>
      </c>
      <c r="T34" s="50">
        <v>43070</v>
      </c>
      <c r="U34" s="51">
        <v>16.001557266851307</v>
      </c>
      <c r="V34" s="51">
        <v>14.876160652382964</v>
      </c>
      <c r="W34" s="51">
        <v>12.851061298436871</v>
      </c>
      <c r="X34" s="51">
        <v>43.728779217671146</v>
      </c>
    </row>
    <row r="35" spans="1:24">
      <c r="A35">
        <v>34</v>
      </c>
      <c r="B35" t="s">
        <v>84</v>
      </c>
      <c r="C35" s="34">
        <v>43191</v>
      </c>
      <c r="D35" t="s">
        <v>85</v>
      </c>
      <c r="E35" t="s">
        <v>86</v>
      </c>
      <c r="F35" t="s">
        <v>87</v>
      </c>
      <c r="G35">
        <v>1.2669336996994201E-2</v>
      </c>
      <c r="H35" t="s">
        <v>123</v>
      </c>
      <c r="I35" t="s">
        <v>88</v>
      </c>
      <c r="J35">
        <f t="shared" si="0"/>
        <v>14.187313487649577</v>
      </c>
      <c r="M35" s="50">
        <v>43101</v>
      </c>
      <c r="N35" s="51">
        <v>0.88832143557915355</v>
      </c>
      <c r="O35" s="51">
        <v>1.1029413519918152</v>
      </c>
      <c r="P35" s="51">
        <v>3.4614719106316083</v>
      </c>
      <c r="Q35" s="51">
        <v>5.4527346982025771</v>
      </c>
      <c r="T35" s="50">
        <v>43101</v>
      </c>
      <c r="U35" s="51">
        <v>16.776134413442044</v>
      </c>
      <c r="V35" s="51">
        <v>15.567360463208434</v>
      </c>
      <c r="W35" s="51">
        <v>13.635325263251886</v>
      </c>
      <c r="X35" s="51">
        <v>45.978820139902368</v>
      </c>
    </row>
    <row r="36" spans="1:24">
      <c r="A36">
        <v>35</v>
      </c>
      <c r="B36" t="s">
        <v>84</v>
      </c>
      <c r="C36" s="34">
        <v>43221</v>
      </c>
      <c r="D36" t="s">
        <v>85</v>
      </c>
      <c r="E36" t="s">
        <v>86</v>
      </c>
      <c r="F36" t="s">
        <v>87</v>
      </c>
      <c r="G36">
        <v>1.3458026280979101E-2</v>
      </c>
      <c r="H36" t="s">
        <v>123</v>
      </c>
      <c r="I36" t="s">
        <v>88</v>
      </c>
      <c r="J36">
        <f t="shared" si="0"/>
        <v>15.006285192413438</v>
      </c>
      <c r="M36" s="50">
        <v>43132</v>
      </c>
      <c r="N36" s="51">
        <v>0.78027661511823609</v>
      </c>
      <c r="O36" s="51">
        <v>0.97720824949574236</v>
      </c>
      <c r="P36" s="51">
        <v>3.113737217852941</v>
      </c>
      <c r="Q36" s="51">
        <v>4.8712220824669199</v>
      </c>
      <c r="T36" s="50">
        <v>43132</v>
      </c>
      <c r="U36" s="51">
        <v>15.333469351511631</v>
      </c>
      <c r="V36" s="51">
        <v>14.189422814037755</v>
      </c>
      <c r="W36" s="51">
        <v>12.582798531533001</v>
      </c>
      <c r="X36" s="51">
        <v>42.105690697082387</v>
      </c>
    </row>
    <row r="37" spans="1:24">
      <c r="A37">
        <v>36</v>
      </c>
      <c r="B37" t="s">
        <v>84</v>
      </c>
      <c r="C37" s="34">
        <v>43252</v>
      </c>
      <c r="D37" t="s">
        <v>85</v>
      </c>
      <c r="E37" t="s">
        <v>86</v>
      </c>
      <c r="F37" t="s">
        <v>87</v>
      </c>
      <c r="G37">
        <v>1.30240622759291E-2</v>
      </c>
      <c r="H37" t="s">
        <v>123</v>
      </c>
      <c r="I37" t="s">
        <v>88</v>
      </c>
      <c r="J37">
        <f t="shared" si="0"/>
        <v>14.556549678671004</v>
      </c>
      <c r="M37" s="50">
        <v>43160</v>
      </c>
      <c r="N37" s="51">
        <v>0.83102039757467772</v>
      </c>
      <c r="O37" s="51">
        <v>1.0494926681259065</v>
      </c>
      <c r="P37" s="51">
        <v>3.3725902034178246</v>
      </c>
      <c r="Q37" s="51">
        <v>5.2531032691184087</v>
      </c>
      <c r="T37" s="50">
        <v>43160</v>
      </c>
      <c r="U37" s="51">
        <v>16.853374352320539</v>
      </c>
      <c r="V37" s="51">
        <v>15.57221485940371</v>
      </c>
      <c r="W37" s="51">
        <v>14.003154599215307</v>
      </c>
      <c r="X37" s="51">
        <v>46.428743810939558</v>
      </c>
    </row>
    <row r="38" spans="1:24">
      <c r="A38">
        <v>37</v>
      </c>
      <c r="B38" t="s">
        <v>84</v>
      </c>
      <c r="C38" s="34">
        <v>43282</v>
      </c>
      <c r="D38" t="s">
        <v>85</v>
      </c>
      <c r="E38" t="s">
        <v>86</v>
      </c>
      <c r="F38" t="s">
        <v>87</v>
      </c>
      <c r="G38">
        <v>1.3022924264821E-2</v>
      </c>
      <c r="H38" t="s">
        <v>123</v>
      </c>
      <c r="I38" t="s">
        <v>88</v>
      </c>
      <c r="J38">
        <f t="shared" si="0"/>
        <v>14.555367446661061</v>
      </c>
      <c r="M38" s="50">
        <v>43191</v>
      </c>
      <c r="N38" s="51">
        <v>0.80201529413774786</v>
      </c>
      <c r="O38" s="51">
        <v>1.0213283753120361</v>
      </c>
      <c r="P38" s="51">
        <v>3.3033850124137509</v>
      </c>
      <c r="Q38" s="51">
        <v>5.1267286818635345</v>
      </c>
      <c r="T38" s="50">
        <v>43191</v>
      </c>
      <c r="U38" s="51">
        <v>16.89061051475732</v>
      </c>
      <c r="V38" s="51">
        <v>15.573338834522655</v>
      </c>
      <c r="W38" s="51">
        <v>14.187313487649577</v>
      </c>
      <c r="X38" s="51">
        <v>46.651262836929547</v>
      </c>
    </row>
    <row r="39" spans="1:24">
      <c r="A39">
        <v>38</v>
      </c>
      <c r="B39" t="s">
        <v>84</v>
      </c>
      <c r="C39" s="34">
        <v>43313</v>
      </c>
      <c r="D39" t="s">
        <v>85</v>
      </c>
      <c r="E39" t="s">
        <v>86</v>
      </c>
      <c r="F39" t="s">
        <v>87</v>
      </c>
      <c r="G39">
        <v>1.42612526851846E-2</v>
      </c>
      <c r="H39" t="s">
        <v>123</v>
      </c>
      <c r="I39" t="s">
        <v>88</v>
      </c>
      <c r="J39">
        <f t="shared" si="0"/>
        <v>15.832982675890307</v>
      </c>
      <c r="M39" s="50">
        <v>43221</v>
      </c>
      <c r="N39" s="51">
        <v>0.815016918271394</v>
      </c>
      <c r="O39" s="51">
        <v>1.0463876715449572</v>
      </c>
      <c r="P39" s="51">
        <v>3.3983791383955575</v>
      </c>
      <c r="Q39" s="51">
        <v>5.2597837282119091</v>
      </c>
      <c r="T39" s="50">
        <v>43221</v>
      </c>
      <c r="U39" s="51">
        <v>17.663370536353018</v>
      </c>
      <c r="V39" s="51">
        <v>16.256623266049896</v>
      </c>
      <c r="W39" s="51">
        <v>15.006285192413438</v>
      </c>
      <c r="X39" s="51">
        <v>48.92627899481635</v>
      </c>
    </row>
    <row r="40" spans="1:24">
      <c r="A40">
        <v>39</v>
      </c>
      <c r="B40" t="s">
        <v>84</v>
      </c>
      <c r="C40" s="34">
        <v>43344</v>
      </c>
      <c r="D40" t="s">
        <v>85</v>
      </c>
      <c r="E40" t="s">
        <v>86</v>
      </c>
      <c r="F40" t="s">
        <v>87</v>
      </c>
      <c r="G40">
        <v>1.17790160081597E-2</v>
      </c>
      <c r="H40" t="s">
        <v>123</v>
      </c>
      <c r="I40" t="s">
        <v>88</v>
      </c>
      <c r="J40">
        <f t="shared" si="0"/>
        <v>13.254119804924979</v>
      </c>
      <c r="M40" s="50">
        <v>43252</v>
      </c>
      <c r="N40" s="51">
        <v>0.75977404126570391</v>
      </c>
      <c r="O40" s="51">
        <v>0.98343912574744285</v>
      </c>
      <c r="P40" s="51">
        <v>3.2069028410266265</v>
      </c>
      <c r="Q40" s="51">
        <v>4.9501160080397728</v>
      </c>
      <c r="T40" s="50">
        <v>43252</v>
      </c>
      <c r="U40" s="51">
        <v>16.962873405051791</v>
      </c>
      <c r="V40" s="51">
        <v>15.573576402837974</v>
      </c>
      <c r="W40" s="51">
        <v>14.556549678671004</v>
      </c>
      <c r="X40" s="51">
        <v>47.092999486560771</v>
      </c>
    </row>
    <row r="41" spans="1:24">
      <c r="A41">
        <v>40</v>
      </c>
      <c r="B41" t="s">
        <v>84</v>
      </c>
      <c r="C41" s="34">
        <v>43374</v>
      </c>
      <c r="D41" t="s">
        <v>85</v>
      </c>
      <c r="E41" t="s">
        <v>86</v>
      </c>
      <c r="F41" t="s">
        <v>87</v>
      </c>
      <c r="G41">
        <v>1.4256034960788901E-2</v>
      </c>
      <c r="H41" t="s">
        <v>123</v>
      </c>
      <c r="I41" t="s">
        <v>88</v>
      </c>
      <c r="J41">
        <f t="shared" si="0"/>
        <v>15.827636353617891</v>
      </c>
      <c r="M41" s="50">
        <v>43282</v>
      </c>
      <c r="N41" s="51">
        <v>0.74637187338421063</v>
      </c>
      <c r="O41" s="51">
        <v>0.97383521167203613</v>
      </c>
      <c r="P41" s="51">
        <v>3.1850385252375268</v>
      </c>
      <c r="Q41" s="51">
        <v>4.9052456102937736</v>
      </c>
      <c r="T41" s="50">
        <v>43282</v>
      </c>
      <c r="U41" s="51">
        <v>16.998171230670479</v>
      </c>
      <c r="V41" s="51">
        <v>15.572985359830337</v>
      </c>
      <c r="W41" s="51">
        <v>14.555367446661061</v>
      </c>
      <c r="X41" s="51">
        <v>47.126524037161879</v>
      </c>
    </row>
    <row r="42" spans="1:24">
      <c r="A42">
        <v>41</v>
      </c>
      <c r="B42" t="s">
        <v>84</v>
      </c>
      <c r="C42" s="34">
        <v>43405</v>
      </c>
      <c r="D42" t="s">
        <v>85</v>
      </c>
      <c r="E42" t="s">
        <v>86</v>
      </c>
      <c r="F42" t="s">
        <v>87</v>
      </c>
      <c r="G42">
        <v>1.3013651373956599E-2</v>
      </c>
      <c r="H42" t="s">
        <v>123</v>
      </c>
      <c r="I42" t="s">
        <v>88</v>
      </c>
      <c r="J42">
        <f t="shared" si="0"/>
        <v>14.545733670369343</v>
      </c>
      <c r="M42" s="50">
        <v>43313</v>
      </c>
      <c r="N42" s="51">
        <v>0.80682101915653393</v>
      </c>
      <c r="O42" s="51">
        <v>1.0609163620871165</v>
      </c>
      <c r="P42" s="51">
        <v>3.4750282392168819</v>
      </c>
      <c r="Q42" s="51">
        <v>5.3427656204605327</v>
      </c>
      <c r="T42" s="50">
        <v>43313</v>
      </c>
      <c r="U42" s="51">
        <v>18.507898026225167</v>
      </c>
      <c r="V42" s="51">
        <v>16.932650433852281</v>
      </c>
      <c r="W42" s="51">
        <v>15.832982675890307</v>
      </c>
      <c r="X42" s="51">
        <v>51.273531135967758</v>
      </c>
    </row>
    <row r="43" spans="1:24">
      <c r="A43">
        <v>42</v>
      </c>
      <c r="B43" t="s">
        <v>84</v>
      </c>
      <c r="C43" s="34">
        <v>43435</v>
      </c>
      <c r="D43" t="s">
        <v>85</v>
      </c>
      <c r="E43" t="s">
        <v>86</v>
      </c>
      <c r="F43" t="s">
        <v>87</v>
      </c>
      <c r="G43">
        <v>1.239123749262E-2</v>
      </c>
      <c r="H43" t="s">
        <v>123</v>
      </c>
      <c r="I43" t="s">
        <v>88</v>
      </c>
      <c r="J43">
        <f t="shared" si="0"/>
        <v>13.896815423324149</v>
      </c>
      <c r="M43" s="50">
        <v>43344</v>
      </c>
      <c r="N43" s="51">
        <v>0.6610411887695733</v>
      </c>
      <c r="O43" s="51">
        <v>0.87617747021173642</v>
      </c>
      <c r="P43" s="51">
        <v>2.8815665657127232</v>
      </c>
      <c r="Q43" s="51">
        <v>4.4187852246940329</v>
      </c>
      <c r="T43" s="50">
        <v>43344</v>
      </c>
      <c r="U43" s="51">
        <v>15.565581300943411</v>
      </c>
      <c r="V43" s="51">
        <v>14.190087976696763</v>
      </c>
      <c r="W43" s="51">
        <v>13.254119804924979</v>
      </c>
      <c r="X43" s="51">
        <v>43.009789082565149</v>
      </c>
    </row>
    <row r="44" spans="1:24">
      <c r="A44">
        <v>43</v>
      </c>
      <c r="B44" t="s">
        <v>84</v>
      </c>
      <c r="C44" s="34">
        <v>43466</v>
      </c>
      <c r="D44" t="s">
        <v>85</v>
      </c>
      <c r="E44" t="s">
        <v>86</v>
      </c>
      <c r="F44" t="s">
        <v>87</v>
      </c>
      <c r="G44">
        <v>1.30078721762745E-2</v>
      </c>
      <c r="H44" t="s">
        <v>123</v>
      </c>
      <c r="I44" t="s">
        <v>88</v>
      </c>
      <c r="J44">
        <f t="shared" si="0"/>
        <v>14.539729052330951</v>
      </c>
      <c r="M44" s="50">
        <v>43374</v>
      </c>
      <c r="N44" s="51">
        <v>0.79492911973901847</v>
      </c>
      <c r="O44" s="51">
        <v>1.06151194239823</v>
      </c>
      <c r="P44" s="51">
        <v>3.4900750020789073</v>
      </c>
      <c r="Q44" s="51">
        <v>5.3465160642161553</v>
      </c>
      <c r="T44" s="50">
        <v>43374</v>
      </c>
      <c r="U44" s="51">
        <v>18.582076856270124</v>
      </c>
      <c r="V44" s="51">
        <v>16.930062582693871</v>
      </c>
      <c r="W44" s="51">
        <v>15.827636353617891</v>
      </c>
      <c r="X44" s="51">
        <v>51.339775792581889</v>
      </c>
    </row>
    <row r="45" spans="1:24">
      <c r="A45">
        <v>44</v>
      </c>
      <c r="B45" t="s">
        <v>84</v>
      </c>
      <c r="C45" s="34">
        <v>43497</v>
      </c>
      <c r="D45" t="s">
        <v>85</v>
      </c>
      <c r="E45" t="s">
        <v>86</v>
      </c>
      <c r="F45" t="s">
        <v>87</v>
      </c>
      <c r="G45">
        <v>1.1766340087573299E-2</v>
      </c>
      <c r="H45" t="s">
        <v>123</v>
      </c>
      <c r="I45" t="s">
        <v>88</v>
      </c>
      <c r="J45">
        <f t="shared" si="0"/>
        <v>13.240766579477626</v>
      </c>
      <c r="M45" s="50">
        <v>43405</v>
      </c>
      <c r="N45" s="51">
        <v>0.7232080899434612</v>
      </c>
      <c r="O45" s="51">
        <v>0.97317122317931437</v>
      </c>
      <c r="P45" s="51">
        <v>3.2068005135942101</v>
      </c>
      <c r="Q45" s="51">
        <v>4.9031798267169862</v>
      </c>
      <c r="T45" s="50">
        <v>43405</v>
      </c>
      <c r="U45" s="51">
        <v>17.1359805642056</v>
      </c>
      <c r="V45" s="51">
        <v>15.568302712162808</v>
      </c>
      <c r="W45" s="51">
        <v>14.545733670369343</v>
      </c>
      <c r="X45" s="51">
        <v>47.250016946737752</v>
      </c>
    </row>
    <row r="46" spans="1:24">
      <c r="A46">
        <v>45</v>
      </c>
      <c r="B46" t="s">
        <v>84</v>
      </c>
      <c r="C46" s="34">
        <v>43525</v>
      </c>
      <c r="D46" t="s">
        <v>85</v>
      </c>
      <c r="E46" t="s">
        <v>86</v>
      </c>
      <c r="F46" t="s">
        <v>87</v>
      </c>
      <c r="G46">
        <v>1.30019110646426E-2</v>
      </c>
      <c r="H46" t="s">
        <v>123</v>
      </c>
      <c r="I46" t="s">
        <v>88</v>
      </c>
      <c r="J46">
        <f t="shared" si="0"/>
        <v>14.533535019485221</v>
      </c>
      <c r="M46" s="50">
        <v>43435</v>
      </c>
      <c r="N46" s="51">
        <v>0.68719865119369894</v>
      </c>
      <c r="O46" s="51">
        <v>0.93170432476866738</v>
      </c>
      <c r="P46" s="51">
        <v>3.0744032978970548</v>
      </c>
      <c r="Q46" s="51">
        <v>4.6933062738594211</v>
      </c>
      <c r="T46" s="50">
        <v>43435</v>
      </c>
      <c r="U46" s="51">
        <v>16.4178584443878</v>
      </c>
      <c r="V46" s="51">
        <v>14.879142891075603</v>
      </c>
      <c r="W46" s="51">
        <v>13.896815423324149</v>
      </c>
      <c r="X46" s="51">
        <v>45.193816758787548</v>
      </c>
    </row>
    <row r="47" spans="1:24">
      <c r="A47">
        <v>46</v>
      </c>
      <c r="B47" t="s">
        <v>84</v>
      </c>
      <c r="C47" s="34">
        <v>43556</v>
      </c>
      <c r="D47" t="s">
        <v>85</v>
      </c>
      <c r="E47" t="s">
        <v>86</v>
      </c>
      <c r="F47" t="s">
        <v>87</v>
      </c>
      <c r="G47">
        <v>1.29989131684466E-2</v>
      </c>
      <c r="H47" t="s">
        <v>123</v>
      </c>
      <c r="I47" t="s">
        <v>88</v>
      </c>
      <c r="J47">
        <f t="shared" si="0"/>
        <v>14.530419829616415</v>
      </c>
      <c r="M47" s="50">
        <v>43466</v>
      </c>
      <c r="N47" s="51">
        <v>0.72041051102031961</v>
      </c>
      <c r="O47" s="51">
        <v>0.98392689462954985</v>
      </c>
      <c r="P47" s="51">
        <v>3.2469733328971295</v>
      </c>
      <c r="Q47" s="51">
        <v>4.951310738546999</v>
      </c>
      <c r="T47" s="50">
        <v>43466</v>
      </c>
      <c r="U47" s="51">
        <v>17.203545604539428</v>
      </c>
      <c r="V47" s="51">
        <v>15.565341165071889</v>
      </c>
      <c r="W47" s="51">
        <v>14.539729052330951</v>
      </c>
      <c r="X47" s="51">
        <v>47.308615821942269</v>
      </c>
    </row>
    <row r="48" spans="1:24">
      <c r="A48">
        <v>47</v>
      </c>
      <c r="B48" t="s">
        <v>84</v>
      </c>
      <c r="C48" s="34">
        <v>43586</v>
      </c>
      <c r="D48" t="s">
        <v>85</v>
      </c>
      <c r="E48" t="s">
        <v>86</v>
      </c>
      <c r="F48" t="s">
        <v>87</v>
      </c>
      <c r="G48">
        <v>1.36147713328511E-2</v>
      </c>
      <c r="H48" t="s">
        <v>123</v>
      </c>
      <c r="I48" t="s">
        <v>88</v>
      </c>
      <c r="J48">
        <f t="shared" si="0"/>
        <v>15.168192649953205</v>
      </c>
      <c r="M48" s="50">
        <v>43497</v>
      </c>
      <c r="N48" s="51">
        <v>0.65151477274619785</v>
      </c>
      <c r="O48" s="51">
        <v>0.89647791409127597</v>
      </c>
      <c r="P48" s="51">
        <v>2.9623554473762748</v>
      </c>
      <c r="Q48" s="51">
        <v>4.5103481342137481</v>
      </c>
      <c r="T48" s="50">
        <v>43497</v>
      </c>
      <c r="U48" s="51">
        <v>15.721458892790697</v>
      </c>
      <c r="V48" s="51">
        <v>14.183513644701085</v>
      </c>
      <c r="W48" s="51">
        <v>13.240766579477626</v>
      </c>
      <c r="X48" s="51">
        <v>43.145739116969409</v>
      </c>
    </row>
    <row r="49" spans="1:24">
      <c r="A49">
        <v>48</v>
      </c>
      <c r="B49" t="s">
        <v>84</v>
      </c>
      <c r="C49" s="34">
        <v>43617</v>
      </c>
      <c r="D49" t="s">
        <v>85</v>
      </c>
      <c r="E49" t="s">
        <v>86</v>
      </c>
      <c r="F49" t="s">
        <v>87</v>
      </c>
      <c r="G49">
        <v>1.23742211195049E-2</v>
      </c>
      <c r="H49" t="s">
        <v>123</v>
      </c>
      <c r="I49" t="s">
        <v>88</v>
      </c>
      <c r="J49">
        <f t="shared" si="0"/>
        <v>13.879011173414824</v>
      </c>
      <c r="M49" s="50">
        <v>43525</v>
      </c>
      <c r="N49" s="51">
        <v>0.71965258602302296</v>
      </c>
      <c r="O49" s="51">
        <v>0.99733220553764879</v>
      </c>
      <c r="P49" s="51">
        <v>3.2927453088180569</v>
      </c>
      <c r="Q49" s="51">
        <v>5.0097301003787287</v>
      </c>
      <c r="T49" s="50">
        <v>43525</v>
      </c>
      <c r="U49" s="51">
        <v>17.270467546931279</v>
      </c>
      <c r="V49" s="51">
        <v>15.562244410843284</v>
      </c>
      <c r="W49" s="51">
        <v>14.533535019485221</v>
      </c>
      <c r="X49" s="51">
        <v>47.366246977259785</v>
      </c>
    </row>
    <row r="50" spans="1:24">
      <c r="A50">
        <v>49</v>
      </c>
      <c r="B50" t="s">
        <v>84</v>
      </c>
      <c r="C50" s="34">
        <v>43647</v>
      </c>
      <c r="D50" t="s">
        <v>85</v>
      </c>
      <c r="E50" t="s">
        <v>86</v>
      </c>
      <c r="F50" t="s">
        <v>87</v>
      </c>
      <c r="G50">
        <v>1.3608529106904301E-2</v>
      </c>
      <c r="H50" t="s">
        <v>123</v>
      </c>
      <c r="I50" t="s">
        <v>88</v>
      </c>
      <c r="J50">
        <f t="shared" si="0"/>
        <v>15.16175024519918</v>
      </c>
      <c r="M50" s="50">
        <v>43556</v>
      </c>
      <c r="N50" s="51">
        <v>0.71964801272755841</v>
      </c>
      <c r="O50" s="51">
        <v>1.0045347154111761</v>
      </c>
      <c r="P50" s="51">
        <v>3.3164892435850857</v>
      </c>
      <c r="Q50" s="51">
        <v>5.0406719717238202</v>
      </c>
      <c r="T50" s="50">
        <v>43556</v>
      </c>
      <c r="U50" s="51">
        <v>17.303712214943857</v>
      </c>
      <c r="V50" s="51">
        <v>15.560672370527474</v>
      </c>
      <c r="W50" s="51">
        <v>14.530419829616415</v>
      </c>
      <c r="X50" s="51">
        <v>47.394804415087741</v>
      </c>
    </row>
    <row r="51" spans="1:24">
      <c r="A51">
        <v>50</v>
      </c>
      <c r="B51" t="s">
        <v>84</v>
      </c>
      <c r="C51" s="34">
        <v>43678</v>
      </c>
      <c r="D51" t="s">
        <v>85</v>
      </c>
      <c r="E51" t="s">
        <v>86</v>
      </c>
      <c r="F51" t="s">
        <v>87</v>
      </c>
      <c r="G51">
        <v>1.36054318141164E-2</v>
      </c>
      <c r="H51" t="s">
        <v>123</v>
      </c>
      <c r="I51" t="s">
        <v>88</v>
      </c>
      <c r="J51">
        <f t="shared" si="0"/>
        <v>15.158553460413881</v>
      </c>
      <c r="M51" s="50">
        <v>43586</v>
      </c>
      <c r="N51" s="51">
        <v>0.75393193100113942</v>
      </c>
      <c r="O51" s="51">
        <v>1.0598720340473933</v>
      </c>
      <c r="P51" s="51">
        <v>3.4969414664465681</v>
      </c>
      <c r="Q51" s="51">
        <v>5.3107454314951008</v>
      </c>
      <c r="T51" s="50">
        <v>43586</v>
      </c>
      <c r="U51" s="51">
        <v>18.089104710287764</v>
      </c>
      <c r="V51" s="51">
        <v>16.241390705769643</v>
      </c>
      <c r="W51" s="51">
        <v>15.168192649953205</v>
      </c>
      <c r="X51" s="51">
        <v>49.498688066010608</v>
      </c>
    </row>
    <row r="52" spans="1:24">
      <c r="A52">
        <v>51</v>
      </c>
      <c r="B52" t="s">
        <v>84</v>
      </c>
      <c r="C52" s="34">
        <v>43709</v>
      </c>
      <c r="D52" t="s">
        <v>85</v>
      </c>
      <c r="E52" t="s">
        <v>86</v>
      </c>
      <c r="F52" t="s">
        <v>87</v>
      </c>
      <c r="G52">
        <v>1.23657756234725E-2</v>
      </c>
      <c r="H52" t="s">
        <v>123</v>
      </c>
      <c r="I52" t="s">
        <v>88</v>
      </c>
      <c r="J52">
        <f t="shared" si="0"/>
        <v>13.870173388568075</v>
      </c>
      <c r="M52" s="50">
        <v>43617</v>
      </c>
      <c r="N52" s="51">
        <v>0.68580467429028014</v>
      </c>
      <c r="O52" s="51">
        <v>0.97109211115338212</v>
      </c>
      <c r="P52" s="51">
        <v>3.2066526957700403</v>
      </c>
      <c r="Q52" s="51">
        <v>4.8635494812137026</v>
      </c>
      <c r="T52" s="50">
        <v>43617</v>
      </c>
      <c r="U52" s="51">
        <v>16.609876897112418</v>
      </c>
      <c r="V52" s="51">
        <v>14.870183557846396</v>
      </c>
      <c r="W52" s="51">
        <v>13.879011173414824</v>
      </c>
      <c r="X52" s="51">
        <v>45.359071628373641</v>
      </c>
    </row>
    <row r="53" spans="1:24">
      <c r="A53">
        <v>52</v>
      </c>
      <c r="B53" t="s">
        <v>84</v>
      </c>
      <c r="C53" s="34">
        <v>43739</v>
      </c>
      <c r="D53" t="s">
        <v>85</v>
      </c>
      <c r="E53" t="s">
        <v>86</v>
      </c>
      <c r="F53" t="s">
        <v>87</v>
      </c>
      <c r="G53">
        <v>1.42174441122161E-2</v>
      </c>
      <c r="H53" t="s">
        <v>123</v>
      </c>
      <c r="I53" t="s">
        <v>88</v>
      </c>
      <c r="J53">
        <f t="shared" si="0"/>
        <v>15.788084714686612</v>
      </c>
      <c r="M53" s="50">
        <v>43647</v>
      </c>
      <c r="N53" s="51">
        <v>0.75440642318070905</v>
      </c>
      <c r="O53" s="51">
        <v>1.0756447115302881</v>
      </c>
      <c r="P53" s="51">
        <v>3.5471726031130357</v>
      </c>
      <c r="Q53" s="51">
        <v>5.3772237378240328</v>
      </c>
      <c r="T53" s="50">
        <v>43647</v>
      </c>
      <c r="U53" s="51">
        <v>18.157482797737103</v>
      </c>
      <c r="V53" s="51">
        <v>16.238095419014563</v>
      </c>
      <c r="W53" s="51">
        <v>15.16175024519918</v>
      </c>
      <c r="X53" s="51">
        <v>49.557328461950846</v>
      </c>
    </row>
    <row r="54" spans="1:24">
      <c r="A54">
        <v>53</v>
      </c>
      <c r="B54" t="s">
        <v>84</v>
      </c>
      <c r="C54" s="34">
        <v>43770</v>
      </c>
      <c r="D54" t="s">
        <v>85</v>
      </c>
      <c r="E54" t="s">
        <v>86</v>
      </c>
      <c r="F54" t="s">
        <v>87</v>
      </c>
      <c r="G54">
        <v>1.2360232769409099E-2</v>
      </c>
      <c r="H54" t="s">
        <v>123</v>
      </c>
      <c r="I54" t="s">
        <v>88</v>
      </c>
      <c r="J54">
        <f t="shared" si="0"/>
        <v>13.86437262001442</v>
      </c>
      <c r="M54" s="50">
        <v>43678</v>
      </c>
      <c r="N54" s="51">
        <v>0.75468281587934838</v>
      </c>
      <c r="O54" s="51">
        <v>1.0835986433171407</v>
      </c>
      <c r="P54" s="51">
        <v>3.5721550390970802</v>
      </c>
      <c r="Q54" s="51">
        <v>5.4104364982935689</v>
      </c>
      <c r="T54" s="50">
        <v>43678</v>
      </c>
      <c r="U54" s="51">
        <v>18.191470134279474</v>
      </c>
      <c r="V54" s="51">
        <v>16.236447266329236</v>
      </c>
      <c r="W54" s="51">
        <v>15.158553460413881</v>
      </c>
      <c r="X54" s="51">
        <v>49.58647086102259</v>
      </c>
    </row>
    <row r="55" spans="1:24">
      <c r="A55">
        <v>54</v>
      </c>
      <c r="B55" t="s">
        <v>84</v>
      </c>
      <c r="C55" s="34">
        <v>43800</v>
      </c>
      <c r="D55" t="s">
        <v>85</v>
      </c>
      <c r="E55" t="s">
        <v>86</v>
      </c>
      <c r="F55" t="s">
        <v>87</v>
      </c>
      <c r="G55">
        <v>1.2975364114102401E-2</v>
      </c>
      <c r="H55" t="s">
        <v>123</v>
      </c>
      <c r="I55" t="s">
        <v>88</v>
      </c>
      <c r="J55">
        <f t="shared" si="0"/>
        <v>14.505945790540286</v>
      </c>
      <c r="M55" s="50">
        <v>43709</v>
      </c>
      <c r="N55" s="51">
        <v>0.68654313172272774</v>
      </c>
      <c r="O55" s="51">
        <v>0.99278282754902136</v>
      </c>
      <c r="P55" s="51">
        <v>3.2749499341005905</v>
      </c>
      <c r="Q55" s="51">
        <v>4.9542758933723396</v>
      </c>
      <c r="T55" s="50">
        <v>43709</v>
      </c>
      <c r="U55" s="51">
        <v>16.704145444496767</v>
      </c>
      <c r="V55" s="51">
        <v>14.865622394597377</v>
      </c>
      <c r="W55" s="51">
        <v>13.870173388568075</v>
      </c>
      <c r="X55" s="51">
        <v>45.439941227662217</v>
      </c>
    </row>
    <row r="56" spans="1:24">
      <c r="A56">
        <v>55</v>
      </c>
      <c r="B56" t="s">
        <v>84</v>
      </c>
      <c r="C56" s="34">
        <v>43831</v>
      </c>
      <c r="D56" t="s">
        <v>85</v>
      </c>
      <c r="E56" t="s">
        <v>86</v>
      </c>
      <c r="F56" t="s">
        <v>87</v>
      </c>
      <c r="G56">
        <v>1.2972503903044901E-2</v>
      </c>
      <c r="H56" t="s">
        <v>123</v>
      </c>
      <c r="I56" t="s">
        <v>88</v>
      </c>
      <c r="J56">
        <f t="shared" si="0"/>
        <v>14.502972795609859</v>
      </c>
      <c r="M56" s="50">
        <v>43739</v>
      </c>
      <c r="N56" s="51">
        <v>0.78942806699214829</v>
      </c>
      <c r="O56" s="51">
        <v>1.1492342008615264</v>
      </c>
      <c r="P56" s="51">
        <v>3.7833346062255413</v>
      </c>
      <c r="Q56" s="51">
        <v>5.721996874079216</v>
      </c>
      <c r="T56" s="50">
        <v>43739</v>
      </c>
      <c r="U56" s="51">
        <v>19.011286204183008</v>
      </c>
      <c r="V56" s="51">
        <v>16.910086684713932</v>
      </c>
      <c r="W56" s="51">
        <v>15.788084714686612</v>
      </c>
      <c r="X56" s="51">
        <v>51.709457603583552</v>
      </c>
    </row>
    <row r="57" spans="1:24">
      <c r="A57">
        <v>56</v>
      </c>
      <c r="B57" t="s">
        <v>84</v>
      </c>
      <c r="C57" s="34">
        <v>43862</v>
      </c>
      <c r="D57" t="s">
        <v>85</v>
      </c>
      <c r="E57" t="s">
        <v>86</v>
      </c>
      <c r="F57" t="s">
        <v>87</v>
      </c>
      <c r="G57">
        <v>1.1734457725745599E-2</v>
      </c>
      <c r="H57" t="s">
        <v>123</v>
      </c>
      <c r="I57" t="s">
        <v>88</v>
      </c>
      <c r="J57">
        <f t="shared" si="0"/>
        <v>13.207172336488737</v>
      </c>
      <c r="M57" s="50">
        <v>43770</v>
      </c>
      <c r="N57" s="51">
        <v>0.68700795237254253</v>
      </c>
      <c r="O57" s="51">
        <v>1.0072493781044023</v>
      </c>
      <c r="P57" s="51">
        <v>3.3196813512418544</v>
      </c>
      <c r="Q57" s="51">
        <v>5.0139386817187992</v>
      </c>
      <c r="T57" s="50">
        <v>43770</v>
      </c>
      <c r="U57" s="51">
        <v>16.766388347487961</v>
      </c>
      <c r="V57" s="51">
        <v>14.862590378240704</v>
      </c>
      <c r="W57" s="51">
        <v>13.86437262001442</v>
      </c>
      <c r="X57" s="51">
        <v>45.493351345743086</v>
      </c>
    </row>
    <row r="58" spans="1:24">
      <c r="A58">
        <v>57</v>
      </c>
      <c r="B58" t="s">
        <v>84</v>
      </c>
      <c r="C58" s="34">
        <v>43891</v>
      </c>
      <c r="D58" t="s">
        <v>85</v>
      </c>
      <c r="E58" t="s">
        <v>86</v>
      </c>
      <c r="F58" t="s">
        <v>87</v>
      </c>
      <c r="G58">
        <v>1.3584312500174601E-2</v>
      </c>
      <c r="H58" t="s">
        <v>123</v>
      </c>
      <c r="I58" t="s">
        <v>88</v>
      </c>
      <c r="J58">
        <f t="shared" si="0"/>
        <v>15.136752803156439</v>
      </c>
      <c r="M58" s="50">
        <v>43800</v>
      </c>
      <c r="N58" s="51">
        <v>0.72145669003668145</v>
      </c>
      <c r="O58" s="51">
        <v>1.0649268858864303</v>
      </c>
      <c r="P58" s="51">
        <v>3.5061173041672999</v>
      </c>
      <c r="Q58" s="51">
        <v>5.2925008800904116</v>
      </c>
      <c r="T58" s="50">
        <v>43800</v>
      </c>
      <c r="U58" s="51">
        <v>17.56496806809087</v>
      </c>
      <c r="V58" s="51">
        <v>15.548019403363778</v>
      </c>
      <c r="W58" s="51">
        <v>14.505945790540286</v>
      </c>
      <c r="X58" s="51">
        <v>47.618933261994933</v>
      </c>
    </row>
    <row r="59" spans="1:24">
      <c r="A59">
        <v>58</v>
      </c>
      <c r="B59" t="s">
        <v>84</v>
      </c>
      <c r="C59" s="34">
        <v>43922</v>
      </c>
      <c r="D59" t="s">
        <v>85</v>
      </c>
      <c r="E59" t="s">
        <v>86</v>
      </c>
      <c r="F59" t="s">
        <v>87</v>
      </c>
      <c r="G59">
        <v>1.2964043626949501E-2</v>
      </c>
      <c r="H59" t="s">
        <v>123</v>
      </c>
      <c r="I59" t="s">
        <v>88</v>
      </c>
      <c r="J59">
        <f t="shared" si="0"/>
        <v>14.49417835907072</v>
      </c>
      <c r="M59" s="50">
        <v>43831</v>
      </c>
      <c r="N59" s="51">
        <v>0.72164335191861051</v>
      </c>
      <c r="O59" s="51">
        <v>1.0724588661672363</v>
      </c>
      <c r="P59" s="51">
        <v>3.5290323111077826</v>
      </c>
      <c r="Q59" s="51">
        <v>5.3231345291936289</v>
      </c>
      <c r="T59" s="50">
        <v>43831</v>
      </c>
      <c r="U59" s="51">
        <v>17.597060508443075</v>
      </c>
      <c r="V59" s="51">
        <v>15.546447031883581</v>
      </c>
      <c r="W59" s="51">
        <v>14.502972795609859</v>
      </c>
      <c r="X59" s="51">
        <v>47.646480335936509</v>
      </c>
    </row>
    <row r="60" spans="1:24">
      <c r="A60">
        <v>59</v>
      </c>
      <c r="B60" t="s">
        <v>84</v>
      </c>
      <c r="C60" s="34">
        <v>43952</v>
      </c>
      <c r="D60" t="s">
        <v>85</v>
      </c>
      <c r="E60" t="s">
        <v>86</v>
      </c>
      <c r="F60" t="s">
        <v>87</v>
      </c>
      <c r="G60">
        <v>1.23440602603485E-2</v>
      </c>
      <c r="H60" t="s">
        <v>123</v>
      </c>
      <c r="I60" t="s">
        <v>88</v>
      </c>
      <c r="J60">
        <f t="shared" si="0"/>
        <v>13.847445541219583</v>
      </c>
      <c r="M60" s="50">
        <v>43862</v>
      </c>
      <c r="N60" s="51">
        <v>0.65326608486593329</v>
      </c>
      <c r="O60" s="51">
        <v>0.97756889504512223</v>
      </c>
      <c r="P60" s="51">
        <v>3.2185162823340163</v>
      </c>
      <c r="Q60" s="51">
        <v>4.8493512622450723</v>
      </c>
      <c r="T60" s="50">
        <v>43862</v>
      </c>
      <c r="U60" s="51">
        <v>16.082103561203777</v>
      </c>
      <c r="V60" s="51">
        <v>14.166134555421174</v>
      </c>
      <c r="W60" s="51">
        <v>13.207172336488737</v>
      </c>
      <c r="X60" s="51">
        <v>43.455410453113686</v>
      </c>
    </row>
    <row r="61" spans="1:24">
      <c r="A61">
        <v>60</v>
      </c>
      <c r="B61" t="s">
        <v>84</v>
      </c>
      <c r="C61" s="34">
        <v>43983</v>
      </c>
      <c r="D61" t="s">
        <v>85</v>
      </c>
      <c r="E61" t="s">
        <v>86</v>
      </c>
      <c r="F61" t="s">
        <v>87</v>
      </c>
      <c r="G61">
        <v>1.35755740526753E-2</v>
      </c>
      <c r="H61" t="s">
        <v>123</v>
      </c>
      <c r="I61" t="s">
        <v>88</v>
      </c>
      <c r="J61">
        <f t="shared" si="0"/>
        <v>15.127730937353313</v>
      </c>
      <c r="M61" s="50">
        <v>43891</v>
      </c>
      <c r="N61" s="51">
        <v>0.75619281737817623</v>
      </c>
      <c r="O61" s="51">
        <v>1.138937946714691</v>
      </c>
      <c r="P61" s="51">
        <v>3.7414314920027669</v>
      </c>
      <c r="Q61" s="51">
        <v>5.6365622560956341</v>
      </c>
      <c r="T61" s="50">
        <v>43891</v>
      </c>
      <c r="U61" s="51">
        <v>18.42573056181881</v>
      </c>
      <c r="V61" s="51">
        <v>16.224981623777634</v>
      </c>
      <c r="W61" s="51">
        <v>15.136752803156439</v>
      </c>
      <c r="X61" s="51">
        <v>49.787464988752888</v>
      </c>
    </row>
    <row r="62" spans="1:24">
      <c r="A62">
        <v>61</v>
      </c>
      <c r="B62" t="s">
        <v>84</v>
      </c>
      <c r="C62" s="34">
        <v>44013</v>
      </c>
      <c r="D62" t="s">
        <v>85</v>
      </c>
      <c r="E62" t="s">
        <v>86</v>
      </c>
      <c r="F62" t="s">
        <v>87</v>
      </c>
      <c r="G62">
        <v>1.35727021260883E-2</v>
      </c>
      <c r="H62" t="s">
        <v>123</v>
      </c>
      <c r="I62" t="s">
        <v>88</v>
      </c>
      <c r="J62">
        <f t="shared" si="0"/>
        <v>15.124765672226935</v>
      </c>
      <c r="M62" s="50">
        <v>43922</v>
      </c>
      <c r="N62" s="51">
        <v>0.72203781842417047</v>
      </c>
      <c r="O62" s="51">
        <v>1.0948599281443983</v>
      </c>
      <c r="P62" s="51">
        <v>3.5964304848043693</v>
      </c>
      <c r="Q62" s="51">
        <v>5.4133282313729385</v>
      </c>
      <c r="T62" s="50">
        <v>43922</v>
      </c>
      <c r="U62" s="51">
        <v>17.692602807850388</v>
      </c>
      <c r="V62" s="51">
        <v>15.541750549094735</v>
      </c>
      <c r="W62" s="51">
        <v>14.49417835907072</v>
      </c>
      <c r="X62" s="51">
        <v>47.728531716015837</v>
      </c>
    </row>
    <row r="63" spans="1:24">
      <c r="A63">
        <v>62</v>
      </c>
      <c r="B63" t="s">
        <v>84</v>
      </c>
      <c r="C63" s="34">
        <v>44044</v>
      </c>
      <c r="D63" t="s">
        <v>85</v>
      </c>
      <c r="E63" t="s">
        <v>86</v>
      </c>
      <c r="F63" t="s">
        <v>87</v>
      </c>
      <c r="G63">
        <v>1.2953038908717299E-2</v>
      </c>
      <c r="H63" t="s">
        <v>123</v>
      </c>
      <c r="I63" t="s">
        <v>88</v>
      </c>
      <c r="J63">
        <f t="shared" si="0"/>
        <v>14.482737740259399</v>
      </c>
      <c r="M63" s="50">
        <v>43952</v>
      </c>
      <c r="N63" s="51">
        <v>0.68783540710596336</v>
      </c>
      <c r="O63" s="51">
        <v>1.0500224053698104</v>
      </c>
      <c r="P63" s="51">
        <v>3.4488983631075887</v>
      </c>
      <c r="Q63" s="51">
        <v>5.186756175583362</v>
      </c>
      <c r="T63" s="50">
        <v>43952</v>
      </c>
      <c r="U63" s="51">
        <v>16.95028809988851</v>
      </c>
      <c r="V63" s="51">
        <v>14.853568437332543</v>
      </c>
      <c r="W63" s="51">
        <v>13.847445541219583</v>
      </c>
      <c r="X63" s="51">
        <v>45.651302078440636</v>
      </c>
    </row>
    <row r="64" spans="1:24">
      <c r="A64">
        <v>63</v>
      </c>
      <c r="B64" t="s">
        <v>84</v>
      </c>
      <c r="C64" s="34">
        <v>44075</v>
      </c>
      <c r="D64" t="s">
        <v>85</v>
      </c>
      <c r="E64" t="s">
        <v>86</v>
      </c>
      <c r="F64" t="s">
        <v>87</v>
      </c>
      <c r="G64">
        <v>1.2950335652520699E-2</v>
      </c>
      <c r="H64" t="s">
        <v>123</v>
      </c>
      <c r="I64" t="s">
        <v>88</v>
      </c>
      <c r="J64">
        <f t="shared" si="0"/>
        <v>14.479927192508757</v>
      </c>
      <c r="M64" s="50">
        <v>43983</v>
      </c>
      <c r="N64" s="51">
        <v>0.75642956625491253</v>
      </c>
      <c r="O64" s="51">
        <v>1.1621749408223914</v>
      </c>
      <c r="P64" s="51">
        <v>3.8105139841085767</v>
      </c>
      <c r="Q64" s="51">
        <v>5.729118491185881</v>
      </c>
      <c r="T64" s="50">
        <v>43983</v>
      </c>
      <c r="U64" s="51">
        <v>18.524209106726087</v>
      </c>
      <c r="V64" s="51">
        <v>16.220119782867215</v>
      </c>
      <c r="W64" s="51">
        <v>15.127730937353313</v>
      </c>
      <c r="X64" s="51">
        <v>49.872059826946618</v>
      </c>
    </row>
    <row r="65" spans="1:24">
      <c r="A65">
        <v>64</v>
      </c>
      <c r="B65" t="s">
        <v>84</v>
      </c>
      <c r="C65" s="34">
        <v>44105</v>
      </c>
      <c r="D65" t="s">
        <v>85</v>
      </c>
      <c r="E65" t="s">
        <v>86</v>
      </c>
      <c r="F65" t="s">
        <v>87</v>
      </c>
      <c r="G65">
        <v>1.35642059467696E-2</v>
      </c>
      <c r="H65" t="s">
        <v>123</v>
      </c>
      <c r="I65" t="s">
        <v>88</v>
      </c>
      <c r="J65">
        <f t="shared" si="0"/>
        <v>15.115992808291745</v>
      </c>
      <c r="M65" s="50">
        <v>44013</v>
      </c>
      <c r="N65" s="51">
        <v>0.75645067128086163</v>
      </c>
      <c r="O65" s="51">
        <v>1.1698450539191163</v>
      </c>
      <c r="P65" s="51">
        <v>3.8330746395700444</v>
      </c>
      <c r="Q65" s="51">
        <v>5.7593703647700227</v>
      </c>
      <c r="T65" s="50">
        <v>44013</v>
      </c>
      <c r="U65" s="51">
        <v>18.556783017648026</v>
      </c>
      <c r="V65" s="51">
        <v>16.218506453030702</v>
      </c>
      <c r="W65" s="51">
        <v>15.124765672226935</v>
      </c>
      <c r="X65" s="51">
        <v>49.900055142905664</v>
      </c>
    </row>
    <row r="66" spans="1:24">
      <c r="A66">
        <v>65</v>
      </c>
      <c r="B66" t="s">
        <v>84</v>
      </c>
      <c r="C66" s="34">
        <v>44136</v>
      </c>
      <c r="D66" t="s">
        <v>85</v>
      </c>
      <c r="E66" t="s">
        <v>86</v>
      </c>
      <c r="F66" t="s">
        <v>87</v>
      </c>
      <c r="G66">
        <v>1.23285572589604E-2</v>
      </c>
      <c r="H66" t="s">
        <v>123</v>
      </c>
      <c r="I66" t="s">
        <v>88</v>
      </c>
      <c r="J66">
        <f t="shared" si="0"/>
        <v>13.831216345230168</v>
      </c>
      <c r="M66" s="50">
        <v>44044</v>
      </c>
      <c r="N66" s="51">
        <v>0.72217410341043342</v>
      </c>
      <c r="O66" s="51">
        <v>1.1242322978181507</v>
      </c>
      <c r="P66" s="51">
        <v>3.6831588177966168</v>
      </c>
      <c r="Q66" s="51">
        <v>5.5295652190252014</v>
      </c>
      <c r="T66" s="50">
        <v>44044</v>
      </c>
      <c r="U66" s="51">
        <v>17.818294008138068</v>
      </c>
      <c r="V66" s="51">
        <v>15.535537617076844</v>
      </c>
      <c r="W66" s="51">
        <v>14.482737740259399</v>
      </c>
      <c r="X66" s="51">
        <v>47.836569365474304</v>
      </c>
    </row>
    <row r="67" spans="1:24">
      <c r="A67">
        <v>66</v>
      </c>
      <c r="B67" t="s">
        <v>84</v>
      </c>
      <c r="C67" s="34">
        <v>44166</v>
      </c>
      <c r="D67" t="s">
        <v>85</v>
      </c>
      <c r="E67" t="s">
        <v>86</v>
      </c>
      <c r="F67" t="s">
        <v>87</v>
      </c>
      <c r="G67">
        <v>1.35586391837782E-2</v>
      </c>
      <c r="H67" t="s">
        <v>123</v>
      </c>
      <c r="I67" t="s">
        <v>88</v>
      </c>
      <c r="J67">
        <f t="shared" ref="J67:J130" si="1">100*(1-(1-G67)^12)</f>
        <v>15.110244308660558</v>
      </c>
      <c r="M67" s="50">
        <v>44075</v>
      </c>
      <c r="N67" s="51">
        <v>0.72214147284394015</v>
      </c>
      <c r="O67" s="51">
        <v>1.131484581439357</v>
      </c>
      <c r="P67" s="51">
        <v>3.7042913843048475</v>
      </c>
      <c r="Q67" s="51">
        <v>5.5579174385881451</v>
      </c>
      <c r="T67" s="50">
        <v>44075</v>
      </c>
      <c r="U67" s="51">
        <v>17.849416161938091</v>
      </c>
      <c r="V67" s="51">
        <v>15.533993039058947</v>
      </c>
      <c r="W67" s="51">
        <v>14.479927192508757</v>
      </c>
      <c r="X67" s="51">
        <v>47.86333639350579</v>
      </c>
    </row>
    <row r="68" spans="1:24">
      <c r="A68">
        <v>67</v>
      </c>
      <c r="B68" t="s">
        <v>84</v>
      </c>
      <c r="C68" s="34">
        <v>44197</v>
      </c>
      <c r="D68" t="s">
        <v>85</v>
      </c>
      <c r="E68" t="s">
        <v>86</v>
      </c>
      <c r="F68" t="s">
        <v>87</v>
      </c>
      <c r="G68">
        <v>1.1707354632244401E-2</v>
      </c>
      <c r="H68" t="s">
        <v>123</v>
      </c>
      <c r="I68" t="s">
        <v>88</v>
      </c>
      <c r="J68">
        <f t="shared" si="1"/>
        <v>13.178604601880028</v>
      </c>
      <c r="M68" s="50">
        <v>44105</v>
      </c>
      <c r="N68" s="51">
        <v>0.75634886437067061</v>
      </c>
      <c r="O68" s="51">
        <v>1.1926267311641148</v>
      </c>
      <c r="P68" s="51">
        <v>3.8993844369017538</v>
      </c>
      <c r="Q68" s="51">
        <v>5.8483600324365392</v>
      </c>
      <c r="T68" s="50">
        <v>44105</v>
      </c>
      <c r="U68" s="51">
        <v>18.653753641355941</v>
      </c>
      <c r="V68" s="51">
        <v>16.213687932750396</v>
      </c>
      <c r="W68" s="51">
        <v>15.115992808291745</v>
      </c>
      <c r="X68" s="51">
        <v>49.98343438239808</v>
      </c>
    </row>
    <row r="69" spans="1:24">
      <c r="A69">
        <v>68</v>
      </c>
      <c r="B69" t="s">
        <v>84</v>
      </c>
      <c r="C69" s="34">
        <v>44228</v>
      </c>
      <c r="D69" t="s">
        <v>85</v>
      </c>
      <c r="E69" t="s">
        <v>86</v>
      </c>
      <c r="F69" t="s">
        <v>87</v>
      </c>
      <c r="G69">
        <v>1.17049915713604E-2</v>
      </c>
      <c r="H69" t="s">
        <v>123</v>
      </c>
      <c r="I69" t="s">
        <v>88</v>
      </c>
      <c r="J69">
        <f t="shared" si="1"/>
        <v>13.17611343359204</v>
      </c>
      <c r="M69" s="50">
        <v>44136</v>
      </c>
      <c r="N69" s="51">
        <v>0.68772841247731753</v>
      </c>
      <c r="O69" s="51">
        <v>1.0915886996446744</v>
      </c>
      <c r="P69" s="51">
        <v>3.5704939659594648</v>
      </c>
      <c r="Q69" s="51">
        <v>5.3498110780814567</v>
      </c>
      <c r="T69" s="50">
        <v>44136</v>
      </c>
      <c r="U69" s="51">
        <v>17.130019212369163</v>
      </c>
      <c r="V69" s="51">
        <v>14.844666402256912</v>
      </c>
      <c r="W69" s="51">
        <v>13.831216345230168</v>
      </c>
      <c r="X69" s="51">
        <v>45.805901959856243</v>
      </c>
    </row>
    <row r="70" spans="1:24">
      <c r="A70">
        <v>69</v>
      </c>
      <c r="B70" t="s">
        <v>84</v>
      </c>
      <c r="C70" s="34">
        <v>44256</v>
      </c>
      <c r="D70" t="s">
        <v>85</v>
      </c>
      <c r="E70" t="s">
        <v>86</v>
      </c>
      <c r="F70" t="s">
        <v>87</v>
      </c>
      <c r="G70">
        <v>1.4166359082518201E-2</v>
      </c>
      <c r="H70" t="s">
        <v>123</v>
      </c>
      <c r="I70" t="s">
        <v>88</v>
      </c>
      <c r="J70">
        <f t="shared" si="1"/>
        <v>15.735701626436283</v>
      </c>
      <c r="M70" s="50">
        <v>44166</v>
      </c>
      <c r="N70" s="51">
        <v>0.75615051706655612</v>
      </c>
      <c r="O70" s="51">
        <v>1.2076247522498917</v>
      </c>
      <c r="P70" s="51">
        <v>3.9424711355044995</v>
      </c>
      <c r="Q70" s="51">
        <v>5.9062464048209478</v>
      </c>
      <c r="T70" s="50">
        <v>44166</v>
      </c>
      <c r="U70" s="51">
        <v>18.717778685052554</v>
      </c>
      <c r="V70" s="51">
        <v>16.210493089162348</v>
      </c>
      <c r="W70" s="51">
        <v>15.110244308660558</v>
      </c>
      <c r="X70" s="51">
        <v>50.038516082875461</v>
      </c>
    </row>
    <row r="71" spans="1:24">
      <c r="A71">
        <v>70</v>
      </c>
      <c r="B71" t="s">
        <v>84</v>
      </c>
      <c r="C71" s="34">
        <v>44287</v>
      </c>
      <c r="D71" t="s">
        <v>85</v>
      </c>
      <c r="E71" t="s">
        <v>86</v>
      </c>
      <c r="F71" t="s">
        <v>87</v>
      </c>
      <c r="G71">
        <v>1.29319250049886E-2</v>
      </c>
      <c r="H71" t="s">
        <v>123</v>
      </c>
      <c r="I71" t="s">
        <v>88</v>
      </c>
      <c r="J71">
        <f t="shared" si="1"/>
        <v>14.460783578902047</v>
      </c>
      <c r="M71" s="50">
        <v>44197</v>
      </c>
      <c r="N71" s="51">
        <v>0.65323097556633236</v>
      </c>
      <c r="O71" s="51">
        <v>1.0501771078394451</v>
      </c>
      <c r="P71" s="51">
        <v>3.4318006388347477</v>
      </c>
      <c r="Q71" s="51">
        <v>5.1352087222405256</v>
      </c>
      <c r="T71" s="50">
        <v>44197</v>
      </c>
      <c r="U71" s="51">
        <v>16.398462430869966</v>
      </c>
      <c r="V71" s="51">
        <v>14.15049637592498</v>
      </c>
      <c r="W71" s="51">
        <v>13.178604601880028</v>
      </c>
      <c r="X71" s="51">
        <v>43.727563408674975</v>
      </c>
    </row>
    <row r="72" spans="1:24">
      <c r="A72">
        <v>71</v>
      </c>
      <c r="B72" t="s">
        <v>84</v>
      </c>
      <c r="C72" s="34">
        <v>44317</v>
      </c>
      <c r="D72" t="s">
        <v>85</v>
      </c>
      <c r="E72" t="s">
        <v>86</v>
      </c>
      <c r="F72" t="s">
        <v>87</v>
      </c>
      <c r="G72">
        <v>1.2313681365370499E-2</v>
      </c>
      <c r="H72" t="s">
        <v>123</v>
      </c>
      <c r="I72" t="s">
        <v>88</v>
      </c>
      <c r="J72">
        <f t="shared" si="1"/>
        <v>13.815640997493528</v>
      </c>
      <c r="M72" s="50">
        <v>44228</v>
      </c>
      <c r="N72" s="51">
        <v>0.65309286259492838</v>
      </c>
      <c r="O72" s="51">
        <v>1.0565822920928669</v>
      </c>
      <c r="P72" s="51">
        <v>3.4500283957567768</v>
      </c>
      <c r="Q72" s="51">
        <v>5.1597035504445721</v>
      </c>
      <c r="T72" s="50">
        <v>44228</v>
      </c>
      <c r="U72" s="51">
        <v>16.426569177424522</v>
      </c>
      <c r="V72" s="51">
        <v>14.149093238277333</v>
      </c>
      <c r="W72" s="51">
        <v>13.17611343359204</v>
      </c>
      <c r="X72" s="51">
        <v>43.751775849293892</v>
      </c>
    </row>
    <row r="73" spans="1:24">
      <c r="A73">
        <v>72</v>
      </c>
      <c r="B73" t="s">
        <v>84</v>
      </c>
      <c r="C73" s="34">
        <v>44348</v>
      </c>
      <c r="D73" t="s">
        <v>85</v>
      </c>
      <c r="E73" t="s">
        <v>86</v>
      </c>
      <c r="F73" t="s">
        <v>87</v>
      </c>
      <c r="G73">
        <v>1.3542385835859001E-2</v>
      </c>
      <c r="H73" t="s">
        <v>123</v>
      </c>
      <c r="I73" t="s">
        <v>88</v>
      </c>
      <c r="J73">
        <f t="shared" si="1"/>
        <v>15.093458299911177</v>
      </c>
      <c r="M73" s="50">
        <v>44256</v>
      </c>
      <c r="N73" s="51">
        <v>0.78989594832442611</v>
      </c>
      <c r="O73" s="51">
        <v>1.2854114436713804</v>
      </c>
      <c r="P73" s="51">
        <v>4.1839930880401948</v>
      </c>
      <c r="Q73" s="51">
        <v>6.2593004800360017</v>
      </c>
      <c r="T73" s="50">
        <v>44256</v>
      </c>
      <c r="U73" s="51">
        <v>19.585333331513965</v>
      </c>
      <c r="V73" s="51">
        <v>16.88162222722832</v>
      </c>
      <c r="W73" s="51">
        <v>15.735701626436283</v>
      </c>
      <c r="X73" s="51">
        <v>52.202657185178566</v>
      </c>
    </row>
    <row r="74" spans="1:24">
      <c r="A74">
        <v>73</v>
      </c>
      <c r="B74" t="s">
        <v>84</v>
      </c>
      <c r="C74" s="34">
        <v>42186</v>
      </c>
      <c r="D74" t="s">
        <v>85</v>
      </c>
      <c r="E74" t="s">
        <v>86</v>
      </c>
      <c r="F74" t="s">
        <v>89</v>
      </c>
      <c r="G74">
        <v>1.8336821102630201E-4</v>
      </c>
      <c r="H74" t="s">
        <v>123</v>
      </c>
      <c r="I74" t="s">
        <v>88</v>
      </c>
      <c r="J74">
        <f t="shared" si="1"/>
        <v>0.21982007107242962</v>
      </c>
      <c r="M74" s="50">
        <v>44287</v>
      </c>
      <c r="N74" s="51">
        <v>0.72124139590755698</v>
      </c>
      <c r="O74" s="51">
        <v>1.1812422132480349</v>
      </c>
      <c r="P74" s="51">
        <v>3.8463160350240444</v>
      </c>
      <c r="Q74" s="51">
        <v>5.7487996441796358</v>
      </c>
      <c r="T74" s="50">
        <v>44287</v>
      </c>
      <c r="U74" s="51">
        <v>18.063945030580598</v>
      </c>
      <c r="V74" s="51">
        <v>15.523273738407294</v>
      </c>
      <c r="W74" s="51">
        <v>14.460783578902047</v>
      </c>
      <c r="X74" s="51">
        <v>48.048002347889941</v>
      </c>
    </row>
    <row r="75" spans="1:24">
      <c r="A75">
        <v>74</v>
      </c>
      <c r="B75" t="s">
        <v>84</v>
      </c>
      <c r="C75" s="34">
        <v>42217</v>
      </c>
      <c r="D75" t="s">
        <v>85</v>
      </c>
      <c r="E75" t="s">
        <v>86</v>
      </c>
      <c r="F75" t="s">
        <v>89</v>
      </c>
      <c r="G75">
        <v>1.7035595549332901E-4</v>
      </c>
      <c r="H75" t="s">
        <v>123</v>
      </c>
      <c r="I75" t="s">
        <v>88</v>
      </c>
      <c r="J75">
        <f t="shared" si="1"/>
        <v>0.20423571571628329</v>
      </c>
      <c r="M75" s="50">
        <v>44317</v>
      </c>
      <c r="N75" s="51">
        <v>0.68679895747899566</v>
      </c>
      <c r="O75" s="51">
        <v>1.1319219874726949</v>
      </c>
      <c r="P75" s="51">
        <v>3.6848569503883599</v>
      </c>
      <c r="Q75" s="51">
        <v>5.5035778953400509</v>
      </c>
      <c r="T75" s="50">
        <v>44317</v>
      </c>
      <c r="U75" s="51">
        <v>17.305659400663043</v>
      </c>
      <c r="V75" s="51">
        <v>14.835878741774067</v>
      </c>
      <c r="W75" s="51">
        <v>13.815640997493528</v>
      </c>
      <c r="X75" s="51">
        <v>45.957179139930645</v>
      </c>
    </row>
    <row r="76" spans="1:24">
      <c r="A76">
        <v>75</v>
      </c>
      <c r="B76" t="s">
        <v>84</v>
      </c>
      <c r="C76" s="34">
        <v>42248</v>
      </c>
      <c r="D76" t="s">
        <v>85</v>
      </c>
      <c r="E76" t="s">
        <v>86</v>
      </c>
      <c r="F76" t="s">
        <v>89</v>
      </c>
      <c r="G76">
        <v>2.3255533343677801E-4</v>
      </c>
      <c r="H76" t="s">
        <v>123</v>
      </c>
      <c r="I76" t="s">
        <v>88</v>
      </c>
      <c r="J76">
        <f t="shared" si="1"/>
        <v>0.27870973558609125</v>
      </c>
      <c r="M76" s="50">
        <v>44348</v>
      </c>
      <c r="N76" s="51">
        <v>0.75499312996643031</v>
      </c>
      <c r="O76" s="51">
        <v>1.2517235386696024</v>
      </c>
      <c r="P76" s="51">
        <v>4.0665713829608379</v>
      </c>
      <c r="Q76" s="51">
        <v>6.0732880515968706</v>
      </c>
      <c r="T76" s="50">
        <v>44348</v>
      </c>
      <c r="U76" s="51">
        <v>18.906900819437965</v>
      </c>
      <c r="V76" s="51">
        <v>16.200988726148868</v>
      </c>
      <c r="W76" s="51">
        <v>15.093458299911177</v>
      </c>
      <c r="X76" s="51">
        <v>50.201347845498006</v>
      </c>
    </row>
    <row r="77" spans="1:24">
      <c r="A77">
        <v>76</v>
      </c>
      <c r="B77" t="s">
        <v>84</v>
      </c>
      <c r="C77" s="34">
        <v>42278</v>
      </c>
      <c r="D77" t="s">
        <v>85</v>
      </c>
      <c r="E77" t="s">
        <v>86</v>
      </c>
      <c r="F77" t="s">
        <v>89</v>
      </c>
      <c r="G77">
        <v>3.3920781849574899E-4</v>
      </c>
      <c r="H77" t="s">
        <v>123</v>
      </c>
      <c r="I77" t="s">
        <v>88</v>
      </c>
      <c r="J77">
        <f t="shared" si="1"/>
        <v>0.40629083136670685</v>
      </c>
      <c r="M77" s="50" t="s">
        <v>92</v>
      </c>
      <c r="N77" s="51">
        <v>53.240187847242076</v>
      </c>
      <c r="O77" s="51">
        <v>69.780765198781339</v>
      </c>
      <c r="P77" s="51">
        <v>195.74442765628953</v>
      </c>
      <c r="Q77" s="51">
        <v>318.76538070231305</v>
      </c>
      <c r="T77" s="50" t="s">
        <v>92</v>
      </c>
      <c r="U77" s="51">
        <v>1271.4259536000986</v>
      </c>
      <c r="V77" s="51">
        <v>1170.7500538399538</v>
      </c>
      <c r="W77" s="51">
        <v>1062.1727805994904</v>
      </c>
      <c r="X77" s="51">
        <v>3504.3487880395433</v>
      </c>
    </row>
    <row r="78" spans="1:24">
      <c r="A78">
        <v>77</v>
      </c>
      <c r="B78" t="s">
        <v>84</v>
      </c>
      <c r="C78" s="34">
        <v>42309</v>
      </c>
      <c r="D78" t="s">
        <v>85</v>
      </c>
      <c r="E78" t="s">
        <v>86</v>
      </c>
      <c r="F78" t="s">
        <v>89</v>
      </c>
      <c r="G78">
        <v>3.94982922238537E-4</v>
      </c>
      <c r="H78" t="s">
        <v>123</v>
      </c>
      <c r="I78" t="s">
        <v>88</v>
      </c>
      <c r="J78">
        <f t="shared" si="1"/>
        <v>0.47295118520509494</v>
      </c>
    </row>
    <row r="79" spans="1:24">
      <c r="A79">
        <v>78</v>
      </c>
      <c r="B79" t="s">
        <v>84</v>
      </c>
      <c r="C79" s="34">
        <v>42339</v>
      </c>
      <c r="D79" t="s">
        <v>85</v>
      </c>
      <c r="E79" t="s">
        <v>86</v>
      </c>
      <c r="F79" t="s">
        <v>89</v>
      </c>
      <c r="G79">
        <v>5.1511131599187596E-4</v>
      </c>
      <c r="H79" t="s">
        <v>123</v>
      </c>
      <c r="I79" t="s">
        <v>88</v>
      </c>
      <c r="J79">
        <f t="shared" si="1"/>
        <v>0.61638534084842433</v>
      </c>
    </row>
    <row r="80" spans="1:24">
      <c r="A80">
        <v>79</v>
      </c>
      <c r="B80" t="s">
        <v>84</v>
      </c>
      <c r="C80" s="34">
        <v>42370</v>
      </c>
      <c r="D80" t="s">
        <v>85</v>
      </c>
      <c r="E80" t="s">
        <v>86</v>
      </c>
      <c r="F80" t="s">
        <v>89</v>
      </c>
      <c r="G80">
        <v>5.3560048768935701E-4</v>
      </c>
      <c r="H80" t="s">
        <v>123</v>
      </c>
      <c r="I80" t="s">
        <v>88</v>
      </c>
      <c r="J80">
        <f t="shared" si="1"/>
        <v>0.6408306333578917</v>
      </c>
    </row>
    <row r="81" spans="1:10">
      <c r="A81">
        <v>80</v>
      </c>
      <c r="B81" t="s">
        <v>84</v>
      </c>
      <c r="C81" s="34">
        <v>42401</v>
      </c>
      <c r="D81" t="s">
        <v>85</v>
      </c>
      <c r="E81" t="s">
        <v>86</v>
      </c>
      <c r="F81" t="s">
        <v>89</v>
      </c>
      <c r="G81">
        <v>6.5341484351383804E-4</v>
      </c>
      <c r="H81" t="s">
        <v>123</v>
      </c>
      <c r="I81" t="s">
        <v>88</v>
      </c>
      <c r="J81">
        <f t="shared" si="1"/>
        <v>0.78128606435595715</v>
      </c>
    </row>
    <row r="82" spans="1:10">
      <c r="A82">
        <v>81</v>
      </c>
      <c r="B82" t="s">
        <v>84</v>
      </c>
      <c r="C82" s="34">
        <v>42430</v>
      </c>
      <c r="D82" t="s">
        <v>85</v>
      </c>
      <c r="E82" t="s">
        <v>86</v>
      </c>
      <c r="F82" t="s">
        <v>89</v>
      </c>
      <c r="G82">
        <v>8.0690747455274697E-4</v>
      </c>
      <c r="H82" t="s">
        <v>123</v>
      </c>
      <c r="I82" t="s">
        <v>88</v>
      </c>
      <c r="J82">
        <f t="shared" si="1"/>
        <v>0.96400324896553924</v>
      </c>
    </row>
    <row r="83" spans="1:10">
      <c r="A83">
        <v>82</v>
      </c>
      <c r="B83" t="s">
        <v>84</v>
      </c>
      <c r="C83" s="34">
        <v>42461</v>
      </c>
      <c r="D83" t="s">
        <v>85</v>
      </c>
      <c r="E83" t="s">
        <v>86</v>
      </c>
      <c r="F83" t="s">
        <v>89</v>
      </c>
      <c r="G83">
        <v>8.4684464544755405E-4</v>
      </c>
      <c r="H83" t="s">
        <v>123</v>
      </c>
      <c r="I83" t="s">
        <v>88</v>
      </c>
      <c r="J83">
        <f t="shared" si="1"/>
        <v>1.0114937473253427</v>
      </c>
    </row>
    <row r="84" spans="1:10">
      <c r="A84">
        <v>83</v>
      </c>
      <c r="B84" t="s">
        <v>84</v>
      </c>
      <c r="C84" s="34">
        <v>42491</v>
      </c>
      <c r="D84" t="s">
        <v>85</v>
      </c>
      <c r="E84" t="s">
        <v>86</v>
      </c>
      <c r="F84" t="s">
        <v>89</v>
      </c>
      <c r="G84">
        <v>9.1913150539058095E-4</v>
      </c>
      <c r="H84" t="s">
        <v>123</v>
      </c>
      <c r="I84" t="s">
        <v>88</v>
      </c>
      <c r="J84">
        <f t="shared" si="1"/>
        <v>1.097399155878731</v>
      </c>
    </row>
    <row r="85" spans="1:10">
      <c r="A85">
        <v>84</v>
      </c>
      <c r="B85" t="s">
        <v>84</v>
      </c>
      <c r="C85" s="34">
        <v>42522</v>
      </c>
      <c r="D85" t="s">
        <v>85</v>
      </c>
      <c r="E85" t="s">
        <v>86</v>
      </c>
      <c r="F85" t="s">
        <v>89</v>
      </c>
      <c r="G85">
        <v>1.0368896683191E-3</v>
      </c>
      <c r="H85" t="s">
        <v>123</v>
      </c>
      <c r="I85" t="s">
        <v>88</v>
      </c>
      <c r="J85">
        <f t="shared" si="1"/>
        <v>1.2371961452816493</v>
      </c>
    </row>
    <row r="86" spans="1:10">
      <c r="A86">
        <v>85</v>
      </c>
      <c r="B86" t="s">
        <v>84</v>
      </c>
      <c r="C86" s="34">
        <v>42552</v>
      </c>
      <c r="D86" t="s">
        <v>85</v>
      </c>
      <c r="E86" t="s">
        <v>86</v>
      </c>
      <c r="F86" t="s">
        <v>89</v>
      </c>
      <c r="G86">
        <v>1.0102242747537899E-3</v>
      </c>
      <c r="H86" t="s">
        <v>123</v>
      </c>
      <c r="I86" t="s">
        <v>88</v>
      </c>
      <c r="J86">
        <f t="shared" si="1"/>
        <v>1.2055561095942191</v>
      </c>
    </row>
    <row r="87" spans="1:10">
      <c r="A87">
        <v>86</v>
      </c>
      <c r="B87" t="s">
        <v>84</v>
      </c>
      <c r="C87" s="34">
        <v>42583</v>
      </c>
      <c r="D87" t="s">
        <v>85</v>
      </c>
      <c r="E87" t="s">
        <v>86</v>
      </c>
      <c r="F87" t="s">
        <v>89</v>
      </c>
      <c r="G87">
        <v>1.24180928884712E-3</v>
      </c>
      <c r="H87" t="s">
        <v>123</v>
      </c>
      <c r="I87" t="s">
        <v>88</v>
      </c>
      <c r="J87">
        <f t="shared" si="1"/>
        <v>1.480035362697385</v>
      </c>
    </row>
    <row r="88" spans="1:10">
      <c r="A88">
        <v>87</v>
      </c>
      <c r="B88" t="s">
        <v>84</v>
      </c>
      <c r="C88" s="34">
        <v>42614</v>
      </c>
      <c r="D88" t="s">
        <v>85</v>
      </c>
      <c r="E88" t="s">
        <v>86</v>
      </c>
      <c r="F88" t="s">
        <v>89</v>
      </c>
      <c r="G88">
        <v>1.2102714695993401E-3</v>
      </c>
      <c r="H88" t="s">
        <v>123</v>
      </c>
      <c r="I88" t="s">
        <v>88</v>
      </c>
      <c r="J88">
        <f t="shared" si="1"/>
        <v>1.4426972617029632</v>
      </c>
    </row>
    <row r="89" spans="1:10">
      <c r="A89">
        <v>88</v>
      </c>
      <c r="B89" t="s">
        <v>84</v>
      </c>
      <c r="C89" s="34">
        <v>42644</v>
      </c>
      <c r="D89" t="s">
        <v>85</v>
      </c>
      <c r="E89" t="s">
        <v>86</v>
      </c>
      <c r="F89" t="s">
        <v>89</v>
      </c>
      <c r="G89">
        <v>1.2915511257706E-3</v>
      </c>
      <c r="H89" t="s">
        <v>123</v>
      </c>
      <c r="I89" t="s">
        <v>88</v>
      </c>
      <c r="J89">
        <f t="shared" si="1"/>
        <v>1.5388991227464954</v>
      </c>
    </row>
    <row r="90" spans="1:10">
      <c r="A90">
        <v>89</v>
      </c>
      <c r="B90" t="s">
        <v>84</v>
      </c>
      <c r="C90" s="34">
        <v>42675</v>
      </c>
      <c r="D90" t="s">
        <v>85</v>
      </c>
      <c r="E90" t="s">
        <v>86</v>
      </c>
      <c r="F90" t="s">
        <v>89</v>
      </c>
      <c r="G90">
        <v>1.37876083519555E-3</v>
      </c>
      <c r="H90" t="s">
        <v>123</v>
      </c>
      <c r="I90" t="s">
        <v>88</v>
      </c>
      <c r="J90">
        <f t="shared" si="1"/>
        <v>1.6420240082131832</v>
      </c>
    </row>
    <row r="91" spans="1:10">
      <c r="A91">
        <v>90</v>
      </c>
      <c r="B91" t="s">
        <v>84</v>
      </c>
      <c r="C91" s="34">
        <v>42705</v>
      </c>
      <c r="D91" t="s">
        <v>85</v>
      </c>
      <c r="E91" t="s">
        <v>86</v>
      </c>
      <c r="F91" t="s">
        <v>89</v>
      </c>
      <c r="G91">
        <v>1.4726983490131499E-3</v>
      </c>
      <c r="H91" t="s">
        <v>123</v>
      </c>
      <c r="I91" t="s">
        <v>88</v>
      </c>
      <c r="J91">
        <f t="shared" si="1"/>
        <v>1.752993708752415</v>
      </c>
    </row>
    <row r="92" spans="1:10">
      <c r="A92">
        <v>91</v>
      </c>
      <c r="B92" t="s">
        <v>84</v>
      </c>
      <c r="C92" s="34">
        <v>42736</v>
      </c>
      <c r="D92" t="s">
        <v>85</v>
      </c>
      <c r="E92" t="s">
        <v>86</v>
      </c>
      <c r="F92" t="s">
        <v>89</v>
      </c>
      <c r="G92">
        <v>1.4990648806909E-3</v>
      </c>
      <c r="H92" t="s">
        <v>123</v>
      </c>
      <c r="I92" t="s">
        <v>88</v>
      </c>
      <c r="J92">
        <f t="shared" si="1"/>
        <v>1.7841202282703694</v>
      </c>
    </row>
    <row r="93" spans="1:10">
      <c r="A93">
        <v>92</v>
      </c>
      <c r="B93" t="s">
        <v>84</v>
      </c>
      <c r="C93" s="34">
        <v>42767</v>
      </c>
      <c r="D93" t="s">
        <v>85</v>
      </c>
      <c r="E93" t="s">
        <v>86</v>
      </c>
      <c r="F93" t="s">
        <v>89</v>
      </c>
      <c r="G93">
        <v>1.52302118434671E-3</v>
      </c>
      <c r="H93" t="s">
        <v>123</v>
      </c>
      <c r="I93" t="s">
        <v>88</v>
      </c>
      <c r="J93">
        <f t="shared" si="1"/>
        <v>1.812393559625658</v>
      </c>
    </row>
    <row r="94" spans="1:10">
      <c r="A94">
        <v>93</v>
      </c>
      <c r="B94" t="s">
        <v>84</v>
      </c>
      <c r="C94" s="34">
        <v>42795</v>
      </c>
      <c r="D94" t="s">
        <v>85</v>
      </c>
      <c r="E94" t="s">
        <v>86</v>
      </c>
      <c r="F94" t="s">
        <v>89</v>
      </c>
      <c r="G94">
        <v>1.9728596744298102E-3</v>
      </c>
      <c r="H94" t="s">
        <v>123</v>
      </c>
      <c r="I94" t="s">
        <v>88</v>
      </c>
      <c r="J94">
        <f t="shared" si="1"/>
        <v>2.3419114365986538</v>
      </c>
    </row>
    <row r="95" spans="1:10">
      <c r="A95">
        <v>94</v>
      </c>
      <c r="B95" t="s">
        <v>84</v>
      </c>
      <c r="C95" s="34">
        <v>42826</v>
      </c>
      <c r="D95" t="s">
        <v>85</v>
      </c>
      <c r="E95" t="s">
        <v>86</v>
      </c>
      <c r="F95" t="s">
        <v>89</v>
      </c>
      <c r="G95">
        <v>1.74494588680724E-3</v>
      </c>
      <c r="H95" t="s">
        <v>123</v>
      </c>
      <c r="I95" t="s">
        <v>88</v>
      </c>
      <c r="J95">
        <f t="shared" si="1"/>
        <v>2.0739555755903916</v>
      </c>
    </row>
    <row r="96" spans="1:10">
      <c r="A96">
        <v>95</v>
      </c>
      <c r="B96" t="s">
        <v>84</v>
      </c>
      <c r="C96" s="34">
        <v>42856</v>
      </c>
      <c r="D96" t="s">
        <v>85</v>
      </c>
      <c r="E96" t="s">
        <v>86</v>
      </c>
      <c r="F96" t="s">
        <v>89</v>
      </c>
      <c r="G96">
        <v>2.16445764804632E-3</v>
      </c>
      <c r="H96" t="s">
        <v>123</v>
      </c>
      <c r="I96" t="s">
        <v>88</v>
      </c>
      <c r="J96">
        <f t="shared" si="1"/>
        <v>2.5666509921602243</v>
      </c>
    </row>
    <row r="97" spans="1:10">
      <c r="A97">
        <v>96</v>
      </c>
      <c r="B97" t="s">
        <v>84</v>
      </c>
      <c r="C97" s="34">
        <v>42887</v>
      </c>
      <c r="D97" t="s">
        <v>85</v>
      </c>
      <c r="E97" t="s">
        <v>86</v>
      </c>
      <c r="F97" t="s">
        <v>89</v>
      </c>
      <c r="G97">
        <v>2.3199756732988899E-3</v>
      </c>
      <c r="H97" t="s">
        <v>123</v>
      </c>
      <c r="I97" t="s">
        <v>88</v>
      </c>
      <c r="J97">
        <f t="shared" si="1"/>
        <v>2.7487209933322321</v>
      </c>
    </row>
    <row r="98" spans="1:10">
      <c r="A98">
        <v>97</v>
      </c>
      <c r="B98" t="s">
        <v>84</v>
      </c>
      <c r="C98" s="34">
        <v>42917</v>
      </c>
      <c r="D98" t="s">
        <v>85</v>
      </c>
      <c r="E98" t="s">
        <v>86</v>
      </c>
      <c r="F98" t="s">
        <v>89</v>
      </c>
      <c r="G98">
        <v>2.25542006387433E-3</v>
      </c>
      <c r="H98" t="s">
        <v>123</v>
      </c>
      <c r="I98" t="s">
        <v>88</v>
      </c>
      <c r="J98">
        <f t="shared" si="1"/>
        <v>2.6731815396692005</v>
      </c>
    </row>
    <row r="99" spans="1:10">
      <c r="A99">
        <v>98</v>
      </c>
      <c r="B99" t="s">
        <v>84</v>
      </c>
      <c r="C99" s="34">
        <v>42948</v>
      </c>
      <c r="D99" t="s">
        <v>85</v>
      </c>
      <c r="E99" t="s">
        <v>86</v>
      </c>
      <c r="F99" t="s">
        <v>89</v>
      </c>
      <c r="G99">
        <v>2.7599072416640801E-3</v>
      </c>
      <c r="H99" t="s">
        <v>123</v>
      </c>
      <c r="I99" t="s">
        <v>88</v>
      </c>
      <c r="J99">
        <f t="shared" si="1"/>
        <v>3.2620755440001425</v>
      </c>
    </row>
    <row r="100" spans="1:10">
      <c r="A100">
        <v>99</v>
      </c>
      <c r="B100" t="s">
        <v>84</v>
      </c>
      <c r="C100" s="34">
        <v>42979</v>
      </c>
      <c r="D100" t="s">
        <v>85</v>
      </c>
      <c r="E100" t="s">
        <v>86</v>
      </c>
      <c r="F100" t="s">
        <v>89</v>
      </c>
      <c r="G100">
        <v>2.5387214655199501E-3</v>
      </c>
      <c r="H100" t="s">
        <v>123</v>
      </c>
      <c r="I100" t="s">
        <v>88</v>
      </c>
      <c r="J100">
        <f t="shared" si="1"/>
        <v>3.0042859779413233</v>
      </c>
    </row>
    <row r="101" spans="1:10">
      <c r="A101">
        <v>100</v>
      </c>
      <c r="B101" t="s">
        <v>84</v>
      </c>
      <c r="C101" s="34">
        <v>43009</v>
      </c>
      <c r="D101" t="s">
        <v>85</v>
      </c>
      <c r="E101" t="s">
        <v>86</v>
      </c>
      <c r="F101" t="s">
        <v>89</v>
      </c>
      <c r="G101">
        <v>2.93022829883781E-3</v>
      </c>
      <c r="H101" t="s">
        <v>123</v>
      </c>
      <c r="I101" t="s">
        <v>88</v>
      </c>
      <c r="J101">
        <f t="shared" si="1"/>
        <v>3.4601546683331375</v>
      </c>
    </row>
    <row r="102" spans="1:10">
      <c r="A102">
        <v>101</v>
      </c>
      <c r="B102" t="s">
        <v>84</v>
      </c>
      <c r="C102" s="34">
        <v>43040</v>
      </c>
      <c r="D102" t="s">
        <v>85</v>
      </c>
      <c r="E102" t="s">
        <v>86</v>
      </c>
      <c r="F102" t="s">
        <v>89</v>
      </c>
      <c r="G102">
        <v>2.9024372846052598E-3</v>
      </c>
      <c r="H102" t="s">
        <v>123</v>
      </c>
      <c r="I102" t="s">
        <v>88</v>
      </c>
      <c r="J102">
        <f t="shared" si="1"/>
        <v>3.4278598184743769</v>
      </c>
    </row>
    <row r="103" spans="1:10">
      <c r="A103">
        <v>102</v>
      </c>
      <c r="B103" t="s">
        <v>84</v>
      </c>
      <c r="C103" s="34">
        <v>43070</v>
      </c>
      <c r="D103" t="s">
        <v>85</v>
      </c>
      <c r="E103" t="s">
        <v>86</v>
      </c>
      <c r="F103" t="s">
        <v>89</v>
      </c>
      <c r="G103">
        <v>2.7582095392888399E-3</v>
      </c>
      <c r="H103" t="s">
        <v>123</v>
      </c>
      <c r="I103" t="s">
        <v>88</v>
      </c>
      <c r="J103">
        <f t="shared" si="1"/>
        <v>3.2600992848056176</v>
      </c>
    </row>
    <row r="104" spans="1:10">
      <c r="A104">
        <v>103</v>
      </c>
      <c r="B104" t="s">
        <v>84</v>
      </c>
      <c r="C104" s="34">
        <v>43101</v>
      </c>
      <c r="D104" t="s">
        <v>85</v>
      </c>
      <c r="E104" t="s">
        <v>86</v>
      </c>
      <c r="F104" t="s">
        <v>89</v>
      </c>
      <c r="G104">
        <v>2.93136201957155E-3</v>
      </c>
      <c r="H104" t="s">
        <v>123</v>
      </c>
      <c r="I104" t="s">
        <v>88</v>
      </c>
      <c r="J104">
        <f t="shared" si="1"/>
        <v>3.4614719106316083</v>
      </c>
    </row>
    <row r="105" spans="1:10">
      <c r="A105">
        <v>104</v>
      </c>
      <c r="B105" t="s">
        <v>84</v>
      </c>
      <c r="C105" s="34">
        <v>43132</v>
      </c>
      <c r="D105" t="s">
        <v>85</v>
      </c>
      <c r="E105" t="s">
        <v>86</v>
      </c>
      <c r="F105" t="s">
        <v>89</v>
      </c>
      <c r="G105">
        <v>2.6325657132168501E-3</v>
      </c>
      <c r="H105" t="s">
        <v>123</v>
      </c>
      <c r="I105" t="s">
        <v>88</v>
      </c>
      <c r="J105">
        <f t="shared" si="1"/>
        <v>3.113737217852941</v>
      </c>
    </row>
    <row r="106" spans="1:10">
      <c r="A106">
        <v>105</v>
      </c>
      <c r="B106" t="s">
        <v>84</v>
      </c>
      <c r="C106" s="34">
        <v>43160</v>
      </c>
      <c r="D106" t="s">
        <v>85</v>
      </c>
      <c r="E106" t="s">
        <v>86</v>
      </c>
      <c r="F106" t="s">
        <v>89</v>
      </c>
      <c r="G106">
        <v>2.8548953227862301E-3</v>
      </c>
      <c r="H106" t="s">
        <v>123</v>
      </c>
      <c r="I106" t="s">
        <v>88</v>
      </c>
      <c r="J106">
        <f t="shared" si="1"/>
        <v>3.3725902034178246</v>
      </c>
    </row>
    <row r="107" spans="1:10">
      <c r="A107">
        <v>106</v>
      </c>
      <c r="B107" t="s">
        <v>84</v>
      </c>
      <c r="C107" s="34">
        <v>43191</v>
      </c>
      <c r="D107" t="s">
        <v>85</v>
      </c>
      <c r="E107" t="s">
        <v>86</v>
      </c>
      <c r="F107" t="s">
        <v>89</v>
      </c>
      <c r="G107">
        <v>2.7954013557034401E-3</v>
      </c>
      <c r="H107" t="s">
        <v>123</v>
      </c>
      <c r="I107" t="s">
        <v>88</v>
      </c>
      <c r="J107">
        <f t="shared" si="1"/>
        <v>3.3033850124137509</v>
      </c>
    </row>
    <row r="108" spans="1:10">
      <c r="A108">
        <v>107</v>
      </c>
      <c r="B108" t="s">
        <v>84</v>
      </c>
      <c r="C108" s="34">
        <v>43221</v>
      </c>
      <c r="D108" t="s">
        <v>85</v>
      </c>
      <c r="E108" t="s">
        <v>86</v>
      </c>
      <c r="F108" t="s">
        <v>89</v>
      </c>
      <c r="G108">
        <v>2.8770754133687799E-3</v>
      </c>
      <c r="H108" t="s">
        <v>123</v>
      </c>
      <c r="I108" t="s">
        <v>88</v>
      </c>
      <c r="J108">
        <f t="shared" si="1"/>
        <v>3.3983791383955575</v>
      </c>
    </row>
    <row r="109" spans="1:10">
      <c r="A109">
        <v>108</v>
      </c>
      <c r="B109" t="s">
        <v>84</v>
      </c>
      <c r="C109" s="34">
        <v>43252</v>
      </c>
      <c r="D109" t="s">
        <v>85</v>
      </c>
      <c r="E109" t="s">
        <v>86</v>
      </c>
      <c r="F109" t="s">
        <v>89</v>
      </c>
      <c r="G109">
        <v>2.71252315856285E-3</v>
      </c>
      <c r="H109" t="s">
        <v>123</v>
      </c>
      <c r="I109" t="s">
        <v>88</v>
      </c>
      <c r="J109">
        <f t="shared" si="1"/>
        <v>3.2069028410266265</v>
      </c>
    </row>
    <row r="110" spans="1:10">
      <c r="A110">
        <v>109</v>
      </c>
      <c r="B110" t="s">
        <v>84</v>
      </c>
      <c r="C110" s="34">
        <v>43282</v>
      </c>
      <c r="D110" t="s">
        <v>85</v>
      </c>
      <c r="E110" t="s">
        <v>86</v>
      </c>
      <c r="F110" t="s">
        <v>89</v>
      </c>
      <c r="G110">
        <v>2.6937522339615001E-3</v>
      </c>
      <c r="H110" t="s">
        <v>123</v>
      </c>
      <c r="I110" t="s">
        <v>88</v>
      </c>
      <c r="J110">
        <f t="shared" si="1"/>
        <v>3.1850385252375268</v>
      </c>
    </row>
    <row r="111" spans="1:10">
      <c r="A111">
        <v>110</v>
      </c>
      <c r="B111" t="s">
        <v>84</v>
      </c>
      <c r="C111" s="34">
        <v>43313</v>
      </c>
      <c r="D111" t="s">
        <v>85</v>
      </c>
      <c r="E111" t="s">
        <v>86</v>
      </c>
      <c r="F111" t="s">
        <v>89</v>
      </c>
      <c r="G111">
        <v>2.9430304697796198E-3</v>
      </c>
      <c r="H111" t="s">
        <v>123</v>
      </c>
      <c r="I111" t="s">
        <v>88</v>
      </c>
      <c r="J111">
        <f t="shared" si="1"/>
        <v>3.4750282392168819</v>
      </c>
    </row>
    <row r="112" spans="1:10">
      <c r="A112">
        <v>111</v>
      </c>
      <c r="B112" t="s">
        <v>84</v>
      </c>
      <c r="C112" s="34">
        <v>43344</v>
      </c>
      <c r="D112" t="s">
        <v>85</v>
      </c>
      <c r="E112" t="s">
        <v>86</v>
      </c>
      <c r="F112" t="s">
        <v>89</v>
      </c>
      <c r="G112">
        <v>2.4336163604047399E-3</v>
      </c>
      <c r="H112" t="s">
        <v>123</v>
      </c>
      <c r="I112" t="s">
        <v>88</v>
      </c>
      <c r="J112">
        <f t="shared" si="1"/>
        <v>2.8815665657127232</v>
      </c>
    </row>
    <row r="113" spans="1:10">
      <c r="A113">
        <v>112</v>
      </c>
      <c r="B113" t="s">
        <v>84</v>
      </c>
      <c r="C113" s="34">
        <v>43374</v>
      </c>
      <c r="D113" t="s">
        <v>85</v>
      </c>
      <c r="E113" t="s">
        <v>86</v>
      </c>
      <c r="F113" t="s">
        <v>89</v>
      </c>
      <c r="G113">
        <v>2.9559835528848101E-3</v>
      </c>
      <c r="H113" t="s">
        <v>123</v>
      </c>
      <c r="I113" t="s">
        <v>88</v>
      </c>
      <c r="J113">
        <f t="shared" si="1"/>
        <v>3.4900750020789073</v>
      </c>
    </row>
    <row r="114" spans="1:10">
      <c r="A114">
        <v>113</v>
      </c>
      <c r="B114" t="s">
        <v>84</v>
      </c>
      <c r="C114" s="34">
        <v>43405</v>
      </c>
      <c r="D114" t="s">
        <v>85</v>
      </c>
      <c r="E114" t="s">
        <v>86</v>
      </c>
      <c r="F114" t="s">
        <v>89</v>
      </c>
      <c r="G114">
        <v>2.7124352994932301E-3</v>
      </c>
      <c r="H114" t="s">
        <v>123</v>
      </c>
      <c r="I114" t="s">
        <v>88</v>
      </c>
      <c r="J114">
        <f t="shared" si="1"/>
        <v>3.2068005135942101</v>
      </c>
    </row>
    <row r="115" spans="1:10">
      <c r="A115">
        <v>114</v>
      </c>
      <c r="B115" t="s">
        <v>84</v>
      </c>
      <c r="C115" s="34">
        <v>43435</v>
      </c>
      <c r="D115" t="s">
        <v>85</v>
      </c>
      <c r="E115" t="s">
        <v>86</v>
      </c>
      <c r="F115" t="s">
        <v>89</v>
      </c>
      <c r="G115">
        <v>2.5988293576281601E-3</v>
      </c>
      <c r="H115" t="s">
        <v>123</v>
      </c>
      <c r="I115" t="s">
        <v>88</v>
      </c>
      <c r="J115">
        <f t="shared" si="1"/>
        <v>3.0744032978970548</v>
      </c>
    </row>
    <row r="116" spans="1:10">
      <c r="A116">
        <v>115</v>
      </c>
      <c r="B116" t="s">
        <v>84</v>
      </c>
      <c r="C116" s="34">
        <v>43466</v>
      </c>
      <c r="D116" t="s">
        <v>85</v>
      </c>
      <c r="E116" t="s">
        <v>86</v>
      </c>
      <c r="F116" t="s">
        <v>89</v>
      </c>
      <c r="G116">
        <v>2.7469345175284402E-3</v>
      </c>
      <c r="H116" t="s">
        <v>123</v>
      </c>
      <c r="I116" t="s">
        <v>88</v>
      </c>
      <c r="J116">
        <f t="shared" si="1"/>
        <v>3.2469733328971295</v>
      </c>
    </row>
    <row r="117" spans="1:10">
      <c r="A117">
        <v>116</v>
      </c>
      <c r="B117" t="s">
        <v>84</v>
      </c>
      <c r="C117" s="34">
        <v>43497</v>
      </c>
      <c r="D117" t="s">
        <v>85</v>
      </c>
      <c r="E117" t="s">
        <v>86</v>
      </c>
      <c r="F117" t="s">
        <v>89</v>
      </c>
      <c r="G117">
        <v>2.5027956546396098E-3</v>
      </c>
      <c r="H117" t="s">
        <v>123</v>
      </c>
      <c r="I117" t="s">
        <v>88</v>
      </c>
      <c r="J117">
        <f t="shared" si="1"/>
        <v>2.9623554473762748</v>
      </c>
    </row>
    <row r="118" spans="1:10">
      <c r="A118">
        <v>117</v>
      </c>
      <c r="B118" t="s">
        <v>84</v>
      </c>
      <c r="C118" s="34">
        <v>43525</v>
      </c>
      <c r="D118" t="s">
        <v>85</v>
      </c>
      <c r="E118" t="s">
        <v>86</v>
      </c>
      <c r="F118" t="s">
        <v>89</v>
      </c>
      <c r="G118">
        <v>2.7862581311972898E-3</v>
      </c>
      <c r="H118" t="s">
        <v>123</v>
      </c>
      <c r="I118" t="s">
        <v>88</v>
      </c>
      <c r="J118">
        <f t="shared" si="1"/>
        <v>3.2927453088180569</v>
      </c>
    </row>
    <row r="119" spans="1:10">
      <c r="A119">
        <v>118</v>
      </c>
      <c r="B119" t="s">
        <v>84</v>
      </c>
      <c r="C119" s="34">
        <v>43556</v>
      </c>
      <c r="D119" t="s">
        <v>85</v>
      </c>
      <c r="E119" t="s">
        <v>86</v>
      </c>
      <c r="F119" t="s">
        <v>89</v>
      </c>
      <c r="G119">
        <v>2.8066637383319798E-3</v>
      </c>
      <c r="H119" t="s">
        <v>123</v>
      </c>
      <c r="I119" t="s">
        <v>88</v>
      </c>
      <c r="J119">
        <f t="shared" si="1"/>
        <v>3.3164892435850857</v>
      </c>
    </row>
    <row r="120" spans="1:10">
      <c r="A120">
        <v>119</v>
      </c>
      <c r="B120" t="s">
        <v>84</v>
      </c>
      <c r="C120" s="34">
        <v>43586</v>
      </c>
      <c r="D120" t="s">
        <v>85</v>
      </c>
      <c r="E120" t="s">
        <v>86</v>
      </c>
      <c r="F120" t="s">
        <v>89</v>
      </c>
      <c r="G120">
        <v>2.9618951991668102E-3</v>
      </c>
      <c r="H120" t="s">
        <v>123</v>
      </c>
      <c r="I120" t="s">
        <v>88</v>
      </c>
      <c r="J120">
        <f t="shared" si="1"/>
        <v>3.4969414664465681</v>
      </c>
    </row>
    <row r="121" spans="1:10">
      <c r="A121">
        <v>120</v>
      </c>
      <c r="B121" t="s">
        <v>84</v>
      </c>
      <c r="C121" s="34">
        <v>43617</v>
      </c>
      <c r="D121" t="s">
        <v>85</v>
      </c>
      <c r="E121" t="s">
        <v>86</v>
      </c>
      <c r="F121" t="s">
        <v>89</v>
      </c>
      <c r="G121">
        <v>2.7123083821964998E-3</v>
      </c>
      <c r="H121" t="s">
        <v>123</v>
      </c>
      <c r="I121" t="s">
        <v>88</v>
      </c>
      <c r="J121">
        <f t="shared" si="1"/>
        <v>3.2066526957700403</v>
      </c>
    </row>
    <row r="122" spans="1:10">
      <c r="A122">
        <v>121</v>
      </c>
      <c r="B122" t="s">
        <v>84</v>
      </c>
      <c r="C122" s="34">
        <v>43647</v>
      </c>
      <c r="D122" t="s">
        <v>85</v>
      </c>
      <c r="E122" t="s">
        <v>86</v>
      </c>
      <c r="F122" t="s">
        <v>89</v>
      </c>
      <c r="G122">
        <v>3.00515316262784E-3</v>
      </c>
      <c r="H122" t="s">
        <v>123</v>
      </c>
      <c r="I122" t="s">
        <v>88</v>
      </c>
      <c r="J122">
        <f t="shared" si="1"/>
        <v>3.5471726031130357</v>
      </c>
    </row>
    <row r="123" spans="1:10">
      <c r="A123">
        <v>122</v>
      </c>
      <c r="B123" t="s">
        <v>84</v>
      </c>
      <c r="C123" s="34">
        <v>43678</v>
      </c>
      <c r="D123" t="s">
        <v>85</v>
      </c>
      <c r="E123" t="s">
        <v>86</v>
      </c>
      <c r="F123" t="s">
        <v>89</v>
      </c>
      <c r="G123">
        <v>3.0266751835878601E-3</v>
      </c>
      <c r="H123" t="s">
        <v>123</v>
      </c>
      <c r="I123" t="s">
        <v>88</v>
      </c>
      <c r="J123">
        <f t="shared" si="1"/>
        <v>3.5721550390970802</v>
      </c>
    </row>
    <row r="124" spans="1:10">
      <c r="A124">
        <v>123</v>
      </c>
      <c r="B124" t="s">
        <v>84</v>
      </c>
      <c r="C124" s="34">
        <v>43709</v>
      </c>
      <c r="D124" t="s">
        <v>85</v>
      </c>
      <c r="E124" t="s">
        <v>86</v>
      </c>
      <c r="F124" t="s">
        <v>89</v>
      </c>
      <c r="G124">
        <v>2.7709677446104198E-3</v>
      </c>
      <c r="H124" t="s">
        <v>123</v>
      </c>
      <c r="I124" t="s">
        <v>88</v>
      </c>
      <c r="J124">
        <f t="shared" si="1"/>
        <v>3.2749499341005905</v>
      </c>
    </row>
    <row r="125" spans="1:10">
      <c r="A125">
        <v>124</v>
      </c>
      <c r="B125" t="s">
        <v>84</v>
      </c>
      <c r="C125" s="34">
        <v>43739</v>
      </c>
      <c r="D125" t="s">
        <v>85</v>
      </c>
      <c r="E125" t="s">
        <v>86</v>
      </c>
      <c r="F125" t="s">
        <v>89</v>
      </c>
      <c r="G125">
        <v>3.2088079343638299E-3</v>
      </c>
      <c r="H125" t="s">
        <v>123</v>
      </c>
      <c r="I125" t="s">
        <v>88</v>
      </c>
      <c r="J125">
        <f t="shared" si="1"/>
        <v>3.7833346062255413</v>
      </c>
    </row>
    <row r="126" spans="1:10">
      <c r="A126">
        <v>125</v>
      </c>
      <c r="B126" t="s">
        <v>84</v>
      </c>
      <c r="C126" s="34">
        <v>43770</v>
      </c>
      <c r="D126" t="s">
        <v>85</v>
      </c>
      <c r="E126" t="s">
        <v>86</v>
      </c>
      <c r="F126" t="s">
        <v>89</v>
      </c>
      <c r="G126">
        <v>2.8094073952980299E-3</v>
      </c>
      <c r="H126" t="s">
        <v>123</v>
      </c>
      <c r="I126" t="s">
        <v>88</v>
      </c>
      <c r="J126">
        <f t="shared" si="1"/>
        <v>3.3196813512418544</v>
      </c>
    </row>
    <row r="127" spans="1:10">
      <c r="A127">
        <v>126</v>
      </c>
      <c r="B127" t="s">
        <v>84</v>
      </c>
      <c r="C127" s="34">
        <v>43800</v>
      </c>
      <c r="D127" t="s">
        <v>85</v>
      </c>
      <c r="E127" t="s">
        <v>86</v>
      </c>
      <c r="F127" t="s">
        <v>89</v>
      </c>
      <c r="G127">
        <v>2.9697956901908601E-3</v>
      </c>
      <c r="H127" t="s">
        <v>123</v>
      </c>
      <c r="I127" t="s">
        <v>88</v>
      </c>
      <c r="J127">
        <f t="shared" si="1"/>
        <v>3.5061173041672999</v>
      </c>
    </row>
    <row r="128" spans="1:10">
      <c r="A128">
        <v>127</v>
      </c>
      <c r="B128" t="s">
        <v>84</v>
      </c>
      <c r="C128" s="34">
        <v>43831</v>
      </c>
      <c r="D128" t="s">
        <v>85</v>
      </c>
      <c r="E128" t="s">
        <v>86</v>
      </c>
      <c r="F128" t="s">
        <v>89</v>
      </c>
      <c r="G128">
        <v>2.9895287555833602E-3</v>
      </c>
      <c r="H128" t="s">
        <v>123</v>
      </c>
      <c r="I128" t="s">
        <v>88</v>
      </c>
      <c r="J128">
        <f t="shared" si="1"/>
        <v>3.5290323111077826</v>
      </c>
    </row>
    <row r="129" spans="1:10">
      <c r="A129">
        <v>128</v>
      </c>
      <c r="B129" t="s">
        <v>84</v>
      </c>
      <c r="C129" s="34">
        <v>43862</v>
      </c>
      <c r="D129" t="s">
        <v>85</v>
      </c>
      <c r="E129" t="s">
        <v>86</v>
      </c>
      <c r="F129" t="s">
        <v>89</v>
      </c>
      <c r="G129">
        <v>2.7224950960248601E-3</v>
      </c>
      <c r="H129" t="s">
        <v>123</v>
      </c>
      <c r="I129" t="s">
        <v>88</v>
      </c>
      <c r="J129">
        <f t="shared" si="1"/>
        <v>3.2185162823340163</v>
      </c>
    </row>
    <row r="130" spans="1:10">
      <c r="A130">
        <v>129</v>
      </c>
      <c r="B130" t="s">
        <v>84</v>
      </c>
      <c r="C130" s="34">
        <v>43891</v>
      </c>
      <c r="D130" t="s">
        <v>85</v>
      </c>
      <c r="E130" t="s">
        <v>86</v>
      </c>
      <c r="F130" t="s">
        <v>89</v>
      </c>
      <c r="G130">
        <v>3.1726392866063299E-3</v>
      </c>
      <c r="H130" t="s">
        <v>123</v>
      </c>
      <c r="I130" t="s">
        <v>88</v>
      </c>
      <c r="J130">
        <f t="shared" si="1"/>
        <v>3.7414314920027669</v>
      </c>
    </row>
    <row r="131" spans="1:10">
      <c r="A131">
        <v>130</v>
      </c>
      <c r="B131" t="s">
        <v>84</v>
      </c>
      <c r="C131" s="34">
        <v>43922</v>
      </c>
      <c r="D131" t="s">
        <v>85</v>
      </c>
      <c r="E131" t="s">
        <v>86</v>
      </c>
      <c r="F131" t="s">
        <v>89</v>
      </c>
      <c r="G131">
        <v>3.0475930391456098E-3</v>
      </c>
      <c r="H131" t="s">
        <v>123</v>
      </c>
      <c r="I131" t="s">
        <v>88</v>
      </c>
      <c r="J131">
        <f t="shared" ref="J131:J194" si="2">100*(1-(1-G131)^12)</f>
        <v>3.5964304848043693</v>
      </c>
    </row>
    <row r="132" spans="1:10">
      <c r="A132">
        <v>131</v>
      </c>
      <c r="B132" t="s">
        <v>84</v>
      </c>
      <c r="C132" s="34">
        <v>43952</v>
      </c>
      <c r="D132" t="s">
        <v>85</v>
      </c>
      <c r="E132" t="s">
        <v>86</v>
      </c>
      <c r="F132" t="s">
        <v>89</v>
      </c>
      <c r="G132">
        <v>2.9205408291135999E-3</v>
      </c>
      <c r="H132" t="s">
        <v>123</v>
      </c>
      <c r="I132" t="s">
        <v>88</v>
      </c>
      <c r="J132">
        <f t="shared" si="2"/>
        <v>3.4488983631075887</v>
      </c>
    </row>
    <row r="133" spans="1:10">
      <c r="A133">
        <v>132</v>
      </c>
      <c r="B133" t="s">
        <v>84</v>
      </c>
      <c r="C133" s="34">
        <v>43983</v>
      </c>
      <c r="D133" t="s">
        <v>85</v>
      </c>
      <c r="E133" t="s">
        <v>86</v>
      </c>
      <c r="F133" t="s">
        <v>89</v>
      </c>
      <c r="G133">
        <v>3.2322755189005399E-3</v>
      </c>
      <c r="H133" t="s">
        <v>123</v>
      </c>
      <c r="I133" t="s">
        <v>88</v>
      </c>
      <c r="J133">
        <f t="shared" si="2"/>
        <v>3.8105139841085767</v>
      </c>
    </row>
    <row r="134" spans="1:10">
      <c r="A134">
        <v>133</v>
      </c>
      <c r="B134" t="s">
        <v>84</v>
      </c>
      <c r="C134" s="34">
        <v>44013</v>
      </c>
      <c r="D134" t="s">
        <v>85</v>
      </c>
      <c r="E134" t="s">
        <v>86</v>
      </c>
      <c r="F134" t="s">
        <v>89</v>
      </c>
      <c r="G134">
        <v>3.2517597611637999E-3</v>
      </c>
      <c r="H134" t="s">
        <v>123</v>
      </c>
      <c r="I134" t="s">
        <v>88</v>
      </c>
      <c r="J134">
        <f t="shared" si="2"/>
        <v>3.8330746395700444</v>
      </c>
    </row>
    <row r="135" spans="1:10">
      <c r="A135">
        <v>134</v>
      </c>
      <c r="B135" t="s">
        <v>84</v>
      </c>
      <c r="C135" s="34">
        <v>44044</v>
      </c>
      <c r="D135" t="s">
        <v>85</v>
      </c>
      <c r="E135" t="s">
        <v>86</v>
      </c>
      <c r="F135" t="s">
        <v>89</v>
      </c>
      <c r="G135">
        <v>3.1223652470443401E-3</v>
      </c>
      <c r="H135" t="s">
        <v>123</v>
      </c>
      <c r="I135" t="s">
        <v>88</v>
      </c>
      <c r="J135">
        <f t="shared" si="2"/>
        <v>3.6831588177966168</v>
      </c>
    </row>
    <row r="136" spans="1:10">
      <c r="A136">
        <v>135</v>
      </c>
      <c r="B136" t="s">
        <v>84</v>
      </c>
      <c r="C136" s="34">
        <v>44075</v>
      </c>
      <c r="D136" t="s">
        <v>85</v>
      </c>
      <c r="E136" t="s">
        <v>86</v>
      </c>
      <c r="F136" t="s">
        <v>89</v>
      </c>
      <c r="G136">
        <v>3.1405938882673999E-3</v>
      </c>
      <c r="H136" t="s">
        <v>123</v>
      </c>
      <c r="I136" t="s">
        <v>88</v>
      </c>
      <c r="J136">
        <f t="shared" si="2"/>
        <v>3.7042913843048475</v>
      </c>
    </row>
    <row r="137" spans="1:10">
      <c r="A137">
        <v>136</v>
      </c>
      <c r="B137" t="s">
        <v>84</v>
      </c>
      <c r="C137" s="34">
        <v>44105</v>
      </c>
      <c r="D137" t="s">
        <v>85</v>
      </c>
      <c r="E137" t="s">
        <v>86</v>
      </c>
      <c r="F137" t="s">
        <v>89</v>
      </c>
      <c r="G137">
        <v>3.3090516962952501E-3</v>
      </c>
      <c r="H137" t="s">
        <v>123</v>
      </c>
      <c r="I137" t="s">
        <v>88</v>
      </c>
      <c r="J137">
        <f t="shared" si="2"/>
        <v>3.8993844369017538</v>
      </c>
    </row>
    <row r="138" spans="1:10">
      <c r="A138">
        <v>137</v>
      </c>
      <c r="B138" t="s">
        <v>84</v>
      </c>
      <c r="C138" s="34">
        <v>44136</v>
      </c>
      <c r="D138" t="s">
        <v>85</v>
      </c>
      <c r="E138" t="s">
        <v>86</v>
      </c>
      <c r="F138" t="s">
        <v>89</v>
      </c>
      <c r="G138">
        <v>3.02524403357903E-3</v>
      </c>
      <c r="H138" t="s">
        <v>123</v>
      </c>
      <c r="I138" t="s">
        <v>88</v>
      </c>
      <c r="J138">
        <f t="shared" si="2"/>
        <v>3.5704939659594648</v>
      </c>
    </row>
    <row r="139" spans="1:10">
      <c r="A139">
        <v>138</v>
      </c>
      <c r="B139" t="s">
        <v>84</v>
      </c>
      <c r="C139" s="34">
        <v>44166</v>
      </c>
      <c r="D139" t="s">
        <v>85</v>
      </c>
      <c r="E139" t="s">
        <v>86</v>
      </c>
      <c r="F139" t="s">
        <v>89</v>
      </c>
      <c r="G139">
        <v>3.3462982056897102E-3</v>
      </c>
      <c r="H139" t="s">
        <v>123</v>
      </c>
      <c r="I139" t="s">
        <v>88</v>
      </c>
      <c r="J139">
        <f t="shared" si="2"/>
        <v>3.9424711355044995</v>
      </c>
    </row>
    <row r="140" spans="1:10">
      <c r="A140">
        <v>139</v>
      </c>
      <c r="B140" t="s">
        <v>84</v>
      </c>
      <c r="C140" s="34">
        <v>44197</v>
      </c>
      <c r="D140" t="s">
        <v>85</v>
      </c>
      <c r="E140" t="s">
        <v>86</v>
      </c>
      <c r="F140" t="s">
        <v>89</v>
      </c>
      <c r="G140">
        <v>2.9058280622690398E-3</v>
      </c>
      <c r="H140" t="s">
        <v>123</v>
      </c>
      <c r="I140" t="s">
        <v>88</v>
      </c>
      <c r="J140">
        <f t="shared" si="2"/>
        <v>3.4318006388347477</v>
      </c>
    </row>
    <row r="141" spans="1:10">
      <c r="A141">
        <v>140</v>
      </c>
      <c r="B141" t="s">
        <v>84</v>
      </c>
      <c r="C141" s="34">
        <v>44228</v>
      </c>
      <c r="D141" t="s">
        <v>85</v>
      </c>
      <c r="E141" t="s">
        <v>86</v>
      </c>
      <c r="F141" t="s">
        <v>89</v>
      </c>
      <c r="G141">
        <v>2.9215133179198798E-3</v>
      </c>
      <c r="H141" t="s">
        <v>123</v>
      </c>
      <c r="I141" t="s">
        <v>88</v>
      </c>
      <c r="J141">
        <f t="shared" si="2"/>
        <v>3.4500283957567768</v>
      </c>
    </row>
    <row r="142" spans="1:10">
      <c r="A142">
        <v>141</v>
      </c>
      <c r="B142" t="s">
        <v>84</v>
      </c>
      <c r="C142" s="34">
        <v>44256</v>
      </c>
      <c r="D142" t="s">
        <v>85</v>
      </c>
      <c r="E142" t="s">
        <v>86</v>
      </c>
      <c r="F142" t="s">
        <v>89</v>
      </c>
      <c r="G142">
        <v>3.5553670123650901E-3</v>
      </c>
      <c r="H142" t="s">
        <v>123</v>
      </c>
      <c r="I142" t="s">
        <v>88</v>
      </c>
      <c r="J142">
        <f t="shared" si="2"/>
        <v>4.1839930880401948</v>
      </c>
    </row>
    <row r="143" spans="1:10">
      <c r="A143">
        <v>142</v>
      </c>
      <c r="B143" t="s">
        <v>84</v>
      </c>
      <c r="C143" s="34">
        <v>44287</v>
      </c>
      <c r="D143" t="s">
        <v>85</v>
      </c>
      <c r="E143" t="s">
        <v>86</v>
      </c>
      <c r="F143" t="s">
        <v>89</v>
      </c>
      <c r="G143">
        <v>3.2631974865660902E-3</v>
      </c>
      <c r="H143" t="s">
        <v>123</v>
      </c>
      <c r="I143" t="s">
        <v>88</v>
      </c>
      <c r="J143">
        <f t="shared" si="2"/>
        <v>3.8463160350240444</v>
      </c>
    </row>
    <row r="144" spans="1:10">
      <c r="A144">
        <v>143</v>
      </c>
      <c r="B144" t="s">
        <v>84</v>
      </c>
      <c r="C144" s="34">
        <v>44317</v>
      </c>
      <c r="D144" t="s">
        <v>85</v>
      </c>
      <c r="E144" t="s">
        <v>86</v>
      </c>
      <c r="F144" t="s">
        <v>89</v>
      </c>
      <c r="G144">
        <v>3.12382989578444E-3</v>
      </c>
      <c r="H144" t="s">
        <v>123</v>
      </c>
      <c r="I144" t="s">
        <v>88</v>
      </c>
      <c r="J144">
        <f t="shared" si="2"/>
        <v>3.6848569503883599</v>
      </c>
    </row>
    <row r="145" spans="1:10">
      <c r="A145">
        <v>144</v>
      </c>
      <c r="B145" t="s">
        <v>84</v>
      </c>
      <c r="C145" s="34">
        <v>44348</v>
      </c>
      <c r="D145" t="s">
        <v>85</v>
      </c>
      <c r="E145" t="s">
        <v>86</v>
      </c>
      <c r="F145" t="s">
        <v>89</v>
      </c>
      <c r="G145">
        <v>3.4536629202876101E-3</v>
      </c>
      <c r="H145" t="s">
        <v>123</v>
      </c>
      <c r="I145" t="s">
        <v>88</v>
      </c>
      <c r="J145">
        <f t="shared" si="2"/>
        <v>4.0665713829608379</v>
      </c>
    </row>
    <row r="146" spans="1:10">
      <c r="A146">
        <v>145</v>
      </c>
      <c r="B146" t="s">
        <v>84</v>
      </c>
      <c r="C146" s="34">
        <v>42186</v>
      </c>
      <c r="D146" t="s">
        <v>85</v>
      </c>
      <c r="E146" t="s">
        <v>86</v>
      </c>
      <c r="F146" t="s">
        <v>87</v>
      </c>
      <c r="G146">
        <v>1.78072612836641E-2</v>
      </c>
      <c r="H146" t="s">
        <v>123</v>
      </c>
      <c r="I146" t="s">
        <v>90</v>
      </c>
      <c r="J146">
        <f t="shared" si="2"/>
        <v>19.395251141750457</v>
      </c>
    </row>
    <row r="147" spans="1:10">
      <c r="A147">
        <v>146</v>
      </c>
      <c r="B147" t="s">
        <v>84</v>
      </c>
      <c r="C147" s="34">
        <v>42217</v>
      </c>
      <c r="D147" t="s">
        <v>85</v>
      </c>
      <c r="E147" t="s">
        <v>86</v>
      </c>
      <c r="F147" t="s">
        <v>87</v>
      </c>
      <c r="G147">
        <v>1.6983908321336699E-2</v>
      </c>
      <c r="H147" t="s">
        <v>123</v>
      </c>
      <c r="I147" t="s">
        <v>90</v>
      </c>
      <c r="J147">
        <f t="shared" si="2"/>
        <v>18.580669684624763</v>
      </c>
    </row>
    <row r="148" spans="1:10">
      <c r="A148">
        <v>147</v>
      </c>
      <c r="B148" t="s">
        <v>84</v>
      </c>
      <c r="C148" s="34">
        <v>42248</v>
      </c>
      <c r="D148" t="s">
        <v>85</v>
      </c>
      <c r="E148" t="s">
        <v>86</v>
      </c>
      <c r="F148" t="s">
        <v>87</v>
      </c>
      <c r="G148">
        <v>1.69666461743831E-2</v>
      </c>
      <c r="H148" t="s">
        <v>123</v>
      </c>
      <c r="I148" t="s">
        <v>90</v>
      </c>
      <c r="J148">
        <f t="shared" si="2"/>
        <v>18.563510964133943</v>
      </c>
    </row>
    <row r="149" spans="1:10">
      <c r="A149">
        <v>148</v>
      </c>
      <c r="B149" t="s">
        <v>84</v>
      </c>
      <c r="C149" s="34">
        <v>42278</v>
      </c>
      <c r="D149" t="s">
        <v>85</v>
      </c>
      <c r="E149" t="s">
        <v>86</v>
      </c>
      <c r="F149" t="s">
        <v>87</v>
      </c>
      <c r="G149">
        <v>1.7757127354287E-2</v>
      </c>
      <c r="H149" t="s">
        <v>123</v>
      </c>
      <c r="I149" t="s">
        <v>90</v>
      </c>
      <c r="J149">
        <f t="shared" si="2"/>
        <v>19.345865713215581</v>
      </c>
    </row>
    <row r="150" spans="1:10">
      <c r="A150">
        <v>149</v>
      </c>
      <c r="B150" t="s">
        <v>84</v>
      </c>
      <c r="C150" s="34">
        <v>42309</v>
      </c>
      <c r="D150" t="s">
        <v>85</v>
      </c>
      <c r="E150" t="s">
        <v>86</v>
      </c>
      <c r="F150" t="s">
        <v>87</v>
      </c>
      <c r="G150">
        <v>1.4906538322281501E-2</v>
      </c>
      <c r="H150" t="s">
        <v>123</v>
      </c>
      <c r="I150" t="s">
        <v>90</v>
      </c>
      <c r="J150">
        <f t="shared" si="2"/>
        <v>16.49177769929754</v>
      </c>
    </row>
    <row r="151" spans="1:10">
      <c r="A151">
        <v>150</v>
      </c>
      <c r="B151" t="s">
        <v>84</v>
      </c>
      <c r="C151" s="34">
        <v>42339</v>
      </c>
      <c r="D151" t="s">
        <v>85</v>
      </c>
      <c r="E151" t="s">
        <v>86</v>
      </c>
      <c r="F151" t="s">
        <v>87</v>
      </c>
      <c r="G151">
        <v>1.6386139639188699E-2</v>
      </c>
      <c r="H151" t="s">
        <v>123</v>
      </c>
      <c r="I151" t="s">
        <v>90</v>
      </c>
      <c r="J151">
        <f t="shared" si="2"/>
        <v>17.984548811258559</v>
      </c>
    </row>
    <row r="152" spans="1:10">
      <c r="A152">
        <v>151</v>
      </c>
      <c r="B152" t="s">
        <v>84</v>
      </c>
      <c r="C152" s="34">
        <v>42370</v>
      </c>
      <c r="D152" t="s">
        <v>85</v>
      </c>
      <c r="E152" t="s">
        <v>86</v>
      </c>
      <c r="F152" t="s">
        <v>87</v>
      </c>
      <c r="G152">
        <v>1.4143508797787901E-2</v>
      </c>
      <c r="H152" t="s">
        <v>123</v>
      </c>
      <c r="I152" t="s">
        <v>90</v>
      </c>
      <c r="J152">
        <f t="shared" si="2"/>
        <v>15.712261054570309</v>
      </c>
    </row>
    <row r="153" spans="1:10">
      <c r="A153">
        <v>152</v>
      </c>
      <c r="B153" t="s">
        <v>84</v>
      </c>
      <c r="C153" s="34">
        <v>42401</v>
      </c>
      <c r="D153" t="s">
        <v>85</v>
      </c>
      <c r="E153" t="s">
        <v>86</v>
      </c>
      <c r="F153" t="s">
        <v>87</v>
      </c>
      <c r="G153">
        <v>1.48805277911877E-2</v>
      </c>
      <c r="H153" t="s">
        <v>123</v>
      </c>
      <c r="I153" t="s">
        <v>90</v>
      </c>
      <c r="J153">
        <f t="shared" si="2"/>
        <v>16.465314317753698</v>
      </c>
    </row>
    <row r="154" spans="1:10">
      <c r="A154">
        <v>153</v>
      </c>
      <c r="B154" t="s">
        <v>84</v>
      </c>
      <c r="C154" s="34">
        <v>42430</v>
      </c>
      <c r="D154" t="s">
        <v>85</v>
      </c>
      <c r="E154" t="s">
        <v>86</v>
      </c>
      <c r="F154" t="s">
        <v>87</v>
      </c>
      <c r="G154">
        <v>1.6361516239838302E-2</v>
      </c>
      <c r="H154" t="s">
        <v>123</v>
      </c>
      <c r="I154" t="s">
        <v>90</v>
      </c>
      <c r="J154">
        <f t="shared" si="2"/>
        <v>17.959907711332967</v>
      </c>
    </row>
    <row r="155" spans="1:10">
      <c r="A155">
        <v>154</v>
      </c>
      <c r="B155" t="s">
        <v>84</v>
      </c>
      <c r="C155" s="34">
        <v>42461</v>
      </c>
      <c r="D155" t="s">
        <v>85</v>
      </c>
      <c r="E155" t="s">
        <v>86</v>
      </c>
      <c r="F155" t="s">
        <v>87</v>
      </c>
      <c r="G155">
        <v>1.5611776144184001E-2</v>
      </c>
      <c r="H155" t="s">
        <v>123</v>
      </c>
      <c r="I155" t="s">
        <v>90</v>
      </c>
      <c r="J155">
        <f t="shared" si="2"/>
        <v>17.206371629172512</v>
      </c>
    </row>
    <row r="156" spans="1:10">
      <c r="A156">
        <v>155</v>
      </c>
      <c r="B156" t="s">
        <v>84</v>
      </c>
      <c r="C156" s="34">
        <v>42491</v>
      </c>
      <c r="D156" t="s">
        <v>85</v>
      </c>
      <c r="E156" t="s">
        <v>86</v>
      </c>
      <c r="F156" t="s">
        <v>87</v>
      </c>
      <c r="G156">
        <v>1.56062324574383E-2</v>
      </c>
      <c r="H156" t="s">
        <v>123</v>
      </c>
      <c r="I156" t="s">
        <v>90</v>
      </c>
      <c r="J156">
        <f t="shared" si="2"/>
        <v>17.200776322616019</v>
      </c>
    </row>
    <row r="157" spans="1:10">
      <c r="A157">
        <v>156</v>
      </c>
      <c r="B157" t="s">
        <v>84</v>
      </c>
      <c r="C157" s="34">
        <v>42522</v>
      </c>
      <c r="D157" t="s">
        <v>85</v>
      </c>
      <c r="E157" t="s">
        <v>86</v>
      </c>
      <c r="F157" t="s">
        <v>87</v>
      </c>
      <c r="G157">
        <v>1.63439335295603E-2</v>
      </c>
      <c r="H157" t="s">
        <v>123</v>
      </c>
      <c r="I157" t="s">
        <v>90</v>
      </c>
      <c r="J157">
        <f t="shared" si="2"/>
        <v>17.942308208807589</v>
      </c>
    </row>
    <row r="158" spans="1:10">
      <c r="A158">
        <v>157</v>
      </c>
      <c r="B158" t="s">
        <v>84</v>
      </c>
      <c r="C158" s="34">
        <v>42552</v>
      </c>
      <c r="D158" t="s">
        <v>85</v>
      </c>
      <c r="E158" t="s">
        <v>86</v>
      </c>
      <c r="F158" t="s">
        <v>87</v>
      </c>
      <c r="G158">
        <v>1.48533874642815E-2</v>
      </c>
      <c r="H158" t="s">
        <v>123</v>
      </c>
      <c r="I158" t="s">
        <v>90</v>
      </c>
      <c r="J158">
        <f t="shared" si="2"/>
        <v>16.437693275135889</v>
      </c>
    </row>
    <row r="159" spans="1:10">
      <c r="A159">
        <v>158</v>
      </c>
      <c r="B159" t="s">
        <v>84</v>
      </c>
      <c r="C159" s="34">
        <v>42583</v>
      </c>
      <c r="D159" t="s">
        <v>85</v>
      </c>
      <c r="E159" t="s">
        <v>86</v>
      </c>
      <c r="F159" t="s">
        <v>87</v>
      </c>
      <c r="G159">
        <v>1.7076131078207699E-2</v>
      </c>
      <c r="H159" t="s">
        <v>123</v>
      </c>
      <c r="I159" t="s">
        <v>90</v>
      </c>
      <c r="J159">
        <f t="shared" si="2"/>
        <v>18.672283752397522</v>
      </c>
    </row>
    <row r="160" spans="1:10">
      <c r="A160">
        <v>159</v>
      </c>
      <c r="B160" t="s">
        <v>84</v>
      </c>
      <c r="C160" s="34">
        <v>42614</v>
      </c>
      <c r="D160" t="s">
        <v>85</v>
      </c>
      <c r="E160" t="s">
        <v>86</v>
      </c>
      <c r="F160" t="s">
        <v>87</v>
      </c>
      <c r="G160">
        <v>1.55865600154248E-2</v>
      </c>
      <c r="H160" t="s">
        <v>123</v>
      </c>
      <c r="I160" t="s">
        <v>90</v>
      </c>
      <c r="J160">
        <f t="shared" si="2"/>
        <v>17.180917903840953</v>
      </c>
    </row>
    <row r="161" spans="1:10">
      <c r="A161">
        <v>160</v>
      </c>
      <c r="B161" t="s">
        <v>84</v>
      </c>
      <c r="C161" s="34">
        <v>42644</v>
      </c>
      <c r="D161" t="s">
        <v>85</v>
      </c>
      <c r="E161" t="s">
        <v>86</v>
      </c>
      <c r="F161" t="s">
        <v>87</v>
      </c>
      <c r="G161">
        <v>1.55819549491667E-2</v>
      </c>
      <c r="H161" t="s">
        <v>123</v>
      </c>
      <c r="I161" t="s">
        <v>90</v>
      </c>
      <c r="J161">
        <f t="shared" si="2"/>
        <v>17.176268672233764</v>
      </c>
    </row>
    <row r="162" spans="1:10">
      <c r="A162">
        <v>161</v>
      </c>
      <c r="B162" t="s">
        <v>84</v>
      </c>
      <c r="C162" s="34">
        <v>42675</v>
      </c>
      <c r="D162" t="s">
        <v>85</v>
      </c>
      <c r="E162" t="s">
        <v>86</v>
      </c>
      <c r="F162" t="s">
        <v>87</v>
      </c>
      <c r="G162">
        <v>1.5577413848712101E-2</v>
      </c>
      <c r="H162" t="s">
        <v>123</v>
      </c>
      <c r="I162" t="s">
        <v>90</v>
      </c>
      <c r="J162">
        <f t="shared" si="2"/>
        <v>17.171683785618043</v>
      </c>
    </row>
    <row r="163" spans="1:10">
      <c r="A163">
        <v>162</v>
      </c>
      <c r="B163" t="s">
        <v>84</v>
      </c>
      <c r="C163" s="34">
        <v>42705</v>
      </c>
      <c r="D163" t="s">
        <v>85</v>
      </c>
      <c r="E163" t="s">
        <v>86</v>
      </c>
      <c r="F163" t="s">
        <v>87</v>
      </c>
      <c r="G163">
        <v>1.5572922669686899E-2</v>
      </c>
      <c r="H163" t="s">
        <v>123</v>
      </c>
      <c r="I163" t="s">
        <v>90</v>
      </c>
      <c r="J163">
        <f t="shared" si="2"/>
        <v>17.167149072951382</v>
      </c>
    </row>
    <row r="164" spans="1:10">
      <c r="A164">
        <v>163</v>
      </c>
      <c r="B164" t="s">
        <v>84</v>
      </c>
      <c r="C164" s="34">
        <v>42736</v>
      </c>
      <c r="D164" t="s">
        <v>85</v>
      </c>
      <c r="E164" t="s">
        <v>86</v>
      </c>
      <c r="F164" t="s">
        <v>87</v>
      </c>
      <c r="G164">
        <v>1.4827116228423099E-2</v>
      </c>
      <c r="H164" t="s">
        <v>123</v>
      </c>
      <c r="I164" t="s">
        <v>90</v>
      </c>
      <c r="J164">
        <f t="shared" si="2"/>
        <v>16.410948743273266</v>
      </c>
    </row>
    <row r="165" spans="1:10">
      <c r="A165">
        <v>164</v>
      </c>
      <c r="B165" t="s">
        <v>84</v>
      </c>
      <c r="C165" s="34">
        <v>42767</v>
      </c>
      <c r="D165" t="s">
        <v>85</v>
      </c>
      <c r="E165" t="s">
        <v>86</v>
      </c>
      <c r="F165" t="s">
        <v>87</v>
      </c>
      <c r="G165">
        <v>1.40817646705095E-2</v>
      </c>
      <c r="H165" t="s">
        <v>123</v>
      </c>
      <c r="I165" t="s">
        <v>90</v>
      </c>
      <c r="J165">
        <f t="shared" si="2"/>
        <v>15.64889200249997</v>
      </c>
    </row>
    <row r="166" spans="1:10">
      <c r="A166">
        <v>165</v>
      </c>
      <c r="B166" t="s">
        <v>84</v>
      </c>
      <c r="C166" s="34">
        <v>42795</v>
      </c>
      <c r="D166" t="s">
        <v>85</v>
      </c>
      <c r="E166" t="s">
        <v>86</v>
      </c>
      <c r="F166" t="s">
        <v>87</v>
      </c>
      <c r="G166">
        <v>1.70415426770705E-2</v>
      </c>
      <c r="H166" t="s">
        <v>123</v>
      </c>
      <c r="I166" t="s">
        <v>90</v>
      </c>
      <c r="J166">
        <f t="shared" si="2"/>
        <v>18.637934721840509</v>
      </c>
    </row>
    <row r="167" spans="1:10">
      <c r="A167">
        <v>166</v>
      </c>
      <c r="B167" t="s">
        <v>84</v>
      </c>
      <c r="C167" s="34">
        <v>42826</v>
      </c>
      <c r="D167" t="s">
        <v>85</v>
      </c>
      <c r="E167" t="s">
        <v>86</v>
      </c>
      <c r="F167" t="s">
        <v>87</v>
      </c>
      <c r="G167">
        <v>1.40738521977794E-2</v>
      </c>
      <c r="H167" t="s">
        <v>123</v>
      </c>
      <c r="I167" t="s">
        <v>90</v>
      </c>
      <c r="J167">
        <f t="shared" si="2"/>
        <v>15.640768140553407</v>
      </c>
    </row>
    <row r="168" spans="1:10">
      <c r="A168">
        <v>167</v>
      </c>
      <c r="B168" t="s">
        <v>84</v>
      </c>
      <c r="C168" s="34">
        <v>42856</v>
      </c>
      <c r="D168" t="s">
        <v>85</v>
      </c>
      <c r="E168" t="s">
        <v>86</v>
      </c>
      <c r="F168" t="s">
        <v>87</v>
      </c>
      <c r="G168">
        <v>1.6291499196774799E-2</v>
      </c>
      <c r="H168" t="s">
        <v>123</v>
      </c>
      <c r="I168" t="s">
        <v>90</v>
      </c>
      <c r="J168">
        <f t="shared" si="2"/>
        <v>17.889803247282877</v>
      </c>
    </row>
    <row r="169" spans="1:10">
      <c r="A169">
        <v>168</v>
      </c>
      <c r="B169" t="s">
        <v>84</v>
      </c>
      <c r="C169" s="34">
        <v>42887</v>
      </c>
      <c r="D169" t="s">
        <v>85</v>
      </c>
      <c r="E169" t="s">
        <v>86</v>
      </c>
      <c r="F169" t="s">
        <v>87</v>
      </c>
      <c r="G169">
        <v>1.6286984048979099E-2</v>
      </c>
      <c r="H169" t="s">
        <v>123</v>
      </c>
      <c r="I169" t="s">
        <v>90</v>
      </c>
      <c r="J169">
        <f t="shared" si="2"/>
        <v>17.885280577818776</v>
      </c>
    </row>
    <row r="170" spans="1:10">
      <c r="A170">
        <v>169</v>
      </c>
      <c r="B170" t="s">
        <v>84</v>
      </c>
      <c r="C170" s="34">
        <v>42917</v>
      </c>
      <c r="D170" t="s">
        <v>85</v>
      </c>
      <c r="E170" t="s">
        <v>86</v>
      </c>
      <c r="F170" t="s">
        <v>87</v>
      </c>
      <c r="G170">
        <v>1.4802266306909499E-2</v>
      </c>
      <c r="H170" t="s">
        <v>123</v>
      </c>
      <c r="I170" t="s">
        <v>90</v>
      </c>
      <c r="J170">
        <f t="shared" si="2"/>
        <v>16.385643910886749</v>
      </c>
    </row>
    <row r="171" spans="1:10">
      <c r="A171">
        <v>170</v>
      </c>
      <c r="B171" t="s">
        <v>84</v>
      </c>
      <c r="C171" s="34">
        <v>42948</v>
      </c>
      <c r="D171" t="s">
        <v>85</v>
      </c>
      <c r="E171" t="s">
        <v>86</v>
      </c>
      <c r="F171" t="s">
        <v>87</v>
      </c>
      <c r="G171">
        <v>1.70179353638341E-2</v>
      </c>
      <c r="H171" t="s">
        <v>123</v>
      </c>
      <c r="I171" t="s">
        <v>90</v>
      </c>
      <c r="J171">
        <f t="shared" si="2"/>
        <v>18.614483148934045</v>
      </c>
    </row>
    <row r="172" spans="1:10">
      <c r="A172">
        <v>171</v>
      </c>
      <c r="B172" t="s">
        <v>84</v>
      </c>
      <c r="C172" s="34">
        <v>42979</v>
      </c>
      <c r="D172" t="s">
        <v>85</v>
      </c>
      <c r="E172" t="s">
        <v>86</v>
      </c>
      <c r="F172" t="s">
        <v>87</v>
      </c>
      <c r="G172">
        <v>1.47941637068507E-2</v>
      </c>
      <c r="H172" t="s">
        <v>123</v>
      </c>
      <c r="I172" t="s">
        <v>90</v>
      </c>
      <c r="J172">
        <f t="shared" si="2"/>
        <v>16.377391463973112</v>
      </c>
    </row>
    <row r="173" spans="1:10">
      <c r="A173">
        <v>172</v>
      </c>
      <c r="B173" t="s">
        <v>84</v>
      </c>
      <c r="C173" s="34">
        <v>43009</v>
      </c>
      <c r="D173" t="s">
        <v>85</v>
      </c>
      <c r="E173" t="s">
        <v>86</v>
      </c>
      <c r="F173" t="s">
        <v>87</v>
      </c>
      <c r="G173">
        <v>1.6269087439682799E-2</v>
      </c>
      <c r="H173" t="s">
        <v>123</v>
      </c>
      <c r="I173" t="s">
        <v>90</v>
      </c>
      <c r="J173">
        <f t="shared" si="2"/>
        <v>17.867351908583661</v>
      </c>
    </row>
    <row r="174" spans="1:10">
      <c r="A174">
        <v>173</v>
      </c>
      <c r="B174" t="s">
        <v>84</v>
      </c>
      <c r="C174" s="34">
        <v>43040</v>
      </c>
      <c r="D174" t="s">
        <v>85</v>
      </c>
      <c r="E174" t="s">
        <v>86</v>
      </c>
      <c r="F174" t="s">
        <v>87</v>
      </c>
      <c r="G174">
        <v>1.3994853948115201E-2</v>
      </c>
      <c r="H174" t="s">
        <v>123</v>
      </c>
      <c r="I174" t="s">
        <v>90</v>
      </c>
      <c r="J174">
        <f t="shared" si="2"/>
        <v>15.559620042347488</v>
      </c>
    </row>
    <row r="175" spans="1:10">
      <c r="A175">
        <v>174</v>
      </c>
      <c r="B175" t="s">
        <v>84</v>
      </c>
      <c r="C175" s="34">
        <v>43070</v>
      </c>
      <c r="D175" t="s">
        <v>85</v>
      </c>
      <c r="E175" t="s">
        <v>86</v>
      </c>
      <c r="F175" t="s">
        <v>87</v>
      </c>
      <c r="G175">
        <v>1.3332249011443999E-2</v>
      </c>
      <c r="H175" t="s">
        <v>123</v>
      </c>
      <c r="I175" t="s">
        <v>90</v>
      </c>
      <c r="J175">
        <f t="shared" si="2"/>
        <v>14.876160652382964</v>
      </c>
    </row>
    <row r="176" spans="1:10">
      <c r="A176">
        <v>175</v>
      </c>
      <c r="B176" t="s">
        <v>84</v>
      </c>
      <c r="C176" s="34">
        <v>43101</v>
      </c>
      <c r="D176" t="s">
        <v>85</v>
      </c>
      <c r="E176" t="s">
        <v>86</v>
      </c>
      <c r="F176" t="s">
        <v>87</v>
      </c>
      <c r="G176">
        <v>1.40023862996199E-2</v>
      </c>
      <c r="H176" t="s">
        <v>123</v>
      </c>
      <c r="I176" t="s">
        <v>90</v>
      </c>
      <c r="J176">
        <f t="shared" si="2"/>
        <v>15.567360463208434</v>
      </c>
    </row>
    <row r="177" spans="1:10">
      <c r="A177">
        <v>176</v>
      </c>
      <c r="B177" t="s">
        <v>84</v>
      </c>
      <c r="C177" s="34">
        <v>43132</v>
      </c>
      <c r="D177" t="s">
        <v>85</v>
      </c>
      <c r="E177" t="s">
        <v>86</v>
      </c>
      <c r="F177" t="s">
        <v>87</v>
      </c>
      <c r="G177">
        <v>1.2671359450558599E-2</v>
      </c>
      <c r="H177" t="s">
        <v>123</v>
      </c>
      <c r="I177" t="s">
        <v>90</v>
      </c>
      <c r="J177">
        <f t="shared" si="2"/>
        <v>14.189422814037755</v>
      </c>
    </row>
    <row r="178" spans="1:10">
      <c r="A178">
        <v>177</v>
      </c>
      <c r="B178" t="s">
        <v>84</v>
      </c>
      <c r="C178" s="34">
        <v>43160</v>
      </c>
      <c r="D178" t="s">
        <v>85</v>
      </c>
      <c r="E178" t="s">
        <v>86</v>
      </c>
      <c r="F178" t="s">
        <v>87</v>
      </c>
      <c r="G178">
        <v>1.40071105283316E-2</v>
      </c>
      <c r="H178" t="s">
        <v>123</v>
      </c>
      <c r="I178" t="s">
        <v>90</v>
      </c>
      <c r="J178">
        <f t="shared" si="2"/>
        <v>15.57221485940371</v>
      </c>
    </row>
    <row r="179" spans="1:10">
      <c r="A179">
        <v>178</v>
      </c>
      <c r="B179" t="s">
        <v>84</v>
      </c>
      <c r="C179" s="34">
        <v>43191</v>
      </c>
      <c r="D179" t="s">
        <v>85</v>
      </c>
      <c r="E179" t="s">
        <v>86</v>
      </c>
      <c r="F179" t="s">
        <v>87</v>
      </c>
      <c r="G179">
        <v>1.40082044002874E-2</v>
      </c>
      <c r="H179" t="s">
        <v>123</v>
      </c>
      <c r="I179" t="s">
        <v>90</v>
      </c>
      <c r="J179">
        <f t="shared" si="2"/>
        <v>15.573338834522655</v>
      </c>
    </row>
    <row r="180" spans="1:10">
      <c r="A180">
        <v>179</v>
      </c>
      <c r="B180" t="s">
        <v>84</v>
      </c>
      <c r="C180" s="34">
        <v>43221</v>
      </c>
      <c r="D180" t="s">
        <v>85</v>
      </c>
      <c r="E180" t="s">
        <v>86</v>
      </c>
      <c r="F180" t="s">
        <v>87</v>
      </c>
      <c r="G180">
        <v>1.4675672177888901E-2</v>
      </c>
      <c r="H180" t="s">
        <v>123</v>
      </c>
      <c r="I180" t="s">
        <v>90</v>
      </c>
      <c r="J180">
        <f t="shared" si="2"/>
        <v>16.256623266049896</v>
      </c>
    </row>
    <row r="181" spans="1:10">
      <c r="A181">
        <v>180</v>
      </c>
      <c r="B181" t="s">
        <v>84</v>
      </c>
      <c r="C181" s="34">
        <v>43252</v>
      </c>
      <c r="D181" t="s">
        <v>85</v>
      </c>
      <c r="E181" t="s">
        <v>86</v>
      </c>
      <c r="F181" t="s">
        <v>87</v>
      </c>
      <c r="G181">
        <v>1.40084356075749E-2</v>
      </c>
      <c r="H181" t="s">
        <v>123</v>
      </c>
      <c r="I181" t="s">
        <v>90</v>
      </c>
      <c r="J181">
        <f t="shared" si="2"/>
        <v>15.573576402837974</v>
      </c>
    </row>
    <row r="182" spans="1:10">
      <c r="A182">
        <v>181</v>
      </c>
      <c r="B182" t="s">
        <v>84</v>
      </c>
      <c r="C182" s="34">
        <v>43282</v>
      </c>
      <c r="D182" t="s">
        <v>85</v>
      </c>
      <c r="E182" t="s">
        <v>86</v>
      </c>
      <c r="F182" t="s">
        <v>87</v>
      </c>
      <c r="G182">
        <v>1.4007860391186301E-2</v>
      </c>
      <c r="H182" t="s">
        <v>123</v>
      </c>
      <c r="I182" t="s">
        <v>90</v>
      </c>
      <c r="J182">
        <f t="shared" si="2"/>
        <v>15.572985359830337</v>
      </c>
    </row>
    <row r="183" spans="1:10">
      <c r="A183">
        <v>182</v>
      </c>
      <c r="B183" t="s">
        <v>84</v>
      </c>
      <c r="C183" s="34">
        <v>43313</v>
      </c>
      <c r="D183" t="s">
        <v>85</v>
      </c>
      <c r="E183" t="s">
        <v>86</v>
      </c>
      <c r="F183" t="s">
        <v>87</v>
      </c>
      <c r="G183">
        <v>1.53409818634742E-2</v>
      </c>
      <c r="H183" t="s">
        <v>123</v>
      </c>
      <c r="I183" t="s">
        <v>90</v>
      </c>
      <c r="J183">
        <f t="shared" si="2"/>
        <v>16.932650433852281</v>
      </c>
    </row>
    <row r="184" spans="1:10">
      <c r="A184">
        <v>183</v>
      </c>
      <c r="B184" t="s">
        <v>84</v>
      </c>
      <c r="C184" s="34">
        <v>43344</v>
      </c>
      <c r="D184" t="s">
        <v>85</v>
      </c>
      <c r="E184" t="s">
        <v>86</v>
      </c>
      <c r="F184" t="s">
        <v>87</v>
      </c>
      <c r="G184">
        <v>1.26719972278765E-2</v>
      </c>
      <c r="H184" t="s">
        <v>123</v>
      </c>
      <c r="I184" t="s">
        <v>90</v>
      </c>
      <c r="J184">
        <f t="shared" si="2"/>
        <v>14.190087976696763</v>
      </c>
    </row>
    <row r="185" spans="1:10">
      <c r="A185">
        <v>184</v>
      </c>
      <c r="B185" t="s">
        <v>84</v>
      </c>
      <c r="C185" s="34">
        <v>43374</v>
      </c>
      <c r="D185" t="s">
        <v>85</v>
      </c>
      <c r="E185" t="s">
        <v>86</v>
      </c>
      <c r="F185" t="s">
        <v>87</v>
      </c>
      <c r="G185">
        <v>1.53384255897494E-2</v>
      </c>
      <c r="H185" t="s">
        <v>123</v>
      </c>
      <c r="I185" t="s">
        <v>90</v>
      </c>
      <c r="J185">
        <f t="shared" si="2"/>
        <v>16.930062582693871</v>
      </c>
    </row>
    <row r="186" spans="1:10">
      <c r="A186">
        <v>185</v>
      </c>
      <c r="B186" t="s">
        <v>84</v>
      </c>
      <c r="C186" s="34">
        <v>43405</v>
      </c>
      <c r="D186" t="s">
        <v>85</v>
      </c>
      <c r="E186" t="s">
        <v>86</v>
      </c>
      <c r="F186" t="s">
        <v>87</v>
      </c>
      <c r="G186">
        <v>1.4003303263306101E-2</v>
      </c>
      <c r="H186" t="s">
        <v>123</v>
      </c>
      <c r="I186" t="s">
        <v>90</v>
      </c>
      <c r="J186">
        <f t="shared" si="2"/>
        <v>15.568302712162808</v>
      </c>
    </row>
    <row r="187" spans="1:10">
      <c r="A187">
        <v>186</v>
      </c>
      <c r="B187" t="s">
        <v>84</v>
      </c>
      <c r="C187" s="34">
        <v>43435</v>
      </c>
      <c r="D187" t="s">
        <v>85</v>
      </c>
      <c r="E187" t="s">
        <v>86</v>
      </c>
      <c r="F187" t="s">
        <v>87</v>
      </c>
      <c r="G187">
        <v>1.3335129643959E-2</v>
      </c>
      <c r="H187" t="s">
        <v>123</v>
      </c>
      <c r="I187" t="s">
        <v>90</v>
      </c>
      <c r="J187">
        <f t="shared" si="2"/>
        <v>14.879142891075603</v>
      </c>
    </row>
    <row r="188" spans="1:10">
      <c r="A188">
        <v>187</v>
      </c>
      <c r="B188" t="s">
        <v>84</v>
      </c>
      <c r="C188" s="34">
        <v>43466</v>
      </c>
      <c r="D188" t="s">
        <v>85</v>
      </c>
      <c r="E188" t="s">
        <v>86</v>
      </c>
      <c r="F188" t="s">
        <v>87</v>
      </c>
      <c r="G188">
        <v>1.4000421220978001E-2</v>
      </c>
      <c r="H188" t="s">
        <v>123</v>
      </c>
      <c r="I188" t="s">
        <v>90</v>
      </c>
      <c r="J188">
        <f t="shared" si="2"/>
        <v>15.565341165071889</v>
      </c>
    </row>
    <row r="189" spans="1:10">
      <c r="A189">
        <v>188</v>
      </c>
      <c r="B189" t="s">
        <v>84</v>
      </c>
      <c r="C189" s="34">
        <v>43497</v>
      </c>
      <c r="D189" t="s">
        <v>85</v>
      </c>
      <c r="E189" t="s">
        <v>86</v>
      </c>
      <c r="F189" t="s">
        <v>87</v>
      </c>
      <c r="G189">
        <v>1.2665693765954E-2</v>
      </c>
      <c r="H189" t="s">
        <v>123</v>
      </c>
      <c r="I189" t="s">
        <v>90</v>
      </c>
      <c r="J189">
        <f t="shared" si="2"/>
        <v>14.183513644701085</v>
      </c>
    </row>
    <row r="190" spans="1:10">
      <c r="A190">
        <v>189</v>
      </c>
      <c r="B190" t="s">
        <v>84</v>
      </c>
      <c r="C190" s="34">
        <v>43525</v>
      </c>
      <c r="D190" t="s">
        <v>85</v>
      </c>
      <c r="E190" t="s">
        <v>86</v>
      </c>
      <c r="F190" t="s">
        <v>87</v>
      </c>
      <c r="G190">
        <v>1.3997407700344799E-2</v>
      </c>
      <c r="H190" t="s">
        <v>123</v>
      </c>
      <c r="I190" t="s">
        <v>90</v>
      </c>
      <c r="J190">
        <f t="shared" si="2"/>
        <v>15.562244410843284</v>
      </c>
    </row>
    <row r="191" spans="1:10">
      <c r="A191">
        <v>190</v>
      </c>
      <c r="B191" t="s">
        <v>84</v>
      </c>
      <c r="C191" s="34">
        <v>43556</v>
      </c>
      <c r="D191" t="s">
        <v>85</v>
      </c>
      <c r="E191" t="s">
        <v>86</v>
      </c>
      <c r="F191" t="s">
        <v>87</v>
      </c>
      <c r="G191">
        <v>1.3995877951607401E-2</v>
      </c>
      <c r="H191" t="s">
        <v>123</v>
      </c>
      <c r="I191" t="s">
        <v>90</v>
      </c>
      <c r="J191">
        <f t="shared" si="2"/>
        <v>15.560672370527474</v>
      </c>
    </row>
    <row r="192" spans="1:10">
      <c r="A192">
        <v>191</v>
      </c>
      <c r="B192" t="s">
        <v>84</v>
      </c>
      <c r="C192" s="34">
        <v>43586</v>
      </c>
      <c r="D192" t="s">
        <v>85</v>
      </c>
      <c r="E192" t="s">
        <v>86</v>
      </c>
      <c r="F192" t="s">
        <v>87</v>
      </c>
      <c r="G192">
        <v>1.46607379012277E-2</v>
      </c>
      <c r="H192" t="s">
        <v>123</v>
      </c>
      <c r="I192" t="s">
        <v>90</v>
      </c>
      <c r="J192">
        <f t="shared" si="2"/>
        <v>16.241390705769643</v>
      </c>
    </row>
    <row r="193" spans="1:10">
      <c r="A193">
        <v>192</v>
      </c>
      <c r="B193" t="s">
        <v>84</v>
      </c>
      <c r="C193" s="34">
        <v>43617</v>
      </c>
      <c r="D193" t="s">
        <v>85</v>
      </c>
      <c r="E193" t="s">
        <v>86</v>
      </c>
      <c r="F193" t="s">
        <v>87</v>
      </c>
      <c r="G193">
        <v>1.33264758376343E-2</v>
      </c>
      <c r="H193" t="s">
        <v>123</v>
      </c>
      <c r="I193" t="s">
        <v>90</v>
      </c>
      <c r="J193">
        <f t="shared" si="2"/>
        <v>14.870183557846396</v>
      </c>
    </row>
    <row r="194" spans="1:10">
      <c r="A194">
        <v>193</v>
      </c>
      <c r="B194" t="s">
        <v>84</v>
      </c>
      <c r="C194" s="34">
        <v>43647</v>
      </c>
      <c r="D194" t="s">
        <v>85</v>
      </c>
      <c r="E194" t="s">
        <v>86</v>
      </c>
      <c r="F194" t="s">
        <v>87</v>
      </c>
      <c r="G194">
        <v>1.4657507470251799E-2</v>
      </c>
      <c r="H194" t="s">
        <v>123</v>
      </c>
      <c r="I194" t="s">
        <v>90</v>
      </c>
      <c r="J194">
        <f t="shared" si="2"/>
        <v>16.238095419014563</v>
      </c>
    </row>
    <row r="195" spans="1:10">
      <c r="A195">
        <v>194</v>
      </c>
      <c r="B195" t="s">
        <v>84</v>
      </c>
      <c r="C195" s="34">
        <v>43678</v>
      </c>
      <c r="D195" t="s">
        <v>85</v>
      </c>
      <c r="E195" t="s">
        <v>86</v>
      </c>
      <c r="F195" t="s">
        <v>87</v>
      </c>
      <c r="G195">
        <v>1.4655891799184599E-2</v>
      </c>
      <c r="H195" t="s">
        <v>123</v>
      </c>
      <c r="I195" t="s">
        <v>90</v>
      </c>
      <c r="J195">
        <f t="shared" ref="J195:J258" si="3">100*(1-(1-G195)^12)</f>
        <v>16.236447266329236</v>
      </c>
    </row>
    <row r="196" spans="1:10">
      <c r="A196">
        <v>195</v>
      </c>
      <c r="B196" t="s">
        <v>84</v>
      </c>
      <c r="C196" s="34">
        <v>43709</v>
      </c>
      <c r="D196" t="s">
        <v>85</v>
      </c>
      <c r="E196" t="s">
        <v>86</v>
      </c>
      <c r="F196" t="s">
        <v>87</v>
      </c>
      <c r="G196">
        <v>1.3322070537692399E-2</v>
      </c>
      <c r="H196" t="s">
        <v>123</v>
      </c>
      <c r="I196" t="s">
        <v>90</v>
      </c>
      <c r="J196">
        <f t="shared" si="3"/>
        <v>14.865622394597377</v>
      </c>
    </row>
    <row r="197" spans="1:10">
      <c r="A197">
        <v>196</v>
      </c>
      <c r="B197" t="s">
        <v>84</v>
      </c>
      <c r="C197" s="34">
        <v>43739</v>
      </c>
      <c r="D197" t="s">
        <v>85</v>
      </c>
      <c r="E197" t="s">
        <v>86</v>
      </c>
      <c r="F197" t="s">
        <v>87</v>
      </c>
      <c r="G197">
        <v>1.5318695897506601E-2</v>
      </c>
      <c r="H197" t="s">
        <v>123</v>
      </c>
      <c r="I197" t="s">
        <v>90</v>
      </c>
      <c r="J197">
        <f t="shared" si="3"/>
        <v>16.910086684713932</v>
      </c>
    </row>
    <row r="198" spans="1:10">
      <c r="A198">
        <v>197</v>
      </c>
      <c r="B198" t="s">
        <v>84</v>
      </c>
      <c r="C198" s="34">
        <v>43770</v>
      </c>
      <c r="D198" t="s">
        <v>85</v>
      </c>
      <c r="E198" t="s">
        <v>86</v>
      </c>
      <c r="F198" t="s">
        <v>87</v>
      </c>
      <c r="G198">
        <v>1.3319142250599899E-2</v>
      </c>
      <c r="H198" t="s">
        <v>123</v>
      </c>
      <c r="I198" t="s">
        <v>90</v>
      </c>
      <c r="J198">
        <f t="shared" si="3"/>
        <v>14.862590378240704</v>
      </c>
    </row>
    <row r="199" spans="1:10">
      <c r="A199">
        <v>198</v>
      </c>
      <c r="B199" t="s">
        <v>84</v>
      </c>
      <c r="C199" s="34">
        <v>43800</v>
      </c>
      <c r="D199" t="s">
        <v>85</v>
      </c>
      <c r="E199" t="s">
        <v>86</v>
      </c>
      <c r="F199" t="s">
        <v>87</v>
      </c>
      <c r="G199">
        <v>1.39835663295914E-2</v>
      </c>
      <c r="H199" t="s">
        <v>123</v>
      </c>
      <c r="I199" t="s">
        <v>90</v>
      </c>
      <c r="J199">
        <f t="shared" si="3"/>
        <v>15.548019403363778</v>
      </c>
    </row>
    <row r="200" spans="1:10">
      <c r="A200">
        <v>199</v>
      </c>
      <c r="B200" t="s">
        <v>84</v>
      </c>
      <c r="C200" s="34">
        <v>43831</v>
      </c>
      <c r="D200" t="s">
        <v>85</v>
      </c>
      <c r="E200" t="s">
        <v>86</v>
      </c>
      <c r="F200" t="s">
        <v>87</v>
      </c>
      <c r="G200">
        <v>1.39820364948475E-2</v>
      </c>
      <c r="H200" t="s">
        <v>123</v>
      </c>
      <c r="I200" t="s">
        <v>90</v>
      </c>
      <c r="J200">
        <f t="shared" si="3"/>
        <v>15.546447031883581</v>
      </c>
    </row>
    <row r="201" spans="1:10">
      <c r="A201">
        <v>200</v>
      </c>
      <c r="B201" t="s">
        <v>84</v>
      </c>
      <c r="C201" s="34">
        <v>43862</v>
      </c>
      <c r="D201" t="s">
        <v>85</v>
      </c>
      <c r="E201" t="s">
        <v>86</v>
      </c>
      <c r="F201" t="s">
        <v>87</v>
      </c>
      <c r="G201">
        <v>1.2649032846715799E-2</v>
      </c>
      <c r="H201" t="s">
        <v>123</v>
      </c>
      <c r="I201" t="s">
        <v>90</v>
      </c>
      <c r="J201">
        <f t="shared" si="3"/>
        <v>14.166134555421174</v>
      </c>
    </row>
    <row r="202" spans="1:10">
      <c r="A202">
        <v>201</v>
      </c>
      <c r="B202" t="s">
        <v>84</v>
      </c>
      <c r="C202" s="34">
        <v>43891</v>
      </c>
      <c r="D202" t="s">
        <v>85</v>
      </c>
      <c r="E202" t="s">
        <v>86</v>
      </c>
      <c r="F202" t="s">
        <v>87</v>
      </c>
      <c r="G202">
        <v>1.46446529267386E-2</v>
      </c>
      <c r="H202" t="s">
        <v>123</v>
      </c>
      <c r="I202" t="s">
        <v>90</v>
      </c>
      <c r="J202">
        <f t="shared" si="3"/>
        <v>16.224981623777634</v>
      </c>
    </row>
    <row r="203" spans="1:10">
      <c r="A203">
        <v>202</v>
      </c>
      <c r="B203" t="s">
        <v>84</v>
      </c>
      <c r="C203" s="34">
        <v>43922</v>
      </c>
      <c r="D203" t="s">
        <v>85</v>
      </c>
      <c r="E203" t="s">
        <v>86</v>
      </c>
      <c r="F203" t="s">
        <v>87</v>
      </c>
      <c r="G203">
        <v>1.3977467219581E-2</v>
      </c>
      <c r="H203" t="s">
        <v>123</v>
      </c>
      <c r="I203" t="s">
        <v>90</v>
      </c>
      <c r="J203">
        <f t="shared" si="3"/>
        <v>15.541750549094735</v>
      </c>
    </row>
    <row r="204" spans="1:10">
      <c r="A204">
        <v>203</v>
      </c>
      <c r="B204" t="s">
        <v>84</v>
      </c>
      <c r="C204" s="34">
        <v>43952</v>
      </c>
      <c r="D204" t="s">
        <v>85</v>
      </c>
      <c r="E204" t="s">
        <v>86</v>
      </c>
      <c r="F204" t="s">
        <v>87</v>
      </c>
      <c r="G204">
        <v>1.33104295275341E-2</v>
      </c>
      <c r="H204" t="s">
        <v>123</v>
      </c>
      <c r="I204" t="s">
        <v>90</v>
      </c>
      <c r="J204">
        <f t="shared" si="3"/>
        <v>14.853568437332543</v>
      </c>
    </row>
    <row r="205" spans="1:10">
      <c r="A205">
        <v>204</v>
      </c>
      <c r="B205" t="s">
        <v>84</v>
      </c>
      <c r="C205" s="34">
        <v>43983</v>
      </c>
      <c r="D205" t="s">
        <v>85</v>
      </c>
      <c r="E205" t="s">
        <v>86</v>
      </c>
      <c r="F205" t="s">
        <v>87</v>
      </c>
      <c r="G205">
        <v>1.46398876701339E-2</v>
      </c>
      <c r="H205" t="s">
        <v>123</v>
      </c>
      <c r="I205" t="s">
        <v>90</v>
      </c>
      <c r="J205">
        <f t="shared" si="3"/>
        <v>16.220119782867215</v>
      </c>
    </row>
    <row r="206" spans="1:10">
      <c r="A206">
        <v>205</v>
      </c>
      <c r="B206" t="s">
        <v>84</v>
      </c>
      <c r="C206" s="34">
        <v>44013</v>
      </c>
      <c r="D206" t="s">
        <v>85</v>
      </c>
      <c r="E206" t="s">
        <v>86</v>
      </c>
      <c r="F206" t="s">
        <v>87</v>
      </c>
      <c r="G206">
        <v>1.46383064463821E-2</v>
      </c>
      <c r="H206" t="s">
        <v>123</v>
      </c>
      <c r="I206" t="s">
        <v>90</v>
      </c>
      <c r="J206">
        <f t="shared" si="3"/>
        <v>16.218506453030702</v>
      </c>
    </row>
    <row r="207" spans="1:10">
      <c r="A207">
        <v>206</v>
      </c>
      <c r="B207" t="s">
        <v>84</v>
      </c>
      <c r="C207" s="34">
        <v>44044</v>
      </c>
      <c r="D207" t="s">
        <v>85</v>
      </c>
      <c r="E207" t="s">
        <v>86</v>
      </c>
      <c r="F207" t="s">
        <v>87</v>
      </c>
      <c r="G207">
        <v>1.39714229270198E-2</v>
      </c>
      <c r="H207" t="s">
        <v>123</v>
      </c>
      <c r="I207" t="s">
        <v>90</v>
      </c>
      <c r="J207">
        <f t="shared" si="3"/>
        <v>15.535537617076844</v>
      </c>
    </row>
    <row r="208" spans="1:10">
      <c r="A208">
        <v>207</v>
      </c>
      <c r="B208" t="s">
        <v>84</v>
      </c>
      <c r="C208" s="34">
        <v>44075</v>
      </c>
      <c r="D208" t="s">
        <v>85</v>
      </c>
      <c r="E208" t="s">
        <v>86</v>
      </c>
      <c r="F208" t="s">
        <v>87</v>
      </c>
      <c r="G208">
        <v>1.39699203371953E-2</v>
      </c>
      <c r="H208" t="s">
        <v>123</v>
      </c>
      <c r="I208" t="s">
        <v>90</v>
      </c>
      <c r="J208">
        <f t="shared" si="3"/>
        <v>15.533993039058947</v>
      </c>
    </row>
    <row r="209" spans="1:10">
      <c r="A209">
        <v>208</v>
      </c>
      <c r="B209" t="s">
        <v>84</v>
      </c>
      <c r="C209" s="34">
        <v>44105</v>
      </c>
      <c r="D209" t="s">
        <v>85</v>
      </c>
      <c r="E209" t="s">
        <v>86</v>
      </c>
      <c r="F209" t="s">
        <v>87</v>
      </c>
      <c r="G209">
        <v>1.4633583983272001E-2</v>
      </c>
      <c r="H209" t="s">
        <v>123</v>
      </c>
      <c r="I209" t="s">
        <v>90</v>
      </c>
      <c r="J209">
        <f t="shared" si="3"/>
        <v>16.213687932750396</v>
      </c>
    </row>
    <row r="210" spans="1:10">
      <c r="A210">
        <v>209</v>
      </c>
      <c r="B210" t="s">
        <v>84</v>
      </c>
      <c r="C210" s="34">
        <v>44136</v>
      </c>
      <c r="D210" t="s">
        <v>85</v>
      </c>
      <c r="E210" t="s">
        <v>86</v>
      </c>
      <c r="F210" t="s">
        <v>87</v>
      </c>
      <c r="G210">
        <v>1.3301833430065401E-2</v>
      </c>
      <c r="H210" t="s">
        <v>123</v>
      </c>
      <c r="I210" t="s">
        <v>90</v>
      </c>
      <c r="J210">
        <f t="shared" si="3"/>
        <v>14.844666402256912</v>
      </c>
    </row>
    <row r="211" spans="1:10">
      <c r="A211">
        <v>210</v>
      </c>
      <c r="B211" t="s">
        <v>84</v>
      </c>
      <c r="C211" s="34">
        <v>44166</v>
      </c>
      <c r="D211" t="s">
        <v>85</v>
      </c>
      <c r="E211" t="s">
        <v>86</v>
      </c>
      <c r="F211" t="s">
        <v>87</v>
      </c>
      <c r="G211">
        <v>1.46304529661227E-2</v>
      </c>
      <c r="H211" t="s">
        <v>123</v>
      </c>
      <c r="I211" t="s">
        <v>90</v>
      </c>
      <c r="J211">
        <f t="shared" si="3"/>
        <v>16.210493089162348</v>
      </c>
    </row>
    <row r="212" spans="1:10">
      <c r="A212">
        <v>211</v>
      </c>
      <c r="B212" t="s">
        <v>84</v>
      </c>
      <c r="C212" s="34">
        <v>44197</v>
      </c>
      <c r="D212" t="s">
        <v>85</v>
      </c>
      <c r="E212" t="s">
        <v>86</v>
      </c>
      <c r="F212" t="s">
        <v>87</v>
      </c>
      <c r="G212">
        <v>1.2634043539191E-2</v>
      </c>
      <c r="H212" t="s">
        <v>123</v>
      </c>
      <c r="I212" t="s">
        <v>90</v>
      </c>
      <c r="J212">
        <f t="shared" si="3"/>
        <v>14.15049637592498</v>
      </c>
    </row>
    <row r="213" spans="1:10">
      <c r="A213">
        <v>212</v>
      </c>
      <c r="B213" t="s">
        <v>84</v>
      </c>
      <c r="C213" s="34">
        <v>44228</v>
      </c>
      <c r="D213" t="s">
        <v>85</v>
      </c>
      <c r="E213" t="s">
        <v>86</v>
      </c>
      <c r="F213" t="s">
        <v>87</v>
      </c>
      <c r="G213">
        <v>1.26326987440272E-2</v>
      </c>
      <c r="H213" t="s">
        <v>123</v>
      </c>
      <c r="I213" t="s">
        <v>90</v>
      </c>
      <c r="J213">
        <f t="shared" si="3"/>
        <v>14.149093238277333</v>
      </c>
    </row>
    <row r="214" spans="1:10">
      <c r="A214">
        <v>213</v>
      </c>
      <c r="B214" t="s">
        <v>84</v>
      </c>
      <c r="C214" s="34">
        <v>44256</v>
      </c>
      <c r="D214" t="s">
        <v>85</v>
      </c>
      <c r="E214" t="s">
        <v>86</v>
      </c>
      <c r="F214" t="s">
        <v>87</v>
      </c>
      <c r="G214">
        <v>1.5290589779154699E-2</v>
      </c>
      <c r="H214" t="s">
        <v>123</v>
      </c>
      <c r="I214" t="s">
        <v>90</v>
      </c>
      <c r="J214">
        <f t="shared" si="3"/>
        <v>16.88162222722832</v>
      </c>
    </row>
    <row r="215" spans="1:10">
      <c r="A215">
        <v>214</v>
      </c>
      <c r="B215" t="s">
        <v>84</v>
      </c>
      <c r="C215" s="34">
        <v>44287</v>
      </c>
      <c r="D215" t="s">
        <v>85</v>
      </c>
      <c r="E215" t="s">
        <v>86</v>
      </c>
      <c r="F215" t="s">
        <v>87</v>
      </c>
      <c r="G215">
        <v>1.39594931265718E-2</v>
      </c>
      <c r="H215" t="s">
        <v>123</v>
      </c>
      <c r="I215" t="s">
        <v>90</v>
      </c>
      <c r="J215">
        <f t="shared" si="3"/>
        <v>15.523273738407294</v>
      </c>
    </row>
    <row r="216" spans="1:10">
      <c r="A216">
        <v>215</v>
      </c>
      <c r="B216" t="s">
        <v>84</v>
      </c>
      <c r="C216" s="34">
        <v>44317</v>
      </c>
      <c r="D216" t="s">
        <v>85</v>
      </c>
      <c r="E216" t="s">
        <v>86</v>
      </c>
      <c r="F216" t="s">
        <v>87</v>
      </c>
      <c r="G216">
        <v>1.32933485843552E-2</v>
      </c>
      <c r="H216" t="s">
        <v>123</v>
      </c>
      <c r="I216" t="s">
        <v>90</v>
      </c>
      <c r="J216">
        <f t="shared" si="3"/>
        <v>14.835878741774067</v>
      </c>
    </row>
    <row r="217" spans="1:10">
      <c r="A217">
        <v>216</v>
      </c>
      <c r="B217" t="s">
        <v>84</v>
      </c>
      <c r="C217" s="34">
        <v>44348</v>
      </c>
      <c r="D217" t="s">
        <v>85</v>
      </c>
      <c r="E217" t="s">
        <v>86</v>
      </c>
      <c r="F217" t="s">
        <v>87</v>
      </c>
      <c r="G217">
        <v>1.4621139127830101E-2</v>
      </c>
      <c r="H217" t="s">
        <v>123</v>
      </c>
      <c r="I217" t="s">
        <v>90</v>
      </c>
      <c r="J217">
        <f t="shared" si="3"/>
        <v>16.200988726148868</v>
      </c>
    </row>
    <row r="218" spans="1:10">
      <c r="A218">
        <v>217</v>
      </c>
      <c r="B218" t="s">
        <v>84</v>
      </c>
      <c r="C218" s="34">
        <v>42186</v>
      </c>
      <c r="D218" t="s">
        <v>85</v>
      </c>
      <c r="E218" t="s">
        <v>86</v>
      </c>
      <c r="F218" t="s">
        <v>89</v>
      </c>
      <c r="G218">
        <v>1.8302618439273199E-4</v>
      </c>
      <c r="H218" t="s">
        <v>123</v>
      </c>
      <c r="I218" t="s">
        <v>90</v>
      </c>
      <c r="J218">
        <f t="shared" si="3"/>
        <v>0.21941046544478038</v>
      </c>
    </row>
    <row r="219" spans="1:10">
      <c r="A219">
        <v>218</v>
      </c>
      <c r="B219" t="s">
        <v>84</v>
      </c>
      <c r="C219" s="34">
        <v>42217</v>
      </c>
      <c r="D219" t="s">
        <v>85</v>
      </c>
      <c r="E219" t="s">
        <v>86</v>
      </c>
      <c r="F219" t="s">
        <v>89</v>
      </c>
      <c r="G219">
        <v>1.6901816916798301E-4</v>
      </c>
      <c r="H219" t="s">
        <v>123</v>
      </c>
      <c r="I219" t="s">
        <v>90</v>
      </c>
      <c r="J219">
        <f t="shared" si="3"/>
        <v>0.2026333660513191</v>
      </c>
    </row>
    <row r="220" spans="1:10">
      <c r="A220">
        <v>219</v>
      </c>
      <c r="B220" t="s">
        <v>84</v>
      </c>
      <c r="C220" s="34">
        <v>42248</v>
      </c>
      <c r="D220" t="s">
        <v>85</v>
      </c>
      <c r="E220" t="s">
        <v>86</v>
      </c>
      <c r="F220" t="s">
        <v>89</v>
      </c>
      <c r="G220">
        <v>2.2732014468340199E-4</v>
      </c>
      <c r="H220" t="s">
        <v>123</v>
      </c>
      <c r="I220" t="s">
        <v>90</v>
      </c>
      <c r="J220">
        <f t="shared" si="3"/>
        <v>0.27244338055614215</v>
      </c>
    </row>
    <row r="221" spans="1:10">
      <c r="A221">
        <v>220</v>
      </c>
      <c r="B221" t="s">
        <v>84</v>
      </c>
      <c r="C221" s="34">
        <v>42278</v>
      </c>
      <c r="D221" t="s">
        <v>85</v>
      </c>
      <c r="E221" t="s">
        <v>86</v>
      </c>
      <c r="F221" t="s">
        <v>89</v>
      </c>
      <c r="G221">
        <v>3.2390405351638899E-4</v>
      </c>
      <c r="H221" t="s">
        <v>123</v>
      </c>
      <c r="I221" t="s">
        <v>90</v>
      </c>
      <c r="J221">
        <f t="shared" si="3"/>
        <v>0.38799317996258686</v>
      </c>
    </row>
    <row r="222" spans="1:10">
      <c r="A222">
        <v>221</v>
      </c>
      <c r="B222" t="s">
        <v>84</v>
      </c>
      <c r="C222" s="34">
        <v>42309</v>
      </c>
      <c r="D222" t="s">
        <v>85</v>
      </c>
      <c r="E222" t="s">
        <v>86</v>
      </c>
      <c r="F222" t="s">
        <v>89</v>
      </c>
      <c r="G222">
        <v>3.66736489730935E-4</v>
      </c>
      <c r="H222" t="s">
        <v>123</v>
      </c>
      <c r="I222" t="s">
        <v>90</v>
      </c>
      <c r="J222">
        <f t="shared" si="3"/>
        <v>0.43919720061129652</v>
      </c>
    </row>
    <row r="223" spans="1:10">
      <c r="A223">
        <v>222</v>
      </c>
      <c r="B223" t="s">
        <v>84</v>
      </c>
      <c r="C223" s="34">
        <v>42339</v>
      </c>
      <c r="D223" t="s">
        <v>85</v>
      </c>
      <c r="E223" t="s">
        <v>86</v>
      </c>
      <c r="F223" t="s">
        <v>89</v>
      </c>
      <c r="G223">
        <v>4.6434384246618002E-4</v>
      </c>
      <c r="H223" t="s">
        <v>123</v>
      </c>
      <c r="I223" t="s">
        <v>90</v>
      </c>
      <c r="J223">
        <f t="shared" si="3"/>
        <v>0.5557917509442678</v>
      </c>
    </row>
    <row r="224" spans="1:10">
      <c r="A224">
        <v>223</v>
      </c>
      <c r="B224" t="s">
        <v>84</v>
      </c>
      <c r="C224" s="34">
        <v>42370</v>
      </c>
      <c r="D224" t="s">
        <v>85</v>
      </c>
      <c r="E224" t="s">
        <v>86</v>
      </c>
      <c r="F224" t="s">
        <v>89</v>
      </c>
      <c r="G224">
        <v>4.6690770602790998E-4</v>
      </c>
      <c r="H224" t="s">
        <v>123</v>
      </c>
      <c r="I224" t="s">
        <v>90</v>
      </c>
      <c r="J224">
        <f t="shared" si="3"/>
        <v>0.55885266568163061</v>
      </c>
    </row>
    <row r="225" spans="1:10">
      <c r="A225">
        <v>224</v>
      </c>
      <c r="B225" t="s">
        <v>84</v>
      </c>
      <c r="C225" s="34">
        <v>42401</v>
      </c>
      <c r="D225" t="s">
        <v>85</v>
      </c>
      <c r="E225" t="s">
        <v>86</v>
      </c>
      <c r="F225" t="s">
        <v>89</v>
      </c>
      <c r="G225">
        <v>5.5077214430854303E-4</v>
      </c>
      <c r="H225" t="s">
        <v>123</v>
      </c>
      <c r="I225" t="s">
        <v>90</v>
      </c>
      <c r="J225">
        <f t="shared" si="3"/>
        <v>0.6589281346040754</v>
      </c>
    </row>
    <row r="226" spans="1:10">
      <c r="A226">
        <v>225</v>
      </c>
      <c r="B226" t="s">
        <v>84</v>
      </c>
      <c r="C226" s="34">
        <v>42430</v>
      </c>
      <c r="D226" t="s">
        <v>85</v>
      </c>
      <c r="E226" t="s">
        <v>86</v>
      </c>
      <c r="F226" t="s">
        <v>89</v>
      </c>
      <c r="G226">
        <v>6.5702967472537101E-4</v>
      </c>
      <c r="H226" t="s">
        <v>123</v>
      </c>
      <c r="I226" t="s">
        <v>90</v>
      </c>
      <c r="J226">
        <f t="shared" si="3"/>
        <v>0.78559269959878053</v>
      </c>
    </row>
    <row r="227" spans="1:10">
      <c r="A227">
        <v>226</v>
      </c>
      <c r="B227" t="s">
        <v>84</v>
      </c>
      <c r="C227" s="34">
        <v>42461</v>
      </c>
      <c r="D227" t="s">
        <v>85</v>
      </c>
      <c r="E227" t="s">
        <v>86</v>
      </c>
      <c r="F227" t="s">
        <v>89</v>
      </c>
      <c r="G227">
        <v>6.6507155067293297E-4</v>
      </c>
      <c r="H227" t="s">
        <v>123</v>
      </c>
      <c r="I227" t="s">
        <v>90</v>
      </c>
      <c r="J227">
        <f t="shared" si="3"/>
        <v>0.79517300986804429</v>
      </c>
    </row>
    <row r="228" spans="1:10">
      <c r="A228">
        <v>227</v>
      </c>
      <c r="B228" t="s">
        <v>84</v>
      </c>
      <c r="C228" s="34">
        <v>42491</v>
      </c>
      <c r="D228" t="s">
        <v>85</v>
      </c>
      <c r="E228" t="s">
        <v>86</v>
      </c>
      <c r="F228" t="s">
        <v>89</v>
      </c>
      <c r="G228">
        <v>6.9503163489995903E-4</v>
      </c>
      <c r="H228" t="s">
        <v>123</v>
      </c>
      <c r="I228" t="s">
        <v>90</v>
      </c>
      <c r="J228">
        <f t="shared" si="3"/>
        <v>0.83085708157729643</v>
      </c>
    </row>
    <row r="229" spans="1:10">
      <c r="A229">
        <v>228</v>
      </c>
      <c r="B229" t="s">
        <v>84</v>
      </c>
      <c r="C229" s="34">
        <v>42522</v>
      </c>
      <c r="D229" t="s">
        <v>85</v>
      </c>
      <c r="E229" t="s">
        <v>86</v>
      </c>
      <c r="F229" t="s">
        <v>89</v>
      </c>
      <c r="G229">
        <v>7.5373015813660601E-4</v>
      </c>
      <c r="H229" t="s">
        <v>123</v>
      </c>
      <c r="I229" t="s">
        <v>90</v>
      </c>
      <c r="J229">
        <f t="shared" si="3"/>
        <v>0.9007360738307213</v>
      </c>
    </row>
    <row r="230" spans="1:10">
      <c r="A230">
        <v>229</v>
      </c>
      <c r="B230" t="s">
        <v>84</v>
      </c>
      <c r="C230" s="34">
        <v>42552</v>
      </c>
      <c r="D230" t="s">
        <v>85</v>
      </c>
      <c r="E230" t="s">
        <v>86</v>
      </c>
      <c r="F230" t="s">
        <v>89</v>
      </c>
      <c r="G230">
        <v>7.04893730513469E-4</v>
      </c>
      <c r="H230" t="s">
        <v>123</v>
      </c>
      <c r="I230" t="s">
        <v>90</v>
      </c>
      <c r="J230">
        <f t="shared" si="3"/>
        <v>0.84260079365073848</v>
      </c>
    </row>
    <row r="231" spans="1:10">
      <c r="A231">
        <v>230</v>
      </c>
      <c r="B231" t="s">
        <v>84</v>
      </c>
      <c r="C231" s="34">
        <v>42583</v>
      </c>
      <c r="D231" t="s">
        <v>85</v>
      </c>
      <c r="E231" t="s">
        <v>86</v>
      </c>
      <c r="F231" t="s">
        <v>89</v>
      </c>
      <c r="G231">
        <v>8.3046517973276997E-4</v>
      </c>
      <c r="H231" t="s">
        <v>123</v>
      </c>
      <c r="I231" t="s">
        <v>90</v>
      </c>
      <c r="J231">
        <f t="shared" si="3"/>
        <v>0.99201895470498735</v>
      </c>
    </row>
    <row r="232" spans="1:10">
      <c r="A232">
        <v>231</v>
      </c>
      <c r="B232" t="s">
        <v>84</v>
      </c>
      <c r="C232" s="34">
        <v>42614</v>
      </c>
      <c r="D232" t="s">
        <v>85</v>
      </c>
      <c r="E232" t="s">
        <v>86</v>
      </c>
      <c r="F232" t="s">
        <v>89</v>
      </c>
      <c r="G232">
        <v>7.7462999054751997E-4</v>
      </c>
      <c r="H232" t="s">
        <v>123</v>
      </c>
      <c r="I232" t="s">
        <v>90</v>
      </c>
      <c r="J232">
        <f t="shared" si="3"/>
        <v>0.92560585614477331</v>
      </c>
    </row>
    <row r="233" spans="1:10">
      <c r="A233">
        <v>232</v>
      </c>
      <c r="B233" t="s">
        <v>84</v>
      </c>
      <c r="C233" s="34">
        <v>42644</v>
      </c>
      <c r="D233" t="s">
        <v>85</v>
      </c>
      <c r="E233" t="s">
        <v>86</v>
      </c>
      <c r="F233" t="s">
        <v>89</v>
      </c>
      <c r="G233">
        <v>7.8982893107055801E-4</v>
      </c>
      <c r="H233" t="s">
        <v>123</v>
      </c>
      <c r="I233" t="s">
        <v>90</v>
      </c>
      <c r="J233">
        <f t="shared" si="3"/>
        <v>0.94368826157221752</v>
      </c>
    </row>
    <row r="234" spans="1:10">
      <c r="A234">
        <v>233</v>
      </c>
      <c r="B234" t="s">
        <v>84</v>
      </c>
      <c r="C234" s="34">
        <v>42675</v>
      </c>
      <c r="D234" t="s">
        <v>85</v>
      </c>
      <c r="E234" t="s">
        <v>86</v>
      </c>
      <c r="F234" t="s">
        <v>89</v>
      </c>
      <c r="G234">
        <v>8.0421717009693803E-4</v>
      </c>
      <c r="H234" t="s">
        <v>123</v>
      </c>
      <c r="I234" t="s">
        <v>90</v>
      </c>
      <c r="J234">
        <f t="shared" si="3"/>
        <v>0.96080337581667674</v>
      </c>
    </row>
    <row r="235" spans="1:10">
      <c r="A235">
        <v>234</v>
      </c>
      <c r="B235" t="s">
        <v>84</v>
      </c>
      <c r="C235" s="34">
        <v>42705</v>
      </c>
      <c r="D235" t="s">
        <v>85</v>
      </c>
      <c r="E235" t="s">
        <v>86</v>
      </c>
      <c r="F235" t="s">
        <v>89</v>
      </c>
      <c r="G235">
        <v>8.1804090010577303E-4</v>
      </c>
      <c r="H235" t="s">
        <v>123</v>
      </c>
      <c r="I235" t="s">
        <v>90</v>
      </c>
      <c r="J235">
        <f t="shared" si="3"/>
        <v>0.97724444131678245</v>
      </c>
    </row>
    <row r="236" spans="1:10">
      <c r="A236">
        <v>235</v>
      </c>
      <c r="B236" t="s">
        <v>84</v>
      </c>
      <c r="C236" s="34">
        <v>42736</v>
      </c>
      <c r="D236" t="s">
        <v>85</v>
      </c>
      <c r="E236" t="s">
        <v>86</v>
      </c>
      <c r="F236" t="s">
        <v>89</v>
      </c>
      <c r="G236">
        <v>7.91870352362882E-4</v>
      </c>
      <c r="H236" t="s">
        <v>123</v>
      </c>
      <c r="I236" t="s">
        <v>90</v>
      </c>
      <c r="J236">
        <f t="shared" si="3"/>
        <v>0.94611674035528504</v>
      </c>
    </row>
    <row r="237" spans="1:10">
      <c r="A237">
        <v>236</v>
      </c>
      <c r="B237" t="s">
        <v>84</v>
      </c>
      <c r="C237" s="34">
        <v>42767</v>
      </c>
      <c r="D237" t="s">
        <v>85</v>
      </c>
      <c r="E237" t="s">
        <v>86</v>
      </c>
      <c r="F237" t="s">
        <v>89</v>
      </c>
      <c r="G237">
        <v>7.6415730231472198E-4</v>
      </c>
      <c r="H237" t="s">
        <v>123</v>
      </c>
      <c r="I237" t="s">
        <v>90</v>
      </c>
      <c r="J237">
        <f t="shared" si="3"/>
        <v>0.91314458261750886</v>
      </c>
    </row>
    <row r="238" spans="1:10">
      <c r="A238">
        <v>237</v>
      </c>
      <c r="B238" t="s">
        <v>84</v>
      </c>
      <c r="C238" s="34">
        <v>42795</v>
      </c>
      <c r="D238" t="s">
        <v>85</v>
      </c>
      <c r="E238" t="s">
        <v>86</v>
      </c>
      <c r="F238" t="s">
        <v>89</v>
      </c>
      <c r="G238">
        <v>9.3917363725499103E-4</v>
      </c>
      <c r="H238" t="s">
        <v>123</v>
      </c>
      <c r="I238" t="s">
        <v>90</v>
      </c>
      <c r="J238">
        <f t="shared" si="3"/>
        <v>1.1212050399533546</v>
      </c>
    </row>
    <row r="239" spans="1:10">
      <c r="A239">
        <v>238</v>
      </c>
      <c r="B239" t="s">
        <v>84</v>
      </c>
      <c r="C239" s="34">
        <v>42826</v>
      </c>
      <c r="D239" t="s">
        <v>85</v>
      </c>
      <c r="E239" t="s">
        <v>86</v>
      </c>
      <c r="F239" t="s">
        <v>89</v>
      </c>
      <c r="G239">
        <v>7.8736573293040901E-4</v>
      </c>
      <c r="H239" t="s">
        <v>123</v>
      </c>
      <c r="I239" t="s">
        <v>90</v>
      </c>
      <c r="J239">
        <f t="shared" si="3"/>
        <v>0.94075796356556385</v>
      </c>
    </row>
    <row r="240" spans="1:10">
      <c r="A240">
        <v>239</v>
      </c>
      <c r="B240" t="s">
        <v>84</v>
      </c>
      <c r="C240" s="34">
        <v>42856</v>
      </c>
      <c r="D240" t="s">
        <v>85</v>
      </c>
      <c r="E240" t="s">
        <v>86</v>
      </c>
      <c r="F240" t="s">
        <v>89</v>
      </c>
      <c r="G240">
        <v>9.2488720853331399E-4</v>
      </c>
      <c r="H240" t="s">
        <v>123</v>
      </c>
      <c r="I240" t="s">
        <v>90</v>
      </c>
      <c r="J240">
        <f t="shared" si="3"/>
        <v>1.1042362717724408</v>
      </c>
    </row>
    <row r="241" spans="1:10">
      <c r="A241">
        <v>240</v>
      </c>
      <c r="B241" t="s">
        <v>84</v>
      </c>
      <c r="C241" s="34">
        <v>42887</v>
      </c>
      <c r="D241" t="s">
        <v>85</v>
      </c>
      <c r="E241" t="s">
        <v>86</v>
      </c>
      <c r="F241" t="s">
        <v>89</v>
      </c>
      <c r="G241">
        <v>9.3796414180831705E-4</v>
      </c>
      <c r="H241" t="s">
        <v>123</v>
      </c>
      <c r="I241" t="s">
        <v>90</v>
      </c>
      <c r="J241">
        <f t="shared" si="3"/>
        <v>1.1197685598659857</v>
      </c>
    </row>
    <row r="242" spans="1:10">
      <c r="A242">
        <v>241</v>
      </c>
      <c r="B242" t="s">
        <v>84</v>
      </c>
      <c r="C242" s="34">
        <v>42917</v>
      </c>
      <c r="D242" t="s">
        <v>85</v>
      </c>
      <c r="E242" t="s">
        <v>86</v>
      </c>
      <c r="F242" t="s">
        <v>89</v>
      </c>
      <c r="G242">
        <v>8.6448407600565598E-4</v>
      </c>
      <c r="H242" t="s">
        <v>123</v>
      </c>
      <c r="I242" t="s">
        <v>90</v>
      </c>
      <c r="J242">
        <f t="shared" si="3"/>
        <v>1.0324626809215087</v>
      </c>
    </row>
    <row r="243" spans="1:10">
      <c r="A243">
        <v>242</v>
      </c>
      <c r="B243" t="s">
        <v>84</v>
      </c>
      <c r="C243" s="34">
        <v>42948</v>
      </c>
      <c r="D243" t="s">
        <v>85</v>
      </c>
      <c r="E243" t="s">
        <v>86</v>
      </c>
      <c r="F243" t="s">
        <v>89</v>
      </c>
      <c r="G243">
        <v>1.0076115894435301E-3</v>
      </c>
      <c r="H243" t="s">
        <v>123</v>
      </c>
      <c r="I243" t="s">
        <v>90</v>
      </c>
      <c r="J243">
        <f t="shared" si="3"/>
        <v>1.2024555072282062</v>
      </c>
    </row>
    <row r="244" spans="1:10">
      <c r="A244">
        <v>243</v>
      </c>
      <c r="B244" t="s">
        <v>84</v>
      </c>
      <c r="C244" s="34">
        <v>42979</v>
      </c>
      <c r="D244" t="s">
        <v>85</v>
      </c>
      <c r="E244" t="s">
        <v>86</v>
      </c>
      <c r="F244" t="s">
        <v>89</v>
      </c>
      <c r="G244">
        <v>8.8780070819517796E-4</v>
      </c>
      <c r="H244" t="s">
        <v>123</v>
      </c>
      <c r="I244" t="s">
        <v>90</v>
      </c>
      <c r="J244">
        <f t="shared" si="3"/>
        <v>1.0601741591089175</v>
      </c>
    </row>
    <row r="245" spans="1:10">
      <c r="A245">
        <v>244</v>
      </c>
      <c r="B245" t="s">
        <v>84</v>
      </c>
      <c r="C245" s="34">
        <v>43009</v>
      </c>
      <c r="D245" t="s">
        <v>85</v>
      </c>
      <c r="E245" t="s">
        <v>86</v>
      </c>
      <c r="F245" t="s">
        <v>89</v>
      </c>
      <c r="G245">
        <v>9.8927112185062107E-4</v>
      </c>
      <c r="H245" t="s">
        <v>123</v>
      </c>
      <c r="I245" t="s">
        <v>90</v>
      </c>
      <c r="J245">
        <f t="shared" si="3"/>
        <v>1.1806874598234929</v>
      </c>
    </row>
    <row r="246" spans="1:10">
      <c r="A246">
        <v>245</v>
      </c>
      <c r="B246" t="s">
        <v>84</v>
      </c>
      <c r="C246" s="34">
        <v>43040</v>
      </c>
      <c r="D246" t="s">
        <v>85</v>
      </c>
      <c r="E246" t="s">
        <v>86</v>
      </c>
      <c r="F246" t="s">
        <v>89</v>
      </c>
      <c r="G246">
        <v>9.5183421305288299E-4</v>
      </c>
      <c r="H246" t="s">
        <v>123</v>
      </c>
      <c r="I246" t="s">
        <v>90</v>
      </c>
      <c r="J246">
        <f t="shared" si="3"/>
        <v>1.1362404635746448</v>
      </c>
    </row>
    <row r="247" spans="1:10">
      <c r="A247">
        <v>246</v>
      </c>
      <c r="B247" t="s">
        <v>84</v>
      </c>
      <c r="C247" s="34">
        <v>43070</v>
      </c>
      <c r="D247" t="s">
        <v>85</v>
      </c>
      <c r="E247" t="s">
        <v>86</v>
      </c>
      <c r="F247" t="s">
        <v>89</v>
      </c>
      <c r="G247">
        <v>8.86539066133479E-4</v>
      </c>
      <c r="H247" t="s">
        <v>123</v>
      </c>
      <c r="I247" t="s">
        <v>90</v>
      </c>
      <c r="J247">
        <f t="shared" si="3"/>
        <v>1.0586748979100835</v>
      </c>
    </row>
    <row r="248" spans="1:10">
      <c r="A248">
        <v>247</v>
      </c>
      <c r="B248" t="s">
        <v>84</v>
      </c>
      <c r="C248" s="34">
        <v>43101</v>
      </c>
      <c r="D248" t="s">
        <v>85</v>
      </c>
      <c r="E248" t="s">
        <v>86</v>
      </c>
      <c r="F248" t="s">
        <v>89</v>
      </c>
      <c r="G248">
        <v>9.2379707558829503E-4</v>
      </c>
      <c r="H248" t="s">
        <v>123</v>
      </c>
      <c r="I248" t="s">
        <v>90</v>
      </c>
      <c r="J248">
        <f t="shared" si="3"/>
        <v>1.1029413519918152</v>
      </c>
    </row>
    <row r="249" spans="1:10">
      <c r="A249">
        <v>248</v>
      </c>
      <c r="B249" t="s">
        <v>84</v>
      </c>
      <c r="C249" s="34">
        <v>43132</v>
      </c>
      <c r="D249" t="s">
        <v>85</v>
      </c>
      <c r="E249" t="s">
        <v>86</v>
      </c>
      <c r="F249" t="s">
        <v>89</v>
      </c>
      <c r="G249">
        <v>8.1801046753131096E-4</v>
      </c>
      <c r="H249" t="s">
        <v>123</v>
      </c>
      <c r="I249" t="s">
        <v>90</v>
      </c>
      <c r="J249">
        <f t="shared" si="3"/>
        <v>0.97720824949574236</v>
      </c>
    </row>
    <row r="250" spans="1:10">
      <c r="A250">
        <v>249</v>
      </c>
      <c r="B250" t="s">
        <v>84</v>
      </c>
      <c r="C250" s="34">
        <v>43160</v>
      </c>
      <c r="D250" t="s">
        <v>85</v>
      </c>
      <c r="E250" t="s">
        <v>86</v>
      </c>
      <c r="F250" t="s">
        <v>89</v>
      </c>
      <c r="G250">
        <v>8.7881251779142104E-4</v>
      </c>
      <c r="H250" t="s">
        <v>123</v>
      </c>
      <c r="I250" t="s">
        <v>90</v>
      </c>
      <c r="J250">
        <f t="shared" si="3"/>
        <v>1.0494926681259065</v>
      </c>
    </row>
    <row r="251" spans="1:10">
      <c r="A251">
        <v>250</v>
      </c>
      <c r="B251" t="s">
        <v>84</v>
      </c>
      <c r="C251" s="34">
        <v>43191</v>
      </c>
      <c r="D251" t="s">
        <v>85</v>
      </c>
      <c r="E251" t="s">
        <v>86</v>
      </c>
      <c r="F251" t="s">
        <v>89</v>
      </c>
      <c r="G251">
        <v>8.5511727849959401E-4</v>
      </c>
      <c r="H251" t="s">
        <v>123</v>
      </c>
      <c r="I251" t="s">
        <v>90</v>
      </c>
      <c r="J251">
        <f t="shared" si="3"/>
        <v>1.0213283753120361</v>
      </c>
    </row>
    <row r="252" spans="1:10">
      <c r="A252">
        <v>251</v>
      </c>
      <c r="B252" t="s">
        <v>84</v>
      </c>
      <c r="C252" s="34">
        <v>43221</v>
      </c>
      <c r="D252" t="s">
        <v>85</v>
      </c>
      <c r="E252" t="s">
        <v>86</v>
      </c>
      <c r="F252" t="s">
        <v>89</v>
      </c>
      <c r="G252">
        <v>8.7619991264644803E-4</v>
      </c>
      <c r="H252" t="s">
        <v>123</v>
      </c>
      <c r="I252" t="s">
        <v>90</v>
      </c>
      <c r="J252">
        <f t="shared" si="3"/>
        <v>1.0463876715449572</v>
      </c>
    </row>
    <row r="253" spans="1:10">
      <c r="A253">
        <v>252</v>
      </c>
      <c r="B253" t="s">
        <v>84</v>
      </c>
      <c r="C253" s="34">
        <v>43252</v>
      </c>
      <c r="D253" t="s">
        <v>85</v>
      </c>
      <c r="E253" t="s">
        <v>86</v>
      </c>
      <c r="F253" t="s">
        <v>89</v>
      </c>
      <c r="G253">
        <v>8.2324996743026705E-4</v>
      </c>
      <c r="H253" t="s">
        <v>123</v>
      </c>
      <c r="I253" t="s">
        <v>90</v>
      </c>
      <c r="J253">
        <f t="shared" si="3"/>
        <v>0.98343912574744285</v>
      </c>
    </row>
    <row r="254" spans="1:10">
      <c r="A254">
        <v>253</v>
      </c>
      <c r="B254" t="s">
        <v>84</v>
      </c>
      <c r="C254" s="34">
        <v>43282</v>
      </c>
      <c r="D254" t="s">
        <v>85</v>
      </c>
      <c r="E254" t="s">
        <v>86</v>
      </c>
      <c r="F254" t="s">
        <v>89</v>
      </c>
      <c r="G254">
        <v>8.1517422989420697E-4</v>
      </c>
      <c r="H254" t="s">
        <v>123</v>
      </c>
      <c r="I254" t="s">
        <v>90</v>
      </c>
      <c r="J254">
        <f t="shared" si="3"/>
        <v>0.97383521167203613</v>
      </c>
    </row>
    <row r="255" spans="1:10">
      <c r="A255">
        <v>254</v>
      </c>
      <c r="B255" t="s">
        <v>84</v>
      </c>
      <c r="C255" s="34">
        <v>43313</v>
      </c>
      <c r="D255" t="s">
        <v>85</v>
      </c>
      <c r="E255" t="s">
        <v>86</v>
      </c>
      <c r="F255" t="s">
        <v>89</v>
      </c>
      <c r="G255">
        <v>8.88425285299739E-4</v>
      </c>
      <c r="H255" t="s">
        <v>123</v>
      </c>
      <c r="I255" t="s">
        <v>90</v>
      </c>
      <c r="J255">
        <f t="shared" si="3"/>
        <v>1.0609163620871165</v>
      </c>
    </row>
    <row r="256" spans="1:10">
      <c r="A256">
        <v>255</v>
      </c>
      <c r="B256" t="s">
        <v>84</v>
      </c>
      <c r="C256" s="34">
        <v>43344</v>
      </c>
      <c r="D256" t="s">
        <v>85</v>
      </c>
      <c r="E256" t="s">
        <v>86</v>
      </c>
      <c r="F256" t="s">
        <v>89</v>
      </c>
      <c r="G256">
        <v>7.3309654864423804E-4</v>
      </c>
      <c r="H256" t="s">
        <v>123</v>
      </c>
      <c r="I256" t="s">
        <v>90</v>
      </c>
      <c r="J256">
        <f t="shared" si="3"/>
        <v>0.87617747021173642</v>
      </c>
    </row>
    <row r="257" spans="1:10">
      <c r="A257">
        <v>256</v>
      </c>
      <c r="B257" t="s">
        <v>84</v>
      </c>
      <c r="C257" s="34">
        <v>43374</v>
      </c>
      <c r="D257" t="s">
        <v>85</v>
      </c>
      <c r="E257" t="s">
        <v>86</v>
      </c>
      <c r="F257" t="s">
        <v>89</v>
      </c>
      <c r="G257">
        <v>8.8892647990893698E-4</v>
      </c>
      <c r="H257" t="s">
        <v>123</v>
      </c>
      <c r="I257" t="s">
        <v>90</v>
      </c>
      <c r="J257">
        <f t="shared" si="3"/>
        <v>1.06151194239823</v>
      </c>
    </row>
    <row r="258" spans="1:10">
      <c r="A258">
        <v>257</v>
      </c>
      <c r="B258" t="s">
        <v>84</v>
      </c>
      <c r="C258" s="34">
        <v>43405</v>
      </c>
      <c r="D258" t="s">
        <v>85</v>
      </c>
      <c r="E258" t="s">
        <v>86</v>
      </c>
      <c r="F258" t="s">
        <v>89</v>
      </c>
      <c r="G258">
        <v>8.1461592190483305E-4</v>
      </c>
      <c r="H258" t="s">
        <v>123</v>
      </c>
      <c r="I258" t="s">
        <v>90</v>
      </c>
      <c r="J258">
        <f t="shared" si="3"/>
        <v>0.97317122317931437</v>
      </c>
    </row>
    <row r="259" spans="1:10">
      <c r="A259">
        <v>258</v>
      </c>
      <c r="B259" t="s">
        <v>84</v>
      </c>
      <c r="C259" s="34">
        <v>43435</v>
      </c>
      <c r="D259" t="s">
        <v>85</v>
      </c>
      <c r="E259" t="s">
        <v>86</v>
      </c>
      <c r="F259" t="s">
        <v>89</v>
      </c>
      <c r="G259">
        <v>7.7975569814170496E-4</v>
      </c>
      <c r="H259" t="s">
        <v>123</v>
      </c>
      <c r="I259" t="s">
        <v>90</v>
      </c>
      <c r="J259">
        <f t="shared" ref="J259:J322" si="4">100*(1-(1-G259)^12)</f>
        <v>0.93170432476866738</v>
      </c>
    </row>
    <row r="260" spans="1:10">
      <c r="A260">
        <v>259</v>
      </c>
      <c r="B260" t="s">
        <v>84</v>
      </c>
      <c r="C260" s="34">
        <v>43466</v>
      </c>
      <c r="D260" t="s">
        <v>85</v>
      </c>
      <c r="E260" t="s">
        <v>86</v>
      </c>
      <c r="F260" t="s">
        <v>89</v>
      </c>
      <c r="G260">
        <v>8.2366014159918901E-4</v>
      </c>
      <c r="H260" t="s">
        <v>123</v>
      </c>
      <c r="I260" t="s">
        <v>90</v>
      </c>
      <c r="J260">
        <f t="shared" si="4"/>
        <v>0.98392689462954985</v>
      </c>
    </row>
    <row r="261" spans="1:10">
      <c r="A261">
        <v>260</v>
      </c>
      <c r="B261" t="s">
        <v>84</v>
      </c>
      <c r="C261" s="34">
        <v>43497</v>
      </c>
      <c r="D261" t="s">
        <v>85</v>
      </c>
      <c r="E261" t="s">
        <v>86</v>
      </c>
      <c r="F261" t="s">
        <v>89</v>
      </c>
      <c r="G261">
        <v>7.5015220821644595E-4</v>
      </c>
      <c r="H261" t="s">
        <v>123</v>
      </c>
      <c r="I261" t="s">
        <v>90</v>
      </c>
      <c r="J261">
        <f t="shared" si="4"/>
        <v>0.89647791409127597</v>
      </c>
    </row>
    <row r="262" spans="1:10">
      <c r="A262">
        <v>261</v>
      </c>
      <c r="B262" t="s">
        <v>84</v>
      </c>
      <c r="C262" s="34">
        <v>43525</v>
      </c>
      <c r="D262" t="s">
        <v>85</v>
      </c>
      <c r="E262" t="s">
        <v>86</v>
      </c>
      <c r="F262" t="s">
        <v>89</v>
      </c>
      <c r="G262">
        <v>8.34933648578674E-4</v>
      </c>
      <c r="H262" t="s">
        <v>123</v>
      </c>
      <c r="I262" t="s">
        <v>90</v>
      </c>
      <c r="J262">
        <f t="shared" si="4"/>
        <v>0.99733220553764879</v>
      </c>
    </row>
    <row r="263" spans="1:10">
      <c r="A263">
        <v>262</v>
      </c>
      <c r="B263" t="s">
        <v>84</v>
      </c>
      <c r="C263" s="34">
        <v>43556</v>
      </c>
      <c r="D263" t="s">
        <v>85</v>
      </c>
      <c r="E263" t="s">
        <v>86</v>
      </c>
      <c r="F263" t="s">
        <v>89</v>
      </c>
      <c r="G263">
        <v>8.4099134411653E-4</v>
      </c>
      <c r="H263" t="s">
        <v>123</v>
      </c>
      <c r="I263" t="s">
        <v>90</v>
      </c>
      <c r="J263">
        <f t="shared" si="4"/>
        <v>1.0045347154111761</v>
      </c>
    </row>
    <row r="264" spans="1:10">
      <c r="A264">
        <v>263</v>
      </c>
      <c r="B264" t="s">
        <v>84</v>
      </c>
      <c r="C264" s="34">
        <v>43586</v>
      </c>
      <c r="D264" t="s">
        <v>85</v>
      </c>
      <c r="E264" t="s">
        <v>86</v>
      </c>
      <c r="F264" t="s">
        <v>89</v>
      </c>
      <c r="G264">
        <v>8.8754646577250099E-4</v>
      </c>
      <c r="H264" t="s">
        <v>123</v>
      </c>
      <c r="I264" t="s">
        <v>90</v>
      </c>
      <c r="J264">
        <f t="shared" si="4"/>
        <v>1.0598720340473933</v>
      </c>
    </row>
    <row r="265" spans="1:10">
      <c r="A265">
        <v>264</v>
      </c>
      <c r="B265" t="s">
        <v>84</v>
      </c>
      <c r="C265" s="34">
        <v>43617</v>
      </c>
      <c r="D265" t="s">
        <v>85</v>
      </c>
      <c r="E265" t="s">
        <v>86</v>
      </c>
      <c r="F265" t="s">
        <v>89</v>
      </c>
      <c r="G265">
        <v>8.1286774384090705E-4</v>
      </c>
      <c r="H265" t="s">
        <v>123</v>
      </c>
      <c r="I265" t="s">
        <v>90</v>
      </c>
      <c r="J265">
        <f t="shared" si="4"/>
        <v>0.97109211115338212</v>
      </c>
    </row>
    <row r="266" spans="1:10">
      <c r="A266">
        <v>265</v>
      </c>
      <c r="B266" t="s">
        <v>84</v>
      </c>
      <c r="C266" s="34">
        <v>43647</v>
      </c>
      <c r="D266" t="s">
        <v>85</v>
      </c>
      <c r="E266" t="s">
        <v>86</v>
      </c>
      <c r="F266" t="s">
        <v>89</v>
      </c>
      <c r="G266">
        <v>9.0082034358896401E-4</v>
      </c>
      <c r="H266" t="s">
        <v>123</v>
      </c>
      <c r="I266" t="s">
        <v>90</v>
      </c>
      <c r="J266">
        <f t="shared" si="4"/>
        <v>1.0756447115302881</v>
      </c>
    </row>
    <row r="267" spans="1:10">
      <c r="A267">
        <v>266</v>
      </c>
      <c r="B267" t="s">
        <v>84</v>
      </c>
      <c r="C267" s="34">
        <v>43678</v>
      </c>
      <c r="D267" t="s">
        <v>85</v>
      </c>
      <c r="E267" t="s">
        <v>86</v>
      </c>
      <c r="F267" t="s">
        <v>89</v>
      </c>
      <c r="G267">
        <v>9.0751490292228501E-4</v>
      </c>
      <c r="H267" t="s">
        <v>123</v>
      </c>
      <c r="I267" t="s">
        <v>90</v>
      </c>
      <c r="J267">
        <f t="shared" si="4"/>
        <v>1.0835986433171407</v>
      </c>
    </row>
    <row r="268" spans="1:10">
      <c r="A268">
        <v>267</v>
      </c>
      <c r="B268" t="s">
        <v>84</v>
      </c>
      <c r="C268" s="34">
        <v>43709</v>
      </c>
      <c r="D268" t="s">
        <v>85</v>
      </c>
      <c r="E268" t="s">
        <v>86</v>
      </c>
      <c r="F268" t="s">
        <v>89</v>
      </c>
      <c r="G268">
        <v>8.3110758684396403E-4</v>
      </c>
      <c r="H268" t="s">
        <v>123</v>
      </c>
      <c r="I268" t="s">
        <v>90</v>
      </c>
      <c r="J268">
        <f t="shared" si="4"/>
        <v>0.99278282754902136</v>
      </c>
    </row>
    <row r="269" spans="1:10">
      <c r="A269">
        <v>268</v>
      </c>
      <c r="B269" t="s">
        <v>84</v>
      </c>
      <c r="C269" s="34">
        <v>43739</v>
      </c>
      <c r="D269" t="s">
        <v>85</v>
      </c>
      <c r="E269" t="s">
        <v>86</v>
      </c>
      <c r="F269" t="s">
        <v>89</v>
      </c>
      <c r="G269">
        <v>9.6277700907480303E-4</v>
      </c>
      <c r="H269" t="s">
        <v>123</v>
      </c>
      <c r="I269" t="s">
        <v>90</v>
      </c>
      <c r="J269">
        <f t="shared" si="4"/>
        <v>1.1492342008615264</v>
      </c>
    </row>
    <row r="270" spans="1:10">
      <c r="A270">
        <v>269</v>
      </c>
      <c r="B270" t="s">
        <v>84</v>
      </c>
      <c r="C270" s="34">
        <v>43770</v>
      </c>
      <c r="D270" t="s">
        <v>85</v>
      </c>
      <c r="E270" t="s">
        <v>86</v>
      </c>
      <c r="F270" t="s">
        <v>89</v>
      </c>
      <c r="G270">
        <v>8.4327462528219796E-4</v>
      </c>
      <c r="H270" t="s">
        <v>123</v>
      </c>
      <c r="I270" t="s">
        <v>90</v>
      </c>
      <c r="J270">
        <f t="shared" si="4"/>
        <v>1.0072493781044023</v>
      </c>
    </row>
    <row r="271" spans="1:10">
      <c r="A271">
        <v>270</v>
      </c>
      <c r="B271" t="s">
        <v>84</v>
      </c>
      <c r="C271" s="34">
        <v>43800</v>
      </c>
      <c r="D271" t="s">
        <v>85</v>
      </c>
      <c r="E271" t="s">
        <v>86</v>
      </c>
      <c r="F271" t="s">
        <v>89</v>
      </c>
      <c r="G271">
        <v>8.9180028724298005E-4</v>
      </c>
      <c r="H271" t="s">
        <v>123</v>
      </c>
      <c r="I271" t="s">
        <v>90</v>
      </c>
      <c r="J271">
        <f t="shared" si="4"/>
        <v>1.0649268858864303</v>
      </c>
    </row>
    <row r="272" spans="1:10">
      <c r="A272">
        <v>271</v>
      </c>
      <c r="B272" t="s">
        <v>84</v>
      </c>
      <c r="C272" s="34">
        <v>43831</v>
      </c>
      <c r="D272" t="s">
        <v>85</v>
      </c>
      <c r="E272" t="s">
        <v>86</v>
      </c>
      <c r="F272" t="s">
        <v>89</v>
      </c>
      <c r="G272">
        <v>8.9813906210377498E-4</v>
      </c>
      <c r="H272" t="s">
        <v>123</v>
      </c>
      <c r="I272" t="s">
        <v>90</v>
      </c>
      <c r="J272">
        <f t="shared" si="4"/>
        <v>1.0724588661672363</v>
      </c>
    </row>
    <row r="273" spans="1:10">
      <c r="A273">
        <v>272</v>
      </c>
      <c r="B273" t="s">
        <v>84</v>
      </c>
      <c r="C273" s="34">
        <v>43862</v>
      </c>
      <c r="D273" t="s">
        <v>85</v>
      </c>
      <c r="E273" t="s">
        <v>86</v>
      </c>
      <c r="F273" t="s">
        <v>89</v>
      </c>
      <c r="G273">
        <v>8.1831372359044395E-4</v>
      </c>
      <c r="H273" t="s">
        <v>123</v>
      </c>
      <c r="I273" t="s">
        <v>90</v>
      </c>
      <c r="J273">
        <f t="shared" si="4"/>
        <v>0.97756889504512223</v>
      </c>
    </row>
    <row r="274" spans="1:10">
      <c r="A274">
        <v>273</v>
      </c>
      <c r="B274" t="s">
        <v>84</v>
      </c>
      <c r="C274" s="34">
        <v>43891</v>
      </c>
      <c r="D274" t="s">
        <v>85</v>
      </c>
      <c r="E274" t="s">
        <v>86</v>
      </c>
      <c r="F274" t="s">
        <v>89</v>
      </c>
      <c r="G274">
        <v>9.5410581498430304E-4</v>
      </c>
      <c r="H274" t="s">
        <v>123</v>
      </c>
      <c r="I274" t="s">
        <v>90</v>
      </c>
      <c r="J274">
        <f t="shared" si="4"/>
        <v>1.138937946714691</v>
      </c>
    </row>
    <row r="275" spans="1:10">
      <c r="A275">
        <v>274</v>
      </c>
      <c r="B275" t="s">
        <v>84</v>
      </c>
      <c r="C275" s="34">
        <v>43922</v>
      </c>
      <c r="D275" t="s">
        <v>85</v>
      </c>
      <c r="E275" t="s">
        <v>86</v>
      </c>
      <c r="F275" t="s">
        <v>89</v>
      </c>
      <c r="G275">
        <v>9.1699399503809105E-4</v>
      </c>
      <c r="H275" t="s">
        <v>123</v>
      </c>
      <c r="I275" t="s">
        <v>90</v>
      </c>
      <c r="J275">
        <f t="shared" si="4"/>
        <v>1.0948599281443983</v>
      </c>
    </row>
    <row r="276" spans="1:10">
      <c r="A276">
        <v>275</v>
      </c>
      <c r="B276" t="s">
        <v>84</v>
      </c>
      <c r="C276" s="34">
        <v>43952</v>
      </c>
      <c r="D276" t="s">
        <v>85</v>
      </c>
      <c r="E276" t="s">
        <v>86</v>
      </c>
      <c r="F276" t="s">
        <v>89</v>
      </c>
      <c r="G276">
        <v>8.7925825662344499E-4</v>
      </c>
      <c r="H276" t="s">
        <v>123</v>
      </c>
      <c r="I276" t="s">
        <v>90</v>
      </c>
      <c r="J276">
        <f t="shared" si="4"/>
        <v>1.0500224053698104</v>
      </c>
    </row>
    <row r="277" spans="1:10">
      <c r="A277">
        <v>276</v>
      </c>
      <c r="B277" t="s">
        <v>84</v>
      </c>
      <c r="C277" s="34">
        <v>43983</v>
      </c>
      <c r="D277" t="s">
        <v>85</v>
      </c>
      <c r="E277" t="s">
        <v>86</v>
      </c>
      <c r="F277" t="s">
        <v>89</v>
      </c>
      <c r="G277">
        <v>9.7367648347242402E-4</v>
      </c>
      <c r="H277" t="s">
        <v>123</v>
      </c>
      <c r="I277" t="s">
        <v>90</v>
      </c>
      <c r="J277">
        <f t="shared" si="4"/>
        <v>1.1621749408223914</v>
      </c>
    </row>
    <row r="278" spans="1:10">
      <c r="A278">
        <v>277</v>
      </c>
      <c r="B278" t="s">
        <v>84</v>
      </c>
      <c r="C278" s="34">
        <v>44013</v>
      </c>
      <c r="D278" t="s">
        <v>85</v>
      </c>
      <c r="E278" t="s">
        <v>86</v>
      </c>
      <c r="F278" t="s">
        <v>89</v>
      </c>
      <c r="G278">
        <v>9.8013733440195194E-4</v>
      </c>
      <c r="H278" t="s">
        <v>123</v>
      </c>
      <c r="I278" t="s">
        <v>90</v>
      </c>
      <c r="J278">
        <f t="shared" si="4"/>
        <v>1.1698450539191163</v>
      </c>
    </row>
    <row r="279" spans="1:10">
      <c r="A279">
        <v>278</v>
      </c>
      <c r="B279" t="s">
        <v>84</v>
      </c>
      <c r="C279" s="34">
        <v>44044</v>
      </c>
      <c r="D279" t="s">
        <v>85</v>
      </c>
      <c r="E279" t="s">
        <v>86</v>
      </c>
      <c r="F279" t="s">
        <v>89</v>
      </c>
      <c r="G279">
        <v>9.4172259731048404E-4</v>
      </c>
      <c r="H279" t="s">
        <v>123</v>
      </c>
      <c r="I279" t="s">
        <v>90</v>
      </c>
      <c r="J279">
        <f t="shared" si="4"/>
        <v>1.1242322978181507</v>
      </c>
    </row>
    <row r="280" spans="1:10">
      <c r="A280">
        <v>279</v>
      </c>
      <c r="B280" t="s">
        <v>84</v>
      </c>
      <c r="C280" s="34">
        <v>44075</v>
      </c>
      <c r="D280" t="s">
        <v>85</v>
      </c>
      <c r="E280" t="s">
        <v>86</v>
      </c>
      <c r="F280" t="s">
        <v>89</v>
      </c>
      <c r="G280">
        <v>9.4782933250652001E-4</v>
      </c>
      <c r="H280" t="s">
        <v>123</v>
      </c>
      <c r="I280" t="s">
        <v>90</v>
      </c>
      <c r="J280">
        <f t="shared" si="4"/>
        <v>1.131484581439357</v>
      </c>
    </row>
    <row r="281" spans="1:10">
      <c r="A281">
        <v>280</v>
      </c>
      <c r="B281" t="s">
        <v>84</v>
      </c>
      <c r="C281" s="34">
        <v>44105</v>
      </c>
      <c r="D281" t="s">
        <v>85</v>
      </c>
      <c r="E281" t="s">
        <v>86</v>
      </c>
      <c r="F281" t="s">
        <v>89</v>
      </c>
      <c r="G281">
        <v>9.9932998618711502E-4</v>
      </c>
      <c r="H281" t="s">
        <v>123</v>
      </c>
      <c r="I281" t="s">
        <v>90</v>
      </c>
      <c r="J281">
        <f t="shared" si="4"/>
        <v>1.1926267311641148</v>
      </c>
    </row>
    <row r="282" spans="1:10">
      <c r="A282">
        <v>281</v>
      </c>
      <c r="B282" t="s">
        <v>84</v>
      </c>
      <c r="C282" s="34">
        <v>44136</v>
      </c>
      <c r="D282" t="s">
        <v>85</v>
      </c>
      <c r="E282" t="s">
        <v>86</v>
      </c>
      <c r="F282" t="s">
        <v>89</v>
      </c>
      <c r="G282">
        <v>9.1424036391730501E-4</v>
      </c>
      <c r="H282" t="s">
        <v>123</v>
      </c>
      <c r="I282" t="s">
        <v>90</v>
      </c>
      <c r="J282">
        <f t="shared" si="4"/>
        <v>1.0915886996446744</v>
      </c>
    </row>
    <row r="283" spans="1:10">
      <c r="A283">
        <v>282</v>
      </c>
      <c r="B283" t="s">
        <v>84</v>
      </c>
      <c r="C283" s="34">
        <v>44166</v>
      </c>
      <c r="D283" t="s">
        <v>85</v>
      </c>
      <c r="E283" t="s">
        <v>86</v>
      </c>
      <c r="F283" t="s">
        <v>89</v>
      </c>
      <c r="G283">
        <v>1.01196743342269E-3</v>
      </c>
      <c r="H283" t="s">
        <v>123</v>
      </c>
      <c r="I283" t="s">
        <v>90</v>
      </c>
      <c r="J283">
        <f t="shared" si="4"/>
        <v>1.2076247522498917</v>
      </c>
    </row>
    <row r="284" spans="1:10">
      <c r="A284">
        <v>283</v>
      </c>
      <c r="B284" t="s">
        <v>84</v>
      </c>
      <c r="C284" s="34">
        <v>44197</v>
      </c>
      <c r="D284" t="s">
        <v>85</v>
      </c>
      <c r="E284" t="s">
        <v>86</v>
      </c>
      <c r="F284" t="s">
        <v>89</v>
      </c>
      <c r="G284">
        <v>8.7938842892600598E-4</v>
      </c>
      <c r="H284" t="s">
        <v>123</v>
      </c>
      <c r="I284" t="s">
        <v>90</v>
      </c>
      <c r="J284">
        <f t="shared" si="4"/>
        <v>1.0501771078394451</v>
      </c>
    </row>
    <row r="285" spans="1:10">
      <c r="A285">
        <v>284</v>
      </c>
      <c r="B285" t="s">
        <v>84</v>
      </c>
      <c r="C285" s="34">
        <v>44228</v>
      </c>
      <c r="D285" t="s">
        <v>85</v>
      </c>
      <c r="E285" t="s">
        <v>86</v>
      </c>
      <c r="F285" t="s">
        <v>89</v>
      </c>
      <c r="G285">
        <v>8.8477814842850995E-4</v>
      </c>
      <c r="H285" t="s">
        <v>123</v>
      </c>
      <c r="I285" t="s">
        <v>90</v>
      </c>
      <c r="J285">
        <f t="shared" si="4"/>
        <v>1.0565822920928669</v>
      </c>
    </row>
    <row r="286" spans="1:10">
      <c r="A286">
        <v>285</v>
      </c>
      <c r="B286" t="s">
        <v>84</v>
      </c>
      <c r="C286" s="34">
        <v>44256</v>
      </c>
      <c r="D286" t="s">
        <v>85</v>
      </c>
      <c r="E286" t="s">
        <v>86</v>
      </c>
      <c r="F286" t="s">
        <v>89</v>
      </c>
      <c r="G286">
        <v>1.0775393217972999E-3</v>
      </c>
      <c r="H286" t="s">
        <v>123</v>
      </c>
      <c r="I286" t="s">
        <v>90</v>
      </c>
      <c r="J286">
        <f t="shared" si="4"/>
        <v>1.2854114436713804</v>
      </c>
    </row>
    <row r="287" spans="1:10">
      <c r="A287">
        <v>286</v>
      </c>
      <c r="B287" t="s">
        <v>84</v>
      </c>
      <c r="C287" s="34">
        <v>44287</v>
      </c>
      <c r="D287" t="s">
        <v>85</v>
      </c>
      <c r="E287" t="s">
        <v>86</v>
      </c>
      <c r="F287" t="s">
        <v>89</v>
      </c>
      <c r="G287">
        <v>9.8973847824312109E-4</v>
      </c>
      <c r="H287" t="s">
        <v>123</v>
      </c>
      <c r="I287" t="s">
        <v>90</v>
      </c>
      <c r="J287">
        <f t="shared" si="4"/>
        <v>1.1812422132480349</v>
      </c>
    </row>
    <row r="288" spans="1:10">
      <c r="A288">
        <v>287</v>
      </c>
      <c r="B288" t="s">
        <v>84</v>
      </c>
      <c r="C288" s="34">
        <v>44317</v>
      </c>
      <c r="D288" t="s">
        <v>85</v>
      </c>
      <c r="E288" t="s">
        <v>86</v>
      </c>
      <c r="F288" t="s">
        <v>89</v>
      </c>
      <c r="G288">
        <v>9.4819766035687705E-4</v>
      </c>
      <c r="H288" t="s">
        <v>123</v>
      </c>
      <c r="I288" t="s">
        <v>90</v>
      </c>
      <c r="J288">
        <f t="shared" si="4"/>
        <v>1.1319219874726949</v>
      </c>
    </row>
    <row r="289" spans="1:10">
      <c r="A289">
        <v>288</v>
      </c>
      <c r="B289" t="s">
        <v>84</v>
      </c>
      <c r="C289" s="34">
        <v>44348</v>
      </c>
      <c r="D289" t="s">
        <v>85</v>
      </c>
      <c r="E289" t="s">
        <v>86</v>
      </c>
      <c r="F289" t="s">
        <v>89</v>
      </c>
      <c r="G289">
        <v>1.0491355982992E-3</v>
      </c>
      <c r="H289" t="s">
        <v>123</v>
      </c>
      <c r="I289" t="s">
        <v>90</v>
      </c>
      <c r="J289">
        <f t="shared" si="4"/>
        <v>1.2517235386696024</v>
      </c>
    </row>
    <row r="290" spans="1:10">
      <c r="A290">
        <v>289</v>
      </c>
      <c r="B290" t="s">
        <v>84</v>
      </c>
      <c r="C290" s="34">
        <v>42186</v>
      </c>
      <c r="D290" t="s">
        <v>85</v>
      </c>
      <c r="E290" t="s">
        <v>86</v>
      </c>
      <c r="F290" t="s">
        <v>87</v>
      </c>
      <c r="G290">
        <v>1.7857528692242101E-2</v>
      </c>
      <c r="H290" t="s">
        <v>123</v>
      </c>
      <c r="I290" t="s">
        <v>91</v>
      </c>
      <c r="J290">
        <f t="shared" si="4"/>
        <v>19.444740225117808</v>
      </c>
    </row>
    <row r="291" spans="1:10">
      <c r="A291">
        <v>290</v>
      </c>
      <c r="B291" t="s">
        <v>84</v>
      </c>
      <c r="C291" s="34">
        <v>42217</v>
      </c>
      <c r="D291" t="s">
        <v>85</v>
      </c>
      <c r="E291" t="s">
        <v>86</v>
      </c>
      <c r="F291" t="s">
        <v>87</v>
      </c>
      <c r="G291">
        <v>1.7079829794308801E-2</v>
      </c>
      <c r="H291" t="s">
        <v>123</v>
      </c>
      <c r="I291" t="s">
        <v>91</v>
      </c>
      <c r="J291">
        <f t="shared" si="4"/>
        <v>18.675956084518162</v>
      </c>
    </row>
    <row r="292" spans="1:10">
      <c r="A292">
        <v>291</v>
      </c>
      <c r="B292" t="s">
        <v>84</v>
      </c>
      <c r="C292" s="34">
        <v>42248</v>
      </c>
      <c r="D292" t="s">
        <v>85</v>
      </c>
      <c r="E292" t="s">
        <v>86</v>
      </c>
      <c r="F292" t="s">
        <v>87</v>
      </c>
      <c r="G292">
        <v>1.71103744051057E-2</v>
      </c>
      <c r="H292" t="s">
        <v>123</v>
      </c>
      <c r="I292" t="s">
        <v>91</v>
      </c>
      <c r="J292">
        <f t="shared" si="4"/>
        <v>18.706277001745143</v>
      </c>
    </row>
    <row r="293" spans="1:10">
      <c r="A293">
        <v>292</v>
      </c>
      <c r="B293" t="s">
        <v>84</v>
      </c>
      <c r="C293" s="34">
        <v>42278</v>
      </c>
      <c r="D293" t="s">
        <v>85</v>
      </c>
      <c r="E293" t="s">
        <v>86</v>
      </c>
      <c r="F293" t="s">
        <v>87</v>
      </c>
      <c r="G293">
        <v>1.7957652725159499E-2</v>
      </c>
      <c r="H293" t="s">
        <v>123</v>
      </c>
      <c r="I293" t="s">
        <v>91</v>
      </c>
      <c r="J293">
        <f t="shared" si="4"/>
        <v>19.543230987419669</v>
      </c>
    </row>
    <row r="294" spans="1:10">
      <c r="A294">
        <v>293</v>
      </c>
      <c r="B294" t="s">
        <v>84</v>
      </c>
      <c r="C294" s="34">
        <v>42309</v>
      </c>
      <c r="D294" t="s">
        <v>85</v>
      </c>
      <c r="E294" t="s">
        <v>86</v>
      </c>
      <c r="F294" t="s">
        <v>87</v>
      </c>
      <c r="G294">
        <v>1.5116949872887401E-2</v>
      </c>
      <c r="H294" t="s">
        <v>123</v>
      </c>
      <c r="I294" t="s">
        <v>91</v>
      </c>
      <c r="J294">
        <f t="shared" si="4"/>
        <v>16.705570211292265</v>
      </c>
    </row>
    <row r="295" spans="1:10">
      <c r="A295">
        <v>294</v>
      </c>
      <c r="B295" t="s">
        <v>84</v>
      </c>
      <c r="C295" s="34">
        <v>42339</v>
      </c>
      <c r="D295" t="s">
        <v>85</v>
      </c>
      <c r="E295" t="s">
        <v>86</v>
      </c>
      <c r="F295" t="s">
        <v>87</v>
      </c>
      <c r="G295">
        <v>1.6663536154953099E-2</v>
      </c>
      <c r="H295" t="s">
        <v>123</v>
      </c>
      <c r="I295" t="s">
        <v>91</v>
      </c>
      <c r="J295">
        <f t="shared" si="4"/>
        <v>18.26167640078048</v>
      </c>
    </row>
    <row r="296" spans="1:10">
      <c r="A296">
        <v>295</v>
      </c>
      <c r="B296" t="s">
        <v>84</v>
      </c>
      <c r="C296" s="34">
        <v>42370</v>
      </c>
      <c r="D296" t="s">
        <v>85</v>
      </c>
      <c r="E296" t="s">
        <v>86</v>
      </c>
      <c r="F296" t="s">
        <v>87</v>
      </c>
      <c r="G296">
        <v>1.44226713518479E-2</v>
      </c>
      <c r="H296" t="s">
        <v>123</v>
      </c>
      <c r="I296" t="s">
        <v>91</v>
      </c>
      <c r="J296">
        <f t="shared" si="4"/>
        <v>15.998226030136365</v>
      </c>
    </row>
    <row r="297" spans="1:10">
      <c r="A297">
        <v>296</v>
      </c>
      <c r="B297" t="s">
        <v>84</v>
      </c>
      <c r="C297" s="34">
        <v>42401</v>
      </c>
      <c r="D297" t="s">
        <v>85</v>
      </c>
      <c r="E297" t="s">
        <v>86</v>
      </c>
      <c r="F297" t="s">
        <v>87</v>
      </c>
      <c r="G297">
        <v>1.52159464596235E-2</v>
      </c>
      <c r="H297" t="s">
        <v>123</v>
      </c>
      <c r="I297" t="s">
        <v>91</v>
      </c>
      <c r="J297">
        <f t="shared" si="4"/>
        <v>16.805983844829598</v>
      </c>
    </row>
    <row r="298" spans="1:10">
      <c r="A298">
        <v>297</v>
      </c>
      <c r="B298" t="s">
        <v>84</v>
      </c>
      <c r="C298" s="34">
        <v>42430</v>
      </c>
      <c r="D298" t="s">
        <v>85</v>
      </c>
      <c r="E298" t="s">
        <v>86</v>
      </c>
      <c r="F298" t="s">
        <v>87</v>
      </c>
      <c r="G298">
        <v>1.6776062812824798E-2</v>
      </c>
      <c r="H298" t="s">
        <v>123</v>
      </c>
      <c r="I298" t="s">
        <v>91</v>
      </c>
      <c r="J298">
        <f t="shared" si="4"/>
        <v>18.373849037586087</v>
      </c>
    </row>
    <row r="299" spans="1:10">
      <c r="A299">
        <v>298</v>
      </c>
      <c r="B299" t="s">
        <v>84</v>
      </c>
      <c r="C299" s="34">
        <v>42461</v>
      </c>
      <c r="D299" t="s">
        <v>85</v>
      </c>
      <c r="E299" t="s">
        <v>86</v>
      </c>
      <c r="F299" t="s">
        <v>87</v>
      </c>
      <c r="G299">
        <v>1.60508605248821E-2</v>
      </c>
      <c r="H299" t="s">
        <v>123</v>
      </c>
      <c r="I299" t="s">
        <v>91</v>
      </c>
      <c r="J299">
        <f t="shared" si="4"/>
        <v>17.648445227843801</v>
      </c>
    </row>
    <row r="300" spans="1:10">
      <c r="A300">
        <v>299</v>
      </c>
      <c r="B300" t="s">
        <v>84</v>
      </c>
      <c r="C300" s="34">
        <v>42491</v>
      </c>
      <c r="D300" t="s">
        <v>85</v>
      </c>
      <c r="E300" t="s">
        <v>86</v>
      </c>
      <c r="F300" t="s">
        <v>87</v>
      </c>
      <c r="G300">
        <v>1.60885605555833E-2</v>
      </c>
      <c r="H300" t="s">
        <v>123</v>
      </c>
      <c r="I300" t="s">
        <v>91</v>
      </c>
      <c r="J300">
        <f t="shared" si="4"/>
        <v>17.686300867123517</v>
      </c>
    </row>
    <row r="301" spans="1:10">
      <c r="A301">
        <v>300</v>
      </c>
      <c r="B301" t="s">
        <v>84</v>
      </c>
      <c r="C301" s="34">
        <v>42522</v>
      </c>
      <c r="D301" t="s">
        <v>85</v>
      </c>
      <c r="E301" t="s">
        <v>86</v>
      </c>
      <c r="F301" t="s">
        <v>87</v>
      </c>
      <c r="G301">
        <v>1.6894385662778E-2</v>
      </c>
      <c r="H301" t="s">
        <v>123</v>
      </c>
      <c r="I301" t="s">
        <v>91</v>
      </c>
      <c r="J301">
        <f t="shared" si="4"/>
        <v>18.491647416024094</v>
      </c>
    </row>
    <row r="302" spans="1:10">
      <c r="A302">
        <v>301</v>
      </c>
      <c r="B302" t="s">
        <v>84</v>
      </c>
      <c r="C302" s="34">
        <v>42552</v>
      </c>
      <c r="D302" t="s">
        <v>85</v>
      </c>
      <c r="E302" t="s">
        <v>86</v>
      </c>
      <c r="F302" t="s">
        <v>87</v>
      </c>
      <c r="G302">
        <v>1.5394713606702699E-2</v>
      </c>
      <c r="H302" t="s">
        <v>123</v>
      </c>
      <c r="I302" t="s">
        <v>91</v>
      </c>
      <c r="J302">
        <f t="shared" si="4"/>
        <v>16.987028821633032</v>
      </c>
    </row>
    <row r="303" spans="1:10">
      <c r="A303">
        <v>302</v>
      </c>
      <c r="B303" t="s">
        <v>84</v>
      </c>
      <c r="C303" s="34">
        <v>42583</v>
      </c>
      <c r="D303" t="s">
        <v>85</v>
      </c>
      <c r="E303" t="s">
        <v>86</v>
      </c>
      <c r="F303" t="s">
        <v>87</v>
      </c>
      <c r="G303">
        <v>1.77455504177822E-2</v>
      </c>
      <c r="H303" t="s">
        <v>123</v>
      </c>
      <c r="I303" t="s">
        <v>91</v>
      </c>
      <c r="J303">
        <f t="shared" si="4"/>
        <v>19.334457679442295</v>
      </c>
    </row>
    <row r="304" spans="1:10">
      <c r="A304">
        <v>303</v>
      </c>
      <c r="B304" t="s">
        <v>84</v>
      </c>
      <c r="C304" s="34">
        <v>42614</v>
      </c>
      <c r="D304" t="s">
        <v>85</v>
      </c>
      <c r="E304" t="s">
        <v>86</v>
      </c>
      <c r="F304" t="s">
        <v>87</v>
      </c>
      <c r="G304">
        <v>1.62404399311789E-2</v>
      </c>
      <c r="H304" t="s">
        <v>123</v>
      </c>
      <c r="I304" t="s">
        <v>91</v>
      </c>
      <c r="J304">
        <f t="shared" si="4"/>
        <v>17.838645611799375</v>
      </c>
    </row>
    <row r="305" spans="1:10">
      <c r="A305">
        <v>304</v>
      </c>
      <c r="B305" t="s">
        <v>84</v>
      </c>
      <c r="C305" s="34">
        <v>42644</v>
      </c>
      <c r="D305" t="s">
        <v>85</v>
      </c>
      <c r="E305" t="s">
        <v>86</v>
      </c>
      <c r="F305" t="s">
        <v>87</v>
      </c>
      <c r="G305">
        <v>1.6278359478956901E-2</v>
      </c>
      <c r="H305" t="s">
        <v>123</v>
      </c>
      <c r="I305" t="s">
        <v>91</v>
      </c>
      <c r="J305">
        <f t="shared" si="4"/>
        <v>17.876641005663295</v>
      </c>
    </row>
    <row r="306" spans="1:10">
      <c r="A306">
        <v>305</v>
      </c>
      <c r="B306" t="s">
        <v>84</v>
      </c>
      <c r="C306" s="34">
        <v>42675</v>
      </c>
      <c r="D306" t="s">
        <v>85</v>
      </c>
      <c r="E306" t="s">
        <v>86</v>
      </c>
      <c r="F306" t="s">
        <v>87</v>
      </c>
      <c r="G306">
        <v>1.6316196194449399E-2</v>
      </c>
      <c r="H306" t="s">
        <v>123</v>
      </c>
      <c r="I306" t="s">
        <v>91</v>
      </c>
      <c r="J306">
        <f t="shared" si="4"/>
        <v>17.914537347006011</v>
      </c>
    </row>
    <row r="307" spans="1:10">
      <c r="A307">
        <v>306</v>
      </c>
      <c r="B307" t="s">
        <v>84</v>
      </c>
      <c r="C307" s="34">
        <v>42705</v>
      </c>
      <c r="D307" t="s">
        <v>85</v>
      </c>
      <c r="E307" t="s">
        <v>86</v>
      </c>
      <c r="F307" t="s">
        <v>87</v>
      </c>
      <c r="G307">
        <v>1.6353935811842E-2</v>
      </c>
      <c r="H307" t="s">
        <v>123</v>
      </c>
      <c r="I307" t="s">
        <v>91</v>
      </c>
      <c r="J307">
        <f t="shared" si="4"/>
        <v>17.952320468055284</v>
      </c>
    </row>
    <row r="308" spans="1:10">
      <c r="A308">
        <v>307</v>
      </c>
      <c r="B308" t="s">
        <v>84</v>
      </c>
      <c r="C308" s="34">
        <v>42736</v>
      </c>
      <c r="D308" t="s">
        <v>85</v>
      </c>
      <c r="E308" t="s">
        <v>86</v>
      </c>
      <c r="F308" t="s">
        <v>87</v>
      </c>
      <c r="G308">
        <v>1.5611018007991201E-2</v>
      </c>
      <c r="H308" t="s">
        <v>123</v>
      </c>
      <c r="I308" t="s">
        <v>91</v>
      </c>
      <c r="J308">
        <f t="shared" si="4"/>
        <v>17.205606454085419</v>
      </c>
    </row>
    <row r="309" spans="1:10">
      <c r="A309">
        <v>308</v>
      </c>
      <c r="B309" t="s">
        <v>84</v>
      </c>
      <c r="C309" s="34">
        <v>42767</v>
      </c>
      <c r="D309" t="s">
        <v>85</v>
      </c>
      <c r="E309" t="s">
        <v>86</v>
      </c>
      <c r="F309" t="s">
        <v>87</v>
      </c>
      <c r="G309">
        <v>1.48644141140986E-2</v>
      </c>
      <c r="H309" t="s">
        <v>123</v>
      </c>
      <c r="I309" t="s">
        <v>91</v>
      </c>
      <c r="J309">
        <f t="shared" si="4"/>
        <v>16.448916241076418</v>
      </c>
    </row>
    <row r="310" spans="1:10">
      <c r="A310">
        <v>309</v>
      </c>
      <c r="B310" t="s">
        <v>84</v>
      </c>
      <c r="C310" s="34">
        <v>42795</v>
      </c>
      <c r="D310" t="s">
        <v>85</v>
      </c>
      <c r="E310" t="s">
        <v>86</v>
      </c>
      <c r="F310" t="s">
        <v>87</v>
      </c>
      <c r="G310">
        <v>1.8034730296300799E-2</v>
      </c>
      <c r="H310" t="s">
        <v>123</v>
      </c>
      <c r="I310" t="s">
        <v>91</v>
      </c>
      <c r="J310">
        <f t="shared" si="4"/>
        <v>19.618976022708257</v>
      </c>
    </row>
    <row r="311" spans="1:10">
      <c r="A311">
        <v>310</v>
      </c>
      <c r="B311" t="s">
        <v>84</v>
      </c>
      <c r="C311" s="34">
        <v>42826</v>
      </c>
      <c r="D311" t="s">
        <v>85</v>
      </c>
      <c r="E311" t="s">
        <v>86</v>
      </c>
      <c r="F311" t="s">
        <v>87</v>
      </c>
      <c r="G311">
        <v>1.4931988763802201E-2</v>
      </c>
      <c r="H311" t="s">
        <v>123</v>
      </c>
      <c r="I311" t="s">
        <v>91</v>
      </c>
      <c r="J311">
        <f t="shared" si="4"/>
        <v>16.517663801334713</v>
      </c>
    </row>
    <row r="312" spans="1:10">
      <c r="A312">
        <v>311</v>
      </c>
      <c r="B312" t="s">
        <v>84</v>
      </c>
      <c r="C312" s="34">
        <v>42856</v>
      </c>
      <c r="D312" t="s">
        <v>85</v>
      </c>
      <c r="E312" t="s">
        <v>86</v>
      </c>
      <c r="F312" t="s">
        <v>87</v>
      </c>
      <c r="G312">
        <v>1.7328603927207399E-2</v>
      </c>
      <c r="H312" t="s">
        <v>123</v>
      </c>
      <c r="I312" t="s">
        <v>91</v>
      </c>
      <c r="J312">
        <f t="shared" si="4"/>
        <v>18.922606995089918</v>
      </c>
    </row>
    <row r="313" spans="1:10">
      <c r="A313">
        <v>312</v>
      </c>
      <c r="B313" t="s">
        <v>84</v>
      </c>
      <c r="C313" s="34">
        <v>42887</v>
      </c>
      <c r="D313" t="s">
        <v>85</v>
      </c>
      <c r="E313" t="s">
        <v>86</v>
      </c>
      <c r="F313" t="s">
        <v>87</v>
      </c>
      <c r="G313">
        <v>1.7367408642737499E-2</v>
      </c>
      <c r="H313" t="s">
        <v>123</v>
      </c>
      <c r="I313" t="s">
        <v>91</v>
      </c>
      <c r="J313">
        <f t="shared" si="4"/>
        <v>18.961018638561178</v>
      </c>
    </row>
    <row r="314" spans="1:10">
      <c r="A314">
        <v>313</v>
      </c>
      <c r="B314" t="s">
        <v>84</v>
      </c>
      <c r="C314" s="34">
        <v>42917</v>
      </c>
      <c r="D314" t="s">
        <v>85</v>
      </c>
      <c r="E314" t="s">
        <v>86</v>
      </c>
      <c r="F314" t="s">
        <v>87</v>
      </c>
      <c r="G314">
        <v>1.58237133207151E-2</v>
      </c>
      <c r="H314" t="s">
        <v>123</v>
      </c>
      <c r="I314" t="s">
        <v>91</v>
      </c>
      <c r="J314">
        <f t="shared" si="4"/>
        <v>17.420022513639179</v>
      </c>
    </row>
    <row r="315" spans="1:10">
      <c r="A315">
        <v>314</v>
      </c>
      <c r="B315" t="s">
        <v>84</v>
      </c>
      <c r="C315" s="34">
        <v>42948</v>
      </c>
      <c r="D315" t="s">
        <v>85</v>
      </c>
      <c r="E315" t="s">
        <v>86</v>
      </c>
      <c r="F315" t="s">
        <v>87</v>
      </c>
      <c r="G315">
        <v>1.82375693467412E-2</v>
      </c>
      <c r="H315" t="s">
        <v>123</v>
      </c>
      <c r="I315" t="s">
        <v>91</v>
      </c>
      <c r="J315">
        <f t="shared" si="4"/>
        <v>19.817996093824785</v>
      </c>
    </row>
    <row r="316" spans="1:10">
      <c r="A316">
        <v>315</v>
      </c>
      <c r="B316" t="s">
        <v>84</v>
      </c>
      <c r="C316" s="34">
        <v>42979</v>
      </c>
      <c r="D316" t="s">
        <v>85</v>
      </c>
      <c r="E316" t="s">
        <v>86</v>
      </c>
      <c r="F316" t="s">
        <v>87</v>
      </c>
      <c r="G316">
        <v>1.58936810108933E-2</v>
      </c>
      <c r="H316" t="s">
        <v>123</v>
      </c>
      <c r="I316" t="s">
        <v>91</v>
      </c>
      <c r="J316">
        <f t="shared" si="4"/>
        <v>17.490444916626359</v>
      </c>
    </row>
    <row r="317" spans="1:10">
      <c r="A317">
        <v>316</v>
      </c>
      <c r="B317" t="s">
        <v>84</v>
      </c>
      <c r="C317" s="34">
        <v>43009</v>
      </c>
      <c r="D317" t="s">
        <v>85</v>
      </c>
      <c r="E317" t="s">
        <v>86</v>
      </c>
      <c r="F317" t="s">
        <v>87</v>
      </c>
      <c r="G317">
        <v>1.75212611495425E-2</v>
      </c>
      <c r="H317" t="s">
        <v>123</v>
      </c>
      <c r="I317" t="s">
        <v>91</v>
      </c>
      <c r="J317">
        <f t="shared" si="4"/>
        <v>19.113148572143324</v>
      </c>
    </row>
    <row r="318" spans="1:10">
      <c r="A318">
        <v>317</v>
      </c>
      <c r="B318" t="s">
        <v>84</v>
      </c>
      <c r="C318" s="34">
        <v>43040</v>
      </c>
      <c r="D318" t="s">
        <v>85</v>
      </c>
      <c r="E318" t="s">
        <v>86</v>
      </c>
      <c r="F318" t="s">
        <v>87</v>
      </c>
      <c r="G318">
        <v>1.51077631858271E-2</v>
      </c>
      <c r="H318" t="s">
        <v>123</v>
      </c>
      <c r="I318" t="s">
        <v>91</v>
      </c>
      <c r="J318">
        <f t="shared" si="4"/>
        <v>16.696246394199711</v>
      </c>
    </row>
    <row r="319" spans="1:10">
      <c r="A319">
        <v>318</v>
      </c>
      <c r="B319" t="s">
        <v>84</v>
      </c>
      <c r="C319" s="34">
        <v>43070</v>
      </c>
      <c r="D319" t="s">
        <v>85</v>
      </c>
      <c r="E319" t="s">
        <v>86</v>
      </c>
      <c r="F319" t="s">
        <v>87</v>
      </c>
      <c r="G319">
        <v>1.44259284765731E-2</v>
      </c>
      <c r="H319" t="s">
        <v>123</v>
      </c>
      <c r="I319" t="s">
        <v>91</v>
      </c>
      <c r="J319">
        <f t="shared" si="4"/>
        <v>16.001557266851307</v>
      </c>
    </row>
    <row r="320" spans="1:10">
      <c r="A320">
        <v>319</v>
      </c>
      <c r="B320" t="s">
        <v>84</v>
      </c>
      <c r="C320" s="34">
        <v>43101</v>
      </c>
      <c r="D320" t="s">
        <v>85</v>
      </c>
      <c r="E320" t="s">
        <v>86</v>
      </c>
      <c r="F320" t="s">
        <v>87</v>
      </c>
      <c r="G320">
        <v>1.5186506831080001E-2</v>
      </c>
      <c r="H320" t="s">
        <v>123</v>
      </c>
      <c r="I320" t="s">
        <v>91</v>
      </c>
      <c r="J320">
        <f t="shared" si="4"/>
        <v>16.776134413442044</v>
      </c>
    </row>
    <row r="321" spans="1:10">
      <c r="A321">
        <v>320</v>
      </c>
      <c r="B321" t="s">
        <v>84</v>
      </c>
      <c r="C321" s="34">
        <v>43132</v>
      </c>
      <c r="D321" t="s">
        <v>85</v>
      </c>
      <c r="E321" t="s">
        <v>86</v>
      </c>
      <c r="F321" t="s">
        <v>87</v>
      </c>
      <c r="G321">
        <v>1.3775061304021299E-2</v>
      </c>
      <c r="H321" t="s">
        <v>123</v>
      </c>
      <c r="I321" t="s">
        <v>91</v>
      </c>
      <c r="J321">
        <f t="shared" si="4"/>
        <v>15.333469351511631</v>
      </c>
    </row>
    <row r="322" spans="1:10">
      <c r="A322">
        <v>321</v>
      </c>
      <c r="B322" t="s">
        <v>84</v>
      </c>
      <c r="C322" s="34">
        <v>43160</v>
      </c>
      <c r="D322" t="s">
        <v>85</v>
      </c>
      <c r="E322" t="s">
        <v>86</v>
      </c>
      <c r="F322" t="s">
        <v>87</v>
      </c>
      <c r="G322">
        <v>1.52627062380612E-2</v>
      </c>
      <c r="H322" t="s">
        <v>123</v>
      </c>
      <c r="I322" t="s">
        <v>91</v>
      </c>
      <c r="J322">
        <f t="shared" si="4"/>
        <v>16.853374352320539</v>
      </c>
    </row>
    <row r="323" spans="1:10">
      <c r="A323">
        <v>322</v>
      </c>
      <c r="B323" t="s">
        <v>84</v>
      </c>
      <c r="C323" s="34">
        <v>43191</v>
      </c>
      <c r="D323" t="s">
        <v>85</v>
      </c>
      <c r="E323" t="s">
        <v>86</v>
      </c>
      <c r="F323" t="s">
        <v>87</v>
      </c>
      <c r="G323">
        <v>1.5299463959828801E-2</v>
      </c>
      <c r="H323" t="s">
        <v>123</v>
      </c>
      <c r="I323" t="s">
        <v>91</v>
      </c>
      <c r="J323">
        <f t="shared" ref="J323:J386" si="5">100*(1-(1-G323)^12)</f>
        <v>16.89061051475732</v>
      </c>
    </row>
    <row r="324" spans="1:10">
      <c r="A324">
        <v>323</v>
      </c>
      <c r="B324" t="s">
        <v>84</v>
      </c>
      <c r="C324" s="34">
        <v>43221</v>
      </c>
      <c r="D324" t="s">
        <v>85</v>
      </c>
      <c r="E324" t="s">
        <v>86</v>
      </c>
      <c r="F324" t="s">
        <v>87</v>
      </c>
      <c r="G324">
        <v>1.6065722584417699E-2</v>
      </c>
      <c r="H324" t="s">
        <v>123</v>
      </c>
      <c r="I324" t="s">
        <v>91</v>
      </c>
      <c r="J324">
        <f t="shared" si="5"/>
        <v>17.663370536353018</v>
      </c>
    </row>
    <row r="325" spans="1:10">
      <c r="A325">
        <v>324</v>
      </c>
      <c r="B325" t="s">
        <v>84</v>
      </c>
      <c r="C325" s="34">
        <v>43252</v>
      </c>
      <c r="D325" t="s">
        <v>85</v>
      </c>
      <c r="E325" t="s">
        <v>86</v>
      </c>
      <c r="F325" t="s">
        <v>87</v>
      </c>
      <c r="G325">
        <v>1.53708414543952E-2</v>
      </c>
      <c r="H325" t="s">
        <v>123</v>
      </c>
      <c r="I325" t="s">
        <v>91</v>
      </c>
      <c r="J325">
        <f t="shared" si="5"/>
        <v>16.962873405051791</v>
      </c>
    </row>
    <row r="326" spans="1:10">
      <c r="A326">
        <v>325</v>
      </c>
      <c r="B326" t="s">
        <v>84</v>
      </c>
      <c r="C326" s="34">
        <v>43282</v>
      </c>
      <c r="D326" t="s">
        <v>85</v>
      </c>
      <c r="E326" t="s">
        <v>86</v>
      </c>
      <c r="F326" t="s">
        <v>87</v>
      </c>
      <c r="G326">
        <v>1.54057274977339E-2</v>
      </c>
      <c r="H326" t="s">
        <v>123</v>
      </c>
      <c r="I326" t="s">
        <v>91</v>
      </c>
      <c r="J326">
        <f t="shared" si="5"/>
        <v>16.998171230670479</v>
      </c>
    </row>
    <row r="327" spans="1:10">
      <c r="A327">
        <v>326</v>
      </c>
      <c r="B327" t="s">
        <v>84</v>
      </c>
      <c r="C327" s="34">
        <v>43313</v>
      </c>
      <c r="D327" t="s">
        <v>85</v>
      </c>
      <c r="E327" t="s">
        <v>86</v>
      </c>
      <c r="F327" t="s">
        <v>87</v>
      </c>
      <c r="G327">
        <v>1.6910720927498599E-2</v>
      </c>
      <c r="H327" t="s">
        <v>123</v>
      </c>
      <c r="I327" t="s">
        <v>91</v>
      </c>
      <c r="J327">
        <f t="shared" si="5"/>
        <v>18.507898026225167</v>
      </c>
    </row>
    <row r="328" spans="1:10">
      <c r="A328">
        <v>327</v>
      </c>
      <c r="B328" t="s">
        <v>84</v>
      </c>
      <c r="C328" s="34">
        <v>43344</v>
      </c>
      <c r="D328" t="s">
        <v>85</v>
      </c>
      <c r="E328" t="s">
        <v>86</v>
      </c>
      <c r="F328" t="s">
        <v>87</v>
      </c>
      <c r="G328">
        <v>1.40006549067852E-2</v>
      </c>
      <c r="H328" t="s">
        <v>123</v>
      </c>
      <c r="I328" t="s">
        <v>91</v>
      </c>
      <c r="J328">
        <f t="shared" si="5"/>
        <v>15.565581300943411</v>
      </c>
    </row>
    <row r="329" spans="1:10">
      <c r="A329">
        <v>328</v>
      </c>
      <c r="B329" t="s">
        <v>84</v>
      </c>
      <c r="C329" s="34">
        <v>43374</v>
      </c>
      <c r="D329" t="s">
        <v>85</v>
      </c>
      <c r="E329" t="s">
        <v>86</v>
      </c>
      <c r="F329" t="s">
        <v>87</v>
      </c>
      <c r="G329">
        <v>1.6985324122845698E-2</v>
      </c>
      <c r="H329" t="s">
        <v>123</v>
      </c>
      <c r="I329" t="s">
        <v>91</v>
      </c>
      <c r="J329">
        <f t="shared" si="5"/>
        <v>18.582076856270124</v>
      </c>
    </row>
    <row r="330" spans="1:10">
      <c r="A330">
        <v>329</v>
      </c>
      <c r="B330" t="s">
        <v>84</v>
      </c>
      <c r="C330" s="34">
        <v>43405</v>
      </c>
      <c r="D330" t="s">
        <v>85</v>
      </c>
      <c r="E330" t="s">
        <v>86</v>
      </c>
      <c r="F330" t="s">
        <v>87</v>
      </c>
      <c r="G330">
        <v>1.5542059478324899E-2</v>
      </c>
      <c r="H330" t="s">
        <v>123</v>
      </c>
      <c r="I330" t="s">
        <v>91</v>
      </c>
      <c r="J330">
        <f t="shared" si="5"/>
        <v>17.1359805642056</v>
      </c>
    </row>
    <row r="331" spans="1:10">
      <c r="A331">
        <v>330</v>
      </c>
      <c r="B331" t="s">
        <v>84</v>
      </c>
      <c r="C331" s="34">
        <v>43435</v>
      </c>
      <c r="D331" t="s">
        <v>85</v>
      </c>
      <c r="E331" t="s">
        <v>86</v>
      </c>
      <c r="F331" t="s">
        <v>87</v>
      </c>
      <c r="G331">
        <v>1.4833902910800801E-2</v>
      </c>
      <c r="H331" t="s">
        <v>123</v>
      </c>
      <c r="I331" t="s">
        <v>91</v>
      </c>
      <c r="J331">
        <f t="shared" si="5"/>
        <v>16.4178584443878</v>
      </c>
    </row>
    <row r="332" spans="1:10">
      <c r="A332">
        <v>331</v>
      </c>
      <c r="B332" t="s">
        <v>84</v>
      </c>
      <c r="C332" s="34">
        <v>43466</v>
      </c>
      <c r="D332" t="s">
        <v>85</v>
      </c>
      <c r="E332" t="s">
        <v>86</v>
      </c>
      <c r="F332" t="s">
        <v>87</v>
      </c>
      <c r="G332">
        <v>1.5608976148275101E-2</v>
      </c>
      <c r="H332" t="s">
        <v>123</v>
      </c>
      <c r="I332" t="s">
        <v>91</v>
      </c>
      <c r="J332">
        <f t="shared" si="5"/>
        <v>17.203545604539428</v>
      </c>
    </row>
    <row r="333" spans="1:10">
      <c r="A333">
        <v>332</v>
      </c>
      <c r="B333" t="s">
        <v>84</v>
      </c>
      <c r="C333" s="34">
        <v>43497</v>
      </c>
      <c r="D333" t="s">
        <v>85</v>
      </c>
      <c r="E333" t="s">
        <v>86</v>
      </c>
      <c r="F333" t="s">
        <v>87</v>
      </c>
      <c r="G333">
        <v>1.41524743189359E-2</v>
      </c>
      <c r="H333" t="s">
        <v>123</v>
      </c>
      <c r="I333" t="s">
        <v>91</v>
      </c>
      <c r="J333">
        <f t="shared" si="5"/>
        <v>15.721458892790697</v>
      </c>
    </row>
    <row r="334" spans="1:10">
      <c r="A334">
        <v>333</v>
      </c>
      <c r="B334" t="s">
        <v>84</v>
      </c>
      <c r="C334" s="34">
        <v>43525</v>
      </c>
      <c r="D334" t="s">
        <v>85</v>
      </c>
      <c r="E334" t="s">
        <v>86</v>
      </c>
      <c r="F334" t="s">
        <v>87</v>
      </c>
      <c r="G334">
        <v>1.5675305253421999E-2</v>
      </c>
      <c r="H334" t="s">
        <v>123</v>
      </c>
      <c r="I334" t="s">
        <v>91</v>
      </c>
      <c r="J334">
        <f t="shared" si="5"/>
        <v>17.270467546931279</v>
      </c>
    </row>
    <row r="335" spans="1:10">
      <c r="A335">
        <v>334</v>
      </c>
      <c r="B335" t="s">
        <v>84</v>
      </c>
      <c r="C335" s="34">
        <v>43556</v>
      </c>
      <c r="D335" t="s">
        <v>85</v>
      </c>
      <c r="E335" t="s">
        <v>86</v>
      </c>
      <c r="F335" t="s">
        <v>87</v>
      </c>
      <c r="G335">
        <v>1.5708273706261901E-2</v>
      </c>
      <c r="H335" t="s">
        <v>123</v>
      </c>
      <c r="I335" t="s">
        <v>91</v>
      </c>
      <c r="J335">
        <f t="shared" si="5"/>
        <v>17.303712214943857</v>
      </c>
    </row>
    <row r="336" spans="1:10">
      <c r="A336">
        <v>335</v>
      </c>
      <c r="B336" t="s">
        <v>84</v>
      </c>
      <c r="C336" s="34">
        <v>43586</v>
      </c>
      <c r="D336" t="s">
        <v>85</v>
      </c>
      <c r="E336" t="s">
        <v>86</v>
      </c>
      <c r="F336" t="s">
        <v>87</v>
      </c>
      <c r="G336">
        <v>1.6490695924716699E-2</v>
      </c>
      <c r="H336" t="s">
        <v>123</v>
      </c>
      <c r="I336" t="s">
        <v>91</v>
      </c>
      <c r="J336">
        <f t="shared" si="5"/>
        <v>18.089104710287764</v>
      </c>
    </row>
    <row r="337" spans="1:10">
      <c r="A337">
        <v>336</v>
      </c>
      <c r="B337" t="s">
        <v>84</v>
      </c>
      <c r="C337" s="34">
        <v>43617</v>
      </c>
      <c r="D337" t="s">
        <v>85</v>
      </c>
      <c r="E337" t="s">
        <v>86</v>
      </c>
      <c r="F337" t="s">
        <v>87</v>
      </c>
      <c r="G337">
        <v>1.50227087440435E-2</v>
      </c>
      <c r="H337" t="s">
        <v>123</v>
      </c>
      <c r="I337" t="s">
        <v>91</v>
      </c>
      <c r="J337">
        <f t="shared" si="5"/>
        <v>16.609876897112418</v>
      </c>
    </row>
    <row r="338" spans="1:10">
      <c r="A338">
        <v>337</v>
      </c>
      <c r="B338" t="s">
        <v>84</v>
      </c>
      <c r="C338" s="34">
        <v>43647</v>
      </c>
      <c r="D338" t="s">
        <v>85</v>
      </c>
      <c r="E338" t="s">
        <v>86</v>
      </c>
      <c r="F338" t="s">
        <v>87</v>
      </c>
      <c r="G338">
        <v>1.6559140451568002E-2</v>
      </c>
      <c r="H338" t="s">
        <v>123</v>
      </c>
      <c r="I338" t="s">
        <v>91</v>
      </c>
      <c r="J338">
        <f t="shared" si="5"/>
        <v>18.157482797737103</v>
      </c>
    </row>
    <row r="339" spans="1:10">
      <c r="A339">
        <v>338</v>
      </c>
      <c r="B339" t="s">
        <v>84</v>
      </c>
      <c r="C339" s="34">
        <v>43678</v>
      </c>
      <c r="D339" t="s">
        <v>85</v>
      </c>
      <c r="E339" t="s">
        <v>86</v>
      </c>
      <c r="F339" t="s">
        <v>87</v>
      </c>
      <c r="G339">
        <v>1.6593180316753602E-2</v>
      </c>
      <c r="H339" t="s">
        <v>123</v>
      </c>
      <c r="I339" t="s">
        <v>91</v>
      </c>
      <c r="J339">
        <f t="shared" si="5"/>
        <v>18.191470134279474</v>
      </c>
    </row>
    <row r="340" spans="1:10">
      <c r="A340">
        <v>339</v>
      </c>
      <c r="B340" t="s">
        <v>84</v>
      </c>
      <c r="C340" s="34">
        <v>43709</v>
      </c>
      <c r="D340" t="s">
        <v>85</v>
      </c>
      <c r="E340" t="s">
        <v>86</v>
      </c>
      <c r="F340" t="s">
        <v>87</v>
      </c>
      <c r="G340">
        <v>1.51155459998335E-2</v>
      </c>
      <c r="H340" t="s">
        <v>123</v>
      </c>
      <c r="I340" t="s">
        <v>91</v>
      </c>
      <c r="J340">
        <f t="shared" si="5"/>
        <v>16.704145444496767</v>
      </c>
    </row>
    <row r="341" spans="1:10">
      <c r="A341">
        <v>340</v>
      </c>
      <c r="B341" t="s">
        <v>84</v>
      </c>
      <c r="C341" s="34">
        <v>43739</v>
      </c>
      <c r="D341" t="s">
        <v>85</v>
      </c>
      <c r="E341" t="s">
        <v>86</v>
      </c>
      <c r="F341" t="s">
        <v>87</v>
      </c>
      <c r="G341">
        <v>1.7418216081151801E-2</v>
      </c>
      <c r="H341" t="s">
        <v>123</v>
      </c>
      <c r="I341" t="s">
        <v>91</v>
      </c>
      <c r="J341">
        <f t="shared" si="5"/>
        <v>19.011286204183008</v>
      </c>
    </row>
    <row r="342" spans="1:10">
      <c r="A342">
        <v>341</v>
      </c>
      <c r="B342" t="s">
        <v>84</v>
      </c>
      <c r="C342" s="34">
        <v>43770</v>
      </c>
      <c r="D342" t="s">
        <v>85</v>
      </c>
      <c r="E342" t="s">
        <v>86</v>
      </c>
      <c r="F342" t="s">
        <v>87</v>
      </c>
      <c r="G342">
        <v>1.5176896664910599E-2</v>
      </c>
      <c r="H342" t="s">
        <v>123</v>
      </c>
      <c r="I342" t="s">
        <v>91</v>
      </c>
      <c r="J342">
        <f t="shared" si="5"/>
        <v>16.766388347487961</v>
      </c>
    </row>
    <row r="343" spans="1:10">
      <c r="A343">
        <v>342</v>
      </c>
      <c r="B343" t="s">
        <v>84</v>
      </c>
      <c r="C343" s="34">
        <v>43800</v>
      </c>
      <c r="D343" t="s">
        <v>85</v>
      </c>
      <c r="E343" t="s">
        <v>86</v>
      </c>
      <c r="F343" t="s">
        <v>87</v>
      </c>
      <c r="G343">
        <v>1.59677826121312E-2</v>
      </c>
      <c r="H343" t="s">
        <v>123</v>
      </c>
      <c r="I343" t="s">
        <v>91</v>
      </c>
      <c r="J343">
        <f t="shared" si="5"/>
        <v>17.56496806809087</v>
      </c>
    </row>
    <row r="344" spans="1:10">
      <c r="A344">
        <v>343</v>
      </c>
      <c r="B344" t="s">
        <v>84</v>
      </c>
      <c r="C344" s="34">
        <v>43831</v>
      </c>
      <c r="D344" t="s">
        <v>85</v>
      </c>
      <c r="E344" t="s">
        <v>86</v>
      </c>
      <c r="F344" t="s">
        <v>87</v>
      </c>
      <c r="G344">
        <v>1.5999712434905701E-2</v>
      </c>
      <c r="H344" t="s">
        <v>123</v>
      </c>
      <c r="I344" t="s">
        <v>91</v>
      </c>
      <c r="J344">
        <f t="shared" si="5"/>
        <v>17.597060508443075</v>
      </c>
    </row>
    <row r="345" spans="1:10">
      <c r="A345">
        <v>344</v>
      </c>
      <c r="B345" t="s">
        <v>84</v>
      </c>
      <c r="C345" s="34">
        <v>43862</v>
      </c>
      <c r="D345" t="s">
        <v>85</v>
      </c>
      <c r="E345" t="s">
        <v>86</v>
      </c>
      <c r="F345" t="s">
        <v>87</v>
      </c>
      <c r="G345">
        <v>1.4504718875581E-2</v>
      </c>
      <c r="H345" t="s">
        <v>123</v>
      </c>
      <c r="I345" t="s">
        <v>91</v>
      </c>
      <c r="J345">
        <f t="shared" si="5"/>
        <v>16.082103561203777</v>
      </c>
    </row>
    <row r="346" spans="1:10">
      <c r="A346">
        <v>345</v>
      </c>
      <c r="B346" t="s">
        <v>84</v>
      </c>
      <c r="C346" s="34">
        <v>43891</v>
      </c>
      <c r="D346" t="s">
        <v>85</v>
      </c>
      <c r="E346" t="s">
        <v>86</v>
      </c>
      <c r="F346" t="s">
        <v>87</v>
      </c>
      <c r="G346">
        <v>1.6828156027175401E-2</v>
      </c>
      <c r="H346" t="s">
        <v>123</v>
      </c>
      <c r="I346" t="s">
        <v>91</v>
      </c>
      <c r="J346">
        <f t="shared" si="5"/>
        <v>18.42573056181881</v>
      </c>
    </row>
    <row r="347" spans="1:10">
      <c r="A347">
        <v>346</v>
      </c>
      <c r="B347" t="s">
        <v>84</v>
      </c>
      <c r="C347" s="34">
        <v>43922</v>
      </c>
      <c r="D347" t="s">
        <v>85</v>
      </c>
      <c r="E347" t="s">
        <v>86</v>
      </c>
      <c r="F347" t="s">
        <v>87</v>
      </c>
      <c r="G347">
        <v>1.60948381347563E-2</v>
      </c>
      <c r="H347" t="s">
        <v>123</v>
      </c>
      <c r="I347" t="s">
        <v>91</v>
      </c>
      <c r="J347">
        <f t="shared" si="5"/>
        <v>17.692602807850388</v>
      </c>
    </row>
    <row r="348" spans="1:10">
      <c r="A348">
        <v>347</v>
      </c>
      <c r="B348" t="s">
        <v>84</v>
      </c>
      <c r="C348" s="34">
        <v>43952</v>
      </c>
      <c r="D348" t="s">
        <v>85</v>
      </c>
      <c r="E348" t="s">
        <v>86</v>
      </c>
      <c r="F348" t="s">
        <v>87</v>
      </c>
      <c r="G348">
        <v>1.5358406256018199E-2</v>
      </c>
      <c r="H348" t="s">
        <v>123</v>
      </c>
      <c r="I348" t="s">
        <v>91</v>
      </c>
      <c r="J348">
        <f t="shared" si="5"/>
        <v>16.95028809988851</v>
      </c>
    </row>
    <row r="349" spans="1:10">
      <c r="A349">
        <v>348</v>
      </c>
      <c r="B349" t="s">
        <v>84</v>
      </c>
      <c r="C349" s="34">
        <v>43983</v>
      </c>
      <c r="D349" t="s">
        <v>85</v>
      </c>
      <c r="E349" t="s">
        <v>86</v>
      </c>
      <c r="F349" t="s">
        <v>87</v>
      </c>
      <c r="G349">
        <v>1.6927119980504699E-2</v>
      </c>
      <c r="H349" t="s">
        <v>123</v>
      </c>
      <c r="I349" t="s">
        <v>91</v>
      </c>
      <c r="J349">
        <f t="shared" si="5"/>
        <v>18.524209106726087</v>
      </c>
    </row>
    <row r="350" spans="1:10">
      <c r="A350">
        <v>349</v>
      </c>
      <c r="B350" t="s">
        <v>84</v>
      </c>
      <c r="C350" s="34">
        <v>44013</v>
      </c>
      <c r="D350" t="s">
        <v>85</v>
      </c>
      <c r="E350" t="s">
        <v>86</v>
      </c>
      <c r="F350" t="s">
        <v>87</v>
      </c>
      <c r="G350">
        <v>1.6959878584229399E-2</v>
      </c>
      <c r="H350" t="s">
        <v>123</v>
      </c>
      <c r="I350" t="s">
        <v>91</v>
      </c>
      <c r="J350">
        <f t="shared" si="5"/>
        <v>18.556783017648026</v>
      </c>
    </row>
    <row r="351" spans="1:10">
      <c r="A351">
        <v>350</v>
      </c>
      <c r="B351" t="s">
        <v>84</v>
      </c>
      <c r="C351" s="34">
        <v>44044</v>
      </c>
      <c r="D351" t="s">
        <v>85</v>
      </c>
      <c r="E351" t="s">
        <v>86</v>
      </c>
      <c r="F351" t="s">
        <v>87</v>
      </c>
      <c r="G351">
        <v>1.6220135563663401E-2</v>
      </c>
      <c r="H351" t="s">
        <v>123</v>
      </c>
      <c r="I351" t="s">
        <v>91</v>
      </c>
      <c r="J351">
        <f t="shared" si="5"/>
        <v>17.818294008138068</v>
      </c>
    </row>
    <row r="352" spans="1:10">
      <c r="A352">
        <v>351</v>
      </c>
      <c r="B352" t="s">
        <v>84</v>
      </c>
      <c r="C352" s="34">
        <v>44075</v>
      </c>
      <c r="D352" t="s">
        <v>85</v>
      </c>
      <c r="E352" t="s">
        <v>86</v>
      </c>
      <c r="F352" t="s">
        <v>87</v>
      </c>
      <c r="G352">
        <v>1.6251187348477299E-2</v>
      </c>
      <c r="H352" t="s">
        <v>123</v>
      </c>
      <c r="I352" t="s">
        <v>91</v>
      </c>
      <c r="J352">
        <f t="shared" si="5"/>
        <v>17.849416161938091</v>
      </c>
    </row>
    <row r="353" spans="1:10">
      <c r="A353">
        <v>352</v>
      </c>
      <c r="B353" t="s">
        <v>84</v>
      </c>
      <c r="C353" s="34">
        <v>44105</v>
      </c>
      <c r="D353" t="s">
        <v>85</v>
      </c>
      <c r="E353" t="s">
        <v>86</v>
      </c>
      <c r="F353" t="s">
        <v>87</v>
      </c>
      <c r="G353">
        <v>1.70574701719413E-2</v>
      </c>
      <c r="H353" t="s">
        <v>123</v>
      </c>
      <c r="I353" t="s">
        <v>91</v>
      </c>
      <c r="J353">
        <f t="shared" si="5"/>
        <v>18.653753641355941</v>
      </c>
    </row>
    <row r="354" spans="1:10">
      <c r="A354">
        <v>353</v>
      </c>
      <c r="B354" t="s">
        <v>84</v>
      </c>
      <c r="C354" s="34">
        <v>44136</v>
      </c>
      <c r="D354" t="s">
        <v>85</v>
      </c>
      <c r="E354" t="s">
        <v>86</v>
      </c>
      <c r="F354" t="s">
        <v>87</v>
      </c>
      <c r="G354">
        <v>1.55361577344286E-2</v>
      </c>
      <c r="H354" t="s">
        <v>123</v>
      </c>
      <c r="I354" t="s">
        <v>91</v>
      </c>
      <c r="J354">
        <f t="shared" si="5"/>
        <v>17.130019212369163</v>
      </c>
    </row>
    <row r="355" spans="1:10">
      <c r="A355">
        <v>354</v>
      </c>
      <c r="B355" t="s">
        <v>84</v>
      </c>
      <c r="C355" s="34">
        <v>44166</v>
      </c>
      <c r="D355" t="s">
        <v>85</v>
      </c>
      <c r="E355" t="s">
        <v>86</v>
      </c>
      <c r="F355" t="s">
        <v>87</v>
      </c>
      <c r="G355">
        <v>1.7121963674578199E-2</v>
      </c>
      <c r="H355" t="s">
        <v>123</v>
      </c>
      <c r="I355" t="s">
        <v>91</v>
      </c>
      <c r="J355">
        <f t="shared" si="5"/>
        <v>18.717778685052554</v>
      </c>
    </row>
    <row r="356" spans="1:10">
      <c r="A356">
        <v>355</v>
      </c>
      <c r="B356" t="s">
        <v>84</v>
      </c>
      <c r="C356" s="34">
        <v>44197</v>
      </c>
      <c r="D356" t="s">
        <v>85</v>
      </c>
      <c r="E356" t="s">
        <v>86</v>
      </c>
      <c r="F356" t="s">
        <v>87</v>
      </c>
      <c r="G356">
        <v>1.4814853523660999E-2</v>
      </c>
      <c r="H356" t="s">
        <v>123</v>
      </c>
      <c r="I356" t="s">
        <v>91</v>
      </c>
      <c r="J356">
        <f t="shared" si="5"/>
        <v>16.398462430869966</v>
      </c>
    </row>
    <row r="357" spans="1:10">
      <c r="A357">
        <v>356</v>
      </c>
      <c r="B357" t="s">
        <v>84</v>
      </c>
      <c r="C357" s="34">
        <v>44228</v>
      </c>
      <c r="D357" t="s">
        <v>85</v>
      </c>
      <c r="E357" t="s">
        <v>86</v>
      </c>
      <c r="F357" t="s">
        <v>87</v>
      </c>
      <c r="G357">
        <v>1.4842459292826699E-2</v>
      </c>
      <c r="H357" t="s">
        <v>123</v>
      </c>
      <c r="I357" t="s">
        <v>91</v>
      </c>
      <c r="J357">
        <f t="shared" si="5"/>
        <v>16.426569177424522</v>
      </c>
    </row>
    <row r="358" spans="1:10">
      <c r="A358">
        <v>357</v>
      </c>
      <c r="B358" t="s">
        <v>84</v>
      </c>
      <c r="C358" s="34">
        <v>44256</v>
      </c>
      <c r="D358" t="s">
        <v>85</v>
      </c>
      <c r="E358" t="s">
        <v>86</v>
      </c>
      <c r="F358" t="s">
        <v>87</v>
      </c>
      <c r="G358">
        <v>1.8000487534893899E-2</v>
      </c>
      <c r="H358" t="s">
        <v>123</v>
      </c>
      <c r="I358" t="s">
        <v>91</v>
      </c>
      <c r="J358">
        <f t="shared" si="5"/>
        <v>19.585333331513965</v>
      </c>
    </row>
    <row r="359" spans="1:10">
      <c r="A359">
        <v>358</v>
      </c>
      <c r="B359" t="s">
        <v>84</v>
      </c>
      <c r="C359" s="34">
        <v>44287</v>
      </c>
      <c r="D359" t="s">
        <v>85</v>
      </c>
      <c r="E359" t="s">
        <v>86</v>
      </c>
      <c r="F359" t="s">
        <v>87</v>
      </c>
      <c r="G359">
        <v>1.64655249792297E-2</v>
      </c>
      <c r="H359" t="s">
        <v>123</v>
      </c>
      <c r="I359" t="s">
        <v>91</v>
      </c>
      <c r="J359">
        <f t="shared" si="5"/>
        <v>18.063945030580598</v>
      </c>
    </row>
    <row r="360" spans="1:10">
      <c r="A360">
        <v>359</v>
      </c>
      <c r="B360" t="s">
        <v>84</v>
      </c>
      <c r="C360" s="34">
        <v>44317</v>
      </c>
      <c r="D360" t="s">
        <v>85</v>
      </c>
      <c r="E360" t="s">
        <v>86</v>
      </c>
      <c r="F360" t="s">
        <v>87</v>
      </c>
      <c r="G360">
        <v>1.5710205090294398E-2</v>
      </c>
      <c r="H360" t="s">
        <v>123</v>
      </c>
      <c r="I360" t="s">
        <v>91</v>
      </c>
      <c r="J360">
        <f t="shared" si="5"/>
        <v>17.305659400663043</v>
      </c>
    </row>
    <row r="361" spans="1:10">
      <c r="A361">
        <v>360</v>
      </c>
      <c r="B361" t="s">
        <v>84</v>
      </c>
      <c r="C361" s="34">
        <v>44348</v>
      </c>
      <c r="D361" t="s">
        <v>85</v>
      </c>
      <c r="E361" t="s">
        <v>86</v>
      </c>
      <c r="F361" t="s">
        <v>87</v>
      </c>
      <c r="G361">
        <v>1.7312741881898502E-2</v>
      </c>
      <c r="H361" t="s">
        <v>123</v>
      </c>
      <c r="I361" t="s">
        <v>91</v>
      </c>
      <c r="J361">
        <f t="shared" si="5"/>
        <v>18.906900819437965</v>
      </c>
    </row>
    <row r="362" spans="1:10">
      <c r="A362">
        <v>361</v>
      </c>
      <c r="B362" t="s">
        <v>84</v>
      </c>
      <c r="C362" s="34">
        <v>42186</v>
      </c>
      <c r="D362" t="s">
        <v>85</v>
      </c>
      <c r="E362" t="s">
        <v>86</v>
      </c>
      <c r="F362" t="s">
        <v>89</v>
      </c>
      <c r="G362">
        <v>1.8294809286381199E-4</v>
      </c>
      <c r="H362" t="s">
        <v>123</v>
      </c>
      <c r="I362" t="s">
        <v>91</v>
      </c>
      <c r="J362">
        <f t="shared" si="5"/>
        <v>0.21931694406223112</v>
      </c>
    </row>
    <row r="363" spans="1:10">
      <c r="A363">
        <v>362</v>
      </c>
      <c r="B363" t="s">
        <v>84</v>
      </c>
      <c r="C363" s="34">
        <v>42217</v>
      </c>
      <c r="D363" t="s">
        <v>85</v>
      </c>
      <c r="E363" t="s">
        <v>86</v>
      </c>
      <c r="F363" t="s">
        <v>89</v>
      </c>
      <c r="G363">
        <v>1.6871508390285599E-4</v>
      </c>
      <c r="H363" t="s">
        <v>123</v>
      </c>
      <c r="I363" t="s">
        <v>91</v>
      </c>
      <c r="J363">
        <f t="shared" si="5"/>
        <v>0.20227033875198641</v>
      </c>
    </row>
    <row r="364" spans="1:10">
      <c r="A364">
        <v>363</v>
      </c>
      <c r="B364" t="s">
        <v>84</v>
      </c>
      <c r="C364" s="34">
        <v>42248</v>
      </c>
      <c r="D364" t="s">
        <v>85</v>
      </c>
      <c r="E364" t="s">
        <v>86</v>
      </c>
      <c r="F364" t="s">
        <v>89</v>
      </c>
      <c r="G364">
        <v>2.2615273864094699E-4</v>
      </c>
      <c r="H364" t="s">
        <v>123</v>
      </c>
      <c r="I364" t="s">
        <v>91</v>
      </c>
      <c r="J364">
        <f t="shared" si="5"/>
        <v>0.27104598330088825</v>
      </c>
    </row>
    <row r="365" spans="1:10">
      <c r="A365">
        <v>364</v>
      </c>
      <c r="B365" t="s">
        <v>84</v>
      </c>
      <c r="C365" s="34">
        <v>42278</v>
      </c>
      <c r="D365" t="s">
        <v>85</v>
      </c>
      <c r="E365" t="s">
        <v>86</v>
      </c>
      <c r="F365" t="s">
        <v>89</v>
      </c>
      <c r="G365">
        <v>3.2056936980894799E-4</v>
      </c>
      <c r="H365" t="s">
        <v>123</v>
      </c>
      <c r="I365" t="s">
        <v>91</v>
      </c>
      <c r="J365">
        <f t="shared" si="5"/>
        <v>0.38400572084148488</v>
      </c>
    </row>
    <row r="366" spans="1:10">
      <c r="A366">
        <v>365</v>
      </c>
      <c r="B366" t="s">
        <v>84</v>
      </c>
      <c r="C366" s="34">
        <v>42309</v>
      </c>
      <c r="D366" t="s">
        <v>85</v>
      </c>
      <c r="E366" t="s">
        <v>86</v>
      </c>
      <c r="F366" t="s">
        <v>89</v>
      </c>
      <c r="G366">
        <v>3.6073950517004398E-4</v>
      </c>
      <c r="H366" t="s">
        <v>123</v>
      </c>
      <c r="I366" t="s">
        <v>91</v>
      </c>
      <c r="J366">
        <f t="shared" si="5"/>
        <v>0.43202956039877227</v>
      </c>
    </row>
    <row r="367" spans="1:10">
      <c r="A367">
        <v>366</v>
      </c>
      <c r="B367" t="s">
        <v>84</v>
      </c>
      <c r="C367" s="34">
        <v>42339</v>
      </c>
      <c r="D367" t="s">
        <v>85</v>
      </c>
      <c r="E367" t="s">
        <v>86</v>
      </c>
      <c r="F367" t="s">
        <v>89</v>
      </c>
      <c r="G367">
        <v>4.5384698989175699E-4</v>
      </c>
      <c r="H367" t="s">
        <v>123</v>
      </c>
      <c r="I367" t="s">
        <v>91</v>
      </c>
      <c r="J367">
        <f t="shared" si="5"/>
        <v>0.54325899358168561</v>
      </c>
    </row>
    <row r="368" spans="1:10">
      <c r="A368">
        <v>367</v>
      </c>
      <c r="B368" t="s">
        <v>84</v>
      </c>
      <c r="C368" s="34">
        <v>42370</v>
      </c>
      <c r="D368" t="s">
        <v>85</v>
      </c>
      <c r="E368" t="s">
        <v>86</v>
      </c>
      <c r="F368" t="s">
        <v>89</v>
      </c>
      <c r="G368">
        <v>4.5310895352967002E-4</v>
      </c>
      <c r="H368" t="s">
        <v>123</v>
      </c>
      <c r="I368" t="s">
        <v>91</v>
      </c>
      <c r="J368">
        <f t="shared" si="5"/>
        <v>0.54237775776263542</v>
      </c>
    </row>
    <row r="369" spans="1:10">
      <c r="A369">
        <v>368</v>
      </c>
      <c r="B369" t="s">
        <v>84</v>
      </c>
      <c r="C369" s="34">
        <v>42401</v>
      </c>
      <c r="D369" t="s">
        <v>85</v>
      </c>
      <c r="E369" t="s">
        <v>86</v>
      </c>
      <c r="F369" t="s">
        <v>89</v>
      </c>
      <c r="G369">
        <v>5.3072863711202704E-4</v>
      </c>
      <c r="H369" t="s">
        <v>123</v>
      </c>
      <c r="I369" t="s">
        <v>91</v>
      </c>
      <c r="J369">
        <f t="shared" si="5"/>
        <v>0.63501860838225399</v>
      </c>
    </row>
    <row r="370" spans="1:10">
      <c r="A370">
        <v>369</v>
      </c>
      <c r="B370" t="s">
        <v>84</v>
      </c>
      <c r="C370" s="34">
        <v>42430</v>
      </c>
      <c r="D370" t="s">
        <v>85</v>
      </c>
      <c r="E370" t="s">
        <v>86</v>
      </c>
      <c r="F370" t="s">
        <v>89</v>
      </c>
      <c r="G370">
        <v>6.2860700704309397E-4</v>
      </c>
      <c r="H370" t="s">
        <v>123</v>
      </c>
      <c r="I370" t="s">
        <v>91</v>
      </c>
      <c r="J370">
        <f t="shared" si="5"/>
        <v>0.75172589667777956</v>
      </c>
    </row>
    <row r="371" spans="1:10">
      <c r="A371">
        <v>370</v>
      </c>
      <c r="B371" t="s">
        <v>84</v>
      </c>
      <c r="C371" s="34">
        <v>42461</v>
      </c>
      <c r="D371" t="s">
        <v>85</v>
      </c>
      <c r="E371" t="s">
        <v>86</v>
      </c>
      <c r="F371" t="s">
        <v>89</v>
      </c>
      <c r="G371">
        <v>6.3164573197242203E-4</v>
      </c>
      <c r="H371" t="s">
        <v>123</v>
      </c>
      <c r="I371" t="s">
        <v>91</v>
      </c>
      <c r="J371">
        <f t="shared" si="5"/>
        <v>0.7553471709698778</v>
      </c>
    </row>
    <row r="372" spans="1:10">
      <c r="A372">
        <v>371</v>
      </c>
      <c r="B372" t="s">
        <v>84</v>
      </c>
      <c r="C372" s="34">
        <v>42491</v>
      </c>
      <c r="D372" t="s">
        <v>85</v>
      </c>
      <c r="E372" t="s">
        <v>86</v>
      </c>
      <c r="F372" t="s">
        <v>89</v>
      </c>
      <c r="G372">
        <v>6.5513175694906103E-4</v>
      </c>
      <c r="H372" t="s">
        <v>123</v>
      </c>
      <c r="I372" t="s">
        <v>91</v>
      </c>
      <c r="J372">
        <f t="shared" si="5"/>
        <v>0.78333158092663835</v>
      </c>
    </row>
    <row r="373" spans="1:10">
      <c r="A373">
        <v>372</v>
      </c>
      <c r="B373" t="s">
        <v>84</v>
      </c>
      <c r="C373" s="34">
        <v>42522</v>
      </c>
      <c r="D373" t="s">
        <v>85</v>
      </c>
      <c r="E373" t="s">
        <v>86</v>
      </c>
      <c r="F373" t="s">
        <v>89</v>
      </c>
      <c r="G373">
        <v>7.0498125914944705E-4</v>
      </c>
      <c r="H373" t="s">
        <v>123</v>
      </c>
      <c r="I373" t="s">
        <v>91</v>
      </c>
      <c r="J373">
        <f t="shared" si="5"/>
        <v>0.84270501640925088</v>
      </c>
    </row>
    <row r="374" spans="1:10">
      <c r="A374">
        <v>373</v>
      </c>
      <c r="B374" t="s">
        <v>84</v>
      </c>
      <c r="C374" s="34">
        <v>42552</v>
      </c>
      <c r="D374" t="s">
        <v>85</v>
      </c>
      <c r="E374" t="s">
        <v>86</v>
      </c>
      <c r="F374" t="s">
        <v>89</v>
      </c>
      <c r="G374">
        <v>6.5412341344750903E-4</v>
      </c>
      <c r="H374" t="s">
        <v>123</v>
      </c>
      <c r="I374" t="s">
        <v>91</v>
      </c>
      <c r="J374">
        <f t="shared" si="5"/>
        <v>0.78213025344227027</v>
      </c>
    </row>
    <row r="375" spans="1:10">
      <c r="A375">
        <v>374</v>
      </c>
      <c r="B375" t="s">
        <v>84</v>
      </c>
      <c r="C375" s="34">
        <v>42583</v>
      </c>
      <c r="D375" t="s">
        <v>85</v>
      </c>
      <c r="E375" t="s">
        <v>86</v>
      </c>
      <c r="F375" t="s">
        <v>89</v>
      </c>
      <c r="G375">
        <v>7.6451737147280698E-4</v>
      </c>
      <c r="H375" t="s">
        <v>123</v>
      </c>
      <c r="I375" t="s">
        <v>91</v>
      </c>
      <c r="J375">
        <f t="shared" si="5"/>
        <v>0.91357304663012284</v>
      </c>
    </row>
    <row r="376" spans="1:10">
      <c r="A376">
        <v>375</v>
      </c>
      <c r="B376" t="s">
        <v>84</v>
      </c>
      <c r="C376" s="34">
        <v>42614</v>
      </c>
      <c r="D376" t="s">
        <v>85</v>
      </c>
      <c r="E376" t="s">
        <v>86</v>
      </c>
      <c r="F376" t="s">
        <v>89</v>
      </c>
      <c r="G376">
        <v>7.0739546861551996E-4</v>
      </c>
      <c r="H376" t="s">
        <v>123</v>
      </c>
      <c r="I376" t="s">
        <v>91</v>
      </c>
      <c r="J376">
        <f t="shared" si="5"/>
        <v>0.84557964255909113</v>
      </c>
    </row>
    <row r="377" spans="1:10">
      <c r="A377">
        <v>376</v>
      </c>
      <c r="B377" t="s">
        <v>84</v>
      </c>
      <c r="C377" s="34">
        <v>42644</v>
      </c>
      <c r="D377" t="s">
        <v>85</v>
      </c>
      <c r="E377" t="s">
        <v>86</v>
      </c>
      <c r="F377" t="s">
        <v>89</v>
      </c>
      <c r="G377">
        <v>7.15465712325652E-4</v>
      </c>
      <c r="H377" t="s">
        <v>123</v>
      </c>
      <c r="I377" t="s">
        <v>91</v>
      </c>
      <c r="J377">
        <f t="shared" si="5"/>
        <v>0.8551884173035651</v>
      </c>
    </row>
    <row r="378" spans="1:10">
      <c r="A378">
        <v>377</v>
      </c>
      <c r="B378" t="s">
        <v>84</v>
      </c>
      <c r="C378" s="34">
        <v>42675</v>
      </c>
      <c r="D378" t="s">
        <v>85</v>
      </c>
      <c r="E378" t="s">
        <v>86</v>
      </c>
      <c r="F378" t="s">
        <v>89</v>
      </c>
      <c r="G378">
        <v>7.2262565644284004E-4</v>
      </c>
      <c r="H378" t="s">
        <v>123</v>
      </c>
      <c r="I378" t="s">
        <v>91</v>
      </c>
      <c r="J378">
        <f t="shared" si="5"/>
        <v>0.86371263612897708</v>
      </c>
    </row>
    <row r="379" spans="1:10">
      <c r="A379">
        <v>378</v>
      </c>
      <c r="B379" t="s">
        <v>84</v>
      </c>
      <c r="C379" s="34">
        <v>42705</v>
      </c>
      <c r="D379" t="s">
        <v>85</v>
      </c>
      <c r="E379" t="s">
        <v>86</v>
      </c>
      <c r="F379" t="s">
        <v>89</v>
      </c>
      <c r="G379">
        <v>7.29127968731865E-4</v>
      </c>
      <c r="H379" t="s">
        <v>123</v>
      </c>
      <c r="I379" t="s">
        <v>91</v>
      </c>
      <c r="J379">
        <f t="shared" si="5"/>
        <v>0.87145333411883241</v>
      </c>
    </row>
    <row r="380" spans="1:10">
      <c r="A380">
        <v>379</v>
      </c>
      <c r="B380" t="s">
        <v>84</v>
      </c>
      <c r="C380" s="34">
        <v>42736</v>
      </c>
      <c r="D380" t="s">
        <v>85</v>
      </c>
      <c r="E380" t="s">
        <v>86</v>
      </c>
      <c r="F380" t="s">
        <v>89</v>
      </c>
      <c r="G380">
        <v>7.0013515868946397E-4</v>
      </c>
      <c r="H380" t="s">
        <v>123</v>
      </c>
      <c r="I380" t="s">
        <v>91</v>
      </c>
      <c r="J380">
        <f t="shared" si="5"/>
        <v>0.83693447993159475</v>
      </c>
    </row>
    <row r="381" spans="1:10">
      <c r="A381">
        <v>380</v>
      </c>
      <c r="B381" t="s">
        <v>84</v>
      </c>
      <c r="C381" s="34">
        <v>42767</v>
      </c>
      <c r="D381" t="s">
        <v>85</v>
      </c>
      <c r="E381" t="s">
        <v>86</v>
      </c>
      <c r="F381" t="s">
        <v>89</v>
      </c>
      <c r="G381">
        <v>6.7023058453955203E-4</v>
      </c>
      <c r="H381" t="s">
        <v>123</v>
      </c>
      <c r="I381" t="s">
        <v>91</v>
      </c>
      <c r="J381">
        <f t="shared" si="5"/>
        <v>0.80131853544900267</v>
      </c>
    </row>
    <row r="382" spans="1:10">
      <c r="A382">
        <v>381</v>
      </c>
      <c r="B382" t="s">
        <v>84</v>
      </c>
      <c r="C382" s="34">
        <v>42795</v>
      </c>
      <c r="D382" t="s">
        <v>85</v>
      </c>
      <c r="E382" t="s">
        <v>86</v>
      </c>
      <c r="F382" t="s">
        <v>89</v>
      </c>
      <c r="G382">
        <v>8.1718170789842298E-4</v>
      </c>
      <c r="H382" t="s">
        <v>123</v>
      </c>
      <c r="I382" t="s">
        <v>91</v>
      </c>
      <c r="J382">
        <f t="shared" si="5"/>
        <v>0.97622264565853101</v>
      </c>
    </row>
    <row r="383" spans="1:10">
      <c r="A383">
        <v>382</v>
      </c>
      <c r="B383" t="s">
        <v>84</v>
      </c>
      <c r="C383" s="34">
        <v>42826</v>
      </c>
      <c r="D383" t="s">
        <v>85</v>
      </c>
      <c r="E383" t="s">
        <v>86</v>
      </c>
      <c r="F383" t="s">
        <v>89</v>
      </c>
      <c r="G383">
        <v>6.79673258193397E-4</v>
      </c>
      <c r="H383" t="s">
        <v>123</v>
      </c>
      <c r="I383" t="s">
        <v>91</v>
      </c>
      <c r="J383">
        <f t="shared" si="5"/>
        <v>0.81256589894710407</v>
      </c>
    </row>
    <row r="384" spans="1:10">
      <c r="A384">
        <v>383</v>
      </c>
      <c r="B384" t="s">
        <v>84</v>
      </c>
      <c r="C384" s="34">
        <v>42856</v>
      </c>
      <c r="D384" t="s">
        <v>85</v>
      </c>
      <c r="E384" t="s">
        <v>86</v>
      </c>
      <c r="F384" t="s">
        <v>89</v>
      </c>
      <c r="G384">
        <v>7.92108042292918E-4</v>
      </c>
      <c r="H384" t="s">
        <v>123</v>
      </c>
      <c r="I384" t="s">
        <v>91</v>
      </c>
      <c r="J384">
        <f t="shared" si="5"/>
        <v>0.94639949321633221</v>
      </c>
    </row>
    <row r="385" spans="1:10">
      <c r="A385">
        <v>384</v>
      </c>
      <c r="B385" t="s">
        <v>84</v>
      </c>
      <c r="C385" s="34">
        <v>42887</v>
      </c>
      <c r="D385" t="s">
        <v>85</v>
      </c>
      <c r="E385" t="s">
        <v>86</v>
      </c>
      <c r="F385" t="s">
        <v>89</v>
      </c>
      <c r="G385">
        <v>7.9703209285146505E-4</v>
      </c>
      <c r="H385" t="s">
        <v>123</v>
      </c>
      <c r="I385" t="s">
        <v>91</v>
      </c>
      <c r="J385">
        <f t="shared" si="5"/>
        <v>0.95225691353484354</v>
      </c>
    </row>
    <row r="386" spans="1:10">
      <c r="A386">
        <v>385</v>
      </c>
      <c r="B386" t="s">
        <v>84</v>
      </c>
      <c r="C386" s="34">
        <v>42917</v>
      </c>
      <c r="D386" t="s">
        <v>85</v>
      </c>
      <c r="E386" t="s">
        <v>86</v>
      </c>
      <c r="F386" t="s">
        <v>89</v>
      </c>
      <c r="G386">
        <v>7.2889168550996602E-4</v>
      </c>
      <c r="H386" t="s">
        <v>123</v>
      </c>
      <c r="I386" t="s">
        <v>91</v>
      </c>
      <c r="J386">
        <f t="shared" si="5"/>
        <v>0.87117205971967149</v>
      </c>
    </row>
    <row r="387" spans="1:10">
      <c r="A387">
        <v>386</v>
      </c>
      <c r="B387" t="s">
        <v>84</v>
      </c>
      <c r="C387" s="34">
        <v>42948</v>
      </c>
      <c r="D387" t="s">
        <v>85</v>
      </c>
      <c r="E387" t="s">
        <v>86</v>
      </c>
      <c r="F387" t="s">
        <v>89</v>
      </c>
      <c r="G387">
        <v>8.4302099782091898E-4</v>
      </c>
      <c r="H387" t="s">
        <v>123</v>
      </c>
      <c r="I387" t="s">
        <v>91</v>
      </c>
      <c r="J387">
        <f t="shared" ref="J387:J433" si="6">100*(1-(1-G387)^12)</f>
        <v>1.006947836040728</v>
      </c>
    </row>
    <row r="388" spans="1:10">
      <c r="A388">
        <v>387</v>
      </c>
      <c r="B388" t="s">
        <v>84</v>
      </c>
      <c r="C388" s="34">
        <v>42979</v>
      </c>
      <c r="D388" t="s">
        <v>85</v>
      </c>
      <c r="E388" t="s">
        <v>86</v>
      </c>
      <c r="F388" t="s">
        <v>89</v>
      </c>
      <c r="G388">
        <v>7.3709408021639298E-4</v>
      </c>
      <c r="H388" t="s">
        <v>123</v>
      </c>
      <c r="I388" t="s">
        <v>91</v>
      </c>
      <c r="J388">
        <f t="shared" si="6"/>
        <v>0.88093586127221402</v>
      </c>
    </row>
    <row r="389" spans="1:10">
      <c r="A389">
        <v>388</v>
      </c>
      <c r="B389" t="s">
        <v>84</v>
      </c>
      <c r="C389" s="34">
        <v>43009</v>
      </c>
      <c r="D389" t="s">
        <v>85</v>
      </c>
      <c r="E389" t="s">
        <v>86</v>
      </c>
      <c r="F389" t="s">
        <v>89</v>
      </c>
      <c r="G389">
        <v>8.15094322623594E-4</v>
      </c>
      <c r="H389" t="s">
        <v>123</v>
      </c>
      <c r="I389" t="s">
        <v>91</v>
      </c>
      <c r="J389">
        <f t="shared" si="6"/>
        <v>0.97374017923576028</v>
      </c>
    </row>
    <row r="390" spans="1:10">
      <c r="A390">
        <v>389</v>
      </c>
      <c r="B390" t="s">
        <v>84</v>
      </c>
      <c r="C390" s="34">
        <v>43040</v>
      </c>
      <c r="D390" t="s">
        <v>85</v>
      </c>
      <c r="E390" t="s">
        <v>86</v>
      </c>
      <c r="F390" t="s">
        <v>89</v>
      </c>
      <c r="G390">
        <v>7.7804654370398495E-4</v>
      </c>
      <c r="H390" t="s">
        <v>123</v>
      </c>
      <c r="I390" t="s">
        <v>91</v>
      </c>
      <c r="J390">
        <f t="shared" si="6"/>
        <v>0.92967084382857834</v>
      </c>
    </row>
    <row r="391" spans="1:10">
      <c r="A391">
        <v>390</v>
      </c>
      <c r="B391" t="s">
        <v>84</v>
      </c>
      <c r="C391" s="34">
        <v>43070</v>
      </c>
      <c r="D391" t="s">
        <v>85</v>
      </c>
      <c r="E391" t="s">
        <v>86</v>
      </c>
      <c r="F391" t="s">
        <v>89</v>
      </c>
      <c r="G391">
        <v>7.1935396290220301E-4</v>
      </c>
      <c r="H391" t="s">
        <v>123</v>
      </c>
      <c r="I391" t="s">
        <v>91</v>
      </c>
      <c r="J391">
        <f t="shared" si="6"/>
        <v>0.85981762879705492</v>
      </c>
    </row>
    <row r="392" spans="1:10">
      <c r="A392">
        <v>391</v>
      </c>
      <c r="B392" t="s">
        <v>84</v>
      </c>
      <c r="C392" s="34">
        <v>43101</v>
      </c>
      <c r="D392" t="s">
        <v>85</v>
      </c>
      <c r="E392" t="s">
        <v>86</v>
      </c>
      <c r="F392" t="s">
        <v>89</v>
      </c>
      <c r="G392">
        <v>7.43299060864109E-4</v>
      </c>
      <c r="H392" t="s">
        <v>123</v>
      </c>
      <c r="I392" t="s">
        <v>91</v>
      </c>
      <c r="J392">
        <f t="shared" si="6"/>
        <v>0.88832143557915355</v>
      </c>
    </row>
    <row r="393" spans="1:10">
      <c r="A393">
        <v>392</v>
      </c>
      <c r="B393" t="s">
        <v>84</v>
      </c>
      <c r="C393" s="34">
        <v>43132</v>
      </c>
      <c r="D393" t="s">
        <v>85</v>
      </c>
      <c r="E393" t="s">
        <v>86</v>
      </c>
      <c r="F393" t="s">
        <v>89</v>
      </c>
      <c r="G393">
        <v>6.5256756976161501E-4</v>
      </c>
      <c r="H393" t="s">
        <v>123</v>
      </c>
      <c r="I393" t="s">
        <v>91</v>
      </c>
      <c r="J393">
        <f t="shared" si="6"/>
        <v>0.78027661511823609</v>
      </c>
    </row>
    <row r="394" spans="1:10">
      <c r="A394">
        <v>393</v>
      </c>
      <c r="B394" t="s">
        <v>84</v>
      </c>
      <c r="C394" s="34">
        <v>43160</v>
      </c>
      <c r="D394" t="s">
        <v>85</v>
      </c>
      <c r="E394" t="s">
        <v>86</v>
      </c>
      <c r="F394" t="s">
        <v>89</v>
      </c>
      <c r="G394">
        <v>6.9516877652656898E-4</v>
      </c>
      <c r="H394" t="s">
        <v>123</v>
      </c>
      <c r="I394" t="s">
        <v>91</v>
      </c>
      <c r="J394">
        <f t="shared" si="6"/>
        <v>0.83102039757467772</v>
      </c>
    </row>
    <row r="395" spans="1:10">
      <c r="A395">
        <v>394</v>
      </c>
      <c r="B395" t="s">
        <v>84</v>
      </c>
      <c r="C395" s="34">
        <v>43191</v>
      </c>
      <c r="D395" t="s">
        <v>85</v>
      </c>
      <c r="E395" t="s">
        <v>86</v>
      </c>
      <c r="F395" t="s">
        <v>89</v>
      </c>
      <c r="G395">
        <v>6.7081551666018497E-4</v>
      </c>
      <c r="H395" t="s">
        <v>123</v>
      </c>
      <c r="I395" t="s">
        <v>91</v>
      </c>
      <c r="J395">
        <f t="shared" si="6"/>
        <v>0.80201529413774786</v>
      </c>
    </row>
    <row r="396" spans="1:10">
      <c r="A396">
        <v>395</v>
      </c>
      <c r="B396" t="s">
        <v>84</v>
      </c>
      <c r="C396" s="34">
        <v>43221</v>
      </c>
      <c r="D396" t="s">
        <v>85</v>
      </c>
      <c r="E396" t="s">
        <v>86</v>
      </c>
      <c r="F396" t="s">
        <v>89</v>
      </c>
      <c r="G396">
        <v>6.8173113074190004E-4</v>
      </c>
      <c r="H396" t="s">
        <v>123</v>
      </c>
      <c r="I396" t="s">
        <v>91</v>
      </c>
      <c r="J396">
        <f t="shared" si="6"/>
        <v>0.815016918271394</v>
      </c>
    </row>
    <row r="397" spans="1:10">
      <c r="A397">
        <v>396</v>
      </c>
      <c r="B397" t="s">
        <v>84</v>
      </c>
      <c r="C397" s="34">
        <v>43252</v>
      </c>
      <c r="D397" t="s">
        <v>85</v>
      </c>
      <c r="E397" t="s">
        <v>86</v>
      </c>
      <c r="F397" t="s">
        <v>89</v>
      </c>
      <c r="G397">
        <v>6.3536059586794696E-4</v>
      </c>
      <c r="H397" t="s">
        <v>123</v>
      </c>
      <c r="I397" t="s">
        <v>91</v>
      </c>
      <c r="J397">
        <f t="shared" si="6"/>
        <v>0.75977404126570391</v>
      </c>
    </row>
    <row r="398" spans="1:10">
      <c r="A398">
        <v>397</v>
      </c>
      <c r="B398" t="s">
        <v>84</v>
      </c>
      <c r="C398" s="34">
        <v>43282</v>
      </c>
      <c r="D398" t="s">
        <v>85</v>
      </c>
      <c r="E398" t="s">
        <v>86</v>
      </c>
      <c r="F398" t="s">
        <v>89</v>
      </c>
      <c r="G398">
        <v>6.2411446424738299E-4</v>
      </c>
      <c r="H398" t="s">
        <v>123</v>
      </c>
      <c r="I398" t="s">
        <v>91</v>
      </c>
      <c r="J398">
        <f t="shared" si="6"/>
        <v>0.74637187338421063</v>
      </c>
    </row>
    <row r="399" spans="1:10">
      <c r="A399">
        <v>398</v>
      </c>
      <c r="B399" t="s">
        <v>84</v>
      </c>
      <c r="C399" s="34">
        <v>43313</v>
      </c>
      <c r="D399" t="s">
        <v>85</v>
      </c>
      <c r="E399" t="s">
        <v>86</v>
      </c>
      <c r="F399" t="s">
        <v>89</v>
      </c>
      <c r="G399">
        <v>6.7485004746709498E-4</v>
      </c>
      <c r="H399" t="s">
        <v>123</v>
      </c>
      <c r="I399" t="s">
        <v>91</v>
      </c>
      <c r="J399">
        <f t="shared" si="6"/>
        <v>0.80682101915653393</v>
      </c>
    </row>
    <row r="400" spans="1:10">
      <c r="A400">
        <v>399</v>
      </c>
      <c r="B400" t="s">
        <v>84</v>
      </c>
      <c r="C400" s="34">
        <v>43344</v>
      </c>
      <c r="D400" t="s">
        <v>85</v>
      </c>
      <c r="E400" t="s">
        <v>86</v>
      </c>
      <c r="F400" t="s">
        <v>89</v>
      </c>
      <c r="G400">
        <v>5.5254374366119096E-4</v>
      </c>
      <c r="H400" t="s">
        <v>123</v>
      </c>
      <c r="I400" t="s">
        <v>91</v>
      </c>
      <c r="J400">
        <f t="shared" si="6"/>
        <v>0.6610411887695733</v>
      </c>
    </row>
    <row r="401" spans="1:10">
      <c r="A401">
        <v>400</v>
      </c>
      <c r="B401" t="s">
        <v>84</v>
      </c>
      <c r="C401" s="34">
        <v>43374</v>
      </c>
      <c r="D401" t="s">
        <v>85</v>
      </c>
      <c r="E401" t="s">
        <v>86</v>
      </c>
      <c r="F401" t="s">
        <v>89</v>
      </c>
      <c r="G401">
        <v>6.6486681630550796E-4</v>
      </c>
      <c r="H401" t="s">
        <v>123</v>
      </c>
      <c r="I401" t="s">
        <v>91</v>
      </c>
      <c r="J401">
        <f t="shared" si="6"/>
        <v>0.79492911973901847</v>
      </c>
    </row>
    <row r="402" spans="1:10">
      <c r="A402">
        <v>401</v>
      </c>
      <c r="B402" t="s">
        <v>84</v>
      </c>
      <c r="C402" s="34">
        <v>43405</v>
      </c>
      <c r="D402" t="s">
        <v>85</v>
      </c>
      <c r="E402" t="s">
        <v>86</v>
      </c>
      <c r="F402" t="s">
        <v>89</v>
      </c>
      <c r="G402">
        <v>6.0468037133263404E-4</v>
      </c>
      <c r="H402" t="s">
        <v>123</v>
      </c>
      <c r="I402" t="s">
        <v>91</v>
      </c>
      <c r="J402">
        <f t="shared" si="6"/>
        <v>0.7232080899434612</v>
      </c>
    </row>
    <row r="403" spans="1:10">
      <c r="A403">
        <v>402</v>
      </c>
      <c r="B403" t="s">
        <v>84</v>
      </c>
      <c r="C403" s="34">
        <v>43435</v>
      </c>
      <c r="D403" t="s">
        <v>85</v>
      </c>
      <c r="E403" t="s">
        <v>86</v>
      </c>
      <c r="F403" t="s">
        <v>89</v>
      </c>
      <c r="G403">
        <v>5.7447720362577704E-4</v>
      </c>
      <c r="H403" t="s">
        <v>123</v>
      </c>
      <c r="I403" t="s">
        <v>91</v>
      </c>
      <c r="J403">
        <f t="shared" si="6"/>
        <v>0.68719865119369894</v>
      </c>
    </row>
    <row r="404" spans="1:10">
      <c r="A404">
        <v>403</v>
      </c>
      <c r="B404" t="s">
        <v>84</v>
      </c>
      <c r="C404" s="34">
        <v>43466</v>
      </c>
      <c r="D404" t="s">
        <v>85</v>
      </c>
      <c r="E404" t="s">
        <v>86</v>
      </c>
      <c r="F404" t="s">
        <v>89</v>
      </c>
      <c r="G404">
        <v>6.0233352275719195E-4</v>
      </c>
      <c r="H404" t="s">
        <v>123</v>
      </c>
      <c r="I404" t="s">
        <v>91</v>
      </c>
      <c r="J404">
        <f t="shared" si="6"/>
        <v>0.72041051102031961</v>
      </c>
    </row>
    <row r="405" spans="1:10">
      <c r="A405">
        <v>404</v>
      </c>
      <c r="B405" t="s">
        <v>84</v>
      </c>
      <c r="C405" s="34">
        <v>43497</v>
      </c>
      <c r="D405" t="s">
        <v>85</v>
      </c>
      <c r="E405" t="s">
        <v>86</v>
      </c>
      <c r="F405" t="s">
        <v>89</v>
      </c>
      <c r="G405">
        <v>5.4455700318241298E-4</v>
      </c>
      <c r="H405" t="s">
        <v>123</v>
      </c>
      <c r="I405" t="s">
        <v>91</v>
      </c>
      <c r="J405">
        <f t="shared" si="6"/>
        <v>0.65151477274619785</v>
      </c>
    </row>
    <row r="406" spans="1:10">
      <c r="A406">
        <v>405</v>
      </c>
      <c r="B406" t="s">
        <v>84</v>
      </c>
      <c r="C406" s="34">
        <v>43525</v>
      </c>
      <c r="D406" t="s">
        <v>85</v>
      </c>
      <c r="E406" t="s">
        <v>86</v>
      </c>
      <c r="F406" t="s">
        <v>89</v>
      </c>
      <c r="G406">
        <v>6.0169772085402003E-4</v>
      </c>
      <c r="H406" t="s">
        <v>123</v>
      </c>
      <c r="I406" t="s">
        <v>91</v>
      </c>
      <c r="J406">
        <f t="shared" si="6"/>
        <v>0.71965258602302296</v>
      </c>
    </row>
    <row r="407" spans="1:10">
      <c r="A407">
        <v>406</v>
      </c>
      <c r="B407" t="s">
        <v>84</v>
      </c>
      <c r="C407" s="34">
        <v>43556</v>
      </c>
      <c r="D407" t="s">
        <v>85</v>
      </c>
      <c r="E407" t="s">
        <v>86</v>
      </c>
      <c r="F407" t="s">
        <v>89</v>
      </c>
      <c r="G407">
        <v>6.01693884458942E-4</v>
      </c>
      <c r="H407" t="s">
        <v>123</v>
      </c>
      <c r="I407" t="s">
        <v>91</v>
      </c>
      <c r="J407">
        <f t="shared" si="6"/>
        <v>0.71964801272755841</v>
      </c>
    </row>
    <row r="408" spans="1:10">
      <c r="A408">
        <v>407</v>
      </c>
      <c r="B408" t="s">
        <v>84</v>
      </c>
      <c r="C408" s="34">
        <v>43586</v>
      </c>
      <c r="D408" t="s">
        <v>85</v>
      </c>
      <c r="E408" t="s">
        <v>86</v>
      </c>
      <c r="F408" t="s">
        <v>89</v>
      </c>
      <c r="G408">
        <v>6.3045814759186904E-4</v>
      </c>
      <c r="H408" t="s">
        <v>123</v>
      </c>
      <c r="I408" t="s">
        <v>91</v>
      </c>
      <c r="J408">
        <f t="shared" si="6"/>
        <v>0.75393193100113942</v>
      </c>
    </row>
    <row r="409" spans="1:10">
      <c r="A409">
        <v>408</v>
      </c>
      <c r="B409" t="s">
        <v>84</v>
      </c>
      <c r="C409" s="34">
        <v>43617</v>
      </c>
      <c r="D409" t="s">
        <v>85</v>
      </c>
      <c r="E409" t="s">
        <v>86</v>
      </c>
      <c r="F409" t="s">
        <v>89</v>
      </c>
      <c r="G409">
        <v>5.7330819762154296E-4</v>
      </c>
      <c r="H409" t="s">
        <v>123</v>
      </c>
      <c r="I409" t="s">
        <v>91</v>
      </c>
      <c r="J409">
        <f t="shared" si="6"/>
        <v>0.68580467429028014</v>
      </c>
    </row>
    <row r="410" spans="1:10">
      <c r="A410">
        <v>409</v>
      </c>
      <c r="B410" t="s">
        <v>84</v>
      </c>
      <c r="C410" s="34">
        <v>43647</v>
      </c>
      <c r="D410" t="s">
        <v>85</v>
      </c>
      <c r="E410" t="s">
        <v>86</v>
      </c>
      <c r="F410" t="s">
        <v>89</v>
      </c>
      <c r="G410">
        <v>6.3085631120048797E-4</v>
      </c>
      <c r="H410" t="s">
        <v>123</v>
      </c>
      <c r="I410" t="s">
        <v>91</v>
      </c>
      <c r="J410">
        <f t="shared" si="6"/>
        <v>0.75440642318070905</v>
      </c>
    </row>
    <row r="411" spans="1:10">
      <c r="A411">
        <v>410</v>
      </c>
      <c r="B411" t="s">
        <v>84</v>
      </c>
      <c r="C411" s="34">
        <v>43678</v>
      </c>
      <c r="D411" t="s">
        <v>85</v>
      </c>
      <c r="E411" t="s">
        <v>86</v>
      </c>
      <c r="F411" t="s">
        <v>89</v>
      </c>
      <c r="G411">
        <v>6.3108824314928903E-4</v>
      </c>
      <c r="H411" t="s">
        <v>123</v>
      </c>
      <c r="I411" t="s">
        <v>91</v>
      </c>
      <c r="J411">
        <f t="shared" si="6"/>
        <v>0.75468281587934838</v>
      </c>
    </row>
    <row r="412" spans="1:10">
      <c r="A412">
        <v>411</v>
      </c>
      <c r="B412" t="s">
        <v>84</v>
      </c>
      <c r="C412" s="34">
        <v>43709</v>
      </c>
      <c r="D412" t="s">
        <v>85</v>
      </c>
      <c r="E412" t="s">
        <v>86</v>
      </c>
      <c r="F412" t="s">
        <v>89</v>
      </c>
      <c r="G412">
        <v>5.7392747514245501E-4</v>
      </c>
      <c r="H412" t="s">
        <v>123</v>
      </c>
      <c r="I412" t="s">
        <v>91</v>
      </c>
      <c r="J412">
        <f t="shared" si="6"/>
        <v>0.68654313172272774</v>
      </c>
    </row>
    <row r="413" spans="1:10">
      <c r="A413">
        <v>412</v>
      </c>
      <c r="B413" t="s">
        <v>84</v>
      </c>
      <c r="C413" s="34">
        <v>43739</v>
      </c>
      <c r="D413" t="s">
        <v>85</v>
      </c>
      <c r="E413" t="s">
        <v>86</v>
      </c>
      <c r="F413" t="s">
        <v>89</v>
      </c>
      <c r="G413">
        <v>6.6024906212702901E-4</v>
      </c>
      <c r="H413" t="s">
        <v>123</v>
      </c>
      <c r="I413" t="s">
        <v>91</v>
      </c>
      <c r="J413">
        <f t="shared" si="6"/>
        <v>0.78942806699214829</v>
      </c>
    </row>
    <row r="414" spans="1:10">
      <c r="A414">
        <v>413</v>
      </c>
      <c r="B414" t="s">
        <v>84</v>
      </c>
      <c r="C414" s="34">
        <v>43770</v>
      </c>
      <c r="D414" t="s">
        <v>85</v>
      </c>
      <c r="E414" t="s">
        <v>86</v>
      </c>
      <c r="F414" t="s">
        <v>89</v>
      </c>
      <c r="G414">
        <v>5.7431728038441997E-4</v>
      </c>
      <c r="H414" t="s">
        <v>123</v>
      </c>
      <c r="I414" t="s">
        <v>91</v>
      </c>
      <c r="J414">
        <f t="shared" si="6"/>
        <v>0.68700795237254253</v>
      </c>
    </row>
    <row r="415" spans="1:10">
      <c r="A415">
        <v>414</v>
      </c>
      <c r="B415" t="s">
        <v>84</v>
      </c>
      <c r="C415" s="34">
        <v>43800</v>
      </c>
      <c r="D415" t="s">
        <v>85</v>
      </c>
      <c r="E415" t="s">
        <v>86</v>
      </c>
      <c r="F415" t="s">
        <v>89</v>
      </c>
      <c r="G415">
        <v>6.0321114013630803E-4</v>
      </c>
      <c r="H415" t="s">
        <v>123</v>
      </c>
      <c r="I415" t="s">
        <v>91</v>
      </c>
      <c r="J415">
        <f t="shared" si="6"/>
        <v>0.72145669003668145</v>
      </c>
    </row>
    <row r="416" spans="1:10">
      <c r="A416">
        <v>415</v>
      </c>
      <c r="B416" t="s">
        <v>84</v>
      </c>
      <c r="C416" s="34">
        <v>43831</v>
      </c>
      <c r="D416" t="s">
        <v>85</v>
      </c>
      <c r="E416" t="s">
        <v>86</v>
      </c>
      <c r="F416" t="s">
        <v>89</v>
      </c>
      <c r="G416">
        <v>6.03367727719641E-4</v>
      </c>
      <c r="H416" t="s">
        <v>123</v>
      </c>
      <c r="I416" t="s">
        <v>91</v>
      </c>
      <c r="J416">
        <f t="shared" si="6"/>
        <v>0.72164335191861051</v>
      </c>
    </row>
    <row r="417" spans="1:10">
      <c r="A417">
        <v>416</v>
      </c>
      <c r="B417" t="s">
        <v>84</v>
      </c>
      <c r="C417" s="34">
        <v>43862</v>
      </c>
      <c r="D417" t="s">
        <v>85</v>
      </c>
      <c r="E417" t="s">
        <v>86</v>
      </c>
      <c r="F417" t="s">
        <v>89</v>
      </c>
      <c r="G417">
        <v>5.4602521259412699E-4</v>
      </c>
      <c r="H417" t="s">
        <v>123</v>
      </c>
      <c r="I417" t="s">
        <v>91</v>
      </c>
      <c r="J417">
        <f t="shared" si="6"/>
        <v>0.65326608486593329</v>
      </c>
    </row>
    <row r="418" spans="1:10">
      <c r="A418">
        <v>417</v>
      </c>
      <c r="B418" t="s">
        <v>84</v>
      </c>
      <c r="C418" s="34">
        <v>43891</v>
      </c>
      <c r="D418" t="s">
        <v>85</v>
      </c>
      <c r="E418" t="s">
        <v>86</v>
      </c>
      <c r="F418" t="s">
        <v>89</v>
      </c>
      <c r="G418">
        <v>6.3235535505677296E-4</v>
      </c>
      <c r="H418" t="s">
        <v>123</v>
      </c>
      <c r="I418" t="s">
        <v>91</v>
      </c>
      <c r="J418">
        <f t="shared" si="6"/>
        <v>0.75619281737817623</v>
      </c>
    </row>
    <row r="419" spans="1:10">
      <c r="A419">
        <v>418</v>
      </c>
      <c r="B419" t="s">
        <v>84</v>
      </c>
      <c r="C419" s="34">
        <v>43922</v>
      </c>
      <c r="D419" t="s">
        <v>85</v>
      </c>
      <c r="E419" t="s">
        <v>86</v>
      </c>
      <c r="F419" t="s">
        <v>89</v>
      </c>
      <c r="G419">
        <v>6.0369864007264599E-4</v>
      </c>
      <c r="H419" t="s">
        <v>123</v>
      </c>
      <c r="I419" t="s">
        <v>91</v>
      </c>
      <c r="J419">
        <f t="shared" si="6"/>
        <v>0.72203781842417047</v>
      </c>
    </row>
    <row r="420" spans="1:10">
      <c r="A420">
        <v>419</v>
      </c>
      <c r="B420" t="s">
        <v>84</v>
      </c>
      <c r="C420" s="34">
        <v>43952</v>
      </c>
      <c r="D420" t="s">
        <v>85</v>
      </c>
      <c r="E420" t="s">
        <v>86</v>
      </c>
      <c r="F420" t="s">
        <v>89</v>
      </c>
      <c r="G420">
        <v>5.7501119989141901E-4</v>
      </c>
      <c r="H420" t="s">
        <v>123</v>
      </c>
      <c r="I420" t="s">
        <v>91</v>
      </c>
      <c r="J420">
        <f t="shared" si="6"/>
        <v>0.68783540710596336</v>
      </c>
    </row>
    <row r="421" spans="1:10">
      <c r="A421">
        <v>420</v>
      </c>
      <c r="B421" t="s">
        <v>84</v>
      </c>
      <c r="C421" s="34">
        <v>43983</v>
      </c>
      <c r="D421" t="s">
        <v>85</v>
      </c>
      <c r="E421" t="s">
        <v>86</v>
      </c>
      <c r="F421" t="s">
        <v>89</v>
      </c>
      <c r="G421">
        <v>6.3255402356207895E-4</v>
      </c>
      <c r="H421" t="s">
        <v>123</v>
      </c>
      <c r="I421" t="s">
        <v>91</v>
      </c>
      <c r="J421">
        <f t="shared" si="6"/>
        <v>0.75642956625491253</v>
      </c>
    </row>
    <row r="422" spans="1:10">
      <c r="A422">
        <v>421</v>
      </c>
      <c r="B422" t="s">
        <v>84</v>
      </c>
      <c r="C422" s="34">
        <v>44013</v>
      </c>
      <c r="D422" t="s">
        <v>85</v>
      </c>
      <c r="E422" t="s">
        <v>86</v>
      </c>
      <c r="F422" t="s">
        <v>89</v>
      </c>
      <c r="G422">
        <v>6.3257173392685198E-4</v>
      </c>
      <c r="H422" t="s">
        <v>123</v>
      </c>
      <c r="I422" t="s">
        <v>91</v>
      </c>
      <c r="J422">
        <f t="shared" si="6"/>
        <v>0.75645067128086163</v>
      </c>
    </row>
    <row r="423" spans="1:10">
      <c r="A423">
        <v>422</v>
      </c>
      <c r="B423" t="s">
        <v>84</v>
      </c>
      <c r="C423" s="34">
        <v>44044</v>
      </c>
      <c r="D423" t="s">
        <v>85</v>
      </c>
      <c r="E423" t="s">
        <v>86</v>
      </c>
      <c r="F423" t="s">
        <v>89</v>
      </c>
      <c r="G423">
        <v>6.0381296789347599E-4</v>
      </c>
      <c r="H423" t="s">
        <v>123</v>
      </c>
      <c r="I423" t="s">
        <v>91</v>
      </c>
      <c r="J423">
        <f t="shared" si="6"/>
        <v>0.72217410341043342</v>
      </c>
    </row>
    <row r="424" spans="1:10">
      <c r="A424">
        <v>423</v>
      </c>
      <c r="B424" t="s">
        <v>84</v>
      </c>
      <c r="C424" s="34">
        <v>44075</v>
      </c>
      <c r="D424" t="s">
        <v>85</v>
      </c>
      <c r="E424" t="s">
        <v>86</v>
      </c>
      <c r="F424" t="s">
        <v>89</v>
      </c>
      <c r="G424">
        <v>6.0378559449414902E-4</v>
      </c>
      <c r="H424" t="s">
        <v>123</v>
      </c>
      <c r="I424" t="s">
        <v>91</v>
      </c>
      <c r="J424">
        <f t="shared" si="6"/>
        <v>0.72214147284394015</v>
      </c>
    </row>
    <row r="425" spans="1:10">
      <c r="A425">
        <v>424</v>
      </c>
      <c r="B425" t="s">
        <v>84</v>
      </c>
      <c r="C425" s="34">
        <v>44105</v>
      </c>
      <c r="D425" t="s">
        <v>85</v>
      </c>
      <c r="E425" t="s">
        <v>86</v>
      </c>
      <c r="F425" t="s">
        <v>89</v>
      </c>
      <c r="G425">
        <v>6.3248630229352195E-4</v>
      </c>
      <c r="H425" t="s">
        <v>123</v>
      </c>
      <c r="I425" t="s">
        <v>91</v>
      </c>
      <c r="J425">
        <f t="shared" si="6"/>
        <v>0.75634886437067061</v>
      </c>
    </row>
    <row r="426" spans="1:10">
      <c r="A426">
        <v>425</v>
      </c>
      <c r="B426" t="s">
        <v>84</v>
      </c>
      <c r="C426" s="34">
        <v>44136</v>
      </c>
      <c r="D426" t="s">
        <v>85</v>
      </c>
      <c r="E426" t="s">
        <v>86</v>
      </c>
      <c r="F426" t="s">
        <v>89</v>
      </c>
      <c r="G426">
        <v>5.7492147183279597E-4</v>
      </c>
      <c r="H426" t="s">
        <v>123</v>
      </c>
      <c r="I426" t="s">
        <v>91</v>
      </c>
      <c r="J426">
        <f t="shared" si="6"/>
        <v>0.68772841247731753</v>
      </c>
    </row>
    <row r="427" spans="1:10">
      <c r="A427">
        <v>426</v>
      </c>
      <c r="B427" t="s">
        <v>84</v>
      </c>
      <c r="C427" s="34">
        <v>44166</v>
      </c>
      <c r="D427" t="s">
        <v>85</v>
      </c>
      <c r="E427" t="s">
        <v>86</v>
      </c>
      <c r="F427" t="s">
        <v>89</v>
      </c>
      <c r="G427">
        <v>6.3231985867361301E-4</v>
      </c>
      <c r="H427" t="s">
        <v>123</v>
      </c>
      <c r="I427" t="s">
        <v>91</v>
      </c>
      <c r="J427">
        <f t="shared" si="6"/>
        <v>0.75615051706655612</v>
      </c>
    </row>
    <row r="428" spans="1:10">
      <c r="A428">
        <v>427</v>
      </c>
      <c r="B428" t="s">
        <v>84</v>
      </c>
      <c r="C428" s="34">
        <v>44197</v>
      </c>
      <c r="D428" t="s">
        <v>85</v>
      </c>
      <c r="E428" t="s">
        <v>86</v>
      </c>
      <c r="F428" t="s">
        <v>89</v>
      </c>
      <c r="G428">
        <v>5.4599577854208005E-4</v>
      </c>
      <c r="H428" t="s">
        <v>123</v>
      </c>
      <c r="I428" t="s">
        <v>91</v>
      </c>
      <c r="J428">
        <f t="shared" si="6"/>
        <v>0.65323097556633236</v>
      </c>
    </row>
    <row r="429" spans="1:10">
      <c r="A429">
        <v>428</v>
      </c>
      <c r="B429" t="s">
        <v>84</v>
      </c>
      <c r="C429" s="34">
        <v>44228</v>
      </c>
      <c r="D429" t="s">
        <v>85</v>
      </c>
      <c r="E429" t="s">
        <v>86</v>
      </c>
      <c r="F429" t="s">
        <v>89</v>
      </c>
      <c r="G429">
        <v>5.4587999095300497E-4</v>
      </c>
      <c r="H429" t="s">
        <v>123</v>
      </c>
      <c r="I429" t="s">
        <v>91</v>
      </c>
      <c r="J429">
        <f t="shared" si="6"/>
        <v>0.65309286259492838</v>
      </c>
    </row>
    <row r="430" spans="1:10">
      <c r="A430">
        <v>429</v>
      </c>
      <c r="B430" t="s">
        <v>84</v>
      </c>
      <c r="C430" s="34">
        <v>44256</v>
      </c>
      <c r="D430" t="s">
        <v>85</v>
      </c>
      <c r="E430" t="s">
        <v>86</v>
      </c>
      <c r="F430" t="s">
        <v>89</v>
      </c>
      <c r="G430">
        <v>6.6064180708652804E-4</v>
      </c>
      <c r="H430" t="s">
        <v>123</v>
      </c>
      <c r="I430" t="s">
        <v>91</v>
      </c>
      <c r="J430">
        <f t="shared" si="6"/>
        <v>0.78989594832442611</v>
      </c>
    </row>
    <row r="431" spans="1:10">
      <c r="A431">
        <v>430</v>
      </c>
      <c r="B431" t="s">
        <v>84</v>
      </c>
      <c r="C431" s="34">
        <v>44287</v>
      </c>
      <c r="D431" t="s">
        <v>85</v>
      </c>
      <c r="E431" t="s">
        <v>86</v>
      </c>
      <c r="F431" t="s">
        <v>89</v>
      </c>
      <c r="G431">
        <v>6.0303053376660205E-4</v>
      </c>
      <c r="H431" t="s">
        <v>123</v>
      </c>
      <c r="I431" t="s">
        <v>91</v>
      </c>
      <c r="J431">
        <f t="shared" si="6"/>
        <v>0.72124139590755698</v>
      </c>
    </row>
    <row r="432" spans="1:10">
      <c r="A432">
        <v>431</v>
      </c>
      <c r="B432" t="s">
        <v>84</v>
      </c>
      <c r="C432" s="34">
        <v>44317</v>
      </c>
      <c r="D432" t="s">
        <v>85</v>
      </c>
      <c r="E432" t="s">
        <v>86</v>
      </c>
      <c r="F432" t="s">
        <v>89</v>
      </c>
      <c r="G432">
        <v>5.7414201407192205E-4</v>
      </c>
      <c r="H432" t="s">
        <v>123</v>
      </c>
      <c r="I432" t="s">
        <v>91</v>
      </c>
      <c r="J432">
        <f t="shared" si="6"/>
        <v>0.68679895747899566</v>
      </c>
    </row>
    <row r="433" spans="1:10">
      <c r="A433">
        <v>432</v>
      </c>
      <c r="B433" t="s">
        <v>84</v>
      </c>
      <c r="C433" s="34">
        <v>44348</v>
      </c>
      <c r="D433" t="s">
        <v>85</v>
      </c>
      <c r="E433" t="s">
        <v>86</v>
      </c>
      <c r="F433" t="s">
        <v>89</v>
      </c>
      <c r="G433">
        <v>6.3134864057045898E-4</v>
      </c>
      <c r="H433" t="s">
        <v>123</v>
      </c>
      <c r="I433" t="s">
        <v>91</v>
      </c>
      <c r="J433">
        <f t="shared" si="6"/>
        <v>0.75499312996643031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Report</vt:lpstr>
      <vt:lpstr>Report (2)</vt:lpstr>
      <vt:lpstr>Performance</vt:lpstr>
      <vt:lpstr>Origination</vt:lpstr>
      <vt:lpstr>Deal Detail</vt:lpstr>
      <vt:lpstr>Projection</vt:lpstr>
      <vt:lpstr>Report!CurrentCloseDate</vt:lpstr>
      <vt:lpstr>Report!DatabaseEnv</vt:lpstr>
      <vt:lpstr>Report!PDFReportDir</vt:lpstr>
      <vt:lpstr>Report!PDFReportName</vt:lpstr>
      <vt:lpstr>Report!Print_Area</vt:lpstr>
      <vt:lpstr>'Report (2)'!Print_Area</vt:lpstr>
      <vt:lpstr>Report!SaveRatesToDB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2015-08-05T22:06:36Z</cp:lastPrinted>
  <dcterms:created xsi:type="dcterms:W3CDTF">2015-03-12T13:39:23Z</dcterms:created>
  <dcterms:modified xsi:type="dcterms:W3CDTF">2015-08-10T22:41:13Z</dcterms:modified>
</cp:coreProperties>
</file>