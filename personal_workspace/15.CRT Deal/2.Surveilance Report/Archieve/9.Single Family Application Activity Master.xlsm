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drawings/drawing3.xml" ContentType="application/vnd.openxmlformats-officedocument.drawing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pivotTables/pivotTable7.xml" ContentType="application/vnd.openxmlformats-officedocument.spreadsheetml.pivotTable+xml"/>
  <Override PartName="/xl/pivotTables/pivotTable8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hidePivotFieldList="1" defaultThemeVersion="124226"/>
  <bookViews>
    <workbookView xWindow="240" yWindow="60" windowWidth="27795" windowHeight="17175"/>
  </bookViews>
  <sheets>
    <sheet name="Report" sheetId="7" r:id="rId1"/>
    <sheet name="Report Page1" sheetId="4" state="hidden" r:id="rId2"/>
    <sheet name="Report Page2" sheetId="6" state="hidden" r:id="rId3"/>
    <sheet name="Report (2)" sheetId="9" r:id="rId4"/>
    <sheet name="Performance" sheetId="8" r:id="rId5"/>
    <sheet name="Origination" sheetId="10" r:id="rId6"/>
  </sheets>
  <functionGroups builtInGroupCount="17"/>
  <externalReferences>
    <externalReference r:id="rId7"/>
    <externalReference r:id="rId8"/>
  </externalReferences>
  <definedNames>
    <definedName name="CurrentCloseDate" localSheetId="0">Report!$AJ$2</definedName>
    <definedName name="CurrentCloseDate" localSheetId="3">'Report (2)'!$AJ$2</definedName>
    <definedName name="CurrentCloseDate" localSheetId="2">'Report Page2'!$W$2</definedName>
    <definedName name="CurrentCloseDate">'Report Page1'!$W$2</definedName>
    <definedName name="DatabaseEnv" localSheetId="0">Report!$AJ$1</definedName>
    <definedName name="DatabaseEnv" localSheetId="3">'Report (2)'!$AJ$1</definedName>
    <definedName name="DatabaseEnv" localSheetId="2">'Report Page2'!$W$1</definedName>
    <definedName name="DatabaseEnv">'Report Page1'!$W$1</definedName>
    <definedName name="IR" localSheetId="2">#REF!</definedName>
    <definedName name="MmExcelLinker_D5EFE7B8_A5AE_4CC6_B628_05FDC84CBEA4" localSheetId="2">Early Market [1]Data!$C$44:$C$44</definedName>
    <definedName name="PDFReportDir" localSheetId="0">Report!$AJ$3</definedName>
    <definedName name="PDFReportDir" localSheetId="3">'Report (2)'!$AJ$3</definedName>
    <definedName name="PDFReportDir" localSheetId="2">'Report Page2'!$W$3</definedName>
    <definedName name="PDFReportDir">'Report Page1'!$W$3</definedName>
    <definedName name="PDFReportName" localSheetId="0">Report!$AJ$4</definedName>
    <definedName name="PDFReportName" localSheetId="3">'Report (2)'!$AJ$4</definedName>
    <definedName name="PDFReportName" localSheetId="2">'Report Page2'!$W$4</definedName>
    <definedName name="PDFReportName">'Report Page1'!$W$4</definedName>
    <definedName name="_xlnm.Print_Area" localSheetId="0">Report!$C$1:$AF$74</definedName>
    <definedName name="_xlnm.Print_Area" localSheetId="3">'Report (2)'!$C$1:$AF$74</definedName>
    <definedName name="_xlnm.Print_Area" localSheetId="1">'Report Page1'!$C$1:$U$59</definedName>
    <definedName name="_xlnm.Print_Area" localSheetId="2">'Report Page2'!$B$1:$L$37</definedName>
    <definedName name="SaveRatesToDB" localSheetId="0">Report!$AL$1</definedName>
    <definedName name="SaveRatesToDB" localSheetId="3">'Report (2)'!$AL$1</definedName>
    <definedName name="SaveRatesToDB" localSheetId="2">'Report Page2'!$Y$1</definedName>
    <definedName name="SaveRatesToDB">'Report Page1'!$Y$1</definedName>
  </definedNames>
  <calcPr calcId="145621"/>
  <pivotCaches>
    <pivotCache cacheId="5" r:id="rId9"/>
    <pivotCache cacheId="8" r:id="rId10"/>
  </pivotCaches>
</workbook>
</file>

<file path=xl/calcChain.xml><?xml version="1.0" encoding="utf-8"?>
<calcChain xmlns="http://schemas.openxmlformats.org/spreadsheetml/2006/main">
  <c r="AJ4" i="7" l="1"/>
  <c r="W4" i="6" l="1"/>
  <c r="W4" i="4" l="1"/>
</calcChain>
</file>

<file path=xl/sharedStrings.xml><?xml version="1.0" encoding="utf-8"?>
<sst xmlns="http://schemas.openxmlformats.org/spreadsheetml/2006/main" count="392" uniqueCount="91">
  <si>
    <t>Jan</t>
  </si>
  <si>
    <t>Dec</t>
  </si>
  <si>
    <t>Nov</t>
  </si>
  <si>
    <t>Oct</t>
  </si>
  <si>
    <t>Sep</t>
  </si>
  <si>
    <t>Aug</t>
  </si>
  <si>
    <t>Jul</t>
  </si>
  <si>
    <t>Jun</t>
  </si>
  <si>
    <t>May</t>
  </si>
  <si>
    <t>Apr</t>
  </si>
  <si>
    <t>Mar</t>
  </si>
  <si>
    <t>Feb</t>
  </si>
  <si>
    <t>Database Env</t>
  </si>
  <si>
    <t>Save Data to DB</t>
  </si>
  <si>
    <t>As of Date</t>
  </si>
  <si>
    <t>Report Name</t>
  </si>
  <si>
    <t>No</t>
  </si>
  <si>
    <t>Time To Close (Days)</t>
  </si>
  <si>
    <t>Report Folder</t>
  </si>
  <si>
    <t>PROD</t>
  </si>
  <si>
    <t>S:\IT\Production\Daily Reports\Primary Market\tmp\</t>
  </si>
  <si>
    <t>calender Year</t>
  </si>
  <si>
    <t>Month</t>
  </si>
  <si>
    <t>Home Purchase</t>
  </si>
  <si>
    <t>Conventionla-to-FHA Refinance</t>
  </si>
  <si>
    <t>FHA Non-Streamline Refinance</t>
  </si>
  <si>
    <t>FHA Streamline Standard MIP</t>
  </si>
  <si>
    <t>FHA Streamline Low MIP</t>
  </si>
  <si>
    <t xml:space="preserve">Total Application Received </t>
  </si>
  <si>
    <t>Check Update:</t>
  </si>
  <si>
    <t>http://portal.hud.gov/hudportal/HUD?src=/program_offices/housing/hsgrroom/fhaprodrpt</t>
  </si>
  <si>
    <t>CPR %</t>
  </si>
  <si>
    <t>CDR %</t>
  </si>
  <si>
    <t>Sum of CPR</t>
  </si>
  <si>
    <t>Column Labels</t>
  </si>
  <si>
    <t>Row Labels</t>
  </si>
  <si>
    <t>FHL13DN01</t>
  </si>
  <si>
    <t>FHL13DN02</t>
  </si>
  <si>
    <t>FHL14DN01</t>
  </si>
  <si>
    <t>FHL14DN02</t>
  </si>
  <si>
    <t>FHL14DN03</t>
  </si>
  <si>
    <t>FHL14DN04</t>
  </si>
  <si>
    <t>FHL14HQ01</t>
  </si>
  <si>
    <t>FHL14HQ02</t>
  </si>
  <si>
    <t>FHL14HQ03</t>
  </si>
  <si>
    <t>FHL15DN01</t>
  </si>
  <si>
    <t>FHL15DNA1</t>
  </si>
  <si>
    <t>FHL15HQ01</t>
  </si>
  <si>
    <t>FHL15HQ02</t>
  </si>
  <si>
    <t>Cumulative Default Rate</t>
  </si>
  <si>
    <t>Delinquency</t>
  </si>
  <si>
    <t>Sum of cum_df_pct</t>
  </si>
  <si>
    <t>Sum of pct_dq</t>
  </si>
  <si>
    <t>DealID</t>
  </si>
  <si>
    <t>beginDate</t>
  </si>
  <si>
    <t>CPR</t>
  </si>
  <si>
    <t>CDR</t>
  </si>
  <si>
    <t>pct_dq</t>
  </si>
  <si>
    <t>cum_pp_pct</t>
  </si>
  <si>
    <t>cum_df_pct</t>
  </si>
  <si>
    <t>FHL15DNA2</t>
  </si>
  <si>
    <t>Cumulative Default Rate %</t>
  </si>
  <si>
    <t>Delinquency %</t>
  </si>
  <si>
    <t>CurrentLoanCount</t>
  </si>
  <si>
    <t>CurrentBalance</t>
  </si>
  <si>
    <t>OriginalBalance</t>
  </si>
  <si>
    <t>wavg_loanAge</t>
  </si>
  <si>
    <t>wavg_origNoteRate</t>
  </si>
  <si>
    <t>wavg_currentNoteRate</t>
  </si>
  <si>
    <t>wavg_origLTV</t>
  </si>
  <si>
    <t>wavg_origCLTV</t>
  </si>
  <si>
    <t>wavg_currentLTV</t>
  </si>
  <si>
    <t>wavg_origDTI</t>
  </si>
  <si>
    <t>wavg_origFICO</t>
  </si>
  <si>
    <t>wavg_origLoanSize</t>
  </si>
  <si>
    <t>pct_mi</t>
  </si>
  <si>
    <t>pct_2nd</t>
  </si>
  <si>
    <t>pct_firstTimeHomeBuyer</t>
  </si>
  <si>
    <t>pct_multiple_borrowers</t>
  </si>
  <si>
    <t>pct_multiple_units</t>
  </si>
  <si>
    <t>pct_sfr</t>
  </si>
  <si>
    <t>pct_owner</t>
  </si>
  <si>
    <t>pct_purchase</t>
  </si>
  <si>
    <t>pct_broker</t>
  </si>
  <si>
    <t>pct_current</t>
  </si>
  <si>
    <t>pct_delinquent</t>
  </si>
  <si>
    <t>pct_APL</t>
  </si>
  <si>
    <t>pct_RPL</t>
  </si>
  <si>
    <t>pct_earlyNPL</t>
  </si>
  <si>
    <t>pct_lateNPL</t>
  </si>
  <si>
    <t>pct_modified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</si>
</sst>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7">
    <numFmt numFmtId="5" formatCode="&quot;$&quot;#,##0_);\(&quot;$&quot;#,##0\)"/>
    <numFmt numFmtId="8" formatCode="&quot;$&quot;#,##0.00_);[Red]\(&quot;$&quot;#,##0.00\)"/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0.0"/>
    <numFmt numFmtId="165" formatCode="\£\ #,##0_);[Red]\(\£\ #,##0\)"/>
    <numFmt numFmtId="166" formatCode="\¥\ #,##0_);[Red]\(\¥\ #,##0\)"/>
    <numFmt numFmtId="167" formatCode="\•\ \ @"/>
    <numFmt numFmtId="168" formatCode="_(&quot;$&quot;* #,##0_);_(&quot;$&quot;* \(#,##0.0\);_(&quot;$&quot;* &quot;-&quot;??_);_(@_)"/>
    <numFmt numFmtId="169" formatCode="&quot;$&quot;#,##0.000"/>
    <numFmt numFmtId="170" formatCode="&quot;$&quot;#,##0.000000_);\(&quot;$&quot;#,##0.000000\)"/>
    <numFmt numFmtId="171" formatCode="#,##0.0_);[Red]\(&quot;$&quot;#,##0.0\)"/>
    <numFmt numFmtId="172" formatCode="0.000_)"/>
    <numFmt numFmtId="173" formatCode="\ \ _•\–\ \ \ \ @"/>
    <numFmt numFmtId="174" formatCode="0.00&quot;%&quot;"/>
    <numFmt numFmtId="175" formatCode="0&quot;%&quot;"/>
    <numFmt numFmtId="176" formatCode="mmmm\ d\,\ yyyy"/>
    <numFmt numFmtId="177" formatCode="0.000"/>
    <numFmt numFmtId="178" formatCode="0.0000000"/>
    <numFmt numFmtId="179" formatCode="_([$€-2]* #,##0.00_);_([$€-2]* \(#,##0.00\);_([$€-2]* &quot;-&quot;??_)"/>
    <numFmt numFmtId="180" formatCode="dd\-mmm\-yy\ hh:mm:ss"/>
    <numFmt numFmtId="181" formatCode="0.00_)"/>
    <numFmt numFmtId="182" formatCode="0.0#\%;\-0.0#\%"/>
    <numFmt numFmtId="183" formatCode="#,##0.0\ ;\(#,##0.0\)"/>
    <numFmt numFmtId="184" formatCode="#,##0\ \ \ ;\(#,##0\)\ \ "/>
    <numFmt numFmtId="185" formatCode="0.0000_)"/>
    <numFmt numFmtId="186" formatCode="0.000;\-0.000"/>
    <numFmt numFmtId="187" formatCode="0.00;\-0.00"/>
    <numFmt numFmtId="188" formatCode="#,##0.0_);\(#,##0.0\)"/>
    <numFmt numFmtId="189" formatCode="mm/dd/yy"/>
    <numFmt numFmtId="190" formatCode="#,###\ &quot;Months&quot;"/>
    <numFmt numFmtId="191" formatCode="##########.###"/>
    <numFmt numFmtId="192" formatCode="0.0#%"/>
    <numFmt numFmtId="193" formatCode="0.0;\-0.0"/>
    <numFmt numFmtId="194" formatCode="_(* #,##0_);_(* \(#,##0\);_(* &quot;-&quot;??_);_(@_)"/>
    <numFmt numFmtId="195" formatCode="_(* #,##0.000_);_(* \(#,##0.000\);_(* &quot;-&quot;??_);_(@_)"/>
    <numFmt numFmtId="198" formatCode="_(* #,##0.0_);_(* \(#,##0.0\);_(* &quot;-&quot;??_);_(@_)"/>
  </numFmts>
  <fonts count="135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3F3F76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theme="4"/>
      <name val="Calibri"/>
      <family val="2"/>
      <scheme val="minor"/>
    </font>
    <font>
      <sz val="10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u/>
      <sz val="8"/>
      <color theme="10"/>
      <name val="Calibri"/>
      <family val="2"/>
      <scheme val="minor"/>
    </font>
    <font>
      <sz val="10"/>
      <name val="Arial"/>
      <family val="2"/>
    </font>
    <font>
      <sz val="12"/>
      <name val="Times New Roman"/>
      <family val="1"/>
    </font>
    <font>
      <sz val="10"/>
      <color indexed="8"/>
      <name val="Calibri"/>
      <family val="2"/>
    </font>
    <font>
      <sz val="10"/>
      <color indexed="8"/>
      <name val="Arial"/>
      <family val="2"/>
    </font>
    <font>
      <sz val="11"/>
      <color indexed="8"/>
      <name val="Calibri"/>
      <family val="2"/>
    </font>
    <font>
      <sz val="10"/>
      <color indexed="9"/>
      <name val="Calibri"/>
      <family val="2"/>
    </font>
    <font>
      <sz val="10"/>
      <color indexed="9"/>
      <name val="Arial"/>
      <family val="2"/>
    </font>
    <font>
      <sz val="11"/>
      <color indexed="9"/>
      <name val="Calibri"/>
      <family val="2"/>
    </font>
    <font>
      <sz val="10"/>
      <color indexed="20"/>
      <name val="Calibri"/>
      <family val="2"/>
    </font>
    <font>
      <sz val="10"/>
      <color indexed="10"/>
      <name val="Arial"/>
      <family val="2"/>
    </font>
    <font>
      <sz val="11"/>
      <color indexed="20"/>
      <name val="Calibri"/>
      <family val="2"/>
    </font>
    <font>
      <b/>
      <sz val="10"/>
      <color indexed="8"/>
      <name val="Arial"/>
      <family val="2"/>
    </font>
    <font>
      <sz val="8"/>
      <color indexed="12"/>
      <name val="Tms Rmn"/>
    </font>
    <font>
      <b/>
      <sz val="8"/>
      <color indexed="9"/>
      <name val="Arial"/>
      <family val="2"/>
    </font>
    <font>
      <b/>
      <sz val="9"/>
      <color indexed="12"/>
      <name val="Arial"/>
      <family val="2"/>
    </font>
    <font>
      <sz val="12"/>
      <name val="Tms Rmn"/>
    </font>
    <font>
      <b/>
      <sz val="12"/>
      <name val="Times New Roman"/>
      <family val="1"/>
    </font>
    <font>
      <sz val="9"/>
      <name val="Arial"/>
      <family val="2"/>
    </font>
    <font>
      <sz val="10"/>
      <name val="Century Schoolbook"/>
      <family val="1"/>
    </font>
    <font>
      <b/>
      <sz val="10"/>
      <color indexed="52"/>
      <name val="Calibri"/>
      <family val="2"/>
    </font>
    <font>
      <b/>
      <sz val="10"/>
      <color indexed="52"/>
      <name val="Arial"/>
      <family val="2"/>
    </font>
    <font>
      <b/>
      <sz val="11"/>
      <color indexed="52"/>
      <name val="Calibri"/>
      <family val="2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sz val="10"/>
      <name val="Calibri"/>
      <family val="2"/>
      <scheme val="minor"/>
    </font>
    <font>
      <sz val="10"/>
      <color rgb="FFFA7D00"/>
      <name val="Calibri"/>
      <family val="2"/>
      <scheme val="minor"/>
    </font>
    <font>
      <sz val="10"/>
      <color theme="1" tint="0.499984740745262"/>
      <name val="Calibri"/>
      <family val="2"/>
      <scheme val="minor"/>
    </font>
    <font>
      <sz val="11"/>
      <color theme="1" tint="0.499984740745262"/>
      <name val="Calibri"/>
      <family val="2"/>
      <scheme val="minor"/>
    </font>
    <font>
      <b/>
      <sz val="10"/>
      <color indexed="9"/>
      <name val="Calibri"/>
      <family val="2"/>
    </font>
    <font>
      <b/>
      <sz val="10"/>
      <color indexed="9"/>
      <name val="Arial"/>
      <family val="2"/>
    </font>
    <font>
      <b/>
      <sz val="11"/>
      <color indexed="9"/>
      <name val="Calibri"/>
      <family val="2"/>
    </font>
    <font>
      <sz val="8"/>
      <name val="Arial"/>
      <family val="2"/>
    </font>
    <font>
      <sz val="11"/>
      <name val="Tms Rmn"/>
      <family val="1"/>
    </font>
    <font>
      <sz val="11"/>
      <name val="Tms Rmn"/>
    </font>
    <font>
      <sz val="10"/>
      <name val="Helv"/>
    </font>
    <font>
      <sz val="10"/>
      <name val="MS Serif"/>
      <family val="1"/>
    </font>
    <font>
      <b/>
      <sz val="8"/>
      <name val="Arial"/>
      <family val="2"/>
    </font>
    <font>
      <sz val="11"/>
      <color indexed="12"/>
      <name val="Book Antiqua"/>
      <family val="1"/>
    </font>
    <font>
      <sz val="10"/>
      <name val="Times New Roman"/>
      <family val="1"/>
    </font>
    <font>
      <b/>
      <sz val="10"/>
      <name val="Arial"/>
      <family val="2"/>
    </font>
    <font>
      <b/>
      <i/>
      <sz val="10"/>
      <name val="Arial"/>
      <family val="2"/>
    </font>
    <font>
      <sz val="10"/>
      <name val="MS Sans Serif"/>
      <family val="2"/>
    </font>
    <font>
      <sz val="10"/>
      <color indexed="16"/>
      <name val="MS Serif"/>
      <family val="1"/>
    </font>
    <font>
      <b/>
      <sz val="9.5"/>
      <color indexed="10"/>
      <name val="Arial"/>
      <family val="2"/>
    </font>
    <font>
      <i/>
      <sz val="10"/>
      <color indexed="23"/>
      <name val="Calibri"/>
      <family val="2"/>
    </font>
    <font>
      <i/>
      <sz val="10"/>
      <color indexed="23"/>
      <name val="Arial"/>
      <family val="2"/>
    </font>
    <font>
      <i/>
      <sz val="11"/>
      <color indexed="23"/>
      <name val="Calibri"/>
      <family val="2"/>
    </font>
    <font>
      <sz val="10"/>
      <color indexed="17"/>
      <name val="Calibri"/>
      <family val="2"/>
    </font>
    <font>
      <sz val="10"/>
      <color indexed="17"/>
      <name val="Arial"/>
      <family val="2"/>
    </font>
    <font>
      <sz val="11"/>
      <color indexed="17"/>
      <name val="Calibri"/>
      <family val="2"/>
    </font>
    <font>
      <b/>
      <sz val="9"/>
      <color indexed="23"/>
      <name val="Arial"/>
      <family val="2"/>
    </font>
    <font>
      <b/>
      <sz val="12"/>
      <name val="Arial"/>
      <family val="2"/>
    </font>
    <font>
      <b/>
      <sz val="11"/>
      <name val="Book Antiqua"/>
      <family val="1"/>
    </font>
    <font>
      <b/>
      <sz val="15"/>
      <color indexed="62"/>
      <name val="Calibri"/>
      <family val="2"/>
    </font>
    <font>
      <b/>
      <sz val="15"/>
      <color indexed="56"/>
      <name val="Arial"/>
      <family val="2"/>
    </font>
    <font>
      <b/>
      <sz val="10"/>
      <name val="Times New Roman"/>
      <family val="1"/>
    </font>
    <font>
      <b/>
      <sz val="18"/>
      <name val="Arial"/>
      <family val="2"/>
    </font>
    <font>
      <b/>
      <sz val="15"/>
      <color indexed="56"/>
      <name val="Calibri"/>
      <family val="2"/>
    </font>
    <font>
      <b/>
      <sz val="13"/>
      <color indexed="62"/>
      <name val="Calibri"/>
      <family val="2"/>
    </font>
    <font>
      <b/>
      <sz val="13"/>
      <color indexed="56"/>
      <name val="Arial"/>
      <family val="2"/>
    </font>
    <font>
      <b/>
      <sz val="13"/>
      <color indexed="56"/>
      <name val="Calibri"/>
      <family val="2"/>
    </font>
    <font>
      <b/>
      <sz val="11"/>
      <color indexed="62"/>
      <name val="Calibri"/>
      <family val="2"/>
    </font>
    <font>
      <b/>
      <sz val="11"/>
      <color indexed="56"/>
      <name val="Arial"/>
      <family val="2"/>
    </font>
    <font>
      <b/>
      <sz val="11"/>
      <color indexed="56"/>
      <name val="Calibri"/>
      <family val="2"/>
    </font>
    <font>
      <b/>
      <sz val="16"/>
      <color indexed="8"/>
      <name val="Arial"/>
      <family val="2"/>
    </font>
    <font>
      <u/>
      <sz val="9"/>
      <color theme="10"/>
      <name val="Arial"/>
      <family val="2"/>
    </font>
    <font>
      <sz val="10"/>
      <color indexed="12"/>
      <name val="MS Sans Serif"/>
      <family val="2"/>
    </font>
    <font>
      <sz val="10"/>
      <color indexed="56"/>
      <name val="Arial"/>
      <family val="2"/>
    </font>
    <font>
      <sz val="10"/>
      <color indexed="12"/>
      <name val="Arial"/>
      <family val="2"/>
    </font>
    <font>
      <b/>
      <sz val="10"/>
      <name val="Book Antiqua"/>
      <family val="1"/>
    </font>
    <font>
      <sz val="10"/>
      <color indexed="52"/>
      <name val="Calibri"/>
      <family val="2"/>
    </font>
    <font>
      <sz val="10"/>
      <color indexed="52"/>
      <name val="Arial"/>
      <family val="2"/>
    </font>
    <font>
      <sz val="11"/>
      <color indexed="52"/>
      <name val="Calibri"/>
      <family val="2"/>
    </font>
    <font>
      <sz val="10"/>
      <color indexed="60"/>
      <name val="Calibri"/>
      <family val="2"/>
    </font>
    <font>
      <sz val="10"/>
      <color indexed="60"/>
      <name val="Arial"/>
      <family val="2"/>
    </font>
    <font>
      <sz val="11"/>
      <color indexed="60"/>
      <name val="Calibri"/>
      <family val="2"/>
    </font>
    <font>
      <sz val="7"/>
      <name val="Small Fonts"/>
      <family val="2"/>
    </font>
    <font>
      <b/>
      <i/>
      <sz val="16"/>
      <name val="Helv"/>
    </font>
    <font>
      <sz val="9"/>
      <color theme="1"/>
      <name val="Arial"/>
      <family val="2"/>
    </font>
    <font>
      <b/>
      <sz val="11"/>
      <name val="Arial"/>
      <family val="2"/>
    </font>
    <font>
      <b/>
      <i/>
      <sz val="8"/>
      <name val="Book Antiqua"/>
      <family val="1"/>
    </font>
    <font>
      <sz val="10"/>
      <name val="Book Antiqua"/>
      <family val="1"/>
    </font>
    <font>
      <b/>
      <sz val="9"/>
      <color indexed="52"/>
      <name val="Arial"/>
      <family val="2"/>
    </font>
    <font>
      <b/>
      <sz val="10"/>
      <color indexed="63"/>
      <name val="Calibri"/>
      <family val="2"/>
    </font>
    <font>
      <b/>
      <sz val="10"/>
      <color indexed="63"/>
      <name val="Arial"/>
      <family val="2"/>
    </font>
    <font>
      <b/>
      <sz val="11"/>
      <color indexed="63"/>
      <name val="Calibri"/>
      <family val="2"/>
    </font>
    <font>
      <b/>
      <i/>
      <sz val="10"/>
      <color indexed="8"/>
      <name val="Arial"/>
      <family val="2"/>
    </font>
    <font>
      <b/>
      <sz val="11"/>
      <color indexed="21"/>
      <name val="Arial"/>
      <family val="2"/>
    </font>
    <font>
      <b/>
      <sz val="22"/>
      <color indexed="21"/>
      <name val="Times New Roman"/>
      <family val="1"/>
    </font>
    <font>
      <sz val="9"/>
      <name val="Times New Roman"/>
      <family val="1"/>
    </font>
    <font>
      <b/>
      <sz val="9"/>
      <name val="Arial"/>
      <family val="2"/>
    </font>
    <font>
      <b/>
      <sz val="10"/>
      <color indexed="8"/>
      <name val="Arial Narrow"/>
      <family val="2"/>
    </font>
    <font>
      <b/>
      <sz val="10"/>
      <name val="MS Sans Serif"/>
      <family val="2"/>
    </font>
    <font>
      <sz val="8"/>
      <name val="Helv"/>
    </font>
    <font>
      <b/>
      <sz val="14"/>
      <name val="Arial Narrow"/>
      <family val="2"/>
    </font>
    <font>
      <sz val="9"/>
      <color indexed="10"/>
      <name val="Arial"/>
      <family val="2"/>
    </font>
    <font>
      <sz val="9"/>
      <color indexed="8"/>
      <name val="Times New Roman"/>
      <family val="1"/>
    </font>
    <font>
      <b/>
      <sz val="8"/>
      <color indexed="12"/>
      <name val="Arial"/>
      <family val="2"/>
    </font>
    <font>
      <b/>
      <sz val="8"/>
      <color indexed="8"/>
      <name val="Helv"/>
    </font>
    <font>
      <b/>
      <i/>
      <sz val="9"/>
      <name val="Arial"/>
      <family val="2"/>
    </font>
    <font>
      <sz val="9"/>
      <color indexed="9"/>
      <name val="Arial"/>
      <family val="2"/>
    </font>
    <font>
      <b/>
      <u/>
      <sz val="8"/>
      <name val="Arial"/>
      <family val="2"/>
    </font>
    <font>
      <sz val="8"/>
      <name val="Book Antiqua"/>
      <family val="1"/>
    </font>
    <font>
      <sz val="10"/>
      <name val="Courier New"/>
      <family val="3"/>
    </font>
    <font>
      <sz val="10"/>
      <color indexed="12"/>
      <name val="Courier New"/>
      <family val="3"/>
    </font>
    <font>
      <b/>
      <u/>
      <sz val="9"/>
      <name val="Arial"/>
      <family val="2"/>
    </font>
    <font>
      <b/>
      <sz val="18"/>
      <color indexed="62"/>
      <name val="Cambria"/>
      <family val="2"/>
    </font>
    <font>
      <b/>
      <sz val="18"/>
      <color indexed="56"/>
      <name val="Cambria"/>
      <family val="2"/>
    </font>
    <font>
      <b/>
      <sz val="10"/>
      <color indexed="8"/>
      <name val="Calibri"/>
      <family val="2"/>
    </font>
    <font>
      <b/>
      <sz val="11"/>
      <color indexed="8"/>
      <name val="Calibri"/>
      <family val="2"/>
    </font>
    <font>
      <b/>
      <sz val="16"/>
      <color indexed="10"/>
      <name val="Arial"/>
      <family val="2"/>
    </font>
    <font>
      <sz val="10"/>
      <color indexed="10"/>
      <name val="Calibri"/>
      <family val="2"/>
    </font>
    <font>
      <sz val="10"/>
      <color indexed="53"/>
      <name val="Arial"/>
      <family val="2"/>
    </font>
    <font>
      <sz val="11"/>
      <color indexed="10"/>
      <name val="Calibri"/>
      <family val="2"/>
    </font>
    <font>
      <sz val="10"/>
      <color theme="6" tint="-0.24994659260841701"/>
      <name val="Calibri"/>
      <family val="2"/>
      <scheme val="minor"/>
    </font>
    <font>
      <sz val="11"/>
      <color theme="5"/>
      <name val="Calibri"/>
      <family val="2"/>
      <scheme val="minor"/>
    </font>
    <font>
      <sz val="10"/>
      <color theme="2" tint="-0.499984740745262"/>
      <name val="Calibri"/>
      <family val="2"/>
      <scheme val="minor"/>
    </font>
    <font>
      <sz val="11"/>
      <color theme="2" tint="-0.499984740745262"/>
      <name val="Calibri"/>
      <family val="2"/>
      <scheme val="minor"/>
    </font>
    <font>
      <sz val="11"/>
      <color theme="7" tint="-0.24994659260841701"/>
      <name val="Calibri"/>
      <family val="2"/>
      <scheme val="minor"/>
    </font>
    <font>
      <sz val="11"/>
      <color theme="6" tint="-0.2499465926084170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10"/>
      <color rgb="FFAD275C"/>
      <name val="Calibri"/>
      <family val="2"/>
      <scheme val="minor"/>
    </font>
    <font>
      <sz val="10"/>
      <color theme="0"/>
      <name val="Calibri"/>
      <family val="2"/>
      <scheme val="minor"/>
    </font>
    <font>
      <b/>
      <sz val="12"/>
      <color theme="0"/>
      <name val="Calibri"/>
      <family val="2"/>
      <scheme val="minor"/>
    </font>
  </fonts>
  <fills count="61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rgb="FFFFFFCC"/>
      </patternFill>
    </fill>
    <fill>
      <patternFill patternType="solid">
        <fgColor theme="4" tint="0.79998168889431442"/>
        <bgColor indexed="65"/>
      </patternFill>
    </fill>
    <fill>
      <patternFill patternType="solid">
        <fgColor rgb="FFF6F9FC"/>
        <bgColor indexed="64"/>
      </patternFill>
    </fill>
    <fill>
      <patternFill patternType="solid">
        <fgColor rgb="FFEFEBE4"/>
        <bgColor indexed="64"/>
      </patternFill>
    </fill>
    <fill>
      <patternFill patternType="solid">
        <fgColor indexed="47"/>
      </patternFill>
    </fill>
    <fill>
      <patternFill patternType="solid">
        <fgColor indexed="45"/>
      </patternFill>
    </fill>
    <fill>
      <patternFill patternType="solid">
        <fgColor indexed="26"/>
      </patternFill>
    </fill>
    <fill>
      <patternFill patternType="solid">
        <fgColor indexed="42"/>
      </patternFill>
    </fill>
    <fill>
      <patternFill patternType="solid">
        <fgColor indexed="9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13"/>
      </patternFill>
    </fill>
    <fill>
      <patternFill patternType="solid">
        <fgColor indexed="22"/>
      </patternFill>
    </fill>
    <fill>
      <patternFill patternType="solid">
        <fgColor indexed="40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41"/>
      </patternFill>
    </fill>
    <fill>
      <patternFill patternType="solid">
        <fgColor indexed="51"/>
      </patternFill>
    </fill>
    <fill>
      <patternFill patternType="solid">
        <fgColor indexed="49"/>
      </patternFill>
    </fill>
    <fill>
      <patternFill patternType="solid">
        <fgColor indexed="15"/>
      </patternFill>
    </fill>
    <fill>
      <patternFill patternType="solid">
        <fgColor indexed="30"/>
      </patternFill>
    </fill>
    <fill>
      <patternFill patternType="solid">
        <fgColor indexed="18"/>
      </patternFill>
    </fill>
    <fill>
      <patternFill patternType="solid">
        <fgColor indexed="36"/>
      </patternFill>
    </fill>
    <fill>
      <patternFill patternType="solid">
        <fgColor indexed="52"/>
      </patternFill>
    </fill>
    <fill>
      <patternFill patternType="solid">
        <fgColor indexed="54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19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30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43"/>
      </patternFill>
    </fill>
    <fill>
      <patternFill patternType="solid">
        <fgColor theme="9" tint="0.59996337778862885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8F8F8"/>
        <bgColor indexed="64"/>
      </patternFill>
    </fill>
    <fill>
      <patternFill patternType="solid">
        <fgColor indexed="55"/>
      </patternFill>
    </fill>
    <fill>
      <patternFill patternType="solid">
        <fgColor indexed="22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indexed="21"/>
        <bgColor indexed="64"/>
      </patternFill>
    </fill>
    <fill>
      <patternFill patternType="solid">
        <fgColor indexed="8"/>
      </patternFill>
    </fill>
    <fill>
      <patternFill patternType="solid">
        <fgColor rgb="FFEFF3E5"/>
        <bgColor indexed="64"/>
      </patternFill>
    </fill>
    <fill>
      <patternFill patternType="solid">
        <fgColor rgb="FFF2F1EA"/>
        <bgColor indexed="64"/>
      </patternFill>
    </fill>
    <fill>
      <patternFill patternType="solid">
        <fgColor rgb="FFE5F4F7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7" tint="-0.249977111117893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rgb="FFFFFF00"/>
        <bgColor indexed="64"/>
      </patternFill>
    </fill>
  </fills>
  <borders count="45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/>
      <right/>
      <top style="hair">
        <color rgb="FF7F7F7F"/>
      </top>
      <bottom style="hair">
        <color rgb="FF7F7F7F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hair">
        <color rgb="FF3F3F3F"/>
      </top>
      <bottom style="hair">
        <color rgb="FF3F3F3F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 style="thin">
        <color indexed="8"/>
      </right>
      <top style="thin">
        <color indexed="8"/>
      </top>
      <bottom/>
      <diagonal/>
    </border>
    <border>
      <left/>
      <right/>
      <top style="double">
        <color indexed="64"/>
      </top>
      <bottom style="double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thick">
        <color indexed="54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thick">
        <color indexed="15"/>
      </bottom>
      <diagonal/>
    </border>
    <border>
      <left/>
      <right/>
      <top/>
      <bottom style="medium">
        <color indexed="49"/>
      </bottom>
      <diagonal/>
    </border>
    <border>
      <left/>
      <right/>
      <top/>
      <bottom style="medium">
        <color indexed="15"/>
      </bottom>
      <diagonal/>
    </border>
    <border>
      <left/>
      <right/>
      <top/>
      <bottom style="medium">
        <color indexed="3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/>
      <top/>
      <bottom style="dotted">
        <color indexed="64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ck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/>
      <right/>
      <top style="thin">
        <color indexed="54"/>
      </top>
      <bottom style="double">
        <color indexed="54"/>
      </bottom>
      <diagonal/>
    </border>
    <border>
      <left/>
      <right/>
      <top style="double">
        <color indexed="64"/>
      </top>
      <bottom/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thin">
        <color rgb="FF2E398A"/>
      </left>
      <right style="thin">
        <color rgb="FF2E398A"/>
      </right>
      <top style="thin">
        <color rgb="FF2E398A"/>
      </top>
      <bottom style="thin">
        <color rgb="FF2E398A"/>
      </bottom>
      <diagonal/>
    </border>
    <border>
      <left style="thin">
        <color rgb="FF2E398A"/>
      </left>
      <right style="thin">
        <color rgb="FF2E398A"/>
      </right>
      <top style="thin">
        <color rgb="FF2E398A"/>
      </top>
      <bottom/>
      <diagonal/>
    </border>
    <border>
      <left style="thin">
        <color rgb="FF2E398A"/>
      </left>
      <right style="thin">
        <color rgb="FF2E398A"/>
      </right>
      <top/>
      <bottom/>
      <diagonal/>
    </border>
    <border>
      <left style="thin">
        <color rgb="FF2E398A"/>
      </left>
      <right style="thin">
        <color rgb="FF2E398A"/>
      </right>
      <top/>
      <bottom style="thin">
        <color rgb="FF2E398A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</borders>
  <cellStyleXfs count="528">
    <xf numFmtId="0" fontId="0" fillId="0" borderId="0"/>
    <xf numFmtId="0" fontId="6" fillId="5" borderId="4" applyNumberFormat="0"/>
    <xf numFmtId="0" fontId="9" fillId="0" borderId="0" applyNumberFormat="0" applyFill="0" applyBorder="0" applyAlignment="0" applyProtection="0"/>
    <xf numFmtId="0" fontId="11" fillId="0" borderId="0" applyNumberFormat="0" applyFill="0" applyBorder="0" applyAlignment="0" applyProtection="0">
      <alignment horizontal="left" wrapText="1"/>
    </xf>
    <xf numFmtId="0" fontId="11" fillId="0" borderId="0" applyNumberFormat="0" applyFill="0" applyBorder="0" applyAlignment="0" applyProtection="0">
      <alignment horizontal="left" wrapText="1"/>
    </xf>
    <xf numFmtId="0" fontId="11" fillId="0" borderId="0" applyNumberFormat="0" applyFill="0" applyBorder="0" applyAlignment="0" applyProtection="0">
      <alignment horizontal="left" wrapText="1"/>
    </xf>
    <xf numFmtId="0" fontId="11" fillId="0" borderId="0" applyNumberFormat="0" applyFill="0" applyBorder="0" applyAlignment="0" applyProtection="0">
      <alignment horizontal="left" wrapText="1"/>
    </xf>
    <xf numFmtId="165" fontId="12" fillId="0" borderId="0" applyFont="0" applyFill="0" applyBorder="0" applyAlignment="0" applyProtection="0"/>
    <xf numFmtId="166" fontId="12" fillId="0" borderId="0" applyFont="0" applyFill="0" applyBorder="0" applyAlignment="0" applyProtection="0"/>
    <xf numFmtId="0" fontId="7" fillId="4" borderId="0" applyNumberFormat="0" applyBorder="0" applyAlignment="0" applyProtection="0"/>
    <xf numFmtId="0" fontId="7" fillId="4" borderId="0" applyNumberFormat="0" applyBorder="0" applyAlignment="0" applyProtection="0"/>
    <xf numFmtId="0" fontId="7" fillId="4" borderId="0" applyNumberFormat="0" applyBorder="0" applyAlignment="0" applyProtection="0"/>
    <xf numFmtId="0" fontId="7" fillId="4" borderId="0" applyNumberFormat="0" applyBorder="0" applyAlignment="0" applyProtection="0"/>
    <xf numFmtId="0" fontId="7" fillId="4" borderId="0" applyNumberFormat="0" applyBorder="0" applyAlignment="0" applyProtection="0"/>
    <xf numFmtId="0" fontId="7" fillId="4" borderId="0" applyNumberFormat="0" applyBorder="0" applyAlignment="0" applyProtection="0"/>
    <xf numFmtId="0" fontId="7" fillId="4" borderId="0" applyNumberFormat="0" applyBorder="0" applyAlignment="0" applyProtection="0"/>
    <xf numFmtId="0" fontId="7" fillId="4" borderId="0" applyNumberFormat="0" applyBorder="0" applyAlignment="0" applyProtection="0"/>
    <xf numFmtId="0" fontId="13" fillId="7" borderId="0" applyNumberFormat="0" applyBorder="0" applyAlignment="0" applyProtection="0"/>
    <xf numFmtId="0" fontId="14" fillId="7" borderId="0" applyNumberFormat="0" applyBorder="0" applyAlignment="0" applyProtection="0"/>
    <xf numFmtId="0" fontId="15" fillId="8" borderId="0" applyNumberFormat="0" applyBorder="0" applyAlignment="0" applyProtection="0"/>
    <xf numFmtId="0" fontId="13" fillId="9" borderId="0" applyNumberFormat="0" applyBorder="0" applyAlignment="0" applyProtection="0"/>
    <xf numFmtId="0" fontId="14" fillId="9" borderId="0" applyNumberFormat="0" applyBorder="0" applyAlignment="0" applyProtection="0"/>
    <xf numFmtId="0" fontId="15" fillId="10" borderId="0" applyNumberFormat="0" applyBorder="0" applyAlignment="0" applyProtection="0"/>
    <xf numFmtId="0" fontId="13" fillId="11" borderId="0" applyNumberFormat="0" applyBorder="0" applyAlignment="0" applyProtection="0"/>
    <xf numFmtId="0" fontId="14" fillId="10" borderId="0" applyNumberFormat="0" applyBorder="0" applyAlignment="0" applyProtection="0"/>
    <xf numFmtId="0" fontId="15" fillId="12" borderId="0" applyNumberFormat="0" applyBorder="0" applyAlignment="0" applyProtection="0"/>
    <xf numFmtId="0" fontId="13" fillId="13" borderId="0" applyNumberFormat="0" applyBorder="0" applyAlignment="0" applyProtection="0"/>
    <xf numFmtId="0" fontId="14" fillId="14" borderId="0" applyNumberFormat="0" applyBorder="0" applyAlignment="0" applyProtection="0"/>
    <xf numFmtId="0" fontId="15" fillId="13" borderId="0" applyNumberFormat="0" applyBorder="0" applyAlignment="0" applyProtection="0"/>
    <xf numFmtId="0" fontId="13" fillId="7" borderId="0" applyNumberFormat="0" applyBorder="0" applyAlignment="0" applyProtection="0"/>
    <xf numFmtId="0" fontId="14" fillId="7" borderId="0" applyNumberFormat="0" applyBorder="0" applyAlignment="0" applyProtection="0"/>
    <xf numFmtId="0" fontId="15" fillId="7" borderId="0" applyNumberFormat="0" applyBorder="0" applyAlignment="0" applyProtection="0"/>
    <xf numFmtId="0" fontId="13" fillId="15" borderId="0" applyNumberFormat="0" applyBorder="0" applyAlignment="0" applyProtection="0"/>
    <xf numFmtId="0" fontId="14" fillId="16" borderId="0" applyNumberFormat="0" applyBorder="0" applyAlignment="0" applyProtection="0"/>
    <xf numFmtId="0" fontId="15" fillId="17" borderId="0" applyNumberFormat="0" applyBorder="0" applyAlignment="0" applyProtection="0"/>
    <xf numFmtId="0" fontId="13" fillId="18" borderId="0" applyNumberFormat="0" applyBorder="0" applyAlignment="0" applyProtection="0"/>
    <xf numFmtId="0" fontId="14" fillId="18" borderId="0" applyNumberFormat="0" applyBorder="0" applyAlignment="0" applyProtection="0"/>
    <xf numFmtId="0" fontId="15" fillId="18" borderId="0" applyNumberFormat="0" applyBorder="0" applyAlignment="0" applyProtection="0"/>
    <xf numFmtId="0" fontId="13" fillId="9" borderId="0" applyNumberFormat="0" applyBorder="0" applyAlignment="0" applyProtection="0"/>
    <xf numFmtId="0" fontId="14" fillId="12" borderId="0" applyNumberFormat="0" applyBorder="0" applyAlignment="0" applyProtection="0"/>
    <xf numFmtId="0" fontId="15" fillId="19" borderId="0" applyNumberFormat="0" applyBorder="0" applyAlignment="0" applyProtection="0"/>
    <xf numFmtId="0" fontId="13" fillId="15" borderId="0" applyNumberFormat="0" applyBorder="0" applyAlignment="0" applyProtection="0"/>
    <xf numFmtId="0" fontId="14" fillId="20" borderId="0" applyNumberFormat="0" applyBorder="0" applyAlignment="0" applyProtection="0"/>
    <xf numFmtId="0" fontId="15" fillId="12" borderId="0" applyNumberFormat="0" applyBorder="0" applyAlignment="0" applyProtection="0"/>
    <xf numFmtId="0" fontId="13" fillId="17" borderId="0" applyNumberFormat="0" applyBorder="0" applyAlignment="0" applyProtection="0"/>
    <xf numFmtId="0" fontId="14" fillId="14" borderId="0" applyNumberFormat="0" applyBorder="0" applyAlignment="0" applyProtection="0"/>
    <xf numFmtId="0" fontId="15" fillId="17" borderId="0" applyNumberFormat="0" applyBorder="0" applyAlignment="0" applyProtection="0"/>
    <xf numFmtId="0" fontId="13" fillId="7" borderId="0" applyNumberFormat="0" applyBorder="0" applyAlignment="0" applyProtection="0"/>
    <xf numFmtId="0" fontId="14" fillId="7" borderId="0" applyNumberFormat="0" applyBorder="0" applyAlignment="0" applyProtection="0"/>
    <xf numFmtId="0" fontId="15" fillId="21" borderId="0" applyNumberFormat="0" applyBorder="0" applyAlignment="0" applyProtection="0"/>
    <xf numFmtId="0" fontId="16" fillId="22" borderId="0" applyNumberFormat="0" applyBorder="0" applyAlignment="0" applyProtection="0"/>
    <xf numFmtId="0" fontId="17" fillId="23" borderId="0" applyNumberFormat="0" applyBorder="0" applyAlignment="0" applyProtection="0"/>
    <xf numFmtId="0" fontId="18" fillId="24" borderId="0" applyNumberFormat="0" applyBorder="0" applyAlignment="0" applyProtection="0"/>
    <xf numFmtId="0" fontId="16" fillId="18" borderId="0" applyNumberFormat="0" applyBorder="0" applyAlignment="0" applyProtection="0"/>
    <xf numFmtId="0" fontId="17" fillId="18" borderId="0" applyNumberFormat="0" applyBorder="0" applyAlignment="0" applyProtection="0"/>
    <xf numFmtId="0" fontId="18" fillId="18" borderId="0" applyNumberFormat="0" applyBorder="0" applyAlignment="0" applyProtection="0"/>
    <xf numFmtId="0" fontId="16" fillId="9" borderId="0" applyNumberFormat="0" applyBorder="0" applyAlignment="0" applyProtection="0"/>
    <xf numFmtId="0" fontId="17" fillId="12" borderId="0" applyNumberFormat="0" applyBorder="0" applyAlignment="0" applyProtection="0"/>
    <xf numFmtId="0" fontId="18" fillId="19" borderId="0" applyNumberFormat="0" applyBorder="0" applyAlignment="0" applyProtection="0"/>
    <xf numFmtId="0" fontId="16" fillId="15" borderId="0" applyNumberFormat="0" applyBorder="0" applyAlignment="0" applyProtection="0"/>
    <xf numFmtId="0" fontId="17" fillId="25" borderId="0" applyNumberFormat="0" applyBorder="0" applyAlignment="0" applyProtection="0"/>
    <xf numFmtId="0" fontId="18" fillId="26" borderId="0" applyNumberFormat="0" applyBorder="0" applyAlignment="0" applyProtection="0"/>
    <xf numFmtId="0" fontId="16" fillId="22" borderId="0" applyNumberFormat="0" applyBorder="0" applyAlignment="0" applyProtection="0"/>
    <xf numFmtId="0" fontId="17" fillId="23" borderId="0" applyNumberFormat="0" applyBorder="0" applyAlignment="0" applyProtection="0"/>
    <xf numFmtId="0" fontId="18" fillId="22" borderId="0" applyNumberFormat="0" applyBorder="0" applyAlignment="0" applyProtection="0"/>
    <xf numFmtId="0" fontId="16" fillId="7" borderId="0" applyNumberFormat="0" applyBorder="0" applyAlignment="0" applyProtection="0"/>
    <xf numFmtId="0" fontId="17" fillId="7" borderId="0" applyNumberFormat="0" applyBorder="0" applyAlignment="0" applyProtection="0"/>
    <xf numFmtId="0" fontId="18" fillId="27" borderId="0" applyNumberFormat="0" applyBorder="0" applyAlignment="0" applyProtection="0"/>
    <xf numFmtId="0" fontId="16" fillId="22" borderId="0" applyNumberFormat="0" applyBorder="0" applyAlignment="0" applyProtection="0"/>
    <xf numFmtId="0" fontId="17" fillId="28" borderId="0" applyNumberFormat="0" applyBorder="0" applyAlignment="0" applyProtection="0"/>
    <xf numFmtId="0" fontId="18" fillId="29" borderId="0" applyNumberFormat="0" applyBorder="0" applyAlignment="0" applyProtection="0"/>
    <xf numFmtId="0" fontId="16" fillId="30" borderId="0" applyNumberFormat="0" applyBorder="0" applyAlignment="0" applyProtection="0"/>
    <xf numFmtId="0" fontId="17" fillId="31" borderId="0" applyNumberFormat="0" applyBorder="0" applyAlignment="0" applyProtection="0"/>
    <xf numFmtId="0" fontId="18" fillId="30" borderId="0" applyNumberFormat="0" applyBorder="0" applyAlignment="0" applyProtection="0"/>
    <xf numFmtId="0" fontId="16" fillId="32" borderId="0" applyNumberFormat="0" applyBorder="0" applyAlignment="0" applyProtection="0"/>
    <xf numFmtId="0" fontId="17" fillId="31" borderId="0" applyNumberFormat="0" applyBorder="0" applyAlignment="0" applyProtection="0"/>
    <xf numFmtId="0" fontId="18" fillId="32" borderId="0" applyNumberFormat="0" applyBorder="0" applyAlignment="0" applyProtection="0"/>
    <xf numFmtId="0" fontId="16" fillId="28" borderId="0" applyNumberFormat="0" applyBorder="0" applyAlignment="0" applyProtection="0"/>
    <xf numFmtId="0" fontId="17" fillId="28" borderId="0" applyNumberFormat="0" applyBorder="0" applyAlignment="0" applyProtection="0"/>
    <xf numFmtId="0" fontId="18" fillId="26" borderId="0" applyNumberFormat="0" applyBorder="0" applyAlignment="0" applyProtection="0"/>
    <xf numFmtId="0" fontId="16" fillId="22" borderId="0" applyNumberFormat="0" applyBorder="0" applyAlignment="0" applyProtection="0"/>
    <xf numFmtId="0" fontId="17" fillId="32" borderId="0" applyNumberFormat="0" applyBorder="0" applyAlignment="0" applyProtection="0"/>
    <xf numFmtId="0" fontId="18" fillId="22" borderId="0" applyNumberFormat="0" applyBorder="0" applyAlignment="0" applyProtection="0"/>
    <xf numFmtId="0" fontId="16" fillId="33" borderId="0" applyNumberFormat="0" applyBorder="0" applyAlignment="0" applyProtection="0"/>
    <xf numFmtId="0" fontId="17" fillId="33" borderId="0" applyNumberFormat="0" applyBorder="0" applyAlignment="0" applyProtection="0"/>
    <xf numFmtId="0" fontId="18" fillId="33" borderId="0" applyNumberFormat="0" applyBorder="0" applyAlignment="0" applyProtection="0"/>
    <xf numFmtId="0" fontId="11" fillId="0" borderId="0"/>
    <xf numFmtId="17" fontId="11" fillId="0" borderId="0" applyFont="0" applyFill="0" applyBorder="0" applyProtection="0">
      <alignment horizontal="left"/>
    </xf>
    <xf numFmtId="0" fontId="11" fillId="0" borderId="0" applyFont="0" applyFill="0" applyBorder="0" applyProtection="0">
      <alignment horizontal="left"/>
    </xf>
    <xf numFmtId="0" fontId="19" fillId="8" borderId="0" applyNumberFormat="0" applyBorder="0" applyAlignment="0" applyProtection="0"/>
    <xf numFmtId="0" fontId="20" fillId="8" borderId="0" applyNumberFormat="0" applyBorder="0" applyAlignment="0" applyProtection="0"/>
    <xf numFmtId="0" fontId="21" fillId="8" borderId="0" applyNumberFormat="0" applyBorder="0" applyAlignment="0" applyProtection="0"/>
    <xf numFmtId="38" fontId="22" fillId="11" borderId="0"/>
    <xf numFmtId="0" fontId="23" fillId="0" borderId="0" applyNumberFormat="0" applyFill="0" applyBorder="0" applyAlignment="0" applyProtection="0"/>
    <xf numFmtId="0" fontId="24" fillId="34" borderId="0">
      <alignment horizontal="left"/>
    </xf>
    <xf numFmtId="2" fontId="25" fillId="35" borderId="6" applyProtection="0">
      <alignment horizontal="left"/>
      <protection locked="0"/>
    </xf>
    <xf numFmtId="0" fontId="26" fillId="0" borderId="0" applyNumberFormat="0" applyFill="0" applyBorder="0" applyAlignment="0" applyProtection="0"/>
    <xf numFmtId="0" fontId="27" fillId="0" borderId="5" applyNumberFormat="0" applyFill="0" applyAlignment="0" applyProtection="0"/>
    <xf numFmtId="0" fontId="11" fillId="36" borderId="0"/>
    <xf numFmtId="167" fontId="12" fillId="0" borderId="0" applyFont="0" applyFill="0" applyBorder="0" applyAlignment="0" applyProtection="0"/>
    <xf numFmtId="0" fontId="28" fillId="0" borderId="0" applyFill="0" applyBorder="0" applyAlignment="0"/>
    <xf numFmtId="168" fontId="11" fillId="0" borderId="0" applyFill="0" applyBorder="0" applyAlignment="0"/>
    <xf numFmtId="0" fontId="28" fillId="0" borderId="0" applyFill="0" applyBorder="0" applyAlignment="0"/>
    <xf numFmtId="169" fontId="11" fillId="0" borderId="0" applyFill="0" applyBorder="0" applyAlignment="0"/>
    <xf numFmtId="0" fontId="11" fillId="0" borderId="0" applyFill="0" applyBorder="0" applyAlignment="0"/>
    <xf numFmtId="170" fontId="11" fillId="0" borderId="0" applyFill="0" applyBorder="0" applyAlignment="0"/>
    <xf numFmtId="0" fontId="11" fillId="0" borderId="0" applyFill="0" applyBorder="0" applyAlignment="0"/>
    <xf numFmtId="168" fontId="29" fillId="0" borderId="0" applyFill="0" applyBorder="0" applyAlignment="0"/>
    <xf numFmtId="0" fontId="11" fillId="0" borderId="0" applyFill="0" applyBorder="0" applyAlignment="0"/>
    <xf numFmtId="171" fontId="11" fillId="0" borderId="0" applyFill="0" applyBorder="0" applyAlignment="0"/>
    <xf numFmtId="0" fontId="28" fillId="0" borderId="0" applyFill="0" applyBorder="0" applyAlignment="0"/>
    <xf numFmtId="168" fontId="11" fillId="0" borderId="0" applyFill="0" applyBorder="0" applyAlignment="0"/>
    <xf numFmtId="0" fontId="28" fillId="0" borderId="0" applyFill="0" applyBorder="0" applyAlignment="0"/>
    <xf numFmtId="168" fontId="11" fillId="0" borderId="0" applyFill="0" applyBorder="0" applyAlignment="0"/>
    <xf numFmtId="0" fontId="28" fillId="0" borderId="0" applyFill="0" applyBorder="0" applyAlignment="0"/>
    <xf numFmtId="169" fontId="11" fillId="0" borderId="0" applyFill="0" applyBorder="0" applyAlignment="0"/>
    <xf numFmtId="0" fontId="30" fillId="11" borderId="7" applyNumberFormat="0" applyAlignment="0" applyProtection="0"/>
    <xf numFmtId="0" fontId="31" fillId="13" borderId="7" applyNumberFormat="0" applyAlignment="0" applyProtection="0"/>
    <xf numFmtId="0" fontId="32" fillId="15" borderId="7" applyNumberFormat="0" applyAlignment="0" applyProtection="0"/>
    <xf numFmtId="0" fontId="33" fillId="37" borderId="8" applyNumberFormat="0"/>
    <xf numFmtId="0" fontId="34" fillId="38" borderId="9" applyBorder="0">
      <alignment horizontal="center" wrapText="1"/>
    </xf>
    <xf numFmtId="0" fontId="34" fillId="39" borderId="9" applyBorder="0">
      <alignment horizontal="center" wrapText="1"/>
    </xf>
    <xf numFmtId="0" fontId="35" fillId="40" borderId="8" applyNumberFormat="0"/>
    <xf numFmtId="0" fontId="36" fillId="41" borderId="8" applyNumberFormat="0"/>
    <xf numFmtId="0" fontId="3" fillId="41" borderId="8" applyNumberFormat="0"/>
    <xf numFmtId="0" fontId="35" fillId="40" borderId="8" applyNumberFormat="0"/>
    <xf numFmtId="0" fontId="36" fillId="40" borderId="8" applyNumberFormat="0"/>
    <xf numFmtId="0" fontId="35" fillId="37" borderId="8" applyNumberFormat="0"/>
    <xf numFmtId="0" fontId="33" fillId="37" borderId="8" applyNumberFormat="0"/>
    <xf numFmtId="0" fontId="6" fillId="5" borderId="4" applyNumberFormat="0" applyBorder="0"/>
    <xf numFmtId="0" fontId="6" fillId="5" borderId="4" applyNumberFormat="0" applyBorder="0"/>
    <xf numFmtId="0" fontId="6" fillId="5" borderId="4" applyNumberFormat="0"/>
    <xf numFmtId="0" fontId="6" fillId="5" borderId="4" applyNumberFormat="0" applyBorder="0"/>
    <xf numFmtId="14" fontId="37" fillId="40" borderId="10" applyNumberFormat="0" applyAlignment="0"/>
    <xf numFmtId="14" fontId="37" fillId="41" borderId="10" applyNumberFormat="0" applyAlignment="0"/>
    <xf numFmtId="14" fontId="38" fillId="41" borderId="10" applyNumberFormat="0" applyAlignment="0"/>
    <xf numFmtId="0" fontId="39" fillId="42" borderId="11" applyNumberFormat="0" applyAlignment="0" applyProtection="0"/>
    <xf numFmtId="0" fontId="40" fillId="42" borderId="11" applyNumberFormat="0" applyAlignment="0" applyProtection="0"/>
    <xf numFmtId="0" fontId="41" fillId="42" borderId="11" applyNumberFormat="0" applyAlignment="0" applyProtection="0"/>
    <xf numFmtId="0" fontId="42" fillId="0" borderId="0" applyNumberFormat="0" applyFill="0" applyBorder="0" applyAlignment="0" applyProtection="0"/>
    <xf numFmtId="172" fontId="43" fillId="0" borderId="0"/>
    <xf numFmtId="172" fontId="44" fillId="0" borderId="0"/>
    <xf numFmtId="172" fontId="43" fillId="0" borderId="0"/>
    <xf numFmtId="172" fontId="44" fillId="0" borderId="0"/>
    <xf numFmtId="172" fontId="43" fillId="0" borderId="0"/>
    <xf numFmtId="172" fontId="44" fillId="0" borderId="0"/>
    <xf numFmtId="172" fontId="43" fillId="0" borderId="0"/>
    <xf numFmtId="172" fontId="44" fillId="0" borderId="0"/>
    <xf numFmtId="172" fontId="43" fillId="0" borderId="0"/>
    <xf numFmtId="172" fontId="44" fillId="0" borderId="0"/>
    <xf numFmtId="172" fontId="43" fillId="0" borderId="0"/>
    <xf numFmtId="172" fontId="44" fillId="0" borderId="0"/>
    <xf numFmtId="172" fontId="43" fillId="0" borderId="0"/>
    <xf numFmtId="172" fontId="44" fillId="0" borderId="0"/>
    <xf numFmtId="172" fontId="43" fillId="0" borderId="0"/>
    <xf numFmtId="172" fontId="44" fillId="0" borderId="0"/>
    <xf numFmtId="0" fontId="28" fillId="0" borderId="0" applyFont="0" applyFill="0" applyBorder="0" applyAlignment="0" applyProtection="0"/>
    <xf numFmtId="168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3" fontId="11" fillId="0" borderId="0" applyFill="0" applyBorder="0" applyAlignment="0" applyProtection="0"/>
    <xf numFmtId="0" fontId="45" fillId="0" borderId="0"/>
    <xf numFmtId="0" fontId="46" fillId="0" borderId="0" applyNumberFormat="0" applyAlignment="0">
      <alignment horizontal="left"/>
    </xf>
    <xf numFmtId="0" fontId="47" fillId="0" borderId="0">
      <alignment horizontal="center"/>
    </xf>
    <xf numFmtId="0" fontId="45" fillId="0" borderId="0"/>
    <xf numFmtId="0" fontId="28" fillId="0" borderId="0" applyFont="0" applyFill="0" applyBorder="0" applyAlignment="0" applyProtection="0"/>
    <xf numFmtId="169" fontId="11" fillId="0" borderId="0" applyFont="0" applyFill="0" applyBorder="0" applyAlignment="0" applyProtection="0"/>
    <xf numFmtId="8" fontId="48" fillId="0" borderId="12">
      <protection locked="0"/>
    </xf>
    <xf numFmtId="44" fontId="11" fillId="0" borderId="0" applyFont="0" applyFill="0" applyBorder="0" applyAlignment="0" applyProtection="0"/>
    <xf numFmtId="44" fontId="11" fillId="0" borderId="0" applyFont="0" applyFill="0" applyBorder="0" applyAlignment="0" applyProtection="0"/>
    <xf numFmtId="44" fontId="11" fillId="0" borderId="0" applyFont="0" applyFill="0" applyBorder="0" applyAlignment="0" applyProtection="0"/>
    <xf numFmtId="44" fontId="11" fillId="0" borderId="0" applyFont="0" applyFill="0" applyBorder="0" applyAlignment="0" applyProtection="0"/>
    <xf numFmtId="44" fontId="11" fillId="0" borderId="0" applyFont="0" applyFill="0" applyBorder="0" applyAlignment="0" applyProtection="0"/>
    <xf numFmtId="44" fontId="11" fillId="0" borderId="0" applyFont="0" applyFill="0" applyBorder="0" applyAlignment="0" applyProtection="0"/>
    <xf numFmtId="44" fontId="12" fillId="0" borderId="0" applyFont="0" applyFill="0" applyBorder="0" applyAlignment="0" applyProtection="0"/>
    <xf numFmtId="44" fontId="12" fillId="0" borderId="0" applyFont="0" applyFill="0" applyBorder="0" applyAlignment="0" applyProtection="0"/>
    <xf numFmtId="44" fontId="12" fillId="0" borderId="0" applyFont="0" applyFill="0" applyBorder="0" applyAlignment="0" applyProtection="0"/>
    <xf numFmtId="44" fontId="12" fillId="0" borderId="0" applyFont="0" applyFill="0" applyBorder="0" applyAlignment="0" applyProtection="0"/>
    <xf numFmtId="44" fontId="11" fillId="0" borderId="0" applyFont="0" applyFill="0" applyBorder="0" applyAlignment="0" applyProtection="0"/>
    <xf numFmtId="44" fontId="11" fillId="0" borderId="0" applyFont="0" applyFill="0" applyBorder="0" applyAlignment="0" applyProtection="0"/>
    <xf numFmtId="44" fontId="11" fillId="0" borderId="0" applyFont="0" applyFill="0" applyBorder="0" applyAlignment="0" applyProtection="0"/>
    <xf numFmtId="44" fontId="11" fillId="0" borderId="0" applyFont="0" applyFill="0" applyBorder="0" applyAlignment="0" applyProtection="0"/>
    <xf numFmtId="5" fontId="11" fillId="0" borderId="0" applyFill="0" applyBorder="0" applyAlignment="0" applyProtection="0"/>
    <xf numFmtId="173" fontId="12" fillId="0" borderId="0" applyFont="0" applyFill="0" applyBorder="0" applyAlignment="0" applyProtection="0"/>
    <xf numFmtId="10" fontId="11" fillId="0" borderId="0" applyFont="0" applyFill="0" applyBorder="0" applyProtection="0">
      <alignment horizontal="center"/>
    </xf>
    <xf numFmtId="174" fontId="11" fillId="0" borderId="0" applyFont="0" applyFill="0" applyBorder="0" applyProtection="0"/>
    <xf numFmtId="175" fontId="11" fillId="0" borderId="0" applyFont="0" applyFill="0" applyBorder="0" applyProtection="0"/>
    <xf numFmtId="15" fontId="49" fillId="0" borderId="0" applyFont="0" applyFill="0" applyBorder="0" applyAlignment="0" applyProtection="0"/>
    <xf numFmtId="0" fontId="45" fillId="0" borderId="0"/>
    <xf numFmtId="176" fontId="11" fillId="0" borderId="0" applyFill="0" applyBorder="0" applyAlignment="0" applyProtection="0"/>
    <xf numFmtId="176" fontId="11" fillId="0" borderId="0" applyFill="0" applyBorder="0" applyAlignment="0" applyProtection="0"/>
    <xf numFmtId="176" fontId="11" fillId="0" borderId="0" applyFill="0" applyBorder="0" applyAlignment="0" applyProtection="0"/>
    <xf numFmtId="176" fontId="11" fillId="0" borderId="0" applyFill="0" applyBorder="0" applyAlignment="0" applyProtection="0"/>
    <xf numFmtId="176" fontId="11" fillId="0" borderId="0" applyFill="0" applyBorder="0" applyAlignment="0" applyProtection="0"/>
    <xf numFmtId="15" fontId="14" fillId="11" borderId="0"/>
    <xf numFmtId="14" fontId="14" fillId="0" borderId="0" applyFill="0" applyBorder="0" applyAlignment="0"/>
    <xf numFmtId="0" fontId="47" fillId="35" borderId="0">
      <alignment horizontal="left"/>
    </xf>
    <xf numFmtId="176" fontId="11" fillId="0" borderId="0" applyFill="0" applyBorder="0" applyAlignment="0" applyProtection="0"/>
    <xf numFmtId="14" fontId="11" fillId="0" borderId="0"/>
    <xf numFmtId="0" fontId="50" fillId="18" borderId="0">
      <alignment horizontal="left"/>
    </xf>
    <xf numFmtId="0" fontId="51" fillId="0" borderId="0">
      <alignment horizontal="left"/>
    </xf>
    <xf numFmtId="38" fontId="52" fillId="0" borderId="13">
      <alignment vertical="center"/>
    </xf>
    <xf numFmtId="177" fontId="11" fillId="0" borderId="0">
      <alignment horizontal="right"/>
    </xf>
    <xf numFmtId="1" fontId="11" fillId="0" borderId="0">
      <alignment horizontal="right"/>
    </xf>
    <xf numFmtId="1" fontId="11" fillId="0" borderId="0">
      <alignment horizontal="right"/>
    </xf>
    <xf numFmtId="178" fontId="11" fillId="0" borderId="0">
      <alignment horizontal="right"/>
    </xf>
    <xf numFmtId="49" fontId="11" fillId="0" borderId="0">
      <alignment horizontal="left"/>
    </xf>
    <xf numFmtId="49" fontId="11" fillId="0" borderId="0">
      <alignment horizontal="left"/>
    </xf>
    <xf numFmtId="49" fontId="11" fillId="0" borderId="0">
      <alignment horizontal="right"/>
    </xf>
    <xf numFmtId="14" fontId="11" fillId="0" borderId="0">
      <alignment horizontal="left"/>
    </xf>
    <xf numFmtId="0" fontId="28" fillId="0" borderId="0" applyFill="0" applyBorder="0" applyAlignment="0"/>
    <xf numFmtId="168" fontId="11" fillId="0" borderId="0" applyFill="0" applyBorder="0" applyAlignment="0"/>
    <xf numFmtId="0" fontId="28" fillId="0" borderId="0" applyFill="0" applyBorder="0" applyAlignment="0"/>
    <xf numFmtId="169" fontId="11" fillId="0" borderId="0" applyFill="0" applyBorder="0" applyAlignment="0"/>
    <xf numFmtId="0" fontId="28" fillId="0" borderId="0" applyFill="0" applyBorder="0" applyAlignment="0"/>
    <xf numFmtId="168" fontId="11" fillId="0" borderId="0" applyFill="0" applyBorder="0" applyAlignment="0"/>
    <xf numFmtId="0" fontId="28" fillId="0" borderId="0" applyFill="0" applyBorder="0" applyAlignment="0"/>
    <xf numFmtId="168" fontId="11" fillId="0" borderId="0" applyFill="0" applyBorder="0" applyAlignment="0"/>
    <xf numFmtId="0" fontId="28" fillId="0" borderId="0" applyFill="0" applyBorder="0" applyAlignment="0"/>
    <xf numFmtId="169" fontId="11" fillId="0" borderId="0" applyFill="0" applyBorder="0" applyAlignment="0"/>
    <xf numFmtId="0" fontId="53" fillId="0" borderId="0" applyNumberFormat="0" applyAlignment="0">
      <alignment horizontal="left"/>
    </xf>
    <xf numFmtId="9" fontId="54" fillId="0" borderId="3" applyNumberFormat="0" applyBorder="0" applyAlignment="0">
      <protection locked="0"/>
    </xf>
    <xf numFmtId="179" fontId="11" fillId="0" borderId="0" applyFont="0" applyFill="0" applyBorder="0" applyAlignment="0" applyProtection="0"/>
    <xf numFmtId="0" fontId="55" fillId="0" borderId="0" applyNumberFormat="0" applyFill="0" applyBorder="0" applyAlignment="0" applyProtection="0"/>
    <xf numFmtId="0" fontId="56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2" fontId="11" fillId="0" borderId="0" applyFill="0" applyBorder="0" applyAlignment="0" applyProtection="0"/>
    <xf numFmtId="180" fontId="11" fillId="0" borderId="0" applyFont="0" applyFill="0" applyBorder="0" applyAlignment="0" applyProtection="0"/>
    <xf numFmtId="0" fontId="14" fillId="11" borderId="0"/>
    <xf numFmtId="0" fontId="58" fillId="10" borderId="0" applyNumberFormat="0" applyBorder="0" applyAlignment="0" applyProtection="0"/>
    <xf numFmtId="0" fontId="59" fillId="14" borderId="0" applyNumberFormat="0" applyBorder="0" applyAlignment="0" applyProtection="0"/>
    <xf numFmtId="0" fontId="60" fillId="10" borderId="0" applyNumberFormat="0" applyBorder="0" applyAlignment="0" applyProtection="0"/>
    <xf numFmtId="2" fontId="61" fillId="35" borderId="6" applyProtection="0">
      <alignment horizontal="left"/>
      <protection locked="0"/>
    </xf>
    <xf numFmtId="38" fontId="42" fillId="43" borderId="0" applyNumberFormat="0" applyBorder="0" applyAlignment="0" applyProtection="0"/>
    <xf numFmtId="0" fontId="62" fillId="0" borderId="14" applyNumberFormat="0" applyAlignment="0" applyProtection="0">
      <alignment horizontal="left" vertical="center"/>
    </xf>
    <xf numFmtId="0" fontId="62" fillId="0" borderId="15">
      <alignment horizontal="left" vertical="center"/>
    </xf>
    <xf numFmtId="0" fontId="63" fillId="15" borderId="3">
      <alignment horizontal="centerContinuous"/>
    </xf>
    <xf numFmtId="0" fontId="64" fillId="0" borderId="16" applyNumberFormat="0" applyFill="0" applyAlignment="0" applyProtection="0"/>
    <xf numFmtId="0" fontId="65" fillId="0" borderId="17" applyNumberFormat="0" applyFill="0" applyAlignment="0" applyProtection="0"/>
    <xf numFmtId="0" fontId="66" fillId="0" borderId="0" applyNumberFormat="0" applyFill="0" applyBorder="0" applyAlignment="0" applyProtection="0"/>
    <xf numFmtId="0" fontId="67" fillId="0" borderId="0" applyNumberFormat="0" applyFill="0" applyBorder="0" applyAlignment="0" applyProtection="0"/>
    <xf numFmtId="0" fontId="68" fillId="0" borderId="18" applyNumberFormat="0" applyFill="0" applyAlignment="0" applyProtection="0"/>
    <xf numFmtId="0" fontId="69" fillId="0" borderId="19" applyNumberFormat="0" applyFill="0" applyAlignment="0" applyProtection="0"/>
    <xf numFmtId="0" fontId="70" fillId="0" borderId="20" applyNumberFormat="0" applyFill="0" applyAlignment="0" applyProtection="0"/>
    <xf numFmtId="0" fontId="50" fillId="0" borderId="0" applyNumberFormat="0" applyFill="0" applyBorder="0" applyAlignment="0" applyProtection="0"/>
    <xf numFmtId="0" fontId="62" fillId="0" borderId="0" applyNumberFormat="0" applyFill="0" applyBorder="0" applyAlignment="0" applyProtection="0"/>
    <xf numFmtId="0" fontId="71" fillId="0" borderId="19" applyNumberFormat="0" applyFill="0" applyAlignment="0" applyProtection="0"/>
    <xf numFmtId="0" fontId="72" fillId="0" borderId="21" applyNumberFormat="0" applyFill="0" applyAlignment="0" applyProtection="0"/>
    <xf numFmtId="0" fontId="73" fillId="0" borderId="22" applyNumberFormat="0" applyFill="0" applyAlignment="0" applyProtection="0"/>
    <xf numFmtId="0" fontId="74" fillId="0" borderId="23" applyNumberFormat="0" applyFill="0" applyAlignment="0" applyProtection="0"/>
    <xf numFmtId="0" fontId="72" fillId="0" borderId="0" applyNumberFormat="0" applyFill="0" applyBorder="0" applyAlignment="0" applyProtection="0"/>
    <xf numFmtId="0" fontId="73" fillId="0" borderId="0" applyNumberFormat="0" applyFill="0" applyBorder="0" applyAlignment="0" applyProtection="0"/>
    <xf numFmtId="0" fontId="74" fillId="0" borderId="0" applyNumberFormat="0" applyFill="0" applyBorder="0" applyAlignment="0" applyProtection="0"/>
    <xf numFmtId="0" fontId="75" fillId="11" borderId="0"/>
    <xf numFmtId="0" fontId="67" fillId="0" borderId="0" applyNumberFormat="0" applyFill="0" applyBorder="0" applyAlignment="0" applyProtection="0"/>
    <xf numFmtId="0" fontId="62" fillId="0" borderId="0" applyNumberFormat="0" applyFill="0" applyBorder="0" applyAlignment="0" applyProtection="0"/>
    <xf numFmtId="0" fontId="76" fillId="0" borderId="0" applyNumberFormat="0" applyFill="0" applyBorder="0" applyAlignment="0" applyProtection="0">
      <alignment vertical="top"/>
      <protection locked="0"/>
    </xf>
    <xf numFmtId="10" fontId="42" fillId="44" borderId="3" applyNumberFormat="0" applyBorder="0" applyAlignment="0" applyProtection="0"/>
    <xf numFmtId="2" fontId="77" fillId="0" borderId="24" applyNumberFormat="0" applyFill="0" applyBorder="0" applyAlignment="0">
      <alignment horizontal="center"/>
      <protection locked="0"/>
    </xf>
    <xf numFmtId="2" fontId="77" fillId="0" borderId="24" applyNumberFormat="0" applyFill="0" applyBorder="0" applyAlignment="0">
      <alignment horizontal="center"/>
      <protection locked="0"/>
    </xf>
    <xf numFmtId="0" fontId="2" fillId="2" borderId="1" applyNumberFormat="0" applyAlignment="0" applyProtection="0"/>
    <xf numFmtId="0" fontId="78" fillId="7" borderId="7" applyNumberFormat="0" applyAlignment="0" applyProtection="0"/>
    <xf numFmtId="0" fontId="78" fillId="7" borderId="7" applyNumberFormat="0" applyAlignment="0" applyProtection="0"/>
    <xf numFmtId="0" fontId="78" fillId="7" borderId="7" applyNumberFormat="0" applyAlignment="0" applyProtection="0"/>
    <xf numFmtId="0" fontId="78" fillId="7" borderId="7" applyNumberFormat="0" applyAlignment="0" applyProtection="0"/>
    <xf numFmtId="37" fontId="79" fillId="0" borderId="0" applyNumberFormat="0" applyAlignment="0">
      <protection locked="0"/>
    </xf>
    <xf numFmtId="0" fontId="80" fillId="0" borderId="0"/>
    <xf numFmtId="0" fontId="28" fillId="0" borderId="0" applyFill="0" applyBorder="0" applyAlignment="0"/>
    <xf numFmtId="168" fontId="11" fillId="0" borderId="0" applyFill="0" applyBorder="0" applyAlignment="0"/>
    <xf numFmtId="0" fontId="28" fillId="0" borderId="0" applyFill="0" applyBorder="0" applyAlignment="0"/>
    <xf numFmtId="169" fontId="11" fillId="0" borderId="0" applyFill="0" applyBorder="0" applyAlignment="0"/>
    <xf numFmtId="0" fontId="28" fillId="0" borderId="0" applyFill="0" applyBorder="0" applyAlignment="0"/>
    <xf numFmtId="168" fontId="11" fillId="0" borderId="0" applyFill="0" applyBorder="0" applyAlignment="0"/>
    <xf numFmtId="0" fontId="28" fillId="0" borderId="0" applyFill="0" applyBorder="0" applyAlignment="0"/>
    <xf numFmtId="168" fontId="11" fillId="0" borderId="0" applyFill="0" applyBorder="0" applyAlignment="0"/>
    <xf numFmtId="0" fontId="28" fillId="0" borderId="0" applyFill="0" applyBorder="0" applyAlignment="0"/>
    <xf numFmtId="169" fontId="11" fillId="0" borderId="0" applyFill="0" applyBorder="0" applyAlignment="0"/>
    <xf numFmtId="0" fontId="81" fillId="0" borderId="25" applyNumberFormat="0" applyFill="0" applyAlignment="0" applyProtection="0"/>
    <xf numFmtId="0" fontId="82" fillId="0" borderId="25" applyNumberFormat="0" applyFill="0" applyAlignment="0" applyProtection="0"/>
    <xf numFmtId="0" fontId="83" fillId="0" borderId="25" applyNumberFormat="0" applyFill="0" applyAlignment="0" applyProtection="0"/>
    <xf numFmtId="0" fontId="11" fillId="43" borderId="0"/>
    <xf numFmtId="0" fontId="11" fillId="0" borderId="0" applyFont="0" applyFill="0" applyBorder="0" applyAlignment="0" applyProtection="0"/>
    <xf numFmtId="0" fontId="11" fillId="0" borderId="0" applyFont="0" applyFill="0" applyBorder="0" applyAlignment="0" applyProtection="0"/>
    <xf numFmtId="0" fontId="11" fillId="0" borderId="0" applyFont="0" applyFill="0" applyBorder="0" applyAlignment="0" applyProtection="0"/>
    <xf numFmtId="0" fontId="11" fillId="0" borderId="0" applyFont="0" applyFill="0" applyBorder="0" applyAlignment="0" applyProtection="0"/>
    <xf numFmtId="38" fontId="14" fillId="11" borderId="0"/>
    <xf numFmtId="0" fontId="84" fillId="7" borderId="0" applyNumberFormat="0" applyBorder="0" applyAlignment="0" applyProtection="0"/>
    <xf numFmtId="0" fontId="85" fillId="12" borderId="0" applyNumberFormat="0" applyBorder="0" applyAlignment="0" applyProtection="0"/>
    <xf numFmtId="0" fontId="86" fillId="36" borderId="0" applyNumberFormat="0" applyBorder="0" applyAlignment="0" applyProtection="0"/>
    <xf numFmtId="37" fontId="87" fillId="0" borderId="0"/>
    <xf numFmtId="0" fontId="50" fillId="11" borderId="0" applyNumberFormat="0" applyFont="0" applyFill="0" applyBorder="0" applyAlignment="0"/>
    <xf numFmtId="10" fontId="14" fillId="11" borderId="0"/>
    <xf numFmtId="181" fontId="88" fillId="0" borderId="0"/>
    <xf numFmtId="0" fontId="11" fillId="0" borderId="0"/>
    <xf numFmtId="0" fontId="11" fillId="0" borderId="0"/>
    <xf numFmtId="0" fontId="1" fillId="0" borderId="0"/>
    <xf numFmtId="0" fontId="11" fillId="0" borderId="0"/>
    <xf numFmtId="0" fontId="11" fillId="0" borderId="0"/>
    <xf numFmtId="0" fontId="12" fillId="0" borderId="0"/>
    <xf numFmtId="0" fontId="12" fillId="0" borderId="0"/>
    <xf numFmtId="0" fontId="12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" fillId="0" borderId="0"/>
    <xf numFmtId="0" fontId="1" fillId="0" borderId="0"/>
    <xf numFmtId="0" fontId="14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35" fillId="40" borderId="0"/>
    <xf numFmtId="0" fontId="11" fillId="0" borderId="0"/>
    <xf numFmtId="0" fontId="11" fillId="0" borderId="0"/>
    <xf numFmtId="0" fontId="11" fillId="0" borderId="0"/>
    <xf numFmtId="0" fontId="12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" fillId="0" borderId="0"/>
    <xf numFmtId="0" fontId="11" fillId="0" borderId="0"/>
    <xf numFmtId="0" fontId="11" fillId="0" borderId="0"/>
    <xf numFmtId="0" fontId="11" fillId="41" borderId="0"/>
    <xf numFmtId="0" fontId="11" fillId="41" borderId="0"/>
    <xf numFmtId="0" fontId="11" fillId="0" borderId="0"/>
    <xf numFmtId="0" fontId="11" fillId="0" borderId="0"/>
    <xf numFmtId="0" fontId="35" fillId="40" borderId="0"/>
    <xf numFmtId="0" fontId="35" fillId="40" borderId="0"/>
    <xf numFmtId="0" fontId="35" fillId="4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35" fillId="40" borderId="0"/>
    <xf numFmtId="0" fontId="11" fillId="0" borderId="0"/>
    <xf numFmtId="0" fontId="11" fillId="0" borderId="0"/>
    <xf numFmtId="0" fontId="35" fillId="40" borderId="0"/>
    <xf numFmtId="0" fontId="1" fillId="0" borderId="0"/>
    <xf numFmtId="0" fontId="1" fillId="0" borderId="0"/>
    <xf numFmtId="0" fontId="11" fillId="0" borderId="0">
      <alignment vertical="top"/>
    </xf>
    <xf numFmtId="0" fontId="11" fillId="0" borderId="0">
      <alignment vertical="top"/>
    </xf>
    <xf numFmtId="0" fontId="15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89" fillId="0" borderId="0"/>
    <xf numFmtId="0" fontId="11" fillId="0" borderId="0"/>
    <xf numFmtId="0" fontId="11" fillId="0" borderId="0"/>
    <xf numFmtId="0" fontId="35" fillId="3" borderId="2" applyNumberFormat="0" applyFont="0" applyAlignment="0" applyProtection="0"/>
    <xf numFmtId="0" fontId="14" fillId="9" borderId="26" applyNumberFormat="0" applyFont="0" applyAlignment="0" applyProtection="0"/>
    <xf numFmtId="0" fontId="90" fillId="9" borderId="26" applyNumberFormat="0" applyFont="0" applyAlignment="0" applyProtection="0"/>
    <xf numFmtId="0" fontId="35" fillId="3" borderId="2" applyNumberFormat="0" applyFont="0" applyAlignment="0" applyProtection="0"/>
    <xf numFmtId="0" fontId="91" fillId="0" borderId="0"/>
    <xf numFmtId="0" fontId="15" fillId="9" borderId="26" applyNumberFormat="0" applyFont="0" applyAlignment="0" applyProtection="0"/>
    <xf numFmtId="0" fontId="35" fillId="3" borderId="2" applyNumberFormat="0" applyFont="0" applyAlignment="0" applyProtection="0"/>
    <xf numFmtId="0" fontId="35" fillId="3" borderId="2" applyNumberFormat="0" applyFont="0" applyAlignment="0" applyProtection="0"/>
    <xf numFmtId="0" fontId="1" fillId="3" borderId="2" applyNumberFormat="0" applyFont="0" applyAlignment="0" applyProtection="0"/>
    <xf numFmtId="0" fontId="1" fillId="3" borderId="2" applyNumberFormat="0" applyFont="0" applyAlignment="0" applyProtection="0"/>
    <xf numFmtId="0" fontId="1" fillId="3" borderId="2" applyNumberFormat="0" applyFont="0" applyAlignment="0" applyProtection="0"/>
    <xf numFmtId="182" fontId="28" fillId="0" borderId="0">
      <alignment horizontal="center"/>
    </xf>
    <xf numFmtId="37" fontId="11" fillId="0" borderId="0"/>
    <xf numFmtId="183" fontId="42" fillId="0" borderId="0" applyNumberFormat="0" applyFill="0" applyBorder="0" applyAlignment="0" applyProtection="0"/>
    <xf numFmtId="0" fontId="47" fillId="0" borderId="0" applyNumberFormat="0" applyFill="0" applyBorder="0" applyAlignment="0" applyProtection="0"/>
    <xf numFmtId="184" fontId="92" fillId="0" borderId="0" applyNumberFormat="0" applyFill="0" applyBorder="0" applyAlignment="0" applyProtection="0"/>
    <xf numFmtId="164" fontId="28" fillId="0" borderId="0">
      <alignment horizontal="center"/>
    </xf>
    <xf numFmtId="0" fontId="35" fillId="6" borderId="0" applyNumberFormat="0" applyFont="0" applyBorder="0" applyAlignment="0" applyProtection="0"/>
    <xf numFmtId="0" fontId="92" fillId="0" borderId="27"/>
    <xf numFmtId="2" fontId="93" fillId="35" borderId="6">
      <alignment horizontal="left"/>
    </xf>
    <xf numFmtId="0" fontId="94" fillId="11" borderId="28" applyNumberFormat="0" applyAlignment="0" applyProtection="0"/>
    <xf numFmtId="0" fontId="95" fillId="13" borderId="28" applyNumberFormat="0" applyAlignment="0" applyProtection="0"/>
    <xf numFmtId="0" fontId="96" fillId="15" borderId="28" applyNumberFormat="0" applyAlignment="0" applyProtection="0"/>
    <xf numFmtId="40" fontId="14" fillId="35" borderId="0">
      <alignment horizontal="right"/>
    </xf>
    <xf numFmtId="0" fontId="97" fillId="44" borderId="0">
      <alignment horizontal="center"/>
    </xf>
    <xf numFmtId="0" fontId="40" fillId="45" borderId="6"/>
    <xf numFmtId="0" fontId="98" fillId="0" borderId="0" applyBorder="0">
      <alignment horizontal="centerContinuous"/>
    </xf>
    <xf numFmtId="0" fontId="99" fillId="0" borderId="0" applyBorder="0">
      <alignment horizontal="centerContinuous"/>
    </xf>
    <xf numFmtId="0" fontId="62" fillId="0" borderId="0"/>
    <xf numFmtId="0" fontId="11" fillId="0" borderId="0" applyFont="0" applyFill="0" applyBorder="0" applyAlignment="0" applyProtection="0"/>
    <xf numFmtId="171" fontId="11" fillId="0" borderId="0" applyFont="0" applyFill="0" applyBorder="0" applyAlignment="0" applyProtection="0"/>
    <xf numFmtId="0" fontId="100" fillId="0" borderId="0" applyFont="0" applyFill="0" applyBorder="0" applyAlignment="0" applyProtection="0"/>
    <xf numFmtId="185" fontId="29" fillId="0" borderId="0" applyFont="0" applyFill="0" applyBorder="0" applyAlignment="0" applyProtection="0"/>
    <xf numFmtId="10" fontId="11" fillId="0" borderId="0" applyFont="0" applyFill="0" applyBorder="0" applyAlignment="0" applyProtection="0"/>
    <xf numFmtId="9" fontId="7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92" fillId="0" borderId="0"/>
    <xf numFmtId="0" fontId="28" fillId="0" borderId="0" applyFill="0" applyBorder="0" applyAlignment="0"/>
    <xf numFmtId="168" fontId="11" fillId="0" borderId="0" applyFill="0" applyBorder="0" applyAlignment="0"/>
    <xf numFmtId="0" fontId="28" fillId="0" borderId="0" applyFill="0" applyBorder="0" applyAlignment="0"/>
    <xf numFmtId="169" fontId="11" fillId="0" borderId="0" applyFill="0" applyBorder="0" applyAlignment="0"/>
    <xf numFmtId="0" fontId="28" fillId="0" borderId="0" applyFill="0" applyBorder="0" applyAlignment="0"/>
    <xf numFmtId="168" fontId="11" fillId="0" borderId="0" applyFill="0" applyBorder="0" applyAlignment="0"/>
    <xf numFmtId="0" fontId="28" fillId="0" borderId="0" applyFill="0" applyBorder="0" applyAlignment="0"/>
    <xf numFmtId="168" fontId="11" fillId="0" borderId="0" applyFill="0" applyBorder="0" applyAlignment="0"/>
    <xf numFmtId="0" fontId="28" fillId="0" borderId="0" applyFill="0" applyBorder="0" applyAlignment="0"/>
    <xf numFmtId="169" fontId="11" fillId="0" borderId="0" applyFill="0" applyBorder="0" applyAlignment="0"/>
    <xf numFmtId="186" fontId="28" fillId="0" borderId="0">
      <alignment horizontal="center"/>
    </xf>
    <xf numFmtId="187" fontId="28" fillId="0" borderId="3">
      <alignment horizontal="center"/>
    </xf>
    <xf numFmtId="0" fontId="101" fillId="0" borderId="29" applyAlignment="0">
      <alignment horizontal="center"/>
    </xf>
    <xf numFmtId="0" fontId="102" fillId="43" borderId="0"/>
    <xf numFmtId="0" fontId="52" fillId="0" borderId="0" applyNumberFormat="0" applyFont="0" applyFill="0" applyBorder="0" applyAlignment="0" applyProtection="0">
      <alignment horizontal="left"/>
    </xf>
    <xf numFmtId="0" fontId="103" fillId="0" borderId="30">
      <alignment horizontal="center"/>
    </xf>
    <xf numFmtId="0" fontId="49" fillId="0" borderId="0">
      <alignment vertical="top"/>
    </xf>
    <xf numFmtId="188" fontId="49" fillId="0" borderId="0">
      <alignment vertical="top"/>
    </xf>
    <xf numFmtId="0" fontId="101" fillId="0" borderId="0">
      <alignment horizontal="left"/>
    </xf>
    <xf numFmtId="0" fontId="101" fillId="0" borderId="0">
      <alignment horizontal="right"/>
    </xf>
    <xf numFmtId="0" fontId="14" fillId="0" borderId="6" applyNumberFormat="0" applyBorder="0" applyAlignment="0"/>
    <xf numFmtId="189" fontId="104" fillId="0" borderId="0" applyNumberFormat="0" applyFill="0" applyBorder="0" applyAlignment="0" applyProtection="0">
      <alignment horizontal="left"/>
    </xf>
    <xf numFmtId="0" fontId="50" fillId="32" borderId="0">
      <alignment horizontal="left"/>
    </xf>
    <xf numFmtId="0" fontId="105" fillId="0" borderId="31"/>
    <xf numFmtId="187" fontId="25" fillId="9" borderId="0">
      <alignment horizontal="center"/>
    </xf>
    <xf numFmtId="187" fontId="106" fillId="9" borderId="0">
      <alignment horizontal="center"/>
    </xf>
    <xf numFmtId="187" fontId="25" fillId="10" borderId="0">
      <alignment horizontal="center"/>
    </xf>
    <xf numFmtId="0" fontId="25" fillId="9" borderId="0">
      <alignment horizontal="left"/>
    </xf>
    <xf numFmtId="0" fontId="107" fillId="0" borderId="0" applyFont="0" applyFill="0" applyBorder="0" applyAlignment="0" applyProtection="0"/>
    <xf numFmtId="190" fontId="29" fillId="0" borderId="0" applyFont="0" applyFill="0" applyBorder="0" applyAlignment="0" applyProtection="0"/>
    <xf numFmtId="191" fontId="11" fillId="0" borderId="0"/>
    <xf numFmtId="0" fontId="11" fillId="0" borderId="0"/>
    <xf numFmtId="0" fontId="11" fillId="0" borderId="0">
      <alignment horizontal="left" wrapText="1"/>
    </xf>
    <xf numFmtId="0" fontId="25" fillId="9" borderId="0">
      <alignment horizontal="center"/>
    </xf>
    <xf numFmtId="0" fontId="101" fillId="0" borderId="0"/>
    <xf numFmtId="0" fontId="108" fillId="0" borderId="0"/>
    <xf numFmtId="40" fontId="109" fillId="0" borderId="0" applyBorder="0">
      <alignment horizontal="right"/>
    </xf>
    <xf numFmtId="0" fontId="11" fillId="35" borderId="26"/>
    <xf numFmtId="0" fontId="28" fillId="0" borderId="0">
      <alignment horizontal="center"/>
    </xf>
    <xf numFmtId="15" fontId="28" fillId="0" borderId="0">
      <alignment horizontal="center"/>
    </xf>
    <xf numFmtId="0" fontId="110" fillId="0" borderId="0">
      <alignment horizontal="center"/>
    </xf>
    <xf numFmtId="3" fontId="28" fillId="0" borderId="0">
      <alignment horizontal="center"/>
    </xf>
    <xf numFmtId="192" fontId="28" fillId="0" borderId="0">
      <alignment horizontal="center"/>
    </xf>
    <xf numFmtId="187" fontId="28" fillId="0" borderId="0">
      <alignment horizontal="center"/>
    </xf>
    <xf numFmtId="0" fontId="111" fillId="46" borderId="0"/>
    <xf numFmtId="193" fontId="28" fillId="0" borderId="0">
      <alignment horizontal="center"/>
    </xf>
    <xf numFmtId="193" fontId="28" fillId="0" borderId="32">
      <alignment horizontal="center"/>
    </xf>
    <xf numFmtId="0" fontId="28" fillId="0" borderId="0">
      <alignment horizontal="left"/>
    </xf>
    <xf numFmtId="0" fontId="112" fillId="0" borderId="0">
      <alignment horizontal="center"/>
    </xf>
    <xf numFmtId="0" fontId="113" fillId="0" borderId="0" applyNumberFormat="0" applyFill="0" applyBorder="0"/>
    <xf numFmtId="0" fontId="14" fillId="11" borderId="0"/>
    <xf numFmtId="49" fontId="14" fillId="0" borderId="0" applyFill="0" applyBorder="0" applyAlignment="0"/>
    <xf numFmtId="0" fontId="28" fillId="0" borderId="0" applyFill="0" applyBorder="0" applyAlignment="0"/>
    <xf numFmtId="169" fontId="11" fillId="0" borderId="0" applyFill="0" applyBorder="0" applyAlignment="0"/>
    <xf numFmtId="0" fontId="11" fillId="0" borderId="0" applyFill="0" applyBorder="0" applyAlignment="0"/>
    <xf numFmtId="171" fontId="11" fillId="0" borderId="0" applyFill="0" applyBorder="0" applyAlignment="0"/>
    <xf numFmtId="49" fontId="11" fillId="0" borderId="0"/>
    <xf numFmtId="0" fontId="114" fillId="0" borderId="0">
      <alignment horizontal="right"/>
    </xf>
    <xf numFmtId="0" fontId="115" fillId="0" borderId="0">
      <alignment horizontal="right"/>
      <protection locked="0"/>
    </xf>
    <xf numFmtId="0" fontId="116" fillId="0" borderId="0" applyNumberFormat="0" applyFill="0" applyBorder="0" applyAlignment="0" applyProtection="0"/>
    <xf numFmtId="0" fontId="117" fillId="0" borderId="0" applyNumberFormat="0" applyFill="0" applyBorder="0" applyAlignment="0" applyProtection="0"/>
    <xf numFmtId="0" fontId="118" fillId="0" borderId="0" applyNumberFormat="0" applyFill="0" applyBorder="0" applyAlignment="0" applyProtection="0"/>
    <xf numFmtId="0" fontId="118" fillId="0" borderId="0" applyNumberFormat="0" applyFill="0" applyBorder="0" applyAlignment="0" applyProtection="0"/>
    <xf numFmtId="0" fontId="118" fillId="0" borderId="0" applyNumberFormat="0" applyFill="0" applyBorder="0" applyAlignment="0" applyProtection="0"/>
    <xf numFmtId="0" fontId="118" fillId="0" borderId="0" applyNumberFormat="0" applyFill="0" applyBorder="0" applyAlignment="0" applyProtection="0"/>
    <xf numFmtId="0" fontId="22" fillId="11" borderId="0"/>
    <xf numFmtId="0" fontId="35" fillId="47" borderId="33" applyBorder="0">
      <alignment horizontal="center" wrapText="1"/>
    </xf>
    <xf numFmtId="0" fontId="34" fillId="38" borderId="9" applyBorder="0">
      <alignment horizontal="center" wrapText="1"/>
    </xf>
    <xf numFmtId="0" fontId="35" fillId="48" borderId="9" applyBorder="0">
      <alignment horizontal="center" wrapText="1"/>
    </xf>
    <xf numFmtId="0" fontId="34" fillId="39" borderId="9" applyBorder="0">
      <alignment horizontal="center" wrapText="1"/>
    </xf>
    <xf numFmtId="0" fontId="7" fillId="49" borderId="9" applyBorder="0">
      <alignment horizontal="center" wrapText="1"/>
    </xf>
    <xf numFmtId="0" fontId="34" fillId="50" borderId="9" applyBorder="0">
      <alignment horizontal="center" wrapText="1"/>
    </xf>
    <xf numFmtId="0" fontId="34" fillId="50" borderId="9" applyBorder="0">
      <alignment horizontal="center" wrapText="1"/>
    </xf>
    <xf numFmtId="0" fontId="7" fillId="49" borderId="9" applyBorder="0">
      <alignment horizontal="center" wrapText="1"/>
    </xf>
    <xf numFmtId="0" fontId="7" fillId="49" borderId="9" applyBorder="0">
      <alignment horizontal="center" wrapText="1"/>
    </xf>
    <xf numFmtId="0" fontId="7" fillId="49" borderId="9" applyBorder="0">
      <alignment horizontal="center" wrapText="1"/>
    </xf>
    <xf numFmtId="0" fontId="7" fillId="49" borderId="9" applyBorder="0">
      <alignment horizontal="center" wrapText="1"/>
    </xf>
    <xf numFmtId="0" fontId="101" fillId="0" borderId="0" applyNumberFormat="0" applyFill="0" applyBorder="0" applyAlignment="0" applyProtection="0"/>
    <xf numFmtId="0" fontId="119" fillId="0" borderId="34" applyNumberFormat="0" applyFill="0" applyAlignment="0" applyProtection="0"/>
    <xf numFmtId="0" fontId="22" fillId="0" borderId="35" applyNumberFormat="0" applyFill="0" applyAlignment="0" applyProtection="0"/>
    <xf numFmtId="0" fontId="11" fillId="0" borderId="36" applyNumberFormat="0" applyFill="0" applyAlignment="0" applyProtection="0"/>
    <xf numFmtId="0" fontId="120" fillId="0" borderId="37" applyNumberFormat="0" applyFill="0" applyAlignment="0" applyProtection="0"/>
    <xf numFmtId="0" fontId="121" fillId="11" borderId="0"/>
    <xf numFmtId="0" fontId="122" fillId="0" borderId="0" applyNumberFormat="0" applyFill="0" applyBorder="0" applyAlignment="0" applyProtection="0"/>
    <xf numFmtId="0" fontId="123" fillId="0" borderId="0" applyNumberFormat="0" applyFill="0" applyBorder="0" applyAlignment="0" applyProtection="0"/>
    <xf numFmtId="0" fontId="124" fillId="0" borderId="0" applyNumberFormat="0" applyFill="0" applyBorder="0" applyAlignment="0" applyProtection="0"/>
    <xf numFmtId="1" fontId="125" fillId="40" borderId="10"/>
    <xf numFmtId="1" fontId="125" fillId="41" borderId="10"/>
    <xf numFmtId="2" fontId="126" fillId="41" borderId="10"/>
    <xf numFmtId="0" fontId="127" fillId="40" borderId="4" applyNumberFormat="0" applyAlignment="0"/>
    <xf numFmtId="0" fontId="128" fillId="41" borderId="4" applyNumberFormat="0" applyAlignment="0"/>
    <xf numFmtId="1" fontId="129" fillId="41" borderId="10" applyNumberFormat="0"/>
    <xf numFmtId="177" fontId="130" fillId="41" borderId="10" applyNumberFormat="0"/>
    <xf numFmtId="0" fontId="11" fillId="0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66">
    <xf numFmtId="0" fontId="0" fillId="0" borderId="0" xfId="0"/>
    <xf numFmtId="0" fontId="0" fillId="0" borderId="0" xfId="0" applyAlignment="1">
      <alignment wrapText="1"/>
    </xf>
    <xf numFmtId="0" fontId="0" fillId="0" borderId="0" xfId="0" applyAlignment="1"/>
    <xf numFmtId="0" fontId="5" fillId="0" borderId="3" xfId="0" applyFont="1" applyBorder="1"/>
    <xf numFmtId="0" fontId="6" fillId="5" borderId="3" xfId="1" applyFont="1" applyBorder="1" applyAlignment="1">
      <alignment horizontal="center"/>
    </xf>
    <xf numFmtId="14" fontId="6" fillId="5" borderId="3" xfId="1" applyNumberFormat="1" applyFont="1" applyBorder="1"/>
    <xf numFmtId="0" fontId="4" fillId="0" borderId="0" xfId="0" applyFont="1" applyBorder="1"/>
    <xf numFmtId="0" fontId="8" fillId="0" borderId="0" xfId="0" applyFont="1" applyAlignment="1">
      <alignment horizontal="right"/>
    </xf>
    <xf numFmtId="0" fontId="10" fillId="0" borderId="0" xfId="2" applyFont="1"/>
    <xf numFmtId="0" fontId="8" fillId="0" borderId="0" xfId="0" applyFont="1"/>
    <xf numFmtId="0" fontId="10" fillId="0" borderId="0" xfId="2" applyFont="1" applyAlignment="1">
      <alignment vertical="top"/>
    </xf>
    <xf numFmtId="0" fontId="131" fillId="0" borderId="0" xfId="0" applyFont="1"/>
    <xf numFmtId="0" fontId="132" fillId="0" borderId="0" xfId="0" applyFont="1"/>
    <xf numFmtId="0" fontId="7" fillId="0" borderId="0" xfId="0" applyFont="1"/>
    <xf numFmtId="0" fontId="6" fillId="5" borderId="3" xfId="1" applyFont="1" applyBorder="1" applyAlignment="1">
      <alignment horizontal="left"/>
    </xf>
    <xf numFmtId="0" fontId="7" fillId="6" borderId="38" xfId="0" applyFont="1" applyFill="1" applyBorder="1" applyAlignment="1">
      <alignment wrapText="1"/>
    </xf>
    <xf numFmtId="0" fontId="7" fillId="6" borderId="38" xfId="0" applyFont="1" applyFill="1" applyBorder="1" applyAlignment="1">
      <alignment vertical="center"/>
    </xf>
    <xf numFmtId="3" fontId="0" fillId="0" borderId="38" xfId="0" applyNumberFormat="1" applyBorder="1" applyAlignment="1">
      <alignment vertical="center"/>
    </xf>
    <xf numFmtId="0" fontId="0" fillId="0" borderId="0" xfId="0" applyAlignment="1">
      <alignment vertical="center"/>
    </xf>
    <xf numFmtId="0" fontId="0" fillId="0" borderId="0" xfId="0" applyAlignment="1">
      <alignment vertical="center" wrapText="1"/>
    </xf>
    <xf numFmtId="0" fontId="9" fillId="0" borderId="0" xfId="2"/>
    <xf numFmtId="0" fontId="7" fillId="6" borderId="39" xfId="0" applyFont="1" applyFill="1" applyBorder="1" applyAlignment="1">
      <alignment horizontal="right" vertical="center"/>
    </xf>
    <xf numFmtId="0" fontId="7" fillId="6" borderId="40" xfId="0" applyFont="1" applyFill="1" applyBorder="1" applyAlignment="1">
      <alignment horizontal="right" vertical="center"/>
    </xf>
    <xf numFmtId="0" fontId="7" fillId="6" borderId="41" xfId="0" applyFont="1" applyFill="1" applyBorder="1" applyAlignment="1">
      <alignment horizontal="right" vertical="center"/>
    </xf>
    <xf numFmtId="0" fontId="0" fillId="0" borderId="0" xfId="0" applyAlignment="1">
      <alignment horizontal="center"/>
    </xf>
    <xf numFmtId="0" fontId="7" fillId="0" borderId="43" xfId="0" applyFont="1" applyBorder="1" applyAlignment="1">
      <alignment horizontal="center"/>
    </xf>
    <xf numFmtId="0" fontId="133" fillId="52" borderId="43" xfId="0" applyFont="1" applyFill="1" applyBorder="1" applyAlignment="1">
      <alignment horizontal="center"/>
    </xf>
    <xf numFmtId="0" fontId="7" fillId="53" borderId="43" xfId="0" applyFont="1" applyFill="1" applyBorder="1" applyAlignment="1">
      <alignment horizontal="center"/>
    </xf>
    <xf numFmtId="14" fontId="7" fillId="0" borderId="0" xfId="0" applyNumberFormat="1" applyFont="1" applyAlignment="1">
      <alignment horizontal="center"/>
    </xf>
    <xf numFmtId="164" fontId="7" fillId="0" borderId="0" xfId="0" applyNumberFormat="1" applyFont="1" applyAlignment="1">
      <alignment horizontal="center"/>
    </xf>
    <xf numFmtId="2" fontId="7" fillId="0" borderId="0" xfId="0" applyNumberFormat="1" applyFont="1" applyAlignment="1">
      <alignment horizontal="center"/>
    </xf>
    <xf numFmtId="0" fontId="7" fillId="56" borderId="43" xfId="0" applyFont="1" applyFill="1" applyBorder="1" applyAlignment="1">
      <alignment horizontal="center"/>
    </xf>
    <xf numFmtId="0" fontId="7" fillId="57" borderId="43" xfId="0" applyFont="1" applyFill="1" applyBorder="1" applyAlignment="1">
      <alignment horizontal="center"/>
    </xf>
    <xf numFmtId="10" fontId="7" fillId="0" borderId="0" xfId="0" applyNumberFormat="1" applyFont="1" applyAlignment="1">
      <alignment horizontal="center"/>
    </xf>
    <xf numFmtId="0" fontId="7" fillId="0" borderId="0" xfId="0" applyFont="1" applyAlignment="1">
      <alignment horizontal="center"/>
    </xf>
    <xf numFmtId="0" fontId="7" fillId="0" borderId="43" xfId="0" pivotButton="1" applyFont="1" applyBorder="1" applyAlignment="1">
      <alignment horizontal="center"/>
    </xf>
    <xf numFmtId="0" fontId="7" fillId="53" borderId="43" xfId="0" pivotButton="1" applyFont="1" applyFill="1" applyBorder="1" applyAlignment="1">
      <alignment horizontal="center"/>
    </xf>
    <xf numFmtId="0" fontId="133" fillId="52" borderId="43" xfId="0" pivotButton="1" applyFont="1" applyFill="1" applyBorder="1" applyAlignment="1">
      <alignment horizontal="center"/>
    </xf>
    <xf numFmtId="0" fontId="0" fillId="0" borderId="0" xfId="0" applyFont="1"/>
    <xf numFmtId="0" fontId="0" fillId="0" borderId="0" xfId="0" applyFont="1" applyAlignment="1">
      <alignment horizontal="center"/>
    </xf>
    <xf numFmtId="0" fontId="0" fillId="0" borderId="0" xfId="0" applyFont="1" applyAlignment="1"/>
    <xf numFmtId="14" fontId="0" fillId="0" borderId="43" xfId="0" applyNumberFormat="1" applyFont="1" applyBorder="1" applyAlignment="1">
      <alignment horizontal="center"/>
    </xf>
    <xf numFmtId="164" fontId="0" fillId="0" borderId="43" xfId="0" applyNumberFormat="1" applyFont="1" applyBorder="1" applyAlignment="1">
      <alignment horizontal="center"/>
    </xf>
    <xf numFmtId="2" fontId="0" fillId="0" borderId="43" xfId="0" applyNumberFormat="1" applyFont="1" applyBorder="1" applyAlignment="1">
      <alignment horizontal="center"/>
    </xf>
    <xf numFmtId="14" fontId="0" fillId="0" borderId="44" xfId="0" applyNumberFormat="1" applyFont="1" applyBorder="1" applyAlignment="1">
      <alignment horizontal="center"/>
    </xf>
    <xf numFmtId="164" fontId="0" fillId="0" borderId="44" xfId="0" applyNumberFormat="1" applyFont="1" applyBorder="1" applyAlignment="1">
      <alignment horizontal="center"/>
    </xf>
    <xf numFmtId="2" fontId="0" fillId="0" borderId="44" xfId="0" applyNumberFormat="1" applyFont="1" applyBorder="1" applyAlignment="1">
      <alignment horizontal="center"/>
    </xf>
    <xf numFmtId="10" fontId="0" fillId="0" borderId="43" xfId="0" applyNumberFormat="1" applyFont="1" applyBorder="1" applyAlignment="1">
      <alignment horizontal="center"/>
    </xf>
    <xf numFmtId="10" fontId="0" fillId="0" borderId="0" xfId="0" applyNumberFormat="1" applyFont="1" applyBorder="1" applyAlignment="1">
      <alignment horizontal="center"/>
    </xf>
    <xf numFmtId="10" fontId="0" fillId="0" borderId="44" xfId="0" applyNumberFormat="1" applyFont="1" applyBorder="1" applyAlignment="1">
      <alignment horizontal="center"/>
    </xf>
    <xf numFmtId="0" fontId="134" fillId="51" borderId="42" xfId="0" applyFont="1" applyFill="1" applyBorder="1" applyAlignment="1">
      <alignment horizontal="center" vertical="center"/>
    </xf>
    <xf numFmtId="0" fontId="134" fillId="54" borderId="42" xfId="0" applyFont="1" applyFill="1" applyBorder="1" applyAlignment="1">
      <alignment horizontal="center" vertical="center"/>
    </xf>
    <xf numFmtId="0" fontId="134" fillId="55" borderId="42" xfId="0" applyFont="1" applyFill="1" applyBorder="1" applyAlignment="1">
      <alignment horizontal="center" vertical="center"/>
    </xf>
    <xf numFmtId="0" fontId="134" fillId="59" borderId="42" xfId="0" applyFont="1" applyFill="1" applyBorder="1" applyAlignment="1">
      <alignment horizontal="center" vertical="center"/>
    </xf>
    <xf numFmtId="0" fontId="7" fillId="0" borderId="0" xfId="0" applyFont="1" applyAlignment="1"/>
    <xf numFmtId="43" fontId="0" fillId="58" borderId="0" xfId="526" applyNumberFormat="1" applyFont="1" applyFill="1"/>
    <xf numFmtId="10" fontId="0" fillId="58" borderId="0" xfId="527" applyNumberFormat="1" applyFont="1" applyFill="1"/>
    <xf numFmtId="10" fontId="0" fillId="0" borderId="0" xfId="527" applyNumberFormat="1" applyFont="1"/>
    <xf numFmtId="14" fontId="0" fillId="0" borderId="0" xfId="0" applyNumberFormat="1"/>
    <xf numFmtId="43" fontId="0" fillId="0" borderId="0" xfId="526" applyNumberFormat="1" applyFont="1"/>
    <xf numFmtId="2" fontId="0" fillId="0" borderId="0" xfId="527" applyNumberFormat="1" applyFont="1"/>
    <xf numFmtId="2" fontId="0" fillId="60" borderId="0" xfId="527" applyNumberFormat="1" applyFont="1" applyFill="1"/>
    <xf numFmtId="0" fontId="7" fillId="0" borderId="42" xfId="0" pivotButton="1" applyFont="1" applyBorder="1" applyAlignment="1">
      <alignment horizontal="center"/>
    </xf>
    <xf numFmtId="0" fontId="7" fillId="0" borderId="42" xfId="0" applyFont="1" applyBorder="1" applyAlignment="1">
      <alignment horizontal="center"/>
    </xf>
    <xf numFmtId="194" fontId="0" fillId="0" borderId="0" xfId="526" applyNumberFormat="1" applyFont="1"/>
    <xf numFmtId="198" fontId="0" fillId="0" borderId="0" xfId="526" applyNumberFormat="1" applyFont="1"/>
  </cellXfs>
  <cellStyles count="528">
    <cellStyle name="_Bonds" xfId="3"/>
    <cellStyle name="_Bonds 2" xfId="4"/>
    <cellStyle name="_Offering" xfId="5"/>
    <cellStyle name="_Offering 2" xfId="6"/>
    <cellStyle name="£ BP" xfId="7"/>
    <cellStyle name="¥ JY" xfId="8"/>
    <cellStyle name="20% - Accent1 2" xfId="9"/>
    <cellStyle name="20% - Accent1 2 2" xfId="10"/>
    <cellStyle name="20% - Accent1 2 3" xfId="11"/>
    <cellStyle name="20% - Accent1 3" xfId="12"/>
    <cellStyle name="20% - Accent1 3 2" xfId="13"/>
    <cellStyle name="20% - Accent1 3 3" xfId="14"/>
    <cellStyle name="20% - Accent1 4" xfId="15"/>
    <cellStyle name="20% - Accent1 5" xfId="16"/>
    <cellStyle name="20% - Accent2 2" xfId="17"/>
    <cellStyle name="20% - Accent2 3" xfId="18"/>
    <cellStyle name="20% - Accent2 4" xfId="19"/>
    <cellStyle name="20% - Accent3 2" xfId="20"/>
    <cellStyle name="20% - Accent3 3" xfId="21"/>
    <cellStyle name="20% - Accent3 4" xfId="22"/>
    <cellStyle name="20% - Accent4 2" xfId="23"/>
    <cellStyle name="20% - Accent4 3" xfId="24"/>
    <cellStyle name="20% - Accent4 4" xfId="25"/>
    <cellStyle name="20% - Accent5 2" xfId="26"/>
    <cellStyle name="20% - Accent5 3" xfId="27"/>
    <cellStyle name="20% - Accent5 4" xfId="28"/>
    <cellStyle name="20% - Accent6 2" xfId="29"/>
    <cellStyle name="20% - Accent6 3" xfId="30"/>
    <cellStyle name="20% - Accent6 4" xfId="31"/>
    <cellStyle name="40% - Accent1 2" xfId="32"/>
    <cellStyle name="40% - Accent1 3" xfId="33"/>
    <cellStyle name="40% - Accent1 4" xfId="34"/>
    <cellStyle name="40% - Accent2 2" xfId="35"/>
    <cellStyle name="40% - Accent2 3" xfId="36"/>
    <cellStyle name="40% - Accent2 4" xfId="37"/>
    <cellStyle name="40% - Accent3 2" xfId="38"/>
    <cellStyle name="40% - Accent3 3" xfId="39"/>
    <cellStyle name="40% - Accent3 4" xfId="40"/>
    <cellStyle name="40% - Accent4 2" xfId="41"/>
    <cellStyle name="40% - Accent4 3" xfId="42"/>
    <cellStyle name="40% - Accent4 4" xfId="43"/>
    <cellStyle name="40% - Accent5 2" xfId="44"/>
    <cellStyle name="40% - Accent5 3" xfId="45"/>
    <cellStyle name="40% - Accent5 4" xfId="46"/>
    <cellStyle name="40% - Accent6 2" xfId="47"/>
    <cellStyle name="40% - Accent6 3" xfId="48"/>
    <cellStyle name="40% - Accent6 4" xfId="49"/>
    <cellStyle name="60% - Accent1 2" xfId="50"/>
    <cellStyle name="60% - Accent1 3" xfId="51"/>
    <cellStyle name="60% - Accent1 4" xfId="52"/>
    <cellStyle name="60% - Accent2 2" xfId="53"/>
    <cellStyle name="60% - Accent2 3" xfId="54"/>
    <cellStyle name="60% - Accent2 4" xfId="55"/>
    <cellStyle name="60% - Accent3 2" xfId="56"/>
    <cellStyle name="60% - Accent3 3" xfId="57"/>
    <cellStyle name="60% - Accent3 4" xfId="58"/>
    <cellStyle name="60% - Accent4 2" xfId="59"/>
    <cellStyle name="60% - Accent4 3" xfId="60"/>
    <cellStyle name="60% - Accent4 4" xfId="61"/>
    <cellStyle name="60% - Accent5 2" xfId="62"/>
    <cellStyle name="60% - Accent5 3" xfId="63"/>
    <cellStyle name="60% - Accent5 4" xfId="64"/>
    <cellStyle name="60% - Accent6 2" xfId="65"/>
    <cellStyle name="60% - Accent6 3" xfId="66"/>
    <cellStyle name="60% - Accent6 4" xfId="67"/>
    <cellStyle name="Accent1 2" xfId="68"/>
    <cellStyle name="Accent1 3" xfId="69"/>
    <cellStyle name="Accent1 4" xfId="70"/>
    <cellStyle name="Accent2 2" xfId="71"/>
    <cellStyle name="Accent2 3" xfId="72"/>
    <cellStyle name="Accent2 4" xfId="73"/>
    <cellStyle name="Accent3 2" xfId="74"/>
    <cellStyle name="Accent3 3" xfId="75"/>
    <cellStyle name="Accent3 4" xfId="76"/>
    <cellStyle name="Accent4 2" xfId="77"/>
    <cellStyle name="Accent4 3" xfId="78"/>
    <cellStyle name="Accent4 4" xfId="79"/>
    <cellStyle name="Accent5 2" xfId="80"/>
    <cellStyle name="Accent5 3" xfId="81"/>
    <cellStyle name="Accent5 4" xfId="82"/>
    <cellStyle name="Accent6 2" xfId="83"/>
    <cellStyle name="Accent6 3" xfId="84"/>
    <cellStyle name="Accent6 4" xfId="85"/>
    <cellStyle name="Auto_OpenAuto_CloseExtractD_Sheet1" xfId="86"/>
    <cellStyle name="Axis.EffectiveDate" xfId="87"/>
    <cellStyle name="Axis.Seasoning" xfId="88"/>
    <cellStyle name="Bad 2" xfId="89"/>
    <cellStyle name="Bad 3" xfId="90"/>
    <cellStyle name="Bad 4" xfId="91"/>
    <cellStyle name="Big Money" xfId="92"/>
    <cellStyle name="Blue" xfId="93"/>
    <cellStyle name="blue axis cells" xfId="94"/>
    <cellStyle name="blue text cells" xfId="95"/>
    <cellStyle name="Body" xfId="96"/>
    <cellStyle name="Bold/Border" xfId="97"/>
    <cellStyle name="Border" xfId="98"/>
    <cellStyle name="Bullet" xfId="99"/>
    <cellStyle name="Calc Currency (0)" xfId="100"/>
    <cellStyle name="Calc Currency (0) 2" xfId="101"/>
    <cellStyle name="Calc Currency (2)" xfId="102"/>
    <cellStyle name="Calc Currency (2) 2" xfId="103"/>
    <cellStyle name="Calc Percent (0)" xfId="104"/>
    <cellStyle name="Calc Percent (0) 2" xfId="105"/>
    <cellStyle name="Calc Percent (1)" xfId="106"/>
    <cellStyle name="Calc Percent (1) 2" xfId="107"/>
    <cellStyle name="Calc Percent (2)" xfId="108"/>
    <cellStyle name="Calc Percent (2) 2" xfId="109"/>
    <cellStyle name="Calc Units (0)" xfId="110"/>
    <cellStyle name="Calc Units (0) 2" xfId="111"/>
    <cellStyle name="Calc Units (1)" xfId="112"/>
    <cellStyle name="Calc Units (1) 2" xfId="113"/>
    <cellStyle name="Calc Units (2)" xfId="114"/>
    <cellStyle name="Calc Units (2) 2" xfId="115"/>
    <cellStyle name="Calculation 2" xfId="116"/>
    <cellStyle name="Calculation 3" xfId="117"/>
    <cellStyle name="Calculation 4" xfId="118"/>
    <cellStyle name="CCM Input" xfId="119"/>
    <cellStyle name="CCM Title Calculations" xfId="120"/>
    <cellStyle name="CCM Title Indicative" xfId="121"/>
    <cellStyle name="Cello Calculation" xfId="122"/>
    <cellStyle name="Cello Calculation 2" xfId="123"/>
    <cellStyle name="Cello Calculation 2 2" xfId="124"/>
    <cellStyle name="Cello Calculation 3" xfId="125"/>
    <cellStyle name="Cello Calculation 4" xfId="126"/>
    <cellStyle name="Cello Input" xfId="1"/>
    <cellStyle name="Cello Input 2" xfId="127"/>
    <cellStyle name="Cello Input 2 2" xfId="128"/>
    <cellStyle name="Cello Input 2 3" xfId="129"/>
    <cellStyle name="Cello Input 2 5" xfId="130"/>
    <cellStyle name="Cello Input 3" xfId="131"/>
    <cellStyle name="Cello Input 4" xfId="132"/>
    <cellStyle name="Cello Linked Cell" xfId="133"/>
    <cellStyle name="Cello Linked Cell 2" xfId="134"/>
    <cellStyle name="Cello Linked Cell 2 2" xfId="135"/>
    <cellStyle name="Check Cell 2" xfId="136"/>
    <cellStyle name="Check Cell 3" xfId="137"/>
    <cellStyle name="Check Cell 4" xfId="138"/>
    <cellStyle name="Co. Names" xfId="139"/>
    <cellStyle name="Comma" xfId="526" builtinId="3"/>
    <cellStyle name="Comma  - Style1" xfId="140"/>
    <cellStyle name="Comma  - Style1 2" xfId="141"/>
    <cellStyle name="Comma  - Style2" xfId="142"/>
    <cellStyle name="Comma  - Style2 2" xfId="143"/>
    <cellStyle name="Comma  - Style3" xfId="144"/>
    <cellStyle name="Comma  - Style3 2" xfId="145"/>
    <cellStyle name="Comma  - Style4" xfId="146"/>
    <cellStyle name="Comma  - Style4 2" xfId="147"/>
    <cellStyle name="Comma  - Style5" xfId="148"/>
    <cellStyle name="Comma  - Style5 2" xfId="149"/>
    <cellStyle name="Comma  - Style6" xfId="150"/>
    <cellStyle name="Comma  - Style6 2" xfId="151"/>
    <cellStyle name="Comma  - Style7" xfId="152"/>
    <cellStyle name="Comma  - Style7 2" xfId="153"/>
    <cellStyle name="Comma  - Style8" xfId="154"/>
    <cellStyle name="Comma  - Style8 2" xfId="155"/>
    <cellStyle name="Comma [00]" xfId="156"/>
    <cellStyle name="Comma [00] 2" xfId="157"/>
    <cellStyle name="Comma 10" xfId="158"/>
    <cellStyle name="Comma 11" xfId="159"/>
    <cellStyle name="Comma 12" xfId="160"/>
    <cellStyle name="Comma 13" xfId="161"/>
    <cellStyle name="Comma 14" xfId="162"/>
    <cellStyle name="Comma 15" xfId="163"/>
    <cellStyle name="Comma 16" xfId="164"/>
    <cellStyle name="Comma 16 2" xfId="165"/>
    <cellStyle name="Comma 17" xfId="166"/>
    <cellStyle name="Comma 18" xfId="167"/>
    <cellStyle name="Comma 19" xfId="168"/>
    <cellStyle name="Comma 2" xfId="169"/>
    <cellStyle name="Comma 20" xfId="170"/>
    <cellStyle name="Comma 21" xfId="171"/>
    <cellStyle name="Comma 22" xfId="172"/>
    <cellStyle name="Comma 23" xfId="173"/>
    <cellStyle name="Comma 24" xfId="174"/>
    <cellStyle name="Comma 25" xfId="175"/>
    <cellStyle name="Comma 26" xfId="176"/>
    <cellStyle name="Comma 27" xfId="177"/>
    <cellStyle name="Comma 28" xfId="178"/>
    <cellStyle name="Comma 29" xfId="179"/>
    <cellStyle name="Comma 29 2" xfId="180"/>
    <cellStyle name="Comma 3" xfId="181"/>
    <cellStyle name="Comma 30" xfId="182"/>
    <cellStyle name="Comma 4" xfId="183"/>
    <cellStyle name="Comma 4 2" xfId="184"/>
    <cellStyle name="Comma 5" xfId="185"/>
    <cellStyle name="Comma 6" xfId="186"/>
    <cellStyle name="Comma 7" xfId="187"/>
    <cellStyle name="Comma 8" xfId="188"/>
    <cellStyle name="Comma 9" xfId="189"/>
    <cellStyle name="Comma0" xfId="190"/>
    <cellStyle name="Comma1 - Style1" xfId="191"/>
    <cellStyle name="Copied" xfId="192"/>
    <cellStyle name="CTDSwitchAnalysisHeader" xfId="193"/>
    <cellStyle name="Curren - Style2" xfId="194"/>
    <cellStyle name="Currency [00]" xfId="195"/>
    <cellStyle name="Currency [00] 2" xfId="196"/>
    <cellStyle name="Currency [2]" xfId="197"/>
    <cellStyle name="Currency 10" xfId="198"/>
    <cellStyle name="Currency 11" xfId="199"/>
    <cellStyle name="Currency 12" xfId="200"/>
    <cellStyle name="Currency 13" xfId="201"/>
    <cellStyle name="Currency 14" xfId="202"/>
    <cellStyle name="Currency 15" xfId="203"/>
    <cellStyle name="Currency 2" xfId="204"/>
    <cellStyle name="Currency 3" xfId="205"/>
    <cellStyle name="Currency 4" xfId="206"/>
    <cellStyle name="Currency 5" xfId="207"/>
    <cellStyle name="Currency 6" xfId="208"/>
    <cellStyle name="Currency 7" xfId="209"/>
    <cellStyle name="Currency 8" xfId="210"/>
    <cellStyle name="Currency 9" xfId="211"/>
    <cellStyle name="Currency0" xfId="212"/>
    <cellStyle name="Dash" xfId="213"/>
    <cellStyle name="Data.LongPercent" xfId="214"/>
    <cellStyle name="Data.NumPercent" xfId="215"/>
    <cellStyle name="Data.NumShortPercent" xfId="216"/>
    <cellStyle name="date" xfId="217"/>
    <cellStyle name="Date - Style3" xfId="218"/>
    <cellStyle name="Date 2" xfId="219"/>
    <cellStyle name="Date 3" xfId="220"/>
    <cellStyle name="Date 4" xfId="221"/>
    <cellStyle name="Date 5" xfId="222"/>
    <cellStyle name="Date 6" xfId="223"/>
    <cellStyle name="Date 7" xfId="224"/>
    <cellStyle name="Date Short" xfId="225"/>
    <cellStyle name="date title" xfId="226"/>
    <cellStyle name="Date_DV01" xfId="227"/>
    <cellStyle name="DateFormat" xfId="228"/>
    <cellStyle name="DBAHandle" xfId="229"/>
    <cellStyle name="DBAParameter" xfId="230"/>
    <cellStyle name="DELTA" xfId="231"/>
    <cellStyle name="DS 0" xfId="232"/>
    <cellStyle name="DS 1" xfId="233"/>
    <cellStyle name="DS 2" xfId="234"/>
    <cellStyle name="DS 3" xfId="235"/>
    <cellStyle name="DS 4" xfId="236"/>
    <cellStyle name="DS 5" xfId="237"/>
    <cellStyle name="DS 5 2" xfId="238"/>
    <cellStyle name="DS 6" xfId="239"/>
    <cellStyle name="Enter Currency (0)" xfId="240"/>
    <cellStyle name="Enter Currency (0) 2" xfId="241"/>
    <cellStyle name="Enter Currency (2)" xfId="242"/>
    <cellStyle name="Enter Currency (2) 2" xfId="243"/>
    <cellStyle name="Enter Units (0)" xfId="244"/>
    <cellStyle name="Enter Units (0) 2" xfId="245"/>
    <cellStyle name="Enter Units (1)" xfId="246"/>
    <cellStyle name="Enter Units (1) 2" xfId="247"/>
    <cellStyle name="Enter Units (2)" xfId="248"/>
    <cellStyle name="Enter Units (2) 2" xfId="249"/>
    <cellStyle name="Entered" xfId="250"/>
    <cellStyle name="Entries" xfId="251"/>
    <cellStyle name="Euro" xfId="252"/>
    <cellStyle name="Explanatory Text 2" xfId="253"/>
    <cellStyle name="Explanatory Text 3" xfId="254"/>
    <cellStyle name="Explanatory Text 4" xfId="255"/>
    <cellStyle name="Fixed" xfId="256"/>
    <cellStyle name="FullTime" xfId="257"/>
    <cellStyle name="General" xfId="258"/>
    <cellStyle name="Good 2" xfId="259"/>
    <cellStyle name="Good 3" xfId="260"/>
    <cellStyle name="Good 4" xfId="261"/>
    <cellStyle name="gray text cells" xfId="262"/>
    <cellStyle name="Grey" xfId="263"/>
    <cellStyle name="Header1" xfId="264"/>
    <cellStyle name="Header2" xfId="265"/>
    <cellStyle name="Heading" xfId="266"/>
    <cellStyle name="Heading 1 2" xfId="267"/>
    <cellStyle name="Heading 1 2 2" xfId="268"/>
    <cellStyle name="Heading 1 3" xfId="269"/>
    <cellStyle name="Heading 1 4" xfId="270"/>
    <cellStyle name="Heading 1 5" xfId="271"/>
    <cellStyle name="Heading 2 2" xfId="272"/>
    <cellStyle name="Heading 2 2 2" xfId="273"/>
    <cellStyle name="Heading 2 3" xfId="274"/>
    <cellStyle name="Heading 2 4" xfId="275"/>
    <cellStyle name="Heading 2 5" xfId="276"/>
    <cellStyle name="Heading 3 2" xfId="277"/>
    <cellStyle name="Heading 3 3" xfId="278"/>
    <cellStyle name="Heading 3 4" xfId="279"/>
    <cellStyle name="Heading 4 2" xfId="280"/>
    <cellStyle name="Heading 4 3" xfId="281"/>
    <cellStyle name="Heading 4 4" xfId="282"/>
    <cellStyle name="Heading 5" xfId="283"/>
    <cellStyle name="HEADING1" xfId="284"/>
    <cellStyle name="HEADING2" xfId="285"/>
    <cellStyle name="Hyperlink" xfId="2" builtinId="8"/>
    <cellStyle name="Hyperlink 2" xfId="286"/>
    <cellStyle name="Input [yellow]" xfId="287"/>
    <cellStyle name="Input 2" xfId="288"/>
    <cellStyle name="Input 2 2" xfId="289"/>
    <cellStyle name="Input 2 3" xfId="290"/>
    <cellStyle name="Input 3" xfId="291"/>
    <cellStyle name="Input 4" xfId="292"/>
    <cellStyle name="Input 5" xfId="293"/>
    <cellStyle name="Input 6" xfId="294"/>
    <cellStyle name="Input 7" xfId="295"/>
    <cellStyle name="Item" xfId="296"/>
    <cellStyle name="Link Currency (0)" xfId="297"/>
    <cellStyle name="Link Currency (0) 2" xfId="298"/>
    <cellStyle name="Link Currency (2)" xfId="299"/>
    <cellStyle name="Link Currency (2) 2" xfId="300"/>
    <cellStyle name="Link Units (0)" xfId="301"/>
    <cellStyle name="Link Units (0) 2" xfId="302"/>
    <cellStyle name="Link Units (1)" xfId="303"/>
    <cellStyle name="Link Units (1) 2" xfId="304"/>
    <cellStyle name="Link Units (2)" xfId="305"/>
    <cellStyle name="Link Units (2) 2" xfId="306"/>
    <cellStyle name="Linked Cell 2" xfId="307"/>
    <cellStyle name="Linked Cell 3" xfId="308"/>
    <cellStyle name="Linked Cell 4" xfId="309"/>
    <cellStyle name="Lookup" xfId="310"/>
    <cellStyle name="Milliers [0]_Basis" xfId="311"/>
    <cellStyle name="Milliers_Basis" xfId="312"/>
    <cellStyle name="Monétaire [0]_Basis" xfId="313"/>
    <cellStyle name="Monétaire_Basis" xfId="314"/>
    <cellStyle name="Money" xfId="315"/>
    <cellStyle name="Neutral 2" xfId="316"/>
    <cellStyle name="Neutral 3" xfId="317"/>
    <cellStyle name="Neutral 4" xfId="318"/>
    <cellStyle name="no dec" xfId="319"/>
    <cellStyle name="NoChange" xfId="320"/>
    <cellStyle name="Non Zero" xfId="321"/>
    <cellStyle name="Normal" xfId="0" builtinId="0"/>
    <cellStyle name="Normal - Style1" xfId="322"/>
    <cellStyle name="Normal 10" xfId="323"/>
    <cellStyle name="Normal 10 2" xfId="324"/>
    <cellStyle name="Normal 107" xfId="325"/>
    <cellStyle name="Normal 11" xfId="326"/>
    <cellStyle name="Normal 11 2" xfId="327"/>
    <cellStyle name="Normal 12" xfId="328"/>
    <cellStyle name="Normal 13" xfId="329"/>
    <cellStyle name="Normal 14" xfId="330"/>
    <cellStyle name="Normal 15" xfId="331"/>
    <cellStyle name="Normal 16" xfId="332"/>
    <cellStyle name="Normal 17" xfId="333"/>
    <cellStyle name="Normal 18" xfId="334"/>
    <cellStyle name="Normal 19" xfId="335"/>
    <cellStyle name="Normal 2" xfId="336"/>
    <cellStyle name="Normal 2 2" xfId="337"/>
    <cellStyle name="Normal 2 2 2" xfId="338"/>
    <cellStyle name="Normal 2 3" xfId="339"/>
    <cellStyle name="Normal 2 3 2" xfId="340"/>
    <cellStyle name="Normal 2 3 2 2" xfId="341"/>
    <cellStyle name="Normal 2 3 3" xfId="342"/>
    <cellStyle name="Normal 2 4" xfId="343"/>
    <cellStyle name="Normal 2 4 2" xfId="344"/>
    <cellStyle name="Normal 2 4 2 2" xfId="345"/>
    <cellStyle name="Normal 2 4 3" xfId="346"/>
    <cellStyle name="Normal 2 5" xfId="347"/>
    <cellStyle name="Normal 2 5 2" xfId="348"/>
    <cellStyle name="Normal 2 6" xfId="349"/>
    <cellStyle name="Normal 2 7" xfId="350"/>
    <cellStyle name="Normal 20" xfId="351"/>
    <cellStyle name="Normal 21" xfId="352"/>
    <cellStyle name="Normal 22" xfId="353"/>
    <cellStyle name="Normal 23" xfId="354"/>
    <cellStyle name="Normal 24" xfId="355"/>
    <cellStyle name="Normal 25" xfId="356"/>
    <cellStyle name="Normal 26" xfId="357"/>
    <cellStyle name="Normal 27" xfId="358"/>
    <cellStyle name="Normal 28" xfId="359"/>
    <cellStyle name="Normal 28 2" xfId="360"/>
    <cellStyle name="Normal 29" xfId="361"/>
    <cellStyle name="Normal 3" xfId="362"/>
    <cellStyle name="Normal 3 2" xfId="363"/>
    <cellStyle name="Normal 30" xfId="364"/>
    <cellStyle name="Normal 31" xfId="365"/>
    <cellStyle name="Normal 32" xfId="366"/>
    <cellStyle name="Normal 33" xfId="367"/>
    <cellStyle name="Normal 34" xfId="368"/>
    <cellStyle name="Normal 35" xfId="369"/>
    <cellStyle name="Normal 36" xfId="370"/>
    <cellStyle name="Normal 37" xfId="371"/>
    <cellStyle name="Normal 38" xfId="372"/>
    <cellStyle name="Normal 38 2" xfId="373"/>
    <cellStyle name="Normal 38 2 2" xfId="374"/>
    <cellStyle name="Normal 38 3" xfId="375"/>
    <cellStyle name="Normal 39" xfId="376"/>
    <cellStyle name="Normal 4" xfId="377"/>
    <cellStyle name="Normal 4 2" xfId="378"/>
    <cellStyle name="Normal 4 3" xfId="379"/>
    <cellStyle name="Normal 4 4" xfId="380"/>
    <cellStyle name="Normal 40" xfId="381"/>
    <cellStyle name="Normal 41" xfId="382"/>
    <cellStyle name="Normal 42" xfId="383"/>
    <cellStyle name="Normal 42 2" xfId="384"/>
    <cellStyle name="Normal 5" xfId="385"/>
    <cellStyle name="Normal 6" xfId="386"/>
    <cellStyle name="Normal 6 2" xfId="387"/>
    <cellStyle name="Normal 7" xfId="388"/>
    <cellStyle name="Normal 7 2" xfId="389"/>
    <cellStyle name="Normal 8" xfId="390"/>
    <cellStyle name="Normal 88" xfId="391"/>
    <cellStyle name="Normal 9" xfId="392"/>
    <cellStyle name="Normal 9 2" xfId="393"/>
    <cellStyle name="Note 2" xfId="394"/>
    <cellStyle name="Note 2 2" xfId="395"/>
    <cellStyle name="Note 2 3" xfId="396"/>
    <cellStyle name="Note 2 4" xfId="397"/>
    <cellStyle name="Note 3" xfId="398"/>
    <cellStyle name="Note 4" xfId="399"/>
    <cellStyle name="Note 5" xfId="400"/>
    <cellStyle name="Note 6" xfId="401"/>
    <cellStyle name="Note 7" xfId="402"/>
    <cellStyle name="Note 7 2" xfId="403"/>
    <cellStyle name="Note 8" xfId="404"/>
    <cellStyle name="NumberAsPercent" xfId="405"/>
    <cellStyle name="NumberFormat" xfId="406"/>
    <cellStyle name="Numbers" xfId="407"/>
    <cellStyle name="Numbers - Bold" xfId="408"/>
    <cellStyle name="Numbers_increm pf" xfId="409"/>
    <cellStyle name="NumberTo1DecPlace" xfId="410"/>
    <cellStyle name="OffWhite" xfId="411"/>
    <cellStyle name="Option" xfId="412"/>
    <cellStyle name="orange text cell" xfId="413"/>
    <cellStyle name="Output 2" xfId="414"/>
    <cellStyle name="Output 3" xfId="415"/>
    <cellStyle name="Output 4" xfId="416"/>
    <cellStyle name="Output Amounts" xfId="417"/>
    <cellStyle name="Output Column Headings" xfId="418"/>
    <cellStyle name="Output Line Items" xfId="419"/>
    <cellStyle name="Output Report Heading" xfId="420"/>
    <cellStyle name="Output Report Title" xfId="421"/>
    <cellStyle name="Pageheading" xfId="422"/>
    <cellStyle name="Percent" xfId="527" builtinId="5"/>
    <cellStyle name="Percent [0]" xfId="423"/>
    <cellStyle name="Percent [0] 2" xfId="424"/>
    <cellStyle name="Percent [00]" xfId="425"/>
    <cellStyle name="Percent [00] 2" xfId="426"/>
    <cellStyle name="Percent [2]" xfId="427"/>
    <cellStyle name="Percent 2" xfId="428"/>
    <cellStyle name="Percent 2 2" xfId="429"/>
    <cellStyle name="Percent 3" xfId="430"/>
    <cellStyle name="Percentage" xfId="431"/>
    <cellStyle name="PrePop Currency (0)" xfId="432"/>
    <cellStyle name="PrePop Currency (0) 2" xfId="433"/>
    <cellStyle name="PrePop Currency (2)" xfId="434"/>
    <cellStyle name="PrePop Currency (2) 2" xfId="435"/>
    <cellStyle name="PrePop Units (0)" xfId="436"/>
    <cellStyle name="PrePop Units (0) 2" xfId="437"/>
    <cellStyle name="PrePop Units (1)" xfId="438"/>
    <cellStyle name="PrePop Units (1) 2" xfId="439"/>
    <cellStyle name="PrePop Units (2)" xfId="440"/>
    <cellStyle name="PrePop Units (2) 2" xfId="441"/>
    <cellStyle name="PriceTo3DecPlaces" xfId="442"/>
    <cellStyle name="PriceWithBorderAround" xfId="443"/>
    <cellStyle name="PRICING" xfId="444"/>
    <cellStyle name="Product Header" xfId="445"/>
    <cellStyle name="PSChar" xfId="446"/>
    <cellStyle name="PSHeading" xfId="447"/>
    <cellStyle name="r" xfId="448"/>
    <cellStyle name="r_pldt" xfId="449"/>
    <cellStyle name="ReportLeftHeader" xfId="450"/>
    <cellStyle name="ReportRightHeader" xfId="451"/>
    <cellStyle name="results" xfId="452"/>
    <cellStyle name="RevList" xfId="453"/>
    <cellStyle name="RVRQueryHandle" xfId="454"/>
    <cellStyle name="Section" xfId="455"/>
    <cellStyle name="SecuritiesPricingTable" xfId="456"/>
    <cellStyle name="SecuritiesPricingTableFinalData" xfId="457"/>
    <cellStyle name="SecuritiesPricingTableManualData" xfId="458"/>
    <cellStyle name="SecuritiesPricingTableText" xfId="459"/>
    <cellStyle name="Short $" xfId="460"/>
    <cellStyle name="Short $ 2" xfId="461"/>
    <cellStyle name="SIZE" xfId="462"/>
    <cellStyle name="Standard_Swaps-Bonds-Blending" xfId="463"/>
    <cellStyle name="Style 1" xfId="464"/>
    <cellStyle name="StyleSecuritiesPricingTableInteger" xfId="465"/>
    <cellStyle name="Subheading" xfId="466"/>
    <cellStyle name="subtitle" xfId="467"/>
    <cellStyle name="Subtotal" xfId="468"/>
    <cellStyle name="Table" xfId="469"/>
    <cellStyle name="Tablebody" xfId="470"/>
    <cellStyle name="TablebodyDate" xfId="471"/>
    <cellStyle name="TablebodyHeading" xfId="472"/>
    <cellStyle name="TablebodyOutstandingAmount" xfId="473"/>
    <cellStyle name="TablebodyPercent" xfId="474"/>
    <cellStyle name="TablebodyPrice" xfId="475"/>
    <cellStyle name="TablebodyReverse" xfId="476"/>
    <cellStyle name="TablebodySpread" xfId="477"/>
    <cellStyle name="TablebodySpreadBorder" xfId="478"/>
    <cellStyle name="TablebodyText" xfId="479"/>
    <cellStyle name="Tableheading" xfId="480"/>
    <cellStyle name="Text" xfId="481"/>
    <cellStyle name="Text 2" xfId="482"/>
    <cellStyle name="Text Indent A" xfId="483"/>
    <cellStyle name="Text Indent B" xfId="484"/>
    <cellStyle name="Text Indent B 2" xfId="485"/>
    <cellStyle name="Text Indent C" xfId="486"/>
    <cellStyle name="Text Indent C 2" xfId="487"/>
    <cellStyle name="TextStyle" xfId="488"/>
    <cellStyle name="tic display" xfId="489"/>
    <cellStyle name="tic input" xfId="490"/>
    <cellStyle name="Title - Underline" xfId="491"/>
    <cellStyle name="Title 2" xfId="492"/>
    <cellStyle name="Title 3" xfId="493"/>
    <cellStyle name="Title 4" xfId="494"/>
    <cellStyle name="Title 5" xfId="495"/>
    <cellStyle name="Title 6" xfId="496"/>
    <cellStyle name="Title 7" xfId="497"/>
    <cellStyle name="Title Calculations" xfId="498"/>
    <cellStyle name="Title Calculations 2" xfId="499"/>
    <cellStyle name="Title Indicative" xfId="500"/>
    <cellStyle name="Title Indicative 2" xfId="501"/>
    <cellStyle name="Title Pricing Assumptions" xfId="502"/>
    <cellStyle name="Title Pricing Assumptions 2" xfId="503"/>
    <cellStyle name="Title Pricing Assumptions 2 2" xfId="504"/>
    <cellStyle name="Title Pricing Assumptions 2 3" xfId="505"/>
    <cellStyle name="Title Pricing Assumptions 3" xfId="506"/>
    <cellStyle name="Title Pricing Assumptions 3 12 8" xfId="507"/>
    <cellStyle name="Title Pricing Assumptions 3 6 4 2 8" xfId="508"/>
    <cellStyle name="Titles - Other" xfId="509"/>
    <cellStyle name="Total 2" xfId="510"/>
    <cellStyle name="Total 2 2" xfId="511"/>
    <cellStyle name="Total 3" xfId="512"/>
    <cellStyle name="Total 4" xfId="513"/>
    <cellStyle name="Warning" xfId="514"/>
    <cellStyle name="Warning Text 2" xfId="515"/>
    <cellStyle name="Warning Text 3" xfId="516"/>
    <cellStyle name="Warning Text 4" xfId="517"/>
    <cellStyle name="YB Calculations" xfId="518"/>
    <cellStyle name="YB Calculations 2" xfId="519"/>
    <cellStyle name="YB Curve" xfId="520"/>
    <cellStyle name="YB Indicative" xfId="521"/>
    <cellStyle name="YBINDIC" xfId="522"/>
    <cellStyle name="YBIOPOBE" xfId="523"/>
    <cellStyle name="YBPRICE" xfId="524"/>
    <cellStyle name="一般_原始檔案" xfId="525"/>
  </cellStyles>
  <dxfs count="162">
    <dxf>
      <numFmt numFmtId="2" formatCode="0.00"/>
    </dxf>
    <dxf>
      <numFmt numFmtId="14" formatCode="0.00%"/>
    </dxf>
    <dxf>
      <font>
        <sz val="10"/>
      </font>
    </dxf>
    <dxf>
      <fill>
        <patternFill patternType="solid">
          <bgColor theme="5" tint="0.79998168889431442"/>
        </patternFill>
      </fill>
    </dxf>
    <dxf>
      <fill>
        <patternFill patternType="solid">
          <bgColor theme="5" tint="0.79998168889431442"/>
        </patternFill>
      </fill>
    </dxf>
    <dxf>
      <fill>
        <patternFill>
          <bgColor theme="7" tint="0.59999389629810485"/>
        </patternFill>
      </fill>
    </dxf>
    <dxf>
      <fill>
        <patternFill>
          <bgColor theme="7" tint="0.59999389629810485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</border>
    </dxf>
    <dxf>
      <alignment horizontal="center" readingOrder="0"/>
    </dxf>
    <dxf>
      <font>
        <sz val="11"/>
      </font>
    </dxf>
    <dxf>
      <font>
        <sz val="11"/>
      </font>
    </dxf>
    <dxf>
      <font>
        <sz val="10"/>
      </font>
    </dxf>
    <dxf>
      <font>
        <sz val="10"/>
      </font>
    </dxf>
    <dxf>
      <numFmt numFmtId="14" formatCode="0.00%"/>
    </dxf>
    <dxf>
      <font>
        <sz val="10"/>
      </font>
    </dxf>
    <dxf>
      <fill>
        <patternFill patternType="solid">
          <bgColor theme="5" tint="0.79998168889431442"/>
        </patternFill>
      </fill>
    </dxf>
    <dxf>
      <fill>
        <patternFill patternType="solid">
          <bgColor theme="5" tint="0.79998168889431442"/>
        </patternFill>
      </fill>
    </dxf>
    <dxf>
      <fill>
        <patternFill>
          <bgColor theme="7" tint="0.59999389629810485"/>
        </patternFill>
      </fill>
    </dxf>
    <dxf>
      <fill>
        <patternFill>
          <bgColor theme="7" tint="0.59999389629810485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</border>
    </dxf>
    <dxf>
      <alignment horizontal="center" readingOrder="0"/>
    </dxf>
    <dxf>
      <font>
        <sz val="11"/>
      </font>
    </dxf>
    <dxf>
      <font>
        <sz val="11"/>
      </font>
    </dxf>
    <dxf>
      <font>
        <sz val="10"/>
      </font>
    </dxf>
    <dxf>
      <font>
        <sz val="10"/>
      </font>
    </dxf>
    <dxf>
      <numFmt numFmtId="2" formatCode="0.00"/>
    </dxf>
    <dxf>
      <numFmt numFmtId="14" formatCode="0.00%"/>
    </dxf>
    <dxf>
      <font>
        <sz val="10"/>
      </font>
    </dxf>
    <dxf>
      <fill>
        <patternFill patternType="solid">
          <bgColor theme="5" tint="0.79998168889431442"/>
        </patternFill>
      </fill>
    </dxf>
    <dxf>
      <fill>
        <patternFill patternType="solid">
          <bgColor theme="5" tint="0.7999816888943144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</border>
    </dxf>
    <dxf>
      <alignment horizontal="center" readingOrder="0"/>
    </dxf>
    <dxf>
      <font>
        <sz val="11"/>
      </font>
    </dxf>
    <dxf>
      <font>
        <sz val="11"/>
      </font>
    </dxf>
    <dxf>
      <font>
        <sz val="10"/>
      </font>
    </dxf>
    <dxf>
      <font>
        <sz val="10"/>
      </font>
    </dxf>
    <dxf>
      <numFmt numFmtId="14" formatCode="0.00%"/>
    </dxf>
    <dxf>
      <font>
        <sz val="10"/>
      </font>
    </dxf>
    <dxf>
      <fill>
        <patternFill patternType="solid">
          <bgColor theme="5" tint="0.79998168889431442"/>
        </patternFill>
      </fill>
    </dxf>
    <dxf>
      <fill>
        <patternFill patternType="solid">
          <bgColor theme="5" tint="0.7999816888943144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</border>
    </dxf>
    <dxf>
      <alignment horizontal="center" readingOrder="0"/>
    </dxf>
    <dxf>
      <font>
        <sz val="11"/>
      </font>
    </dxf>
    <dxf>
      <font>
        <sz val="11"/>
      </font>
    </dxf>
    <dxf>
      <font>
        <sz val="10"/>
      </font>
    </dxf>
    <dxf>
      <font>
        <sz val="10"/>
      </font>
    </dxf>
    <dxf>
      <numFmt numFmtId="14" formatCode="0.00%"/>
    </dxf>
    <dxf>
      <font>
        <sz val="10"/>
      </font>
    </dxf>
    <dxf>
      <fill>
        <patternFill patternType="solid">
          <bgColor theme="5" tint="0.79998168889431442"/>
        </patternFill>
      </fill>
    </dxf>
    <dxf>
      <fill>
        <patternFill patternType="solid">
          <bgColor theme="5" tint="0.7999816888943144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</border>
    </dxf>
    <dxf>
      <alignment horizontal="center" readingOrder="0"/>
    </dxf>
    <dxf>
      <font>
        <sz val="11"/>
      </font>
    </dxf>
    <dxf>
      <font>
        <sz val="11"/>
      </font>
    </dxf>
    <dxf>
      <font>
        <sz val="10"/>
      </font>
    </dxf>
    <dxf>
      <font>
        <sz val="10"/>
      </font>
    </dxf>
    <dxf>
      <numFmt numFmtId="14" formatCode="0.00%"/>
    </dxf>
    <dxf>
      <font>
        <sz val="10"/>
      </font>
    </dxf>
    <dxf>
      <fill>
        <patternFill patternType="solid">
          <bgColor theme="5" tint="0.79998168889431442"/>
        </patternFill>
      </fill>
    </dxf>
    <dxf>
      <fill>
        <patternFill patternType="solid">
          <bgColor theme="5" tint="0.7999816888943144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</border>
    </dxf>
    <dxf>
      <alignment horizontal="center" readingOrder="0"/>
    </dxf>
    <dxf>
      <font>
        <sz val="11"/>
      </font>
    </dxf>
    <dxf>
      <font>
        <sz val="11"/>
      </font>
    </dxf>
    <dxf>
      <font>
        <sz val="10"/>
      </font>
    </dxf>
    <dxf>
      <font>
        <sz val="10"/>
      </font>
    </dxf>
    <dxf>
      <numFmt numFmtId="14" formatCode="0.00%"/>
    </dxf>
    <dxf>
      <font>
        <sz val="10"/>
      </font>
    </dxf>
    <dxf>
      <fill>
        <patternFill patternType="solid">
          <bgColor theme="5" tint="0.79998168889431442"/>
        </patternFill>
      </fill>
    </dxf>
    <dxf>
      <fill>
        <patternFill patternType="solid">
          <bgColor theme="5" tint="0.79998168889431442"/>
        </patternFill>
      </fill>
    </dxf>
    <dxf>
      <fill>
        <patternFill>
          <bgColor theme="7" tint="0.59999389629810485"/>
        </patternFill>
      </fill>
    </dxf>
    <dxf>
      <fill>
        <patternFill>
          <bgColor theme="7" tint="0.59999389629810485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</border>
    </dxf>
    <dxf>
      <alignment horizontal="center" readingOrder="0"/>
    </dxf>
    <dxf>
      <font>
        <sz val="11"/>
      </font>
    </dxf>
    <dxf>
      <font>
        <sz val="11"/>
      </font>
    </dxf>
    <dxf>
      <font>
        <sz val="10"/>
      </font>
    </dxf>
    <dxf>
      <font>
        <sz val="10"/>
      </font>
    </dxf>
    <dxf>
      <numFmt numFmtId="14" formatCode="0.00%"/>
    </dxf>
    <dxf>
      <font>
        <sz val="10"/>
      </font>
    </dxf>
    <dxf>
      <fill>
        <patternFill patternType="solid">
          <bgColor theme="5" tint="0.79998168889431442"/>
        </patternFill>
      </fill>
    </dxf>
    <dxf>
      <fill>
        <patternFill patternType="solid">
          <bgColor theme="5" tint="0.7999816888943144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</border>
    </dxf>
    <dxf>
      <alignment horizontal="center" readingOrder="0"/>
    </dxf>
    <dxf>
      <font>
        <sz val="11"/>
      </font>
    </dxf>
    <dxf>
      <font>
        <sz val="11"/>
      </font>
    </dxf>
    <dxf>
      <font>
        <sz val="10"/>
      </font>
    </dxf>
    <dxf>
      <font>
        <sz val="10"/>
      </font>
    </dxf>
    <dxf>
      <numFmt numFmtId="2" formatCode="0.00"/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</border>
    </dxf>
    <dxf>
      <font>
        <sz val="10"/>
      </font>
    </dxf>
    <dxf>
      <alignment horizontal="center" readingOrder="0"/>
    </dxf>
    <dxf>
      <font>
        <sz val="11"/>
      </font>
    </dxf>
    <dxf>
      <font>
        <sz val="11"/>
      </font>
    </dxf>
    <dxf>
      <font>
        <sz val="10"/>
      </font>
    </dxf>
    <dxf>
      <font>
        <sz val="10"/>
      </font>
    </dxf>
    <dxf>
      <numFmt numFmtId="164" formatCode="0.0"/>
    </dxf>
    <dxf>
      <fill>
        <patternFill patternType="solid">
          <bgColor theme="4"/>
        </patternFill>
      </fill>
    </dxf>
    <dxf>
      <fill>
        <patternFill patternType="solid">
          <bgColor theme="4"/>
        </patternFill>
      </fill>
    </dxf>
    <dxf>
      <font>
        <color theme="0"/>
      </font>
    </dxf>
    <dxf>
      <font>
        <color theme="0"/>
      </font>
    </dxf>
    <dxf>
      <alignment horizontal="center" readingOrder="0"/>
    </dxf>
    <dxf>
      <alignment horizontal="center" readingOrder="0"/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</border>
    </dxf>
    <dxf>
      <font>
        <sz val="10"/>
      </font>
    </dxf>
    <dxf>
      <alignment horizontal="center" readingOrder="0"/>
    </dxf>
    <dxf>
      <font>
        <sz val="11"/>
      </font>
    </dxf>
    <dxf>
      <font>
        <sz val="11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1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1"/>
      </font>
    </dxf>
    <dxf>
      <font>
        <sz val="10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numFmt numFmtId="164" formatCode="0.0"/>
    </dxf>
    <dxf>
      <fill>
        <patternFill patternType="solid">
          <bgColor theme="4"/>
        </patternFill>
      </fill>
    </dxf>
    <dxf>
      <fill>
        <patternFill patternType="solid">
          <bgColor theme="4"/>
        </patternFill>
      </fill>
    </dxf>
    <dxf>
      <font>
        <color theme="0"/>
      </font>
    </dxf>
    <dxf>
      <font>
        <color theme="0"/>
      </font>
    </dxf>
    <dxf>
      <alignment horizontal="center" readingOrder="0"/>
    </dxf>
    <dxf>
      <alignment horizontal="center" readingOrder="0"/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</border>
    </dxf>
    <dxf>
      <font>
        <sz val="10"/>
      </font>
    </dxf>
    <dxf>
      <alignment horizontal="center" readingOrder="0"/>
    </dxf>
    <dxf>
      <numFmt numFmtId="2" formatCode="0.00"/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</border>
    </dxf>
    <dxf>
      <font>
        <sz val="10"/>
      </font>
    </dxf>
    <dxf>
      <alignment horizontal="center" readingOrder="0"/>
    </dxf>
    <dxf>
      <numFmt numFmtId="14" formatCode="0.00%"/>
    </dxf>
    <dxf>
      <font>
        <sz val="10"/>
      </font>
    </dxf>
    <dxf>
      <fill>
        <patternFill patternType="solid">
          <bgColor theme="5" tint="0.79998168889431442"/>
        </patternFill>
      </fill>
    </dxf>
    <dxf>
      <fill>
        <patternFill patternType="solid">
          <bgColor theme="5" tint="0.7999816888943144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</border>
    </dxf>
    <dxf>
      <alignment horizontal="center" readingOrder="0"/>
    </dxf>
    <dxf>
      <numFmt numFmtId="14" formatCode="0.00%"/>
    </dxf>
    <dxf>
      <font>
        <sz val="10"/>
      </font>
    </dxf>
    <dxf>
      <fill>
        <patternFill patternType="solid">
          <bgColor theme="5" tint="0.79998168889431442"/>
        </patternFill>
      </fill>
    </dxf>
    <dxf>
      <fill>
        <patternFill patternType="solid">
          <bgColor theme="5" tint="0.79998168889431442"/>
        </patternFill>
      </fill>
    </dxf>
    <dxf>
      <fill>
        <patternFill>
          <bgColor theme="7" tint="0.59999389629810485"/>
        </patternFill>
      </fill>
    </dxf>
    <dxf>
      <fill>
        <patternFill>
          <bgColor theme="7" tint="0.59999389629810485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</border>
    </dxf>
    <dxf>
      <alignment horizontal="center" readingOrder="0"/>
    </dxf>
  </dxfs>
  <tableStyles count="0" defaultTableStyle="TableStyleMedium2" defaultPivotStyle="PivotStyleLight16"/>
  <colors>
    <mruColors>
      <color rgb="FFFFFFFF"/>
      <color rgb="FFF6F4F0"/>
      <color rgb="FFC7732D"/>
      <color rgb="FF1B7A76"/>
      <color rgb="FFB3275C"/>
      <color rgb="FF2E398A"/>
      <color rgb="FF74B629"/>
      <color rgb="FFEFEBE4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2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pivotCacheDefinition" Target="pivotCache/pivotCacheDefinition2.xml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1.xml"/><Relationship Id="rId14" Type="http://schemas.openxmlformats.org/officeDocument/2006/relationships/calcChain" Target="calcChain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3"/>
    </mc:Choice>
    <mc:Fallback>
      <c:style val="3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en-US" sz="1200"/>
              <a:t>Total Application Received</a:t>
            </a:r>
          </a:p>
        </c:rich>
      </c:tx>
      <c:overlay val="0"/>
    </c:title>
    <c:autoTitleDeleted val="0"/>
    <c:plotArea>
      <c:layout/>
      <c:areaChart>
        <c:grouping val="stacked"/>
        <c:varyColors val="0"/>
        <c:ser>
          <c:idx val="1"/>
          <c:order val="0"/>
          <c:tx>
            <c:strRef>
              <c:f>#REF!</c:f>
              <c:strCache>
                <c:ptCount val="1"/>
                <c:pt idx="0">
                  <c:v>Home Purchase</c:v>
                </c:pt>
              </c:strCache>
            </c:strRef>
          </c:tx>
          <c:cat>
            <c:multiLvlStrRef>
              <c:f>#REF!</c:f>
              <c:multiLvlStrCache>
                <c:ptCount val="25"/>
                <c:lvl>
                  <c:pt idx="0">
                    <c:v>Jan</c:v>
                  </c:pt>
                  <c:pt idx="1">
                    <c:v>Feb</c:v>
                  </c:pt>
                  <c:pt idx="2">
                    <c:v>Mar</c:v>
                  </c:pt>
                  <c:pt idx="3">
                    <c:v>Apr</c:v>
                  </c:pt>
                  <c:pt idx="4">
                    <c:v>May</c:v>
                  </c:pt>
                  <c:pt idx="5">
                    <c:v>Jun</c:v>
                  </c:pt>
                  <c:pt idx="6">
                    <c:v>Jul</c:v>
                  </c:pt>
                  <c:pt idx="7">
                    <c:v>Aug</c:v>
                  </c:pt>
                  <c:pt idx="8">
                    <c:v>Sep</c:v>
                  </c:pt>
                  <c:pt idx="9">
                    <c:v>Oct</c:v>
                  </c:pt>
                  <c:pt idx="10">
                    <c:v>Nov</c:v>
                  </c:pt>
                  <c:pt idx="11">
                    <c:v>Dec</c:v>
                  </c:pt>
                  <c:pt idx="12">
                    <c:v>Jan</c:v>
                  </c:pt>
                  <c:pt idx="13">
                    <c:v>Feb</c:v>
                  </c:pt>
                  <c:pt idx="14">
                    <c:v>Mar</c:v>
                  </c:pt>
                  <c:pt idx="15">
                    <c:v>Apr</c:v>
                  </c:pt>
                  <c:pt idx="16">
                    <c:v>May</c:v>
                  </c:pt>
                  <c:pt idx="17">
                    <c:v>Jun</c:v>
                  </c:pt>
                  <c:pt idx="18">
                    <c:v>Jul</c:v>
                  </c:pt>
                  <c:pt idx="19">
                    <c:v>Aug</c:v>
                  </c:pt>
                  <c:pt idx="20">
                    <c:v>Sep</c:v>
                  </c:pt>
                  <c:pt idx="21">
                    <c:v>Oct</c:v>
                  </c:pt>
                  <c:pt idx="22">
                    <c:v>Nov</c:v>
                  </c:pt>
                  <c:pt idx="23">
                    <c:v>Dec</c:v>
                  </c:pt>
                  <c:pt idx="24">
                    <c:v>Jan</c:v>
                  </c:pt>
                </c:lvl>
                <c:lvl>
                  <c:pt idx="0">
                    <c:v>2013</c:v>
                  </c:pt>
                  <c:pt idx="12">
                    <c:v>2014</c:v>
                  </c:pt>
                  <c:pt idx="24">
                    <c:v>2015</c:v>
                  </c:pt>
                </c:lvl>
              </c:multiLvlStrCache>
            </c:multiLvlStrRef>
          </c:cat>
          <c:val>
            <c:numRef>
              <c:f>#REF!</c:f>
              <c:numCache>
                <c:formatCode>General</c:formatCode>
                <c:ptCount val="25"/>
                <c:pt idx="0">
                  <c:v>58933</c:v>
                </c:pt>
                <c:pt idx="1">
                  <c:v>66498</c:v>
                </c:pt>
                <c:pt idx="2">
                  <c:v>113900</c:v>
                </c:pt>
                <c:pt idx="3">
                  <c:v>62897</c:v>
                </c:pt>
                <c:pt idx="4">
                  <c:v>101178</c:v>
                </c:pt>
                <c:pt idx="5">
                  <c:v>57633</c:v>
                </c:pt>
                <c:pt idx="6">
                  <c:v>68994</c:v>
                </c:pt>
                <c:pt idx="7">
                  <c:v>64203</c:v>
                </c:pt>
                <c:pt idx="8">
                  <c:v>58541</c:v>
                </c:pt>
                <c:pt idx="9">
                  <c:v>62332</c:v>
                </c:pt>
                <c:pt idx="10">
                  <c:v>49838</c:v>
                </c:pt>
                <c:pt idx="11">
                  <c:v>46331</c:v>
                </c:pt>
                <c:pt idx="12">
                  <c:v>45860</c:v>
                </c:pt>
                <c:pt idx="13">
                  <c:v>51701</c:v>
                </c:pt>
                <c:pt idx="14">
                  <c:v>66273</c:v>
                </c:pt>
                <c:pt idx="15">
                  <c:v>74816</c:v>
                </c:pt>
                <c:pt idx="16">
                  <c:v>73371</c:v>
                </c:pt>
                <c:pt idx="17">
                  <c:v>72450</c:v>
                </c:pt>
                <c:pt idx="18">
                  <c:v>71543</c:v>
                </c:pt>
                <c:pt idx="19">
                  <c:v>63962</c:v>
                </c:pt>
                <c:pt idx="20">
                  <c:v>62210</c:v>
                </c:pt>
                <c:pt idx="21">
                  <c:v>64344</c:v>
                </c:pt>
                <c:pt idx="22">
                  <c:v>50489</c:v>
                </c:pt>
                <c:pt idx="23">
                  <c:v>48105</c:v>
                </c:pt>
                <c:pt idx="24">
                  <c:v>71254</c:v>
                </c:pt>
              </c:numCache>
            </c:numRef>
          </c:val>
        </c:ser>
        <c:ser>
          <c:idx val="2"/>
          <c:order val="1"/>
          <c:tx>
            <c:strRef>
              <c:f>#REF!</c:f>
              <c:strCache>
                <c:ptCount val="1"/>
                <c:pt idx="0">
                  <c:v>Refinance</c:v>
                </c:pt>
              </c:strCache>
            </c:strRef>
          </c:tx>
          <c:cat>
            <c:multiLvlStrRef>
              <c:f>#REF!</c:f>
              <c:multiLvlStrCache>
                <c:ptCount val="25"/>
                <c:lvl>
                  <c:pt idx="0">
                    <c:v>Jan</c:v>
                  </c:pt>
                  <c:pt idx="1">
                    <c:v>Feb</c:v>
                  </c:pt>
                  <c:pt idx="2">
                    <c:v>Mar</c:v>
                  </c:pt>
                  <c:pt idx="3">
                    <c:v>Apr</c:v>
                  </c:pt>
                  <c:pt idx="4">
                    <c:v>May</c:v>
                  </c:pt>
                  <c:pt idx="5">
                    <c:v>Jun</c:v>
                  </c:pt>
                  <c:pt idx="6">
                    <c:v>Jul</c:v>
                  </c:pt>
                  <c:pt idx="7">
                    <c:v>Aug</c:v>
                  </c:pt>
                  <c:pt idx="8">
                    <c:v>Sep</c:v>
                  </c:pt>
                  <c:pt idx="9">
                    <c:v>Oct</c:v>
                  </c:pt>
                  <c:pt idx="10">
                    <c:v>Nov</c:v>
                  </c:pt>
                  <c:pt idx="11">
                    <c:v>Dec</c:v>
                  </c:pt>
                  <c:pt idx="12">
                    <c:v>Jan</c:v>
                  </c:pt>
                  <c:pt idx="13">
                    <c:v>Feb</c:v>
                  </c:pt>
                  <c:pt idx="14">
                    <c:v>Mar</c:v>
                  </c:pt>
                  <c:pt idx="15">
                    <c:v>Apr</c:v>
                  </c:pt>
                  <c:pt idx="16">
                    <c:v>May</c:v>
                  </c:pt>
                  <c:pt idx="17">
                    <c:v>Jun</c:v>
                  </c:pt>
                  <c:pt idx="18">
                    <c:v>Jul</c:v>
                  </c:pt>
                  <c:pt idx="19">
                    <c:v>Aug</c:v>
                  </c:pt>
                  <c:pt idx="20">
                    <c:v>Sep</c:v>
                  </c:pt>
                  <c:pt idx="21">
                    <c:v>Oct</c:v>
                  </c:pt>
                  <c:pt idx="22">
                    <c:v>Nov</c:v>
                  </c:pt>
                  <c:pt idx="23">
                    <c:v>Dec</c:v>
                  </c:pt>
                  <c:pt idx="24">
                    <c:v>Jan</c:v>
                  </c:pt>
                </c:lvl>
                <c:lvl>
                  <c:pt idx="0">
                    <c:v>2013</c:v>
                  </c:pt>
                  <c:pt idx="12">
                    <c:v>2014</c:v>
                  </c:pt>
                  <c:pt idx="24">
                    <c:v>2015</c:v>
                  </c:pt>
                </c:lvl>
              </c:multiLvlStrCache>
            </c:multiLvlStrRef>
          </c:cat>
          <c:val>
            <c:numRef>
              <c:f>#REF!</c:f>
              <c:numCache>
                <c:formatCode>#,##0</c:formatCode>
                <c:ptCount val="25"/>
                <c:pt idx="0">
                  <c:v>79996</c:v>
                </c:pt>
                <c:pt idx="1">
                  <c:v>71427</c:v>
                </c:pt>
                <c:pt idx="2">
                  <c:v>107698</c:v>
                </c:pt>
                <c:pt idx="3">
                  <c:v>55276</c:v>
                </c:pt>
                <c:pt idx="4">
                  <c:v>81253</c:v>
                </c:pt>
                <c:pt idx="5">
                  <c:v>36113</c:v>
                </c:pt>
                <c:pt idx="6">
                  <c:v>39202</c:v>
                </c:pt>
                <c:pt idx="7">
                  <c:v>33120</c:v>
                </c:pt>
                <c:pt idx="8">
                  <c:v>24904</c:v>
                </c:pt>
                <c:pt idx="9">
                  <c:v>31184</c:v>
                </c:pt>
                <c:pt idx="10">
                  <c:v>25533</c:v>
                </c:pt>
                <c:pt idx="11">
                  <c:v>22108</c:v>
                </c:pt>
                <c:pt idx="12">
                  <c:v>25270</c:v>
                </c:pt>
                <c:pt idx="13">
                  <c:v>25162</c:v>
                </c:pt>
                <c:pt idx="14">
                  <c:v>28355</c:v>
                </c:pt>
                <c:pt idx="15">
                  <c:v>28279</c:v>
                </c:pt>
                <c:pt idx="16">
                  <c:v>26075</c:v>
                </c:pt>
                <c:pt idx="17">
                  <c:v>27001</c:v>
                </c:pt>
                <c:pt idx="18">
                  <c:v>26350</c:v>
                </c:pt>
                <c:pt idx="19">
                  <c:v>25313</c:v>
                </c:pt>
                <c:pt idx="20">
                  <c:v>24956</c:v>
                </c:pt>
                <c:pt idx="21">
                  <c:v>28862</c:v>
                </c:pt>
                <c:pt idx="22">
                  <c:v>23797</c:v>
                </c:pt>
                <c:pt idx="23">
                  <c:v>23649</c:v>
                </c:pt>
                <c:pt idx="24">
                  <c:v>56879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0043136"/>
        <c:axId val="410045440"/>
      </c:areaChart>
      <c:catAx>
        <c:axId val="410043136"/>
        <c:scaling>
          <c:orientation val="minMax"/>
        </c:scaling>
        <c:delete val="0"/>
        <c:axPos val="b"/>
        <c:majorTickMark val="out"/>
        <c:minorTickMark val="none"/>
        <c:tickLblPos val="nextTo"/>
        <c:crossAx val="410045440"/>
        <c:crosses val="autoZero"/>
        <c:auto val="1"/>
        <c:lblAlgn val="ctr"/>
        <c:lblOffset val="100"/>
        <c:noMultiLvlLbl val="0"/>
      </c:catAx>
      <c:valAx>
        <c:axId val="41004544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410043136"/>
        <c:crosses val="autoZero"/>
        <c:crossBetween val="midCat"/>
        <c:dispUnits>
          <c:builtInUnit val="thousands"/>
          <c:dispUnitsLbl/>
        </c:dispUnits>
      </c:valAx>
      <c:spPr>
        <a:ln>
          <a:solidFill>
            <a:schemeClr val="tx1"/>
          </a:solidFill>
        </a:ln>
      </c:spPr>
    </c:plotArea>
    <c:legend>
      <c:legendPos val="b"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en-US" sz="1200"/>
              <a:t>Purchase Application Volume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#REF!</c:f>
              <c:strCache>
                <c:ptCount val="1"/>
                <c:pt idx="0">
                  <c:v>2013</c:v>
                </c:pt>
              </c:strCache>
            </c:strRef>
          </c:tx>
          <c:cat>
            <c:strRef>
              <c:f>#REF!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#REF!</c:f>
              <c:numCache>
                <c:formatCode>#,##0</c:formatCode>
                <c:ptCount val="12"/>
                <c:pt idx="0">
                  <c:v>58933</c:v>
                </c:pt>
                <c:pt idx="1">
                  <c:v>125431</c:v>
                </c:pt>
                <c:pt idx="2">
                  <c:v>239331</c:v>
                </c:pt>
                <c:pt idx="3">
                  <c:v>302228</c:v>
                </c:pt>
                <c:pt idx="4">
                  <c:v>403406</c:v>
                </c:pt>
                <c:pt idx="5">
                  <c:v>461039</c:v>
                </c:pt>
                <c:pt idx="6">
                  <c:v>530033</c:v>
                </c:pt>
                <c:pt idx="7">
                  <c:v>594236</c:v>
                </c:pt>
                <c:pt idx="8">
                  <c:v>652777</c:v>
                </c:pt>
                <c:pt idx="9">
                  <c:v>715109</c:v>
                </c:pt>
                <c:pt idx="10">
                  <c:v>764947</c:v>
                </c:pt>
                <c:pt idx="11">
                  <c:v>811278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#REF!</c:f>
              <c:strCache>
                <c:ptCount val="1"/>
                <c:pt idx="0">
                  <c:v>2014</c:v>
                </c:pt>
              </c:strCache>
            </c:strRef>
          </c:tx>
          <c:cat>
            <c:strRef>
              <c:f>#REF!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#REF!</c:f>
              <c:numCache>
                <c:formatCode>#,##0</c:formatCode>
                <c:ptCount val="12"/>
                <c:pt idx="0">
                  <c:v>45860</c:v>
                </c:pt>
                <c:pt idx="1">
                  <c:v>97561</c:v>
                </c:pt>
                <c:pt idx="2">
                  <c:v>163834</c:v>
                </c:pt>
                <c:pt idx="3">
                  <c:v>238650</c:v>
                </c:pt>
                <c:pt idx="4">
                  <c:v>312021</c:v>
                </c:pt>
                <c:pt idx="5">
                  <c:v>384471</c:v>
                </c:pt>
                <c:pt idx="6">
                  <c:v>456014</c:v>
                </c:pt>
                <c:pt idx="7">
                  <c:v>519976</c:v>
                </c:pt>
                <c:pt idx="8">
                  <c:v>582186</c:v>
                </c:pt>
                <c:pt idx="9">
                  <c:v>646530</c:v>
                </c:pt>
                <c:pt idx="10">
                  <c:v>697019</c:v>
                </c:pt>
                <c:pt idx="11">
                  <c:v>745124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#REF!</c:f>
              <c:strCache>
                <c:ptCount val="1"/>
                <c:pt idx="0">
                  <c:v>2015</c:v>
                </c:pt>
              </c:strCache>
            </c:strRef>
          </c:tx>
          <c:cat>
            <c:strRef>
              <c:f>#REF!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#REF!</c:f>
              <c:numCache>
                <c:formatCode>#,##0</c:formatCode>
                <c:ptCount val="12"/>
                <c:pt idx="0">
                  <c:v>71254</c:v>
                </c:pt>
                <c:pt idx="1">
                  <c:v>156604</c:v>
                </c:pt>
                <c:pt idx="2">
                  <c:v>255651</c:v>
                </c:pt>
                <c:pt idx="3">
                  <c:v>362005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99528704"/>
        <c:axId val="399530240"/>
      </c:lineChart>
      <c:catAx>
        <c:axId val="399528704"/>
        <c:scaling>
          <c:orientation val="minMax"/>
        </c:scaling>
        <c:delete val="0"/>
        <c:axPos val="b"/>
        <c:majorTickMark val="out"/>
        <c:minorTickMark val="none"/>
        <c:tickLblPos val="nextTo"/>
        <c:crossAx val="399530240"/>
        <c:crosses val="autoZero"/>
        <c:auto val="1"/>
        <c:lblAlgn val="ctr"/>
        <c:lblOffset val="100"/>
        <c:noMultiLvlLbl val="0"/>
      </c:catAx>
      <c:valAx>
        <c:axId val="399530240"/>
        <c:scaling>
          <c:orientation val="minMax"/>
        </c:scaling>
        <c:delete val="0"/>
        <c:axPos val="l"/>
        <c:majorGridlines/>
        <c:numFmt formatCode="#,##0" sourceLinked="1"/>
        <c:majorTickMark val="out"/>
        <c:minorTickMark val="none"/>
        <c:tickLblPos val="nextTo"/>
        <c:crossAx val="399528704"/>
        <c:crosses val="autoZero"/>
        <c:crossBetween val="between"/>
        <c:dispUnits>
          <c:builtInUnit val="thousands"/>
          <c:dispUnitsLbl/>
        </c:dispUnits>
      </c:valAx>
      <c:spPr>
        <a:ln>
          <a:solidFill>
            <a:schemeClr val="tx1"/>
          </a:solidFill>
        </a:ln>
      </c:spPr>
    </c:plotArea>
    <c:legend>
      <c:legendPos val="b"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en-US" sz="1200"/>
              <a:t>Refinance Application Volume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#REF!</c:f>
              <c:strCache>
                <c:ptCount val="1"/>
                <c:pt idx="0">
                  <c:v>Conventionla-to-FHA Refinance</c:v>
                </c:pt>
              </c:strCache>
            </c:strRef>
          </c:tx>
          <c:marker>
            <c:symbol val="none"/>
          </c:marker>
          <c:cat>
            <c:multiLvlStrRef>
              <c:f>#REF!</c:f>
              <c:multiLvlStrCache>
                <c:ptCount val="25"/>
                <c:lvl>
                  <c:pt idx="0">
                    <c:v>Jan</c:v>
                  </c:pt>
                  <c:pt idx="1">
                    <c:v>Feb</c:v>
                  </c:pt>
                  <c:pt idx="2">
                    <c:v>Mar</c:v>
                  </c:pt>
                  <c:pt idx="3">
                    <c:v>Apr</c:v>
                  </c:pt>
                  <c:pt idx="4">
                    <c:v>May</c:v>
                  </c:pt>
                  <c:pt idx="5">
                    <c:v>Jun</c:v>
                  </c:pt>
                  <c:pt idx="6">
                    <c:v>Jul</c:v>
                  </c:pt>
                  <c:pt idx="7">
                    <c:v>Aug</c:v>
                  </c:pt>
                  <c:pt idx="8">
                    <c:v>Sep</c:v>
                  </c:pt>
                  <c:pt idx="9">
                    <c:v>Oct</c:v>
                  </c:pt>
                  <c:pt idx="10">
                    <c:v>Nov</c:v>
                  </c:pt>
                  <c:pt idx="11">
                    <c:v>Dec</c:v>
                  </c:pt>
                  <c:pt idx="12">
                    <c:v>Jan</c:v>
                  </c:pt>
                  <c:pt idx="13">
                    <c:v>Feb</c:v>
                  </c:pt>
                  <c:pt idx="14">
                    <c:v>Mar</c:v>
                  </c:pt>
                  <c:pt idx="15">
                    <c:v>Apr</c:v>
                  </c:pt>
                  <c:pt idx="16">
                    <c:v>May</c:v>
                  </c:pt>
                  <c:pt idx="17">
                    <c:v>Jun</c:v>
                  </c:pt>
                  <c:pt idx="18">
                    <c:v>Jul</c:v>
                  </c:pt>
                  <c:pt idx="19">
                    <c:v>Aug</c:v>
                  </c:pt>
                  <c:pt idx="20">
                    <c:v>Sep</c:v>
                  </c:pt>
                  <c:pt idx="21">
                    <c:v>Oct</c:v>
                  </c:pt>
                  <c:pt idx="22">
                    <c:v>Nov</c:v>
                  </c:pt>
                  <c:pt idx="23">
                    <c:v>Dec</c:v>
                  </c:pt>
                  <c:pt idx="24">
                    <c:v>Jan</c:v>
                  </c:pt>
                </c:lvl>
                <c:lvl>
                  <c:pt idx="0">
                    <c:v>2013</c:v>
                  </c:pt>
                  <c:pt idx="12">
                    <c:v>2014</c:v>
                  </c:pt>
                  <c:pt idx="24">
                    <c:v>2015</c:v>
                  </c:pt>
                </c:lvl>
              </c:multiLvlStrCache>
            </c:multiLvlStrRef>
          </c:cat>
          <c:val>
            <c:numRef>
              <c:f>#REF!</c:f>
              <c:numCache>
                <c:formatCode>#,##0</c:formatCode>
                <c:ptCount val="25"/>
                <c:pt idx="0">
                  <c:v>16039</c:v>
                </c:pt>
                <c:pt idx="1">
                  <c:v>15393</c:v>
                </c:pt>
                <c:pt idx="2">
                  <c:v>25683</c:v>
                </c:pt>
                <c:pt idx="3">
                  <c:v>12675</c:v>
                </c:pt>
                <c:pt idx="4">
                  <c:v>18957</c:v>
                </c:pt>
                <c:pt idx="5">
                  <c:v>9929</c:v>
                </c:pt>
                <c:pt idx="6">
                  <c:v>11085</c:v>
                </c:pt>
                <c:pt idx="7">
                  <c:v>10916</c:v>
                </c:pt>
                <c:pt idx="8">
                  <c:v>9743</c:v>
                </c:pt>
                <c:pt idx="9">
                  <c:v>12131</c:v>
                </c:pt>
                <c:pt idx="10">
                  <c:v>9664</c:v>
                </c:pt>
                <c:pt idx="11">
                  <c:v>8534</c:v>
                </c:pt>
                <c:pt idx="12">
                  <c:v>9609</c:v>
                </c:pt>
                <c:pt idx="13">
                  <c:v>9287</c:v>
                </c:pt>
                <c:pt idx="14">
                  <c:v>10910</c:v>
                </c:pt>
                <c:pt idx="15">
                  <c:v>11511</c:v>
                </c:pt>
                <c:pt idx="16">
                  <c:v>10850</c:v>
                </c:pt>
                <c:pt idx="17">
                  <c:v>10225</c:v>
                </c:pt>
                <c:pt idx="18">
                  <c:v>10370</c:v>
                </c:pt>
                <c:pt idx="19">
                  <c:v>10419</c:v>
                </c:pt>
                <c:pt idx="20">
                  <c:v>10474</c:v>
                </c:pt>
                <c:pt idx="21">
                  <c:v>11776</c:v>
                </c:pt>
                <c:pt idx="22">
                  <c:v>9428</c:v>
                </c:pt>
                <c:pt idx="23">
                  <c:v>9516</c:v>
                </c:pt>
                <c:pt idx="24">
                  <c:v>16889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#REF!</c:f>
              <c:strCache>
                <c:ptCount val="1"/>
                <c:pt idx="0">
                  <c:v>FHA Non-Streamline Refinance</c:v>
                </c:pt>
              </c:strCache>
            </c:strRef>
          </c:tx>
          <c:marker>
            <c:symbol val="none"/>
          </c:marker>
          <c:cat>
            <c:multiLvlStrRef>
              <c:f>#REF!</c:f>
              <c:multiLvlStrCache>
                <c:ptCount val="25"/>
                <c:lvl>
                  <c:pt idx="0">
                    <c:v>Jan</c:v>
                  </c:pt>
                  <c:pt idx="1">
                    <c:v>Feb</c:v>
                  </c:pt>
                  <c:pt idx="2">
                    <c:v>Mar</c:v>
                  </c:pt>
                  <c:pt idx="3">
                    <c:v>Apr</c:v>
                  </c:pt>
                  <c:pt idx="4">
                    <c:v>May</c:v>
                  </c:pt>
                  <c:pt idx="5">
                    <c:v>Jun</c:v>
                  </c:pt>
                  <c:pt idx="6">
                    <c:v>Jul</c:v>
                  </c:pt>
                  <c:pt idx="7">
                    <c:v>Aug</c:v>
                  </c:pt>
                  <c:pt idx="8">
                    <c:v>Sep</c:v>
                  </c:pt>
                  <c:pt idx="9">
                    <c:v>Oct</c:v>
                  </c:pt>
                  <c:pt idx="10">
                    <c:v>Nov</c:v>
                  </c:pt>
                  <c:pt idx="11">
                    <c:v>Dec</c:v>
                  </c:pt>
                  <c:pt idx="12">
                    <c:v>Jan</c:v>
                  </c:pt>
                  <c:pt idx="13">
                    <c:v>Feb</c:v>
                  </c:pt>
                  <c:pt idx="14">
                    <c:v>Mar</c:v>
                  </c:pt>
                  <c:pt idx="15">
                    <c:v>Apr</c:v>
                  </c:pt>
                  <c:pt idx="16">
                    <c:v>May</c:v>
                  </c:pt>
                  <c:pt idx="17">
                    <c:v>Jun</c:v>
                  </c:pt>
                  <c:pt idx="18">
                    <c:v>Jul</c:v>
                  </c:pt>
                  <c:pt idx="19">
                    <c:v>Aug</c:v>
                  </c:pt>
                  <c:pt idx="20">
                    <c:v>Sep</c:v>
                  </c:pt>
                  <c:pt idx="21">
                    <c:v>Oct</c:v>
                  </c:pt>
                  <c:pt idx="22">
                    <c:v>Nov</c:v>
                  </c:pt>
                  <c:pt idx="23">
                    <c:v>Dec</c:v>
                  </c:pt>
                  <c:pt idx="24">
                    <c:v>Jan</c:v>
                  </c:pt>
                </c:lvl>
                <c:lvl>
                  <c:pt idx="0">
                    <c:v>2013</c:v>
                  </c:pt>
                  <c:pt idx="12">
                    <c:v>2014</c:v>
                  </c:pt>
                  <c:pt idx="24">
                    <c:v>2015</c:v>
                  </c:pt>
                </c:lvl>
              </c:multiLvlStrCache>
            </c:multiLvlStrRef>
          </c:cat>
          <c:val>
            <c:numRef>
              <c:f>#REF!</c:f>
              <c:numCache>
                <c:formatCode>#,##0</c:formatCode>
                <c:ptCount val="25"/>
                <c:pt idx="0">
                  <c:v>5044</c:v>
                </c:pt>
                <c:pt idx="1">
                  <c:v>4646</c:v>
                </c:pt>
                <c:pt idx="2">
                  <c:v>7274</c:v>
                </c:pt>
                <c:pt idx="3">
                  <c:v>3468</c:v>
                </c:pt>
                <c:pt idx="4">
                  <c:v>5219</c:v>
                </c:pt>
                <c:pt idx="5">
                  <c:v>2279</c:v>
                </c:pt>
                <c:pt idx="6">
                  <c:v>2229</c:v>
                </c:pt>
                <c:pt idx="7">
                  <c:v>2286</c:v>
                </c:pt>
                <c:pt idx="8">
                  <c:v>2083</c:v>
                </c:pt>
                <c:pt idx="9">
                  <c:v>2664</c:v>
                </c:pt>
                <c:pt idx="10">
                  <c:v>2340</c:v>
                </c:pt>
                <c:pt idx="11">
                  <c:v>2168</c:v>
                </c:pt>
                <c:pt idx="12">
                  <c:v>2376</c:v>
                </c:pt>
                <c:pt idx="13">
                  <c:v>2329</c:v>
                </c:pt>
                <c:pt idx="14">
                  <c:v>2833</c:v>
                </c:pt>
                <c:pt idx="15">
                  <c:v>3018</c:v>
                </c:pt>
                <c:pt idx="16">
                  <c:v>3207</c:v>
                </c:pt>
                <c:pt idx="17">
                  <c:v>3349</c:v>
                </c:pt>
                <c:pt idx="18">
                  <c:v>3178</c:v>
                </c:pt>
                <c:pt idx="19">
                  <c:v>3318</c:v>
                </c:pt>
                <c:pt idx="20">
                  <c:v>3405</c:v>
                </c:pt>
                <c:pt idx="21">
                  <c:v>4130</c:v>
                </c:pt>
                <c:pt idx="22">
                  <c:v>3128</c:v>
                </c:pt>
                <c:pt idx="23">
                  <c:v>3084</c:v>
                </c:pt>
                <c:pt idx="24">
                  <c:v>6875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#REF!</c:f>
              <c:strCache>
                <c:ptCount val="1"/>
                <c:pt idx="0">
                  <c:v>FHA Streamline Standard MIP</c:v>
                </c:pt>
              </c:strCache>
            </c:strRef>
          </c:tx>
          <c:marker>
            <c:symbol val="none"/>
          </c:marker>
          <c:cat>
            <c:multiLvlStrRef>
              <c:f>#REF!</c:f>
              <c:multiLvlStrCache>
                <c:ptCount val="25"/>
                <c:lvl>
                  <c:pt idx="0">
                    <c:v>Jan</c:v>
                  </c:pt>
                  <c:pt idx="1">
                    <c:v>Feb</c:v>
                  </c:pt>
                  <c:pt idx="2">
                    <c:v>Mar</c:v>
                  </c:pt>
                  <c:pt idx="3">
                    <c:v>Apr</c:v>
                  </c:pt>
                  <c:pt idx="4">
                    <c:v>May</c:v>
                  </c:pt>
                  <c:pt idx="5">
                    <c:v>Jun</c:v>
                  </c:pt>
                  <c:pt idx="6">
                    <c:v>Jul</c:v>
                  </c:pt>
                  <c:pt idx="7">
                    <c:v>Aug</c:v>
                  </c:pt>
                  <c:pt idx="8">
                    <c:v>Sep</c:v>
                  </c:pt>
                  <c:pt idx="9">
                    <c:v>Oct</c:v>
                  </c:pt>
                  <c:pt idx="10">
                    <c:v>Nov</c:v>
                  </c:pt>
                  <c:pt idx="11">
                    <c:v>Dec</c:v>
                  </c:pt>
                  <c:pt idx="12">
                    <c:v>Jan</c:v>
                  </c:pt>
                  <c:pt idx="13">
                    <c:v>Feb</c:v>
                  </c:pt>
                  <c:pt idx="14">
                    <c:v>Mar</c:v>
                  </c:pt>
                  <c:pt idx="15">
                    <c:v>Apr</c:v>
                  </c:pt>
                  <c:pt idx="16">
                    <c:v>May</c:v>
                  </c:pt>
                  <c:pt idx="17">
                    <c:v>Jun</c:v>
                  </c:pt>
                  <c:pt idx="18">
                    <c:v>Jul</c:v>
                  </c:pt>
                  <c:pt idx="19">
                    <c:v>Aug</c:v>
                  </c:pt>
                  <c:pt idx="20">
                    <c:v>Sep</c:v>
                  </c:pt>
                  <c:pt idx="21">
                    <c:v>Oct</c:v>
                  </c:pt>
                  <c:pt idx="22">
                    <c:v>Nov</c:v>
                  </c:pt>
                  <c:pt idx="23">
                    <c:v>Dec</c:v>
                  </c:pt>
                  <c:pt idx="24">
                    <c:v>Jan</c:v>
                  </c:pt>
                </c:lvl>
                <c:lvl>
                  <c:pt idx="0">
                    <c:v>2013</c:v>
                  </c:pt>
                  <c:pt idx="12">
                    <c:v>2014</c:v>
                  </c:pt>
                  <c:pt idx="24">
                    <c:v>2015</c:v>
                  </c:pt>
                </c:lvl>
              </c:multiLvlStrCache>
            </c:multiLvlStrRef>
          </c:cat>
          <c:val>
            <c:numRef>
              <c:f>#REF!</c:f>
              <c:numCache>
                <c:formatCode>#,##0</c:formatCode>
                <c:ptCount val="25"/>
                <c:pt idx="0">
                  <c:v>28274</c:v>
                </c:pt>
                <c:pt idx="1">
                  <c:v>22521</c:v>
                </c:pt>
                <c:pt idx="2">
                  <c:v>38948</c:v>
                </c:pt>
                <c:pt idx="3">
                  <c:v>14106</c:v>
                </c:pt>
                <c:pt idx="4">
                  <c:v>22913</c:v>
                </c:pt>
                <c:pt idx="5">
                  <c:v>4798</c:v>
                </c:pt>
                <c:pt idx="6">
                  <c:v>3478</c:v>
                </c:pt>
                <c:pt idx="7">
                  <c:v>3227</c:v>
                </c:pt>
                <c:pt idx="8">
                  <c:v>1767</c:v>
                </c:pt>
                <c:pt idx="9">
                  <c:v>2260</c:v>
                </c:pt>
                <c:pt idx="10">
                  <c:v>2696</c:v>
                </c:pt>
                <c:pt idx="11">
                  <c:v>2156</c:v>
                </c:pt>
                <c:pt idx="12">
                  <c:v>1941</c:v>
                </c:pt>
                <c:pt idx="13">
                  <c:v>2595</c:v>
                </c:pt>
                <c:pt idx="14">
                  <c:v>3726</c:v>
                </c:pt>
                <c:pt idx="15">
                  <c:v>2503</c:v>
                </c:pt>
                <c:pt idx="16">
                  <c:v>2922</c:v>
                </c:pt>
                <c:pt idx="17">
                  <c:v>3464</c:v>
                </c:pt>
                <c:pt idx="18">
                  <c:v>3424</c:v>
                </c:pt>
                <c:pt idx="19">
                  <c:v>3806</c:v>
                </c:pt>
                <c:pt idx="20">
                  <c:v>3012</c:v>
                </c:pt>
                <c:pt idx="21">
                  <c:v>5273</c:v>
                </c:pt>
                <c:pt idx="22">
                  <c:v>5621</c:v>
                </c:pt>
                <c:pt idx="23">
                  <c:v>5796</c:v>
                </c:pt>
                <c:pt idx="24">
                  <c:v>27779</c:v>
                </c:pt>
              </c:numCache>
            </c:numRef>
          </c:val>
          <c:smooth val="0"/>
        </c:ser>
        <c:ser>
          <c:idx val="3"/>
          <c:order val="3"/>
          <c:tx>
            <c:strRef>
              <c:f>#REF!</c:f>
              <c:strCache>
                <c:ptCount val="1"/>
                <c:pt idx="0">
                  <c:v>FHA Streamline Low MIP</c:v>
                </c:pt>
              </c:strCache>
            </c:strRef>
          </c:tx>
          <c:marker>
            <c:symbol val="none"/>
          </c:marker>
          <c:cat>
            <c:multiLvlStrRef>
              <c:f>#REF!</c:f>
              <c:multiLvlStrCache>
                <c:ptCount val="25"/>
                <c:lvl>
                  <c:pt idx="0">
                    <c:v>Jan</c:v>
                  </c:pt>
                  <c:pt idx="1">
                    <c:v>Feb</c:v>
                  </c:pt>
                  <c:pt idx="2">
                    <c:v>Mar</c:v>
                  </c:pt>
                  <c:pt idx="3">
                    <c:v>Apr</c:v>
                  </c:pt>
                  <c:pt idx="4">
                    <c:v>May</c:v>
                  </c:pt>
                  <c:pt idx="5">
                    <c:v>Jun</c:v>
                  </c:pt>
                  <c:pt idx="6">
                    <c:v>Jul</c:v>
                  </c:pt>
                  <c:pt idx="7">
                    <c:v>Aug</c:v>
                  </c:pt>
                  <c:pt idx="8">
                    <c:v>Sep</c:v>
                  </c:pt>
                  <c:pt idx="9">
                    <c:v>Oct</c:v>
                  </c:pt>
                  <c:pt idx="10">
                    <c:v>Nov</c:v>
                  </c:pt>
                  <c:pt idx="11">
                    <c:v>Dec</c:v>
                  </c:pt>
                  <c:pt idx="12">
                    <c:v>Jan</c:v>
                  </c:pt>
                  <c:pt idx="13">
                    <c:v>Feb</c:v>
                  </c:pt>
                  <c:pt idx="14">
                    <c:v>Mar</c:v>
                  </c:pt>
                  <c:pt idx="15">
                    <c:v>Apr</c:v>
                  </c:pt>
                  <c:pt idx="16">
                    <c:v>May</c:v>
                  </c:pt>
                  <c:pt idx="17">
                    <c:v>Jun</c:v>
                  </c:pt>
                  <c:pt idx="18">
                    <c:v>Jul</c:v>
                  </c:pt>
                  <c:pt idx="19">
                    <c:v>Aug</c:v>
                  </c:pt>
                  <c:pt idx="20">
                    <c:v>Sep</c:v>
                  </c:pt>
                  <c:pt idx="21">
                    <c:v>Oct</c:v>
                  </c:pt>
                  <c:pt idx="22">
                    <c:v>Nov</c:v>
                  </c:pt>
                  <c:pt idx="23">
                    <c:v>Dec</c:v>
                  </c:pt>
                  <c:pt idx="24">
                    <c:v>Jan</c:v>
                  </c:pt>
                </c:lvl>
                <c:lvl>
                  <c:pt idx="0">
                    <c:v>2013</c:v>
                  </c:pt>
                  <c:pt idx="12">
                    <c:v>2014</c:v>
                  </c:pt>
                  <c:pt idx="24">
                    <c:v>2015</c:v>
                  </c:pt>
                </c:lvl>
              </c:multiLvlStrCache>
            </c:multiLvlStrRef>
          </c:cat>
          <c:val>
            <c:numRef>
              <c:f>#REF!</c:f>
              <c:numCache>
                <c:formatCode>#,##0</c:formatCode>
                <c:ptCount val="25"/>
                <c:pt idx="0">
                  <c:v>30639</c:v>
                </c:pt>
                <c:pt idx="1">
                  <c:v>28867</c:v>
                </c:pt>
                <c:pt idx="2">
                  <c:v>35793</c:v>
                </c:pt>
                <c:pt idx="3">
                  <c:v>25027</c:v>
                </c:pt>
                <c:pt idx="4">
                  <c:v>34164</c:v>
                </c:pt>
                <c:pt idx="5">
                  <c:v>19107</c:v>
                </c:pt>
                <c:pt idx="6">
                  <c:v>22410</c:v>
                </c:pt>
                <c:pt idx="7">
                  <c:v>16691</c:v>
                </c:pt>
                <c:pt idx="8">
                  <c:v>11311</c:v>
                </c:pt>
                <c:pt idx="9">
                  <c:v>14129</c:v>
                </c:pt>
                <c:pt idx="10">
                  <c:v>10833</c:v>
                </c:pt>
                <c:pt idx="11">
                  <c:v>9250</c:v>
                </c:pt>
                <c:pt idx="12">
                  <c:v>11344</c:v>
                </c:pt>
                <c:pt idx="13">
                  <c:v>10951</c:v>
                </c:pt>
                <c:pt idx="14">
                  <c:v>10886</c:v>
                </c:pt>
                <c:pt idx="15">
                  <c:v>11247</c:v>
                </c:pt>
                <c:pt idx="16">
                  <c:v>9096</c:v>
                </c:pt>
                <c:pt idx="17">
                  <c:v>9963</c:v>
                </c:pt>
                <c:pt idx="18">
                  <c:v>9378</c:v>
                </c:pt>
                <c:pt idx="19">
                  <c:v>7770</c:v>
                </c:pt>
                <c:pt idx="20">
                  <c:v>8065</c:v>
                </c:pt>
                <c:pt idx="21">
                  <c:v>7683</c:v>
                </c:pt>
                <c:pt idx="22">
                  <c:v>5620</c:v>
                </c:pt>
                <c:pt idx="23">
                  <c:v>5253</c:v>
                </c:pt>
                <c:pt idx="24">
                  <c:v>5336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99742080"/>
        <c:axId val="399743616"/>
      </c:lineChart>
      <c:catAx>
        <c:axId val="399742080"/>
        <c:scaling>
          <c:orientation val="minMax"/>
        </c:scaling>
        <c:delete val="0"/>
        <c:axPos val="b"/>
        <c:majorTickMark val="out"/>
        <c:minorTickMark val="none"/>
        <c:tickLblPos val="nextTo"/>
        <c:crossAx val="399743616"/>
        <c:crosses val="autoZero"/>
        <c:auto val="1"/>
        <c:lblAlgn val="ctr"/>
        <c:lblOffset val="100"/>
        <c:noMultiLvlLbl val="0"/>
      </c:catAx>
      <c:valAx>
        <c:axId val="399743616"/>
        <c:scaling>
          <c:orientation val="minMax"/>
        </c:scaling>
        <c:delete val="0"/>
        <c:axPos val="l"/>
        <c:majorGridlines/>
        <c:numFmt formatCode="#,##0" sourceLinked="1"/>
        <c:majorTickMark val="out"/>
        <c:minorTickMark val="none"/>
        <c:tickLblPos val="nextTo"/>
        <c:crossAx val="399742080"/>
        <c:crosses val="autoZero"/>
        <c:crossBetween val="between"/>
        <c:majorUnit val="10000"/>
        <c:dispUnits>
          <c:builtInUnit val="thousands"/>
          <c:dispUnitsLbl/>
        </c:dispUnits>
      </c:valAx>
      <c:spPr>
        <a:ln>
          <a:solidFill>
            <a:schemeClr val="tx1"/>
          </a:solidFill>
        </a:ln>
      </c:spPr>
    </c:plotArea>
    <c:legend>
      <c:legendPos val="b"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vmlDrawing4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35</xdr:col>
      <xdr:colOff>57150</xdr:colOff>
      <xdr:row>5</xdr:row>
      <xdr:rowOff>28576</xdr:rowOff>
    </xdr:from>
    <xdr:to>
      <xdr:col>36</xdr:col>
      <xdr:colOff>0</xdr:colOff>
      <xdr:row>7</xdr:row>
      <xdr:rowOff>13336</xdr:rowOff>
    </xdr:to>
    <xdr:sp macro="[0]!RunApplicationActivityReport" textlink="">
      <xdr:nvSpPr>
        <xdr:cNvPr id="2" name="Rounded Rectangle 1"/>
        <xdr:cNvSpPr/>
      </xdr:nvSpPr>
      <xdr:spPr>
        <a:xfrm>
          <a:off x="16649700" y="981076"/>
          <a:ext cx="1247775" cy="36576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/>
            <a:t>Run</a:t>
          </a:r>
          <a:r>
            <a:rPr lang="en-US" sz="1100" b="1" baseline="0"/>
            <a:t> The Report</a:t>
          </a:r>
          <a:endParaRPr lang="en-US" sz="1100" b="1"/>
        </a:p>
      </xdr:txBody>
    </xdr:sp>
    <xdr:clientData/>
  </xdr:twoCellAnchor>
  <xdr:twoCellAnchor>
    <xdr:from>
      <xdr:col>36</xdr:col>
      <xdr:colOff>276226</xdr:colOff>
      <xdr:row>5</xdr:row>
      <xdr:rowOff>28576</xdr:rowOff>
    </xdr:from>
    <xdr:to>
      <xdr:col>38</xdr:col>
      <xdr:colOff>47626</xdr:colOff>
      <xdr:row>7</xdr:row>
      <xdr:rowOff>13336</xdr:rowOff>
    </xdr:to>
    <xdr:sp macro="[2]!CreatePDFReport" textlink="">
      <xdr:nvSpPr>
        <xdr:cNvPr id="3" name="Rounded Rectangle 2"/>
        <xdr:cNvSpPr/>
      </xdr:nvSpPr>
      <xdr:spPr>
        <a:xfrm>
          <a:off x="18173701" y="981076"/>
          <a:ext cx="3486150" cy="365760"/>
        </a:xfrm>
        <a:prstGeom prst="roundRect">
          <a:avLst/>
        </a:prstGeom>
      </xdr:spPr>
      <xdr:style>
        <a:lnRef idx="2">
          <a:schemeClr val="accent5">
            <a:shade val="50000"/>
          </a:schemeClr>
        </a:lnRef>
        <a:fillRef idx="1">
          <a:schemeClr val="accent5"/>
        </a:fillRef>
        <a:effectRef idx="0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/>
            <a:t>Create Report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22</xdr:col>
      <xdr:colOff>57150</xdr:colOff>
      <xdr:row>5</xdr:row>
      <xdr:rowOff>28576</xdr:rowOff>
    </xdr:from>
    <xdr:to>
      <xdr:col>23</xdr:col>
      <xdr:colOff>0</xdr:colOff>
      <xdr:row>7</xdr:row>
      <xdr:rowOff>13336</xdr:rowOff>
    </xdr:to>
    <xdr:sp macro="[0]!RunFundingTimeWeeklyReport" textlink="">
      <xdr:nvSpPr>
        <xdr:cNvPr id="2" name="Rounded Rectangle 1"/>
        <xdr:cNvSpPr/>
      </xdr:nvSpPr>
      <xdr:spPr>
        <a:xfrm>
          <a:off x="16468725" y="981076"/>
          <a:ext cx="1247775" cy="36576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/>
            <a:t>Run</a:t>
          </a:r>
          <a:r>
            <a:rPr lang="en-US" sz="1100" b="1" baseline="0"/>
            <a:t> The Report</a:t>
          </a:r>
          <a:endParaRPr lang="en-US" sz="1100" b="1"/>
        </a:p>
      </xdr:txBody>
    </xdr:sp>
    <xdr:clientData/>
  </xdr:twoCellAnchor>
  <xdr:twoCellAnchor>
    <xdr:from>
      <xdr:col>23</xdr:col>
      <xdr:colOff>276226</xdr:colOff>
      <xdr:row>5</xdr:row>
      <xdr:rowOff>28576</xdr:rowOff>
    </xdr:from>
    <xdr:to>
      <xdr:col>25</xdr:col>
      <xdr:colOff>47626</xdr:colOff>
      <xdr:row>7</xdr:row>
      <xdr:rowOff>13336</xdr:rowOff>
    </xdr:to>
    <xdr:sp macro="[2]!CreatePDFReport" textlink="">
      <xdr:nvSpPr>
        <xdr:cNvPr id="3" name="Rounded Rectangle 2"/>
        <xdr:cNvSpPr/>
      </xdr:nvSpPr>
      <xdr:spPr>
        <a:xfrm>
          <a:off x="17992726" y="981076"/>
          <a:ext cx="3486150" cy="365760"/>
        </a:xfrm>
        <a:prstGeom prst="roundRect">
          <a:avLst/>
        </a:prstGeom>
      </xdr:spPr>
      <xdr:style>
        <a:lnRef idx="2">
          <a:schemeClr val="accent5">
            <a:shade val="50000"/>
          </a:schemeClr>
        </a:lnRef>
        <a:fillRef idx="1">
          <a:schemeClr val="accent5"/>
        </a:fillRef>
        <a:effectRef idx="0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/>
            <a:t>Create Report</a:t>
          </a:r>
        </a:p>
      </xdr:txBody>
    </xdr:sp>
    <xdr:clientData/>
  </xdr:twoCellAnchor>
  <xdr:twoCellAnchor>
    <xdr:from>
      <xdr:col>3</xdr:col>
      <xdr:colOff>0</xdr:colOff>
      <xdr:row>9</xdr:row>
      <xdr:rowOff>190498</xdr:rowOff>
    </xdr:from>
    <xdr:to>
      <xdr:col>18</xdr:col>
      <xdr:colOff>521493</xdr:colOff>
      <xdr:row>24</xdr:row>
      <xdr:rowOff>187640</xdr:rowOff>
    </xdr:to>
    <xdr:graphicFrame macro="">
      <xdr:nvGraphicFramePr>
        <xdr:cNvPr id="8" name="Chart 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0</xdr:colOff>
      <xdr:row>25</xdr:row>
      <xdr:rowOff>89296</xdr:rowOff>
    </xdr:from>
    <xdr:to>
      <xdr:col>18</xdr:col>
      <xdr:colOff>521493</xdr:colOff>
      <xdr:row>40</xdr:row>
      <xdr:rowOff>145970</xdr:rowOff>
    </xdr:to>
    <xdr:graphicFrame macro="">
      <xdr:nvGraphicFramePr>
        <xdr:cNvPr id="9" name="Chart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3</xdr:col>
      <xdr:colOff>0</xdr:colOff>
      <xdr:row>41</xdr:row>
      <xdr:rowOff>47625</xdr:rowOff>
    </xdr:from>
    <xdr:to>
      <xdr:col>18</xdr:col>
      <xdr:colOff>521493</xdr:colOff>
      <xdr:row>56</xdr:row>
      <xdr:rowOff>116205</xdr:rowOff>
    </xdr:to>
    <xdr:graphicFrame macro="">
      <xdr:nvGraphicFramePr>
        <xdr:cNvPr id="10" name="Chart 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22</xdr:col>
      <xdr:colOff>57150</xdr:colOff>
      <xdr:row>5</xdr:row>
      <xdr:rowOff>28576</xdr:rowOff>
    </xdr:from>
    <xdr:to>
      <xdr:col>23</xdr:col>
      <xdr:colOff>0</xdr:colOff>
      <xdr:row>7</xdr:row>
      <xdr:rowOff>0</xdr:rowOff>
    </xdr:to>
    <xdr:sp macro="[0]!RunFundingTimeWeeklyReport" textlink="">
      <xdr:nvSpPr>
        <xdr:cNvPr id="2" name="Rounded Rectangle 1"/>
        <xdr:cNvSpPr/>
      </xdr:nvSpPr>
      <xdr:spPr>
        <a:xfrm>
          <a:off x="16649700" y="981076"/>
          <a:ext cx="1247775" cy="36576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/>
            <a:t>Run</a:t>
          </a:r>
          <a:r>
            <a:rPr lang="en-US" sz="1100" b="1" baseline="0"/>
            <a:t> The Report</a:t>
          </a:r>
          <a:endParaRPr lang="en-US" sz="1100" b="1"/>
        </a:p>
      </xdr:txBody>
    </xdr:sp>
    <xdr:clientData/>
  </xdr:twoCellAnchor>
  <xdr:twoCellAnchor>
    <xdr:from>
      <xdr:col>23</xdr:col>
      <xdr:colOff>276226</xdr:colOff>
      <xdr:row>5</xdr:row>
      <xdr:rowOff>28576</xdr:rowOff>
    </xdr:from>
    <xdr:to>
      <xdr:col>25</xdr:col>
      <xdr:colOff>47626</xdr:colOff>
      <xdr:row>7</xdr:row>
      <xdr:rowOff>0</xdr:rowOff>
    </xdr:to>
    <xdr:sp macro="[2]!CreatePDFReport" textlink="">
      <xdr:nvSpPr>
        <xdr:cNvPr id="3" name="Rounded Rectangle 2"/>
        <xdr:cNvSpPr/>
      </xdr:nvSpPr>
      <xdr:spPr>
        <a:xfrm>
          <a:off x="18173701" y="981076"/>
          <a:ext cx="3486150" cy="365760"/>
        </a:xfrm>
        <a:prstGeom prst="roundRect">
          <a:avLst/>
        </a:prstGeom>
      </xdr:spPr>
      <xdr:style>
        <a:lnRef idx="2">
          <a:schemeClr val="accent5">
            <a:shade val="50000"/>
          </a:schemeClr>
        </a:lnRef>
        <a:fillRef idx="1">
          <a:schemeClr val="accent5"/>
        </a:fillRef>
        <a:effectRef idx="0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/>
            <a:t>Create Report</a:t>
          </a: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microsoft.com/office/2006/relationships/xlExternalLinkPath/xlPathMissing" Target="Data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Lien%20Workspace/12.Primary%20Market%20Package/1.Daily%20Originator%20Mortgage%20Rate/Originator%20Mortgage%20-%20template%20-%200311%20-%20with%20chart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ata"/>
    </sheetNames>
    <sheetDataSet>
      <sheetData sheetId="0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port"/>
      <sheetName val="Time Series Query"/>
      <sheetName val="Rates Summary"/>
      <sheetName val="Upload Result"/>
      <sheetName val="Input Data"/>
      <sheetName val="Historic Result"/>
      <sheetName val="BoA - Conventional"/>
      <sheetName val="Chase - Conventional"/>
      <sheetName val="Quicken - Conventional"/>
      <sheetName val="Wells - Conventional"/>
      <sheetName val="Wells - Jumbo conformin"/>
      <sheetName val="Wells - Jumbo Non-conforming"/>
      <sheetName val="Wells - FHA"/>
      <sheetName val="Originator Mortgage - template "/>
    </sheetNames>
    <definedNames>
      <definedName name="CreatePDFReport"/>
    </defined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>
        <row r="4">
          <cell r="C4">
            <v>4.1250000000000002E-2</v>
          </cell>
        </row>
      </sheetData>
      <sheetData sheetId="10"/>
      <sheetData sheetId="11"/>
      <sheetData sheetId="12"/>
      <sheetData sheetId="13" refreshError="1"/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2" Type="http://schemas.openxmlformats.org/officeDocument/2006/relationships/externalLinkPath" Target="CRT_Surveilance_by_deal_simple.xlsx" TargetMode="External"/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Lien Chen" refreshedDate="42214.550683912035" createdVersion="4" refreshedVersion="4" minRefreshableVersion="3" recordCount="146">
  <cacheSource type="worksheet">
    <worksheetSource ref="A1:G147" sheet="Freddie_perf" r:id="rId2"/>
  </cacheSource>
  <cacheFields count="15">
    <cacheField name="DealID" numFmtId="0">
      <sharedItems count="14">
        <s v="FHL13DN01"/>
        <s v="FHL13DN02"/>
        <s v="FHL14DN01"/>
        <s v="FHL14DN02"/>
        <s v="FHL14DN03"/>
        <s v="FHL14DN04"/>
        <s v="FHL14HQ01"/>
        <s v="FHL14HQ02"/>
        <s v="FHL14HQ03"/>
        <s v="FHL15DN01"/>
        <s v="FHL15DNA1"/>
        <s v="FHL15DNA2"/>
        <s v="FHL15HQ01"/>
        <s v="FHL15HQ02"/>
      </sharedItems>
    </cacheField>
    <cacheField name="beginDate" numFmtId="14">
      <sharedItems containsSemiMixedTypes="0" containsNonDate="0" containsDate="1" containsString="0" minDate="2013-06-01T00:00:00" maxDate="2015-06-02T00:00:00" count="25">
        <d v="2013-06-01T00:00:00"/>
        <d v="2013-07-01T00:00:00"/>
        <d v="2013-08-01T00:00:00"/>
        <d v="2013-09-01T00:00:00"/>
        <d v="2013-10-01T00:00:00"/>
        <d v="2013-11-01T00:00:00"/>
        <d v="2013-12-01T00:00:00"/>
        <d v="2014-01-01T00:00:00"/>
        <d v="2014-02-01T00:00:00"/>
        <d v="2014-03-01T00:00:00"/>
        <d v="2014-04-01T00:00:00"/>
        <d v="2014-05-01T00:00:00"/>
        <d v="2014-06-01T00:00:00"/>
        <d v="2014-07-01T00:00:00"/>
        <d v="2014-08-01T00:00:00"/>
        <d v="2014-09-01T00:00:00"/>
        <d v="2014-10-01T00:00:00"/>
        <d v="2014-11-01T00:00:00"/>
        <d v="2014-12-01T00:00:00"/>
        <d v="2015-01-01T00:00:00"/>
        <d v="2015-02-01T00:00:00"/>
        <d v="2015-03-01T00:00:00"/>
        <d v="2015-04-01T00:00:00"/>
        <d v="2015-05-01T00:00:00"/>
        <d v="2015-06-01T00:00:00"/>
      </sharedItems>
    </cacheField>
    <cacheField name="loanCount" numFmtId="165">
      <sharedItems containsSemiMixedTypes="0" containsString="0" containsNumber="1" containsInteger="1" minValue="31630" maxValue="147771"/>
    </cacheField>
    <cacheField name="currentBalance" numFmtId="165">
      <sharedItems containsSemiMixedTypes="0" containsString="0" containsNumber="1" minValue="6632739546.4499998" maxValue="35184267786.93"/>
    </cacheField>
    <cacheField name="prepaymentBalance" numFmtId="165">
      <sharedItems containsSemiMixedTypes="0" containsString="0" containsNumber="1" minValue="0" maxValue="1636253444.21"/>
    </cacheField>
    <cacheField name="defaultBalance" numFmtId="165">
      <sharedItems containsSemiMixedTypes="0" containsString="0" containsNumber="1" minValue="0" maxValue="2931733.85"/>
    </cacheField>
    <cacheField name="smm" numFmtId="166">
      <sharedItems containsSemiMixedTypes="0" containsString="0" containsNumber="1" minValue="0" maxValue="5.9295615051276798E-2"/>
    </cacheField>
    <cacheField name="mdr" numFmtId="166">
      <sharedItems containsSemiMixedTypes="0" containsString="0" containsNumber="1" minValue="0" maxValue="1.90816741903926E-4"/>
    </cacheField>
    <cacheField name="CPR" numFmtId="43">
      <sharedItems containsSemiMixedTypes="0" containsString="0" containsNumber="1" minValue="0" maxValue="51.978200000000001"/>
    </cacheField>
    <cacheField name="CDR" numFmtId="43">
      <sharedItems containsSemiMixedTypes="0" containsString="0" containsNumber="1" minValue="0" maxValue="0.22869999999999999"/>
    </cacheField>
    <cacheField name="pct_dq" numFmtId="10">
      <sharedItems containsSemiMixedTypes="0" containsString="0" containsNumber="1" minValue="0" maxValue="6.1644989212499097E-3"/>
    </cacheField>
    <cacheField name="cum_prepayment" numFmtId="165">
      <sharedItems containsSemiMixedTypes="0" containsString="0" containsNumber="1" minValue="54721277.009999998" maxValue="4430648801.6800003"/>
    </cacheField>
    <cacheField name="cum_default" numFmtId="165">
      <sharedItems containsSemiMixedTypes="0" containsString="0" containsNumber="1" minValue="0" maxValue="18293610.73"/>
    </cacheField>
    <cacheField name="cum_pp_pct" numFmtId="10">
      <sharedItems containsSemiMixedTypes="0" containsString="0" containsNumber="1" minValue="6.7999999999999996E-3" maxValue="0.28639999999999999"/>
    </cacheField>
    <cacheField name="cum_df_pct" numFmtId="10">
      <sharedItems containsSemiMixedTypes="0" containsString="0" containsNumber="1" minValue="0" maxValue="6.9999999999999999E-4" count="8">
        <n v="0"/>
        <n v="1E-4"/>
        <n v="2.0000000000000001E-4"/>
        <n v="2.9999999999999997E-4"/>
        <n v="4.0000000000000002E-4"/>
        <n v="5.0000000000000001E-4"/>
        <n v="5.9999999999999995E-4"/>
        <n v="6.9999999999999999E-4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Lien Chen" refreshedDate="42214.717577546297" createdVersion="4" refreshedVersion="4" minRefreshableVersion="3" recordCount="146">
  <cacheSource type="worksheet">
    <worksheetSource ref="A1:G147" sheet="Performance"/>
  </cacheSource>
  <cacheFields count="7">
    <cacheField name="DealID" numFmtId="0">
      <sharedItems count="14">
        <s v="FHL13DN01"/>
        <s v="FHL13DN02"/>
        <s v="FHL14DN01"/>
        <s v="FHL14DN02"/>
        <s v="FHL14DN03"/>
        <s v="FHL14DN04"/>
        <s v="FHL14HQ01"/>
        <s v="FHL14HQ02"/>
        <s v="FHL14HQ03"/>
        <s v="FHL15DN01"/>
        <s v="FHL15DNA1"/>
        <s v="FHL15DNA2"/>
        <s v="FHL15HQ01"/>
        <s v="FHL15HQ02"/>
      </sharedItems>
    </cacheField>
    <cacheField name="beginDate" numFmtId="14">
      <sharedItems containsSemiMixedTypes="0" containsNonDate="0" containsDate="1" containsString="0" minDate="2013-06-01T00:00:00" maxDate="2015-06-02T00:00:00" count="25">
        <d v="2013-06-01T00:00:00"/>
        <d v="2013-07-01T00:00:00"/>
        <d v="2013-08-01T00:00:00"/>
        <d v="2013-09-01T00:00:00"/>
        <d v="2013-10-01T00:00:00"/>
        <d v="2013-11-01T00:00:00"/>
        <d v="2013-12-01T00:00:00"/>
        <d v="2014-01-01T00:00:00"/>
        <d v="2014-02-01T00:00:00"/>
        <d v="2014-03-01T00:00:00"/>
        <d v="2014-04-01T00:00:00"/>
        <d v="2014-05-01T00:00:00"/>
        <d v="2014-06-01T00:00:00"/>
        <d v="2014-07-01T00:00:00"/>
        <d v="2014-08-01T00:00:00"/>
        <d v="2014-09-01T00:00:00"/>
        <d v="2014-10-01T00:00:00"/>
        <d v="2014-11-01T00:00:00"/>
        <d v="2014-12-01T00:00:00"/>
        <d v="2015-01-01T00:00:00"/>
        <d v="2015-02-01T00:00:00"/>
        <d v="2015-03-01T00:00:00"/>
        <d v="2015-04-01T00:00:00"/>
        <d v="2015-05-01T00:00:00"/>
        <d v="2015-06-01T00:00:00"/>
      </sharedItems>
    </cacheField>
    <cacheField name="CPR" numFmtId="43">
      <sharedItems containsSemiMixedTypes="0" containsString="0" containsNumber="1" minValue="0" maxValue="51.978200000000001"/>
    </cacheField>
    <cacheField name="CDR" numFmtId="43">
      <sharedItems containsSemiMixedTypes="0" containsString="0" containsNumber="1" minValue="0" maxValue="0.22869999999999999"/>
    </cacheField>
    <cacheField name="pct_dq" numFmtId="2">
      <sharedItems containsSemiMixedTypes="0" containsString="0" containsNumber="1" minValue="0" maxValue="0.61644989212499102"/>
    </cacheField>
    <cacheField name="cum_pp_pct" numFmtId="2">
      <sharedItems containsSemiMixedTypes="0" containsString="0" containsNumber="1" minValue="0.67999999999999994" maxValue="28.64"/>
    </cacheField>
    <cacheField name="cum_df_pct" numFmtId="2">
      <sharedItems containsSemiMixedTypes="0" containsString="0" containsNumber="1" minValue="0" maxValue="6.9999999999999993E-2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146">
  <r>
    <x v="0"/>
    <x v="0"/>
    <n v="96389"/>
    <n v="22584361082.810001"/>
    <n v="139983562.75"/>
    <n v="0"/>
    <n v="6.1982520664066003E-3"/>
    <n v="0"/>
    <n v="7.1894999999999998"/>
    <n v="0"/>
    <n v="0"/>
    <n v="139983562.75"/>
    <n v="0"/>
    <n v="6.8999999999999999E-3"/>
    <x v="0"/>
  </r>
  <r>
    <x v="0"/>
    <x v="1"/>
    <n v="95815"/>
    <n v="22391372156.549999"/>
    <n v="101319553.18000001"/>
    <n v="0"/>
    <n v="4.5249372156213096E-3"/>
    <n v="0"/>
    <n v="5.2968000000000002"/>
    <n v="0"/>
    <n v="1.2667221826199199E-3"/>
    <n v="241303115.93000001"/>
    <n v="0"/>
    <n v="1.1900000000000001E-2"/>
    <x v="0"/>
  </r>
  <r>
    <x v="0"/>
    <x v="2"/>
    <n v="95391"/>
    <n v="22242256898.849998"/>
    <n v="70147957.719999999"/>
    <n v="0"/>
    <n v="3.1538147427668099E-3"/>
    <n v="0"/>
    <n v="3.7195999999999998"/>
    <n v="0"/>
    <n v="1.0356345223757799E-3"/>
    <n v="311451073.64999998"/>
    <n v="0"/>
    <n v="1.5299999999999999E-2"/>
    <x v="0"/>
  </r>
  <r>
    <x v="0"/>
    <x v="3"/>
    <n v="95074"/>
    <n v="22126259871.459999"/>
    <n v="73281124.489999995"/>
    <n v="0"/>
    <n v="3.3119526262331898E-3"/>
    <n v="0"/>
    <n v="3.9026999999999998"/>
    <n v="0"/>
    <n v="1.37402924202362E-3"/>
    <n v="384732198.13999999"/>
    <n v="0"/>
    <n v="1.9E-2"/>
    <x v="0"/>
  </r>
  <r>
    <x v="0"/>
    <x v="4"/>
    <n v="94744"/>
    <n v="22004407481.799999"/>
    <n v="67109639.599999994"/>
    <n v="0"/>
    <n v="3.0498271610133899E-3"/>
    <n v="0"/>
    <n v="3.5990000000000002"/>
    <n v="0"/>
    <n v="1.5484221430720701E-3"/>
    <n v="451841837.74000001"/>
    <n v="0"/>
    <n v="2.23E-2"/>
    <x v="0"/>
  </r>
  <r>
    <x v="0"/>
    <x v="5"/>
    <n v="94439"/>
    <n v="21889515190.82"/>
    <n v="69191334.689999998"/>
    <n v="99020.6"/>
    <n v="3.1609349995571101E-3"/>
    <n v="4.5236543220256902E-6"/>
    <n v="3.7277999999999998"/>
    <n v="5.4000000000000003E-3"/>
    <n v="1.5094332223427401E-3"/>
    <n v="521033172.43000001"/>
    <n v="99020.6"/>
    <n v="2.5700000000000001E-2"/>
    <x v="0"/>
  </r>
  <r>
    <x v="0"/>
    <x v="6"/>
    <n v="94127"/>
    <n v="21778303317.84"/>
    <n v="57817994.990000002"/>
    <n v="302877.99"/>
    <n v="2.6548438666770501E-3"/>
    <n v="1.39073271953143E-5"/>
    <n v="3.1396999999999999"/>
    <n v="1.66E-2"/>
    <n v="2.1700490437786399E-3"/>
    <n v="578851167.41999996"/>
    <n v="401898.59"/>
    <n v="2.8500000000000001E-2"/>
    <x v="0"/>
  </r>
  <r>
    <x v="0"/>
    <x v="7"/>
    <n v="93864"/>
    <n v="21671804564.209999"/>
    <n v="54493693.359999999"/>
    <n v="543640.77"/>
    <n v="2.5144972675692099E-3"/>
    <n v="2.5085163922980199E-5"/>
    <n v="2.976"/>
    <n v="0.03"/>
    <n v="2.1894667321964E-3"/>
    <n v="633344860.77999997"/>
    <n v="945539.36"/>
    <n v="3.1199999999999999E-2"/>
    <x v="0"/>
  </r>
  <r>
    <x v="0"/>
    <x v="8"/>
    <n v="93598"/>
    <n v="21571139506.34"/>
    <n v="70113723.829999998"/>
    <n v="342970.55"/>
    <n v="3.25034863408086E-3"/>
    <n v="1.5899510079159101E-5"/>
    <n v="3.8313999999999999"/>
    <n v="1.9E-2"/>
    <n v="2.3021683029496001E-3"/>
    <n v="703458584.61000001"/>
    <n v="1288509.9099999999"/>
    <n v="3.4700000000000002E-2"/>
    <x v="0"/>
  </r>
  <r>
    <x v="0"/>
    <x v="9"/>
    <n v="93266"/>
    <n v="21453636186.810001"/>
    <n v="72437890.239999995"/>
    <n v="1500559.89"/>
    <n v="3.3764854409405799E-3"/>
    <n v="6.9944315123725501E-5"/>
    <n v="3.9773000000000001"/>
    <n v="8.3900000000000002E-2"/>
    <n v="2.8763854780915598E-3"/>
    <n v="775896474.85000002"/>
    <n v="2789069.8"/>
    <n v="3.8300000000000001E-2"/>
    <x v="1"/>
  </r>
  <r>
    <x v="0"/>
    <x v="10"/>
    <n v="92915"/>
    <n v="21332337955.220001"/>
    <n v="106211677.5"/>
    <n v="989919.88"/>
    <n v="4.97890469028548E-3"/>
    <n v="4.6404659539802897E-5"/>
    <n v="5.8136999999999999"/>
    <n v="5.5599999999999997E-2"/>
    <n v="1.7641106928362399E-3"/>
    <n v="882108152.35000002"/>
    <n v="3778989.68"/>
    <n v="4.3499999999999997E-2"/>
    <x v="1"/>
  </r>
  <r>
    <x v="0"/>
    <x v="11"/>
    <n v="92428"/>
    <n v="21177637181.139999"/>
    <n v="135194224.16"/>
    <n v="890745.91"/>
    <n v="6.3838200174851801E-3"/>
    <n v="4.2060684219921498E-5"/>
    <n v="7.3971999999999998"/>
    <n v="5.04E-2"/>
    <n v="1.74214917294252E-3"/>
    <n v="1017302376.51"/>
    <n v="4669735.59"/>
    <n v="5.0200000000000002E-2"/>
    <x v="2"/>
  </r>
  <r>
    <x v="0"/>
    <x v="12"/>
    <n v="91814"/>
    <n v="20996596520.740002"/>
    <n v="125037203.51000001"/>
    <n v="680997.81"/>
    <n v="5.9551176966462496E-3"/>
    <n v="3.2433723690757398E-5"/>
    <n v="6.9165999999999999"/>
    <n v="3.8899999999999997E-2"/>
    <n v="1.8080148243312499E-3"/>
    <n v="1142339580.02"/>
    <n v="5350733.4000000004"/>
    <n v="5.6399999999999999E-2"/>
    <x v="2"/>
  </r>
  <r>
    <x v="0"/>
    <x v="13"/>
    <n v="91234"/>
    <n v="20823941241.41"/>
    <n v="115787279.48999999"/>
    <n v="690804.79"/>
    <n v="5.5602961105051503E-3"/>
    <n v="3.3173585249380197E-5"/>
    <n v="6.4720000000000004"/>
    <n v="3.9800000000000002E-2"/>
    <n v="2.2194793062559801E-3"/>
    <n v="1258126859.51"/>
    <n v="6041538.1900000004"/>
    <n v="6.2100000000000002E-2"/>
    <x v="2"/>
  </r>
  <r>
    <x v="0"/>
    <x v="14"/>
    <n v="90712"/>
    <n v="20661068570"/>
    <n v="88425641.75"/>
    <n v="532919.80000000005"/>
    <n v="4.2798193835140996E-3"/>
    <n v="2.5793428747136601E-5"/>
    <n v="5.0166000000000004"/>
    <n v="3.09E-2"/>
    <n v="2.1691470665304502E-3"/>
    <n v="1346552501.26"/>
    <n v="6574457.9900000002"/>
    <n v="6.6500000000000004E-2"/>
    <x v="3"/>
  </r>
  <r>
    <x v="0"/>
    <x v="15"/>
    <n v="90301"/>
    <n v="20526568204.119999"/>
    <n v="114141076.26000001"/>
    <n v="872088.56"/>
    <n v="5.56065071983587E-3"/>
    <n v="4.2485843289915197E-5"/>
    <n v="6.4724000000000004"/>
    <n v="5.0900000000000001E-2"/>
    <n v="2.5668689206130601E-3"/>
    <n v="1460693577.52"/>
    <n v="7446546.5499999998"/>
    <n v="7.2099999999999997E-2"/>
    <x v="3"/>
  </r>
  <r>
    <x v="0"/>
    <x v="16"/>
    <n v="89760"/>
    <n v="20365001794.889999"/>
    <n v="91879899.010000005"/>
    <n v="994425.34"/>
    <n v="4.5116568088422399E-3"/>
    <n v="4.8830113054520903E-5"/>
    <n v="5.2816000000000001"/>
    <n v="5.8500000000000003E-2"/>
    <n v="2.4419934930955201E-3"/>
    <n v="1552573476.53"/>
    <n v="8440971.8900000006"/>
    <n v="7.6600000000000001E-2"/>
    <x v="4"/>
  </r>
  <r>
    <x v="0"/>
    <x v="17"/>
    <n v="89344"/>
    <n v="20227022657.540001"/>
    <n v="104073902.45999999"/>
    <n v="401834.35"/>
    <n v="5.1452902496850897E-3"/>
    <n v="1.98662134711263E-5"/>
    <n v="6.0025000000000004"/>
    <n v="2.3800000000000002E-2"/>
    <n v="2.26047138543922E-3"/>
    <n v="1656647378.99"/>
    <n v="8842806.2400000002"/>
    <n v="8.1799999999999998E-2"/>
    <x v="4"/>
  </r>
  <r>
    <x v="0"/>
    <x v="18"/>
    <n v="88878"/>
    <n v="20076676930.209999"/>
    <n v="89278153.099999994"/>
    <n v="1559635.07"/>
    <n v="4.4468590798340899E-3"/>
    <n v="7.7683925254242006E-5"/>
    <n v="5.2076000000000002"/>
    <n v="9.3100000000000002E-2"/>
    <n v="3.1978297540562299E-3"/>
    <n v="1745925532.0899999"/>
    <n v="10402441.310000001"/>
    <n v="8.6199999999999999E-2"/>
    <x v="5"/>
  </r>
  <r>
    <x v="0"/>
    <x v="19"/>
    <n v="88484"/>
    <n v="19939199442.470001"/>
    <n v="137881693.41"/>
    <n v="515352.31"/>
    <n v="6.9151067879042001E-3"/>
    <n v="2.58461886339484E-5"/>
    <n v="7.9896000000000003"/>
    <n v="3.1E-2"/>
    <n v="2.5090365666056301E-3"/>
    <n v="1883807225.5"/>
    <n v="10917793.619999999"/>
    <n v="9.2999999999999999E-2"/>
    <x v="5"/>
  </r>
  <r>
    <x v="0"/>
    <x v="20"/>
    <n v="87925"/>
    <n v="19755112263.799999"/>
    <n v="191691686.44"/>
    <n v="949391.26"/>
    <n v="9.7033964616471905E-3"/>
    <n v="4.8058003787692903E-5"/>
    <n v="11.042299999999999"/>
    <n v="5.7599999999999998E-2"/>
    <n v="2.5015041079039799E-3"/>
    <n v="2075498911.9400001"/>
    <n v="11867184.880000001"/>
    <n v="0.1024"/>
    <x v="5"/>
  </r>
  <r>
    <x v="0"/>
    <x v="21"/>
    <n v="87132"/>
    <n v="19517918050.32"/>
    <n v="170280413.18000001"/>
    <n v="1177926.43"/>
    <n v="8.7243123339790906E-3"/>
    <n v="6.0351028576056898E-5"/>
    <n v="9.9810999999999996"/>
    <n v="7.2300000000000003E-2"/>
    <n v="3.0000390932597401E-3"/>
    <n v="2245779325.1199999"/>
    <n v="13045111.310000001"/>
    <n v="0.1109"/>
    <x v="6"/>
  </r>
  <r>
    <x v="0"/>
    <x v="22"/>
    <n v="86371"/>
    <n v="19298303853.59"/>
    <n v="168340551.69"/>
    <n v="840844.9"/>
    <n v="8.7230749897579205E-3"/>
    <n v="4.35709224178051E-5"/>
    <n v="9.9797999999999991"/>
    <n v="5.2200000000000003E-2"/>
    <n v="2.21292653406198E-3"/>
    <n v="2414119876.8099999"/>
    <n v="13885956.210000001"/>
    <n v="0.1192"/>
    <x v="6"/>
  </r>
  <r>
    <x v="0"/>
    <x v="23"/>
    <n v="85631"/>
    <n v="19082907230.220001"/>
    <n v="191859748.56"/>
    <n v="2030630.68"/>
    <n v="1.00540104421913E-2"/>
    <n v="1.0641097058755499E-4"/>
    <n v="11.419499999999999"/>
    <n v="0.12759999999999999"/>
    <n v="2.29371262051119E-3"/>
    <n v="2605979625.3699999"/>
    <n v="15916586.890000001"/>
    <n v="0.12859999999999999"/>
    <x v="7"/>
  </r>
  <r>
    <x v="0"/>
    <x v="24"/>
    <n v="84793"/>
    <n v="18844871637.860001"/>
    <n v="0"/>
    <n v="0"/>
    <n v="0"/>
    <n v="0"/>
    <n v="0"/>
    <n v="0"/>
    <n v="2.6052343270604001E-3"/>
    <n v="2605979625.3699999"/>
    <n v="15916586.890000001"/>
    <n v="0.12859999999999999"/>
    <x v="7"/>
  </r>
  <r>
    <x v="1"/>
    <x v="5"/>
    <n v="145598"/>
    <n v="35184267786.93"/>
    <n v="255323382.09999999"/>
    <n v="0"/>
    <n v="7.2567484890177399E-3"/>
    <n v="0"/>
    <n v="8.3688000000000002"/>
    <n v="0"/>
    <n v="1.11349989822876E-3"/>
    <n v="255323382.09999999"/>
    <n v="0"/>
    <n v="7.7000000000000002E-3"/>
    <x v="0"/>
  </r>
  <r>
    <x v="1"/>
    <x v="6"/>
    <n v="144497"/>
    <n v="34859342835.760002"/>
    <n v="74914647.040000007"/>
    <n v="0"/>
    <n v="2.1490550580072799E-3"/>
    <n v="0"/>
    <n v="2.5486"/>
    <n v="0"/>
    <n v="1.75388312992754E-3"/>
    <n v="330238029.13999999"/>
    <n v="0"/>
    <n v="0.01"/>
    <x v="0"/>
  </r>
  <r>
    <x v="1"/>
    <x v="7"/>
    <n v="144155"/>
    <n v="34710539920.269997"/>
    <n v="76909619.870000005"/>
    <n v="0"/>
    <n v="2.2157425394897599E-3"/>
    <n v="0"/>
    <n v="2.6267"/>
    <n v="0"/>
    <n v="1.8421270287605001E-3"/>
    <n v="407147649.00999999"/>
    <n v="0"/>
    <n v="1.24E-2"/>
    <x v="0"/>
  </r>
  <r>
    <x v="1"/>
    <x v="8"/>
    <n v="143801"/>
    <n v="34561418507.610001"/>
    <n v="106255295.29000001"/>
    <n v="260106.15"/>
    <n v="3.0743904584415102E-3"/>
    <n v="7.5259107187029301E-6"/>
    <n v="3.6274999999999999"/>
    <n v="8.9999999999999993E-3"/>
    <n v="1.78254706433518E-3"/>
    <n v="513402944.30000001"/>
    <n v="260106.15"/>
    <n v="1.5599999999999999E-2"/>
    <x v="0"/>
  </r>
  <r>
    <x v="1"/>
    <x v="9"/>
    <n v="143311"/>
    <n v="34383902530.860001"/>
    <n v="114846150.92"/>
    <n v="1118824.01"/>
    <n v="3.34011390408415E-3"/>
    <n v="3.2539180478302003E-5"/>
    <n v="3.9352999999999998"/>
    <n v="3.9E-2"/>
    <n v="2.4791712180864999E-3"/>
    <n v="628249095.22000003"/>
    <n v="1378930.16"/>
    <n v="1.9099999999999999E-2"/>
    <x v="0"/>
  </r>
  <r>
    <x v="1"/>
    <x v="10"/>
    <n v="142808"/>
    <n v="34194102666.93"/>
    <n v="153343552.21000001"/>
    <n v="495173.75"/>
    <n v="4.4845028893915799E-3"/>
    <n v="1.4481261719989299E-5"/>
    <n v="5.2506000000000004"/>
    <n v="1.7299999999999999E-2"/>
    <n v="2.0046795170412402E-3"/>
    <n v="781592647.42999995"/>
    <n v="1874103.91"/>
    <n v="2.3800000000000002E-2"/>
    <x v="0"/>
  </r>
  <r>
    <x v="1"/>
    <x v="11"/>
    <n v="142132"/>
    <n v="33969478822.689999"/>
    <n v="168089678.15000001"/>
    <n v="600232.69999999995"/>
    <n v="4.9482560220418803E-3"/>
    <n v="1.7669764765395E-5"/>
    <n v="5.7789000000000001"/>
    <n v="2.12E-2"/>
    <n v="2.0610782018602499E-3"/>
    <n v="949682325.58000004"/>
    <n v="2474336.61"/>
    <n v="2.9000000000000001E-2"/>
    <x v="0"/>
  </r>
  <r>
    <x v="1"/>
    <x v="12"/>
    <n v="141415"/>
    <n v="33733163472.400002"/>
    <n v="170343588.58000001"/>
    <n v="779358.81"/>
    <n v="5.0497365513724399E-3"/>
    <n v="2.31036383717068E-5"/>
    <n v="5.8940999999999999"/>
    <n v="2.7699999999999999E-2"/>
    <n v="1.98259965255614E-3"/>
    <n v="1120025914.1600001"/>
    <n v="3253695.42"/>
    <n v="3.4200000000000001E-2"/>
    <x v="0"/>
  </r>
  <r>
    <x v="1"/>
    <x v="13"/>
    <n v="140635"/>
    <n v="33490133224.82"/>
    <n v="157283570.87"/>
    <n v="722780.87"/>
    <n v="4.6964152042678299E-3"/>
    <n v="2.1581904889656701E-5"/>
    <n v="5.4923000000000002"/>
    <n v="2.58E-2"/>
    <n v="2.2383653709816698E-3"/>
    <n v="1277309485.03"/>
    <n v="3976476.29"/>
    <n v="3.9E-2"/>
    <x v="1"/>
  </r>
  <r>
    <x v="1"/>
    <x v="14"/>
    <n v="139941"/>
    <n v="33260667256.009998"/>
    <n v="132800769.36"/>
    <n v="572154.51"/>
    <n v="3.9927271554061703E-3"/>
    <n v="1.7202135651581499E-5"/>
    <n v="4.6874000000000002"/>
    <n v="2.06E-2"/>
    <n v="2.2145809990234099E-3"/>
    <n v="1410110254.3900001"/>
    <n v="4548630.8"/>
    <n v="4.2999999999999997E-2"/>
    <x v="1"/>
  </r>
  <r>
    <x v="1"/>
    <x v="15"/>
    <n v="139324"/>
    <n v="33055593115.669998"/>
    <n v="149898725.88999999"/>
    <n v="1498860.31"/>
    <n v="4.5347462187553499E-3"/>
    <n v="4.5343621720992901E-5"/>
    <n v="5.3079999999999998"/>
    <n v="5.4300000000000001E-2"/>
    <n v="2.5701887094479298E-3"/>
    <n v="1560008980.28"/>
    <n v="6047491.1100000003"/>
    <n v="4.7600000000000003E-2"/>
    <x v="1"/>
  </r>
  <r>
    <x v="1"/>
    <x v="16"/>
    <n v="138650"/>
    <n v="32833580707.720001"/>
    <n v="126407170.72"/>
    <n v="1553912.54"/>
    <n v="3.84993558409785E-3"/>
    <n v="4.7326928909542697E-5"/>
    <n v="4.5232999999999999"/>
    <n v="5.67E-2"/>
    <n v="2.5146402216979901E-3"/>
    <n v="1686416151"/>
    <n v="7601403.6500000004"/>
    <n v="5.1499999999999997E-2"/>
    <x v="2"/>
  </r>
  <r>
    <x v="1"/>
    <x v="17"/>
    <n v="138086"/>
    <n v="32634637088.779999"/>
    <n v="142619560.99000001"/>
    <n v="1328887.02"/>
    <n v="4.3701898875729596E-3"/>
    <n v="4.0720140885429899E-5"/>
    <n v="5.1199000000000003"/>
    <n v="4.8800000000000003E-2"/>
    <n v="2.1534383388060198E-3"/>
    <n v="1829035711.99"/>
    <n v="8930290.6699999999"/>
    <n v="5.5800000000000002E-2"/>
    <x v="2"/>
  </r>
  <r>
    <x v="1"/>
    <x v="18"/>
    <n v="137459"/>
    <n v="32417706750.169998"/>
    <n v="103510857.08"/>
    <n v="753052.33"/>
    <n v="3.19303453133547E-3"/>
    <n v="2.32296607469327E-5"/>
    <n v="3.7650000000000001"/>
    <n v="2.7799999999999998E-2"/>
    <n v="3.1372260189091402E-3"/>
    <n v="1932546569.0699999"/>
    <n v="9683343"/>
    <n v="5.8999999999999997E-2"/>
    <x v="2"/>
  </r>
  <r>
    <x v="1"/>
    <x v="19"/>
    <n v="137023"/>
    <n v="32239798911.360001"/>
    <n v="129099715.43000001"/>
    <n v="2259765.79"/>
    <n v="4.0043585812971801E-3"/>
    <n v="7.0092428188308194E-5"/>
    <n v="4.7008000000000001"/>
    <n v="8.4000000000000005E-2"/>
    <n v="2.5071003222516702E-3"/>
    <n v="2061646284.5"/>
    <n v="11943108.789999999"/>
    <n v="6.2899999999999998E-2"/>
    <x v="3"/>
  </r>
  <r>
    <x v="1"/>
    <x v="20"/>
    <n v="136465"/>
    <n v="32038687612.509998"/>
    <n v="202706002.22"/>
    <n v="1168297.3"/>
    <n v="6.3269134076780996E-3"/>
    <n v="3.6465204634156697E-5"/>
    <n v="7.3334999999999999"/>
    <n v="4.3700000000000003E-2"/>
    <n v="2.60061031892786E-3"/>
    <n v="2264352286.7199998"/>
    <n v="13111406.09"/>
    <n v="6.9099999999999995E-2"/>
    <x v="4"/>
  </r>
  <r>
    <x v="1"/>
    <x v="21"/>
    <n v="135631"/>
    <n v="31763545472.23"/>
    <n v="204386465.34"/>
    <n v="1673286.98"/>
    <n v="6.4346237896738996E-3"/>
    <n v="5.2679477530709103E-5"/>
    <n v="7.4539999999999997"/>
    <n v="6.3100000000000003E-2"/>
    <n v="3.0653763936751102E-3"/>
    <n v="2468738752.0599999"/>
    <n v="14784693.07"/>
    <n v="7.5300000000000006E-2"/>
    <x v="4"/>
  </r>
  <r>
    <x v="1"/>
    <x v="22"/>
    <n v="134755"/>
    <n v="31481839071.779999"/>
    <n v="220484533.44"/>
    <n v="2931733.85"/>
    <n v="7.0035468047875199E-3"/>
    <n v="9.31246056914119E-5"/>
    <n v="8.0878999999999994"/>
    <n v="0.1116"/>
    <n v="2.12804341599132E-3"/>
    <n v="2689223285.5"/>
    <n v="17716426.920000002"/>
    <n v="8.2100000000000006E-2"/>
    <x v="5"/>
  </r>
  <r>
    <x v="1"/>
    <x v="23"/>
    <n v="133785"/>
    <n v="31187038920.860001"/>
    <n v="246981466.37"/>
    <n v="577183.81000000006"/>
    <n v="7.9193624953218002E-3"/>
    <n v="1.8507169323277398E-5"/>
    <n v="9.1"/>
    <n v="2.2200000000000001E-2"/>
    <n v="2.3137861072066801E-3"/>
    <n v="2936204751.8699999"/>
    <n v="18293610.73"/>
    <n v="8.9599999999999999E-2"/>
    <x v="5"/>
  </r>
  <r>
    <x v="1"/>
    <x v="24"/>
    <n v="132693"/>
    <n v="30868963894.860001"/>
    <n v="0"/>
    <n v="0"/>
    <n v="0"/>
    <n v="0"/>
    <n v="0"/>
    <n v="0"/>
    <n v="3.2330500813024599E-3"/>
    <n v="2936204751.8699999"/>
    <n v="18293610.73"/>
    <n v="8.9599999999999999E-2"/>
    <x v="5"/>
  </r>
  <r>
    <x v="2"/>
    <x v="8"/>
    <n v="139513"/>
    <n v="32312170855.900002"/>
    <n v="207134927.44999999"/>
    <n v="0"/>
    <n v="6.4104305580006604E-3"/>
    <n v="0"/>
    <n v="7.4269999999999996"/>
    <n v="0"/>
    <n v="8.3035215336207903E-4"/>
    <n v="207134927.44999999"/>
    <n v="0"/>
    <n v="6.7999999999999996E-3"/>
    <x v="0"/>
  </r>
  <r>
    <x v="2"/>
    <x v="9"/>
    <n v="138574"/>
    <n v="32038558514.889999"/>
    <n v="105706737.76000001"/>
    <n v="0"/>
    <n v="3.2993599793471498E-3"/>
    <n v="0"/>
    <n v="3.8881000000000001"/>
    <n v="0"/>
    <n v="1.5226672684829901E-3"/>
    <n v="312841665.20999998"/>
    <n v="0"/>
    <n v="1.03E-2"/>
    <x v="0"/>
  </r>
  <r>
    <x v="2"/>
    <x v="10"/>
    <n v="138094"/>
    <n v="31865279462.52"/>
    <n v="128322520.90000001"/>
    <n v="0"/>
    <n v="4.0270326532341602E-3"/>
    <n v="0"/>
    <n v="4.7267999999999999"/>
    <n v="0"/>
    <n v="1.1277179985904899E-3"/>
    <n v="441164186.11000001"/>
    <n v="0"/>
    <n v="1.4500000000000001E-2"/>
    <x v="0"/>
  </r>
  <r>
    <x v="2"/>
    <x v="11"/>
    <n v="137486"/>
    <n v="31667475693.279999"/>
    <n v="150016275.28999999"/>
    <n v="412038.9"/>
    <n v="4.7372350339194898E-3"/>
    <n v="1.30114223183073E-5"/>
    <n v="5.5388000000000002"/>
    <n v="1.5599999999999999E-2"/>
    <n v="1.3793726491836899E-3"/>
    <n v="591180461.39999998"/>
    <n v="412038.9"/>
    <n v="1.95E-2"/>
    <x v="0"/>
  </r>
  <r>
    <x v="2"/>
    <x v="12"/>
    <n v="136821"/>
    <n v="31454431558.75"/>
    <n v="143509133.41999999"/>
    <n v="83561.429999999993"/>
    <n v="4.56244561762167E-3"/>
    <n v="2.65658687374227E-6"/>
    <n v="5.3395999999999999"/>
    <n v="3.0999999999999999E-3"/>
    <n v="1.6926852605984801E-3"/>
    <n v="734689594.82000005"/>
    <n v="495600.33"/>
    <n v="2.4199999999999999E-2"/>
    <x v="0"/>
  </r>
  <r>
    <x v="2"/>
    <x v="13"/>
    <n v="136164"/>
    <n v="31244385455.200001"/>
    <n v="128496974.15000001"/>
    <n v="681878.67"/>
    <n v="4.1126420724211799E-3"/>
    <n v="2.1824038465333701E-5"/>
    <n v="4.8250000000000002"/>
    <n v="2.6100000000000002E-2"/>
    <n v="2.0239341257222701E-3"/>
    <n v="863186568.97000003"/>
    <n v="1177479"/>
    <n v="2.8500000000000001E-2"/>
    <x v="0"/>
  </r>
  <r>
    <x v="2"/>
    <x v="14"/>
    <n v="135572"/>
    <n v="31050179453.919998"/>
    <n v="120807217.7"/>
    <n v="1164150.3500000001"/>
    <n v="3.8907091625439301E-3"/>
    <n v="3.7492548206610403E-5"/>
    <n v="4.5701999999999998"/>
    <n v="4.4900000000000002E-2"/>
    <n v="2.1676206490169798E-3"/>
    <n v="983993786.66999996"/>
    <n v="2341629.35"/>
    <n v="3.2500000000000001E-2"/>
    <x v="0"/>
  </r>
  <r>
    <x v="2"/>
    <x v="15"/>
    <n v="135011"/>
    <n v="30864009327.299999"/>
    <n v="134653590.77000001"/>
    <n v="736099.11"/>
    <n v="4.3628029444280703E-3"/>
    <n v="2.38497565949379E-5"/>
    <n v="5.1115000000000004"/>
    <n v="2.86E-2"/>
    <n v="2.5084879073542202E-3"/>
    <n v="1118647377.4400001"/>
    <n v="3077728.46"/>
    <n v="3.6900000000000002E-2"/>
    <x v="1"/>
  </r>
  <r>
    <x v="2"/>
    <x v="16"/>
    <n v="134366"/>
    <n v="30665146300.130001"/>
    <n v="124790143.37"/>
    <n v="1092294.03"/>
    <n v="4.0694455571363402E-3"/>
    <n v="3.5620049528195701E-5"/>
    <n v="4.7755000000000001"/>
    <n v="4.2700000000000002E-2"/>
    <n v="2.43580365405539E-3"/>
    <n v="1243437520.8099999"/>
    <n v="4170022.49"/>
    <n v="4.1000000000000002E-2"/>
    <x v="1"/>
  </r>
  <r>
    <x v="2"/>
    <x v="17"/>
    <n v="133821"/>
    <n v="30475372228.66"/>
    <n v="135091366.09"/>
    <n v="543257.96"/>
    <n v="4.4328044650741201E-3"/>
    <n v="1.78261304217673E-5"/>
    <n v="5.1914999999999996"/>
    <n v="2.1299999999999999E-2"/>
    <n v="1.9498019037850699E-3"/>
    <n v="1378528886.9000001"/>
    <n v="4713280.45"/>
    <n v="4.5499999999999999E-2"/>
    <x v="1"/>
  </r>
  <r>
    <x v="2"/>
    <x v="18"/>
    <n v="133208"/>
    <n v="30274833486.439999"/>
    <n v="108369472.09"/>
    <n v="1663331.74"/>
    <n v="3.5795233073218401E-3"/>
    <n v="5.49410698078653E-5"/>
    <n v="4.2118000000000002"/>
    <n v="6.59E-2"/>
    <n v="3.1639523448709602E-3"/>
    <n v="1486898358.99"/>
    <n v="6376612.1900000004"/>
    <n v="4.9099999999999998E-2"/>
    <x v="2"/>
  </r>
  <r>
    <x v="2"/>
    <x v="19"/>
    <n v="132713"/>
    <n v="30100359859.959999"/>
    <n v="152940502"/>
    <n v="589675.86"/>
    <n v="5.0810190546407303E-3"/>
    <n v="1.9590325921132798E-5"/>
    <n v="5.9295999999999998"/>
    <n v="2.35E-2"/>
    <n v="2.4825080357062301E-3"/>
    <n v="1639838860.99"/>
    <n v="6966288.0499999998"/>
    <n v="5.4100000000000002E-2"/>
    <x v="2"/>
  </r>
  <r>
    <x v="2"/>
    <x v="20"/>
    <n v="132085"/>
    <n v="29884165860.82"/>
    <n v="196999436.59"/>
    <n v="776531.93"/>
    <n v="6.5921008974280399E-3"/>
    <n v="2.5984728287767899E-5"/>
    <n v="7.6299000000000001"/>
    <n v="3.1099999999999999E-2"/>
    <n v="2.52494335767715E-3"/>
    <n v="1836838297.5799999"/>
    <n v="7742819.9800000004"/>
    <n v="6.0600000000000001E-2"/>
    <x v="2"/>
  </r>
  <r>
    <x v="2"/>
    <x v="21"/>
    <n v="131250"/>
    <n v="29622381783.93"/>
    <n v="206483582.91999999"/>
    <n v="564733.91"/>
    <n v="6.9705260173243801E-3"/>
    <n v="1.9064432904796499E-5"/>
    <n v="8.0511999999999997"/>
    <n v="2.2800000000000001E-2"/>
    <n v="3.1499647857695201E-3"/>
    <n v="2043321880.5"/>
    <n v="8307553.8899999997"/>
    <n v="6.7500000000000004E-2"/>
    <x v="2"/>
  </r>
  <r>
    <x v="2"/>
    <x v="22"/>
    <n v="130339"/>
    <n v="29346853284.540001"/>
    <n v="237340935.86000001"/>
    <n v="1555789.72"/>
    <n v="8.0874407064634706E-3"/>
    <n v="5.3013851431205801E-5"/>
    <n v="9.2845999999999993"/>
    <n v="6.3500000000000001E-2"/>
    <n v="2.35929860311377E-3"/>
    <n v="2280662816.3600001"/>
    <n v="9863343.6099999994"/>
    <n v="7.5300000000000006E-2"/>
    <x v="3"/>
  </r>
  <r>
    <x v="2"/>
    <x v="23"/>
    <n v="129302"/>
    <n v="29042673167.91"/>
    <n v="248521555.47"/>
    <n v="651600.99"/>
    <n v="8.55711710947454E-3"/>
    <n v="2.2435985359638601E-5"/>
    <n v="9.7987000000000002"/>
    <n v="2.69E-2"/>
    <n v="2.45970523329553E-3"/>
    <n v="2529184371.8299999"/>
    <n v="10514944.6"/>
    <n v="8.3500000000000005E-2"/>
    <x v="3"/>
  </r>
  <r>
    <x v="2"/>
    <x v="24"/>
    <n v="128194"/>
    <n v="28730000635.919998"/>
    <n v="0"/>
    <n v="0"/>
    <n v="0"/>
    <n v="0"/>
    <n v="0"/>
    <n v="0"/>
    <n v="2.8305324114169098E-3"/>
    <n v="2529184371.8299999"/>
    <n v="10514944.6"/>
    <n v="8.3500000000000005E-2"/>
    <x v="3"/>
  </r>
  <r>
    <x v="3"/>
    <x v="10"/>
    <n v="116677"/>
    <n v="28039544680.09"/>
    <n v="369559914.37"/>
    <n v="0"/>
    <n v="1.31799541892138E-2"/>
    <n v="0"/>
    <n v="14.718299999999999"/>
    <n v="0"/>
    <n v="1.2582498026457499E-3"/>
    <n v="369559914.37"/>
    <n v="0"/>
    <n v="1.4999999999999999E-2"/>
    <x v="0"/>
  </r>
  <r>
    <x v="3"/>
    <x v="11"/>
    <n v="115265"/>
    <n v="27609728254.779999"/>
    <n v="207436533.11000001"/>
    <n v="0"/>
    <n v="7.5131682280895704E-3"/>
    <n v="0"/>
    <n v="8.6524000000000001"/>
    <n v="0"/>
    <n v="1.5944404332331099E-3"/>
    <n v="576996447.48000002"/>
    <n v="0"/>
    <n v="2.3400000000000001E-2"/>
    <x v="0"/>
  </r>
  <r>
    <x v="3"/>
    <x v="12"/>
    <n v="114528"/>
    <n v="27348284475.400002"/>
    <n v="202721399.50999999"/>
    <n v="0"/>
    <n v="7.4125819369894796E-3"/>
    <n v="0"/>
    <n v="8.5411999999999999"/>
    <n v="0"/>
    <n v="1.62206789496806E-3"/>
    <n v="779717846.99000001"/>
    <n v="0"/>
    <n v="3.1600000000000003E-2"/>
    <x v="0"/>
  </r>
  <r>
    <x v="3"/>
    <x v="13"/>
    <n v="113774"/>
    <n v="27089577370.52"/>
    <n v="182482840.21000001"/>
    <n v="968154.6"/>
    <n v="6.7362749043322198E-3"/>
    <n v="3.5739007174529997E-5"/>
    <n v="7.7906000000000004"/>
    <n v="4.2799999999999998E-2"/>
    <n v="1.83497047924029E-3"/>
    <n v="962200687.20000005"/>
    <n v="968154.6"/>
    <n v="3.9100000000000003E-2"/>
    <x v="0"/>
  </r>
  <r>
    <x v="3"/>
    <x v="14"/>
    <n v="113066"/>
    <n v="26851958095.509998"/>
    <n v="162436003.41999999"/>
    <n v="77670.52"/>
    <n v="6.0493168819283002E-3"/>
    <n v="2.8925458517301702E-6"/>
    <n v="7.0224000000000002"/>
    <n v="3.3999999999999998E-3"/>
    <n v="1.77433496993155E-3"/>
    <n v="1124636690.6199999"/>
    <n v="1045825.12"/>
    <n v="4.5699999999999998E-2"/>
    <x v="0"/>
  </r>
  <r>
    <x v="3"/>
    <x v="15"/>
    <n v="112446"/>
    <n v="26637069814.950001"/>
    <n v="172597846.72"/>
    <n v="867798.01"/>
    <n v="6.4796108550622096E-3"/>
    <n v="3.2578583756722003E-5"/>
    <n v="7.5042999999999997"/>
    <n v="3.9E-2"/>
    <n v="2.2391729474885501E-3"/>
    <n v="1297234537.3399999"/>
    <n v="1913623.13"/>
    <n v="5.2699999999999997E-2"/>
    <x v="0"/>
  </r>
  <r>
    <x v="3"/>
    <x v="16"/>
    <n v="111769"/>
    <n v="26409684178.889999"/>
    <n v="239512495.96000001"/>
    <n v="552007.49"/>
    <n v="9.0691162506005597E-3"/>
    <n v="2.0901707353291001E-5"/>
    <n v="10.3561"/>
    <n v="2.5000000000000001E-2"/>
    <n v="2.3875834479081602E-3"/>
    <n v="1536747033.3"/>
    <n v="2465630.62"/>
    <n v="6.2399999999999997E-2"/>
    <x v="1"/>
  </r>
  <r>
    <x v="3"/>
    <x v="17"/>
    <n v="110925"/>
    <n v="26117688939.689999"/>
    <n v="260286629.65000001"/>
    <n v="491931.43"/>
    <n v="9.9659135328184698E-3"/>
    <n v="1.8835182206815799E-5"/>
    <n v="11.3248"/>
    <n v="2.2499999999999999E-2"/>
    <n v="2.2911961585951198E-3"/>
    <n v="1797033662.95"/>
    <n v="2957562.05"/>
    <n v="7.2999999999999995E-2"/>
    <x v="1"/>
  </r>
  <r>
    <x v="3"/>
    <x v="18"/>
    <n v="110015"/>
    <n v="25803566156.799999"/>
    <n v="216937573.77000001"/>
    <n v="701717.69"/>
    <n v="8.4072710125313605E-3"/>
    <n v="2.7194601154580201E-5"/>
    <n v="9.6349999999999998"/>
    <n v="3.2599999999999997E-2"/>
    <n v="3.61345336157841E-3"/>
    <n v="2013971236.72"/>
    <n v="3659279.74"/>
    <n v="8.1799999999999998E-2"/>
    <x v="1"/>
  </r>
  <r>
    <x v="3"/>
    <x v="19"/>
    <n v="109248"/>
    <n v="25533693163.25"/>
    <n v="408537204.06999999"/>
    <n v="773623.07"/>
    <n v="1.59999261155843E-2"/>
    <n v="3.0298126677321201E-5"/>
    <n v="17.597200000000001"/>
    <n v="3.6299999999999999E-2"/>
    <n v="2.8897348095416799E-3"/>
    <n v="2422508440.79"/>
    <n v="4432902.8099999996"/>
    <n v="9.8400000000000001E-2"/>
    <x v="1"/>
  </r>
  <r>
    <x v="3"/>
    <x v="20"/>
    <n v="107817"/>
    <n v="25073337969.040001"/>
    <n v="459061248.75999999"/>
    <n v="726228"/>
    <n v="1.83087409154233E-2"/>
    <n v="2.8964153113427901E-5"/>
    <n v="19.887699999999999"/>
    <n v="3.4700000000000002E-2"/>
    <n v="2.89173380183875E-3"/>
    <n v="2881569689.5500002"/>
    <n v="5159130.8099999996"/>
    <n v="0.1171"/>
    <x v="2"/>
  </r>
  <r>
    <x v="3"/>
    <x v="21"/>
    <n v="106156"/>
    <n v="24561922452.779999"/>
    <n v="305794241.72000003"/>
    <n v="851866.76"/>
    <n v="1.2449931079616601E-2"/>
    <n v="3.4682413872028999E-5"/>
    <n v="13.9582"/>
    <n v="4.1599999999999998E-2"/>
    <n v="3.4767765375114E-3"/>
    <n v="3187363931.27"/>
    <n v="6010997.5700000003"/>
    <n v="0.1295"/>
    <x v="2"/>
  </r>
  <r>
    <x v="3"/>
    <x v="22"/>
    <n v="104991"/>
    <n v="24201903933.830002"/>
    <n v="296485141.12"/>
    <n v="1062221.53"/>
    <n v="1.22504883058215E-2"/>
    <n v="4.3889998609373903E-5"/>
    <n v="13.7494"/>
    <n v="5.2600000000000001E-2"/>
    <n v="2.63312904737718E-3"/>
    <n v="3483849072.3899999"/>
    <n v="7073219.0999999996"/>
    <n v="0.14149999999999999"/>
    <x v="2"/>
  </r>
  <r>
    <x v="3"/>
    <x v="23"/>
    <n v="103861"/>
    <n v="23852978020.849998"/>
    <n v="286045284.57999998"/>
    <n v="1003683.14"/>
    <n v="1.19920156019917E-2"/>
    <n v="4.2077896484148598E-5"/>
    <n v="13.478199999999999"/>
    <n v="5.04E-2"/>
    <n v="2.8994875935216798E-3"/>
    <n v="3769894356.9699998"/>
    <n v="8076902.2400000002"/>
    <n v="0.1532"/>
    <x v="3"/>
  </r>
  <r>
    <x v="3"/>
    <x v="24"/>
    <n v="102690"/>
    <n v="23516001945.110001"/>
    <n v="0"/>
    <n v="0"/>
    <n v="0"/>
    <n v="0"/>
    <n v="0"/>
    <n v="0"/>
    <n v="3.4288805643157899E-3"/>
    <n v="3769894356.9699998"/>
    <n v="8076902.2400000002"/>
    <n v="0.1532"/>
    <x v="3"/>
  </r>
  <r>
    <x v="4"/>
    <x v="14"/>
    <n v="87222"/>
    <n v="19673327276.75"/>
    <n v="677671924.90999997"/>
    <n v="0"/>
    <n v="3.4446228407478102E-2"/>
    <n v="0"/>
    <n v="34.337400000000002"/>
    <n v="0"/>
    <n v="1.8750273449471E-3"/>
    <n v="677671924.90999997"/>
    <n v="0"/>
    <n v="4.3799999999999999E-2"/>
    <x v="0"/>
  </r>
  <r>
    <x v="4"/>
    <x v="15"/>
    <n v="84869"/>
    <n v="18959026495.110001"/>
    <n v="222319195.37"/>
    <n v="0"/>
    <n v="1.17262980473887E-2"/>
    <n v="0"/>
    <n v="13.198499999999999"/>
    <n v="0"/>
    <n v="2.18480727059924E-3"/>
    <n v="899991120.27999997"/>
    <n v="0"/>
    <n v="5.8099999999999999E-2"/>
    <x v="0"/>
  </r>
  <r>
    <x v="4"/>
    <x v="16"/>
    <n v="84088"/>
    <n v="18700722950.959999"/>
    <n v="393046541.18000001"/>
    <n v="0"/>
    <n v="2.1017719058814398E-2"/>
    <n v="0"/>
    <n v="22.500599999999999"/>
    <n v="0"/>
    <n v="2.5633474783678901E-3"/>
    <n v="1293037661.46"/>
    <n v="0"/>
    <n v="8.3599999999999994E-2"/>
    <x v="0"/>
  </r>
  <r>
    <x v="4"/>
    <x v="17"/>
    <n v="82804"/>
    <n v="18273757066.580002"/>
    <n v="384470660.99000001"/>
    <n v="651418.92000000004"/>
    <n v="2.1039497219383502E-2"/>
    <n v="3.5647782644070902E-5"/>
    <n v="22.5213"/>
    <n v="4.2700000000000002E-2"/>
    <n v="2.5782310018865502E-3"/>
    <n v="1677508322.45"/>
    <n v="651418.92000000004"/>
    <n v="0.1084"/>
    <x v="0"/>
  </r>
  <r>
    <x v="4"/>
    <x v="18"/>
    <n v="81501"/>
    <n v="17854723101.439999"/>
    <n v="318244031.63"/>
    <n v="0"/>
    <n v="1.7824081046898602E-2"/>
    <n v="0"/>
    <n v="19.411799999999999"/>
    <n v="0"/>
    <n v="4.1618114863963898E-3"/>
    <n v="1995752354.0799999"/>
    <n v="651418.92000000004"/>
    <n v="0.129"/>
    <x v="0"/>
  </r>
  <r>
    <x v="4"/>
    <x v="19"/>
    <n v="80430"/>
    <n v="17502640487.57"/>
    <n v="664625808.39999998"/>
    <n v="599297.27"/>
    <n v="3.79728880834867E-2"/>
    <n v="3.4240391924041802E-5"/>
    <n v="37.158299999999997"/>
    <n v="4.1000000000000002E-2"/>
    <n v="3.69019871178118E-3"/>
    <n v="2660378162.48"/>
    <n v="1250716.19"/>
    <n v="0.17199999999999999"/>
    <x v="0"/>
  </r>
  <r>
    <x v="4"/>
    <x v="20"/>
    <n v="78205"/>
    <n v="16806094470.57"/>
    <n v="674827471.32000005"/>
    <n v="645947.04"/>
    <n v="4.0153735450060901E-2"/>
    <n v="3.84352855525803E-5"/>
    <n v="38.846600000000002"/>
    <n v="4.6100000000000002E-2"/>
    <n v="3.9045994484270099E-3"/>
    <n v="3335205633.8000002"/>
    <n v="1896663.23"/>
    <n v="0.21560000000000001"/>
    <x v="1"/>
  </r>
  <r>
    <x v="4"/>
    <x v="21"/>
    <n v="75849"/>
    <n v="16098208030.52"/>
    <n v="424337416.35000002"/>
    <n v="1299799"/>
    <n v="2.63592951181593E-2"/>
    <n v="8.0741843908077105E-5"/>
    <n v="27.4253"/>
    <n v="9.6799999999999997E-2"/>
    <n v="4.9454945394582697E-3"/>
    <n v="3759543050.1500001"/>
    <n v="3196462.23"/>
    <n v="0.24299999999999999"/>
    <x v="2"/>
  </r>
  <r>
    <x v="4"/>
    <x v="22"/>
    <n v="74283"/>
    <n v="15638257078.51"/>
    <n v="369147435.13"/>
    <n v="778404.67"/>
    <n v="2.3605407768700699E-2"/>
    <n v="4.9775666565149299E-5"/>
    <n v="24.923400000000001"/>
    <n v="5.9700000000000003E-2"/>
    <n v="4.09348673887507E-3"/>
    <n v="4128690485.2800002"/>
    <n v="3974866.9"/>
    <n v="0.26690000000000003"/>
    <x v="2"/>
  </r>
  <r>
    <x v="4"/>
    <x v="23"/>
    <n v="72925"/>
    <n v="15236316428.049999"/>
    <n v="301958316.39999998"/>
    <n v="1387142.57"/>
    <n v="1.9818327994560101E-2"/>
    <n v="9.1041858873859794E-5"/>
    <n v="21.3535"/>
    <n v="0.1091"/>
    <n v="4.1318942079793201E-3"/>
    <n v="4430648801.6800003"/>
    <n v="5362009.47"/>
    <n v="0.28639999999999999"/>
    <x v="3"/>
  </r>
  <r>
    <x v="4"/>
    <x v="24"/>
    <n v="71708"/>
    <n v="14903591509.59"/>
    <n v="0"/>
    <n v="0"/>
    <n v="0"/>
    <n v="0"/>
    <n v="0"/>
    <n v="0"/>
    <n v="5.3233273851439897E-3"/>
    <n v="4430648801.6800003"/>
    <n v="5362009.47"/>
    <n v="0.28639999999999999"/>
    <x v="3"/>
  </r>
  <r>
    <x v="5"/>
    <x v="15"/>
    <n v="69780"/>
    <n v="15740708858.99"/>
    <n v="186342944.30000001"/>
    <n v="0"/>
    <n v="1.1838281615479699E-2"/>
    <n v="0"/>
    <n v="13.3165"/>
    <n v="0"/>
    <n v="0"/>
    <n v="186342944.30000001"/>
    <n v="0"/>
    <n v="1.46E-2"/>
    <x v="0"/>
  </r>
  <r>
    <x v="5"/>
    <x v="16"/>
    <n v="69127"/>
    <n v="15522385738.57"/>
    <n v="322326176.44"/>
    <n v="0"/>
    <n v="2.07652471642348E-2"/>
    <n v="0"/>
    <n v="22.260400000000001"/>
    <n v="0"/>
    <n v="1.9170658184365799E-3"/>
    <n v="508669120.74000001"/>
    <n v="0"/>
    <n v="3.9800000000000002E-2"/>
    <x v="0"/>
  </r>
  <r>
    <x v="5"/>
    <x v="17"/>
    <n v="68132"/>
    <n v="15171194093.5"/>
    <n v="305028267.93000001"/>
    <n v="0"/>
    <n v="2.0105752128020501E-2"/>
    <n v="0"/>
    <n v="21.629799999999999"/>
    <n v="0"/>
    <n v="1.7382168099278599E-3"/>
    <n v="813697388.66999996"/>
    <n v="0"/>
    <n v="6.3700000000000007E-2"/>
    <x v="0"/>
  </r>
  <r>
    <x v="5"/>
    <x v="18"/>
    <n v="67165"/>
    <n v="14838043875"/>
    <n v="288666454.70999998"/>
    <n v="0"/>
    <n v="1.9454481813223502E-2"/>
    <n v="0"/>
    <n v="21.002500000000001"/>
    <n v="0"/>
    <n v="3.5413995458346702E-3"/>
    <n v="1102363843.3800001"/>
    <n v="0"/>
    <n v="8.6300000000000002E-2"/>
    <x v="0"/>
  </r>
  <r>
    <x v="5"/>
    <x v="19"/>
    <n v="66213"/>
    <n v="14519089510.52"/>
    <n v="521738928.94999999"/>
    <n v="0"/>
    <n v="3.5934686439667303E-2"/>
    <n v="0"/>
    <n v="35.541899999999998"/>
    <n v="0"/>
    <n v="2.7748621000516899E-3"/>
    <n v="1624102772.3299999"/>
    <n v="0"/>
    <n v="0.12720000000000001"/>
    <x v="0"/>
  </r>
  <r>
    <x v="5"/>
    <x v="20"/>
    <n v="64470"/>
    <n v="13971658579.58"/>
    <n v="610942869.85000002"/>
    <n v="222479.34"/>
    <n v="4.3727297397812899E-2"/>
    <n v="1.5923616994560701E-5"/>
    <n v="41.523499999999999"/>
    <n v="1.9099999999999999E-2"/>
    <n v="3.0916978033754998E-3"/>
    <n v="2235045642.1799998"/>
    <n v="222479.34"/>
    <n v="0.17510000000000001"/>
    <x v="0"/>
  </r>
  <r>
    <x v="5"/>
    <x v="21"/>
    <n v="62417"/>
    <n v="13334670468.51"/>
    <n v="346591293.42000002"/>
    <n v="0"/>
    <n v="2.59917404212184E-2"/>
    <n v="0"/>
    <n v="27.0959"/>
    <n v="0"/>
    <n v="4.2376432266131598E-3"/>
    <n v="2581636935.5999999"/>
    <n v="222479.34"/>
    <n v="0.20230000000000001"/>
    <x v="0"/>
  </r>
  <r>
    <x v="5"/>
    <x v="22"/>
    <n v="61190"/>
    <n v="12960092254.6"/>
    <n v="286518217.10000002"/>
    <n v="738752.75"/>
    <n v="2.2107729750018099E-2"/>
    <n v="5.7002121241674802E-5"/>
    <n v="23.529800000000002"/>
    <n v="6.83E-2"/>
    <n v="3.5782370579607601E-3"/>
    <n v="2868155152.6999998"/>
    <n v="961232.09"/>
    <n v="0.22470000000000001"/>
    <x v="0"/>
  </r>
  <r>
    <x v="5"/>
    <x v="23"/>
    <n v="60127"/>
    <n v="12647606750.530001"/>
    <n v="267435898.34"/>
    <n v="54403.1"/>
    <n v="2.1145178183911501E-2"/>
    <n v="4.3014541069376803E-6"/>
    <n v="22.621600000000001"/>
    <n v="5.1000000000000004E-3"/>
    <n v="3.9062777689486301E-3"/>
    <n v="3135591051.04"/>
    <n v="1015635.19"/>
    <n v="0.2457"/>
    <x v="0"/>
  </r>
  <r>
    <x v="5"/>
    <x v="24"/>
    <n v="59082"/>
    <n v="12356174994.129999"/>
    <n v="0"/>
    <n v="0"/>
    <n v="0"/>
    <n v="0"/>
    <n v="0"/>
    <n v="0"/>
    <n v="4.7030986431971997E-3"/>
    <n v="3135591051.04"/>
    <n v="1015635.19"/>
    <n v="0.2457"/>
    <x v="0"/>
  </r>
  <r>
    <x v="6"/>
    <x v="14"/>
    <n v="45112"/>
    <n v="9940429900.0400009"/>
    <n v="255498541.15000001"/>
    <n v="0"/>
    <n v="2.5702966946024301E-2"/>
    <n v="0"/>
    <n v="26.836099999999998"/>
    <n v="0"/>
    <n v="1.77747015749579E-3"/>
    <n v="255498541.15000001"/>
    <n v="0"/>
    <n v="3.1199999999999999E-2"/>
    <x v="0"/>
  </r>
  <r>
    <x v="6"/>
    <x v="15"/>
    <n v="44147"/>
    <n v="9668617060.4899998"/>
    <n v="96526009.129999995"/>
    <n v="0"/>
    <n v="9.9834349138146605E-3"/>
    <n v="0"/>
    <n v="11.3437"/>
    <n v="0"/>
    <n v="2.6546245827528099E-3"/>
    <n v="352024550.27999997"/>
    <n v="0"/>
    <n v="4.2999999999999997E-2"/>
    <x v="0"/>
  </r>
  <r>
    <x v="6"/>
    <x v="16"/>
    <n v="43762"/>
    <n v="9556067688.0200005"/>
    <n v="153869136.05000001"/>
    <n v="0"/>
    <n v="1.6101721029341199E-2"/>
    <n v="0"/>
    <n v="17.6995"/>
    <n v="0"/>
    <n v="3.07291430520249E-3"/>
    <n v="505893686.32999998"/>
    <n v="0"/>
    <n v="6.1800000000000001E-2"/>
    <x v="0"/>
  </r>
  <r>
    <x v="6"/>
    <x v="17"/>
    <n v="43202"/>
    <n v="9385514861.4400005"/>
    <n v="156498005.96000001"/>
    <n v="337571.16"/>
    <n v="1.6674418853990101E-2"/>
    <n v="3.5967250063914599E-5"/>
    <n v="18.272500000000001"/>
    <n v="4.3099999999999999E-2"/>
    <n v="3.5378818839678899E-3"/>
    <n v="662391692.28999996"/>
    <n v="337571.16"/>
    <n v="8.09E-2"/>
    <x v="0"/>
  </r>
  <r>
    <x v="6"/>
    <x v="18"/>
    <n v="42618"/>
    <n v="9212632603.0100002"/>
    <n v="129260813.67"/>
    <n v="1497510.51"/>
    <n v="1.40308225932907E-2"/>
    <n v="1.6254968308523701E-4"/>
    <n v="15.596500000000001"/>
    <n v="0.1948"/>
    <n v="5.1635036194168701E-3"/>
    <n v="791652505.96000004"/>
    <n v="1835081.67"/>
    <n v="9.6699999999999994E-2"/>
    <x v="2"/>
  </r>
  <r>
    <x v="6"/>
    <x v="19"/>
    <n v="42132"/>
    <n v="9066975658.4200001"/>
    <n v="269712527.51999998"/>
    <n v="0"/>
    <n v="2.9746691474740201E-2"/>
    <n v="0"/>
    <n v="30.398"/>
    <n v="0"/>
    <n v="4.2606312132453398E-3"/>
    <n v="1061365033.48"/>
    <n v="1835081.67"/>
    <n v="0.12970000000000001"/>
    <x v="2"/>
  </r>
  <r>
    <x v="6"/>
    <x v="20"/>
    <n v="41141"/>
    <n v="8782262327.0300007"/>
    <n v="292801159.38"/>
    <n v="793770.14"/>
    <n v="3.3340060735696501E-2"/>
    <n v="9.0383332954760203E-5"/>
    <n v="33.429000000000002"/>
    <n v="0.1084"/>
    <n v="5.3237138676784897E-3"/>
    <n v="1354166192.8599999"/>
    <n v="2628851.81"/>
    <n v="0.16539999999999999"/>
    <x v="3"/>
  </r>
  <r>
    <x v="6"/>
    <x v="21"/>
    <n v="40029"/>
    <n v="8474595278.0200005"/>
    <n v="176721009.63999999"/>
    <n v="1277554.23"/>
    <n v="2.0853032368206299E-2"/>
    <n v="1.50751061034561E-4"/>
    <n v="22.344000000000001"/>
    <n v="0.1807"/>
    <n v="5.8858695835742603E-3"/>
    <n v="1530887202.5"/>
    <n v="3906406.04"/>
    <n v="0.187"/>
    <x v="4"/>
  </r>
  <r>
    <x v="6"/>
    <x v="22"/>
    <n v="39324"/>
    <n v="8281394201.75"/>
    <n v="169304692.94999999"/>
    <n v="1580228.66"/>
    <n v="2.0443984288807601E-2"/>
    <n v="1.90816741903926E-4"/>
    <n v="21.953800000000001"/>
    <n v="0.22869999999999999"/>
    <n v="4.2740795025214898E-3"/>
    <n v="1700191895.45"/>
    <n v="5486634.7000000002"/>
    <n v="0.2077"/>
    <x v="6"/>
  </r>
  <r>
    <x v="6"/>
    <x v="23"/>
    <n v="38647"/>
    <n v="8096216510.6300001"/>
    <n v="162666105.31999999"/>
    <n v="438173.31"/>
    <n v="2.0091619969207299E-2"/>
    <n v="5.4120750034870702E-5"/>
    <n v="21.616299999999999"/>
    <n v="6.4899999999999999E-2"/>
    <n v="5.1322419447953497E-3"/>
    <n v="1862858000.77"/>
    <n v="5924808.0099999998"/>
    <n v="0.2276"/>
    <x v="7"/>
  </r>
  <r>
    <x v="6"/>
    <x v="24"/>
    <n v="37981"/>
    <n v="7919678628.1700001"/>
    <n v="0"/>
    <n v="0"/>
    <n v="0"/>
    <n v="0"/>
    <n v="0"/>
    <n v="0"/>
    <n v="6.1644989212499097E-3"/>
    <n v="1862858000.77"/>
    <n v="5924808.0099999998"/>
    <n v="0.2276"/>
    <x v="7"/>
  </r>
  <r>
    <x v="7"/>
    <x v="15"/>
    <n v="147771"/>
    <n v="33311753569.889999"/>
    <n v="545653163.55999994"/>
    <n v="172175.28"/>
    <n v="1.63801993316019E-2"/>
    <n v="5.1686045178848404E-6"/>
    <n v="17.9786"/>
    <n v="6.1999999999999998E-3"/>
    <n v="1.9867683813505799E-3"/>
    <n v="545653163.55999994"/>
    <n v="172175.28"/>
    <n v="1.7299999999999999E-2"/>
    <x v="0"/>
  </r>
  <r>
    <x v="7"/>
    <x v="16"/>
    <n v="145469"/>
    <n v="32702854732.900002"/>
    <n v="200469688.75"/>
    <n v="0"/>
    <n v="6.1300363649391598E-3"/>
    <n v="0"/>
    <n v="7.1130000000000004"/>
    <n v="0"/>
    <n v="1.9704739462751298E-3"/>
    <n v="746122852.30999994"/>
    <n v="172175.28"/>
    <n v="2.3699999999999999E-2"/>
    <x v="0"/>
  </r>
  <r>
    <x v="7"/>
    <x v="17"/>
    <n v="144665"/>
    <n v="32439664423.18"/>
    <n v="214390611.25999999"/>
    <n v="0"/>
    <n v="6.60890348504362E-3"/>
    <n v="0"/>
    <n v="7.6486000000000001"/>
    <n v="0"/>
    <n v="1.82791002941537E-3"/>
    <n v="960513463.57000005"/>
    <n v="172175.28"/>
    <n v="3.0599999999999999E-2"/>
    <x v="0"/>
  </r>
  <r>
    <x v="7"/>
    <x v="18"/>
    <n v="143797"/>
    <n v="32163282682.549999"/>
    <n v="176728353.75999999"/>
    <n v="697801.46"/>
    <n v="5.4947237663611603E-3"/>
    <n v="2.1695592047841099E-5"/>
    <n v="6.3979999999999997"/>
    <n v="2.5999999999999999E-2"/>
    <n v="3.1173836097395098E-3"/>
    <n v="1137241817.3299999"/>
    <n v="869976.74"/>
    <n v="3.6200000000000003E-2"/>
    <x v="0"/>
  </r>
  <r>
    <x v="7"/>
    <x v="19"/>
    <n v="143082"/>
    <n v="31924370768.91"/>
    <n v="320455389.75999999"/>
    <n v="1736088.91"/>
    <n v="1.0037954767524501E-2"/>
    <n v="5.4381303943841998E-5"/>
    <n v="11.402200000000001"/>
    <n v="6.5199999999999994E-2"/>
    <n v="2.5871680534557298E-3"/>
    <n v="1457697207.0899999"/>
    <n v="2606065.65"/>
    <n v="4.6399999999999997E-2"/>
    <x v="0"/>
  </r>
  <r>
    <x v="7"/>
    <x v="20"/>
    <n v="141849"/>
    <n v="31541680808.580002"/>
    <n v="397132082.99000001"/>
    <n v="2205360.34"/>
    <n v="1.25907076861284E-2"/>
    <n v="6.9918922627613906E-5"/>
    <n v="14.1052"/>
    <n v="8.3799999999999999E-2"/>
    <n v="2.9512584597165201E-3"/>
    <n v="1854829290.0799999"/>
    <n v="4811425.99"/>
    <n v="5.91E-2"/>
    <x v="1"/>
  </r>
  <r>
    <x v="7"/>
    <x v="21"/>
    <n v="140266"/>
    <n v="31080609964.099998"/>
    <n v="333619868.43000001"/>
    <n v="1554543.77"/>
    <n v="1.07340193392392E-2"/>
    <n v="5.0016514212417001E-5"/>
    <n v="12.1469"/>
    <n v="0.06"/>
    <n v="3.4120372853844198E-3"/>
    <n v="2188449158.5100002"/>
    <n v="6365969.7599999998"/>
    <n v="6.9699999999999998E-2"/>
    <x v="2"/>
  </r>
  <r>
    <x v="7"/>
    <x v="22"/>
    <n v="138896"/>
    <n v="30681406216.549999"/>
    <n v="336232647.26999998"/>
    <n v="1547448.28"/>
    <n v="1.09588408333328E-2"/>
    <n v="5.0436028553517897E-5"/>
    <n v="12.386200000000001"/>
    <n v="6.0499999999999998E-2"/>
    <n v="2.5385131985243702E-3"/>
    <n v="2524681805.7800002"/>
    <n v="7913418.04"/>
    <n v="8.0500000000000002E-2"/>
    <x v="2"/>
  </r>
  <r>
    <x v="7"/>
    <x v="23"/>
    <n v="137461"/>
    <n v="30281605272.830002"/>
    <n v="345240389.32999998"/>
    <n v="1536908.01"/>
    <n v="1.1400993646785399E-2"/>
    <n v="5.0753848620402601E-5"/>
    <n v="12.855"/>
    <n v="6.08E-2"/>
    <n v="2.9648472609394602E-3"/>
    <n v="2869922195.1100001"/>
    <n v="9450326.0500000007"/>
    <n v="9.1499999999999998E-2"/>
    <x v="3"/>
  </r>
  <r>
    <x v="7"/>
    <x v="24"/>
    <n v="135963"/>
    <n v="29875609801.369999"/>
    <n v="0"/>
    <n v="0"/>
    <n v="0"/>
    <n v="0"/>
    <n v="0"/>
    <n v="0"/>
    <n v="3.7651571127040799E-3"/>
    <n v="2869922195.1100001"/>
    <n v="9450326.0500000007"/>
    <n v="9.1499999999999998E-2"/>
    <x v="3"/>
  </r>
  <r>
    <x v="8"/>
    <x v="15"/>
    <n v="36226"/>
    <n v="8000610178.8900003"/>
    <n v="54721277.009999998"/>
    <n v="0"/>
    <n v="6.8396379509133801E-3"/>
    <n v="0"/>
    <n v="7.9057000000000004"/>
    <n v="0"/>
    <n v="0"/>
    <n v="54721277.009999998"/>
    <n v="0"/>
    <n v="8.0000000000000002E-3"/>
    <x v="0"/>
  </r>
  <r>
    <x v="8"/>
    <x v="16"/>
    <n v="36025"/>
    <n v="7932337047.4300003"/>
    <n v="118540857.56999999"/>
    <n v="0"/>
    <n v="1.49440016052275E-2"/>
    <n v="0"/>
    <n v="16.529800000000002"/>
    <n v="0"/>
    <n v="1.6623303474317399E-3"/>
    <n v="173262134.58000001"/>
    <n v="0"/>
    <n v="2.53E-2"/>
    <x v="0"/>
  </r>
  <r>
    <x v="8"/>
    <x v="17"/>
    <n v="35630"/>
    <n v="7800430279.4899998"/>
    <n v="102951973.47"/>
    <n v="0"/>
    <n v="1.3198242889330801E-2"/>
    <n v="0"/>
    <n v="14.737299999999999"/>
    <n v="0"/>
    <n v="1.8127235784901399E-3"/>
    <n v="276214108.05000001"/>
    <n v="0"/>
    <n v="4.0399999999999998E-2"/>
    <x v="0"/>
  </r>
  <r>
    <x v="8"/>
    <x v="18"/>
    <n v="35266"/>
    <n v="7683642798.5"/>
    <n v="110312012.93000001"/>
    <n v="0"/>
    <n v="1.43567336252975E-2"/>
    <n v="0"/>
    <n v="15.9307"/>
    <n v="0"/>
    <n v="3.2100016355282599E-3"/>
    <n v="386526120.98000002"/>
    <n v="0"/>
    <n v="5.6599999999999998E-2"/>
    <x v="0"/>
  </r>
  <r>
    <x v="8"/>
    <x v="19"/>
    <n v="34867"/>
    <n v="7560282083.3699999"/>
    <n v="205572070.59"/>
    <n v="0"/>
    <n v="2.7191058259874602E-2"/>
    <n v="0"/>
    <n v="28.165900000000001"/>
    <n v="0"/>
    <n v="3.4388182085411199E-3"/>
    <n v="592098191.57000005"/>
    <n v="0"/>
    <n v="8.6699999999999999E-2"/>
    <x v="0"/>
  </r>
  <r>
    <x v="8"/>
    <x v="20"/>
    <n v="34126"/>
    <n v="7342769532.79"/>
    <n v="256927354.15000001"/>
    <n v="1143031.8799999999"/>
    <n v="3.4990524079866601E-2"/>
    <n v="1.5566767755622099E-4"/>
    <n v="34.780200000000001"/>
    <n v="0.18659999999999999"/>
    <n v="4.1123124381280398E-3"/>
    <n v="849025545.72000003"/>
    <n v="1143031.8799999999"/>
    <n v="0.1244"/>
    <x v="1"/>
  </r>
  <r>
    <x v="8"/>
    <x v="21"/>
    <n v="33186"/>
    <n v="7073056405.8999996"/>
    <n v="146225708.41999999"/>
    <n v="600270.37"/>
    <n v="2.06736239651681E-2"/>
    <n v="8.4867182665089894E-5"/>
    <n v="22.173100000000002"/>
    <n v="0.1017"/>
    <n v="5.0680743447907902E-3"/>
    <n v="995251254.13999999"/>
    <n v="1743302.25"/>
    <n v="0.14580000000000001"/>
    <x v="2"/>
  </r>
  <r>
    <x v="8"/>
    <x v="22"/>
    <n v="32636"/>
    <n v="6913666895.29"/>
    <n v="134198992.48"/>
    <n v="631441.91"/>
    <n v="1.9410682422582998E-2"/>
    <n v="9.1332417306679202E-5"/>
    <n v="20.960100000000001"/>
    <n v="0.1095"/>
    <n v="3.77482947982053E-3"/>
    <n v="1129450246.6199999"/>
    <n v="2374744.16"/>
    <n v="0.16550000000000001"/>
    <x v="3"/>
  </r>
  <r>
    <x v="8"/>
    <x v="23"/>
    <n v="32117"/>
    <n v="6767148341.4099998"/>
    <n v="122353726.95"/>
    <n v="927611.53"/>
    <n v="1.8080544533254E-2"/>
    <n v="1.3707569026139E-4"/>
    <n v="19.663900000000002"/>
    <n v="0.1643"/>
    <n v="4.4673961711471696E-3"/>
    <n v="1251803973.5699999"/>
    <n v="3302355.69"/>
    <n v="0.18340000000000001"/>
    <x v="4"/>
  </r>
  <r>
    <x v="8"/>
    <x v="24"/>
    <n v="31630"/>
    <n v="6632739546.4499998"/>
    <n v="0"/>
    <n v="0"/>
    <n v="0"/>
    <n v="0"/>
    <n v="0"/>
    <n v="0"/>
    <n v="5.9045563730843499E-3"/>
    <n v="1251803973.5699999"/>
    <n v="3302355.69"/>
    <n v="0.18340000000000001"/>
    <x v="4"/>
  </r>
  <r>
    <x v="9"/>
    <x v="19"/>
    <n v="121129"/>
    <n v="27594847322.099998"/>
    <n v="1636253444.21"/>
    <n v="0"/>
    <n v="5.9295615051276798E-2"/>
    <n v="0"/>
    <n v="51.978200000000001"/>
    <n v="0"/>
    <n v="1.5922864086589899E-3"/>
    <n v="1636253444.21"/>
    <n v="0"/>
    <n v="6.8699999999999997E-2"/>
    <x v="0"/>
  </r>
  <r>
    <x v="9"/>
    <x v="20"/>
    <n v="116083"/>
    <n v="25907738596.080002"/>
    <n v="1010110127.14"/>
    <n v="0"/>
    <n v="3.8988741660873301E-2"/>
    <n v="0"/>
    <n v="37.950000000000003"/>
    <n v="0"/>
    <n v="1.73183463286868E-3"/>
    <n v="2646363571.3499999"/>
    <n v="0"/>
    <n v="0.1111"/>
    <x v="0"/>
  </r>
  <r>
    <x v="9"/>
    <x v="21"/>
    <n v="112863"/>
    <n v="24847898745.950001"/>
    <n v="560718993.75"/>
    <n v="0"/>
    <n v="2.2566052746870201E-2"/>
    <n v="0"/>
    <n v="23.9587"/>
    <n v="0"/>
    <n v="3.4222049864019101E-3"/>
    <n v="3207082565.0999999"/>
    <n v="0"/>
    <n v="0.13469999999999999"/>
    <x v="0"/>
  </r>
  <r>
    <x v="9"/>
    <x v="22"/>
    <n v="110952"/>
    <n v="24235181840.02"/>
    <n v="514233892.95999998"/>
    <n v="0"/>
    <n v="2.1218487088503501E-2"/>
    <n v="0"/>
    <n v="22.691099999999999"/>
    <n v="0"/>
    <n v="2.11566290273635E-3"/>
    <n v="3721316458.0599999"/>
    <n v="0"/>
    <n v="0.15629999999999999"/>
    <x v="0"/>
  </r>
  <r>
    <x v="9"/>
    <x v="23"/>
    <n v="109136"/>
    <n v="23671232853.060001"/>
    <n v="419212565.88"/>
    <n v="551845.68999999994"/>
    <n v="1.7709790127209499E-2"/>
    <n v="2.3312925584636899E-5"/>
    <n v="19.299199999999999"/>
    <n v="2.7900000000000001E-2"/>
    <n v="2.7772949574741499E-3"/>
    <n v="4140529023.9400001"/>
    <n v="551845.68999999994"/>
    <n v="0.1739"/>
    <x v="0"/>
  </r>
  <r>
    <x v="9"/>
    <x v="24"/>
    <n v="107563"/>
    <n v="23204440894.529999"/>
    <n v="0"/>
    <n v="0"/>
    <n v="0"/>
    <n v="0"/>
    <n v="0"/>
    <n v="0"/>
    <n v="3.5491638964424998E-3"/>
    <n v="4140529023.9400001"/>
    <n v="551845.68999999994"/>
    <n v="0.1739"/>
    <x v="0"/>
  </r>
  <r>
    <x v="10"/>
    <x v="22"/>
    <n v="135794"/>
    <n v="31802513580.400002"/>
    <n v="473778644.73000002"/>
    <n v="0"/>
    <n v="1.4897521968892101E-2"/>
    <n v="0"/>
    <n v="16.482600000000001"/>
    <n v="0"/>
    <n v="5.5999090056126305E-4"/>
    <n v="473778644.73000002"/>
    <n v="0"/>
    <n v="1.43E-2"/>
    <x v="0"/>
  </r>
  <r>
    <x v="10"/>
    <x v="23"/>
    <n v="133819"/>
    <n v="31255911118.709999"/>
    <n v="281988775"/>
    <n v="0"/>
    <n v="9.0219342488211604E-3"/>
    <n v="0"/>
    <n v="10.3049"/>
    <n v="0"/>
    <n v="7.6209042857628502E-4"/>
    <n v="755767419.73000002"/>
    <n v="0"/>
    <n v="2.29E-2"/>
    <x v="0"/>
  </r>
  <r>
    <x v="10"/>
    <x v="24"/>
    <n v="132605"/>
    <n v="30902656949.099998"/>
    <n v="0"/>
    <n v="0"/>
    <n v="0"/>
    <n v="0"/>
    <n v="0"/>
    <n v="0"/>
    <n v="1.1834858248674E-3"/>
    <n v="755767419.73000002"/>
    <n v="0"/>
    <n v="2.29E-2"/>
    <x v="0"/>
  </r>
  <r>
    <x v="11"/>
    <x v="24"/>
    <n v="141967"/>
    <n v="31928168573.73"/>
    <n v="0"/>
    <n v="0"/>
    <n v="0"/>
    <n v="0"/>
    <n v="0"/>
    <n v="0"/>
    <n v="1.79269471932988E-3"/>
    <n v="447876178.38"/>
    <n v="0"/>
    <n v="1.37E-2"/>
    <x v="0"/>
  </r>
  <r>
    <x v="12"/>
    <x v="21"/>
    <n v="75508"/>
    <n v="16527604803.85"/>
    <n v="677454078.88999999"/>
    <n v="0"/>
    <n v="4.09892471976454E-2"/>
    <n v="0"/>
    <n v="39.482300000000002"/>
    <n v="0"/>
    <n v="2.03240793500672E-3"/>
    <n v="677454078.88999999"/>
    <n v="0"/>
    <n v="4.3200000000000002E-2"/>
    <x v="0"/>
  </r>
  <r>
    <x v="12"/>
    <x v="22"/>
    <n v="73077"/>
    <n v="15821156242.959999"/>
    <n v="245927412.13"/>
    <n v="0"/>
    <n v="1.55442123415873E-2"/>
    <n v="0"/>
    <n v="17.138100000000001"/>
    <n v="0"/>
    <n v="1.6889907033116099E-3"/>
    <n v="923381491.01999998"/>
    <n v="0"/>
    <n v="5.8999999999999997E-2"/>
    <x v="0"/>
  </r>
  <r>
    <x v="12"/>
    <x v="23"/>
    <n v="72137"/>
    <n v="15548062345.92"/>
    <n v="214052134.74000001"/>
    <n v="0"/>
    <n v="1.37671260879764E-2"/>
    <n v="0"/>
    <n v="15.325200000000001"/>
    <n v="0"/>
    <n v="1.94430091270715E-3"/>
    <n v="1137433625.76"/>
    <n v="0"/>
    <n v="7.2599999999999998E-2"/>
    <x v="0"/>
  </r>
  <r>
    <x v="12"/>
    <x v="24"/>
    <n v="71306"/>
    <n v="15307704367.93"/>
    <n v="0"/>
    <n v="0"/>
    <n v="0"/>
    <n v="0"/>
    <n v="0"/>
    <n v="0"/>
    <n v="2.6498330954822999E-3"/>
    <n v="1137433625.76"/>
    <n v="0"/>
    <n v="7.2599999999999998E-2"/>
    <x v="0"/>
  </r>
  <r>
    <x v="13"/>
    <x v="22"/>
    <n v="137280"/>
    <n v="30324752420.939999"/>
    <n v="333520002.19999999"/>
    <n v="0"/>
    <n v="1.09982761794848E-2"/>
    <n v="0"/>
    <n v="12.428100000000001"/>
    <n v="0"/>
    <n v="0"/>
    <n v="333520002.19999999"/>
    <n v="0"/>
    <n v="1.0699999999999999E-2"/>
    <x v="0"/>
  </r>
  <r>
    <x v="13"/>
    <x v="23"/>
    <n v="135863"/>
    <n v="29929673811.75"/>
    <n v="339697050.11000001"/>
    <n v="0"/>
    <n v="1.1349841373033499E-2"/>
    <n v="0"/>
    <n v="12.8009"/>
    <n v="0"/>
    <n v="1.0399318474289801E-3"/>
    <n v="673217052.30999994"/>
    <n v="0"/>
    <n v="2.1700000000000001E-2"/>
    <x v="0"/>
  </r>
  <r>
    <x v="13"/>
    <x v="24"/>
    <n v="134396"/>
    <n v="29531552788.639999"/>
    <n v="0"/>
    <n v="0"/>
    <n v="0"/>
    <n v="0"/>
    <n v="0"/>
    <n v="0"/>
    <n v="1.6668659441076001E-3"/>
    <n v="673217052.30999994"/>
    <n v="0"/>
    <n v="2.1700000000000001E-2"/>
    <x v="0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146">
  <r>
    <x v="0"/>
    <x v="0"/>
    <n v="7.1894999999999998"/>
    <n v="0"/>
    <n v="0"/>
    <n v="0.69"/>
    <n v="0"/>
  </r>
  <r>
    <x v="0"/>
    <x v="1"/>
    <n v="5.2968000000000002"/>
    <n v="0"/>
    <n v="0.12667221826199199"/>
    <n v="1.1900000000000002"/>
    <n v="0"/>
  </r>
  <r>
    <x v="0"/>
    <x v="2"/>
    <n v="3.7195999999999998"/>
    <n v="0"/>
    <n v="0.10356345223757799"/>
    <n v="1.53"/>
    <n v="0"/>
  </r>
  <r>
    <x v="0"/>
    <x v="3"/>
    <n v="3.9026999999999998"/>
    <n v="0"/>
    <n v="0.137402924202362"/>
    <n v="1.9"/>
    <n v="0"/>
  </r>
  <r>
    <x v="0"/>
    <x v="4"/>
    <n v="3.5990000000000002"/>
    <n v="0"/>
    <n v="0.15484221430720702"/>
    <n v="2.23"/>
    <n v="0"/>
  </r>
  <r>
    <x v="0"/>
    <x v="5"/>
    <n v="3.7277999999999998"/>
    <n v="5.4000000000000003E-3"/>
    <n v="0.15094332223427401"/>
    <n v="2.5700000000000003"/>
    <n v="0"/>
  </r>
  <r>
    <x v="0"/>
    <x v="6"/>
    <n v="3.1396999999999999"/>
    <n v="1.66E-2"/>
    <n v="0.21700490437786399"/>
    <n v="2.85"/>
    <n v="0"/>
  </r>
  <r>
    <x v="0"/>
    <x v="7"/>
    <n v="2.976"/>
    <n v="0.03"/>
    <n v="0.21894667321964001"/>
    <n v="3.1199999999999997"/>
    <n v="0"/>
  </r>
  <r>
    <x v="0"/>
    <x v="8"/>
    <n v="3.8313999999999999"/>
    <n v="1.9E-2"/>
    <n v="0.23021683029496001"/>
    <n v="3.47"/>
    <n v="0"/>
  </r>
  <r>
    <x v="0"/>
    <x v="9"/>
    <n v="3.9773000000000001"/>
    <n v="8.3900000000000002E-2"/>
    <n v="0.28763854780915599"/>
    <n v="3.83"/>
    <n v="0.01"/>
  </r>
  <r>
    <x v="0"/>
    <x v="10"/>
    <n v="5.8136999999999999"/>
    <n v="5.5599999999999997E-2"/>
    <n v="0.17641106928362399"/>
    <n v="4.3499999999999996"/>
    <n v="0.01"/>
  </r>
  <r>
    <x v="0"/>
    <x v="11"/>
    <n v="7.3971999999999998"/>
    <n v="5.04E-2"/>
    <n v="0.17421491729425201"/>
    <n v="5.0200000000000005"/>
    <n v="0.02"/>
  </r>
  <r>
    <x v="0"/>
    <x v="12"/>
    <n v="6.9165999999999999"/>
    <n v="3.8899999999999997E-2"/>
    <n v="0.18080148243312499"/>
    <n v="5.64"/>
    <n v="0.02"/>
  </r>
  <r>
    <x v="0"/>
    <x v="13"/>
    <n v="6.4720000000000004"/>
    <n v="3.9800000000000002E-2"/>
    <n v="0.22194793062559801"/>
    <n v="6.21"/>
    <n v="0.02"/>
  </r>
  <r>
    <x v="0"/>
    <x v="14"/>
    <n v="5.0166000000000004"/>
    <n v="3.09E-2"/>
    <n v="0.21691470665304502"/>
    <n v="6.65"/>
    <n v="0.03"/>
  </r>
  <r>
    <x v="0"/>
    <x v="15"/>
    <n v="6.4724000000000004"/>
    <n v="5.0900000000000001E-2"/>
    <n v="0.25668689206130602"/>
    <n v="7.21"/>
    <n v="0.03"/>
  </r>
  <r>
    <x v="0"/>
    <x v="16"/>
    <n v="5.2816000000000001"/>
    <n v="5.8500000000000003E-2"/>
    <n v="0.24419934930955201"/>
    <n v="7.66"/>
    <n v="0.04"/>
  </r>
  <r>
    <x v="0"/>
    <x v="17"/>
    <n v="6.0025000000000004"/>
    <n v="2.3800000000000002E-2"/>
    <n v="0.226047138543922"/>
    <n v="8.18"/>
    <n v="0.04"/>
  </r>
  <r>
    <x v="0"/>
    <x v="18"/>
    <n v="5.2076000000000002"/>
    <n v="9.3100000000000002E-2"/>
    <n v="0.319782975405623"/>
    <n v="8.6199999999999992"/>
    <n v="0.05"/>
  </r>
  <r>
    <x v="0"/>
    <x v="19"/>
    <n v="7.9896000000000003"/>
    <n v="3.1E-2"/>
    <n v="0.25090365666056302"/>
    <n v="9.3000000000000007"/>
    <n v="0.05"/>
  </r>
  <r>
    <x v="0"/>
    <x v="20"/>
    <n v="11.042299999999999"/>
    <n v="5.7599999999999998E-2"/>
    <n v="0.25015041079039801"/>
    <n v="10.24"/>
    <n v="0.05"/>
  </r>
  <r>
    <x v="0"/>
    <x v="21"/>
    <n v="9.9810999999999996"/>
    <n v="7.2300000000000003E-2"/>
    <n v="0.30000390932597404"/>
    <n v="11.09"/>
    <n v="0.06"/>
  </r>
  <r>
    <x v="0"/>
    <x v="22"/>
    <n v="9.9797999999999991"/>
    <n v="5.2200000000000003E-2"/>
    <n v="0.221292653406198"/>
    <n v="11.92"/>
    <n v="0.06"/>
  </r>
  <r>
    <x v="0"/>
    <x v="23"/>
    <n v="11.419499999999999"/>
    <n v="0.12759999999999999"/>
    <n v="0.22937126205111899"/>
    <n v="12.86"/>
    <n v="6.9999999999999993E-2"/>
  </r>
  <r>
    <x v="0"/>
    <x v="24"/>
    <n v="0"/>
    <n v="0"/>
    <n v="0.26052343270604"/>
    <n v="12.86"/>
    <n v="6.9999999999999993E-2"/>
  </r>
  <r>
    <x v="1"/>
    <x v="5"/>
    <n v="8.3688000000000002"/>
    <n v="0"/>
    <n v="0.111349989822876"/>
    <n v="0.77"/>
    <n v="0"/>
  </r>
  <r>
    <x v="1"/>
    <x v="6"/>
    <n v="2.5486"/>
    <n v="0"/>
    <n v="0.17538831299275401"/>
    <n v="1"/>
    <n v="0"/>
  </r>
  <r>
    <x v="1"/>
    <x v="7"/>
    <n v="2.6267"/>
    <n v="0"/>
    <n v="0.18421270287605002"/>
    <n v="1.24"/>
    <n v="0"/>
  </r>
  <r>
    <x v="1"/>
    <x v="8"/>
    <n v="3.6274999999999999"/>
    <n v="8.9999999999999993E-3"/>
    <n v="0.17825470643351798"/>
    <n v="1.5599999999999998"/>
    <n v="0"/>
  </r>
  <r>
    <x v="1"/>
    <x v="9"/>
    <n v="3.9352999999999998"/>
    <n v="3.9E-2"/>
    <n v="0.24791712180865"/>
    <n v="1.91"/>
    <n v="0"/>
  </r>
  <r>
    <x v="1"/>
    <x v="10"/>
    <n v="5.2506000000000004"/>
    <n v="1.7299999999999999E-2"/>
    <n v="0.20046795170412401"/>
    <n v="2.3800000000000003"/>
    <n v="0"/>
  </r>
  <r>
    <x v="1"/>
    <x v="11"/>
    <n v="5.7789000000000001"/>
    <n v="2.12E-2"/>
    <n v="0.206107820186025"/>
    <n v="2.9000000000000004"/>
    <n v="0"/>
  </r>
  <r>
    <x v="1"/>
    <x v="12"/>
    <n v="5.8940999999999999"/>
    <n v="2.7699999999999999E-2"/>
    <n v="0.19825996525561401"/>
    <n v="3.42"/>
    <n v="0"/>
  </r>
  <r>
    <x v="1"/>
    <x v="13"/>
    <n v="5.4923000000000002"/>
    <n v="2.58E-2"/>
    <n v="0.22383653709816698"/>
    <n v="3.9"/>
    <n v="0.01"/>
  </r>
  <r>
    <x v="1"/>
    <x v="14"/>
    <n v="4.6874000000000002"/>
    <n v="2.06E-2"/>
    <n v="0.221458099902341"/>
    <n v="4.3"/>
    <n v="0.01"/>
  </r>
  <r>
    <x v="1"/>
    <x v="15"/>
    <n v="5.3079999999999998"/>
    <n v="5.4300000000000001E-2"/>
    <n v="0.25701887094479298"/>
    <n v="4.7600000000000007"/>
    <n v="0.01"/>
  </r>
  <r>
    <x v="1"/>
    <x v="16"/>
    <n v="4.5232999999999999"/>
    <n v="5.67E-2"/>
    <n v="0.25146402216979902"/>
    <n v="5.1499999999999995"/>
    <n v="0.02"/>
  </r>
  <r>
    <x v="1"/>
    <x v="17"/>
    <n v="5.1199000000000003"/>
    <n v="4.8800000000000003E-2"/>
    <n v="0.21534383388060199"/>
    <n v="5.58"/>
    <n v="0.02"/>
  </r>
  <r>
    <x v="1"/>
    <x v="18"/>
    <n v="3.7650000000000001"/>
    <n v="2.7799999999999998E-2"/>
    <n v="0.313722601890914"/>
    <n v="5.8999999999999995"/>
    <n v="0.02"/>
  </r>
  <r>
    <x v="1"/>
    <x v="19"/>
    <n v="4.7008000000000001"/>
    <n v="8.4000000000000005E-2"/>
    <n v="0.25071003222516702"/>
    <n v="6.29"/>
    <n v="0.03"/>
  </r>
  <r>
    <x v="1"/>
    <x v="20"/>
    <n v="7.3334999999999999"/>
    <n v="4.3700000000000003E-2"/>
    <n v="0.26006103189278601"/>
    <n v="6.9099999999999993"/>
    <n v="0.04"/>
  </r>
  <r>
    <x v="1"/>
    <x v="21"/>
    <n v="7.4539999999999997"/>
    <n v="6.3100000000000003E-2"/>
    <n v="0.30653763936751099"/>
    <n v="7.53"/>
    <n v="0.04"/>
  </r>
  <r>
    <x v="1"/>
    <x v="22"/>
    <n v="8.0878999999999994"/>
    <n v="0.1116"/>
    <n v="0.212804341599132"/>
    <n v="8.2100000000000009"/>
    <n v="0.05"/>
  </r>
  <r>
    <x v="1"/>
    <x v="23"/>
    <n v="9.1"/>
    <n v="2.2200000000000001E-2"/>
    <n v="0.23137861072066801"/>
    <n v="8.9599999999999991"/>
    <n v="0.05"/>
  </r>
  <r>
    <x v="1"/>
    <x v="24"/>
    <n v="0"/>
    <n v="0"/>
    <n v="0.32330500813024599"/>
    <n v="8.9599999999999991"/>
    <n v="0.05"/>
  </r>
  <r>
    <x v="2"/>
    <x v="8"/>
    <n v="7.4269999999999996"/>
    <n v="0"/>
    <n v="8.3035215336207904E-2"/>
    <n v="0.67999999999999994"/>
    <n v="0"/>
  </r>
  <r>
    <x v="2"/>
    <x v="9"/>
    <n v="3.8881000000000001"/>
    <n v="0"/>
    <n v="0.15226672684829901"/>
    <n v="1.03"/>
    <n v="0"/>
  </r>
  <r>
    <x v="2"/>
    <x v="10"/>
    <n v="4.7267999999999999"/>
    <n v="0"/>
    <n v="0.11277179985904899"/>
    <n v="1.4500000000000002"/>
    <n v="0"/>
  </r>
  <r>
    <x v="2"/>
    <x v="11"/>
    <n v="5.5388000000000002"/>
    <n v="1.5599999999999999E-2"/>
    <n v="0.137937264918369"/>
    <n v="1.95"/>
    <n v="0"/>
  </r>
  <r>
    <x v="2"/>
    <x v="12"/>
    <n v="5.3395999999999999"/>
    <n v="3.0999999999999999E-3"/>
    <n v="0.16926852605984802"/>
    <n v="2.42"/>
    <n v="0"/>
  </r>
  <r>
    <x v="2"/>
    <x v="13"/>
    <n v="4.8250000000000002"/>
    <n v="2.6100000000000002E-2"/>
    <n v="0.20239341257222701"/>
    <n v="2.85"/>
    <n v="0"/>
  </r>
  <r>
    <x v="2"/>
    <x v="14"/>
    <n v="4.5701999999999998"/>
    <n v="4.4900000000000002E-2"/>
    <n v="0.21676206490169797"/>
    <n v="3.25"/>
    <n v="0"/>
  </r>
  <r>
    <x v="2"/>
    <x v="15"/>
    <n v="5.1115000000000004"/>
    <n v="2.86E-2"/>
    <n v="0.25084879073542204"/>
    <n v="3.6900000000000004"/>
    <n v="0.01"/>
  </r>
  <r>
    <x v="2"/>
    <x v="16"/>
    <n v="4.7755000000000001"/>
    <n v="4.2700000000000002E-2"/>
    <n v="0.24358036540553901"/>
    <n v="4.1000000000000005"/>
    <n v="0.01"/>
  </r>
  <r>
    <x v="2"/>
    <x v="17"/>
    <n v="5.1914999999999996"/>
    <n v="2.1299999999999999E-2"/>
    <n v="0.194980190378507"/>
    <n v="4.55"/>
    <n v="0.01"/>
  </r>
  <r>
    <x v="2"/>
    <x v="18"/>
    <n v="4.2118000000000002"/>
    <n v="6.59E-2"/>
    <n v="0.316395234487096"/>
    <n v="4.91"/>
    <n v="0.02"/>
  </r>
  <r>
    <x v="2"/>
    <x v="19"/>
    <n v="5.9295999999999998"/>
    <n v="2.35E-2"/>
    <n v="0.24825080357062301"/>
    <n v="5.41"/>
    <n v="0.02"/>
  </r>
  <r>
    <x v="2"/>
    <x v="20"/>
    <n v="7.6299000000000001"/>
    <n v="3.1099999999999999E-2"/>
    <n v="0.25249433576771502"/>
    <n v="6.0600000000000005"/>
    <n v="0.02"/>
  </r>
  <r>
    <x v="2"/>
    <x v="21"/>
    <n v="8.0511999999999997"/>
    <n v="2.2800000000000001E-2"/>
    <n v="0.31499647857695201"/>
    <n v="6.75"/>
    <n v="0.02"/>
  </r>
  <r>
    <x v="2"/>
    <x v="22"/>
    <n v="9.2845999999999993"/>
    <n v="6.3500000000000001E-2"/>
    <n v="0.235929860311377"/>
    <n v="7.53"/>
    <n v="0.03"/>
  </r>
  <r>
    <x v="2"/>
    <x v="23"/>
    <n v="9.7987000000000002"/>
    <n v="2.69E-2"/>
    <n v="0.24597052332955299"/>
    <n v="8.35"/>
    <n v="0.03"/>
  </r>
  <r>
    <x v="2"/>
    <x v="24"/>
    <n v="0"/>
    <n v="0"/>
    <n v="0.283053241141691"/>
    <n v="8.35"/>
    <n v="0.03"/>
  </r>
  <r>
    <x v="3"/>
    <x v="10"/>
    <n v="14.718299999999999"/>
    <n v="0"/>
    <n v="0.125824980264575"/>
    <n v="1.5"/>
    <n v="0"/>
  </r>
  <r>
    <x v="3"/>
    <x v="11"/>
    <n v="8.6524000000000001"/>
    <n v="0"/>
    <n v="0.159444043323311"/>
    <n v="2.34"/>
    <n v="0"/>
  </r>
  <r>
    <x v="3"/>
    <x v="12"/>
    <n v="8.5411999999999999"/>
    <n v="0"/>
    <n v="0.162206789496806"/>
    <n v="3.16"/>
    <n v="0"/>
  </r>
  <r>
    <x v="3"/>
    <x v="13"/>
    <n v="7.7906000000000004"/>
    <n v="4.2799999999999998E-2"/>
    <n v="0.18349704792402902"/>
    <n v="3.91"/>
    <n v="0"/>
  </r>
  <r>
    <x v="3"/>
    <x v="14"/>
    <n v="7.0224000000000002"/>
    <n v="3.3999999999999998E-3"/>
    <n v="0.177433496993155"/>
    <n v="4.5699999999999994"/>
    <n v="0"/>
  </r>
  <r>
    <x v="3"/>
    <x v="15"/>
    <n v="7.5042999999999997"/>
    <n v="3.9E-2"/>
    <n v="0.22391729474885499"/>
    <n v="5.27"/>
    <n v="0"/>
  </r>
  <r>
    <x v="3"/>
    <x v="16"/>
    <n v="10.3561"/>
    <n v="2.5000000000000001E-2"/>
    <n v="0.23875834479081601"/>
    <n v="6.2399999999999993"/>
    <n v="0.01"/>
  </r>
  <r>
    <x v="3"/>
    <x v="17"/>
    <n v="11.3248"/>
    <n v="2.2499999999999999E-2"/>
    <n v="0.22911961585951199"/>
    <n v="7.3"/>
    <n v="0.01"/>
  </r>
  <r>
    <x v="3"/>
    <x v="18"/>
    <n v="9.6349999999999998"/>
    <n v="3.2599999999999997E-2"/>
    <n v="0.36134533615784098"/>
    <n v="8.18"/>
    <n v="0.01"/>
  </r>
  <r>
    <x v="3"/>
    <x v="19"/>
    <n v="17.597200000000001"/>
    <n v="3.6299999999999999E-2"/>
    <n v="0.28897348095416797"/>
    <n v="9.84"/>
    <n v="0.01"/>
  </r>
  <r>
    <x v="3"/>
    <x v="20"/>
    <n v="19.887699999999999"/>
    <n v="3.4700000000000002E-2"/>
    <n v="0.28917338018387501"/>
    <n v="11.709999999999999"/>
    <n v="0.02"/>
  </r>
  <r>
    <x v="3"/>
    <x v="21"/>
    <n v="13.9582"/>
    <n v="4.1599999999999998E-2"/>
    <n v="0.34767765375114001"/>
    <n v="12.950000000000001"/>
    <n v="0.02"/>
  </r>
  <r>
    <x v="3"/>
    <x v="22"/>
    <n v="13.7494"/>
    <n v="5.2600000000000001E-2"/>
    <n v="0.26331290473771801"/>
    <n v="14.149999999999999"/>
    <n v="0.02"/>
  </r>
  <r>
    <x v="3"/>
    <x v="23"/>
    <n v="13.478199999999999"/>
    <n v="5.04E-2"/>
    <n v="0.28994875935216796"/>
    <n v="15.32"/>
    <n v="0.03"/>
  </r>
  <r>
    <x v="3"/>
    <x v="24"/>
    <n v="0"/>
    <n v="0"/>
    <n v="0.34288805643157899"/>
    <n v="15.32"/>
    <n v="0.03"/>
  </r>
  <r>
    <x v="4"/>
    <x v="14"/>
    <n v="34.337400000000002"/>
    <n v="0"/>
    <n v="0.18750273449471"/>
    <n v="4.38"/>
    <n v="0"/>
  </r>
  <r>
    <x v="4"/>
    <x v="15"/>
    <n v="13.198499999999999"/>
    <n v="0"/>
    <n v="0.218480727059924"/>
    <n v="5.81"/>
    <n v="0"/>
  </r>
  <r>
    <x v="4"/>
    <x v="16"/>
    <n v="22.500599999999999"/>
    <n v="0"/>
    <n v="0.256334747836789"/>
    <n v="8.36"/>
    <n v="0"/>
  </r>
  <r>
    <x v="4"/>
    <x v="17"/>
    <n v="22.5213"/>
    <n v="4.2700000000000002E-2"/>
    <n v="0.25782310018865501"/>
    <n v="10.84"/>
    <n v="0"/>
  </r>
  <r>
    <x v="4"/>
    <x v="18"/>
    <n v="19.411799999999999"/>
    <n v="0"/>
    <n v="0.41618114863963895"/>
    <n v="12.9"/>
    <n v="0"/>
  </r>
  <r>
    <x v="4"/>
    <x v="19"/>
    <n v="37.158299999999997"/>
    <n v="4.1000000000000002E-2"/>
    <n v="0.36901987117811802"/>
    <n v="17.2"/>
    <n v="0"/>
  </r>
  <r>
    <x v="4"/>
    <x v="20"/>
    <n v="38.846600000000002"/>
    <n v="4.6100000000000002E-2"/>
    <n v="0.39045994484270097"/>
    <n v="21.560000000000002"/>
    <n v="0.01"/>
  </r>
  <r>
    <x v="4"/>
    <x v="21"/>
    <n v="27.4253"/>
    <n v="9.6799999999999997E-2"/>
    <n v="0.49454945394582694"/>
    <n v="24.3"/>
    <n v="0.02"/>
  </r>
  <r>
    <x v="4"/>
    <x v="22"/>
    <n v="24.923400000000001"/>
    <n v="5.9700000000000003E-2"/>
    <n v="0.40934867388750701"/>
    <n v="26.69"/>
    <n v="0.02"/>
  </r>
  <r>
    <x v="4"/>
    <x v="23"/>
    <n v="21.3535"/>
    <n v="0.1091"/>
    <n v="0.41318942079793203"/>
    <n v="28.64"/>
    <n v="0.03"/>
  </r>
  <r>
    <x v="4"/>
    <x v="24"/>
    <n v="0"/>
    <n v="0"/>
    <n v="0.532332738514399"/>
    <n v="28.64"/>
    <n v="0.03"/>
  </r>
  <r>
    <x v="5"/>
    <x v="15"/>
    <n v="13.3165"/>
    <n v="0"/>
    <n v="0"/>
    <n v="1.46"/>
    <n v="0"/>
  </r>
  <r>
    <x v="5"/>
    <x v="16"/>
    <n v="22.260400000000001"/>
    <n v="0"/>
    <n v="0.19170658184365799"/>
    <n v="3.9800000000000004"/>
    <n v="0"/>
  </r>
  <r>
    <x v="5"/>
    <x v="17"/>
    <n v="21.629799999999999"/>
    <n v="0"/>
    <n v="0.173821680992786"/>
    <n v="6.370000000000001"/>
    <n v="0"/>
  </r>
  <r>
    <x v="5"/>
    <x v="18"/>
    <n v="21.002500000000001"/>
    <n v="0"/>
    <n v="0.35413995458346703"/>
    <n v="8.6300000000000008"/>
    <n v="0"/>
  </r>
  <r>
    <x v="5"/>
    <x v="19"/>
    <n v="35.541899999999998"/>
    <n v="0"/>
    <n v="0.27748621000516899"/>
    <n v="12.72"/>
    <n v="0"/>
  </r>
  <r>
    <x v="5"/>
    <x v="20"/>
    <n v="41.523499999999999"/>
    <n v="1.9099999999999999E-2"/>
    <n v="0.30916978033754999"/>
    <n v="17.510000000000002"/>
    <n v="0"/>
  </r>
  <r>
    <x v="5"/>
    <x v="21"/>
    <n v="27.0959"/>
    <n v="0"/>
    <n v="0.42376432266131597"/>
    <n v="20.23"/>
    <n v="0"/>
  </r>
  <r>
    <x v="5"/>
    <x v="22"/>
    <n v="23.529800000000002"/>
    <n v="6.83E-2"/>
    <n v="0.35782370579607603"/>
    <n v="22.470000000000002"/>
    <n v="0"/>
  </r>
  <r>
    <x v="5"/>
    <x v="23"/>
    <n v="22.621600000000001"/>
    <n v="5.1000000000000004E-3"/>
    <n v="0.390627776894863"/>
    <n v="24.57"/>
    <n v="0"/>
  </r>
  <r>
    <x v="5"/>
    <x v="24"/>
    <n v="0"/>
    <n v="0"/>
    <n v="0.47030986431971999"/>
    <n v="24.57"/>
    <n v="0"/>
  </r>
  <r>
    <x v="6"/>
    <x v="14"/>
    <n v="26.836099999999998"/>
    <n v="0"/>
    <n v="0.17774701574957899"/>
    <n v="3.1199999999999997"/>
    <n v="0"/>
  </r>
  <r>
    <x v="6"/>
    <x v="15"/>
    <n v="11.3437"/>
    <n v="0"/>
    <n v="0.26546245827528098"/>
    <n v="4.3"/>
    <n v="0"/>
  </r>
  <r>
    <x v="6"/>
    <x v="16"/>
    <n v="17.6995"/>
    <n v="0"/>
    <n v="0.30729143052024899"/>
    <n v="6.18"/>
    <n v="0"/>
  </r>
  <r>
    <x v="6"/>
    <x v="17"/>
    <n v="18.272500000000001"/>
    <n v="4.3099999999999999E-2"/>
    <n v="0.35378818839678899"/>
    <n v="8.09"/>
    <n v="0"/>
  </r>
  <r>
    <x v="6"/>
    <x v="18"/>
    <n v="15.596500000000001"/>
    <n v="0.1948"/>
    <n v="0.51635036194168704"/>
    <n v="9.67"/>
    <n v="0.02"/>
  </r>
  <r>
    <x v="6"/>
    <x v="19"/>
    <n v="30.398"/>
    <n v="0"/>
    <n v="0.426063121324534"/>
    <n v="12.97"/>
    <n v="0.02"/>
  </r>
  <r>
    <x v="6"/>
    <x v="20"/>
    <n v="33.429000000000002"/>
    <n v="0.1084"/>
    <n v="0.53237138676784901"/>
    <n v="16.54"/>
    <n v="0.03"/>
  </r>
  <r>
    <x v="6"/>
    <x v="21"/>
    <n v="22.344000000000001"/>
    <n v="0.1807"/>
    <n v="0.58858695835742603"/>
    <n v="18.7"/>
    <n v="0.04"/>
  </r>
  <r>
    <x v="6"/>
    <x v="22"/>
    <n v="21.953800000000001"/>
    <n v="0.22869999999999999"/>
    <n v="0.42740795025214895"/>
    <n v="20.77"/>
    <n v="0.06"/>
  </r>
  <r>
    <x v="6"/>
    <x v="23"/>
    <n v="21.616299999999999"/>
    <n v="6.4899999999999999E-2"/>
    <n v="0.51322419447953493"/>
    <n v="22.759999999999998"/>
    <n v="6.9999999999999993E-2"/>
  </r>
  <r>
    <x v="6"/>
    <x v="24"/>
    <n v="0"/>
    <n v="0"/>
    <n v="0.61644989212499102"/>
    <n v="22.759999999999998"/>
    <n v="6.9999999999999993E-2"/>
  </r>
  <r>
    <x v="7"/>
    <x v="15"/>
    <n v="17.9786"/>
    <n v="6.1999999999999998E-3"/>
    <n v="0.19867683813505799"/>
    <n v="1.73"/>
    <n v="0"/>
  </r>
  <r>
    <x v="7"/>
    <x v="16"/>
    <n v="7.1130000000000004"/>
    <n v="0"/>
    <n v="0.19704739462751297"/>
    <n v="2.37"/>
    <n v="0"/>
  </r>
  <r>
    <x v="7"/>
    <x v="17"/>
    <n v="7.6486000000000001"/>
    <n v="0"/>
    <n v="0.182791002941537"/>
    <n v="3.06"/>
    <n v="0"/>
  </r>
  <r>
    <x v="7"/>
    <x v="18"/>
    <n v="6.3979999999999997"/>
    <n v="2.5999999999999999E-2"/>
    <n v="0.31173836097395097"/>
    <n v="3.62"/>
    <n v="0"/>
  </r>
  <r>
    <x v="7"/>
    <x v="19"/>
    <n v="11.402200000000001"/>
    <n v="6.5199999999999994E-2"/>
    <n v="0.25871680534557295"/>
    <n v="4.6399999999999997"/>
    <n v="0"/>
  </r>
  <r>
    <x v="7"/>
    <x v="20"/>
    <n v="14.1052"/>
    <n v="8.3799999999999999E-2"/>
    <n v="0.29512584597165203"/>
    <n v="5.91"/>
    <n v="0.01"/>
  </r>
  <r>
    <x v="7"/>
    <x v="21"/>
    <n v="12.1469"/>
    <n v="0.06"/>
    <n v="0.341203728538442"/>
    <n v="6.97"/>
    <n v="0.02"/>
  </r>
  <r>
    <x v="7"/>
    <x v="22"/>
    <n v="12.386200000000001"/>
    <n v="6.0499999999999998E-2"/>
    <n v="0.25385131985243703"/>
    <n v="8.0500000000000007"/>
    <n v="0.02"/>
  </r>
  <r>
    <x v="7"/>
    <x v="23"/>
    <n v="12.855"/>
    <n v="6.08E-2"/>
    <n v="0.29648472609394599"/>
    <n v="9.15"/>
    <n v="0.03"/>
  </r>
  <r>
    <x v="7"/>
    <x v="24"/>
    <n v="0"/>
    <n v="0"/>
    <n v="0.376515711270408"/>
    <n v="9.15"/>
    <n v="0.03"/>
  </r>
  <r>
    <x v="8"/>
    <x v="15"/>
    <n v="7.9057000000000004"/>
    <n v="0"/>
    <n v="0"/>
    <n v="0.8"/>
    <n v="0"/>
  </r>
  <r>
    <x v="8"/>
    <x v="16"/>
    <n v="16.529800000000002"/>
    <n v="0"/>
    <n v="0.166233034743174"/>
    <n v="2.5299999999999998"/>
    <n v="0"/>
  </r>
  <r>
    <x v="8"/>
    <x v="17"/>
    <n v="14.737299999999999"/>
    <n v="0"/>
    <n v="0.18127235784901399"/>
    <n v="4.04"/>
    <n v="0"/>
  </r>
  <r>
    <x v="8"/>
    <x v="18"/>
    <n v="15.9307"/>
    <n v="0"/>
    <n v="0.32100016355282601"/>
    <n v="5.66"/>
    <n v="0"/>
  </r>
  <r>
    <x v="8"/>
    <x v="19"/>
    <n v="28.165900000000001"/>
    <n v="0"/>
    <n v="0.34388182085411201"/>
    <n v="8.67"/>
    <n v="0"/>
  </r>
  <r>
    <x v="8"/>
    <x v="20"/>
    <n v="34.780200000000001"/>
    <n v="0.18659999999999999"/>
    <n v="0.41123124381280396"/>
    <n v="12.44"/>
    <n v="0.01"/>
  </r>
  <r>
    <x v="8"/>
    <x v="21"/>
    <n v="22.173100000000002"/>
    <n v="0.1017"/>
    <n v="0.50680743447907906"/>
    <n v="14.580000000000002"/>
    <n v="0.02"/>
  </r>
  <r>
    <x v="8"/>
    <x v="22"/>
    <n v="20.960100000000001"/>
    <n v="0.1095"/>
    <n v="0.37748294798205301"/>
    <n v="16.55"/>
    <n v="0.03"/>
  </r>
  <r>
    <x v="8"/>
    <x v="23"/>
    <n v="19.663900000000002"/>
    <n v="0.1643"/>
    <n v="0.44673961711471694"/>
    <n v="18.34"/>
    <n v="0.04"/>
  </r>
  <r>
    <x v="8"/>
    <x v="24"/>
    <n v="0"/>
    <n v="0"/>
    <n v="0.59045563730843498"/>
    <n v="18.34"/>
    <n v="0.04"/>
  </r>
  <r>
    <x v="9"/>
    <x v="19"/>
    <n v="51.978200000000001"/>
    <n v="0"/>
    <n v="0.159228640865899"/>
    <n v="6.87"/>
    <n v="0"/>
  </r>
  <r>
    <x v="9"/>
    <x v="20"/>
    <n v="37.950000000000003"/>
    <n v="0"/>
    <n v="0.17318346328686801"/>
    <n v="11.110000000000001"/>
    <n v="0"/>
  </r>
  <r>
    <x v="9"/>
    <x v="21"/>
    <n v="23.9587"/>
    <n v="0"/>
    <n v="0.342220498640191"/>
    <n v="13.469999999999999"/>
    <n v="0"/>
  </r>
  <r>
    <x v="9"/>
    <x v="22"/>
    <n v="22.691099999999999"/>
    <n v="0"/>
    <n v="0.21156629027363499"/>
    <n v="15.629999999999999"/>
    <n v="0"/>
  </r>
  <r>
    <x v="9"/>
    <x v="23"/>
    <n v="19.299199999999999"/>
    <n v="2.7900000000000001E-2"/>
    <n v="0.27772949574741501"/>
    <n v="17.39"/>
    <n v="0"/>
  </r>
  <r>
    <x v="9"/>
    <x v="24"/>
    <n v="0"/>
    <n v="0"/>
    <n v="0.35491638964424999"/>
    <n v="17.39"/>
    <n v="0"/>
  </r>
  <r>
    <x v="10"/>
    <x v="22"/>
    <n v="16.482600000000001"/>
    <n v="0"/>
    <n v="5.5999090056126306E-2"/>
    <n v="1.43"/>
    <n v="0"/>
  </r>
  <r>
    <x v="10"/>
    <x v="23"/>
    <n v="10.3049"/>
    <n v="0"/>
    <n v="7.6209042857628501E-2"/>
    <n v="2.29"/>
    <n v="0"/>
  </r>
  <r>
    <x v="10"/>
    <x v="24"/>
    <n v="0"/>
    <n v="0"/>
    <n v="0.11834858248674"/>
    <n v="2.29"/>
    <n v="0"/>
  </r>
  <r>
    <x v="11"/>
    <x v="24"/>
    <n v="0"/>
    <n v="0"/>
    <n v="0.17926947193298801"/>
    <n v="1.37"/>
    <n v="0"/>
  </r>
  <r>
    <x v="12"/>
    <x v="21"/>
    <n v="39.482300000000002"/>
    <n v="0"/>
    <n v="0.20324079350067201"/>
    <n v="4.32"/>
    <n v="0"/>
  </r>
  <r>
    <x v="12"/>
    <x v="22"/>
    <n v="17.138100000000001"/>
    <n v="0"/>
    <n v="0.168899070331161"/>
    <n v="5.8999999999999995"/>
    <n v="0"/>
  </r>
  <r>
    <x v="12"/>
    <x v="23"/>
    <n v="15.325200000000001"/>
    <n v="0"/>
    <n v="0.19443009127071501"/>
    <n v="7.26"/>
    <n v="0"/>
  </r>
  <r>
    <x v="12"/>
    <x v="24"/>
    <n v="0"/>
    <n v="0"/>
    <n v="0.26498330954823002"/>
    <n v="7.26"/>
    <n v="0"/>
  </r>
  <r>
    <x v="13"/>
    <x v="22"/>
    <n v="12.428100000000001"/>
    <n v="0"/>
    <n v="0"/>
    <n v="1.0699999999999998"/>
    <n v="0"/>
  </r>
  <r>
    <x v="13"/>
    <x v="23"/>
    <n v="12.8009"/>
    <n v="0"/>
    <n v="0.10399318474289801"/>
    <n v="2.17"/>
    <n v="0"/>
  </r>
  <r>
    <x v="13"/>
    <x v="24"/>
    <n v="0"/>
    <n v="0"/>
    <n v="0.16668659441076"/>
    <n v="2.17"/>
    <n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PivotTable18" cacheId="5" applyNumberFormats="0" applyBorderFormats="0" applyFontFormats="0" applyPatternFormats="0" applyAlignmentFormats="0" applyWidthHeightFormats="1" dataCaption="Values" updatedVersion="4" minRefreshableVersion="3" useAutoFormatting="1" rowGrandTotals="0" colGrandTotals="0" itemPrintTitles="1" createdVersion="4" indent="0" outline="1" outlineData="1" multipleFieldFilters="0">
  <location ref="C16:P41" firstHeaderRow="1" firstDataRow="2" firstDataCol="1"/>
  <pivotFields count="15">
    <pivotField axis="axisCol"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axis="axisRow" numFmtId="14" showAll="0">
      <items count="26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h="1" x="24"/>
        <item t="default"/>
      </items>
    </pivotField>
    <pivotField numFmtId="194" showAll="0"/>
    <pivotField numFmtId="194" showAll="0"/>
    <pivotField numFmtId="194" showAll="0"/>
    <pivotField numFmtId="194" showAll="0"/>
    <pivotField numFmtId="195" showAll="0"/>
    <pivotField numFmtId="195" showAll="0"/>
    <pivotField dataField="1" numFmtId="43" showAll="0"/>
    <pivotField numFmtId="43" showAll="0"/>
    <pivotField numFmtId="10" showAll="0"/>
    <pivotField numFmtId="194" showAll="0"/>
    <pivotField numFmtId="194" showAll="0"/>
    <pivotField numFmtId="10" showAll="0"/>
    <pivotField numFmtId="10" showAll="0"/>
  </pivotFields>
  <rowFields count="1">
    <field x="1"/>
  </rowFields>
  <rowItems count="24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</rowItems>
  <colFields count="1">
    <field x="0"/>
  </colFields>
  <colItems count="13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2"/>
    </i>
    <i>
      <x v="13"/>
    </i>
  </colItems>
  <dataFields count="1">
    <dataField name="Sum of CPR" fld="8" baseField="0" baseItem="0" numFmtId="164"/>
  </dataFields>
  <formats count="14">
    <format dxfId="132">
      <pivotArea outline="0" collapsedLevelsAreSubtotals="1" fieldPosition="0"/>
    </format>
    <format dxfId="133">
      <pivotArea field="1" type="button" dataOnly="0" labelOnly="1" outline="0" axis="axisRow" fieldPosition="0"/>
    </format>
    <format dxfId="134">
      <pivotArea dataOnly="0" labelOnly="1" fieldPosition="0">
        <references count="1">
          <reference field="0" count="13">
            <x v="0"/>
            <x v="1"/>
            <x v="2"/>
            <x v="3"/>
            <x v="4"/>
            <x v="5"/>
            <x v="6"/>
            <x v="7"/>
            <x v="8"/>
            <x v="9"/>
            <x v="10"/>
            <x v="12"/>
            <x v="13"/>
          </reference>
        </references>
      </pivotArea>
    </format>
    <format dxfId="135">
      <pivotArea field="1" type="button" dataOnly="0" labelOnly="1" outline="0" axis="axisRow" fieldPosition="0"/>
    </format>
    <format dxfId="136">
      <pivotArea dataOnly="0" labelOnly="1" fieldPosition="0">
        <references count="1">
          <reference field="0" count="13">
            <x v="0"/>
            <x v="1"/>
            <x v="2"/>
            <x v="3"/>
            <x v="4"/>
            <x v="5"/>
            <x v="6"/>
            <x v="7"/>
            <x v="8"/>
            <x v="9"/>
            <x v="10"/>
            <x v="12"/>
            <x v="13"/>
          </reference>
        </references>
      </pivotArea>
    </format>
    <format dxfId="137">
      <pivotArea field="1" type="button" dataOnly="0" labelOnly="1" outline="0" axis="axisRow" fieldPosition="0"/>
    </format>
    <format dxfId="138">
      <pivotArea dataOnly="0" labelOnly="1" fieldPosition="0">
        <references count="1">
          <reference field="0" count="13">
            <x v="0"/>
            <x v="1"/>
            <x v="2"/>
            <x v="3"/>
            <x v="4"/>
            <x v="5"/>
            <x v="6"/>
            <x v="7"/>
            <x v="8"/>
            <x v="9"/>
            <x v="10"/>
            <x v="12"/>
            <x v="13"/>
          </reference>
        </references>
      </pivotArea>
    </format>
    <format dxfId="139">
      <pivotArea type="all" dataOnly="0" outline="0" fieldPosition="0"/>
    </format>
    <format dxfId="140">
      <pivotArea type="all" dataOnly="0" outline="0" fieldPosition="0"/>
    </format>
    <format dxfId="141">
      <pivotArea type="all" dataOnly="0" outline="0" fieldPosition="0"/>
    </format>
    <format dxfId="131">
      <pivotArea outline="0" collapsedLevelsAreSubtotals="1" fieldPosition="0"/>
    </format>
    <format dxfId="130">
      <pivotArea dataOnly="0" labelOnly="1" fieldPosition="0">
        <references count="1">
          <reference field="1" count="0"/>
        </references>
      </pivotArea>
    </format>
    <format dxfId="123">
      <pivotArea field="1" type="button" dataOnly="0" labelOnly="1" outline="0" axis="axisRow" fieldPosition="0"/>
    </format>
    <format dxfId="120">
      <pivotArea dataOnly="0" labelOnly="1" fieldPosition="0">
        <references count="1">
          <reference field="0" count="13">
            <x v="0"/>
            <x v="1"/>
            <x v="2"/>
            <x v="3"/>
            <x v="4"/>
            <x v="5"/>
            <x v="6"/>
            <x v="7"/>
            <x v="8"/>
            <x v="9"/>
            <x v="10"/>
            <x v="12"/>
            <x v="13"/>
          </reference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2.xml><?xml version="1.0" encoding="utf-8"?>
<pivotTableDefinition xmlns="http://schemas.openxmlformats.org/spreadsheetml/2006/main" name="PivotTable17" cacheId="5" applyNumberFormats="0" applyBorderFormats="0" applyFontFormats="0" applyPatternFormats="0" applyAlignmentFormats="0" applyWidthHeightFormats="1" dataCaption="Values" updatedVersion="4" minRefreshableVersion="3" useAutoFormatting="1" rowGrandTotals="0" colGrandTotals="0" itemPrintTitles="1" createdVersion="4" indent="0" outline="1" outlineData="1" multipleFieldFilters="0">
  <location ref="S16:AF41" firstHeaderRow="1" firstDataRow="2" firstDataCol="1"/>
  <pivotFields count="15">
    <pivotField axis="axisCol"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axis="axisRow" numFmtId="14" showAll="0">
      <items count="26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h="1" x="24"/>
        <item t="default"/>
      </items>
    </pivotField>
    <pivotField numFmtId="194" showAll="0"/>
    <pivotField numFmtId="194" showAll="0"/>
    <pivotField numFmtId="194" showAll="0"/>
    <pivotField numFmtId="194" showAll="0"/>
    <pivotField numFmtId="195" showAll="0"/>
    <pivotField numFmtId="195" showAll="0"/>
    <pivotField numFmtId="43" showAll="0"/>
    <pivotField dataField="1" numFmtId="43" showAll="0"/>
    <pivotField numFmtId="10" showAll="0"/>
    <pivotField numFmtId="194" showAll="0"/>
    <pivotField numFmtId="194" showAll="0"/>
    <pivotField numFmtId="10" showAll="0"/>
    <pivotField numFmtId="10" showAll="0"/>
  </pivotFields>
  <rowFields count="1">
    <field x="1"/>
  </rowFields>
  <rowItems count="24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</rowItems>
  <colFields count="1">
    <field x="0"/>
  </colFields>
  <colItems count="13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2"/>
    </i>
    <i>
      <x v="13"/>
    </i>
  </colItems>
  <dataFields count="1">
    <dataField name="CDR %" fld="9" baseField="0" baseItem="0" numFmtId="2"/>
  </dataFields>
  <formats count="10">
    <format dxfId="142">
      <pivotArea outline="0" collapsedLevelsAreSubtotals="1" fieldPosition="0"/>
    </format>
    <format dxfId="143">
      <pivotArea field="1" type="button" dataOnly="0" labelOnly="1" outline="0" axis="axisRow" fieldPosition="0"/>
    </format>
    <format dxfId="144">
      <pivotArea dataOnly="0" labelOnly="1" fieldPosition="0">
        <references count="1">
          <reference field="0" count="13">
            <x v="0"/>
            <x v="1"/>
            <x v="2"/>
            <x v="3"/>
            <x v="4"/>
            <x v="5"/>
            <x v="6"/>
            <x v="7"/>
            <x v="8"/>
            <x v="9"/>
            <x v="10"/>
            <x v="12"/>
            <x v="13"/>
          </reference>
        </references>
      </pivotArea>
    </format>
    <format dxfId="145">
      <pivotArea type="all" dataOnly="0" outline="0" fieldPosition="0"/>
    </format>
    <format dxfId="146">
      <pivotArea type="all" dataOnly="0" outline="0" fieldPosition="0"/>
    </format>
    <format dxfId="147">
      <pivotArea type="all" dataOnly="0" outline="0" fieldPosition="0"/>
    </format>
    <format dxfId="129">
      <pivotArea outline="0" collapsedLevelsAreSubtotals="1" fieldPosition="0"/>
    </format>
    <format dxfId="128">
      <pivotArea dataOnly="0" labelOnly="1" fieldPosition="0">
        <references count="1">
          <reference field="1" count="0"/>
        </references>
      </pivotArea>
    </format>
    <format dxfId="119">
      <pivotArea field="1" type="button" dataOnly="0" labelOnly="1" outline="0" axis="axisRow" fieldPosition="0"/>
    </format>
    <format dxfId="116">
      <pivotArea dataOnly="0" labelOnly="1" fieldPosition="0">
        <references count="1">
          <reference field="0" count="13">
            <x v="0"/>
            <x v="1"/>
            <x v="2"/>
            <x v="3"/>
            <x v="4"/>
            <x v="5"/>
            <x v="6"/>
            <x v="7"/>
            <x v="8"/>
            <x v="9"/>
            <x v="10"/>
            <x v="12"/>
            <x v="13"/>
          </reference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3.xml><?xml version="1.0" encoding="utf-8"?>
<pivotTableDefinition xmlns="http://schemas.openxmlformats.org/spreadsheetml/2006/main" name="PivotTable16" cacheId="8" applyNumberFormats="0" applyBorderFormats="0" applyFontFormats="0" applyPatternFormats="0" applyAlignmentFormats="0" applyWidthHeightFormats="1" dataCaption="Values" updatedVersion="4" minRefreshableVersion="3" useAutoFormatting="1" rowGrandTotals="0" colGrandTotals="0" itemPrintTitles="1" createdVersion="4" indent="0" outline="1" outlineData="1" multipleFieldFilters="0">
  <location ref="C47:P72" firstHeaderRow="1" firstDataRow="2" firstDataCol="1"/>
  <pivotFields count="7">
    <pivotField axis="axisCol"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axis="axisRow" numFmtId="14" showAll="0">
      <items count="26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h="1" x="24"/>
        <item t="default"/>
      </items>
    </pivotField>
    <pivotField numFmtId="43" showAll="0"/>
    <pivotField numFmtId="43" showAll="0"/>
    <pivotField numFmtId="10" showAll="0"/>
    <pivotField numFmtId="10" showAll="0"/>
    <pivotField dataField="1" numFmtId="10" showAll="0"/>
  </pivotFields>
  <rowFields count="1">
    <field x="1"/>
  </rowFields>
  <rowItems count="24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</rowItems>
  <colFields count="1">
    <field x="0"/>
  </colFields>
  <colItems count="13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2"/>
    </i>
    <i>
      <x v="13"/>
    </i>
  </colItems>
  <dataFields count="1">
    <dataField name="Sum of cum_df_pct" fld="6" baseField="0" baseItem="0" numFmtId="2"/>
  </dataFields>
  <formats count="11">
    <format dxfId="148">
      <pivotArea outline="0" collapsedLevelsAreSubtotals="1" fieldPosition="0"/>
    </format>
    <format dxfId="149">
      <pivotArea type="all" dataOnly="0" outline="0" fieldPosition="0"/>
    </format>
    <format dxfId="150">
      <pivotArea field="1" type="button" dataOnly="0" labelOnly="1" outline="0" axis="axisRow" fieldPosition="0"/>
    </format>
    <format dxfId="151">
      <pivotArea dataOnly="0" labelOnly="1" fieldPosition="0">
        <references count="1">
          <reference field="0" count="13">
            <x v="0"/>
            <x v="1"/>
            <x v="2"/>
            <x v="3"/>
            <x v="4"/>
            <x v="5"/>
            <x v="6"/>
            <x v="7"/>
            <x v="8"/>
            <x v="9"/>
            <x v="10"/>
            <x v="12"/>
            <x v="13"/>
          </reference>
        </references>
      </pivotArea>
    </format>
    <format dxfId="152">
      <pivotArea type="all" dataOnly="0" outline="0" fieldPosition="0"/>
    </format>
    <format dxfId="153">
      <pivotArea type="all" dataOnly="0" outline="0" fieldPosition="0"/>
    </format>
    <format dxfId="127">
      <pivotArea outline="0" collapsedLevelsAreSubtotals="1" fieldPosition="0"/>
    </format>
    <format dxfId="126">
      <pivotArea dataOnly="0" labelOnly="1" fieldPosition="0">
        <references count="1">
          <reference field="1" count="0"/>
        </references>
      </pivotArea>
    </format>
    <format dxfId="115">
      <pivotArea field="1" type="button" dataOnly="0" labelOnly="1" outline="0" axis="axisRow" fieldPosition="0"/>
    </format>
    <format dxfId="114">
      <pivotArea dataOnly="0" labelOnly="1" fieldPosition="0">
        <references count="1">
          <reference field="0" count="13">
            <x v="0"/>
            <x v="1"/>
            <x v="2"/>
            <x v="3"/>
            <x v="4"/>
            <x v="5"/>
            <x v="6"/>
            <x v="7"/>
            <x v="8"/>
            <x v="9"/>
            <x v="10"/>
            <x v="12"/>
            <x v="13"/>
          </reference>
        </references>
      </pivotArea>
    </format>
    <format dxfId="25">
      <pivotArea outline="0" collapsedLevelsAreSubtotals="1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4.xml><?xml version="1.0" encoding="utf-8"?>
<pivotTableDefinition xmlns="http://schemas.openxmlformats.org/spreadsheetml/2006/main" name="PivotTable15" cacheId="8" applyNumberFormats="0" applyBorderFormats="0" applyFontFormats="0" applyPatternFormats="0" applyAlignmentFormats="0" applyWidthHeightFormats="1" dataCaption="Values" updatedVersion="4" minRefreshableVersion="3" useAutoFormatting="1" rowGrandTotals="0" colGrandTotals="0" itemPrintTitles="1" createdVersion="4" indent="0" outline="1" outlineData="1" multipleFieldFilters="0">
  <location ref="S47:AF72" firstHeaderRow="1" firstDataRow="2" firstDataCol="1"/>
  <pivotFields count="7">
    <pivotField axis="axisCol"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axis="axisRow" numFmtId="14" showAll="0">
      <items count="26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h="1" x="24"/>
        <item t="default"/>
      </items>
    </pivotField>
    <pivotField numFmtId="43" showAll="0"/>
    <pivotField numFmtId="43" showAll="0"/>
    <pivotField dataField="1" numFmtId="10" showAll="0"/>
    <pivotField numFmtId="10" showAll="0"/>
    <pivotField numFmtId="10" showAll="0"/>
  </pivotFields>
  <rowFields count="1">
    <field x="1"/>
  </rowFields>
  <rowItems count="24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</rowItems>
  <colFields count="1">
    <field x="0"/>
  </colFields>
  <colItems count="13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2"/>
    </i>
    <i>
      <x v="13"/>
    </i>
  </colItems>
  <dataFields count="1">
    <dataField name="Sum of pct_dq" fld="4" baseField="0" baseItem="0" numFmtId="2"/>
  </dataFields>
  <formats count="13">
    <format dxfId="154">
      <pivotArea outline="0" collapsedLevelsAreSubtotals="1" fieldPosition="0"/>
    </format>
    <format dxfId="155">
      <pivotArea type="all" dataOnly="0" outline="0" fieldPosition="0"/>
    </format>
    <format dxfId="156">
      <pivotArea field="1" type="button" dataOnly="0" labelOnly="1" outline="0" axis="axisRow" fieldPosition="0"/>
    </format>
    <format dxfId="157">
      <pivotArea dataOnly="0" labelOnly="1" fieldPosition="0">
        <references count="1">
          <reference field="0" count="13">
            <x v="0"/>
            <x v="1"/>
            <x v="2"/>
            <x v="3"/>
            <x v="4"/>
            <x v="5"/>
            <x v="6"/>
            <x v="7"/>
            <x v="8"/>
            <x v="9"/>
            <x v="10"/>
            <x v="12"/>
            <x v="13"/>
          </reference>
        </references>
      </pivotArea>
    </format>
    <format dxfId="158">
      <pivotArea field="1" type="button" dataOnly="0" labelOnly="1" outline="0" axis="axisRow" fieldPosition="0"/>
    </format>
    <format dxfId="159">
      <pivotArea dataOnly="0" labelOnly="1" fieldPosition="0">
        <references count="1">
          <reference field="0" count="13">
            <x v="0"/>
            <x v="1"/>
            <x v="2"/>
            <x v="3"/>
            <x v="4"/>
            <x v="5"/>
            <x v="6"/>
            <x v="7"/>
            <x v="8"/>
            <x v="9"/>
            <x v="10"/>
            <x v="12"/>
            <x v="13"/>
          </reference>
        </references>
      </pivotArea>
    </format>
    <format dxfId="160">
      <pivotArea type="all" dataOnly="0" outline="0" fieldPosition="0"/>
    </format>
    <format dxfId="161">
      <pivotArea type="all" dataOnly="0" outline="0" fieldPosition="0"/>
    </format>
    <format dxfId="125">
      <pivotArea outline="0" collapsedLevelsAreSubtotals="1" fieldPosition="0"/>
    </format>
    <format dxfId="124">
      <pivotArea dataOnly="0" labelOnly="1" fieldPosition="0">
        <references count="1">
          <reference field="1" count="0"/>
        </references>
      </pivotArea>
    </format>
    <format dxfId="113">
      <pivotArea field="1" type="button" dataOnly="0" labelOnly="1" outline="0" axis="axisRow" fieldPosition="0"/>
    </format>
    <format dxfId="112">
      <pivotArea dataOnly="0" labelOnly="1" fieldPosition="0">
        <references count="1">
          <reference field="0" count="13">
            <x v="0"/>
            <x v="1"/>
            <x v="2"/>
            <x v="3"/>
            <x v="4"/>
            <x v="5"/>
            <x v="6"/>
            <x v="7"/>
            <x v="8"/>
            <x v="9"/>
            <x v="10"/>
            <x v="12"/>
            <x v="13"/>
          </reference>
        </references>
      </pivotArea>
    </format>
    <format dxfId="0">
      <pivotArea outline="0" collapsedLevelsAreSubtotals="1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5.xml><?xml version="1.0" encoding="utf-8"?>
<pivotTableDefinition xmlns="http://schemas.openxmlformats.org/spreadsheetml/2006/main" name="PivotTable15" cacheId="5" applyNumberFormats="0" applyBorderFormats="0" applyFontFormats="0" applyPatternFormats="0" applyAlignmentFormats="0" applyWidthHeightFormats="1" dataCaption="Values" updatedVersion="4" minRefreshableVersion="3" useAutoFormatting="1" rowGrandTotals="0" colGrandTotals="0" itemPrintTitles="1" createdVersion="4" indent="0" outline="1" outlineData="1" multipleFieldFilters="0">
  <location ref="S47:AF72" firstHeaderRow="1" firstDataRow="2" firstDataCol="1"/>
  <pivotFields count="15">
    <pivotField axis="axisCol"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axis="axisRow" numFmtId="14" showAll="0">
      <items count="26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h="1" x="24"/>
        <item t="default"/>
      </items>
    </pivotField>
    <pivotField numFmtId="194" showAll="0"/>
    <pivotField numFmtId="194" showAll="0"/>
    <pivotField numFmtId="194" showAll="0"/>
    <pivotField numFmtId="194" showAll="0"/>
    <pivotField numFmtId="195" showAll="0"/>
    <pivotField numFmtId="195" showAll="0"/>
    <pivotField numFmtId="43" showAll="0"/>
    <pivotField numFmtId="43" showAll="0"/>
    <pivotField dataField="1" numFmtId="10" showAll="0"/>
    <pivotField numFmtId="194" showAll="0"/>
    <pivotField numFmtId="194" showAll="0"/>
    <pivotField numFmtId="10" showAll="0"/>
    <pivotField numFmtId="10" showAll="0">
      <items count="9">
        <item x="0"/>
        <item x="1"/>
        <item x="2"/>
        <item x="3"/>
        <item x="4"/>
        <item x="5"/>
        <item x="6"/>
        <item x="7"/>
        <item t="default"/>
      </items>
    </pivotField>
  </pivotFields>
  <rowFields count="1">
    <field x="1"/>
  </rowFields>
  <rowItems count="24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</rowItems>
  <colFields count="1">
    <field x="0"/>
  </colFields>
  <colItems count="13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2"/>
    </i>
    <i>
      <x v="13"/>
    </i>
  </colItems>
  <dataFields count="1">
    <dataField name="Sum of pct_dq" fld="10" baseField="0" baseItem="0"/>
  </dataFields>
  <formats count="12">
    <format dxfId="66">
      <pivotArea outline="0" collapsedLevelsAreSubtotals="1" fieldPosition="0"/>
    </format>
    <format dxfId="67">
      <pivotArea type="all" dataOnly="0" outline="0" fieldPosition="0"/>
    </format>
    <format dxfId="68">
      <pivotArea field="1" type="button" dataOnly="0" labelOnly="1" outline="0" axis="axisRow" fieldPosition="0"/>
    </format>
    <format dxfId="69">
      <pivotArea dataOnly="0" labelOnly="1" fieldPosition="0">
        <references count="1">
          <reference field="0" count="13">
            <x v="0"/>
            <x v="1"/>
            <x v="2"/>
            <x v="3"/>
            <x v="4"/>
            <x v="5"/>
            <x v="6"/>
            <x v="7"/>
            <x v="8"/>
            <x v="9"/>
            <x v="10"/>
            <x v="12"/>
            <x v="13"/>
          </reference>
        </references>
      </pivotArea>
    </format>
    <format dxfId="70">
      <pivotArea field="1" type="button" dataOnly="0" labelOnly="1" outline="0" axis="axisRow" fieldPosition="0"/>
    </format>
    <format dxfId="71">
      <pivotArea dataOnly="0" labelOnly="1" fieldPosition="0">
        <references count="1">
          <reference field="0" count="13">
            <x v="0"/>
            <x v="1"/>
            <x v="2"/>
            <x v="3"/>
            <x v="4"/>
            <x v="5"/>
            <x v="6"/>
            <x v="7"/>
            <x v="8"/>
            <x v="9"/>
            <x v="10"/>
            <x v="12"/>
            <x v="13"/>
          </reference>
        </references>
      </pivotArea>
    </format>
    <format dxfId="72">
      <pivotArea type="all" dataOnly="0" outline="0" fieldPosition="0"/>
    </format>
    <format dxfId="73">
      <pivotArea type="all" dataOnly="0" outline="0" fieldPosition="0"/>
    </format>
    <format dxfId="74">
      <pivotArea outline="0" collapsedLevelsAreSubtotals="1" fieldPosition="0"/>
    </format>
    <format dxfId="75">
      <pivotArea dataOnly="0" labelOnly="1" fieldPosition="0">
        <references count="1">
          <reference field="1" count="0"/>
        </references>
      </pivotArea>
    </format>
    <format dxfId="76">
      <pivotArea field="1" type="button" dataOnly="0" labelOnly="1" outline="0" axis="axisRow" fieldPosition="0"/>
    </format>
    <format dxfId="77">
      <pivotArea dataOnly="0" labelOnly="1" fieldPosition="0">
        <references count="1">
          <reference field="0" count="13">
            <x v="0"/>
            <x v="1"/>
            <x v="2"/>
            <x v="3"/>
            <x v="4"/>
            <x v="5"/>
            <x v="6"/>
            <x v="7"/>
            <x v="8"/>
            <x v="9"/>
            <x v="10"/>
            <x v="12"/>
            <x v="13"/>
          </reference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6.xml><?xml version="1.0" encoding="utf-8"?>
<pivotTableDefinition xmlns="http://schemas.openxmlformats.org/spreadsheetml/2006/main" name="PivotTable16" cacheId="5" applyNumberFormats="0" applyBorderFormats="0" applyFontFormats="0" applyPatternFormats="0" applyAlignmentFormats="0" applyWidthHeightFormats="1" dataCaption="Values" updatedVersion="4" minRefreshableVersion="3" useAutoFormatting="1" rowGrandTotals="0" colGrandTotals="0" itemPrintTitles="1" createdVersion="4" indent="0" outline="1" outlineData="1" multipleFieldFilters="0">
  <location ref="C47:P72" firstHeaderRow="1" firstDataRow="2" firstDataCol="1"/>
  <pivotFields count="15">
    <pivotField axis="axisCol"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axis="axisRow" numFmtId="14" showAll="0">
      <items count="26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h="1" x="24"/>
        <item t="default"/>
      </items>
    </pivotField>
    <pivotField numFmtId="194" showAll="0"/>
    <pivotField numFmtId="194" showAll="0"/>
    <pivotField numFmtId="194" showAll="0"/>
    <pivotField numFmtId="194" showAll="0"/>
    <pivotField numFmtId="195" showAll="0"/>
    <pivotField numFmtId="195" showAll="0"/>
    <pivotField numFmtId="43" showAll="0"/>
    <pivotField numFmtId="43" showAll="0"/>
    <pivotField numFmtId="10" showAll="0"/>
    <pivotField numFmtId="194" showAll="0"/>
    <pivotField numFmtId="194" showAll="0"/>
    <pivotField numFmtId="10" showAll="0"/>
    <pivotField dataField="1" numFmtId="10" showAll="0"/>
  </pivotFields>
  <rowFields count="1">
    <field x="1"/>
  </rowFields>
  <rowItems count="24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</rowItems>
  <colFields count="1">
    <field x="0"/>
  </colFields>
  <colItems count="13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2"/>
    </i>
    <i>
      <x v="13"/>
    </i>
  </colItems>
  <dataFields count="1">
    <dataField name="Sum of cum_df_pct" fld="14" baseField="0" baseItem="0" numFmtId="10"/>
  </dataFields>
  <formats count="10">
    <format dxfId="78">
      <pivotArea outline="0" collapsedLevelsAreSubtotals="1" fieldPosition="0"/>
    </format>
    <format dxfId="79">
      <pivotArea type="all" dataOnly="0" outline="0" fieldPosition="0"/>
    </format>
    <format dxfId="80">
      <pivotArea field="1" type="button" dataOnly="0" labelOnly="1" outline="0" axis="axisRow" fieldPosition="0"/>
    </format>
    <format dxfId="81">
      <pivotArea dataOnly="0" labelOnly="1" fieldPosition="0">
        <references count="1">
          <reference field="0" count="13">
            <x v="0"/>
            <x v="1"/>
            <x v="2"/>
            <x v="3"/>
            <x v="4"/>
            <x v="5"/>
            <x v="6"/>
            <x v="7"/>
            <x v="8"/>
            <x v="9"/>
            <x v="10"/>
            <x v="12"/>
            <x v="13"/>
          </reference>
        </references>
      </pivotArea>
    </format>
    <format dxfId="82">
      <pivotArea type="all" dataOnly="0" outline="0" fieldPosition="0"/>
    </format>
    <format dxfId="83">
      <pivotArea type="all" dataOnly="0" outline="0" fieldPosition="0"/>
    </format>
    <format dxfId="84">
      <pivotArea outline="0" collapsedLevelsAreSubtotals="1" fieldPosition="0"/>
    </format>
    <format dxfId="85">
      <pivotArea dataOnly="0" labelOnly="1" fieldPosition="0">
        <references count="1">
          <reference field="1" count="0"/>
        </references>
      </pivotArea>
    </format>
    <format dxfId="86">
      <pivotArea field="1" type="button" dataOnly="0" labelOnly="1" outline="0" axis="axisRow" fieldPosition="0"/>
    </format>
    <format dxfId="87">
      <pivotArea dataOnly="0" labelOnly="1" fieldPosition="0">
        <references count="1">
          <reference field="0" count="13">
            <x v="0"/>
            <x v="1"/>
            <x v="2"/>
            <x v="3"/>
            <x v="4"/>
            <x v="5"/>
            <x v="6"/>
            <x v="7"/>
            <x v="8"/>
            <x v="9"/>
            <x v="10"/>
            <x v="12"/>
            <x v="13"/>
          </reference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7.xml><?xml version="1.0" encoding="utf-8"?>
<pivotTableDefinition xmlns="http://schemas.openxmlformats.org/spreadsheetml/2006/main" name="PivotTable17" cacheId="5" applyNumberFormats="0" applyBorderFormats="0" applyFontFormats="0" applyPatternFormats="0" applyAlignmentFormats="0" applyWidthHeightFormats="1" dataCaption="Values" updatedVersion="4" minRefreshableVersion="3" useAutoFormatting="1" rowGrandTotals="0" colGrandTotals="0" itemPrintTitles="1" createdVersion="4" indent="0" outline="1" outlineData="1" multipleFieldFilters="0">
  <location ref="S16:AF41" firstHeaderRow="1" firstDataRow="2" firstDataCol="1"/>
  <pivotFields count="15">
    <pivotField axis="axisCol"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axis="axisRow" numFmtId="14" showAll="0">
      <items count="26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h="1" x="24"/>
        <item t="default"/>
      </items>
    </pivotField>
    <pivotField numFmtId="194" showAll="0"/>
    <pivotField numFmtId="194" showAll="0"/>
    <pivotField numFmtId="194" showAll="0"/>
    <pivotField numFmtId="194" showAll="0"/>
    <pivotField numFmtId="195" showAll="0"/>
    <pivotField numFmtId="195" showAll="0"/>
    <pivotField numFmtId="43" showAll="0"/>
    <pivotField dataField="1" numFmtId="43" showAll="0"/>
    <pivotField numFmtId="10" showAll="0"/>
    <pivotField numFmtId="194" showAll="0"/>
    <pivotField numFmtId="194" showAll="0"/>
    <pivotField numFmtId="10" showAll="0"/>
    <pivotField numFmtId="10" showAll="0"/>
  </pivotFields>
  <rowFields count="1">
    <field x="1"/>
  </rowFields>
  <rowItems count="24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</rowItems>
  <colFields count="1">
    <field x="0"/>
  </colFields>
  <colItems count="13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2"/>
    </i>
    <i>
      <x v="13"/>
    </i>
  </colItems>
  <dataFields count="1">
    <dataField name="CDR %" fld="9" baseField="0" baseItem="0" numFmtId="2"/>
  </dataFields>
  <formats count="10">
    <format dxfId="88">
      <pivotArea outline="0" collapsedLevelsAreSubtotals="1" fieldPosition="0"/>
    </format>
    <format dxfId="89">
      <pivotArea field="1" type="button" dataOnly="0" labelOnly="1" outline="0" axis="axisRow" fieldPosition="0"/>
    </format>
    <format dxfId="90">
      <pivotArea dataOnly="0" labelOnly="1" fieldPosition="0">
        <references count="1">
          <reference field="0" count="13">
            <x v="0"/>
            <x v="1"/>
            <x v="2"/>
            <x v="3"/>
            <x v="4"/>
            <x v="5"/>
            <x v="6"/>
            <x v="7"/>
            <x v="8"/>
            <x v="9"/>
            <x v="10"/>
            <x v="12"/>
            <x v="13"/>
          </reference>
        </references>
      </pivotArea>
    </format>
    <format dxfId="91">
      <pivotArea type="all" dataOnly="0" outline="0" fieldPosition="0"/>
    </format>
    <format dxfId="92">
      <pivotArea type="all" dataOnly="0" outline="0" fieldPosition="0"/>
    </format>
    <format dxfId="93">
      <pivotArea type="all" dataOnly="0" outline="0" fieldPosition="0"/>
    </format>
    <format dxfId="94">
      <pivotArea outline="0" collapsedLevelsAreSubtotals="1" fieldPosition="0"/>
    </format>
    <format dxfId="95">
      <pivotArea dataOnly="0" labelOnly="1" fieldPosition="0">
        <references count="1">
          <reference field="1" count="0"/>
        </references>
      </pivotArea>
    </format>
    <format dxfId="96">
      <pivotArea field="1" type="button" dataOnly="0" labelOnly="1" outline="0" axis="axisRow" fieldPosition="0"/>
    </format>
    <format dxfId="97">
      <pivotArea dataOnly="0" labelOnly="1" fieldPosition="0">
        <references count="1">
          <reference field="0" count="13">
            <x v="0"/>
            <x v="1"/>
            <x v="2"/>
            <x v="3"/>
            <x v="4"/>
            <x v="5"/>
            <x v="6"/>
            <x v="7"/>
            <x v="8"/>
            <x v="9"/>
            <x v="10"/>
            <x v="12"/>
            <x v="13"/>
          </reference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8.xml><?xml version="1.0" encoding="utf-8"?>
<pivotTableDefinition xmlns="http://schemas.openxmlformats.org/spreadsheetml/2006/main" name="PivotTable18" cacheId="5" applyNumberFormats="0" applyBorderFormats="0" applyFontFormats="0" applyPatternFormats="0" applyAlignmentFormats="0" applyWidthHeightFormats="1" dataCaption="Values" updatedVersion="4" minRefreshableVersion="3" useAutoFormatting="1" rowGrandTotals="0" colGrandTotals="0" itemPrintTitles="1" createdVersion="4" indent="0" outline="1" outlineData="1" multipleFieldFilters="0">
  <location ref="C16:P41" firstHeaderRow="1" firstDataRow="2" firstDataCol="1"/>
  <pivotFields count="15">
    <pivotField axis="axisCol"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axis="axisRow" numFmtId="14" showAll="0">
      <items count="26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h="1" x="24"/>
        <item t="default"/>
      </items>
    </pivotField>
    <pivotField numFmtId="194" showAll="0"/>
    <pivotField numFmtId="194" showAll="0"/>
    <pivotField numFmtId="194" showAll="0"/>
    <pivotField numFmtId="194" showAll="0"/>
    <pivotField numFmtId="195" showAll="0"/>
    <pivotField numFmtId="195" showAll="0"/>
    <pivotField dataField="1" numFmtId="43" showAll="0"/>
    <pivotField numFmtId="43" showAll="0"/>
    <pivotField numFmtId="10" showAll="0"/>
    <pivotField numFmtId="194" showAll="0"/>
    <pivotField numFmtId="194" showAll="0"/>
    <pivotField numFmtId="10" showAll="0"/>
    <pivotField numFmtId="10" showAll="0"/>
  </pivotFields>
  <rowFields count="1">
    <field x="1"/>
  </rowFields>
  <rowItems count="24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</rowItems>
  <colFields count="1">
    <field x="0"/>
  </colFields>
  <colItems count="13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2"/>
    </i>
    <i>
      <x v="13"/>
    </i>
  </colItems>
  <dataFields count="1">
    <dataField name="Sum of CPR" fld="8" baseField="0" baseItem="0" numFmtId="164"/>
  </dataFields>
  <formats count="14">
    <format dxfId="98">
      <pivotArea outline="0" collapsedLevelsAreSubtotals="1" fieldPosition="0"/>
    </format>
    <format dxfId="99">
      <pivotArea field="1" type="button" dataOnly="0" labelOnly="1" outline="0" axis="axisRow" fieldPosition="0"/>
    </format>
    <format dxfId="100">
      <pivotArea dataOnly="0" labelOnly="1" fieldPosition="0">
        <references count="1">
          <reference field="0" count="13">
            <x v="0"/>
            <x v="1"/>
            <x v="2"/>
            <x v="3"/>
            <x v="4"/>
            <x v="5"/>
            <x v="6"/>
            <x v="7"/>
            <x v="8"/>
            <x v="9"/>
            <x v="10"/>
            <x v="12"/>
            <x v="13"/>
          </reference>
        </references>
      </pivotArea>
    </format>
    <format dxfId="101">
      <pivotArea field="1" type="button" dataOnly="0" labelOnly="1" outline="0" axis="axisRow" fieldPosition="0"/>
    </format>
    <format dxfId="102">
      <pivotArea dataOnly="0" labelOnly="1" fieldPosition="0">
        <references count="1">
          <reference field="0" count="13">
            <x v="0"/>
            <x v="1"/>
            <x v="2"/>
            <x v="3"/>
            <x v="4"/>
            <x v="5"/>
            <x v="6"/>
            <x v="7"/>
            <x v="8"/>
            <x v="9"/>
            <x v="10"/>
            <x v="12"/>
            <x v="13"/>
          </reference>
        </references>
      </pivotArea>
    </format>
    <format dxfId="103">
      <pivotArea field="1" type="button" dataOnly="0" labelOnly="1" outline="0" axis="axisRow" fieldPosition="0"/>
    </format>
    <format dxfId="104">
      <pivotArea dataOnly="0" labelOnly="1" fieldPosition="0">
        <references count="1">
          <reference field="0" count="13">
            <x v="0"/>
            <x v="1"/>
            <x v="2"/>
            <x v="3"/>
            <x v="4"/>
            <x v="5"/>
            <x v="6"/>
            <x v="7"/>
            <x v="8"/>
            <x v="9"/>
            <x v="10"/>
            <x v="12"/>
            <x v="13"/>
          </reference>
        </references>
      </pivotArea>
    </format>
    <format dxfId="105">
      <pivotArea type="all" dataOnly="0" outline="0" fieldPosition="0"/>
    </format>
    <format dxfId="106">
      <pivotArea type="all" dataOnly="0" outline="0" fieldPosition="0"/>
    </format>
    <format dxfId="107">
      <pivotArea type="all" dataOnly="0" outline="0" fieldPosition="0"/>
    </format>
    <format dxfId="108">
      <pivotArea outline="0" collapsedLevelsAreSubtotals="1" fieldPosition="0"/>
    </format>
    <format dxfId="109">
      <pivotArea dataOnly="0" labelOnly="1" fieldPosition="0">
        <references count="1">
          <reference field="1" count="0"/>
        </references>
      </pivotArea>
    </format>
    <format dxfId="110">
      <pivotArea field="1" type="button" dataOnly="0" labelOnly="1" outline="0" axis="axisRow" fieldPosition="0"/>
    </format>
    <format dxfId="111">
      <pivotArea dataOnly="0" labelOnly="1" fieldPosition="0">
        <references count="1">
          <reference field="0" count="13">
            <x v="0"/>
            <x v="1"/>
            <x v="2"/>
            <x v="3"/>
            <x v="4"/>
            <x v="5"/>
            <x v="6"/>
            <x v="7"/>
            <x v="8"/>
            <x v="9"/>
            <x v="10"/>
            <x v="12"/>
            <x v="13"/>
          </reference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vmlDrawing" Target="../drawings/vmlDrawing1.vml"/><Relationship Id="rId3" Type="http://schemas.openxmlformats.org/officeDocument/2006/relationships/pivotTable" Target="../pivotTables/pivotTable3.xml"/><Relationship Id="rId7" Type="http://schemas.openxmlformats.org/officeDocument/2006/relationships/drawing" Target="../drawings/drawing1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printerSettings" Target="../printerSettings/printerSettings1.bin"/><Relationship Id="rId5" Type="http://schemas.openxmlformats.org/officeDocument/2006/relationships/hyperlink" Target="http://portal.hud.gov/hudportal/HUD?src=/program_offices/housing/hsgrroom/fhaprodrpt" TargetMode="External"/><Relationship Id="rId4" Type="http://schemas.openxmlformats.org/officeDocument/2006/relationships/pivotTable" Target="../pivotTables/pivotTable4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7.xml"/><Relationship Id="rId2" Type="http://schemas.openxmlformats.org/officeDocument/2006/relationships/pivotTable" Target="../pivotTables/pivotTable6.xml"/><Relationship Id="rId1" Type="http://schemas.openxmlformats.org/officeDocument/2006/relationships/pivotTable" Target="../pivotTables/pivotTable5.xml"/><Relationship Id="rId6" Type="http://schemas.openxmlformats.org/officeDocument/2006/relationships/vmlDrawing" Target="../drawings/vmlDrawing4.vml"/><Relationship Id="rId5" Type="http://schemas.openxmlformats.org/officeDocument/2006/relationships/printerSettings" Target="../printerSettings/printerSettings4.bin"/><Relationship Id="rId4" Type="http://schemas.openxmlformats.org/officeDocument/2006/relationships/pivotTable" Target="../pivotTables/pivotTable8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tabColor theme="9" tint="0.59999389629810485"/>
    <pageSetUpPr fitToPage="1"/>
  </sheetPr>
  <dimension ref="B1:AL74"/>
  <sheetViews>
    <sheetView showGridLines="0" tabSelected="1" topLeftCell="A48" zoomScaleNormal="100" workbookViewId="0">
      <selection activeCell="J87" sqref="J87"/>
    </sheetView>
  </sheetViews>
  <sheetFormatPr defaultRowHeight="15"/>
  <cols>
    <col min="1" max="1" width="9.140625" customWidth="1"/>
    <col min="3" max="3" width="16" customWidth="1"/>
    <col min="4" max="4" width="16.85546875" customWidth="1"/>
    <col min="5" max="13" width="10.28515625" customWidth="1"/>
    <col min="14" max="14" width="10.42578125" customWidth="1"/>
    <col min="15" max="16" width="10.28515625" customWidth="1"/>
    <col min="17" max="18" width="2.85546875" customWidth="1"/>
    <col min="19" max="19" width="14.28515625" customWidth="1"/>
    <col min="20" max="20" width="16.85546875" customWidth="1"/>
    <col min="21" max="29" width="10.28515625" customWidth="1"/>
    <col min="30" max="30" width="10.42578125" customWidth="1"/>
    <col min="31" max="32" width="10.28515625" customWidth="1"/>
    <col min="33" max="33" width="10.7109375" customWidth="1"/>
    <col min="34" max="34" width="14.5703125" customWidth="1"/>
    <col min="35" max="35" width="11.85546875" bestFit="1" customWidth="1"/>
    <col min="36" max="36" width="19.5703125" customWidth="1"/>
    <col min="37" max="37" width="40.85546875" bestFit="1" customWidth="1"/>
    <col min="38" max="38" width="14.85546875" bestFit="1" customWidth="1"/>
  </cols>
  <sheetData>
    <row r="1" spans="2:38">
      <c r="AI1" s="3" t="s">
        <v>12</v>
      </c>
      <c r="AJ1" s="14" t="s">
        <v>19</v>
      </c>
      <c r="AK1" t="s">
        <v>13</v>
      </c>
      <c r="AL1" s="4" t="s">
        <v>16</v>
      </c>
    </row>
    <row r="2" spans="2:38">
      <c r="AI2" s="3" t="s">
        <v>14</v>
      </c>
      <c r="AJ2" s="5">
        <v>42214</v>
      </c>
    </row>
    <row r="3" spans="2:38">
      <c r="AI3" s="3" t="s">
        <v>18</v>
      </c>
      <c r="AJ3" s="14" t="s">
        <v>20</v>
      </c>
    </row>
    <row r="4" spans="2:38">
      <c r="AI4" s="3" t="s">
        <v>15</v>
      </c>
      <c r="AJ4" s="14" t="str">
        <f>PDFReportDir &amp; "\Application Activity " &amp; TEXT(CurrentCloseDate, "yyyy-mm-dd") &amp; ".pdf"</f>
        <v>S:\IT\Production\Daily Reports\Primary Market\tmp\\Application Activity 2015-07-29.pdf</v>
      </c>
    </row>
    <row r="5" spans="2:38">
      <c r="AI5" s="6"/>
    </row>
    <row r="6" spans="2:38">
      <c r="AI6" s="6"/>
    </row>
    <row r="7" spans="2:38">
      <c r="AI7" s="6"/>
    </row>
    <row r="8" spans="2:38">
      <c r="AI8" s="6"/>
    </row>
    <row r="9" spans="2:38">
      <c r="AI9" s="6"/>
    </row>
    <row r="10" spans="2:38">
      <c r="AI10" s="6"/>
    </row>
    <row r="11" spans="2:38">
      <c r="AJ11" t="s">
        <v>29</v>
      </c>
      <c r="AK11" s="20" t="s">
        <v>30</v>
      </c>
    </row>
    <row r="12" spans="2:38" ht="13.5" customHeight="1"/>
    <row r="14" spans="2:38" s="1" customFormat="1" ht="18" customHeight="1">
      <c r="B14"/>
      <c r="C14"/>
      <c r="D14"/>
      <c r="E14"/>
      <c r="F14"/>
      <c r="G14"/>
      <c r="H14"/>
      <c r="I14"/>
      <c r="J14"/>
      <c r="K14"/>
      <c r="L14"/>
      <c r="M14"/>
      <c r="N14"/>
      <c r="O14"/>
      <c r="P14"/>
      <c r="Q14"/>
      <c r="R14"/>
      <c r="S14"/>
      <c r="T14"/>
      <c r="V14"/>
      <c r="W14"/>
      <c r="X14"/>
      <c r="Y14"/>
      <c r="Z14"/>
      <c r="AA14"/>
      <c r="AB14"/>
      <c r="AC14"/>
      <c r="AD14"/>
    </row>
    <row r="15" spans="2:38" s="2" customFormat="1" ht="19.5" customHeight="1">
      <c r="B15"/>
      <c r="C15" s="53" t="s">
        <v>31</v>
      </c>
      <c r="D15" s="53"/>
      <c r="E15" s="53"/>
      <c r="F15" s="53"/>
      <c r="G15" s="53"/>
      <c r="H15" s="53"/>
      <c r="I15" s="53"/>
      <c r="J15" s="53"/>
      <c r="K15" s="53"/>
      <c r="L15" s="53"/>
      <c r="M15" s="53"/>
      <c r="N15" s="53"/>
      <c r="O15" s="53"/>
      <c r="P15" s="53"/>
      <c r="Q15" s="24"/>
      <c r="R15" s="24"/>
      <c r="S15" s="50" t="s">
        <v>32</v>
      </c>
      <c r="T15" s="50"/>
      <c r="U15" s="50"/>
      <c r="V15" s="50"/>
      <c r="W15" s="50"/>
      <c r="X15" s="50"/>
      <c r="Y15" s="50"/>
      <c r="Z15" s="50"/>
      <c r="AA15" s="50"/>
      <c r="AB15" s="50"/>
      <c r="AC15" s="50"/>
      <c r="AD15" s="50"/>
      <c r="AE15" s="50"/>
      <c r="AF15" s="50"/>
      <c r="AG15"/>
      <c r="AH15"/>
      <c r="AI15"/>
    </row>
    <row r="16" spans="2:38" s="2" customFormat="1" hidden="1">
      <c r="B16"/>
      <c r="C16" s="35" t="s">
        <v>33</v>
      </c>
      <c r="D16" s="35" t="s">
        <v>34</v>
      </c>
      <c r="E16" s="25"/>
      <c r="F16" s="25"/>
      <c r="G16" s="25"/>
      <c r="H16" s="25"/>
      <c r="I16" s="25"/>
      <c r="J16" s="25"/>
      <c r="K16" s="25"/>
      <c r="L16" s="25"/>
      <c r="M16" s="25"/>
      <c r="N16" s="25"/>
      <c r="O16" s="25"/>
      <c r="P16" s="25"/>
      <c r="Q16" s="24"/>
      <c r="R16" s="24"/>
      <c r="S16" s="35" t="s">
        <v>32</v>
      </c>
      <c r="T16" s="35" t="s">
        <v>34</v>
      </c>
      <c r="U16" s="25"/>
      <c r="V16" s="25"/>
      <c r="W16" s="25"/>
      <c r="X16" s="25"/>
      <c r="Y16" s="25"/>
      <c r="Z16" s="25"/>
      <c r="AA16" s="25"/>
      <c r="AB16" s="25"/>
      <c r="AC16" s="25"/>
      <c r="AD16" s="25"/>
      <c r="AE16" s="25"/>
      <c r="AF16" s="25"/>
      <c r="AG16"/>
      <c r="AH16"/>
      <c r="AI16"/>
    </row>
    <row r="17" spans="2:35" s="54" customFormat="1" ht="16.5" customHeight="1">
      <c r="B17" s="13"/>
      <c r="C17" s="37" t="s">
        <v>35</v>
      </c>
      <c r="D17" s="26" t="s">
        <v>36</v>
      </c>
      <c r="E17" s="26" t="s">
        <v>37</v>
      </c>
      <c r="F17" s="26" t="s">
        <v>38</v>
      </c>
      <c r="G17" s="26" t="s">
        <v>39</v>
      </c>
      <c r="H17" s="26" t="s">
        <v>40</v>
      </c>
      <c r="I17" s="26" t="s">
        <v>41</v>
      </c>
      <c r="J17" s="26" t="s">
        <v>42</v>
      </c>
      <c r="K17" s="26" t="s">
        <v>43</v>
      </c>
      <c r="L17" s="26" t="s">
        <v>44</v>
      </c>
      <c r="M17" s="26" t="s">
        <v>45</v>
      </c>
      <c r="N17" s="26" t="s">
        <v>46</v>
      </c>
      <c r="O17" s="26" t="s">
        <v>47</v>
      </c>
      <c r="P17" s="26" t="s">
        <v>48</v>
      </c>
      <c r="Q17" s="34"/>
      <c r="R17" s="34"/>
      <c r="S17" s="36" t="s">
        <v>35</v>
      </c>
      <c r="T17" s="27" t="s">
        <v>36</v>
      </c>
      <c r="U17" s="27" t="s">
        <v>37</v>
      </c>
      <c r="V17" s="27" t="s">
        <v>38</v>
      </c>
      <c r="W17" s="27" t="s">
        <v>39</v>
      </c>
      <c r="X17" s="27" t="s">
        <v>40</v>
      </c>
      <c r="Y17" s="27" t="s">
        <v>41</v>
      </c>
      <c r="Z17" s="27" t="s">
        <v>42</v>
      </c>
      <c r="AA17" s="27" t="s">
        <v>43</v>
      </c>
      <c r="AB17" s="27" t="s">
        <v>44</v>
      </c>
      <c r="AC17" s="27" t="s">
        <v>45</v>
      </c>
      <c r="AD17" s="27" t="s">
        <v>46</v>
      </c>
      <c r="AE17" s="27" t="s">
        <v>47</v>
      </c>
      <c r="AF17" s="27" t="s">
        <v>48</v>
      </c>
      <c r="AG17" s="13"/>
      <c r="AH17" s="13"/>
      <c r="AI17" s="13"/>
    </row>
    <row r="18" spans="2:35" s="40" customFormat="1" ht="16.5" customHeight="1">
      <c r="B18" s="38"/>
      <c r="C18" s="41">
        <v>41426</v>
      </c>
      <c r="D18" s="42">
        <v>7.1894999999999998</v>
      </c>
      <c r="E18" s="42"/>
      <c r="F18" s="42"/>
      <c r="G18" s="42"/>
      <c r="H18" s="42"/>
      <c r="I18" s="42"/>
      <c r="J18" s="42"/>
      <c r="K18" s="42"/>
      <c r="L18" s="42"/>
      <c r="M18" s="42"/>
      <c r="N18" s="42"/>
      <c r="O18" s="42"/>
      <c r="P18" s="42"/>
      <c r="Q18" s="39"/>
      <c r="R18" s="39"/>
      <c r="S18" s="41">
        <v>41426</v>
      </c>
      <c r="T18" s="43">
        <v>0</v>
      </c>
      <c r="U18" s="43"/>
      <c r="V18" s="43"/>
      <c r="W18" s="43"/>
      <c r="X18" s="43"/>
      <c r="Y18" s="43"/>
      <c r="Z18" s="43"/>
      <c r="AA18" s="43"/>
      <c r="AB18" s="43"/>
      <c r="AC18" s="43"/>
      <c r="AD18" s="43"/>
      <c r="AE18" s="43"/>
      <c r="AF18" s="43"/>
      <c r="AG18" s="38"/>
      <c r="AH18" s="38"/>
      <c r="AI18" s="38"/>
    </row>
    <row r="19" spans="2:35" s="40" customFormat="1" ht="16.5" customHeight="1">
      <c r="B19" s="38"/>
      <c r="C19" s="41">
        <v>41456</v>
      </c>
      <c r="D19" s="42">
        <v>5.2968000000000002</v>
      </c>
      <c r="E19" s="42"/>
      <c r="F19" s="42"/>
      <c r="G19" s="42"/>
      <c r="H19" s="42"/>
      <c r="I19" s="42"/>
      <c r="J19" s="42"/>
      <c r="K19" s="42"/>
      <c r="L19" s="42"/>
      <c r="M19" s="42"/>
      <c r="N19" s="42"/>
      <c r="O19" s="42"/>
      <c r="P19" s="42"/>
      <c r="Q19" s="39"/>
      <c r="R19" s="39"/>
      <c r="S19" s="41">
        <v>41456</v>
      </c>
      <c r="T19" s="43">
        <v>0</v>
      </c>
      <c r="U19" s="43"/>
      <c r="V19" s="43"/>
      <c r="W19" s="43"/>
      <c r="X19" s="43"/>
      <c r="Y19" s="43"/>
      <c r="Z19" s="43"/>
      <c r="AA19" s="43"/>
      <c r="AB19" s="43"/>
      <c r="AC19" s="43"/>
      <c r="AD19" s="43"/>
      <c r="AE19" s="43"/>
      <c r="AF19" s="43"/>
      <c r="AG19" s="38"/>
      <c r="AH19" s="38"/>
      <c r="AI19" s="38"/>
    </row>
    <row r="20" spans="2:35" s="40" customFormat="1" ht="16.5" customHeight="1">
      <c r="B20" s="38"/>
      <c r="C20" s="41">
        <v>41487</v>
      </c>
      <c r="D20" s="42">
        <v>3.7195999999999998</v>
      </c>
      <c r="E20" s="42"/>
      <c r="F20" s="42"/>
      <c r="G20" s="42"/>
      <c r="H20" s="42"/>
      <c r="I20" s="42"/>
      <c r="J20" s="42"/>
      <c r="K20" s="42"/>
      <c r="L20" s="42"/>
      <c r="M20" s="42"/>
      <c r="N20" s="42"/>
      <c r="O20" s="42"/>
      <c r="P20" s="42"/>
      <c r="Q20" s="39"/>
      <c r="R20" s="39"/>
      <c r="S20" s="41">
        <v>41487</v>
      </c>
      <c r="T20" s="43">
        <v>0</v>
      </c>
      <c r="U20" s="43"/>
      <c r="V20" s="43"/>
      <c r="W20" s="43"/>
      <c r="X20" s="43"/>
      <c r="Y20" s="43"/>
      <c r="Z20" s="43"/>
      <c r="AA20" s="43"/>
      <c r="AB20" s="43"/>
      <c r="AC20" s="43"/>
      <c r="AD20" s="43"/>
      <c r="AE20" s="43"/>
      <c r="AF20" s="43"/>
      <c r="AG20" s="38"/>
      <c r="AH20" s="38"/>
      <c r="AI20" s="38"/>
    </row>
    <row r="21" spans="2:35" s="40" customFormat="1" ht="16.5" customHeight="1">
      <c r="B21" s="38"/>
      <c r="C21" s="41">
        <v>41518</v>
      </c>
      <c r="D21" s="42">
        <v>3.9026999999999998</v>
      </c>
      <c r="E21" s="42"/>
      <c r="F21" s="42"/>
      <c r="G21" s="42"/>
      <c r="H21" s="42"/>
      <c r="I21" s="42"/>
      <c r="J21" s="42"/>
      <c r="K21" s="42"/>
      <c r="L21" s="42"/>
      <c r="M21" s="42"/>
      <c r="N21" s="42"/>
      <c r="O21" s="42"/>
      <c r="P21" s="42"/>
      <c r="Q21" s="39"/>
      <c r="R21" s="39"/>
      <c r="S21" s="41">
        <v>41518</v>
      </c>
      <c r="T21" s="43">
        <v>0</v>
      </c>
      <c r="U21" s="43"/>
      <c r="V21" s="43"/>
      <c r="W21" s="43"/>
      <c r="X21" s="43"/>
      <c r="Y21" s="43"/>
      <c r="Z21" s="43"/>
      <c r="AA21" s="43"/>
      <c r="AB21" s="43"/>
      <c r="AC21" s="43"/>
      <c r="AD21" s="43"/>
      <c r="AE21" s="43"/>
      <c r="AF21" s="43"/>
      <c r="AG21" s="38"/>
      <c r="AH21" s="38"/>
      <c r="AI21" s="38"/>
    </row>
    <row r="22" spans="2:35" s="40" customFormat="1" ht="16.5" customHeight="1">
      <c r="B22" s="38"/>
      <c r="C22" s="41">
        <v>41548</v>
      </c>
      <c r="D22" s="42">
        <v>3.5990000000000002</v>
      </c>
      <c r="E22" s="42"/>
      <c r="F22" s="42"/>
      <c r="G22" s="42"/>
      <c r="H22" s="42"/>
      <c r="I22" s="42"/>
      <c r="J22" s="42"/>
      <c r="K22" s="42"/>
      <c r="L22" s="42"/>
      <c r="M22" s="42"/>
      <c r="N22" s="42"/>
      <c r="O22" s="42"/>
      <c r="P22" s="42"/>
      <c r="Q22" s="39"/>
      <c r="R22" s="39"/>
      <c r="S22" s="41">
        <v>41548</v>
      </c>
      <c r="T22" s="43">
        <v>0</v>
      </c>
      <c r="U22" s="43"/>
      <c r="V22" s="43"/>
      <c r="W22" s="43"/>
      <c r="X22" s="43"/>
      <c r="Y22" s="43"/>
      <c r="Z22" s="43"/>
      <c r="AA22" s="43"/>
      <c r="AB22" s="43"/>
      <c r="AC22" s="43"/>
      <c r="AD22" s="43"/>
      <c r="AE22" s="43"/>
      <c r="AF22" s="43"/>
      <c r="AG22" s="38"/>
      <c r="AH22" s="38"/>
      <c r="AI22" s="38"/>
    </row>
    <row r="23" spans="2:35" s="40" customFormat="1" ht="16.5" customHeight="1">
      <c r="B23" s="38"/>
      <c r="C23" s="41">
        <v>41579</v>
      </c>
      <c r="D23" s="42">
        <v>3.7277999999999998</v>
      </c>
      <c r="E23" s="42">
        <v>8.3688000000000002</v>
      </c>
      <c r="F23" s="42"/>
      <c r="G23" s="42"/>
      <c r="H23" s="42"/>
      <c r="I23" s="42"/>
      <c r="J23" s="42"/>
      <c r="K23" s="42"/>
      <c r="L23" s="42"/>
      <c r="M23" s="42"/>
      <c r="N23" s="42"/>
      <c r="O23" s="42"/>
      <c r="P23" s="42"/>
      <c r="Q23" s="39"/>
      <c r="R23" s="39"/>
      <c r="S23" s="41">
        <v>41579</v>
      </c>
      <c r="T23" s="43">
        <v>5.4000000000000003E-3</v>
      </c>
      <c r="U23" s="43">
        <v>0</v>
      </c>
      <c r="V23" s="43"/>
      <c r="W23" s="43"/>
      <c r="X23" s="43"/>
      <c r="Y23" s="43"/>
      <c r="Z23" s="43"/>
      <c r="AA23" s="43"/>
      <c r="AB23" s="43"/>
      <c r="AC23" s="43"/>
      <c r="AD23" s="43"/>
      <c r="AE23" s="43"/>
      <c r="AF23" s="43"/>
      <c r="AG23" s="38"/>
      <c r="AH23" s="38"/>
      <c r="AI23" s="38"/>
    </row>
    <row r="24" spans="2:35" s="40" customFormat="1" ht="16.5" customHeight="1">
      <c r="B24" s="38"/>
      <c r="C24" s="41">
        <v>41609</v>
      </c>
      <c r="D24" s="42">
        <v>3.1396999999999999</v>
      </c>
      <c r="E24" s="42">
        <v>2.5486</v>
      </c>
      <c r="F24" s="42"/>
      <c r="G24" s="42"/>
      <c r="H24" s="42"/>
      <c r="I24" s="42"/>
      <c r="J24" s="42"/>
      <c r="K24" s="42"/>
      <c r="L24" s="42"/>
      <c r="M24" s="42"/>
      <c r="N24" s="42"/>
      <c r="O24" s="42"/>
      <c r="P24" s="42"/>
      <c r="Q24" s="39"/>
      <c r="R24" s="39"/>
      <c r="S24" s="41">
        <v>41609</v>
      </c>
      <c r="T24" s="43">
        <v>1.66E-2</v>
      </c>
      <c r="U24" s="43">
        <v>0</v>
      </c>
      <c r="V24" s="43"/>
      <c r="W24" s="43"/>
      <c r="X24" s="43"/>
      <c r="Y24" s="43"/>
      <c r="Z24" s="43"/>
      <c r="AA24" s="43"/>
      <c r="AB24" s="43"/>
      <c r="AC24" s="43"/>
      <c r="AD24" s="43"/>
      <c r="AE24" s="43"/>
      <c r="AF24" s="43"/>
      <c r="AG24" s="38"/>
      <c r="AH24" s="38"/>
      <c r="AI24" s="38"/>
    </row>
    <row r="25" spans="2:35" s="40" customFormat="1" ht="16.5" customHeight="1">
      <c r="B25" s="38"/>
      <c r="C25" s="41">
        <v>41640</v>
      </c>
      <c r="D25" s="42">
        <v>2.976</v>
      </c>
      <c r="E25" s="42">
        <v>2.6267</v>
      </c>
      <c r="F25" s="42"/>
      <c r="G25" s="42"/>
      <c r="H25" s="42"/>
      <c r="I25" s="42"/>
      <c r="J25" s="42"/>
      <c r="K25" s="42"/>
      <c r="L25" s="42"/>
      <c r="M25" s="42"/>
      <c r="N25" s="42"/>
      <c r="O25" s="42"/>
      <c r="P25" s="42"/>
      <c r="Q25" s="39"/>
      <c r="R25" s="39"/>
      <c r="S25" s="41">
        <v>41640</v>
      </c>
      <c r="T25" s="43">
        <v>0.03</v>
      </c>
      <c r="U25" s="43">
        <v>0</v>
      </c>
      <c r="V25" s="43"/>
      <c r="W25" s="43"/>
      <c r="X25" s="43"/>
      <c r="Y25" s="43"/>
      <c r="Z25" s="43"/>
      <c r="AA25" s="43"/>
      <c r="AB25" s="43"/>
      <c r="AC25" s="43"/>
      <c r="AD25" s="43"/>
      <c r="AE25" s="43"/>
      <c r="AF25" s="43"/>
      <c r="AG25" s="38"/>
      <c r="AH25" s="38"/>
      <c r="AI25" s="38"/>
    </row>
    <row r="26" spans="2:35" s="38" customFormat="1" ht="16.5" customHeight="1">
      <c r="C26" s="41">
        <v>41671</v>
      </c>
      <c r="D26" s="42">
        <v>3.8313999999999999</v>
      </c>
      <c r="E26" s="42">
        <v>3.6274999999999999</v>
      </c>
      <c r="F26" s="42">
        <v>7.4269999999999996</v>
      </c>
      <c r="G26" s="42"/>
      <c r="H26" s="42"/>
      <c r="I26" s="42"/>
      <c r="J26" s="42"/>
      <c r="K26" s="42"/>
      <c r="L26" s="42"/>
      <c r="M26" s="42"/>
      <c r="N26" s="42"/>
      <c r="O26" s="42"/>
      <c r="P26" s="42"/>
      <c r="Q26" s="39"/>
      <c r="R26" s="39"/>
      <c r="S26" s="41">
        <v>41671</v>
      </c>
      <c r="T26" s="43">
        <v>1.9E-2</v>
      </c>
      <c r="U26" s="43">
        <v>8.9999999999999993E-3</v>
      </c>
      <c r="V26" s="43">
        <v>0</v>
      </c>
      <c r="W26" s="43"/>
      <c r="X26" s="43"/>
      <c r="Y26" s="43"/>
      <c r="Z26" s="43"/>
      <c r="AA26" s="43"/>
      <c r="AB26" s="43"/>
      <c r="AC26" s="43"/>
      <c r="AD26" s="43"/>
      <c r="AE26" s="43"/>
      <c r="AF26" s="43"/>
    </row>
    <row r="27" spans="2:35" s="38" customFormat="1" ht="16.5" customHeight="1">
      <c r="C27" s="41">
        <v>41699</v>
      </c>
      <c r="D27" s="42">
        <v>3.9773000000000001</v>
      </c>
      <c r="E27" s="42">
        <v>3.9352999999999998</v>
      </c>
      <c r="F27" s="42">
        <v>3.8881000000000001</v>
      </c>
      <c r="G27" s="42"/>
      <c r="H27" s="42"/>
      <c r="I27" s="42"/>
      <c r="J27" s="42"/>
      <c r="K27" s="42"/>
      <c r="L27" s="42"/>
      <c r="M27" s="42"/>
      <c r="N27" s="42"/>
      <c r="O27" s="42"/>
      <c r="P27" s="42"/>
      <c r="Q27" s="39"/>
      <c r="R27" s="39"/>
      <c r="S27" s="41">
        <v>41699</v>
      </c>
      <c r="T27" s="43">
        <v>8.3900000000000002E-2</v>
      </c>
      <c r="U27" s="43">
        <v>3.9E-2</v>
      </c>
      <c r="V27" s="43">
        <v>0</v>
      </c>
      <c r="W27" s="43"/>
      <c r="X27" s="43"/>
      <c r="Y27" s="43"/>
      <c r="Z27" s="43"/>
      <c r="AA27" s="43"/>
      <c r="AB27" s="43"/>
      <c r="AC27" s="43"/>
      <c r="AD27" s="43"/>
      <c r="AE27" s="43"/>
      <c r="AF27" s="43"/>
    </row>
    <row r="28" spans="2:35" s="38" customFormat="1" ht="16.5" customHeight="1">
      <c r="C28" s="41">
        <v>41730</v>
      </c>
      <c r="D28" s="42">
        <v>5.8136999999999999</v>
      </c>
      <c r="E28" s="42">
        <v>5.2506000000000004</v>
      </c>
      <c r="F28" s="42">
        <v>4.7267999999999999</v>
      </c>
      <c r="G28" s="42">
        <v>14.718299999999999</v>
      </c>
      <c r="H28" s="42"/>
      <c r="I28" s="42"/>
      <c r="J28" s="42"/>
      <c r="K28" s="42"/>
      <c r="L28" s="42"/>
      <c r="M28" s="42"/>
      <c r="N28" s="42"/>
      <c r="O28" s="42"/>
      <c r="P28" s="42"/>
      <c r="Q28" s="39"/>
      <c r="R28" s="39"/>
      <c r="S28" s="41">
        <v>41730</v>
      </c>
      <c r="T28" s="43">
        <v>5.5599999999999997E-2</v>
      </c>
      <c r="U28" s="43">
        <v>1.7299999999999999E-2</v>
      </c>
      <c r="V28" s="43">
        <v>0</v>
      </c>
      <c r="W28" s="43">
        <v>0</v>
      </c>
      <c r="X28" s="43"/>
      <c r="Y28" s="43"/>
      <c r="Z28" s="43"/>
      <c r="AA28" s="43"/>
      <c r="AB28" s="43"/>
      <c r="AC28" s="43"/>
      <c r="AD28" s="43"/>
      <c r="AE28" s="43"/>
      <c r="AF28" s="43"/>
    </row>
    <row r="29" spans="2:35" s="38" customFormat="1" ht="16.5" customHeight="1">
      <c r="C29" s="41">
        <v>41760</v>
      </c>
      <c r="D29" s="42">
        <v>7.3971999999999998</v>
      </c>
      <c r="E29" s="42">
        <v>5.7789000000000001</v>
      </c>
      <c r="F29" s="42">
        <v>5.5388000000000002</v>
      </c>
      <c r="G29" s="42">
        <v>8.6524000000000001</v>
      </c>
      <c r="H29" s="42"/>
      <c r="I29" s="42"/>
      <c r="J29" s="42"/>
      <c r="K29" s="42"/>
      <c r="L29" s="42"/>
      <c r="M29" s="42"/>
      <c r="N29" s="42"/>
      <c r="O29" s="42"/>
      <c r="P29" s="42"/>
      <c r="Q29" s="39"/>
      <c r="R29" s="39"/>
      <c r="S29" s="41">
        <v>41760</v>
      </c>
      <c r="T29" s="43">
        <v>5.04E-2</v>
      </c>
      <c r="U29" s="43">
        <v>2.12E-2</v>
      </c>
      <c r="V29" s="43">
        <v>1.5599999999999999E-2</v>
      </c>
      <c r="W29" s="43">
        <v>0</v>
      </c>
      <c r="X29" s="43"/>
      <c r="Y29" s="43"/>
      <c r="Z29" s="43"/>
      <c r="AA29" s="43"/>
      <c r="AB29" s="43"/>
      <c r="AC29" s="43"/>
      <c r="AD29" s="43"/>
      <c r="AE29" s="43"/>
      <c r="AF29" s="43"/>
    </row>
    <row r="30" spans="2:35" s="38" customFormat="1" ht="16.5" customHeight="1">
      <c r="C30" s="41">
        <v>41791</v>
      </c>
      <c r="D30" s="42">
        <v>6.9165999999999999</v>
      </c>
      <c r="E30" s="42">
        <v>5.8940999999999999</v>
      </c>
      <c r="F30" s="42">
        <v>5.3395999999999999</v>
      </c>
      <c r="G30" s="42">
        <v>8.5411999999999999</v>
      </c>
      <c r="H30" s="42"/>
      <c r="I30" s="42"/>
      <c r="J30" s="42"/>
      <c r="K30" s="42"/>
      <c r="L30" s="42"/>
      <c r="M30" s="42"/>
      <c r="N30" s="42"/>
      <c r="O30" s="42"/>
      <c r="P30" s="42"/>
      <c r="Q30" s="39"/>
      <c r="R30" s="39"/>
      <c r="S30" s="41">
        <v>41791</v>
      </c>
      <c r="T30" s="43">
        <v>3.8899999999999997E-2</v>
      </c>
      <c r="U30" s="43">
        <v>2.7699999999999999E-2</v>
      </c>
      <c r="V30" s="43">
        <v>3.0999999999999999E-3</v>
      </c>
      <c r="W30" s="43">
        <v>0</v>
      </c>
      <c r="X30" s="43"/>
      <c r="Y30" s="43"/>
      <c r="Z30" s="43"/>
      <c r="AA30" s="43"/>
      <c r="AB30" s="43"/>
      <c r="AC30" s="43"/>
      <c r="AD30" s="43"/>
      <c r="AE30" s="43"/>
      <c r="AF30" s="43"/>
    </row>
    <row r="31" spans="2:35" s="38" customFormat="1" ht="16.5" customHeight="1">
      <c r="C31" s="41">
        <v>41821</v>
      </c>
      <c r="D31" s="42">
        <v>6.4720000000000004</v>
      </c>
      <c r="E31" s="42">
        <v>5.4923000000000002</v>
      </c>
      <c r="F31" s="42">
        <v>4.8250000000000002</v>
      </c>
      <c r="G31" s="42">
        <v>7.7906000000000004</v>
      </c>
      <c r="H31" s="42"/>
      <c r="I31" s="42"/>
      <c r="J31" s="42"/>
      <c r="K31" s="42"/>
      <c r="L31" s="42"/>
      <c r="M31" s="42"/>
      <c r="N31" s="42"/>
      <c r="O31" s="42"/>
      <c r="P31" s="42"/>
      <c r="Q31" s="39"/>
      <c r="R31" s="39"/>
      <c r="S31" s="41">
        <v>41821</v>
      </c>
      <c r="T31" s="43">
        <v>3.9800000000000002E-2</v>
      </c>
      <c r="U31" s="43">
        <v>2.58E-2</v>
      </c>
      <c r="V31" s="43">
        <v>2.6100000000000002E-2</v>
      </c>
      <c r="W31" s="43">
        <v>4.2799999999999998E-2</v>
      </c>
      <c r="X31" s="43"/>
      <c r="Y31" s="43"/>
      <c r="Z31" s="43"/>
      <c r="AA31" s="43"/>
      <c r="AB31" s="43"/>
      <c r="AC31" s="43"/>
      <c r="AD31" s="43"/>
      <c r="AE31" s="43"/>
      <c r="AF31" s="43"/>
    </row>
    <row r="32" spans="2:35" s="38" customFormat="1" ht="16.5" customHeight="1">
      <c r="C32" s="41">
        <v>41852</v>
      </c>
      <c r="D32" s="42">
        <v>5.0166000000000004</v>
      </c>
      <c r="E32" s="42">
        <v>4.6874000000000002</v>
      </c>
      <c r="F32" s="42">
        <v>4.5701999999999998</v>
      </c>
      <c r="G32" s="42">
        <v>7.0224000000000002</v>
      </c>
      <c r="H32" s="42">
        <v>34.337400000000002</v>
      </c>
      <c r="I32" s="42"/>
      <c r="J32" s="42">
        <v>26.836099999999998</v>
      </c>
      <c r="K32" s="42"/>
      <c r="L32" s="42"/>
      <c r="M32" s="42"/>
      <c r="N32" s="42"/>
      <c r="O32" s="42"/>
      <c r="P32" s="42"/>
      <c r="Q32" s="39"/>
      <c r="R32" s="39"/>
      <c r="S32" s="41">
        <v>41852</v>
      </c>
      <c r="T32" s="43">
        <v>3.09E-2</v>
      </c>
      <c r="U32" s="43">
        <v>2.06E-2</v>
      </c>
      <c r="V32" s="43">
        <v>4.4900000000000002E-2</v>
      </c>
      <c r="W32" s="43">
        <v>3.3999999999999998E-3</v>
      </c>
      <c r="X32" s="43">
        <v>0</v>
      </c>
      <c r="Y32" s="43"/>
      <c r="Z32" s="43">
        <v>0</v>
      </c>
      <c r="AA32" s="43"/>
      <c r="AB32" s="43"/>
      <c r="AC32" s="43"/>
      <c r="AD32" s="43"/>
      <c r="AE32" s="43"/>
      <c r="AF32" s="43"/>
    </row>
    <row r="33" spans="3:32" s="38" customFormat="1" ht="16.5" customHeight="1">
      <c r="C33" s="41">
        <v>41883</v>
      </c>
      <c r="D33" s="42">
        <v>6.4724000000000004</v>
      </c>
      <c r="E33" s="42">
        <v>5.3079999999999998</v>
      </c>
      <c r="F33" s="42">
        <v>5.1115000000000004</v>
      </c>
      <c r="G33" s="42">
        <v>7.5042999999999997</v>
      </c>
      <c r="H33" s="42">
        <v>13.198499999999999</v>
      </c>
      <c r="I33" s="42">
        <v>13.3165</v>
      </c>
      <c r="J33" s="42">
        <v>11.3437</v>
      </c>
      <c r="K33" s="42">
        <v>17.9786</v>
      </c>
      <c r="L33" s="42">
        <v>7.9057000000000004</v>
      </c>
      <c r="M33" s="42"/>
      <c r="N33" s="42"/>
      <c r="O33" s="42"/>
      <c r="P33" s="42"/>
      <c r="Q33" s="39"/>
      <c r="R33" s="39"/>
      <c r="S33" s="41">
        <v>41883</v>
      </c>
      <c r="T33" s="43">
        <v>5.0900000000000001E-2</v>
      </c>
      <c r="U33" s="43">
        <v>5.4300000000000001E-2</v>
      </c>
      <c r="V33" s="43">
        <v>2.86E-2</v>
      </c>
      <c r="W33" s="43">
        <v>3.9E-2</v>
      </c>
      <c r="X33" s="43">
        <v>0</v>
      </c>
      <c r="Y33" s="43">
        <v>0</v>
      </c>
      <c r="Z33" s="43">
        <v>0</v>
      </c>
      <c r="AA33" s="43">
        <v>6.1999999999999998E-3</v>
      </c>
      <c r="AB33" s="43">
        <v>0</v>
      </c>
      <c r="AC33" s="43"/>
      <c r="AD33" s="43"/>
      <c r="AE33" s="43"/>
      <c r="AF33" s="43"/>
    </row>
    <row r="34" spans="3:32" s="38" customFormat="1" ht="16.5" customHeight="1">
      <c r="C34" s="41">
        <v>41913</v>
      </c>
      <c r="D34" s="42">
        <v>5.2816000000000001</v>
      </c>
      <c r="E34" s="42">
        <v>4.5232999999999999</v>
      </c>
      <c r="F34" s="42">
        <v>4.7755000000000001</v>
      </c>
      <c r="G34" s="42">
        <v>10.3561</v>
      </c>
      <c r="H34" s="42">
        <v>22.500599999999999</v>
      </c>
      <c r="I34" s="42">
        <v>22.260400000000001</v>
      </c>
      <c r="J34" s="42">
        <v>17.6995</v>
      </c>
      <c r="K34" s="42">
        <v>7.1130000000000004</v>
      </c>
      <c r="L34" s="42">
        <v>16.529800000000002</v>
      </c>
      <c r="M34" s="42"/>
      <c r="N34" s="42"/>
      <c r="O34" s="42"/>
      <c r="P34" s="42"/>
      <c r="Q34" s="39"/>
      <c r="R34" s="39"/>
      <c r="S34" s="41">
        <v>41913</v>
      </c>
      <c r="T34" s="43">
        <v>5.8500000000000003E-2</v>
      </c>
      <c r="U34" s="43">
        <v>5.67E-2</v>
      </c>
      <c r="V34" s="43">
        <v>4.2700000000000002E-2</v>
      </c>
      <c r="W34" s="43">
        <v>2.5000000000000001E-2</v>
      </c>
      <c r="X34" s="43">
        <v>0</v>
      </c>
      <c r="Y34" s="43">
        <v>0</v>
      </c>
      <c r="Z34" s="43">
        <v>0</v>
      </c>
      <c r="AA34" s="43">
        <v>0</v>
      </c>
      <c r="AB34" s="43">
        <v>0</v>
      </c>
      <c r="AC34" s="43"/>
      <c r="AD34" s="43"/>
      <c r="AE34" s="43"/>
      <c r="AF34" s="43"/>
    </row>
    <row r="35" spans="3:32" s="38" customFormat="1" ht="16.5" customHeight="1">
      <c r="C35" s="41">
        <v>41944</v>
      </c>
      <c r="D35" s="42">
        <v>6.0025000000000004</v>
      </c>
      <c r="E35" s="42">
        <v>5.1199000000000003</v>
      </c>
      <c r="F35" s="42">
        <v>5.1914999999999996</v>
      </c>
      <c r="G35" s="42">
        <v>11.3248</v>
      </c>
      <c r="H35" s="42">
        <v>22.5213</v>
      </c>
      <c r="I35" s="42">
        <v>21.629799999999999</v>
      </c>
      <c r="J35" s="42">
        <v>18.272500000000001</v>
      </c>
      <c r="K35" s="42">
        <v>7.6486000000000001</v>
      </c>
      <c r="L35" s="42">
        <v>14.737299999999999</v>
      </c>
      <c r="M35" s="42"/>
      <c r="N35" s="42"/>
      <c r="O35" s="42"/>
      <c r="P35" s="42"/>
      <c r="Q35" s="39"/>
      <c r="R35" s="39"/>
      <c r="S35" s="41">
        <v>41944</v>
      </c>
      <c r="T35" s="43">
        <v>2.3800000000000002E-2</v>
      </c>
      <c r="U35" s="43">
        <v>4.8800000000000003E-2</v>
      </c>
      <c r="V35" s="43">
        <v>2.1299999999999999E-2</v>
      </c>
      <c r="W35" s="43">
        <v>2.2499999999999999E-2</v>
      </c>
      <c r="X35" s="43">
        <v>4.2700000000000002E-2</v>
      </c>
      <c r="Y35" s="43">
        <v>0</v>
      </c>
      <c r="Z35" s="43">
        <v>4.3099999999999999E-2</v>
      </c>
      <c r="AA35" s="43">
        <v>0</v>
      </c>
      <c r="AB35" s="43">
        <v>0</v>
      </c>
      <c r="AC35" s="43"/>
      <c r="AD35" s="43"/>
      <c r="AE35" s="43"/>
      <c r="AF35" s="43"/>
    </row>
    <row r="36" spans="3:32" s="38" customFormat="1" ht="16.5" customHeight="1">
      <c r="C36" s="41">
        <v>41974</v>
      </c>
      <c r="D36" s="42">
        <v>5.2076000000000002</v>
      </c>
      <c r="E36" s="42">
        <v>3.7650000000000001</v>
      </c>
      <c r="F36" s="42">
        <v>4.2118000000000002</v>
      </c>
      <c r="G36" s="42">
        <v>9.6349999999999998</v>
      </c>
      <c r="H36" s="42">
        <v>19.411799999999999</v>
      </c>
      <c r="I36" s="42">
        <v>21.002500000000001</v>
      </c>
      <c r="J36" s="42">
        <v>15.596500000000001</v>
      </c>
      <c r="K36" s="42">
        <v>6.3979999999999997</v>
      </c>
      <c r="L36" s="42">
        <v>15.9307</v>
      </c>
      <c r="M36" s="42"/>
      <c r="N36" s="42"/>
      <c r="O36" s="42"/>
      <c r="P36" s="42"/>
      <c r="Q36" s="39"/>
      <c r="R36" s="39"/>
      <c r="S36" s="41">
        <v>41974</v>
      </c>
      <c r="T36" s="43">
        <v>9.3100000000000002E-2</v>
      </c>
      <c r="U36" s="43">
        <v>2.7799999999999998E-2</v>
      </c>
      <c r="V36" s="43">
        <v>6.59E-2</v>
      </c>
      <c r="W36" s="43">
        <v>3.2599999999999997E-2</v>
      </c>
      <c r="X36" s="43">
        <v>0</v>
      </c>
      <c r="Y36" s="43">
        <v>0</v>
      </c>
      <c r="Z36" s="43">
        <v>0.1948</v>
      </c>
      <c r="AA36" s="43">
        <v>2.5999999999999999E-2</v>
      </c>
      <c r="AB36" s="43">
        <v>0</v>
      </c>
      <c r="AC36" s="43"/>
      <c r="AD36" s="43"/>
      <c r="AE36" s="43"/>
      <c r="AF36" s="43"/>
    </row>
    <row r="37" spans="3:32" s="38" customFormat="1" ht="16.5" customHeight="1">
      <c r="C37" s="41">
        <v>42005</v>
      </c>
      <c r="D37" s="42">
        <v>7.9896000000000003</v>
      </c>
      <c r="E37" s="42">
        <v>4.7008000000000001</v>
      </c>
      <c r="F37" s="42">
        <v>5.9295999999999998</v>
      </c>
      <c r="G37" s="42">
        <v>17.597200000000001</v>
      </c>
      <c r="H37" s="42">
        <v>37.158299999999997</v>
      </c>
      <c r="I37" s="42">
        <v>35.541899999999998</v>
      </c>
      <c r="J37" s="42">
        <v>30.398</v>
      </c>
      <c r="K37" s="42">
        <v>11.402200000000001</v>
      </c>
      <c r="L37" s="42">
        <v>28.165900000000001</v>
      </c>
      <c r="M37" s="42">
        <v>51.978200000000001</v>
      </c>
      <c r="N37" s="42"/>
      <c r="O37" s="42"/>
      <c r="P37" s="42"/>
      <c r="Q37" s="39"/>
      <c r="R37" s="39"/>
      <c r="S37" s="41">
        <v>42005</v>
      </c>
      <c r="T37" s="43">
        <v>3.1E-2</v>
      </c>
      <c r="U37" s="43">
        <v>8.4000000000000005E-2</v>
      </c>
      <c r="V37" s="43">
        <v>2.35E-2</v>
      </c>
      <c r="W37" s="43">
        <v>3.6299999999999999E-2</v>
      </c>
      <c r="X37" s="43">
        <v>4.1000000000000002E-2</v>
      </c>
      <c r="Y37" s="43">
        <v>0</v>
      </c>
      <c r="Z37" s="43">
        <v>0</v>
      </c>
      <c r="AA37" s="43">
        <v>6.5199999999999994E-2</v>
      </c>
      <c r="AB37" s="43">
        <v>0</v>
      </c>
      <c r="AC37" s="43">
        <v>0</v>
      </c>
      <c r="AD37" s="43"/>
      <c r="AE37" s="43"/>
      <c r="AF37" s="43"/>
    </row>
    <row r="38" spans="3:32" s="38" customFormat="1" ht="16.5" customHeight="1">
      <c r="C38" s="41">
        <v>42036</v>
      </c>
      <c r="D38" s="42">
        <v>11.042299999999999</v>
      </c>
      <c r="E38" s="42">
        <v>7.3334999999999999</v>
      </c>
      <c r="F38" s="42">
        <v>7.6299000000000001</v>
      </c>
      <c r="G38" s="42">
        <v>19.887699999999999</v>
      </c>
      <c r="H38" s="42">
        <v>38.846600000000002</v>
      </c>
      <c r="I38" s="42">
        <v>41.523499999999999</v>
      </c>
      <c r="J38" s="42">
        <v>33.429000000000002</v>
      </c>
      <c r="K38" s="42">
        <v>14.1052</v>
      </c>
      <c r="L38" s="42">
        <v>34.780200000000001</v>
      </c>
      <c r="M38" s="42">
        <v>37.950000000000003</v>
      </c>
      <c r="N38" s="42"/>
      <c r="O38" s="42"/>
      <c r="P38" s="42"/>
      <c r="Q38" s="39"/>
      <c r="R38" s="39"/>
      <c r="S38" s="41">
        <v>42036</v>
      </c>
      <c r="T38" s="43">
        <v>5.7599999999999998E-2</v>
      </c>
      <c r="U38" s="43">
        <v>4.3700000000000003E-2</v>
      </c>
      <c r="V38" s="43">
        <v>3.1099999999999999E-2</v>
      </c>
      <c r="W38" s="43">
        <v>3.4700000000000002E-2</v>
      </c>
      <c r="X38" s="43">
        <v>4.6100000000000002E-2</v>
      </c>
      <c r="Y38" s="43">
        <v>1.9099999999999999E-2</v>
      </c>
      <c r="Z38" s="43">
        <v>0.1084</v>
      </c>
      <c r="AA38" s="43">
        <v>8.3799999999999999E-2</v>
      </c>
      <c r="AB38" s="43">
        <v>0.18659999999999999</v>
      </c>
      <c r="AC38" s="43">
        <v>0</v>
      </c>
      <c r="AD38" s="43"/>
      <c r="AE38" s="43"/>
      <c r="AF38" s="43"/>
    </row>
    <row r="39" spans="3:32" s="38" customFormat="1" ht="16.5" customHeight="1">
      <c r="C39" s="41">
        <v>42064</v>
      </c>
      <c r="D39" s="42">
        <v>9.9810999999999996</v>
      </c>
      <c r="E39" s="42">
        <v>7.4539999999999997</v>
      </c>
      <c r="F39" s="42">
        <v>8.0511999999999997</v>
      </c>
      <c r="G39" s="42">
        <v>13.9582</v>
      </c>
      <c r="H39" s="42">
        <v>27.4253</v>
      </c>
      <c r="I39" s="42">
        <v>27.0959</v>
      </c>
      <c r="J39" s="42">
        <v>22.344000000000001</v>
      </c>
      <c r="K39" s="42">
        <v>12.1469</v>
      </c>
      <c r="L39" s="42">
        <v>22.173100000000002</v>
      </c>
      <c r="M39" s="42">
        <v>23.9587</v>
      </c>
      <c r="N39" s="42"/>
      <c r="O39" s="42">
        <v>39.482300000000002</v>
      </c>
      <c r="P39" s="42"/>
      <c r="Q39" s="39"/>
      <c r="R39" s="39"/>
      <c r="S39" s="41">
        <v>42064</v>
      </c>
      <c r="T39" s="43">
        <v>7.2300000000000003E-2</v>
      </c>
      <c r="U39" s="43">
        <v>6.3100000000000003E-2</v>
      </c>
      <c r="V39" s="43">
        <v>2.2800000000000001E-2</v>
      </c>
      <c r="W39" s="43">
        <v>4.1599999999999998E-2</v>
      </c>
      <c r="X39" s="43">
        <v>9.6799999999999997E-2</v>
      </c>
      <c r="Y39" s="43">
        <v>0</v>
      </c>
      <c r="Z39" s="43">
        <v>0.1807</v>
      </c>
      <c r="AA39" s="43">
        <v>0.06</v>
      </c>
      <c r="AB39" s="43">
        <v>0.1017</v>
      </c>
      <c r="AC39" s="43">
        <v>0</v>
      </c>
      <c r="AD39" s="43"/>
      <c r="AE39" s="43">
        <v>0</v>
      </c>
      <c r="AF39" s="43"/>
    </row>
    <row r="40" spans="3:32" s="38" customFormat="1" ht="16.5" customHeight="1">
      <c r="C40" s="41">
        <v>42095</v>
      </c>
      <c r="D40" s="42">
        <v>9.9797999999999991</v>
      </c>
      <c r="E40" s="42">
        <v>8.0878999999999994</v>
      </c>
      <c r="F40" s="42">
        <v>9.2845999999999993</v>
      </c>
      <c r="G40" s="42">
        <v>13.7494</v>
      </c>
      <c r="H40" s="42">
        <v>24.923400000000001</v>
      </c>
      <c r="I40" s="42">
        <v>23.529800000000002</v>
      </c>
      <c r="J40" s="42">
        <v>21.953800000000001</v>
      </c>
      <c r="K40" s="42">
        <v>12.386200000000001</v>
      </c>
      <c r="L40" s="42">
        <v>20.960100000000001</v>
      </c>
      <c r="M40" s="42">
        <v>22.691099999999999</v>
      </c>
      <c r="N40" s="42">
        <v>16.482600000000001</v>
      </c>
      <c r="O40" s="42">
        <v>17.138100000000001</v>
      </c>
      <c r="P40" s="42">
        <v>12.428100000000001</v>
      </c>
      <c r="Q40" s="39"/>
      <c r="R40" s="39"/>
      <c r="S40" s="41">
        <v>42095</v>
      </c>
      <c r="T40" s="43">
        <v>5.2200000000000003E-2</v>
      </c>
      <c r="U40" s="43">
        <v>0.1116</v>
      </c>
      <c r="V40" s="43">
        <v>6.3500000000000001E-2</v>
      </c>
      <c r="W40" s="43">
        <v>5.2600000000000001E-2</v>
      </c>
      <c r="X40" s="43">
        <v>5.9700000000000003E-2</v>
      </c>
      <c r="Y40" s="43">
        <v>6.83E-2</v>
      </c>
      <c r="Z40" s="43">
        <v>0.22869999999999999</v>
      </c>
      <c r="AA40" s="43">
        <v>6.0499999999999998E-2</v>
      </c>
      <c r="AB40" s="43">
        <v>0.1095</v>
      </c>
      <c r="AC40" s="43">
        <v>0</v>
      </c>
      <c r="AD40" s="43">
        <v>0</v>
      </c>
      <c r="AE40" s="43">
        <v>0</v>
      </c>
      <c r="AF40" s="43">
        <v>0</v>
      </c>
    </row>
    <row r="41" spans="3:32" s="38" customFormat="1" ht="16.5" customHeight="1">
      <c r="C41" s="44">
        <v>42125</v>
      </c>
      <c r="D41" s="45">
        <v>11.419499999999999</v>
      </c>
      <c r="E41" s="45">
        <v>9.1</v>
      </c>
      <c r="F41" s="45">
        <v>9.7987000000000002</v>
      </c>
      <c r="G41" s="45">
        <v>13.478199999999999</v>
      </c>
      <c r="H41" s="45">
        <v>21.3535</v>
      </c>
      <c r="I41" s="45">
        <v>22.621600000000001</v>
      </c>
      <c r="J41" s="45">
        <v>21.616299999999999</v>
      </c>
      <c r="K41" s="45">
        <v>12.855</v>
      </c>
      <c r="L41" s="45">
        <v>19.663900000000002</v>
      </c>
      <c r="M41" s="45">
        <v>19.299199999999999</v>
      </c>
      <c r="N41" s="45">
        <v>10.3049</v>
      </c>
      <c r="O41" s="45">
        <v>15.325200000000001</v>
      </c>
      <c r="P41" s="45">
        <v>12.8009</v>
      </c>
      <c r="Q41" s="39"/>
      <c r="R41" s="39"/>
      <c r="S41" s="44">
        <v>42125</v>
      </c>
      <c r="T41" s="46">
        <v>0.12759999999999999</v>
      </c>
      <c r="U41" s="46">
        <v>2.2200000000000001E-2</v>
      </c>
      <c r="V41" s="46">
        <v>2.69E-2</v>
      </c>
      <c r="W41" s="46">
        <v>5.04E-2</v>
      </c>
      <c r="X41" s="46">
        <v>0.1091</v>
      </c>
      <c r="Y41" s="46">
        <v>5.1000000000000004E-3</v>
      </c>
      <c r="Z41" s="46">
        <v>6.4899999999999999E-2</v>
      </c>
      <c r="AA41" s="46">
        <v>6.08E-2</v>
      </c>
      <c r="AB41" s="46">
        <v>0.1643</v>
      </c>
      <c r="AC41" s="46">
        <v>2.7900000000000001E-2</v>
      </c>
      <c r="AD41" s="46">
        <v>0</v>
      </c>
      <c r="AE41" s="46">
        <v>0</v>
      </c>
      <c r="AF41" s="46">
        <v>0</v>
      </c>
    </row>
    <row r="42" spans="3:32" ht="17.25" hidden="1" customHeight="1">
      <c r="C42" s="28"/>
      <c r="D42" s="29">
        <v>50</v>
      </c>
      <c r="E42" s="29">
        <v>50</v>
      </c>
      <c r="F42" s="29">
        <v>50</v>
      </c>
      <c r="G42" s="29">
        <v>50</v>
      </c>
      <c r="H42" s="29">
        <v>50</v>
      </c>
      <c r="I42" s="29">
        <v>50</v>
      </c>
      <c r="J42" s="29">
        <v>50</v>
      </c>
      <c r="K42" s="29">
        <v>50</v>
      </c>
      <c r="L42" s="29">
        <v>50</v>
      </c>
      <c r="M42" s="29">
        <v>50</v>
      </c>
      <c r="N42" s="29">
        <v>50</v>
      </c>
      <c r="O42" s="29">
        <v>50</v>
      </c>
      <c r="P42" s="29">
        <v>50</v>
      </c>
      <c r="Q42" s="24"/>
      <c r="R42" s="24"/>
      <c r="S42" s="28"/>
      <c r="T42" s="30">
        <v>0.5</v>
      </c>
      <c r="U42" s="30">
        <v>0.5</v>
      </c>
      <c r="V42" s="30">
        <v>0.5</v>
      </c>
      <c r="W42" s="30">
        <v>0.5</v>
      </c>
      <c r="X42" s="30">
        <v>0.5</v>
      </c>
      <c r="Y42" s="30">
        <v>0.5</v>
      </c>
      <c r="Z42" s="30">
        <v>0.5</v>
      </c>
      <c r="AA42" s="30">
        <v>0.5</v>
      </c>
      <c r="AB42" s="30">
        <v>0.5</v>
      </c>
      <c r="AC42" s="30">
        <v>0.5</v>
      </c>
      <c r="AD42" s="30">
        <v>0.5</v>
      </c>
      <c r="AE42" s="30">
        <v>0.5</v>
      </c>
      <c r="AF42" s="30">
        <v>0.5</v>
      </c>
    </row>
    <row r="43" spans="3:32" ht="17.25" customHeight="1">
      <c r="C43" s="28"/>
      <c r="D43" s="29"/>
      <c r="E43" s="29"/>
      <c r="F43" s="29"/>
      <c r="G43" s="29"/>
      <c r="H43" s="29"/>
      <c r="I43" s="29"/>
      <c r="J43" s="29"/>
      <c r="K43" s="29"/>
      <c r="L43" s="29"/>
      <c r="M43" s="29"/>
      <c r="N43" s="29"/>
      <c r="O43" s="29"/>
      <c r="P43" s="29"/>
      <c r="Q43" s="24"/>
      <c r="R43" s="24"/>
      <c r="S43" s="28"/>
      <c r="T43" s="30"/>
      <c r="U43" s="30"/>
      <c r="V43" s="30"/>
      <c r="W43" s="30"/>
      <c r="X43" s="30"/>
      <c r="Y43" s="30"/>
      <c r="Z43" s="30"/>
      <c r="AA43" s="30"/>
      <c r="AB43" s="30"/>
      <c r="AC43" s="30"/>
      <c r="AD43" s="30"/>
      <c r="AE43" s="30"/>
      <c r="AF43" s="30"/>
    </row>
    <row r="44" spans="3:32" ht="17.25" customHeight="1">
      <c r="C44" s="28"/>
      <c r="D44" s="29"/>
      <c r="E44" s="29"/>
      <c r="F44" s="29"/>
      <c r="G44" s="29"/>
      <c r="H44" s="29"/>
      <c r="I44" s="29"/>
      <c r="J44" s="29"/>
      <c r="K44" s="29"/>
      <c r="L44" s="29"/>
      <c r="M44" s="29"/>
      <c r="N44" s="29"/>
      <c r="O44" s="29"/>
      <c r="P44" s="29"/>
      <c r="Q44" s="24"/>
      <c r="R44" s="24"/>
      <c r="S44" s="28"/>
      <c r="T44" s="30"/>
      <c r="U44" s="30"/>
      <c r="V44" s="30"/>
      <c r="W44" s="30"/>
      <c r="X44" s="30"/>
      <c r="Y44" s="30"/>
      <c r="Z44" s="30"/>
      <c r="AA44" s="30"/>
      <c r="AB44" s="30"/>
      <c r="AC44" s="30"/>
      <c r="AD44" s="30"/>
      <c r="AE44" s="30"/>
      <c r="AF44" s="30"/>
    </row>
    <row r="45" spans="3:32" ht="17.25" customHeight="1">
      <c r="C45" s="28"/>
      <c r="D45" s="30"/>
      <c r="E45" s="30"/>
      <c r="F45" s="30"/>
      <c r="G45" s="30"/>
      <c r="H45" s="30"/>
      <c r="I45" s="30"/>
      <c r="J45" s="30"/>
      <c r="K45" s="30"/>
      <c r="L45" s="30"/>
      <c r="M45" s="30"/>
      <c r="N45" s="30"/>
      <c r="O45" s="30"/>
      <c r="P45" s="30"/>
      <c r="Q45" s="24"/>
      <c r="R45" s="24"/>
      <c r="S45" s="24"/>
      <c r="T45" s="24"/>
      <c r="U45" s="24"/>
      <c r="V45" s="24"/>
      <c r="W45" s="24"/>
      <c r="X45" s="24"/>
      <c r="Y45" s="24"/>
      <c r="Z45" s="24"/>
      <c r="AA45" s="24"/>
      <c r="AB45" s="24"/>
      <c r="AC45" s="24"/>
      <c r="AD45" s="24"/>
      <c r="AE45" s="24"/>
      <c r="AF45" s="24"/>
    </row>
    <row r="46" spans="3:32" ht="17.25" customHeight="1">
      <c r="C46" s="51" t="s">
        <v>61</v>
      </c>
      <c r="D46" s="51"/>
      <c r="E46" s="51"/>
      <c r="F46" s="51"/>
      <c r="G46" s="51"/>
      <c r="H46" s="51"/>
      <c r="I46" s="51"/>
      <c r="J46" s="51"/>
      <c r="K46" s="51"/>
      <c r="L46" s="51"/>
      <c r="M46" s="51"/>
      <c r="N46" s="51"/>
      <c r="O46" s="51"/>
      <c r="P46" s="51"/>
      <c r="Q46" s="24"/>
      <c r="R46" s="24"/>
      <c r="S46" s="52" t="s">
        <v>62</v>
      </c>
      <c r="T46" s="52"/>
      <c r="U46" s="52"/>
      <c r="V46" s="52"/>
      <c r="W46" s="52"/>
      <c r="X46" s="52"/>
      <c r="Y46" s="52"/>
      <c r="Z46" s="52"/>
      <c r="AA46" s="52"/>
      <c r="AB46" s="52"/>
      <c r="AC46" s="52"/>
      <c r="AD46" s="52"/>
      <c r="AE46" s="52"/>
      <c r="AF46" s="52"/>
    </row>
    <row r="47" spans="3:32" hidden="1">
      <c r="C47" s="62" t="s">
        <v>51</v>
      </c>
      <c r="D47" s="62" t="s">
        <v>34</v>
      </c>
      <c r="E47" s="63"/>
      <c r="F47" s="63"/>
      <c r="G47" s="63"/>
      <c r="H47" s="63"/>
      <c r="I47" s="63"/>
      <c r="J47" s="63"/>
      <c r="K47" s="63"/>
      <c r="L47" s="63"/>
      <c r="M47" s="63"/>
      <c r="N47" s="63"/>
      <c r="O47" s="63"/>
      <c r="P47" s="63"/>
      <c r="Q47" s="24"/>
      <c r="R47" s="24"/>
      <c r="S47" s="62" t="s">
        <v>52</v>
      </c>
      <c r="T47" s="62" t="s">
        <v>34</v>
      </c>
      <c r="U47" s="63"/>
      <c r="V47" s="63"/>
      <c r="W47" s="63"/>
      <c r="X47" s="63"/>
      <c r="Y47" s="63"/>
      <c r="Z47" s="63"/>
      <c r="AA47" s="63"/>
      <c r="AB47" s="63"/>
      <c r="AC47" s="63"/>
      <c r="AD47" s="63"/>
      <c r="AE47" s="63"/>
      <c r="AF47" s="63"/>
    </row>
    <row r="48" spans="3:32" s="13" customFormat="1" ht="12.75">
      <c r="C48" s="31" t="s">
        <v>35</v>
      </c>
      <c r="D48" s="31" t="s">
        <v>36</v>
      </c>
      <c r="E48" s="31" t="s">
        <v>37</v>
      </c>
      <c r="F48" s="31" t="s">
        <v>38</v>
      </c>
      <c r="G48" s="31" t="s">
        <v>39</v>
      </c>
      <c r="H48" s="31" t="s">
        <v>40</v>
      </c>
      <c r="I48" s="31" t="s">
        <v>41</v>
      </c>
      <c r="J48" s="31" t="s">
        <v>42</v>
      </c>
      <c r="K48" s="31" t="s">
        <v>43</v>
      </c>
      <c r="L48" s="31" t="s">
        <v>44</v>
      </c>
      <c r="M48" s="31" t="s">
        <v>45</v>
      </c>
      <c r="N48" s="31" t="s">
        <v>46</v>
      </c>
      <c r="O48" s="31" t="s">
        <v>47</v>
      </c>
      <c r="P48" s="31" t="s">
        <v>48</v>
      </c>
      <c r="Q48" s="34"/>
      <c r="R48" s="34"/>
      <c r="S48" s="32" t="s">
        <v>35</v>
      </c>
      <c r="T48" s="32" t="s">
        <v>36</v>
      </c>
      <c r="U48" s="32" t="s">
        <v>37</v>
      </c>
      <c r="V48" s="32" t="s">
        <v>38</v>
      </c>
      <c r="W48" s="32" t="s">
        <v>39</v>
      </c>
      <c r="X48" s="32" t="s">
        <v>40</v>
      </c>
      <c r="Y48" s="32" t="s">
        <v>41</v>
      </c>
      <c r="Z48" s="32" t="s">
        <v>42</v>
      </c>
      <c r="AA48" s="32" t="s">
        <v>43</v>
      </c>
      <c r="AB48" s="32" t="s">
        <v>44</v>
      </c>
      <c r="AC48" s="32" t="s">
        <v>45</v>
      </c>
      <c r="AD48" s="32" t="s">
        <v>46</v>
      </c>
      <c r="AE48" s="32" t="s">
        <v>47</v>
      </c>
      <c r="AF48" s="32" t="s">
        <v>48</v>
      </c>
    </row>
    <row r="49" spans="3:34" s="38" customFormat="1" ht="16.5" customHeight="1">
      <c r="C49" s="41">
        <v>41426</v>
      </c>
      <c r="D49" s="43">
        <v>0</v>
      </c>
      <c r="E49" s="43"/>
      <c r="F49" s="43"/>
      <c r="G49" s="43"/>
      <c r="H49" s="43"/>
      <c r="I49" s="43"/>
      <c r="J49" s="43"/>
      <c r="K49" s="43"/>
      <c r="L49" s="43"/>
      <c r="M49" s="43"/>
      <c r="N49" s="43"/>
      <c r="O49" s="43"/>
      <c r="P49" s="43"/>
      <c r="Q49" s="39"/>
      <c r="R49" s="39"/>
      <c r="S49" s="41">
        <v>41426</v>
      </c>
      <c r="T49" s="43">
        <v>0</v>
      </c>
      <c r="U49" s="43"/>
      <c r="V49" s="43"/>
      <c r="W49" s="43"/>
      <c r="X49" s="43"/>
      <c r="Y49" s="43"/>
      <c r="Z49" s="43"/>
      <c r="AA49" s="43"/>
      <c r="AB49" s="43"/>
      <c r="AC49" s="43"/>
      <c r="AD49" s="43"/>
      <c r="AE49" s="43"/>
      <c r="AF49" s="43"/>
    </row>
    <row r="50" spans="3:34" s="38" customFormat="1" ht="16.5" customHeight="1">
      <c r="C50" s="41">
        <v>41456</v>
      </c>
      <c r="D50" s="43">
        <v>0</v>
      </c>
      <c r="E50" s="43"/>
      <c r="F50" s="43"/>
      <c r="G50" s="43"/>
      <c r="H50" s="43"/>
      <c r="I50" s="43"/>
      <c r="J50" s="43"/>
      <c r="K50" s="43"/>
      <c r="L50" s="43"/>
      <c r="M50" s="43"/>
      <c r="N50" s="43"/>
      <c r="O50" s="43"/>
      <c r="P50" s="43"/>
      <c r="Q50" s="39"/>
      <c r="R50" s="39"/>
      <c r="S50" s="41">
        <v>41456</v>
      </c>
      <c r="T50" s="43">
        <v>0.12667221826199199</v>
      </c>
      <c r="U50" s="43"/>
      <c r="V50" s="43"/>
      <c r="W50" s="43"/>
      <c r="X50" s="43"/>
      <c r="Y50" s="43"/>
      <c r="Z50" s="43"/>
      <c r="AA50" s="43"/>
      <c r="AB50" s="43"/>
      <c r="AC50" s="43"/>
      <c r="AD50" s="43"/>
      <c r="AE50" s="43"/>
      <c r="AF50" s="43"/>
    </row>
    <row r="51" spans="3:34" s="38" customFormat="1" ht="16.5" customHeight="1">
      <c r="C51" s="41">
        <v>41487</v>
      </c>
      <c r="D51" s="43">
        <v>0</v>
      </c>
      <c r="E51" s="43"/>
      <c r="F51" s="43"/>
      <c r="G51" s="43"/>
      <c r="H51" s="43"/>
      <c r="I51" s="43"/>
      <c r="J51" s="43"/>
      <c r="K51" s="43"/>
      <c r="L51" s="43"/>
      <c r="M51" s="43"/>
      <c r="N51" s="43"/>
      <c r="O51" s="43"/>
      <c r="P51" s="43"/>
      <c r="Q51" s="39"/>
      <c r="R51" s="39"/>
      <c r="S51" s="41">
        <v>41487</v>
      </c>
      <c r="T51" s="43">
        <v>0.10356345223757799</v>
      </c>
      <c r="U51" s="43"/>
      <c r="V51" s="43"/>
      <c r="W51" s="43"/>
      <c r="X51" s="43"/>
      <c r="Y51" s="43"/>
      <c r="Z51" s="43"/>
      <c r="AA51" s="43"/>
      <c r="AB51" s="43"/>
      <c r="AC51" s="43"/>
      <c r="AD51" s="43"/>
      <c r="AE51" s="43"/>
      <c r="AF51" s="43"/>
      <c r="AG51" s="48"/>
      <c r="AH51" s="48"/>
    </row>
    <row r="52" spans="3:34" s="38" customFormat="1" ht="16.5" customHeight="1">
      <c r="C52" s="41">
        <v>41518</v>
      </c>
      <c r="D52" s="43">
        <v>0</v>
      </c>
      <c r="E52" s="43"/>
      <c r="F52" s="43"/>
      <c r="G52" s="43"/>
      <c r="H52" s="43"/>
      <c r="I52" s="43"/>
      <c r="J52" s="43"/>
      <c r="K52" s="43"/>
      <c r="L52" s="43"/>
      <c r="M52" s="43"/>
      <c r="N52" s="43"/>
      <c r="O52" s="43"/>
      <c r="P52" s="43"/>
      <c r="Q52" s="39"/>
      <c r="R52" s="39"/>
      <c r="S52" s="41">
        <v>41518</v>
      </c>
      <c r="T52" s="43">
        <v>0.137402924202362</v>
      </c>
      <c r="U52" s="43"/>
      <c r="V52" s="43"/>
      <c r="W52" s="43"/>
      <c r="X52" s="43"/>
      <c r="Y52" s="43"/>
      <c r="Z52" s="43"/>
      <c r="AA52" s="43"/>
      <c r="AB52" s="43"/>
      <c r="AC52" s="43"/>
      <c r="AD52" s="43"/>
      <c r="AE52" s="43"/>
      <c r="AF52" s="43"/>
      <c r="AG52" s="48"/>
      <c r="AH52" s="48"/>
    </row>
    <row r="53" spans="3:34" s="38" customFormat="1" ht="16.5" customHeight="1">
      <c r="C53" s="41">
        <v>41548</v>
      </c>
      <c r="D53" s="43">
        <v>0</v>
      </c>
      <c r="E53" s="43"/>
      <c r="F53" s="43"/>
      <c r="G53" s="43"/>
      <c r="H53" s="43"/>
      <c r="I53" s="43"/>
      <c r="J53" s="43"/>
      <c r="K53" s="43"/>
      <c r="L53" s="43"/>
      <c r="M53" s="43"/>
      <c r="N53" s="43"/>
      <c r="O53" s="43"/>
      <c r="P53" s="43"/>
      <c r="Q53" s="39"/>
      <c r="R53" s="39"/>
      <c r="S53" s="41">
        <v>41548</v>
      </c>
      <c r="T53" s="43">
        <v>0.15484221430720702</v>
      </c>
      <c r="U53" s="43"/>
      <c r="V53" s="43"/>
      <c r="W53" s="43"/>
      <c r="X53" s="43"/>
      <c r="Y53" s="43"/>
      <c r="Z53" s="43"/>
      <c r="AA53" s="43"/>
      <c r="AB53" s="43"/>
      <c r="AC53" s="43"/>
      <c r="AD53" s="43"/>
      <c r="AE53" s="43"/>
      <c r="AF53" s="43"/>
      <c r="AG53" s="48"/>
      <c r="AH53" s="48"/>
    </row>
    <row r="54" spans="3:34" s="38" customFormat="1" ht="16.5" customHeight="1">
      <c r="C54" s="41">
        <v>41579</v>
      </c>
      <c r="D54" s="43">
        <v>0</v>
      </c>
      <c r="E54" s="43">
        <v>0</v>
      </c>
      <c r="F54" s="43"/>
      <c r="G54" s="43"/>
      <c r="H54" s="43"/>
      <c r="I54" s="43"/>
      <c r="J54" s="43"/>
      <c r="K54" s="43"/>
      <c r="L54" s="43"/>
      <c r="M54" s="43"/>
      <c r="N54" s="43"/>
      <c r="O54" s="43"/>
      <c r="P54" s="43"/>
      <c r="Q54" s="39"/>
      <c r="R54" s="39"/>
      <c r="S54" s="41">
        <v>41579</v>
      </c>
      <c r="T54" s="43">
        <v>0.15094332223427401</v>
      </c>
      <c r="U54" s="43">
        <v>0.111349989822876</v>
      </c>
      <c r="V54" s="43"/>
      <c r="W54" s="43"/>
      <c r="X54" s="43"/>
      <c r="Y54" s="43"/>
      <c r="Z54" s="43"/>
      <c r="AA54" s="43"/>
      <c r="AB54" s="43"/>
      <c r="AC54" s="43"/>
      <c r="AD54" s="43"/>
      <c r="AE54" s="43"/>
      <c r="AF54" s="43"/>
      <c r="AG54" s="48"/>
      <c r="AH54" s="48"/>
    </row>
    <row r="55" spans="3:34" s="38" customFormat="1" ht="16.5" customHeight="1">
      <c r="C55" s="41">
        <v>41609</v>
      </c>
      <c r="D55" s="43">
        <v>0</v>
      </c>
      <c r="E55" s="43">
        <v>0</v>
      </c>
      <c r="F55" s="43"/>
      <c r="G55" s="43"/>
      <c r="H55" s="43"/>
      <c r="I55" s="43"/>
      <c r="J55" s="43"/>
      <c r="K55" s="43"/>
      <c r="L55" s="43"/>
      <c r="M55" s="43"/>
      <c r="N55" s="43"/>
      <c r="O55" s="43"/>
      <c r="P55" s="43"/>
      <c r="Q55" s="39"/>
      <c r="R55" s="39"/>
      <c r="S55" s="41">
        <v>41609</v>
      </c>
      <c r="T55" s="43">
        <v>0.21700490437786399</v>
      </c>
      <c r="U55" s="43">
        <v>0.17538831299275401</v>
      </c>
      <c r="V55" s="43"/>
      <c r="W55" s="43"/>
      <c r="X55" s="43"/>
      <c r="Y55" s="43"/>
      <c r="Z55" s="43"/>
      <c r="AA55" s="43"/>
      <c r="AB55" s="43"/>
      <c r="AC55" s="43"/>
      <c r="AD55" s="43"/>
      <c r="AE55" s="43"/>
      <c r="AF55" s="43"/>
      <c r="AG55" s="48"/>
      <c r="AH55" s="48"/>
    </row>
    <row r="56" spans="3:34" s="38" customFormat="1" ht="16.5" customHeight="1">
      <c r="C56" s="41">
        <v>41640</v>
      </c>
      <c r="D56" s="43">
        <v>0</v>
      </c>
      <c r="E56" s="43">
        <v>0</v>
      </c>
      <c r="F56" s="43"/>
      <c r="G56" s="43"/>
      <c r="H56" s="43"/>
      <c r="I56" s="43"/>
      <c r="J56" s="43"/>
      <c r="K56" s="43"/>
      <c r="L56" s="43"/>
      <c r="M56" s="43"/>
      <c r="N56" s="43"/>
      <c r="O56" s="43"/>
      <c r="P56" s="43"/>
      <c r="Q56" s="39"/>
      <c r="R56" s="39"/>
      <c r="S56" s="41">
        <v>41640</v>
      </c>
      <c r="T56" s="43">
        <v>0.21894667321964001</v>
      </c>
      <c r="U56" s="43">
        <v>0.18421270287605002</v>
      </c>
      <c r="V56" s="43"/>
      <c r="W56" s="43"/>
      <c r="X56" s="43"/>
      <c r="Y56" s="43"/>
      <c r="Z56" s="43"/>
      <c r="AA56" s="43"/>
      <c r="AB56" s="43"/>
      <c r="AC56" s="43"/>
      <c r="AD56" s="43"/>
      <c r="AE56" s="43"/>
      <c r="AF56" s="43"/>
      <c r="AG56" s="48"/>
      <c r="AH56" s="48"/>
    </row>
    <row r="57" spans="3:34" s="38" customFormat="1" ht="16.5" customHeight="1">
      <c r="C57" s="41">
        <v>41671</v>
      </c>
      <c r="D57" s="43">
        <v>0</v>
      </c>
      <c r="E57" s="43">
        <v>0</v>
      </c>
      <c r="F57" s="43">
        <v>0</v>
      </c>
      <c r="G57" s="43"/>
      <c r="H57" s="43"/>
      <c r="I57" s="43"/>
      <c r="J57" s="43"/>
      <c r="K57" s="43"/>
      <c r="L57" s="43"/>
      <c r="M57" s="43"/>
      <c r="N57" s="43"/>
      <c r="O57" s="43"/>
      <c r="P57" s="43"/>
      <c r="Q57" s="39"/>
      <c r="R57" s="39"/>
      <c r="S57" s="41">
        <v>41671</v>
      </c>
      <c r="T57" s="43">
        <v>0.23021683029496001</v>
      </c>
      <c r="U57" s="43">
        <v>0.17825470643351798</v>
      </c>
      <c r="V57" s="43">
        <v>8.3035215336207904E-2</v>
      </c>
      <c r="W57" s="43"/>
      <c r="X57" s="43"/>
      <c r="Y57" s="43"/>
      <c r="Z57" s="43"/>
      <c r="AA57" s="43"/>
      <c r="AB57" s="43"/>
      <c r="AC57" s="43"/>
      <c r="AD57" s="43"/>
      <c r="AE57" s="43"/>
      <c r="AF57" s="43"/>
      <c r="AG57" s="48"/>
      <c r="AH57" s="48"/>
    </row>
    <row r="58" spans="3:34" s="38" customFormat="1" ht="16.5" customHeight="1">
      <c r="C58" s="41">
        <v>41699</v>
      </c>
      <c r="D58" s="43">
        <v>0.01</v>
      </c>
      <c r="E58" s="43">
        <v>0</v>
      </c>
      <c r="F58" s="43">
        <v>0</v>
      </c>
      <c r="G58" s="43"/>
      <c r="H58" s="43"/>
      <c r="I58" s="43"/>
      <c r="J58" s="43"/>
      <c r="K58" s="43"/>
      <c r="L58" s="43"/>
      <c r="M58" s="43"/>
      <c r="N58" s="43"/>
      <c r="O58" s="43"/>
      <c r="P58" s="43"/>
      <c r="Q58" s="39"/>
      <c r="R58" s="39"/>
      <c r="S58" s="41">
        <v>41699</v>
      </c>
      <c r="T58" s="43">
        <v>0.28763854780915599</v>
      </c>
      <c r="U58" s="43">
        <v>0.24791712180865</v>
      </c>
      <c r="V58" s="43">
        <v>0.15226672684829901</v>
      </c>
      <c r="W58" s="43"/>
      <c r="X58" s="43"/>
      <c r="Y58" s="43"/>
      <c r="Z58" s="43"/>
      <c r="AA58" s="43"/>
      <c r="AB58" s="43"/>
      <c r="AC58" s="43"/>
      <c r="AD58" s="43"/>
      <c r="AE58" s="43"/>
      <c r="AF58" s="43"/>
      <c r="AG58" s="48"/>
      <c r="AH58" s="48"/>
    </row>
    <row r="59" spans="3:34" s="38" customFormat="1" ht="16.5" customHeight="1">
      <c r="C59" s="41">
        <v>41730</v>
      </c>
      <c r="D59" s="43">
        <v>0.01</v>
      </c>
      <c r="E59" s="43">
        <v>0</v>
      </c>
      <c r="F59" s="43">
        <v>0</v>
      </c>
      <c r="G59" s="43">
        <v>0</v>
      </c>
      <c r="H59" s="43"/>
      <c r="I59" s="43"/>
      <c r="J59" s="43"/>
      <c r="K59" s="43"/>
      <c r="L59" s="43"/>
      <c r="M59" s="43"/>
      <c r="N59" s="43"/>
      <c r="O59" s="43"/>
      <c r="P59" s="43"/>
      <c r="Q59" s="39"/>
      <c r="R59" s="39"/>
      <c r="S59" s="41">
        <v>41730</v>
      </c>
      <c r="T59" s="43">
        <v>0.17641106928362399</v>
      </c>
      <c r="U59" s="43">
        <v>0.20046795170412401</v>
      </c>
      <c r="V59" s="43">
        <v>0.11277179985904899</v>
      </c>
      <c r="W59" s="43">
        <v>0.125824980264575</v>
      </c>
      <c r="X59" s="43"/>
      <c r="Y59" s="43"/>
      <c r="Z59" s="43"/>
      <c r="AA59" s="43"/>
      <c r="AB59" s="43"/>
      <c r="AC59" s="43"/>
      <c r="AD59" s="43"/>
      <c r="AE59" s="43"/>
      <c r="AF59" s="43"/>
      <c r="AG59" s="48"/>
      <c r="AH59" s="48"/>
    </row>
    <row r="60" spans="3:34" s="38" customFormat="1" ht="16.5" customHeight="1">
      <c r="C60" s="41">
        <v>41760</v>
      </c>
      <c r="D60" s="43">
        <v>0.02</v>
      </c>
      <c r="E60" s="43">
        <v>0</v>
      </c>
      <c r="F60" s="43">
        <v>0</v>
      </c>
      <c r="G60" s="43">
        <v>0</v>
      </c>
      <c r="H60" s="43"/>
      <c r="I60" s="43"/>
      <c r="J60" s="43"/>
      <c r="K60" s="43"/>
      <c r="L60" s="43"/>
      <c r="M60" s="43"/>
      <c r="N60" s="43"/>
      <c r="O60" s="43"/>
      <c r="P60" s="43"/>
      <c r="Q60" s="39"/>
      <c r="R60" s="39"/>
      <c r="S60" s="41">
        <v>41760</v>
      </c>
      <c r="T60" s="43">
        <v>0.17421491729425201</v>
      </c>
      <c r="U60" s="43">
        <v>0.206107820186025</v>
      </c>
      <c r="V60" s="43">
        <v>0.137937264918369</v>
      </c>
      <c r="W60" s="43">
        <v>0.159444043323311</v>
      </c>
      <c r="X60" s="43"/>
      <c r="Y60" s="43"/>
      <c r="Z60" s="43"/>
      <c r="AA60" s="43"/>
      <c r="AB60" s="43"/>
      <c r="AC60" s="43"/>
      <c r="AD60" s="43"/>
      <c r="AE60" s="43"/>
      <c r="AF60" s="43"/>
      <c r="AG60" s="48"/>
      <c r="AH60" s="48"/>
    </row>
    <row r="61" spans="3:34" s="38" customFormat="1" ht="16.5" customHeight="1">
      <c r="C61" s="41">
        <v>41791</v>
      </c>
      <c r="D61" s="43">
        <v>0.02</v>
      </c>
      <c r="E61" s="43">
        <v>0</v>
      </c>
      <c r="F61" s="43">
        <v>0</v>
      </c>
      <c r="G61" s="43">
        <v>0</v>
      </c>
      <c r="H61" s="43"/>
      <c r="I61" s="43"/>
      <c r="J61" s="43"/>
      <c r="K61" s="43"/>
      <c r="L61" s="43"/>
      <c r="M61" s="43"/>
      <c r="N61" s="43"/>
      <c r="O61" s="43"/>
      <c r="P61" s="43"/>
      <c r="Q61" s="39"/>
      <c r="R61" s="39"/>
      <c r="S61" s="41">
        <v>41791</v>
      </c>
      <c r="T61" s="43">
        <v>0.18080148243312499</v>
      </c>
      <c r="U61" s="43">
        <v>0.19825996525561401</v>
      </c>
      <c r="V61" s="43">
        <v>0.16926852605984802</v>
      </c>
      <c r="W61" s="43">
        <v>0.162206789496806</v>
      </c>
      <c r="X61" s="43"/>
      <c r="Y61" s="43"/>
      <c r="Z61" s="43"/>
      <c r="AA61" s="43"/>
      <c r="AB61" s="43"/>
      <c r="AC61" s="43"/>
      <c r="AD61" s="43"/>
      <c r="AE61" s="43"/>
      <c r="AF61" s="43"/>
      <c r="AG61" s="48"/>
      <c r="AH61" s="48"/>
    </row>
    <row r="62" spans="3:34" s="38" customFormat="1" ht="16.5" customHeight="1">
      <c r="C62" s="41">
        <v>41821</v>
      </c>
      <c r="D62" s="43">
        <v>0.02</v>
      </c>
      <c r="E62" s="43">
        <v>0.01</v>
      </c>
      <c r="F62" s="43">
        <v>0</v>
      </c>
      <c r="G62" s="43">
        <v>0</v>
      </c>
      <c r="H62" s="43"/>
      <c r="I62" s="43"/>
      <c r="J62" s="43"/>
      <c r="K62" s="43"/>
      <c r="L62" s="43"/>
      <c r="M62" s="43"/>
      <c r="N62" s="43"/>
      <c r="O62" s="43"/>
      <c r="P62" s="43"/>
      <c r="Q62" s="39"/>
      <c r="R62" s="39"/>
      <c r="S62" s="41">
        <v>41821</v>
      </c>
      <c r="T62" s="43">
        <v>0.22194793062559801</v>
      </c>
      <c r="U62" s="43">
        <v>0.22383653709816698</v>
      </c>
      <c r="V62" s="43">
        <v>0.20239341257222701</v>
      </c>
      <c r="W62" s="43">
        <v>0.18349704792402902</v>
      </c>
      <c r="X62" s="43"/>
      <c r="Y62" s="43"/>
      <c r="Z62" s="43"/>
      <c r="AA62" s="43"/>
      <c r="AB62" s="43"/>
      <c r="AC62" s="43"/>
      <c r="AD62" s="43"/>
      <c r="AE62" s="43"/>
      <c r="AF62" s="43"/>
      <c r="AG62" s="48"/>
      <c r="AH62" s="48"/>
    </row>
    <row r="63" spans="3:34" s="38" customFormat="1" ht="16.5" customHeight="1">
      <c r="C63" s="41">
        <v>41852</v>
      </c>
      <c r="D63" s="43">
        <v>0.03</v>
      </c>
      <c r="E63" s="43">
        <v>0.01</v>
      </c>
      <c r="F63" s="43">
        <v>0</v>
      </c>
      <c r="G63" s="43">
        <v>0</v>
      </c>
      <c r="H63" s="43">
        <v>0</v>
      </c>
      <c r="I63" s="43"/>
      <c r="J63" s="43">
        <v>0</v>
      </c>
      <c r="K63" s="43"/>
      <c r="L63" s="43"/>
      <c r="M63" s="43"/>
      <c r="N63" s="43"/>
      <c r="O63" s="43"/>
      <c r="P63" s="43"/>
      <c r="Q63" s="39"/>
      <c r="R63" s="39"/>
      <c r="S63" s="41">
        <v>41852</v>
      </c>
      <c r="T63" s="43">
        <v>0.21691470665304502</v>
      </c>
      <c r="U63" s="43">
        <v>0.221458099902341</v>
      </c>
      <c r="V63" s="43">
        <v>0.21676206490169797</v>
      </c>
      <c r="W63" s="43">
        <v>0.177433496993155</v>
      </c>
      <c r="X63" s="43">
        <v>0.18750273449471</v>
      </c>
      <c r="Y63" s="43"/>
      <c r="Z63" s="43">
        <v>0.17774701574957899</v>
      </c>
      <c r="AA63" s="43"/>
      <c r="AB63" s="43"/>
      <c r="AC63" s="43"/>
      <c r="AD63" s="43"/>
      <c r="AE63" s="43"/>
      <c r="AF63" s="43"/>
      <c r="AG63" s="48"/>
      <c r="AH63" s="48"/>
    </row>
    <row r="64" spans="3:34" s="38" customFormat="1" ht="16.5" customHeight="1">
      <c r="C64" s="41">
        <v>41883</v>
      </c>
      <c r="D64" s="43">
        <v>0.03</v>
      </c>
      <c r="E64" s="43">
        <v>0.01</v>
      </c>
      <c r="F64" s="43">
        <v>0.01</v>
      </c>
      <c r="G64" s="43">
        <v>0</v>
      </c>
      <c r="H64" s="43">
        <v>0</v>
      </c>
      <c r="I64" s="43">
        <v>0</v>
      </c>
      <c r="J64" s="43">
        <v>0</v>
      </c>
      <c r="K64" s="43">
        <v>0</v>
      </c>
      <c r="L64" s="43">
        <v>0</v>
      </c>
      <c r="M64" s="43"/>
      <c r="N64" s="43"/>
      <c r="O64" s="43"/>
      <c r="P64" s="43"/>
      <c r="Q64" s="39"/>
      <c r="R64" s="39"/>
      <c r="S64" s="41">
        <v>41883</v>
      </c>
      <c r="T64" s="43">
        <v>0.25668689206130602</v>
      </c>
      <c r="U64" s="43">
        <v>0.25701887094479298</v>
      </c>
      <c r="V64" s="43">
        <v>0.25084879073542204</v>
      </c>
      <c r="W64" s="43">
        <v>0.22391729474885499</v>
      </c>
      <c r="X64" s="43">
        <v>0.218480727059924</v>
      </c>
      <c r="Y64" s="43">
        <v>0</v>
      </c>
      <c r="Z64" s="43">
        <v>0.26546245827528098</v>
      </c>
      <c r="AA64" s="43">
        <v>0.19867683813505799</v>
      </c>
      <c r="AB64" s="43">
        <v>0</v>
      </c>
      <c r="AC64" s="43"/>
      <c r="AD64" s="43"/>
      <c r="AE64" s="43"/>
      <c r="AF64" s="43"/>
      <c r="AG64" s="48"/>
      <c r="AH64" s="48"/>
    </row>
    <row r="65" spans="3:34" s="38" customFormat="1" ht="16.5" customHeight="1">
      <c r="C65" s="41">
        <v>41913</v>
      </c>
      <c r="D65" s="43">
        <v>0.04</v>
      </c>
      <c r="E65" s="43">
        <v>0.02</v>
      </c>
      <c r="F65" s="43">
        <v>0.01</v>
      </c>
      <c r="G65" s="43">
        <v>0.01</v>
      </c>
      <c r="H65" s="43">
        <v>0</v>
      </c>
      <c r="I65" s="43">
        <v>0</v>
      </c>
      <c r="J65" s="43">
        <v>0</v>
      </c>
      <c r="K65" s="43">
        <v>0</v>
      </c>
      <c r="L65" s="43">
        <v>0</v>
      </c>
      <c r="M65" s="43"/>
      <c r="N65" s="43"/>
      <c r="O65" s="43"/>
      <c r="P65" s="43"/>
      <c r="Q65" s="39"/>
      <c r="R65" s="39"/>
      <c r="S65" s="41">
        <v>41913</v>
      </c>
      <c r="T65" s="43">
        <v>0.24419934930955201</v>
      </c>
      <c r="U65" s="43">
        <v>0.25146402216979902</v>
      </c>
      <c r="V65" s="43">
        <v>0.24358036540553901</v>
      </c>
      <c r="W65" s="43">
        <v>0.23875834479081601</v>
      </c>
      <c r="X65" s="43">
        <v>0.256334747836789</v>
      </c>
      <c r="Y65" s="43">
        <v>0.19170658184365799</v>
      </c>
      <c r="Z65" s="43">
        <v>0.30729143052024899</v>
      </c>
      <c r="AA65" s="43">
        <v>0.19704739462751297</v>
      </c>
      <c r="AB65" s="43">
        <v>0.166233034743174</v>
      </c>
      <c r="AC65" s="43"/>
      <c r="AD65" s="43"/>
      <c r="AE65" s="43"/>
      <c r="AF65" s="43"/>
      <c r="AG65" s="48"/>
      <c r="AH65" s="48"/>
    </row>
    <row r="66" spans="3:34" s="38" customFormat="1" ht="16.5" customHeight="1">
      <c r="C66" s="41">
        <v>41944</v>
      </c>
      <c r="D66" s="43">
        <v>0.04</v>
      </c>
      <c r="E66" s="43">
        <v>0.02</v>
      </c>
      <c r="F66" s="43">
        <v>0.01</v>
      </c>
      <c r="G66" s="43">
        <v>0.01</v>
      </c>
      <c r="H66" s="43">
        <v>0</v>
      </c>
      <c r="I66" s="43">
        <v>0</v>
      </c>
      <c r="J66" s="43">
        <v>0</v>
      </c>
      <c r="K66" s="43">
        <v>0</v>
      </c>
      <c r="L66" s="43">
        <v>0</v>
      </c>
      <c r="M66" s="43"/>
      <c r="N66" s="43"/>
      <c r="O66" s="43"/>
      <c r="P66" s="43"/>
      <c r="Q66" s="39"/>
      <c r="R66" s="39"/>
      <c r="S66" s="41">
        <v>41944</v>
      </c>
      <c r="T66" s="43">
        <v>0.226047138543922</v>
      </c>
      <c r="U66" s="43">
        <v>0.21534383388060199</v>
      </c>
      <c r="V66" s="43">
        <v>0.194980190378507</v>
      </c>
      <c r="W66" s="43">
        <v>0.22911961585951199</v>
      </c>
      <c r="X66" s="43">
        <v>0.25782310018865501</v>
      </c>
      <c r="Y66" s="43">
        <v>0.173821680992786</v>
      </c>
      <c r="Z66" s="43">
        <v>0.35378818839678899</v>
      </c>
      <c r="AA66" s="43">
        <v>0.182791002941537</v>
      </c>
      <c r="AB66" s="43">
        <v>0.18127235784901399</v>
      </c>
      <c r="AC66" s="43"/>
      <c r="AD66" s="43"/>
      <c r="AE66" s="43"/>
      <c r="AF66" s="43"/>
      <c r="AG66" s="48"/>
      <c r="AH66" s="48"/>
    </row>
    <row r="67" spans="3:34" s="38" customFormat="1" ht="16.5" customHeight="1">
      <c r="C67" s="41">
        <v>41974</v>
      </c>
      <c r="D67" s="43">
        <v>0.05</v>
      </c>
      <c r="E67" s="43">
        <v>0.02</v>
      </c>
      <c r="F67" s="43">
        <v>0.02</v>
      </c>
      <c r="G67" s="43">
        <v>0.01</v>
      </c>
      <c r="H67" s="43">
        <v>0</v>
      </c>
      <c r="I67" s="43">
        <v>0</v>
      </c>
      <c r="J67" s="43">
        <v>0.02</v>
      </c>
      <c r="K67" s="43">
        <v>0</v>
      </c>
      <c r="L67" s="43">
        <v>0</v>
      </c>
      <c r="M67" s="43"/>
      <c r="N67" s="43"/>
      <c r="O67" s="43"/>
      <c r="P67" s="43"/>
      <c r="Q67" s="39"/>
      <c r="R67" s="39"/>
      <c r="S67" s="41">
        <v>41974</v>
      </c>
      <c r="T67" s="43">
        <v>0.319782975405623</v>
      </c>
      <c r="U67" s="43">
        <v>0.313722601890914</v>
      </c>
      <c r="V67" s="43">
        <v>0.316395234487096</v>
      </c>
      <c r="W67" s="43">
        <v>0.36134533615784098</v>
      </c>
      <c r="X67" s="43">
        <v>0.41618114863963895</v>
      </c>
      <c r="Y67" s="43">
        <v>0.35413995458346703</v>
      </c>
      <c r="Z67" s="43">
        <v>0.51635036194168704</v>
      </c>
      <c r="AA67" s="43">
        <v>0.31173836097395097</v>
      </c>
      <c r="AB67" s="43">
        <v>0.32100016355282601</v>
      </c>
      <c r="AC67" s="43"/>
      <c r="AD67" s="43"/>
      <c r="AE67" s="43"/>
      <c r="AF67" s="43"/>
      <c r="AG67" s="48"/>
      <c r="AH67" s="48"/>
    </row>
    <row r="68" spans="3:34" s="38" customFormat="1" ht="16.5" customHeight="1">
      <c r="C68" s="41">
        <v>42005</v>
      </c>
      <c r="D68" s="43">
        <v>0.05</v>
      </c>
      <c r="E68" s="43">
        <v>0.03</v>
      </c>
      <c r="F68" s="43">
        <v>0.02</v>
      </c>
      <c r="G68" s="43">
        <v>0.01</v>
      </c>
      <c r="H68" s="43">
        <v>0</v>
      </c>
      <c r="I68" s="43">
        <v>0</v>
      </c>
      <c r="J68" s="43">
        <v>0.02</v>
      </c>
      <c r="K68" s="43">
        <v>0</v>
      </c>
      <c r="L68" s="43">
        <v>0</v>
      </c>
      <c r="M68" s="43">
        <v>0</v>
      </c>
      <c r="N68" s="43"/>
      <c r="O68" s="43"/>
      <c r="P68" s="43"/>
      <c r="Q68" s="39"/>
      <c r="R68" s="39"/>
      <c r="S68" s="41">
        <v>42005</v>
      </c>
      <c r="T68" s="43">
        <v>0.25090365666056302</v>
      </c>
      <c r="U68" s="43">
        <v>0.25071003222516702</v>
      </c>
      <c r="V68" s="43">
        <v>0.24825080357062301</v>
      </c>
      <c r="W68" s="43">
        <v>0.28897348095416797</v>
      </c>
      <c r="X68" s="43">
        <v>0.36901987117811802</v>
      </c>
      <c r="Y68" s="43">
        <v>0.27748621000516899</v>
      </c>
      <c r="Z68" s="43">
        <v>0.426063121324534</v>
      </c>
      <c r="AA68" s="43">
        <v>0.25871680534557295</v>
      </c>
      <c r="AB68" s="43">
        <v>0.34388182085411201</v>
      </c>
      <c r="AC68" s="43">
        <v>0.159228640865899</v>
      </c>
      <c r="AD68" s="43"/>
      <c r="AE68" s="43"/>
      <c r="AF68" s="43"/>
      <c r="AG68" s="48"/>
      <c r="AH68" s="48"/>
    </row>
    <row r="69" spans="3:34" s="38" customFormat="1" ht="16.5" customHeight="1">
      <c r="C69" s="41">
        <v>42036</v>
      </c>
      <c r="D69" s="43">
        <v>0.05</v>
      </c>
      <c r="E69" s="43">
        <v>0.04</v>
      </c>
      <c r="F69" s="43">
        <v>0.02</v>
      </c>
      <c r="G69" s="43">
        <v>0.02</v>
      </c>
      <c r="H69" s="43">
        <v>0.01</v>
      </c>
      <c r="I69" s="43">
        <v>0</v>
      </c>
      <c r="J69" s="43">
        <v>0.03</v>
      </c>
      <c r="K69" s="43">
        <v>0.01</v>
      </c>
      <c r="L69" s="43">
        <v>0.01</v>
      </c>
      <c r="M69" s="43">
        <v>0</v>
      </c>
      <c r="N69" s="43"/>
      <c r="O69" s="43"/>
      <c r="P69" s="43"/>
      <c r="Q69" s="39"/>
      <c r="R69" s="39"/>
      <c r="S69" s="41">
        <v>42036</v>
      </c>
      <c r="T69" s="43">
        <v>0.25015041079039801</v>
      </c>
      <c r="U69" s="43">
        <v>0.26006103189278601</v>
      </c>
      <c r="V69" s="43">
        <v>0.25249433576771502</v>
      </c>
      <c r="W69" s="43">
        <v>0.28917338018387501</v>
      </c>
      <c r="X69" s="43">
        <v>0.39045994484270097</v>
      </c>
      <c r="Y69" s="43">
        <v>0.30916978033754999</v>
      </c>
      <c r="Z69" s="43">
        <v>0.53237138676784901</v>
      </c>
      <c r="AA69" s="43">
        <v>0.29512584597165203</v>
      </c>
      <c r="AB69" s="43">
        <v>0.41123124381280396</v>
      </c>
      <c r="AC69" s="43">
        <v>0.17318346328686801</v>
      </c>
      <c r="AD69" s="43"/>
      <c r="AE69" s="43"/>
      <c r="AF69" s="43"/>
      <c r="AG69" s="48"/>
      <c r="AH69" s="48"/>
    </row>
    <row r="70" spans="3:34" s="38" customFormat="1" ht="16.5" customHeight="1">
      <c r="C70" s="41">
        <v>42064</v>
      </c>
      <c r="D70" s="43">
        <v>0.06</v>
      </c>
      <c r="E70" s="43">
        <v>0.04</v>
      </c>
      <c r="F70" s="43">
        <v>0.02</v>
      </c>
      <c r="G70" s="43">
        <v>0.02</v>
      </c>
      <c r="H70" s="43">
        <v>0.02</v>
      </c>
      <c r="I70" s="43">
        <v>0</v>
      </c>
      <c r="J70" s="43">
        <v>0.04</v>
      </c>
      <c r="K70" s="43">
        <v>0.02</v>
      </c>
      <c r="L70" s="43">
        <v>0.02</v>
      </c>
      <c r="M70" s="43">
        <v>0</v>
      </c>
      <c r="N70" s="43"/>
      <c r="O70" s="43">
        <v>0</v>
      </c>
      <c r="P70" s="43"/>
      <c r="Q70" s="39"/>
      <c r="R70" s="39"/>
      <c r="S70" s="41">
        <v>42064</v>
      </c>
      <c r="T70" s="43">
        <v>0.30000390932597404</v>
      </c>
      <c r="U70" s="43">
        <v>0.30653763936751099</v>
      </c>
      <c r="V70" s="43">
        <v>0.31499647857695201</v>
      </c>
      <c r="W70" s="43">
        <v>0.34767765375114001</v>
      </c>
      <c r="X70" s="43">
        <v>0.49454945394582694</v>
      </c>
      <c r="Y70" s="43">
        <v>0.42376432266131597</v>
      </c>
      <c r="Z70" s="43">
        <v>0.58858695835742603</v>
      </c>
      <c r="AA70" s="43">
        <v>0.341203728538442</v>
      </c>
      <c r="AB70" s="43">
        <v>0.50680743447907906</v>
      </c>
      <c r="AC70" s="43">
        <v>0.342220498640191</v>
      </c>
      <c r="AD70" s="43"/>
      <c r="AE70" s="43">
        <v>0.20324079350067201</v>
      </c>
      <c r="AF70" s="43"/>
      <c r="AG70" s="48"/>
      <c r="AH70" s="48"/>
    </row>
    <row r="71" spans="3:34" s="38" customFormat="1" ht="16.5" customHeight="1">
      <c r="C71" s="41">
        <v>42095</v>
      </c>
      <c r="D71" s="43">
        <v>0.06</v>
      </c>
      <c r="E71" s="43">
        <v>0.05</v>
      </c>
      <c r="F71" s="43">
        <v>0.03</v>
      </c>
      <c r="G71" s="43">
        <v>0.02</v>
      </c>
      <c r="H71" s="43">
        <v>0.02</v>
      </c>
      <c r="I71" s="43">
        <v>0</v>
      </c>
      <c r="J71" s="43">
        <v>0.06</v>
      </c>
      <c r="K71" s="43">
        <v>0.02</v>
      </c>
      <c r="L71" s="43">
        <v>0.03</v>
      </c>
      <c r="M71" s="43">
        <v>0</v>
      </c>
      <c r="N71" s="43">
        <v>0</v>
      </c>
      <c r="O71" s="43">
        <v>0</v>
      </c>
      <c r="P71" s="43">
        <v>0</v>
      </c>
      <c r="Q71" s="39"/>
      <c r="R71" s="39"/>
      <c r="S71" s="41">
        <v>42095</v>
      </c>
      <c r="T71" s="43">
        <v>0.221292653406198</v>
      </c>
      <c r="U71" s="43">
        <v>0.212804341599132</v>
      </c>
      <c r="V71" s="43">
        <v>0.235929860311377</v>
      </c>
      <c r="W71" s="43">
        <v>0.26331290473771801</v>
      </c>
      <c r="X71" s="43">
        <v>0.40934867388750701</v>
      </c>
      <c r="Y71" s="43">
        <v>0.35782370579607603</v>
      </c>
      <c r="Z71" s="43">
        <v>0.42740795025214895</v>
      </c>
      <c r="AA71" s="43">
        <v>0.25385131985243703</v>
      </c>
      <c r="AB71" s="43">
        <v>0.37748294798205301</v>
      </c>
      <c r="AC71" s="43">
        <v>0.21156629027363499</v>
      </c>
      <c r="AD71" s="43">
        <v>5.5999090056126306E-2</v>
      </c>
      <c r="AE71" s="43">
        <v>0.168899070331161</v>
      </c>
      <c r="AF71" s="43">
        <v>0</v>
      </c>
      <c r="AG71" s="48"/>
      <c r="AH71" s="48"/>
    </row>
    <row r="72" spans="3:34" s="38" customFormat="1" ht="16.5" customHeight="1">
      <c r="C72" s="44">
        <v>42125</v>
      </c>
      <c r="D72" s="46">
        <v>6.9999999999999993E-2</v>
      </c>
      <c r="E72" s="46">
        <v>0.05</v>
      </c>
      <c r="F72" s="46">
        <v>0.03</v>
      </c>
      <c r="G72" s="46">
        <v>0.03</v>
      </c>
      <c r="H72" s="46">
        <v>0.03</v>
      </c>
      <c r="I72" s="46">
        <v>0</v>
      </c>
      <c r="J72" s="46">
        <v>6.9999999999999993E-2</v>
      </c>
      <c r="K72" s="46">
        <v>0.03</v>
      </c>
      <c r="L72" s="46">
        <v>0.04</v>
      </c>
      <c r="M72" s="46">
        <v>0</v>
      </c>
      <c r="N72" s="46">
        <v>0</v>
      </c>
      <c r="O72" s="46">
        <v>0</v>
      </c>
      <c r="P72" s="46">
        <v>0</v>
      </c>
      <c r="Q72" s="39"/>
      <c r="R72" s="39"/>
      <c r="S72" s="44">
        <v>42125</v>
      </c>
      <c r="T72" s="46">
        <v>0.22937126205111899</v>
      </c>
      <c r="U72" s="46">
        <v>0.23137861072066801</v>
      </c>
      <c r="V72" s="46">
        <v>0.24597052332955299</v>
      </c>
      <c r="W72" s="46">
        <v>0.28994875935216796</v>
      </c>
      <c r="X72" s="46">
        <v>0.41318942079793203</v>
      </c>
      <c r="Y72" s="46">
        <v>0.390627776894863</v>
      </c>
      <c r="Z72" s="46">
        <v>0.51322419447953493</v>
      </c>
      <c r="AA72" s="46">
        <v>0.29648472609394599</v>
      </c>
      <c r="AB72" s="46">
        <v>0.44673961711471694</v>
      </c>
      <c r="AC72" s="46">
        <v>0.27772949574741501</v>
      </c>
      <c r="AD72" s="46">
        <v>7.6209042857628501E-2</v>
      </c>
      <c r="AE72" s="46">
        <v>0.19443009127071501</v>
      </c>
      <c r="AF72" s="46">
        <v>0.10399318474289801</v>
      </c>
      <c r="AG72" s="48"/>
      <c r="AH72" s="48"/>
    </row>
    <row r="73" spans="3:34" hidden="1">
      <c r="C73" s="28"/>
      <c r="D73" s="33">
        <v>0.1</v>
      </c>
      <c r="E73" s="33"/>
      <c r="F73" s="33"/>
      <c r="G73" s="33"/>
      <c r="H73" s="33"/>
      <c r="I73" s="33"/>
      <c r="J73" s="33"/>
      <c r="K73" s="33"/>
      <c r="L73" s="33"/>
      <c r="M73" s="33"/>
      <c r="N73" s="33"/>
      <c r="O73" s="33"/>
      <c r="P73" s="33"/>
      <c r="Q73" s="24"/>
      <c r="R73" s="24"/>
      <c r="S73" s="34"/>
      <c r="T73" s="30">
        <v>1</v>
      </c>
      <c r="U73" s="30"/>
      <c r="V73" s="30"/>
      <c r="W73" s="30"/>
      <c r="X73" s="30"/>
      <c r="Y73" s="30"/>
      <c r="Z73" s="30"/>
      <c r="AA73" s="30"/>
      <c r="AB73" s="30"/>
      <c r="AC73" s="30"/>
      <c r="AD73" s="30"/>
      <c r="AE73" s="30"/>
      <c r="AF73" s="30"/>
      <c r="AG73" s="34"/>
      <c r="AH73" s="34"/>
    </row>
    <row r="74" spans="3:34">
      <c r="C74" s="28"/>
      <c r="D74" s="33"/>
      <c r="E74" s="33"/>
      <c r="F74" s="33"/>
      <c r="G74" s="33"/>
      <c r="H74" s="33"/>
      <c r="I74" s="33"/>
      <c r="J74" s="33"/>
      <c r="K74" s="33"/>
      <c r="L74" s="33"/>
      <c r="M74" s="33"/>
      <c r="N74" s="33"/>
      <c r="O74" s="33"/>
      <c r="P74" s="33"/>
      <c r="Q74" s="24"/>
      <c r="R74" s="24"/>
      <c r="S74" s="34"/>
      <c r="T74" s="34"/>
      <c r="U74" s="34"/>
      <c r="V74" s="34"/>
      <c r="W74" s="34"/>
      <c r="X74" s="34"/>
      <c r="Y74" s="34"/>
      <c r="Z74" s="34"/>
      <c r="AA74" s="34"/>
      <c r="AB74" s="34"/>
      <c r="AC74" s="34"/>
      <c r="AD74" s="34"/>
      <c r="AE74" s="34"/>
      <c r="AF74" s="34"/>
      <c r="AG74" s="34"/>
      <c r="AH74" s="34"/>
    </row>
  </sheetData>
  <mergeCells count="4">
    <mergeCell ref="C15:P15"/>
    <mergeCell ref="S15:AF15"/>
    <mergeCell ref="C46:P46"/>
    <mergeCell ref="S46:AF46"/>
  </mergeCells>
  <conditionalFormatting sqref="D18:D42">
    <cfRule type="dataBar" priority="10">
      <dataBar>
        <cfvo type="min"/>
        <cfvo type="max"/>
        <color theme="4" tint="0.59999389629810485"/>
      </dataBar>
      <extLst>
        <ext xmlns:x14="http://schemas.microsoft.com/office/spreadsheetml/2009/9/main" uri="{B025F937-C7B1-47D3-B67F-A62EFF666E3E}">
          <x14:id>{A5DA7839-D386-4DEB-B34A-F76077E22625}</x14:id>
        </ext>
      </extLst>
    </cfRule>
  </conditionalFormatting>
  <conditionalFormatting sqref="E18:P42">
    <cfRule type="dataBar" priority="9">
      <dataBar>
        <cfvo type="min"/>
        <cfvo type="max"/>
        <color theme="4" tint="0.59999389629810485"/>
      </dataBar>
      <extLst>
        <ext xmlns:x14="http://schemas.microsoft.com/office/spreadsheetml/2009/9/main" uri="{B025F937-C7B1-47D3-B67F-A62EFF666E3E}">
          <x14:id>{588488D4-34AA-4487-9D89-C7DC767A8D79}</x14:id>
        </ext>
      </extLst>
    </cfRule>
  </conditionalFormatting>
  <conditionalFormatting sqref="T18:T42">
    <cfRule type="dataBar" priority="8">
      <dataBar>
        <cfvo type="min"/>
        <cfvo type="max"/>
        <color theme="9" tint="0.59999389629810485"/>
      </dataBar>
      <extLst>
        <ext xmlns:x14="http://schemas.microsoft.com/office/spreadsheetml/2009/9/main" uri="{B025F937-C7B1-47D3-B67F-A62EFF666E3E}">
          <x14:id>{4242798E-7594-4B67-BE00-977E5703BA31}</x14:id>
        </ext>
      </extLst>
    </cfRule>
  </conditionalFormatting>
  <conditionalFormatting sqref="U18:AF42">
    <cfRule type="dataBar" priority="7">
      <dataBar>
        <cfvo type="min"/>
        <cfvo type="max"/>
        <color theme="9" tint="0.59999389629810485"/>
      </dataBar>
      <extLst>
        <ext xmlns:x14="http://schemas.microsoft.com/office/spreadsheetml/2009/9/main" uri="{B025F937-C7B1-47D3-B67F-A62EFF666E3E}">
          <x14:id>{2869B8FB-C15B-43B1-87A4-CBD9A99423E9}</x14:id>
        </ext>
      </extLst>
    </cfRule>
  </conditionalFormatting>
  <conditionalFormatting sqref="D73">
    <cfRule type="dataBar" priority="6">
      <dataBar>
        <cfvo type="min"/>
        <cfvo type="max"/>
        <color theme="5" tint="0.59999389629810485"/>
      </dataBar>
      <extLst>
        <ext xmlns:x14="http://schemas.microsoft.com/office/spreadsheetml/2009/9/main" uri="{B025F937-C7B1-47D3-B67F-A62EFF666E3E}">
          <x14:id>{FB435F9A-6CAF-4B2C-B6A4-54C59B2A2779}</x14:id>
        </ext>
      </extLst>
    </cfRule>
  </conditionalFormatting>
  <conditionalFormatting sqref="E73:P73">
    <cfRule type="dataBar" priority="5">
      <dataBar>
        <cfvo type="min"/>
        <cfvo type="max"/>
        <color theme="5" tint="0.59999389629810485"/>
      </dataBar>
      <extLst>
        <ext xmlns:x14="http://schemas.microsoft.com/office/spreadsheetml/2009/9/main" uri="{B025F937-C7B1-47D3-B67F-A62EFF666E3E}">
          <x14:id>{684E19EC-8C4B-4AC9-B855-1083D3749578}</x14:id>
        </ext>
      </extLst>
    </cfRule>
  </conditionalFormatting>
  <conditionalFormatting sqref="T73">
    <cfRule type="dataBar" priority="4">
      <dataBar>
        <cfvo type="min"/>
        <cfvo type="max"/>
        <color theme="7" tint="0.59999389629810485"/>
      </dataBar>
      <extLst>
        <ext xmlns:x14="http://schemas.microsoft.com/office/spreadsheetml/2009/9/main" uri="{B025F937-C7B1-47D3-B67F-A62EFF666E3E}">
          <x14:id>{9226FE07-62FC-4907-819E-9F59DFBABE13}</x14:id>
        </ext>
      </extLst>
    </cfRule>
  </conditionalFormatting>
  <conditionalFormatting sqref="U73:AH73 AG51:AH72">
    <cfRule type="dataBar" priority="3">
      <dataBar>
        <cfvo type="min"/>
        <cfvo type="max"/>
        <color theme="7" tint="0.59999389629810485"/>
      </dataBar>
      <extLst>
        <ext xmlns:x14="http://schemas.microsoft.com/office/spreadsheetml/2009/9/main" uri="{B025F937-C7B1-47D3-B67F-A62EFF666E3E}">
          <x14:id>{13FD29DA-0ECC-4A3B-854D-BE45D5BFA93C}</x14:id>
        </ext>
      </extLst>
    </cfRule>
  </conditionalFormatting>
  <conditionalFormatting sqref="D49:P73">
    <cfRule type="dataBar" priority="2">
      <dataBar>
        <cfvo type="min"/>
        <cfvo type="max"/>
        <color theme="5" tint="0.59999389629810485"/>
      </dataBar>
      <extLst>
        <ext xmlns:x14="http://schemas.microsoft.com/office/spreadsheetml/2009/9/main" uri="{B025F937-C7B1-47D3-B67F-A62EFF666E3E}">
          <x14:id>{6C574F30-E9C1-412E-8A44-846A49D4355E}</x14:id>
        </ext>
      </extLst>
    </cfRule>
  </conditionalFormatting>
  <conditionalFormatting sqref="T49:AF73">
    <cfRule type="dataBar" priority="1">
      <dataBar>
        <cfvo type="min"/>
        <cfvo type="max"/>
        <color theme="7" tint="0.59999389629810485"/>
      </dataBar>
      <extLst>
        <ext xmlns:x14="http://schemas.microsoft.com/office/spreadsheetml/2009/9/main" uri="{B025F937-C7B1-47D3-B67F-A62EFF666E3E}">
          <x14:id>{3639C360-747A-49CC-842A-BCE9CB0A4482}</x14:id>
        </ext>
      </extLst>
    </cfRule>
  </conditionalFormatting>
  <dataValidations disablePrompts="1" count="2">
    <dataValidation type="list" allowBlank="1" showInputMessage="1" showErrorMessage="1" sqref="AJ1">
      <formula1>"PROD, DEV"</formula1>
    </dataValidation>
    <dataValidation type="list" allowBlank="1" showInputMessage="1" showErrorMessage="1" sqref="AL1">
      <formula1>"Yes, No"</formula1>
    </dataValidation>
  </dataValidations>
  <hyperlinks>
    <hyperlink ref="AK11" r:id="rId5"/>
  </hyperlinks>
  <pageMargins left="0.25" right="0.25" top="0.255" bottom="0.25" header="0.1" footer="0.1"/>
  <pageSetup scale="42" orientation="landscape" r:id="rId6"/>
  <headerFooter scaleWithDoc="0">
    <oddHeader>&amp;L&amp;G&amp;C&amp;"-,Bold"&amp;10&amp;K2E398A
&amp;15Deal Surveilance Summary&amp;R&amp;"-,Bold"&amp;10&amp;K2E398A
As of 03/18/2015</oddHeader>
    <oddFooter>&amp;L&amp;10&amp;K2E398AReport created on &amp;D &amp;T&amp;C&amp;G
&amp;8&amp;K2E398APage &amp;P of &amp;N</oddFooter>
  </headerFooter>
  <colBreaks count="1" manualBreakCount="1">
    <brk id="34" max="1048575" man="1"/>
  </colBreaks>
  <drawing r:id="rId7"/>
  <legacyDrawingHF r:id="rId8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5DA7839-D386-4DEB-B34A-F76077E22625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D18:D42</xm:sqref>
        </x14:conditionalFormatting>
        <x14:conditionalFormatting xmlns:xm="http://schemas.microsoft.com/office/excel/2006/main">
          <x14:cfRule type="dataBar" id="{588488D4-34AA-4487-9D89-C7DC767A8D79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E18:P42</xm:sqref>
        </x14:conditionalFormatting>
        <x14:conditionalFormatting xmlns:xm="http://schemas.microsoft.com/office/excel/2006/main">
          <x14:cfRule type="dataBar" id="{4242798E-7594-4B67-BE00-977E5703BA31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T18:T42</xm:sqref>
        </x14:conditionalFormatting>
        <x14:conditionalFormatting xmlns:xm="http://schemas.microsoft.com/office/excel/2006/main">
          <x14:cfRule type="dataBar" id="{2869B8FB-C15B-43B1-87A4-CBD9A99423E9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U18:AF42</xm:sqref>
        </x14:conditionalFormatting>
        <x14:conditionalFormatting xmlns:xm="http://schemas.microsoft.com/office/excel/2006/main">
          <x14:cfRule type="dataBar" id="{FB435F9A-6CAF-4B2C-B6A4-54C59B2A2779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D73</xm:sqref>
        </x14:conditionalFormatting>
        <x14:conditionalFormatting xmlns:xm="http://schemas.microsoft.com/office/excel/2006/main">
          <x14:cfRule type="dataBar" id="{684E19EC-8C4B-4AC9-B855-1083D3749578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E73:P73</xm:sqref>
        </x14:conditionalFormatting>
        <x14:conditionalFormatting xmlns:xm="http://schemas.microsoft.com/office/excel/2006/main">
          <x14:cfRule type="dataBar" id="{9226FE07-62FC-4907-819E-9F59DFBABE13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T73</xm:sqref>
        </x14:conditionalFormatting>
        <x14:conditionalFormatting xmlns:xm="http://schemas.microsoft.com/office/excel/2006/main">
          <x14:cfRule type="dataBar" id="{13FD29DA-0ECC-4A3B-854D-BE45D5BFA93C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U73:AH73 AG51:AH72</xm:sqref>
        </x14:conditionalFormatting>
        <x14:conditionalFormatting xmlns:xm="http://schemas.microsoft.com/office/excel/2006/main">
          <x14:cfRule type="dataBar" id="{6C574F30-E9C1-412E-8A44-846A49D4355E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D49:P73</xm:sqref>
        </x14:conditionalFormatting>
        <x14:conditionalFormatting xmlns:xm="http://schemas.microsoft.com/office/excel/2006/main">
          <x14:cfRule type="dataBar" id="{3639C360-747A-49CC-842A-BCE9CB0A4482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T49:AF73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theme="9" tint="0.59999389629810485"/>
    <pageSetUpPr fitToPage="1"/>
  </sheetPr>
  <dimension ref="I1:Y60"/>
  <sheetViews>
    <sheetView showGridLines="0" zoomScale="80" zoomScaleNormal="80" workbookViewId="0">
      <selection activeCell="E69" sqref="E69"/>
    </sheetView>
  </sheetViews>
  <sheetFormatPr defaultRowHeight="15"/>
  <cols>
    <col min="1" max="1" width="9.140625" customWidth="1"/>
    <col min="3" max="3" width="9.140625" customWidth="1"/>
    <col min="4" max="4" width="19.5703125" bestFit="1" customWidth="1"/>
    <col min="5" max="5" width="12.140625" customWidth="1"/>
    <col min="6" max="17" width="11" customWidth="1"/>
    <col min="18" max="20" width="12.7109375" customWidth="1"/>
    <col min="21" max="21" width="7.7109375" customWidth="1"/>
    <col min="22" max="22" width="11.85546875" bestFit="1" customWidth="1"/>
    <col min="23" max="23" width="19.5703125" customWidth="1"/>
    <col min="24" max="24" width="40.85546875" bestFit="1" customWidth="1"/>
    <col min="25" max="25" width="14.85546875" bestFit="1" customWidth="1"/>
  </cols>
  <sheetData>
    <row r="1" spans="9:25">
      <c r="V1" s="3" t="s">
        <v>12</v>
      </c>
      <c r="W1" s="14" t="s">
        <v>19</v>
      </c>
      <c r="X1" t="s">
        <v>13</v>
      </c>
      <c r="Y1" s="4" t="s">
        <v>16</v>
      </c>
    </row>
    <row r="2" spans="9:25">
      <c r="V2" s="3" t="s">
        <v>14</v>
      </c>
      <c r="W2" s="5">
        <v>42081</v>
      </c>
    </row>
    <row r="3" spans="9:25">
      <c r="V3" s="3" t="s">
        <v>18</v>
      </c>
      <c r="W3" s="14" t="s">
        <v>20</v>
      </c>
    </row>
    <row r="4" spans="9:25">
      <c r="V4" s="3" t="s">
        <v>15</v>
      </c>
      <c r="W4" s="14" t="str">
        <f>PDFReportDir &amp; "\Time from Refinancing Application to Funding " &amp; TEXT(CurrentCloseDate, "yyyy-mm-dd") &amp; ".pdf"</f>
        <v>S:\IT\Production\Daily Reports\Primary Market\tmp\\Time from Refinancing Application to Funding 2015-03-18.pdf</v>
      </c>
    </row>
    <row r="5" spans="9:25">
      <c r="V5" s="6"/>
    </row>
    <row r="6" spans="9:25">
      <c r="V6" s="6"/>
    </row>
    <row r="7" spans="9:25">
      <c r="V7" s="6"/>
    </row>
    <row r="8" spans="9:25">
      <c r="V8" s="6"/>
    </row>
    <row r="9" spans="9:25">
      <c r="V9" s="6"/>
    </row>
    <row r="10" spans="9:25">
      <c r="V10" s="6"/>
    </row>
    <row r="12" spans="9:25" ht="13.5" customHeight="1"/>
    <row r="14" spans="9:25" s="1" customFormat="1" ht="18" customHeight="1">
      <c r="I14"/>
      <c r="J14"/>
      <c r="K14"/>
      <c r="L14"/>
      <c r="M14"/>
      <c r="N14"/>
      <c r="O14"/>
      <c r="P14"/>
      <c r="Q14"/>
      <c r="R14"/>
      <c r="S14"/>
    </row>
    <row r="15" spans="9:25" s="2" customFormat="1" ht="19.5" customHeight="1">
      <c r="I15"/>
      <c r="J15"/>
      <c r="K15"/>
      <c r="L15"/>
      <c r="M15"/>
      <c r="N15"/>
      <c r="O15"/>
      <c r="P15"/>
      <c r="Q15"/>
      <c r="R15"/>
      <c r="S15"/>
    </row>
    <row r="16" spans="9:25" s="2" customFormat="1">
      <c r="I16"/>
      <c r="J16"/>
      <c r="K16"/>
      <c r="L16"/>
      <c r="M16"/>
      <c r="N16"/>
      <c r="O16"/>
      <c r="P16"/>
      <c r="Q16"/>
      <c r="R16"/>
      <c r="S16"/>
    </row>
    <row r="17" spans="9:19" s="2" customFormat="1">
      <c r="I17"/>
      <c r="J17"/>
      <c r="K17"/>
      <c r="L17"/>
      <c r="M17"/>
      <c r="N17"/>
      <c r="O17"/>
      <c r="P17"/>
      <c r="Q17"/>
      <c r="R17"/>
      <c r="S17"/>
    </row>
    <row r="18" spans="9:19" s="2" customFormat="1">
      <c r="I18"/>
      <c r="J18"/>
      <c r="K18"/>
      <c r="L18"/>
      <c r="M18"/>
      <c r="N18"/>
      <c r="O18"/>
      <c r="P18"/>
      <c r="Q18"/>
      <c r="R18"/>
      <c r="S18"/>
    </row>
    <row r="19" spans="9:19" s="2" customFormat="1">
      <c r="I19"/>
      <c r="J19"/>
      <c r="K19"/>
      <c r="L19"/>
      <c r="M19"/>
      <c r="N19"/>
      <c r="O19"/>
      <c r="P19"/>
      <c r="Q19"/>
      <c r="R19"/>
      <c r="S19"/>
    </row>
    <row r="20" spans="9:19" s="2" customFormat="1">
      <c r="I20"/>
      <c r="J20"/>
      <c r="K20"/>
      <c r="L20"/>
      <c r="M20"/>
      <c r="N20"/>
      <c r="O20"/>
      <c r="P20"/>
      <c r="Q20"/>
      <c r="R20"/>
      <c r="S20"/>
    </row>
    <row r="21" spans="9:19" s="2" customFormat="1">
      <c r="I21"/>
      <c r="J21"/>
      <c r="K21"/>
      <c r="L21"/>
      <c r="M21"/>
      <c r="N21"/>
      <c r="O21"/>
      <c r="P21"/>
      <c r="Q21"/>
      <c r="R21"/>
      <c r="S21"/>
    </row>
    <row r="22" spans="9:19" s="2" customFormat="1">
      <c r="I22"/>
      <c r="J22"/>
      <c r="K22"/>
      <c r="L22"/>
      <c r="M22"/>
      <c r="N22"/>
      <c r="O22"/>
      <c r="P22"/>
      <c r="Q22"/>
      <c r="R22"/>
      <c r="S22"/>
    </row>
    <row r="23" spans="9:19" s="2" customFormat="1">
      <c r="I23"/>
      <c r="J23"/>
      <c r="K23"/>
      <c r="L23"/>
      <c r="M23"/>
      <c r="N23"/>
      <c r="O23"/>
      <c r="P23"/>
      <c r="Q23"/>
      <c r="R23"/>
      <c r="S23"/>
    </row>
    <row r="24" spans="9:19" s="2" customFormat="1">
      <c r="I24"/>
      <c r="J24"/>
      <c r="K24"/>
      <c r="L24"/>
      <c r="M24"/>
      <c r="N24"/>
      <c r="O24"/>
      <c r="P24"/>
      <c r="Q24"/>
      <c r="R24"/>
      <c r="S24"/>
    </row>
    <row r="25" spans="9:19" s="2" customFormat="1">
      <c r="I25"/>
      <c r="J25"/>
      <c r="K25"/>
      <c r="L25"/>
      <c r="M25"/>
      <c r="N25"/>
      <c r="O25"/>
      <c r="P25"/>
      <c r="Q25"/>
      <c r="R25"/>
      <c r="S25"/>
    </row>
    <row r="38" spans="11:19">
      <c r="K38" s="11"/>
      <c r="P38" s="11"/>
      <c r="S38" s="11"/>
    </row>
    <row r="40" spans="11:19" ht="15.75" customHeight="1"/>
    <row r="57" spans="18:20">
      <c r="R57" s="7"/>
      <c r="S57" s="8"/>
    </row>
    <row r="58" spans="18:20">
      <c r="S58" s="9"/>
      <c r="T58" s="8"/>
    </row>
    <row r="59" spans="18:20">
      <c r="S59" s="9"/>
      <c r="T59" s="8"/>
    </row>
    <row r="60" spans="18:20">
      <c r="S60" s="9"/>
      <c r="T60" s="10"/>
    </row>
  </sheetData>
  <dataValidations count="2">
    <dataValidation type="list" allowBlank="1" showInputMessage="1" showErrorMessage="1" sqref="Y1">
      <formula1>"Yes, No"</formula1>
    </dataValidation>
    <dataValidation type="list" allowBlank="1" showInputMessage="1" showErrorMessage="1" sqref="W1">
      <formula1>"PROD, DEV"</formula1>
    </dataValidation>
  </dataValidations>
  <pageMargins left="0.25" right="0.25" top="0.255" bottom="0.25" header="0.1" footer="0.1"/>
  <pageSetup scale="61" orientation="landscape" horizontalDpi="1200" verticalDpi="1200" r:id="rId1"/>
  <headerFooter scaleWithDoc="0">
    <oddHeader>&amp;L&amp;G&amp;C&amp;"-,Bold"&amp;10&amp;K2E398A
&amp;15Time from Refinancing Application to Funding &amp;R&amp;"-,Bold"&amp;10&amp;K2E398A
As of 2015-03-20</oddHeader>
    <oddFooter>&amp;L&amp;10&amp;K2E398AReport created on &amp;D &amp;T&amp;C&amp;G
&amp;8&amp;K2E398APage &amp;P of &amp;N</oddFooter>
  </headerFooter>
  <colBreaks count="1" manualBreakCount="1">
    <brk id="21" max="1048575" man="1"/>
  </colBreaks>
  <drawing r:id="rId2"/>
  <legacyDrawingHF r:id="rId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theme="9" tint="0.59999389629810485"/>
    <pageSetUpPr fitToPage="1"/>
  </sheetPr>
  <dimension ref="D1:Y42"/>
  <sheetViews>
    <sheetView showGridLines="0" zoomScale="80" zoomScaleNormal="80" workbookViewId="0">
      <selection activeCell="E69" sqref="E69"/>
    </sheetView>
  </sheetViews>
  <sheetFormatPr defaultRowHeight="15"/>
  <cols>
    <col min="1" max="1" width="9.140625" customWidth="1"/>
    <col min="2" max="2" width="12" customWidth="1"/>
    <col min="3" max="3" width="9.140625" customWidth="1"/>
    <col min="4" max="11" width="12.140625" customWidth="1"/>
    <col min="12" max="12" width="11.85546875" customWidth="1"/>
    <col min="13" max="17" width="11" customWidth="1"/>
    <col min="18" max="20" width="12.7109375" customWidth="1"/>
    <col min="21" max="21" width="7.7109375" customWidth="1"/>
    <col min="22" max="22" width="11.85546875" bestFit="1" customWidth="1"/>
    <col min="23" max="23" width="19.5703125" customWidth="1"/>
    <col min="24" max="24" width="40.85546875" bestFit="1" customWidth="1"/>
    <col min="25" max="25" width="14.85546875" bestFit="1" customWidth="1"/>
  </cols>
  <sheetData>
    <row r="1" spans="4:25">
      <c r="V1" s="3" t="s">
        <v>12</v>
      </c>
      <c r="W1" s="14" t="s">
        <v>19</v>
      </c>
      <c r="X1" t="s">
        <v>13</v>
      </c>
      <c r="Y1" s="4" t="s">
        <v>16</v>
      </c>
    </row>
    <row r="2" spans="4:25">
      <c r="V2" s="3" t="s">
        <v>14</v>
      </c>
      <c r="W2" s="5">
        <v>42081</v>
      </c>
    </row>
    <row r="3" spans="4:25">
      <c r="V3" s="3" t="s">
        <v>18</v>
      </c>
      <c r="W3" s="14" t="s">
        <v>20</v>
      </c>
    </row>
    <row r="4" spans="4:25">
      <c r="V4" s="3" t="s">
        <v>15</v>
      </c>
      <c r="W4" s="14" t="str">
        <f>PDFReportDir &amp; "\Time from Refinancing Application to Funding " &amp; TEXT(CurrentCloseDate, "yyyy-mm-dd") &amp; ".pdf"</f>
        <v>S:\IT\Production\Daily Reports\Primary Market\tmp\\Time from Refinancing Application to Funding 2015-03-18.pdf</v>
      </c>
    </row>
    <row r="5" spans="4:25">
      <c r="V5" s="6"/>
    </row>
    <row r="6" spans="4:25">
      <c r="V6" s="6"/>
    </row>
    <row r="7" spans="4:25">
      <c r="V7" s="6"/>
    </row>
    <row r="8" spans="4:25">
      <c r="D8" s="12" t="s">
        <v>17</v>
      </c>
    </row>
    <row r="9" spans="4:25" ht="39">
      <c r="D9" s="15" t="s">
        <v>21</v>
      </c>
      <c r="E9" s="15" t="s">
        <v>22</v>
      </c>
      <c r="F9" s="15" t="s">
        <v>28</v>
      </c>
      <c r="G9" s="15" t="s">
        <v>23</v>
      </c>
      <c r="H9" s="15" t="s">
        <v>24</v>
      </c>
      <c r="I9" s="15" t="s">
        <v>25</v>
      </c>
      <c r="J9" s="15" t="s">
        <v>26</v>
      </c>
      <c r="K9" s="15" t="s">
        <v>27</v>
      </c>
      <c r="L9" s="1"/>
    </row>
    <row r="10" spans="4:25" s="18" customFormat="1" ht="15.75" customHeight="1">
      <c r="D10" s="21">
        <v>2013</v>
      </c>
      <c r="E10" s="16" t="s">
        <v>0</v>
      </c>
      <c r="F10" s="17">
        <v>138929</v>
      </c>
      <c r="G10" s="17">
        <v>58933</v>
      </c>
      <c r="H10" s="17">
        <v>16039</v>
      </c>
      <c r="I10" s="17">
        <v>5044</v>
      </c>
      <c r="J10" s="17">
        <v>28274</v>
      </c>
      <c r="K10" s="17">
        <v>30639</v>
      </c>
    </row>
    <row r="11" spans="4:25" s="19" customFormat="1" ht="15.75" customHeight="1">
      <c r="D11" s="22"/>
      <c r="E11" s="16" t="s">
        <v>11</v>
      </c>
      <c r="F11" s="17">
        <v>137925</v>
      </c>
      <c r="G11" s="17">
        <v>66498</v>
      </c>
      <c r="H11" s="17">
        <v>15393</v>
      </c>
      <c r="I11" s="17">
        <v>4646</v>
      </c>
      <c r="J11" s="17">
        <v>22521</v>
      </c>
      <c r="K11" s="17">
        <v>28867</v>
      </c>
      <c r="L11" s="18"/>
      <c r="M11" s="18"/>
      <c r="N11" s="18"/>
      <c r="O11" s="18"/>
      <c r="P11" s="18"/>
      <c r="Q11" s="18"/>
      <c r="R11" s="18"/>
      <c r="S11" s="18"/>
    </row>
    <row r="12" spans="4:25" s="18" customFormat="1" ht="15.75" customHeight="1">
      <c r="D12" s="22"/>
      <c r="E12" s="16" t="s">
        <v>10</v>
      </c>
      <c r="F12" s="17">
        <v>221598</v>
      </c>
      <c r="G12" s="17">
        <v>113900</v>
      </c>
      <c r="H12" s="17">
        <v>25683</v>
      </c>
      <c r="I12" s="17">
        <v>7274</v>
      </c>
      <c r="J12" s="17">
        <v>38948</v>
      </c>
      <c r="K12" s="17">
        <v>35793</v>
      </c>
    </row>
    <row r="13" spans="4:25" s="18" customFormat="1" ht="15.75" customHeight="1">
      <c r="D13" s="22"/>
      <c r="E13" s="16" t="s">
        <v>9</v>
      </c>
      <c r="F13" s="17">
        <v>118173</v>
      </c>
      <c r="G13" s="17">
        <v>62897</v>
      </c>
      <c r="H13" s="17">
        <v>12675</v>
      </c>
      <c r="I13" s="17">
        <v>3468</v>
      </c>
      <c r="J13" s="17">
        <v>14106</v>
      </c>
      <c r="K13" s="17">
        <v>25027</v>
      </c>
    </row>
    <row r="14" spans="4:25" s="18" customFormat="1" ht="15.75" customHeight="1">
      <c r="D14" s="22"/>
      <c r="E14" s="16" t="s">
        <v>8</v>
      </c>
      <c r="F14" s="17">
        <v>182431</v>
      </c>
      <c r="G14" s="17">
        <v>101178</v>
      </c>
      <c r="H14" s="17">
        <v>18957</v>
      </c>
      <c r="I14" s="17">
        <v>5219</v>
      </c>
      <c r="J14" s="17">
        <v>22913</v>
      </c>
      <c r="K14" s="17">
        <v>34164</v>
      </c>
    </row>
    <row r="15" spans="4:25" s="18" customFormat="1" ht="15.75" customHeight="1">
      <c r="D15" s="22"/>
      <c r="E15" s="16" t="s">
        <v>7</v>
      </c>
      <c r="F15" s="17">
        <v>93746</v>
      </c>
      <c r="G15" s="17">
        <v>57633</v>
      </c>
      <c r="H15" s="17">
        <v>9929</v>
      </c>
      <c r="I15" s="17">
        <v>2279</v>
      </c>
      <c r="J15" s="17">
        <v>4798</v>
      </c>
      <c r="K15" s="17">
        <v>19107</v>
      </c>
    </row>
    <row r="16" spans="4:25" s="18" customFormat="1" ht="15.75" customHeight="1">
      <c r="D16" s="22"/>
      <c r="E16" s="16" t="s">
        <v>6</v>
      </c>
      <c r="F16" s="17">
        <v>108196</v>
      </c>
      <c r="G16" s="17">
        <v>68994</v>
      </c>
      <c r="H16" s="17">
        <v>11085</v>
      </c>
      <c r="I16" s="17">
        <v>2229</v>
      </c>
      <c r="J16" s="17">
        <v>3478</v>
      </c>
      <c r="K16" s="17">
        <v>22410</v>
      </c>
    </row>
    <row r="17" spans="4:11" s="18" customFormat="1" ht="15.75" customHeight="1">
      <c r="D17" s="22"/>
      <c r="E17" s="16" t="s">
        <v>5</v>
      </c>
      <c r="F17" s="17">
        <v>97323</v>
      </c>
      <c r="G17" s="17">
        <v>64203</v>
      </c>
      <c r="H17" s="17">
        <v>10916</v>
      </c>
      <c r="I17" s="17">
        <v>2286</v>
      </c>
      <c r="J17" s="17">
        <v>3227</v>
      </c>
      <c r="K17" s="17">
        <v>16691</v>
      </c>
    </row>
    <row r="18" spans="4:11" s="18" customFormat="1" ht="15.75" customHeight="1">
      <c r="D18" s="22"/>
      <c r="E18" s="16" t="s">
        <v>4</v>
      </c>
      <c r="F18" s="17">
        <v>83445</v>
      </c>
      <c r="G18" s="17">
        <v>58541</v>
      </c>
      <c r="H18" s="17">
        <v>9743</v>
      </c>
      <c r="I18" s="17">
        <v>2083</v>
      </c>
      <c r="J18" s="17">
        <v>1767</v>
      </c>
      <c r="K18" s="17">
        <v>11311</v>
      </c>
    </row>
    <row r="19" spans="4:11" s="18" customFormat="1" ht="15.75" customHeight="1">
      <c r="D19" s="22"/>
      <c r="E19" s="16" t="s">
        <v>3</v>
      </c>
      <c r="F19" s="17">
        <v>93516</v>
      </c>
      <c r="G19" s="17">
        <v>62332</v>
      </c>
      <c r="H19" s="17">
        <v>12131</v>
      </c>
      <c r="I19" s="17">
        <v>2664</v>
      </c>
      <c r="J19" s="17">
        <v>2260</v>
      </c>
      <c r="K19" s="17">
        <v>14129</v>
      </c>
    </row>
    <row r="20" spans="4:11" s="18" customFormat="1" ht="15.75" customHeight="1">
      <c r="D20" s="22"/>
      <c r="E20" s="16" t="s">
        <v>2</v>
      </c>
      <c r="F20" s="17">
        <v>75371</v>
      </c>
      <c r="G20" s="17">
        <v>49838</v>
      </c>
      <c r="H20" s="17">
        <v>9664</v>
      </c>
      <c r="I20" s="17">
        <v>2340</v>
      </c>
      <c r="J20" s="17">
        <v>2696</v>
      </c>
      <c r="K20" s="17">
        <v>10833</v>
      </c>
    </row>
    <row r="21" spans="4:11" s="18" customFormat="1" ht="15.75" customHeight="1">
      <c r="D21" s="23"/>
      <c r="E21" s="16" t="s">
        <v>1</v>
      </c>
      <c r="F21" s="17">
        <v>68439</v>
      </c>
      <c r="G21" s="17">
        <v>46331</v>
      </c>
      <c r="H21" s="17">
        <v>8534</v>
      </c>
      <c r="I21" s="17">
        <v>2168</v>
      </c>
      <c r="J21" s="17">
        <v>2156</v>
      </c>
      <c r="K21" s="17">
        <v>9250</v>
      </c>
    </row>
    <row r="22" spans="4:11" s="18" customFormat="1" ht="15.75" customHeight="1">
      <c r="D22" s="21">
        <v>2014</v>
      </c>
      <c r="E22" s="16" t="s">
        <v>0</v>
      </c>
      <c r="F22" s="17">
        <v>71130</v>
      </c>
      <c r="G22" s="17">
        <v>45860</v>
      </c>
      <c r="H22" s="17">
        <v>9609</v>
      </c>
      <c r="I22" s="17">
        <v>2376</v>
      </c>
      <c r="J22" s="17">
        <v>1941</v>
      </c>
      <c r="K22" s="17">
        <v>11344</v>
      </c>
    </row>
    <row r="23" spans="4:11" s="18" customFormat="1" ht="15.75" customHeight="1">
      <c r="D23" s="22"/>
      <c r="E23" s="16" t="s">
        <v>11</v>
      </c>
      <c r="F23" s="17">
        <v>76863</v>
      </c>
      <c r="G23" s="17">
        <v>51701</v>
      </c>
      <c r="H23" s="17">
        <v>9287</v>
      </c>
      <c r="I23" s="17">
        <v>2329</v>
      </c>
      <c r="J23" s="17">
        <v>2595</v>
      </c>
      <c r="K23" s="17">
        <v>10951</v>
      </c>
    </row>
    <row r="24" spans="4:11" s="18" customFormat="1" ht="15.75" customHeight="1">
      <c r="D24" s="22"/>
      <c r="E24" s="16" t="s">
        <v>10</v>
      </c>
      <c r="F24" s="17">
        <v>94628</v>
      </c>
      <c r="G24" s="17">
        <v>66273</v>
      </c>
      <c r="H24" s="17">
        <v>10910</v>
      </c>
      <c r="I24" s="17">
        <v>2833</v>
      </c>
      <c r="J24" s="17">
        <v>3726</v>
      </c>
      <c r="K24" s="17">
        <v>10886</v>
      </c>
    </row>
    <row r="25" spans="4:11" s="18" customFormat="1" ht="15.75" customHeight="1">
      <c r="D25" s="22"/>
      <c r="E25" s="16" t="s">
        <v>9</v>
      </c>
      <c r="F25" s="17">
        <v>103095</v>
      </c>
      <c r="G25" s="17">
        <v>74816</v>
      </c>
      <c r="H25" s="17">
        <v>11511</v>
      </c>
      <c r="I25" s="17">
        <v>3018</v>
      </c>
      <c r="J25" s="17">
        <v>2503</v>
      </c>
      <c r="K25" s="17">
        <v>11247</v>
      </c>
    </row>
    <row r="26" spans="4:11" s="18" customFormat="1" ht="15.75" customHeight="1">
      <c r="D26" s="22"/>
      <c r="E26" s="16" t="s">
        <v>8</v>
      </c>
      <c r="F26" s="17">
        <v>99446</v>
      </c>
      <c r="G26" s="17">
        <v>73371</v>
      </c>
      <c r="H26" s="17">
        <v>10850</v>
      </c>
      <c r="I26" s="17">
        <v>3207</v>
      </c>
      <c r="J26" s="17">
        <v>2922</v>
      </c>
      <c r="K26" s="17">
        <v>9096</v>
      </c>
    </row>
    <row r="27" spans="4:11" s="18" customFormat="1" ht="15.75" customHeight="1">
      <c r="D27" s="22"/>
      <c r="E27" s="16" t="s">
        <v>7</v>
      </c>
      <c r="F27" s="17">
        <v>99451</v>
      </c>
      <c r="G27" s="17">
        <v>72450</v>
      </c>
      <c r="H27" s="17">
        <v>10225</v>
      </c>
      <c r="I27" s="17">
        <v>3349</v>
      </c>
      <c r="J27" s="17">
        <v>3464</v>
      </c>
      <c r="K27" s="17">
        <v>9963</v>
      </c>
    </row>
    <row r="28" spans="4:11" s="18" customFormat="1" ht="15.75" customHeight="1">
      <c r="D28" s="22"/>
      <c r="E28" s="16" t="s">
        <v>6</v>
      </c>
      <c r="F28" s="17">
        <v>97893</v>
      </c>
      <c r="G28" s="17">
        <v>71543</v>
      </c>
      <c r="H28" s="17">
        <v>10370</v>
      </c>
      <c r="I28" s="17">
        <v>3178</v>
      </c>
      <c r="J28" s="17">
        <v>3424</v>
      </c>
      <c r="K28" s="17">
        <v>9378</v>
      </c>
    </row>
    <row r="29" spans="4:11" s="18" customFormat="1" ht="15.75" customHeight="1">
      <c r="D29" s="22"/>
      <c r="E29" s="16" t="s">
        <v>5</v>
      </c>
      <c r="F29" s="17">
        <v>89275</v>
      </c>
      <c r="G29" s="17">
        <v>63962</v>
      </c>
      <c r="H29" s="17">
        <v>10419</v>
      </c>
      <c r="I29" s="17">
        <v>3318</v>
      </c>
      <c r="J29" s="17">
        <v>3806</v>
      </c>
      <c r="K29" s="17">
        <v>7770</v>
      </c>
    </row>
    <row r="30" spans="4:11" s="18" customFormat="1" ht="15.75" customHeight="1">
      <c r="D30" s="22"/>
      <c r="E30" s="16" t="s">
        <v>4</v>
      </c>
      <c r="F30" s="17">
        <v>87166</v>
      </c>
      <c r="G30" s="17">
        <v>62210</v>
      </c>
      <c r="H30" s="17">
        <v>10474</v>
      </c>
      <c r="I30" s="17">
        <v>3405</v>
      </c>
      <c r="J30" s="17">
        <v>3012</v>
      </c>
      <c r="K30" s="17">
        <v>8065</v>
      </c>
    </row>
    <row r="31" spans="4:11" s="18" customFormat="1" ht="15.75" customHeight="1">
      <c r="D31" s="22"/>
      <c r="E31" s="16" t="s">
        <v>3</v>
      </c>
      <c r="F31" s="17">
        <v>93206</v>
      </c>
      <c r="G31" s="17">
        <v>64344</v>
      </c>
      <c r="H31" s="17">
        <v>11776</v>
      </c>
      <c r="I31" s="17">
        <v>4130</v>
      </c>
      <c r="J31" s="17">
        <v>5273</v>
      </c>
      <c r="K31" s="17">
        <v>7683</v>
      </c>
    </row>
    <row r="32" spans="4:11" s="18" customFormat="1" ht="15.75" customHeight="1">
      <c r="D32" s="22"/>
      <c r="E32" s="16" t="s">
        <v>2</v>
      </c>
      <c r="F32" s="17">
        <v>74286</v>
      </c>
      <c r="G32" s="17">
        <v>50489</v>
      </c>
      <c r="H32" s="17">
        <v>9428</v>
      </c>
      <c r="I32" s="17">
        <v>3128</v>
      </c>
      <c r="J32" s="17">
        <v>5621</v>
      </c>
      <c r="K32" s="17">
        <v>5620</v>
      </c>
    </row>
    <row r="33" spans="4:20" s="18" customFormat="1" ht="15.75" customHeight="1">
      <c r="D33" s="23"/>
      <c r="E33" s="16" t="s">
        <v>1</v>
      </c>
      <c r="F33" s="17">
        <v>71754</v>
      </c>
      <c r="G33" s="17">
        <v>48105</v>
      </c>
      <c r="H33" s="17">
        <v>9516</v>
      </c>
      <c r="I33" s="17">
        <v>3084</v>
      </c>
      <c r="J33" s="17">
        <v>5796</v>
      </c>
      <c r="K33" s="17">
        <v>5253</v>
      </c>
    </row>
    <row r="34" spans="4:20" s="18" customFormat="1" ht="15.75" customHeight="1">
      <c r="D34" s="16">
        <v>2015</v>
      </c>
      <c r="E34" s="16" t="s">
        <v>0</v>
      </c>
      <c r="F34" s="17">
        <v>128133</v>
      </c>
      <c r="G34" s="17">
        <v>71254</v>
      </c>
      <c r="H34" s="17">
        <v>16889</v>
      </c>
      <c r="I34" s="17">
        <v>6875</v>
      </c>
      <c r="J34" s="17">
        <v>27779</v>
      </c>
      <c r="K34" s="17">
        <v>5336</v>
      </c>
    </row>
    <row r="35" spans="4:20">
      <c r="K35" s="11"/>
      <c r="P35" s="11"/>
      <c r="S35" s="11"/>
    </row>
    <row r="39" spans="4:20">
      <c r="R39" s="7"/>
      <c r="S39" s="8"/>
    </row>
    <row r="40" spans="4:20">
      <c r="S40" s="9"/>
      <c r="T40" s="8"/>
    </row>
    <row r="41" spans="4:20">
      <c r="S41" s="9"/>
      <c r="T41" s="8"/>
    </row>
    <row r="42" spans="4:20">
      <c r="S42" s="9"/>
      <c r="T42" s="10"/>
    </row>
  </sheetData>
  <mergeCells count="2">
    <mergeCell ref="D10:D21"/>
    <mergeCell ref="D22:D33"/>
  </mergeCells>
  <conditionalFormatting sqref="F10:F34">
    <cfRule type="colorScale" priority="6">
      <colorScale>
        <cfvo type="min"/>
        <cfvo type="max"/>
        <color theme="0"/>
        <color theme="4" tint="0.39997558519241921"/>
      </colorScale>
    </cfRule>
  </conditionalFormatting>
  <conditionalFormatting sqref="G10:G34">
    <cfRule type="colorScale" priority="5">
      <colorScale>
        <cfvo type="min"/>
        <cfvo type="max"/>
        <color theme="0"/>
        <color theme="4" tint="0.39997558519241921"/>
      </colorScale>
    </cfRule>
  </conditionalFormatting>
  <conditionalFormatting sqref="H10:H34">
    <cfRule type="colorScale" priority="4">
      <colorScale>
        <cfvo type="min"/>
        <cfvo type="max"/>
        <color theme="0"/>
        <color theme="4" tint="0.39997558519241921"/>
      </colorScale>
    </cfRule>
  </conditionalFormatting>
  <conditionalFormatting sqref="I10:I34">
    <cfRule type="colorScale" priority="3">
      <colorScale>
        <cfvo type="min"/>
        <cfvo type="max"/>
        <color theme="0"/>
        <color theme="4" tint="0.39997558519241921"/>
      </colorScale>
    </cfRule>
  </conditionalFormatting>
  <conditionalFormatting sqref="J10:J34">
    <cfRule type="colorScale" priority="2">
      <colorScale>
        <cfvo type="min"/>
        <cfvo type="max"/>
        <color theme="0"/>
        <color theme="4" tint="0.39997558519241921"/>
      </colorScale>
    </cfRule>
  </conditionalFormatting>
  <conditionalFormatting sqref="K10:K34">
    <cfRule type="colorScale" priority="1">
      <colorScale>
        <cfvo type="min"/>
        <cfvo type="max"/>
        <color theme="0"/>
        <color theme="4" tint="0.39997558519241921"/>
      </colorScale>
    </cfRule>
  </conditionalFormatting>
  <dataValidations count="2">
    <dataValidation type="list" allowBlank="1" showInputMessage="1" showErrorMessage="1" sqref="W1">
      <formula1>"PROD, DEV"</formula1>
    </dataValidation>
    <dataValidation type="list" allowBlank="1" showInputMessage="1" showErrorMessage="1" sqref="Y1">
      <formula1>"Yes, No"</formula1>
    </dataValidation>
  </dataValidations>
  <pageMargins left="0.25" right="0.25" top="0.255" bottom="0.25" header="0.1" footer="0.1"/>
  <pageSetup orientation="landscape" horizontalDpi="1200" verticalDpi="1200" r:id="rId1"/>
  <headerFooter scaleWithDoc="0">
    <oddHeader>&amp;L&amp;G&amp;C&amp;"-,Bold"&amp;10&amp;K2E398A
&amp;15Time from Refinancing Application to Funding &amp;R&amp;"-,Bold"&amp;10&amp;K2E398A
As of 2015-03-20</oddHeader>
    <oddFooter>&amp;L&amp;10&amp;K2E398AReport created on &amp;D &amp;T&amp;C&amp;G
&amp;8&amp;K2E398APage &amp;P of &amp;N</oddFooter>
  </headerFooter>
  <colBreaks count="1" manualBreakCount="1">
    <brk id="21" max="1048575" man="1"/>
  </colBreaks>
  <drawing r:id="rId2"/>
  <legacyDrawingHF r:id="rId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theme="9" tint="0.59999389629810485"/>
    <pageSetUpPr fitToPage="1"/>
  </sheetPr>
  <dimension ref="B12:AO74"/>
  <sheetViews>
    <sheetView showGridLines="0" zoomScaleNormal="100" workbookViewId="0">
      <selection activeCell="AJ57" sqref="AJ57"/>
    </sheetView>
  </sheetViews>
  <sheetFormatPr defaultRowHeight="15"/>
  <cols>
    <col min="1" max="1" width="9.140625" customWidth="1"/>
    <col min="3" max="16" width="9.85546875" customWidth="1"/>
    <col min="17" max="18" width="2.85546875" customWidth="1"/>
    <col min="19" max="32" width="9.85546875" customWidth="1"/>
    <col min="33" max="33" width="10.7109375" customWidth="1"/>
    <col min="34" max="34" width="14.5703125" customWidth="1"/>
    <col min="35" max="35" width="11.85546875" bestFit="1" customWidth="1"/>
    <col min="36" max="36" width="19.5703125" customWidth="1"/>
    <col min="37" max="37" width="40.85546875" bestFit="1" customWidth="1"/>
    <col min="38" max="38" width="14.85546875" bestFit="1" customWidth="1"/>
  </cols>
  <sheetData>
    <row r="12" spans="2:41" ht="13.5" customHeight="1"/>
    <row r="14" spans="2:41" s="1" customFormat="1" ht="18" customHeight="1">
      <c r="B14"/>
      <c r="C14"/>
      <c r="D14"/>
      <c r="E14"/>
      <c r="F14"/>
      <c r="G14"/>
      <c r="H14"/>
      <c r="I14"/>
      <c r="J14"/>
      <c r="K14"/>
      <c r="L14"/>
      <c r="M14"/>
      <c r="N14"/>
      <c r="O14"/>
      <c r="P14"/>
      <c r="Q14"/>
      <c r="R14"/>
      <c r="S14"/>
      <c r="T14"/>
      <c r="V14"/>
      <c r="W14"/>
      <c r="X14"/>
      <c r="Y14"/>
      <c r="Z14"/>
      <c r="AA14"/>
      <c r="AB14"/>
      <c r="AC14"/>
      <c r="AD14"/>
      <c r="AI14"/>
      <c r="AJ14"/>
      <c r="AK14"/>
      <c r="AL14"/>
      <c r="AM14"/>
      <c r="AN14"/>
      <c r="AO14"/>
    </row>
    <row r="15" spans="2:41" s="2" customFormat="1" ht="19.5" customHeight="1">
      <c r="B15"/>
      <c r="C15" s="53" t="s">
        <v>31</v>
      </c>
      <c r="D15" s="53"/>
      <c r="E15" s="53"/>
      <c r="F15" s="53"/>
      <c r="G15" s="53"/>
      <c r="H15" s="53"/>
      <c r="I15" s="53"/>
      <c r="J15" s="53"/>
      <c r="K15" s="53"/>
      <c r="L15" s="53"/>
      <c r="M15" s="53"/>
      <c r="N15" s="53"/>
      <c r="O15" s="53"/>
      <c r="P15" s="53"/>
      <c r="Q15" s="24"/>
      <c r="R15" s="24"/>
      <c r="S15" s="50" t="s">
        <v>32</v>
      </c>
      <c r="T15" s="50"/>
      <c r="U15" s="50"/>
      <c r="V15" s="50"/>
      <c r="W15" s="50"/>
      <c r="X15" s="50"/>
      <c r="Y15" s="50"/>
      <c r="Z15" s="50"/>
      <c r="AA15" s="50"/>
      <c r="AB15" s="50"/>
      <c r="AC15" s="50"/>
      <c r="AD15" s="50"/>
      <c r="AE15" s="50"/>
      <c r="AF15" s="50"/>
      <c r="AG15"/>
      <c r="AH15"/>
      <c r="AI15"/>
      <c r="AJ15"/>
      <c r="AK15"/>
      <c r="AL15"/>
      <c r="AM15"/>
      <c r="AN15"/>
      <c r="AO15"/>
    </row>
    <row r="16" spans="2:41" s="2" customFormat="1" hidden="1">
      <c r="B16"/>
      <c r="C16" s="25" t="s">
        <v>33</v>
      </c>
      <c r="D16" s="25" t="s">
        <v>34</v>
      </c>
      <c r="E16" s="25"/>
      <c r="F16" s="25"/>
      <c r="G16" s="25"/>
      <c r="H16" s="25"/>
      <c r="I16" s="25"/>
      <c r="J16" s="25"/>
      <c r="K16" s="25"/>
      <c r="L16" s="25"/>
      <c r="M16" s="25"/>
      <c r="N16" s="25"/>
      <c r="O16" s="25"/>
      <c r="P16" s="25"/>
      <c r="Q16" s="24"/>
      <c r="R16" s="24"/>
      <c r="S16" s="25" t="s">
        <v>32</v>
      </c>
      <c r="T16" s="25" t="s">
        <v>34</v>
      </c>
      <c r="U16" s="25"/>
      <c r="V16" s="25"/>
      <c r="W16" s="25"/>
      <c r="X16" s="25"/>
      <c r="Y16" s="25"/>
      <c r="Z16" s="25"/>
      <c r="AA16" s="25"/>
      <c r="AB16" s="25"/>
      <c r="AC16" s="25"/>
      <c r="AD16" s="25"/>
      <c r="AE16" s="25"/>
      <c r="AF16" s="25"/>
      <c r="AG16"/>
      <c r="AH16"/>
      <c r="AI16"/>
      <c r="AJ16"/>
      <c r="AK16"/>
      <c r="AL16"/>
      <c r="AM16"/>
      <c r="AN16"/>
      <c r="AO16"/>
    </row>
    <row r="17" spans="2:41" s="54" customFormat="1" ht="16.5" customHeight="1">
      <c r="B17" s="13"/>
      <c r="C17" s="26" t="s">
        <v>35</v>
      </c>
      <c r="D17" s="26" t="s">
        <v>36</v>
      </c>
      <c r="E17" s="26" t="s">
        <v>37</v>
      </c>
      <c r="F17" s="26" t="s">
        <v>38</v>
      </c>
      <c r="G17" s="26" t="s">
        <v>39</v>
      </c>
      <c r="H17" s="26" t="s">
        <v>40</v>
      </c>
      <c r="I17" s="26" t="s">
        <v>41</v>
      </c>
      <c r="J17" s="26" t="s">
        <v>42</v>
      </c>
      <c r="K17" s="26" t="s">
        <v>43</v>
      </c>
      <c r="L17" s="26" t="s">
        <v>44</v>
      </c>
      <c r="M17" s="26" t="s">
        <v>45</v>
      </c>
      <c r="N17" s="26" t="s">
        <v>46</v>
      </c>
      <c r="O17" s="26" t="s">
        <v>47</v>
      </c>
      <c r="P17" s="26" t="s">
        <v>48</v>
      </c>
      <c r="Q17" s="34"/>
      <c r="R17" s="34"/>
      <c r="S17" s="27" t="s">
        <v>35</v>
      </c>
      <c r="T17" s="27" t="s">
        <v>36</v>
      </c>
      <c r="U17" s="27" t="s">
        <v>37</v>
      </c>
      <c r="V17" s="27" t="s">
        <v>38</v>
      </c>
      <c r="W17" s="27" t="s">
        <v>39</v>
      </c>
      <c r="X17" s="27" t="s">
        <v>40</v>
      </c>
      <c r="Y17" s="27" t="s">
        <v>41</v>
      </c>
      <c r="Z17" s="27" t="s">
        <v>42</v>
      </c>
      <c r="AA17" s="27" t="s">
        <v>43</v>
      </c>
      <c r="AB17" s="27" t="s">
        <v>44</v>
      </c>
      <c r="AC17" s="27" t="s">
        <v>45</v>
      </c>
      <c r="AD17" s="27" t="s">
        <v>46</v>
      </c>
      <c r="AE17" s="27" t="s">
        <v>47</v>
      </c>
      <c r="AF17" s="27" t="s">
        <v>48</v>
      </c>
      <c r="AG17" s="13"/>
      <c r="AH17" s="13"/>
      <c r="AI17"/>
      <c r="AJ17"/>
      <c r="AK17"/>
      <c r="AL17"/>
      <c r="AM17"/>
      <c r="AN17"/>
      <c r="AO17"/>
    </row>
    <row r="18" spans="2:41" s="40" customFormat="1" ht="16.5" customHeight="1">
      <c r="B18" s="38"/>
      <c r="C18" s="41">
        <v>41426</v>
      </c>
      <c r="D18" s="42">
        <v>7.1894999999999998</v>
      </c>
      <c r="E18" s="42"/>
      <c r="F18" s="42"/>
      <c r="G18" s="42"/>
      <c r="H18" s="42"/>
      <c r="I18" s="42"/>
      <c r="J18" s="42"/>
      <c r="K18" s="42"/>
      <c r="L18" s="42"/>
      <c r="M18" s="42"/>
      <c r="N18" s="42"/>
      <c r="O18" s="42"/>
      <c r="P18" s="42"/>
      <c r="Q18" s="39"/>
      <c r="R18" s="39"/>
      <c r="S18" s="41">
        <v>41426</v>
      </c>
      <c r="T18" s="43">
        <v>0</v>
      </c>
      <c r="U18" s="43"/>
      <c r="V18" s="43"/>
      <c r="W18" s="43"/>
      <c r="X18" s="43"/>
      <c r="Y18" s="43"/>
      <c r="Z18" s="43"/>
      <c r="AA18" s="43"/>
      <c r="AB18" s="43"/>
      <c r="AC18" s="43"/>
      <c r="AD18" s="43"/>
      <c r="AE18" s="43"/>
      <c r="AF18" s="43"/>
      <c r="AG18" s="38"/>
      <c r="AH18" s="38"/>
      <c r="AI18"/>
      <c r="AJ18"/>
      <c r="AK18"/>
      <c r="AL18"/>
      <c r="AM18"/>
      <c r="AN18"/>
      <c r="AO18"/>
    </row>
    <row r="19" spans="2:41" s="40" customFormat="1" ht="16.5" customHeight="1">
      <c r="B19" s="38"/>
      <c r="C19" s="41">
        <v>41456</v>
      </c>
      <c r="D19" s="42">
        <v>5.2968000000000002</v>
      </c>
      <c r="E19" s="42"/>
      <c r="F19" s="42"/>
      <c r="G19" s="42"/>
      <c r="H19" s="42"/>
      <c r="I19" s="42"/>
      <c r="J19" s="42"/>
      <c r="K19" s="42"/>
      <c r="L19" s="42"/>
      <c r="M19" s="42"/>
      <c r="N19" s="42"/>
      <c r="O19" s="42"/>
      <c r="P19" s="42"/>
      <c r="Q19" s="39"/>
      <c r="R19" s="39"/>
      <c r="S19" s="41">
        <v>41456</v>
      </c>
      <c r="T19" s="43">
        <v>0</v>
      </c>
      <c r="U19" s="43"/>
      <c r="V19" s="43"/>
      <c r="W19" s="43"/>
      <c r="X19" s="43"/>
      <c r="Y19" s="43"/>
      <c r="Z19" s="43"/>
      <c r="AA19" s="43"/>
      <c r="AB19" s="43"/>
      <c r="AC19" s="43"/>
      <c r="AD19" s="43"/>
      <c r="AE19" s="43"/>
      <c r="AF19" s="43"/>
      <c r="AG19" s="38"/>
      <c r="AH19" s="38"/>
      <c r="AI19"/>
      <c r="AJ19"/>
      <c r="AK19"/>
      <c r="AL19"/>
      <c r="AM19"/>
      <c r="AN19"/>
      <c r="AO19"/>
    </row>
    <row r="20" spans="2:41" s="40" customFormat="1" ht="16.5" customHeight="1">
      <c r="B20" s="38"/>
      <c r="C20" s="41">
        <v>41487</v>
      </c>
      <c r="D20" s="42">
        <v>3.7195999999999998</v>
      </c>
      <c r="E20" s="42"/>
      <c r="F20" s="42"/>
      <c r="G20" s="42"/>
      <c r="H20" s="42"/>
      <c r="I20" s="42"/>
      <c r="J20" s="42"/>
      <c r="K20" s="42"/>
      <c r="L20" s="42"/>
      <c r="M20" s="42"/>
      <c r="N20" s="42"/>
      <c r="O20" s="42"/>
      <c r="P20" s="42"/>
      <c r="Q20" s="39"/>
      <c r="R20" s="39"/>
      <c r="S20" s="41">
        <v>41487</v>
      </c>
      <c r="T20" s="43">
        <v>0</v>
      </c>
      <c r="U20" s="43"/>
      <c r="V20" s="43"/>
      <c r="W20" s="43"/>
      <c r="X20" s="43"/>
      <c r="Y20" s="43"/>
      <c r="Z20" s="43"/>
      <c r="AA20" s="43"/>
      <c r="AB20" s="43"/>
      <c r="AC20" s="43"/>
      <c r="AD20" s="43"/>
      <c r="AE20" s="43"/>
      <c r="AF20" s="43"/>
      <c r="AG20" s="38"/>
      <c r="AH20" s="38"/>
      <c r="AI20"/>
      <c r="AJ20"/>
      <c r="AK20"/>
      <c r="AL20"/>
      <c r="AM20"/>
      <c r="AN20"/>
      <c r="AO20"/>
    </row>
    <row r="21" spans="2:41" s="40" customFormat="1" ht="16.5" customHeight="1">
      <c r="B21" s="38"/>
      <c r="C21" s="41">
        <v>41518</v>
      </c>
      <c r="D21" s="42">
        <v>3.9026999999999998</v>
      </c>
      <c r="E21" s="42"/>
      <c r="F21" s="42"/>
      <c r="G21" s="42"/>
      <c r="H21" s="42"/>
      <c r="I21" s="42"/>
      <c r="J21" s="42"/>
      <c r="K21" s="42"/>
      <c r="L21" s="42"/>
      <c r="M21" s="42"/>
      <c r="N21" s="42"/>
      <c r="O21" s="42"/>
      <c r="P21" s="42"/>
      <c r="Q21" s="39"/>
      <c r="R21" s="39"/>
      <c r="S21" s="41">
        <v>41518</v>
      </c>
      <c r="T21" s="43">
        <v>0</v>
      </c>
      <c r="U21" s="43"/>
      <c r="V21" s="43"/>
      <c r="W21" s="43"/>
      <c r="X21" s="43"/>
      <c r="Y21" s="43"/>
      <c r="Z21" s="43"/>
      <c r="AA21" s="43"/>
      <c r="AB21" s="43"/>
      <c r="AC21" s="43"/>
      <c r="AD21" s="43"/>
      <c r="AE21" s="43"/>
      <c r="AF21" s="43"/>
      <c r="AG21" s="38"/>
      <c r="AH21" s="38"/>
      <c r="AI21"/>
      <c r="AJ21"/>
      <c r="AK21"/>
      <c r="AL21"/>
      <c r="AM21"/>
      <c r="AN21"/>
      <c r="AO21"/>
    </row>
    <row r="22" spans="2:41" s="40" customFormat="1" ht="16.5" customHeight="1">
      <c r="B22" s="38"/>
      <c r="C22" s="41">
        <v>41548</v>
      </c>
      <c r="D22" s="42">
        <v>3.5990000000000002</v>
      </c>
      <c r="E22" s="42"/>
      <c r="F22" s="42"/>
      <c r="G22" s="42"/>
      <c r="H22" s="42"/>
      <c r="I22" s="42"/>
      <c r="J22" s="42"/>
      <c r="K22" s="42"/>
      <c r="L22" s="42"/>
      <c r="M22" s="42"/>
      <c r="N22" s="42"/>
      <c r="O22" s="42"/>
      <c r="P22" s="42"/>
      <c r="Q22" s="39"/>
      <c r="R22" s="39"/>
      <c r="S22" s="41">
        <v>41548</v>
      </c>
      <c r="T22" s="43">
        <v>0</v>
      </c>
      <c r="U22" s="43"/>
      <c r="V22" s="43"/>
      <c r="W22" s="43"/>
      <c r="X22" s="43"/>
      <c r="Y22" s="43"/>
      <c r="Z22" s="43"/>
      <c r="AA22" s="43"/>
      <c r="AB22" s="43"/>
      <c r="AC22" s="43"/>
      <c r="AD22" s="43"/>
      <c r="AE22" s="43"/>
      <c r="AF22" s="43"/>
      <c r="AG22" s="38"/>
      <c r="AH22" s="38"/>
      <c r="AI22"/>
      <c r="AJ22"/>
      <c r="AK22"/>
      <c r="AL22"/>
      <c r="AM22"/>
      <c r="AN22"/>
      <c r="AO22"/>
    </row>
    <row r="23" spans="2:41" s="40" customFormat="1" ht="16.5" customHeight="1">
      <c r="B23" s="38"/>
      <c r="C23" s="41">
        <v>41579</v>
      </c>
      <c r="D23" s="42">
        <v>3.7277999999999998</v>
      </c>
      <c r="E23" s="42">
        <v>8.3688000000000002</v>
      </c>
      <c r="F23" s="42"/>
      <c r="G23" s="42"/>
      <c r="H23" s="42"/>
      <c r="I23" s="42"/>
      <c r="J23" s="42"/>
      <c r="K23" s="42"/>
      <c r="L23" s="42"/>
      <c r="M23" s="42"/>
      <c r="N23" s="42"/>
      <c r="O23" s="42"/>
      <c r="P23" s="42"/>
      <c r="Q23" s="39"/>
      <c r="R23" s="39"/>
      <c r="S23" s="41">
        <v>41579</v>
      </c>
      <c r="T23" s="43">
        <v>5.4000000000000003E-3</v>
      </c>
      <c r="U23" s="43">
        <v>0</v>
      </c>
      <c r="V23" s="43"/>
      <c r="W23" s="43"/>
      <c r="X23" s="43"/>
      <c r="Y23" s="43"/>
      <c r="Z23" s="43"/>
      <c r="AA23" s="43"/>
      <c r="AB23" s="43"/>
      <c r="AC23" s="43"/>
      <c r="AD23" s="43"/>
      <c r="AE23" s="43"/>
      <c r="AF23" s="43"/>
      <c r="AG23" s="38"/>
      <c r="AH23" s="38"/>
      <c r="AI23"/>
      <c r="AJ23"/>
      <c r="AK23"/>
      <c r="AL23"/>
      <c r="AM23"/>
      <c r="AN23"/>
      <c r="AO23"/>
    </row>
    <row r="24" spans="2:41" s="40" customFormat="1" ht="16.5" customHeight="1">
      <c r="B24" s="38"/>
      <c r="C24" s="41">
        <v>41609</v>
      </c>
      <c r="D24" s="42">
        <v>3.1396999999999999</v>
      </c>
      <c r="E24" s="42">
        <v>2.5486</v>
      </c>
      <c r="F24" s="42"/>
      <c r="G24" s="42"/>
      <c r="H24" s="42"/>
      <c r="I24" s="42"/>
      <c r="J24" s="42"/>
      <c r="K24" s="42"/>
      <c r="L24" s="42"/>
      <c r="M24" s="42"/>
      <c r="N24" s="42"/>
      <c r="O24" s="42"/>
      <c r="P24" s="42"/>
      <c r="Q24" s="39"/>
      <c r="R24" s="39"/>
      <c r="S24" s="41">
        <v>41609</v>
      </c>
      <c r="T24" s="43">
        <v>1.66E-2</v>
      </c>
      <c r="U24" s="43">
        <v>0</v>
      </c>
      <c r="V24" s="43"/>
      <c r="W24" s="43"/>
      <c r="X24" s="43"/>
      <c r="Y24" s="43"/>
      <c r="Z24" s="43"/>
      <c r="AA24" s="43"/>
      <c r="AB24" s="43"/>
      <c r="AC24" s="43"/>
      <c r="AD24" s="43"/>
      <c r="AE24" s="43"/>
      <c r="AF24" s="43"/>
      <c r="AG24" s="38"/>
      <c r="AH24" s="38"/>
      <c r="AI24"/>
      <c r="AJ24"/>
      <c r="AK24"/>
      <c r="AL24"/>
      <c r="AM24"/>
      <c r="AN24"/>
      <c r="AO24"/>
    </row>
    <row r="25" spans="2:41" s="40" customFormat="1" ht="16.5" customHeight="1">
      <c r="B25" s="38"/>
      <c r="C25" s="41">
        <v>41640</v>
      </c>
      <c r="D25" s="42">
        <v>2.976</v>
      </c>
      <c r="E25" s="42">
        <v>2.6267</v>
      </c>
      <c r="F25" s="42"/>
      <c r="G25" s="42"/>
      <c r="H25" s="42"/>
      <c r="I25" s="42"/>
      <c r="J25" s="42"/>
      <c r="K25" s="42"/>
      <c r="L25" s="42"/>
      <c r="M25" s="42"/>
      <c r="N25" s="42"/>
      <c r="O25" s="42"/>
      <c r="P25" s="42"/>
      <c r="Q25" s="39"/>
      <c r="R25" s="39"/>
      <c r="S25" s="41">
        <v>41640</v>
      </c>
      <c r="T25" s="43">
        <v>0.03</v>
      </c>
      <c r="U25" s="43">
        <v>0</v>
      </c>
      <c r="V25" s="43"/>
      <c r="W25" s="43"/>
      <c r="X25" s="43"/>
      <c r="Y25" s="43"/>
      <c r="Z25" s="43"/>
      <c r="AA25" s="43"/>
      <c r="AB25" s="43"/>
      <c r="AC25" s="43"/>
      <c r="AD25" s="43"/>
      <c r="AE25" s="43"/>
      <c r="AF25" s="43"/>
      <c r="AG25" s="38"/>
      <c r="AH25" s="38"/>
      <c r="AI25"/>
      <c r="AJ25"/>
      <c r="AK25"/>
      <c r="AL25"/>
      <c r="AM25"/>
      <c r="AN25"/>
      <c r="AO25"/>
    </row>
    <row r="26" spans="2:41" s="38" customFormat="1" ht="16.5" customHeight="1">
      <c r="C26" s="41">
        <v>41671</v>
      </c>
      <c r="D26" s="42">
        <v>3.8313999999999999</v>
      </c>
      <c r="E26" s="42">
        <v>3.6274999999999999</v>
      </c>
      <c r="F26" s="42">
        <v>7.4269999999999996</v>
      </c>
      <c r="G26" s="42"/>
      <c r="H26" s="42"/>
      <c r="I26" s="42"/>
      <c r="J26" s="42"/>
      <c r="K26" s="42"/>
      <c r="L26" s="42"/>
      <c r="M26" s="42"/>
      <c r="N26" s="42"/>
      <c r="O26" s="42"/>
      <c r="P26" s="42"/>
      <c r="Q26" s="39"/>
      <c r="R26" s="39"/>
      <c r="S26" s="41">
        <v>41671</v>
      </c>
      <c r="T26" s="43">
        <v>1.9E-2</v>
      </c>
      <c r="U26" s="43">
        <v>8.9999999999999993E-3</v>
      </c>
      <c r="V26" s="43">
        <v>0</v>
      </c>
      <c r="W26" s="43"/>
      <c r="X26" s="43"/>
      <c r="Y26" s="43"/>
      <c r="Z26" s="43"/>
      <c r="AA26" s="43"/>
      <c r="AB26" s="43"/>
      <c r="AC26" s="43"/>
      <c r="AD26" s="43"/>
      <c r="AE26" s="43"/>
      <c r="AF26" s="43"/>
      <c r="AI26"/>
      <c r="AJ26"/>
      <c r="AK26"/>
      <c r="AL26"/>
      <c r="AM26"/>
      <c r="AN26"/>
      <c r="AO26"/>
    </row>
    <row r="27" spans="2:41" s="38" customFormat="1" ht="16.5" customHeight="1">
      <c r="C27" s="41">
        <v>41699</v>
      </c>
      <c r="D27" s="42">
        <v>3.9773000000000001</v>
      </c>
      <c r="E27" s="42">
        <v>3.9352999999999998</v>
      </c>
      <c r="F27" s="42">
        <v>3.8881000000000001</v>
      </c>
      <c r="G27" s="42"/>
      <c r="H27" s="42"/>
      <c r="I27" s="42"/>
      <c r="J27" s="42"/>
      <c r="K27" s="42"/>
      <c r="L27" s="42"/>
      <c r="M27" s="42"/>
      <c r="N27" s="42"/>
      <c r="O27" s="42"/>
      <c r="P27" s="42"/>
      <c r="Q27" s="39"/>
      <c r="R27" s="39"/>
      <c r="S27" s="41">
        <v>41699</v>
      </c>
      <c r="T27" s="43">
        <v>8.3900000000000002E-2</v>
      </c>
      <c r="U27" s="43">
        <v>3.9E-2</v>
      </c>
      <c r="V27" s="43">
        <v>0</v>
      </c>
      <c r="W27" s="43"/>
      <c r="X27" s="43"/>
      <c r="Y27" s="43"/>
      <c r="Z27" s="43"/>
      <c r="AA27" s="43"/>
      <c r="AB27" s="43"/>
      <c r="AC27" s="43"/>
      <c r="AD27" s="43"/>
      <c r="AE27" s="43"/>
      <c r="AF27" s="43"/>
      <c r="AI27"/>
      <c r="AJ27"/>
      <c r="AK27"/>
      <c r="AL27"/>
      <c r="AM27"/>
      <c r="AN27"/>
      <c r="AO27"/>
    </row>
    <row r="28" spans="2:41" s="38" customFormat="1" ht="16.5" customHeight="1">
      <c r="C28" s="41">
        <v>41730</v>
      </c>
      <c r="D28" s="42">
        <v>5.8136999999999999</v>
      </c>
      <c r="E28" s="42">
        <v>5.2506000000000004</v>
      </c>
      <c r="F28" s="42">
        <v>4.7267999999999999</v>
      </c>
      <c r="G28" s="42">
        <v>14.718299999999999</v>
      </c>
      <c r="H28" s="42"/>
      <c r="I28" s="42"/>
      <c r="J28" s="42"/>
      <c r="K28" s="42"/>
      <c r="L28" s="42"/>
      <c r="M28" s="42"/>
      <c r="N28" s="42"/>
      <c r="O28" s="42"/>
      <c r="P28" s="42"/>
      <c r="Q28" s="39"/>
      <c r="R28" s="39"/>
      <c r="S28" s="41">
        <v>41730</v>
      </c>
      <c r="T28" s="43">
        <v>5.5599999999999997E-2</v>
      </c>
      <c r="U28" s="43">
        <v>1.7299999999999999E-2</v>
      </c>
      <c r="V28" s="43">
        <v>0</v>
      </c>
      <c r="W28" s="43">
        <v>0</v>
      </c>
      <c r="X28" s="43"/>
      <c r="Y28" s="43"/>
      <c r="Z28" s="43"/>
      <c r="AA28" s="43"/>
      <c r="AB28" s="43"/>
      <c r="AC28" s="43"/>
      <c r="AD28" s="43"/>
      <c r="AE28" s="43"/>
      <c r="AF28" s="43"/>
      <c r="AI28"/>
      <c r="AJ28"/>
      <c r="AK28"/>
      <c r="AL28"/>
      <c r="AM28"/>
      <c r="AN28"/>
      <c r="AO28"/>
    </row>
    <row r="29" spans="2:41" s="38" customFormat="1" ht="16.5" customHeight="1">
      <c r="C29" s="41">
        <v>41760</v>
      </c>
      <c r="D29" s="42">
        <v>7.3971999999999998</v>
      </c>
      <c r="E29" s="42">
        <v>5.7789000000000001</v>
      </c>
      <c r="F29" s="42">
        <v>5.5388000000000002</v>
      </c>
      <c r="G29" s="42">
        <v>8.6524000000000001</v>
      </c>
      <c r="H29" s="42"/>
      <c r="I29" s="42"/>
      <c r="J29" s="42"/>
      <c r="K29" s="42"/>
      <c r="L29" s="42"/>
      <c r="M29" s="42"/>
      <c r="N29" s="42"/>
      <c r="O29" s="42"/>
      <c r="P29" s="42"/>
      <c r="Q29" s="39"/>
      <c r="R29" s="39"/>
      <c r="S29" s="41">
        <v>41760</v>
      </c>
      <c r="T29" s="43">
        <v>5.04E-2</v>
      </c>
      <c r="U29" s="43">
        <v>2.12E-2</v>
      </c>
      <c r="V29" s="43">
        <v>1.5599999999999999E-2</v>
      </c>
      <c r="W29" s="43">
        <v>0</v>
      </c>
      <c r="X29" s="43"/>
      <c r="Y29" s="43"/>
      <c r="Z29" s="43"/>
      <c r="AA29" s="43"/>
      <c r="AB29" s="43"/>
      <c r="AC29" s="43"/>
      <c r="AD29" s="43"/>
      <c r="AE29" s="43"/>
      <c r="AF29" s="43"/>
      <c r="AI29"/>
      <c r="AJ29"/>
      <c r="AK29"/>
      <c r="AL29"/>
      <c r="AM29"/>
      <c r="AN29"/>
      <c r="AO29"/>
    </row>
    <row r="30" spans="2:41" s="38" customFormat="1" ht="16.5" customHeight="1">
      <c r="C30" s="41">
        <v>41791</v>
      </c>
      <c r="D30" s="42">
        <v>6.9165999999999999</v>
      </c>
      <c r="E30" s="42">
        <v>5.8940999999999999</v>
      </c>
      <c r="F30" s="42">
        <v>5.3395999999999999</v>
      </c>
      <c r="G30" s="42">
        <v>8.5411999999999999</v>
      </c>
      <c r="H30" s="42"/>
      <c r="I30" s="42"/>
      <c r="J30" s="42"/>
      <c r="K30" s="42"/>
      <c r="L30" s="42"/>
      <c r="M30" s="42"/>
      <c r="N30" s="42"/>
      <c r="O30" s="42"/>
      <c r="P30" s="42"/>
      <c r="Q30" s="39"/>
      <c r="R30" s="39"/>
      <c r="S30" s="41">
        <v>41791</v>
      </c>
      <c r="T30" s="43">
        <v>3.8899999999999997E-2</v>
      </c>
      <c r="U30" s="43">
        <v>2.7699999999999999E-2</v>
      </c>
      <c r="V30" s="43">
        <v>3.0999999999999999E-3</v>
      </c>
      <c r="W30" s="43">
        <v>0</v>
      </c>
      <c r="X30" s="43"/>
      <c r="Y30" s="43"/>
      <c r="Z30" s="43"/>
      <c r="AA30" s="43"/>
      <c r="AB30" s="43"/>
      <c r="AC30" s="43"/>
      <c r="AD30" s="43"/>
      <c r="AE30" s="43"/>
      <c r="AF30" s="43"/>
      <c r="AI30"/>
      <c r="AJ30"/>
      <c r="AK30"/>
      <c r="AL30"/>
      <c r="AM30"/>
      <c r="AN30"/>
      <c r="AO30"/>
    </row>
    <row r="31" spans="2:41" s="38" customFormat="1" ht="16.5" customHeight="1">
      <c r="C31" s="41">
        <v>41821</v>
      </c>
      <c r="D31" s="42">
        <v>6.4720000000000004</v>
      </c>
      <c r="E31" s="42">
        <v>5.4923000000000002</v>
      </c>
      <c r="F31" s="42">
        <v>4.8250000000000002</v>
      </c>
      <c r="G31" s="42">
        <v>7.7906000000000004</v>
      </c>
      <c r="H31" s="42"/>
      <c r="I31" s="42"/>
      <c r="J31" s="42"/>
      <c r="K31" s="42"/>
      <c r="L31" s="42"/>
      <c r="M31" s="42"/>
      <c r="N31" s="42"/>
      <c r="O31" s="42"/>
      <c r="P31" s="42"/>
      <c r="Q31" s="39"/>
      <c r="R31" s="39"/>
      <c r="S31" s="41">
        <v>41821</v>
      </c>
      <c r="T31" s="43">
        <v>3.9800000000000002E-2</v>
      </c>
      <c r="U31" s="43">
        <v>2.58E-2</v>
      </c>
      <c r="V31" s="43">
        <v>2.6100000000000002E-2</v>
      </c>
      <c r="W31" s="43">
        <v>4.2799999999999998E-2</v>
      </c>
      <c r="X31" s="43"/>
      <c r="Y31" s="43"/>
      <c r="Z31" s="43"/>
      <c r="AA31" s="43"/>
      <c r="AB31" s="43"/>
      <c r="AC31" s="43"/>
      <c r="AD31" s="43"/>
      <c r="AE31" s="43"/>
      <c r="AF31" s="43"/>
      <c r="AI31"/>
      <c r="AJ31"/>
      <c r="AK31"/>
      <c r="AL31"/>
      <c r="AM31"/>
      <c r="AN31"/>
      <c r="AO31"/>
    </row>
    <row r="32" spans="2:41" s="38" customFormat="1" ht="16.5" customHeight="1">
      <c r="C32" s="41">
        <v>41852</v>
      </c>
      <c r="D32" s="42">
        <v>5.0166000000000004</v>
      </c>
      <c r="E32" s="42">
        <v>4.6874000000000002</v>
      </c>
      <c r="F32" s="42">
        <v>4.5701999999999998</v>
      </c>
      <c r="G32" s="42">
        <v>7.0224000000000002</v>
      </c>
      <c r="H32" s="42">
        <v>34.337400000000002</v>
      </c>
      <c r="I32" s="42"/>
      <c r="J32" s="42">
        <v>26.836099999999998</v>
      </c>
      <c r="K32" s="42"/>
      <c r="L32" s="42"/>
      <c r="M32" s="42"/>
      <c r="N32" s="42"/>
      <c r="O32" s="42"/>
      <c r="P32" s="42"/>
      <c r="Q32" s="39"/>
      <c r="R32" s="39"/>
      <c r="S32" s="41">
        <v>41852</v>
      </c>
      <c r="T32" s="43">
        <v>3.09E-2</v>
      </c>
      <c r="U32" s="43">
        <v>2.06E-2</v>
      </c>
      <c r="V32" s="43">
        <v>4.4900000000000002E-2</v>
      </c>
      <c r="W32" s="43">
        <v>3.3999999999999998E-3</v>
      </c>
      <c r="X32" s="43">
        <v>0</v>
      </c>
      <c r="Y32" s="43"/>
      <c r="Z32" s="43">
        <v>0</v>
      </c>
      <c r="AA32" s="43"/>
      <c r="AB32" s="43"/>
      <c r="AC32" s="43"/>
      <c r="AD32" s="43"/>
      <c r="AE32" s="43"/>
      <c r="AF32" s="43"/>
      <c r="AI32"/>
      <c r="AJ32"/>
      <c r="AK32"/>
      <c r="AL32"/>
      <c r="AM32"/>
      <c r="AN32"/>
      <c r="AO32"/>
    </row>
    <row r="33" spans="3:41" s="38" customFormat="1" ht="16.5" customHeight="1">
      <c r="C33" s="41">
        <v>41883</v>
      </c>
      <c r="D33" s="42">
        <v>6.4724000000000004</v>
      </c>
      <c r="E33" s="42">
        <v>5.3079999999999998</v>
      </c>
      <c r="F33" s="42">
        <v>5.1115000000000004</v>
      </c>
      <c r="G33" s="42">
        <v>7.5042999999999997</v>
      </c>
      <c r="H33" s="42">
        <v>13.198499999999999</v>
      </c>
      <c r="I33" s="42">
        <v>13.3165</v>
      </c>
      <c r="J33" s="42">
        <v>11.3437</v>
      </c>
      <c r="K33" s="42">
        <v>17.9786</v>
      </c>
      <c r="L33" s="42">
        <v>7.9057000000000004</v>
      </c>
      <c r="M33" s="42"/>
      <c r="N33" s="42"/>
      <c r="O33" s="42"/>
      <c r="P33" s="42"/>
      <c r="Q33" s="39"/>
      <c r="R33" s="39"/>
      <c r="S33" s="41">
        <v>41883</v>
      </c>
      <c r="T33" s="43">
        <v>5.0900000000000001E-2</v>
      </c>
      <c r="U33" s="43">
        <v>5.4300000000000001E-2</v>
      </c>
      <c r="V33" s="43">
        <v>2.86E-2</v>
      </c>
      <c r="W33" s="43">
        <v>3.9E-2</v>
      </c>
      <c r="X33" s="43">
        <v>0</v>
      </c>
      <c r="Y33" s="43">
        <v>0</v>
      </c>
      <c r="Z33" s="43">
        <v>0</v>
      </c>
      <c r="AA33" s="43">
        <v>6.1999999999999998E-3</v>
      </c>
      <c r="AB33" s="43">
        <v>0</v>
      </c>
      <c r="AC33" s="43"/>
      <c r="AD33" s="43"/>
      <c r="AE33" s="43"/>
      <c r="AF33" s="43"/>
      <c r="AI33"/>
      <c r="AJ33"/>
      <c r="AK33"/>
      <c r="AL33"/>
      <c r="AM33"/>
      <c r="AN33"/>
      <c r="AO33"/>
    </row>
    <row r="34" spans="3:41" s="38" customFormat="1" ht="16.5" customHeight="1">
      <c r="C34" s="41">
        <v>41913</v>
      </c>
      <c r="D34" s="42">
        <v>5.2816000000000001</v>
      </c>
      <c r="E34" s="42">
        <v>4.5232999999999999</v>
      </c>
      <c r="F34" s="42">
        <v>4.7755000000000001</v>
      </c>
      <c r="G34" s="42">
        <v>10.3561</v>
      </c>
      <c r="H34" s="42">
        <v>22.500599999999999</v>
      </c>
      <c r="I34" s="42">
        <v>22.260400000000001</v>
      </c>
      <c r="J34" s="42">
        <v>17.6995</v>
      </c>
      <c r="K34" s="42">
        <v>7.1130000000000004</v>
      </c>
      <c r="L34" s="42">
        <v>16.529800000000002</v>
      </c>
      <c r="M34" s="42"/>
      <c r="N34" s="42"/>
      <c r="O34" s="42"/>
      <c r="P34" s="42"/>
      <c r="Q34" s="39"/>
      <c r="R34" s="39"/>
      <c r="S34" s="41">
        <v>41913</v>
      </c>
      <c r="T34" s="43">
        <v>5.8500000000000003E-2</v>
      </c>
      <c r="U34" s="43">
        <v>5.67E-2</v>
      </c>
      <c r="V34" s="43">
        <v>4.2700000000000002E-2</v>
      </c>
      <c r="W34" s="43">
        <v>2.5000000000000001E-2</v>
      </c>
      <c r="X34" s="43">
        <v>0</v>
      </c>
      <c r="Y34" s="43">
        <v>0</v>
      </c>
      <c r="Z34" s="43">
        <v>0</v>
      </c>
      <c r="AA34" s="43">
        <v>0</v>
      </c>
      <c r="AB34" s="43">
        <v>0</v>
      </c>
      <c r="AC34" s="43"/>
      <c r="AD34" s="43"/>
      <c r="AE34" s="43"/>
      <c r="AF34" s="43"/>
      <c r="AI34"/>
      <c r="AJ34"/>
      <c r="AK34"/>
      <c r="AL34"/>
      <c r="AM34"/>
      <c r="AN34"/>
      <c r="AO34"/>
    </row>
    <row r="35" spans="3:41" s="38" customFormat="1" ht="16.5" customHeight="1">
      <c r="C35" s="41">
        <v>41944</v>
      </c>
      <c r="D35" s="42">
        <v>6.0025000000000004</v>
      </c>
      <c r="E35" s="42">
        <v>5.1199000000000003</v>
      </c>
      <c r="F35" s="42">
        <v>5.1914999999999996</v>
      </c>
      <c r="G35" s="42">
        <v>11.3248</v>
      </c>
      <c r="H35" s="42">
        <v>22.5213</v>
      </c>
      <c r="I35" s="42">
        <v>21.629799999999999</v>
      </c>
      <c r="J35" s="42">
        <v>18.272500000000001</v>
      </c>
      <c r="K35" s="42">
        <v>7.6486000000000001</v>
      </c>
      <c r="L35" s="42">
        <v>14.737299999999999</v>
      </c>
      <c r="M35" s="42"/>
      <c r="N35" s="42"/>
      <c r="O35" s="42"/>
      <c r="P35" s="42"/>
      <c r="Q35" s="39"/>
      <c r="R35" s="39"/>
      <c r="S35" s="41">
        <v>41944</v>
      </c>
      <c r="T35" s="43">
        <v>2.3800000000000002E-2</v>
      </c>
      <c r="U35" s="43">
        <v>4.8800000000000003E-2</v>
      </c>
      <c r="V35" s="43">
        <v>2.1299999999999999E-2</v>
      </c>
      <c r="W35" s="43">
        <v>2.2499999999999999E-2</v>
      </c>
      <c r="X35" s="43">
        <v>4.2700000000000002E-2</v>
      </c>
      <c r="Y35" s="43">
        <v>0</v>
      </c>
      <c r="Z35" s="43">
        <v>4.3099999999999999E-2</v>
      </c>
      <c r="AA35" s="43">
        <v>0</v>
      </c>
      <c r="AB35" s="43">
        <v>0</v>
      </c>
      <c r="AC35" s="43"/>
      <c r="AD35" s="43"/>
      <c r="AE35" s="43"/>
      <c r="AF35" s="43"/>
      <c r="AI35"/>
      <c r="AJ35"/>
      <c r="AK35"/>
      <c r="AL35"/>
      <c r="AM35"/>
      <c r="AN35"/>
      <c r="AO35"/>
    </row>
    <row r="36" spans="3:41" s="38" customFormat="1" ht="16.5" customHeight="1">
      <c r="C36" s="41">
        <v>41974</v>
      </c>
      <c r="D36" s="42">
        <v>5.2076000000000002</v>
      </c>
      <c r="E36" s="42">
        <v>3.7650000000000001</v>
      </c>
      <c r="F36" s="42">
        <v>4.2118000000000002</v>
      </c>
      <c r="G36" s="42">
        <v>9.6349999999999998</v>
      </c>
      <c r="H36" s="42">
        <v>19.411799999999999</v>
      </c>
      <c r="I36" s="42">
        <v>21.002500000000001</v>
      </c>
      <c r="J36" s="42">
        <v>15.596500000000001</v>
      </c>
      <c r="K36" s="42">
        <v>6.3979999999999997</v>
      </c>
      <c r="L36" s="42">
        <v>15.9307</v>
      </c>
      <c r="M36" s="42"/>
      <c r="N36" s="42"/>
      <c r="O36" s="42"/>
      <c r="P36" s="42"/>
      <c r="Q36" s="39"/>
      <c r="R36" s="39"/>
      <c r="S36" s="41">
        <v>41974</v>
      </c>
      <c r="T36" s="43">
        <v>9.3100000000000002E-2</v>
      </c>
      <c r="U36" s="43">
        <v>2.7799999999999998E-2</v>
      </c>
      <c r="V36" s="43">
        <v>6.59E-2</v>
      </c>
      <c r="W36" s="43">
        <v>3.2599999999999997E-2</v>
      </c>
      <c r="X36" s="43">
        <v>0</v>
      </c>
      <c r="Y36" s="43">
        <v>0</v>
      </c>
      <c r="Z36" s="43">
        <v>0.1948</v>
      </c>
      <c r="AA36" s="43">
        <v>2.5999999999999999E-2</v>
      </c>
      <c r="AB36" s="43">
        <v>0</v>
      </c>
      <c r="AC36" s="43"/>
      <c r="AD36" s="43"/>
      <c r="AE36" s="43"/>
      <c r="AF36" s="43"/>
      <c r="AI36"/>
      <c r="AJ36"/>
      <c r="AK36"/>
      <c r="AL36"/>
      <c r="AM36"/>
      <c r="AN36"/>
      <c r="AO36"/>
    </row>
    <row r="37" spans="3:41" s="38" customFormat="1" ht="16.5" customHeight="1">
      <c r="C37" s="41">
        <v>42005</v>
      </c>
      <c r="D37" s="42">
        <v>7.9896000000000003</v>
      </c>
      <c r="E37" s="42">
        <v>4.7008000000000001</v>
      </c>
      <c r="F37" s="42">
        <v>5.9295999999999998</v>
      </c>
      <c r="G37" s="42">
        <v>17.597200000000001</v>
      </c>
      <c r="H37" s="42">
        <v>37.158299999999997</v>
      </c>
      <c r="I37" s="42">
        <v>35.541899999999998</v>
      </c>
      <c r="J37" s="42">
        <v>30.398</v>
      </c>
      <c r="K37" s="42">
        <v>11.402200000000001</v>
      </c>
      <c r="L37" s="42">
        <v>28.165900000000001</v>
      </c>
      <c r="M37" s="42">
        <v>51.978200000000001</v>
      </c>
      <c r="N37" s="42"/>
      <c r="O37" s="42"/>
      <c r="P37" s="42"/>
      <c r="Q37" s="39"/>
      <c r="R37" s="39"/>
      <c r="S37" s="41">
        <v>42005</v>
      </c>
      <c r="T37" s="43">
        <v>3.1E-2</v>
      </c>
      <c r="U37" s="43">
        <v>8.4000000000000005E-2</v>
      </c>
      <c r="V37" s="43">
        <v>2.35E-2</v>
      </c>
      <c r="W37" s="43">
        <v>3.6299999999999999E-2</v>
      </c>
      <c r="X37" s="43">
        <v>4.1000000000000002E-2</v>
      </c>
      <c r="Y37" s="43">
        <v>0</v>
      </c>
      <c r="Z37" s="43">
        <v>0</v>
      </c>
      <c r="AA37" s="43">
        <v>6.5199999999999994E-2</v>
      </c>
      <c r="AB37" s="43">
        <v>0</v>
      </c>
      <c r="AC37" s="43">
        <v>0</v>
      </c>
      <c r="AD37" s="43"/>
      <c r="AE37" s="43"/>
      <c r="AF37" s="43"/>
      <c r="AI37"/>
      <c r="AJ37"/>
      <c r="AK37"/>
      <c r="AL37"/>
      <c r="AM37"/>
      <c r="AN37"/>
      <c r="AO37"/>
    </row>
    <row r="38" spans="3:41" s="38" customFormat="1" ht="16.5" customHeight="1">
      <c r="C38" s="41">
        <v>42036</v>
      </c>
      <c r="D38" s="42">
        <v>11.042299999999999</v>
      </c>
      <c r="E38" s="42">
        <v>7.3334999999999999</v>
      </c>
      <c r="F38" s="42">
        <v>7.6299000000000001</v>
      </c>
      <c r="G38" s="42">
        <v>19.887699999999999</v>
      </c>
      <c r="H38" s="42">
        <v>38.846600000000002</v>
      </c>
      <c r="I38" s="42">
        <v>41.523499999999999</v>
      </c>
      <c r="J38" s="42">
        <v>33.429000000000002</v>
      </c>
      <c r="K38" s="42">
        <v>14.1052</v>
      </c>
      <c r="L38" s="42">
        <v>34.780200000000001</v>
      </c>
      <c r="M38" s="42">
        <v>37.950000000000003</v>
      </c>
      <c r="N38" s="42"/>
      <c r="O38" s="42"/>
      <c r="P38" s="42"/>
      <c r="Q38" s="39"/>
      <c r="R38" s="39"/>
      <c r="S38" s="41">
        <v>42036</v>
      </c>
      <c r="T38" s="43">
        <v>5.7599999999999998E-2</v>
      </c>
      <c r="U38" s="43">
        <v>4.3700000000000003E-2</v>
      </c>
      <c r="V38" s="43">
        <v>3.1099999999999999E-2</v>
      </c>
      <c r="W38" s="43">
        <v>3.4700000000000002E-2</v>
      </c>
      <c r="X38" s="43">
        <v>4.6100000000000002E-2</v>
      </c>
      <c r="Y38" s="43">
        <v>1.9099999999999999E-2</v>
      </c>
      <c r="Z38" s="43">
        <v>0.1084</v>
      </c>
      <c r="AA38" s="43">
        <v>8.3799999999999999E-2</v>
      </c>
      <c r="AB38" s="43">
        <v>0.18659999999999999</v>
      </c>
      <c r="AC38" s="43">
        <v>0</v>
      </c>
      <c r="AD38" s="43"/>
      <c r="AE38" s="43"/>
      <c r="AF38" s="43"/>
      <c r="AI38"/>
      <c r="AJ38"/>
      <c r="AK38"/>
      <c r="AL38"/>
      <c r="AM38"/>
      <c r="AN38"/>
      <c r="AO38"/>
    </row>
    <row r="39" spans="3:41" s="38" customFormat="1" ht="16.5" customHeight="1">
      <c r="C39" s="41">
        <v>42064</v>
      </c>
      <c r="D39" s="42">
        <v>9.9810999999999996</v>
      </c>
      <c r="E39" s="42">
        <v>7.4539999999999997</v>
      </c>
      <c r="F39" s="42">
        <v>8.0511999999999997</v>
      </c>
      <c r="G39" s="42">
        <v>13.9582</v>
      </c>
      <c r="H39" s="42">
        <v>27.4253</v>
      </c>
      <c r="I39" s="42">
        <v>27.0959</v>
      </c>
      <c r="J39" s="42">
        <v>22.344000000000001</v>
      </c>
      <c r="K39" s="42">
        <v>12.1469</v>
      </c>
      <c r="L39" s="42">
        <v>22.173100000000002</v>
      </c>
      <c r="M39" s="42">
        <v>23.9587</v>
      </c>
      <c r="N39" s="42"/>
      <c r="O39" s="42">
        <v>39.482300000000002</v>
      </c>
      <c r="P39" s="42"/>
      <c r="Q39" s="39"/>
      <c r="R39" s="39"/>
      <c r="S39" s="41">
        <v>42064</v>
      </c>
      <c r="T39" s="43">
        <v>7.2300000000000003E-2</v>
      </c>
      <c r="U39" s="43">
        <v>6.3100000000000003E-2</v>
      </c>
      <c r="V39" s="43">
        <v>2.2800000000000001E-2</v>
      </c>
      <c r="W39" s="43">
        <v>4.1599999999999998E-2</v>
      </c>
      <c r="X39" s="43">
        <v>9.6799999999999997E-2</v>
      </c>
      <c r="Y39" s="43">
        <v>0</v>
      </c>
      <c r="Z39" s="43">
        <v>0.1807</v>
      </c>
      <c r="AA39" s="43">
        <v>0.06</v>
      </c>
      <c r="AB39" s="43">
        <v>0.1017</v>
      </c>
      <c r="AC39" s="43">
        <v>0</v>
      </c>
      <c r="AD39" s="43"/>
      <c r="AE39" s="43">
        <v>0</v>
      </c>
      <c r="AF39" s="43"/>
      <c r="AI39"/>
      <c r="AJ39"/>
      <c r="AK39"/>
      <c r="AL39"/>
      <c r="AM39"/>
      <c r="AN39"/>
      <c r="AO39"/>
    </row>
    <row r="40" spans="3:41" s="38" customFormat="1" ht="16.5" customHeight="1">
      <c r="C40" s="41">
        <v>42095</v>
      </c>
      <c r="D40" s="42">
        <v>9.9797999999999991</v>
      </c>
      <c r="E40" s="42">
        <v>8.0878999999999994</v>
      </c>
      <c r="F40" s="42">
        <v>9.2845999999999993</v>
      </c>
      <c r="G40" s="42">
        <v>13.7494</v>
      </c>
      <c r="H40" s="42">
        <v>24.923400000000001</v>
      </c>
      <c r="I40" s="42">
        <v>23.529800000000002</v>
      </c>
      <c r="J40" s="42">
        <v>21.953800000000001</v>
      </c>
      <c r="K40" s="42">
        <v>12.386200000000001</v>
      </c>
      <c r="L40" s="42">
        <v>20.960100000000001</v>
      </c>
      <c r="M40" s="42">
        <v>22.691099999999999</v>
      </c>
      <c r="N40" s="42">
        <v>16.482600000000001</v>
      </c>
      <c r="O40" s="42">
        <v>17.138100000000001</v>
      </c>
      <c r="P40" s="42">
        <v>12.428100000000001</v>
      </c>
      <c r="Q40" s="39"/>
      <c r="R40" s="39"/>
      <c r="S40" s="41">
        <v>42095</v>
      </c>
      <c r="T40" s="43">
        <v>5.2200000000000003E-2</v>
      </c>
      <c r="U40" s="43">
        <v>0.1116</v>
      </c>
      <c r="V40" s="43">
        <v>6.3500000000000001E-2</v>
      </c>
      <c r="W40" s="43">
        <v>5.2600000000000001E-2</v>
      </c>
      <c r="X40" s="43">
        <v>5.9700000000000003E-2</v>
      </c>
      <c r="Y40" s="43">
        <v>6.83E-2</v>
      </c>
      <c r="Z40" s="43">
        <v>0.22869999999999999</v>
      </c>
      <c r="AA40" s="43">
        <v>6.0499999999999998E-2</v>
      </c>
      <c r="AB40" s="43">
        <v>0.1095</v>
      </c>
      <c r="AC40" s="43">
        <v>0</v>
      </c>
      <c r="AD40" s="43">
        <v>0</v>
      </c>
      <c r="AE40" s="43">
        <v>0</v>
      </c>
      <c r="AF40" s="43">
        <v>0</v>
      </c>
      <c r="AI40"/>
      <c r="AJ40"/>
      <c r="AK40"/>
      <c r="AL40"/>
      <c r="AM40"/>
      <c r="AN40"/>
      <c r="AO40"/>
    </row>
    <row r="41" spans="3:41" s="38" customFormat="1" ht="16.5" customHeight="1">
      <c r="C41" s="44">
        <v>42125</v>
      </c>
      <c r="D41" s="45">
        <v>11.419499999999999</v>
      </c>
      <c r="E41" s="45">
        <v>9.1</v>
      </c>
      <c r="F41" s="45">
        <v>9.7987000000000002</v>
      </c>
      <c r="G41" s="45">
        <v>13.478199999999999</v>
      </c>
      <c r="H41" s="45">
        <v>21.3535</v>
      </c>
      <c r="I41" s="45">
        <v>22.621600000000001</v>
      </c>
      <c r="J41" s="45">
        <v>21.616299999999999</v>
      </c>
      <c r="K41" s="45">
        <v>12.855</v>
      </c>
      <c r="L41" s="45">
        <v>19.663900000000002</v>
      </c>
      <c r="M41" s="45">
        <v>19.299199999999999</v>
      </c>
      <c r="N41" s="45">
        <v>10.3049</v>
      </c>
      <c r="O41" s="45">
        <v>15.325200000000001</v>
      </c>
      <c r="P41" s="45">
        <v>12.8009</v>
      </c>
      <c r="Q41" s="39"/>
      <c r="R41" s="39"/>
      <c r="S41" s="44">
        <v>42125</v>
      </c>
      <c r="T41" s="46">
        <v>0.12759999999999999</v>
      </c>
      <c r="U41" s="46">
        <v>2.2200000000000001E-2</v>
      </c>
      <c r="V41" s="46">
        <v>2.69E-2</v>
      </c>
      <c r="W41" s="46">
        <v>5.04E-2</v>
      </c>
      <c r="X41" s="46">
        <v>0.1091</v>
      </c>
      <c r="Y41" s="46">
        <v>5.1000000000000004E-3</v>
      </c>
      <c r="Z41" s="46">
        <v>6.4899999999999999E-2</v>
      </c>
      <c r="AA41" s="46">
        <v>6.08E-2</v>
      </c>
      <c r="AB41" s="46">
        <v>0.1643</v>
      </c>
      <c r="AC41" s="46">
        <v>2.7900000000000001E-2</v>
      </c>
      <c r="AD41" s="46">
        <v>0</v>
      </c>
      <c r="AE41" s="46">
        <v>0</v>
      </c>
      <c r="AF41" s="46">
        <v>0</v>
      </c>
      <c r="AI41"/>
      <c r="AJ41"/>
      <c r="AK41"/>
      <c r="AL41"/>
      <c r="AM41"/>
      <c r="AN41"/>
      <c r="AO41"/>
    </row>
    <row r="42" spans="3:41" ht="17.25" hidden="1" customHeight="1">
      <c r="C42" s="28"/>
      <c r="D42" s="29">
        <v>50</v>
      </c>
      <c r="E42" s="29">
        <v>50</v>
      </c>
      <c r="F42" s="29">
        <v>50</v>
      </c>
      <c r="G42" s="29">
        <v>50</v>
      </c>
      <c r="H42" s="29">
        <v>50</v>
      </c>
      <c r="I42" s="29">
        <v>50</v>
      </c>
      <c r="J42" s="29">
        <v>50</v>
      </c>
      <c r="K42" s="29">
        <v>50</v>
      </c>
      <c r="L42" s="29">
        <v>50</v>
      </c>
      <c r="M42" s="29">
        <v>50</v>
      </c>
      <c r="N42" s="29">
        <v>50</v>
      </c>
      <c r="O42" s="29">
        <v>50</v>
      </c>
      <c r="P42" s="29">
        <v>50</v>
      </c>
      <c r="Q42" s="24"/>
      <c r="R42" s="24"/>
      <c r="S42" s="28"/>
      <c r="T42" s="30">
        <v>0.5</v>
      </c>
      <c r="U42" s="30">
        <v>0.5</v>
      </c>
      <c r="V42" s="30">
        <v>0.5</v>
      </c>
      <c r="W42" s="30">
        <v>0.5</v>
      </c>
      <c r="X42" s="30">
        <v>0.5</v>
      </c>
      <c r="Y42" s="30">
        <v>0.5</v>
      </c>
      <c r="Z42" s="30">
        <v>0.5</v>
      </c>
      <c r="AA42" s="30">
        <v>0.5</v>
      </c>
      <c r="AB42" s="30">
        <v>0.5</v>
      </c>
      <c r="AC42" s="30">
        <v>0.5</v>
      </c>
      <c r="AD42" s="30">
        <v>0.5</v>
      </c>
      <c r="AE42" s="30">
        <v>0.5</v>
      </c>
      <c r="AF42" s="30">
        <v>0.5</v>
      </c>
    </row>
    <row r="43" spans="3:41" ht="17.25" customHeight="1">
      <c r="C43" s="28"/>
      <c r="D43" s="29"/>
      <c r="E43" s="29"/>
      <c r="F43" s="29"/>
      <c r="G43" s="29"/>
      <c r="H43" s="29"/>
      <c r="I43" s="29"/>
      <c r="J43" s="29"/>
      <c r="K43" s="29"/>
      <c r="L43" s="29"/>
      <c r="M43" s="29"/>
      <c r="N43" s="29"/>
      <c r="O43" s="29"/>
      <c r="P43" s="29"/>
      <c r="Q43" s="24"/>
      <c r="R43" s="24"/>
      <c r="S43" s="28"/>
      <c r="T43" s="30"/>
      <c r="U43" s="30"/>
      <c r="V43" s="30"/>
      <c r="W43" s="30"/>
      <c r="X43" s="30"/>
      <c r="Y43" s="30"/>
      <c r="Z43" s="30"/>
      <c r="AA43" s="30"/>
      <c r="AB43" s="30"/>
      <c r="AC43" s="30"/>
      <c r="AD43" s="30"/>
      <c r="AE43" s="30"/>
      <c r="AF43" s="30"/>
    </row>
    <row r="44" spans="3:41" ht="17.25" customHeight="1">
      <c r="C44" s="28"/>
      <c r="D44" s="29"/>
      <c r="E44" s="29"/>
      <c r="F44" s="29"/>
      <c r="G44" s="29"/>
      <c r="H44" s="29"/>
      <c r="I44" s="29"/>
      <c r="J44" s="29"/>
      <c r="K44" s="29"/>
      <c r="L44" s="29"/>
      <c r="M44" s="29"/>
      <c r="N44" s="29"/>
      <c r="O44" s="29"/>
      <c r="P44" s="29"/>
      <c r="Q44" s="24"/>
      <c r="R44" s="24"/>
      <c r="S44" s="28"/>
      <c r="T44" s="30"/>
      <c r="U44" s="30"/>
      <c r="V44" s="30"/>
      <c r="W44" s="30"/>
      <c r="X44" s="30"/>
      <c r="Y44" s="30"/>
      <c r="Z44" s="30"/>
      <c r="AA44" s="30"/>
      <c r="AB44" s="30"/>
      <c r="AC44" s="30"/>
      <c r="AD44" s="30"/>
      <c r="AE44" s="30"/>
      <c r="AF44" s="30"/>
    </row>
    <row r="45" spans="3:41" ht="17.25" customHeight="1">
      <c r="C45" s="28"/>
      <c r="D45" s="30"/>
      <c r="E45" s="30"/>
      <c r="F45" s="30"/>
      <c r="G45" s="30"/>
      <c r="H45" s="30"/>
      <c r="I45" s="30"/>
      <c r="J45" s="30"/>
      <c r="K45" s="30"/>
      <c r="L45" s="30"/>
      <c r="M45" s="30"/>
      <c r="N45" s="30"/>
      <c r="O45" s="30"/>
      <c r="P45" s="30"/>
      <c r="Q45" s="24"/>
      <c r="R45" s="24"/>
      <c r="S45" s="24"/>
      <c r="T45" s="24"/>
      <c r="U45" s="24"/>
      <c r="V45" s="24"/>
      <c r="W45" s="24"/>
      <c r="X45" s="24"/>
      <c r="Y45" s="24"/>
      <c r="Z45" s="24"/>
      <c r="AA45" s="24"/>
      <c r="AB45" s="24"/>
      <c r="AC45" s="24"/>
      <c r="AD45" s="24"/>
      <c r="AE45" s="24"/>
      <c r="AF45" s="24"/>
    </row>
    <row r="46" spans="3:41" ht="17.25" customHeight="1">
      <c r="C46" s="51" t="s">
        <v>49</v>
      </c>
      <c r="D46" s="51"/>
      <c r="E46" s="51"/>
      <c r="F46" s="51"/>
      <c r="G46" s="51"/>
      <c r="H46" s="51"/>
      <c r="I46" s="51"/>
      <c r="J46" s="51"/>
      <c r="K46" s="51"/>
      <c r="L46" s="51"/>
      <c r="M46" s="51"/>
      <c r="N46" s="51"/>
      <c r="O46" s="51"/>
      <c r="P46" s="51"/>
      <c r="Q46" s="24"/>
      <c r="R46" s="24"/>
      <c r="S46" s="52" t="s">
        <v>50</v>
      </c>
      <c r="T46" s="52"/>
      <c r="U46" s="52"/>
      <c r="V46" s="52"/>
      <c r="W46" s="52"/>
      <c r="X46" s="52"/>
      <c r="Y46" s="52"/>
      <c r="Z46" s="52"/>
      <c r="AA46" s="52"/>
      <c r="AB46" s="52"/>
      <c r="AC46" s="52"/>
      <c r="AD46" s="52"/>
      <c r="AE46" s="52"/>
      <c r="AF46" s="52"/>
    </row>
    <row r="47" spans="3:41" ht="17.25" hidden="1" customHeight="1">
      <c r="C47" s="25" t="s">
        <v>51</v>
      </c>
      <c r="D47" s="25" t="s">
        <v>34</v>
      </c>
      <c r="E47" s="25"/>
      <c r="F47" s="25"/>
      <c r="G47" s="25"/>
      <c r="H47" s="25"/>
      <c r="I47" s="25"/>
      <c r="J47" s="25"/>
      <c r="K47" s="25"/>
      <c r="L47" s="25"/>
      <c r="M47" s="25"/>
      <c r="N47" s="25"/>
      <c r="O47" s="25"/>
      <c r="P47" s="25"/>
      <c r="Q47" s="24"/>
      <c r="R47" s="24"/>
      <c r="S47" s="25" t="s">
        <v>52</v>
      </c>
      <c r="T47" s="25" t="s">
        <v>34</v>
      </c>
      <c r="U47" s="25"/>
      <c r="V47" s="25"/>
      <c r="W47" s="25"/>
      <c r="X47" s="25"/>
      <c r="Y47" s="25"/>
      <c r="Z47" s="25"/>
      <c r="AA47" s="25"/>
      <c r="AB47" s="25"/>
      <c r="AC47" s="25"/>
      <c r="AD47" s="25"/>
      <c r="AE47" s="25"/>
      <c r="AF47" s="25"/>
    </row>
    <row r="48" spans="3:41" s="13" customFormat="1" ht="16.5" customHeight="1">
      <c r="C48" s="31" t="s">
        <v>35</v>
      </c>
      <c r="D48" s="31" t="s">
        <v>36</v>
      </c>
      <c r="E48" s="31" t="s">
        <v>37</v>
      </c>
      <c r="F48" s="31" t="s">
        <v>38</v>
      </c>
      <c r="G48" s="31" t="s">
        <v>39</v>
      </c>
      <c r="H48" s="31" t="s">
        <v>40</v>
      </c>
      <c r="I48" s="31" t="s">
        <v>41</v>
      </c>
      <c r="J48" s="31" t="s">
        <v>42</v>
      </c>
      <c r="K48" s="31" t="s">
        <v>43</v>
      </c>
      <c r="L48" s="31" t="s">
        <v>44</v>
      </c>
      <c r="M48" s="31" t="s">
        <v>45</v>
      </c>
      <c r="N48" s="31" t="s">
        <v>46</v>
      </c>
      <c r="O48" s="31" t="s">
        <v>47</v>
      </c>
      <c r="P48" s="31" t="s">
        <v>48</v>
      </c>
      <c r="Q48" s="34"/>
      <c r="R48" s="34"/>
      <c r="S48" s="32" t="s">
        <v>35</v>
      </c>
      <c r="T48" s="32" t="s">
        <v>36</v>
      </c>
      <c r="U48" s="32" t="s">
        <v>37</v>
      </c>
      <c r="V48" s="32" t="s">
        <v>38</v>
      </c>
      <c r="W48" s="32" t="s">
        <v>39</v>
      </c>
      <c r="X48" s="32" t="s">
        <v>40</v>
      </c>
      <c r="Y48" s="32" t="s">
        <v>41</v>
      </c>
      <c r="Z48" s="32" t="s">
        <v>42</v>
      </c>
      <c r="AA48" s="32" t="s">
        <v>43</v>
      </c>
      <c r="AB48" s="32" t="s">
        <v>44</v>
      </c>
      <c r="AC48" s="32" t="s">
        <v>45</v>
      </c>
      <c r="AD48" s="32" t="s">
        <v>46</v>
      </c>
      <c r="AE48" s="32" t="s">
        <v>47</v>
      </c>
      <c r="AF48" s="32" t="s">
        <v>48</v>
      </c>
      <c r="AI48"/>
      <c r="AJ48"/>
      <c r="AK48"/>
      <c r="AL48"/>
      <c r="AM48"/>
      <c r="AN48"/>
      <c r="AO48"/>
    </row>
    <row r="49" spans="3:41" s="38" customFormat="1" ht="16.5" customHeight="1">
      <c r="C49" s="41">
        <v>41426</v>
      </c>
      <c r="D49" s="47">
        <v>0</v>
      </c>
      <c r="E49" s="47"/>
      <c r="F49" s="47"/>
      <c r="G49" s="47"/>
      <c r="H49" s="47"/>
      <c r="I49" s="47"/>
      <c r="J49" s="47"/>
      <c r="K49" s="47"/>
      <c r="L49" s="47"/>
      <c r="M49" s="47"/>
      <c r="N49" s="47"/>
      <c r="O49" s="47"/>
      <c r="P49" s="47"/>
      <c r="Q49" s="39"/>
      <c r="R49" s="39"/>
      <c r="S49" s="41">
        <v>41426</v>
      </c>
      <c r="T49" s="47">
        <v>0</v>
      </c>
      <c r="U49" s="47"/>
      <c r="V49" s="47"/>
      <c r="W49" s="47"/>
      <c r="X49" s="47"/>
      <c r="Y49" s="47"/>
      <c r="Z49" s="47"/>
      <c r="AA49" s="47"/>
      <c r="AB49" s="47"/>
      <c r="AC49" s="47"/>
      <c r="AD49" s="47"/>
      <c r="AE49" s="47"/>
      <c r="AF49" s="47"/>
      <c r="AI49"/>
      <c r="AJ49"/>
      <c r="AK49"/>
      <c r="AL49"/>
      <c r="AM49"/>
      <c r="AN49"/>
      <c r="AO49"/>
    </row>
    <row r="50" spans="3:41" s="38" customFormat="1" ht="16.5" customHeight="1">
      <c r="C50" s="41">
        <v>41456</v>
      </c>
      <c r="D50" s="47">
        <v>0</v>
      </c>
      <c r="E50" s="47"/>
      <c r="F50" s="47"/>
      <c r="G50" s="47"/>
      <c r="H50" s="47"/>
      <c r="I50" s="47"/>
      <c r="J50" s="47"/>
      <c r="K50" s="47"/>
      <c r="L50" s="47"/>
      <c r="M50" s="47"/>
      <c r="N50" s="47"/>
      <c r="O50" s="47"/>
      <c r="P50" s="47"/>
      <c r="Q50" s="39"/>
      <c r="R50" s="39"/>
      <c r="S50" s="41">
        <v>41456</v>
      </c>
      <c r="T50" s="47">
        <v>1.2667221826199199E-3</v>
      </c>
      <c r="U50" s="47"/>
      <c r="V50" s="47"/>
      <c r="W50" s="47"/>
      <c r="X50" s="47"/>
      <c r="Y50" s="47"/>
      <c r="Z50" s="47"/>
      <c r="AA50" s="47"/>
      <c r="AB50" s="47"/>
      <c r="AC50" s="47"/>
      <c r="AD50" s="47"/>
      <c r="AE50" s="47"/>
      <c r="AF50" s="47"/>
      <c r="AI50"/>
      <c r="AJ50"/>
      <c r="AK50"/>
      <c r="AL50"/>
      <c r="AM50"/>
      <c r="AN50"/>
      <c r="AO50"/>
    </row>
    <row r="51" spans="3:41" s="38" customFormat="1" ht="16.5" customHeight="1">
      <c r="C51" s="41">
        <v>41487</v>
      </c>
      <c r="D51" s="47">
        <v>0</v>
      </c>
      <c r="E51" s="47"/>
      <c r="F51" s="47"/>
      <c r="G51" s="47"/>
      <c r="H51" s="47"/>
      <c r="I51" s="47"/>
      <c r="J51" s="47"/>
      <c r="K51" s="47"/>
      <c r="L51" s="47"/>
      <c r="M51" s="47"/>
      <c r="N51" s="47"/>
      <c r="O51" s="47"/>
      <c r="P51" s="47"/>
      <c r="Q51" s="39"/>
      <c r="R51" s="39"/>
      <c r="S51" s="41">
        <v>41487</v>
      </c>
      <c r="T51" s="47">
        <v>1.0356345223757799E-3</v>
      </c>
      <c r="U51" s="47"/>
      <c r="V51" s="47"/>
      <c r="W51" s="47"/>
      <c r="X51" s="47"/>
      <c r="Y51" s="47"/>
      <c r="Z51" s="47"/>
      <c r="AA51" s="47"/>
      <c r="AB51" s="47"/>
      <c r="AC51" s="47"/>
      <c r="AD51" s="47"/>
      <c r="AE51" s="47"/>
      <c r="AF51" s="47"/>
      <c r="AG51" s="48"/>
      <c r="AH51" s="48"/>
      <c r="AI51"/>
      <c r="AJ51"/>
      <c r="AK51"/>
      <c r="AL51"/>
      <c r="AM51"/>
      <c r="AN51"/>
      <c r="AO51"/>
    </row>
    <row r="52" spans="3:41" s="38" customFormat="1" ht="16.5" customHeight="1">
      <c r="C52" s="41">
        <v>41518</v>
      </c>
      <c r="D52" s="47">
        <v>0</v>
      </c>
      <c r="E52" s="47"/>
      <c r="F52" s="47"/>
      <c r="G52" s="47"/>
      <c r="H52" s="47"/>
      <c r="I52" s="47"/>
      <c r="J52" s="47"/>
      <c r="K52" s="47"/>
      <c r="L52" s="47"/>
      <c r="M52" s="47"/>
      <c r="N52" s="47"/>
      <c r="O52" s="47"/>
      <c r="P52" s="47"/>
      <c r="Q52" s="39"/>
      <c r="R52" s="39"/>
      <c r="S52" s="41">
        <v>41518</v>
      </c>
      <c r="T52" s="47">
        <v>1.37402924202362E-3</v>
      </c>
      <c r="U52" s="47"/>
      <c r="V52" s="47"/>
      <c r="W52" s="47"/>
      <c r="X52" s="47"/>
      <c r="Y52" s="47"/>
      <c r="Z52" s="47"/>
      <c r="AA52" s="47"/>
      <c r="AB52" s="47"/>
      <c r="AC52" s="47"/>
      <c r="AD52" s="47"/>
      <c r="AE52" s="47"/>
      <c r="AF52" s="47"/>
      <c r="AG52" s="48"/>
      <c r="AH52" s="48"/>
      <c r="AI52"/>
      <c r="AJ52"/>
      <c r="AK52"/>
      <c r="AL52"/>
      <c r="AM52"/>
      <c r="AN52"/>
      <c r="AO52"/>
    </row>
    <row r="53" spans="3:41" s="38" customFormat="1" ht="16.5" customHeight="1">
      <c r="C53" s="41">
        <v>41548</v>
      </c>
      <c r="D53" s="47">
        <v>0</v>
      </c>
      <c r="E53" s="47"/>
      <c r="F53" s="47"/>
      <c r="G53" s="47"/>
      <c r="H53" s="47"/>
      <c r="I53" s="47"/>
      <c r="J53" s="47"/>
      <c r="K53" s="47"/>
      <c r="L53" s="47"/>
      <c r="M53" s="47"/>
      <c r="N53" s="47"/>
      <c r="O53" s="47"/>
      <c r="P53" s="47"/>
      <c r="Q53" s="39"/>
      <c r="R53" s="39"/>
      <c r="S53" s="41">
        <v>41548</v>
      </c>
      <c r="T53" s="47">
        <v>1.5484221430720701E-3</v>
      </c>
      <c r="U53" s="47"/>
      <c r="V53" s="47"/>
      <c r="W53" s="47"/>
      <c r="X53" s="47"/>
      <c r="Y53" s="47"/>
      <c r="Z53" s="47"/>
      <c r="AA53" s="47"/>
      <c r="AB53" s="47"/>
      <c r="AC53" s="47"/>
      <c r="AD53" s="47"/>
      <c r="AE53" s="47"/>
      <c r="AF53" s="47"/>
      <c r="AG53" s="48"/>
      <c r="AH53" s="48"/>
      <c r="AI53"/>
      <c r="AJ53"/>
      <c r="AK53"/>
      <c r="AL53"/>
      <c r="AM53"/>
      <c r="AN53"/>
      <c r="AO53"/>
    </row>
    <row r="54" spans="3:41" s="38" customFormat="1" ht="16.5" customHeight="1">
      <c r="C54" s="41">
        <v>41579</v>
      </c>
      <c r="D54" s="47">
        <v>0</v>
      </c>
      <c r="E54" s="47">
        <v>0</v>
      </c>
      <c r="F54" s="47"/>
      <c r="G54" s="47"/>
      <c r="H54" s="47"/>
      <c r="I54" s="47"/>
      <c r="J54" s="47"/>
      <c r="K54" s="47"/>
      <c r="L54" s="47"/>
      <c r="M54" s="47"/>
      <c r="N54" s="47"/>
      <c r="O54" s="47"/>
      <c r="P54" s="47"/>
      <c r="Q54" s="39"/>
      <c r="R54" s="39"/>
      <c r="S54" s="41">
        <v>41579</v>
      </c>
      <c r="T54" s="47">
        <v>1.5094332223427401E-3</v>
      </c>
      <c r="U54" s="47">
        <v>1.11349989822876E-3</v>
      </c>
      <c r="V54" s="47"/>
      <c r="W54" s="47"/>
      <c r="X54" s="47"/>
      <c r="Y54" s="47"/>
      <c r="Z54" s="47"/>
      <c r="AA54" s="47"/>
      <c r="AB54" s="47"/>
      <c r="AC54" s="47"/>
      <c r="AD54" s="47"/>
      <c r="AE54" s="47"/>
      <c r="AF54" s="47"/>
      <c r="AG54" s="48"/>
      <c r="AH54" s="48"/>
      <c r="AI54"/>
      <c r="AJ54"/>
      <c r="AK54"/>
      <c r="AL54"/>
      <c r="AM54"/>
      <c r="AN54"/>
      <c r="AO54"/>
    </row>
    <row r="55" spans="3:41" s="38" customFormat="1" ht="16.5" customHeight="1">
      <c r="C55" s="41">
        <v>41609</v>
      </c>
      <c r="D55" s="47">
        <v>0</v>
      </c>
      <c r="E55" s="47">
        <v>0</v>
      </c>
      <c r="F55" s="47"/>
      <c r="G55" s="47"/>
      <c r="H55" s="47"/>
      <c r="I55" s="47"/>
      <c r="J55" s="47"/>
      <c r="K55" s="47"/>
      <c r="L55" s="47"/>
      <c r="M55" s="47"/>
      <c r="N55" s="47"/>
      <c r="O55" s="47"/>
      <c r="P55" s="47"/>
      <c r="Q55" s="39"/>
      <c r="R55" s="39"/>
      <c r="S55" s="41">
        <v>41609</v>
      </c>
      <c r="T55" s="47">
        <v>2.1700490437786399E-3</v>
      </c>
      <c r="U55" s="47">
        <v>1.75388312992754E-3</v>
      </c>
      <c r="V55" s="47"/>
      <c r="W55" s="47"/>
      <c r="X55" s="47"/>
      <c r="Y55" s="47"/>
      <c r="Z55" s="47"/>
      <c r="AA55" s="47"/>
      <c r="AB55" s="47"/>
      <c r="AC55" s="47"/>
      <c r="AD55" s="47"/>
      <c r="AE55" s="47"/>
      <c r="AF55" s="47"/>
      <c r="AG55" s="48"/>
      <c r="AH55" s="48"/>
      <c r="AI55"/>
      <c r="AJ55"/>
      <c r="AK55"/>
      <c r="AL55"/>
      <c r="AM55"/>
      <c r="AN55"/>
      <c r="AO55"/>
    </row>
    <row r="56" spans="3:41" s="38" customFormat="1" ht="16.5" customHeight="1">
      <c r="C56" s="41">
        <v>41640</v>
      </c>
      <c r="D56" s="47">
        <v>0</v>
      </c>
      <c r="E56" s="47">
        <v>0</v>
      </c>
      <c r="F56" s="47"/>
      <c r="G56" s="47"/>
      <c r="H56" s="47"/>
      <c r="I56" s="47"/>
      <c r="J56" s="47"/>
      <c r="K56" s="47"/>
      <c r="L56" s="47"/>
      <c r="M56" s="47"/>
      <c r="N56" s="47"/>
      <c r="O56" s="47"/>
      <c r="P56" s="47"/>
      <c r="Q56" s="39"/>
      <c r="R56" s="39"/>
      <c r="S56" s="41">
        <v>41640</v>
      </c>
      <c r="T56" s="47">
        <v>2.1894667321964E-3</v>
      </c>
      <c r="U56" s="47">
        <v>1.8421270287605001E-3</v>
      </c>
      <c r="V56" s="47"/>
      <c r="W56" s="47"/>
      <c r="X56" s="47"/>
      <c r="Y56" s="47"/>
      <c r="Z56" s="47"/>
      <c r="AA56" s="47"/>
      <c r="AB56" s="47"/>
      <c r="AC56" s="47"/>
      <c r="AD56" s="47"/>
      <c r="AE56" s="47"/>
      <c r="AF56" s="47"/>
      <c r="AG56" s="48"/>
      <c r="AH56" s="48"/>
      <c r="AI56"/>
      <c r="AJ56"/>
      <c r="AK56"/>
      <c r="AL56"/>
      <c r="AM56"/>
      <c r="AN56"/>
      <c r="AO56"/>
    </row>
    <row r="57" spans="3:41" s="38" customFormat="1" ht="16.5" customHeight="1">
      <c r="C57" s="41">
        <v>41671</v>
      </c>
      <c r="D57" s="47">
        <v>0</v>
      </c>
      <c r="E57" s="47">
        <v>0</v>
      </c>
      <c r="F57" s="47">
        <v>0</v>
      </c>
      <c r="G57" s="47"/>
      <c r="H57" s="47"/>
      <c r="I57" s="47"/>
      <c r="J57" s="47"/>
      <c r="K57" s="47"/>
      <c r="L57" s="47"/>
      <c r="M57" s="47"/>
      <c r="N57" s="47"/>
      <c r="O57" s="47"/>
      <c r="P57" s="47"/>
      <c r="Q57" s="39"/>
      <c r="R57" s="39"/>
      <c r="S57" s="41">
        <v>41671</v>
      </c>
      <c r="T57" s="47">
        <v>2.3021683029496001E-3</v>
      </c>
      <c r="U57" s="47">
        <v>1.78254706433518E-3</v>
      </c>
      <c r="V57" s="47">
        <v>8.3035215336207903E-4</v>
      </c>
      <c r="W57" s="47"/>
      <c r="X57" s="47"/>
      <c r="Y57" s="47"/>
      <c r="Z57" s="47"/>
      <c r="AA57" s="47"/>
      <c r="AB57" s="47"/>
      <c r="AC57" s="47"/>
      <c r="AD57" s="47"/>
      <c r="AE57" s="47"/>
      <c r="AF57" s="47"/>
      <c r="AG57" s="48"/>
      <c r="AH57" s="48"/>
      <c r="AI57"/>
      <c r="AJ57"/>
      <c r="AK57"/>
      <c r="AL57"/>
      <c r="AM57"/>
      <c r="AN57"/>
      <c r="AO57"/>
    </row>
    <row r="58" spans="3:41" s="38" customFormat="1" ht="16.5" customHeight="1">
      <c r="C58" s="41">
        <v>41699</v>
      </c>
      <c r="D58" s="47">
        <v>1E-4</v>
      </c>
      <c r="E58" s="47">
        <v>0</v>
      </c>
      <c r="F58" s="47">
        <v>0</v>
      </c>
      <c r="G58" s="47"/>
      <c r="H58" s="47"/>
      <c r="I58" s="47"/>
      <c r="J58" s="47"/>
      <c r="K58" s="47"/>
      <c r="L58" s="47"/>
      <c r="M58" s="47"/>
      <c r="N58" s="47"/>
      <c r="O58" s="47"/>
      <c r="P58" s="47"/>
      <c r="Q58" s="39"/>
      <c r="R58" s="39"/>
      <c r="S58" s="41">
        <v>41699</v>
      </c>
      <c r="T58" s="47">
        <v>2.8763854780915598E-3</v>
      </c>
      <c r="U58" s="47">
        <v>2.4791712180864999E-3</v>
      </c>
      <c r="V58" s="47">
        <v>1.5226672684829901E-3</v>
      </c>
      <c r="W58" s="47"/>
      <c r="X58" s="47"/>
      <c r="Y58" s="47"/>
      <c r="Z58" s="47"/>
      <c r="AA58" s="47"/>
      <c r="AB58" s="47"/>
      <c r="AC58" s="47"/>
      <c r="AD58" s="47"/>
      <c r="AE58" s="47"/>
      <c r="AF58" s="47"/>
      <c r="AG58" s="48"/>
      <c r="AH58" s="48"/>
      <c r="AI58"/>
      <c r="AJ58"/>
      <c r="AK58"/>
      <c r="AL58"/>
      <c r="AM58"/>
      <c r="AN58"/>
      <c r="AO58"/>
    </row>
    <row r="59" spans="3:41" s="38" customFormat="1" ht="16.5" customHeight="1">
      <c r="C59" s="41">
        <v>41730</v>
      </c>
      <c r="D59" s="47">
        <v>1E-4</v>
      </c>
      <c r="E59" s="47">
        <v>0</v>
      </c>
      <c r="F59" s="47">
        <v>0</v>
      </c>
      <c r="G59" s="47">
        <v>0</v>
      </c>
      <c r="H59" s="47"/>
      <c r="I59" s="47"/>
      <c r="J59" s="47"/>
      <c r="K59" s="47"/>
      <c r="L59" s="47"/>
      <c r="M59" s="47"/>
      <c r="N59" s="47"/>
      <c r="O59" s="47"/>
      <c r="P59" s="47"/>
      <c r="Q59" s="39"/>
      <c r="R59" s="39"/>
      <c r="S59" s="41">
        <v>41730</v>
      </c>
      <c r="T59" s="47">
        <v>1.7641106928362399E-3</v>
      </c>
      <c r="U59" s="47">
        <v>2.0046795170412402E-3</v>
      </c>
      <c r="V59" s="47">
        <v>1.1277179985904899E-3</v>
      </c>
      <c r="W59" s="47">
        <v>1.2582498026457499E-3</v>
      </c>
      <c r="X59" s="47"/>
      <c r="Y59" s="47"/>
      <c r="Z59" s="47"/>
      <c r="AA59" s="47"/>
      <c r="AB59" s="47"/>
      <c r="AC59" s="47"/>
      <c r="AD59" s="47"/>
      <c r="AE59" s="47"/>
      <c r="AF59" s="47"/>
      <c r="AG59" s="48"/>
      <c r="AH59" s="48"/>
      <c r="AI59"/>
      <c r="AJ59"/>
      <c r="AK59"/>
      <c r="AL59"/>
      <c r="AM59"/>
      <c r="AN59"/>
      <c r="AO59"/>
    </row>
    <row r="60" spans="3:41" s="38" customFormat="1" ht="16.5" customHeight="1">
      <c r="C60" s="41">
        <v>41760</v>
      </c>
      <c r="D60" s="47">
        <v>2.0000000000000001E-4</v>
      </c>
      <c r="E60" s="47">
        <v>0</v>
      </c>
      <c r="F60" s="47">
        <v>0</v>
      </c>
      <c r="G60" s="47">
        <v>0</v>
      </c>
      <c r="H60" s="47"/>
      <c r="I60" s="47"/>
      <c r="J60" s="47"/>
      <c r="K60" s="47"/>
      <c r="L60" s="47"/>
      <c r="M60" s="47"/>
      <c r="N60" s="47"/>
      <c r="O60" s="47"/>
      <c r="P60" s="47"/>
      <c r="Q60" s="39"/>
      <c r="R60" s="39"/>
      <c r="S60" s="41">
        <v>41760</v>
      </c>
      <c r="T60" s="47">
        <v>1.74214917294252E-3</v>
      </c>
      <c r="U60" s="47">
        <v>2.0610782018602499E-3</v>
      </c>
      <c r="V60" s="47">
        <v>1.3793726491836899E-3</v>
      </c>
      <c r="W60" s="47">
        <v>1.5944404332331099E-3</v>
      </c>
      <c r="X60" s="47"/>
      <c r="Y60" s="47"/>
      <c r="Z60" s="47"/>
      <c r="AA60" s="47"/>
      <c r="AB60" s="47"/>
      <c r="AC60" s="47"/>
      <c r="AD60" s="47"/>
      <c r="AE60" s="47"/>
      <c r="AF60" s="47"/>
      <c r="AG60" s="48"/>
      <c r="AH60" s="48"/>
      <c r="AI60"/>
      <c r="AJ60"/>
      <c r="AK60"/>
      <c r="AL60"/>
      <c r="AM60"/>
      <c r="AN60"/>
      <c r="AO60"/>
    </row>
    <row r="61" spans="3:41" s="38" customFormat="1" ht="16.5" customHeight="1">
      <c r="C61" s="41">
        <v>41791</v>
      </c>
      <c r="D61" s="47">
        <v>2.0000000000000001E-4</v>
      </c>
      <c r="E61" s="47">
        <v>0</v>
      </c>
      <c r="F61" s="47">
        <v>0</v>
      </c>
      <c r="G61" s="47">
        <v>0</v>
      </c>
      <c r="H61" s="47"/>
      <c r="I61" s="47"/>
      <c r="J61" s="47"/>
      <c r="K61" s="47"/>
      <c r="L61" s="47"/>
      <c r="M61" s="47"/>
      <c r="N61" s="47"/>
      <c r="O61" s="47"/>
      <c r="P61" s="47"/>
      <c r="Q61" s="39"/>
      <c r="R61" s="39"/>
      <c r="S61" s="41">
        <v>41791</v>
      </c>
      <c r="T61" s="47">
        <v>1.8080148243312499E-3</v>
      </c>
      <c r="U61" s="47">
        <v>1.98259965255614E-3</v>
      </c>
      <c r="V61" s="47">
        <v>1.6926852605984801E-3</v>
      </c>
      <c r="W61" s="47">
        <v>1.62206789496806E-3</v>
      </c>
      <c r="X61" s="47"/>
      <c r="Y61" s="47"/>
      <c r="Z61" s="47"/>
      <c r="AA61" s="47"/>
      <c r="AB61" s="47"/>
      <c r="AC61" s="47"/>
      <c r="AD61" s="47"/>
      <c r="AE61" s="47"/>
      <c r="AF61" s="47"/>
      <c r="AG61" s="48"/>
      <c r="AH61" s="48"/>
      <c r="AI61"/>
      <c r="AJ61"/>
      <c r="AK61"/>
      <c r="AL61"/>
      <c r="AM61"/>
      <c r="AN61"/>
      <c r="AO61"/>
    </row>
    <row r="62" spans="3:41" s="38" customFormat="1" ht="16.5" customHeight="1">
      <c r="C62" s="41">
        <v>41821</v>
      </c>
      <c r="D62" s="47">
        <v>2.0000000000000001E-4</v>
      </c>
      <c r="E62" s="47">
        <v>1E-4</v>
      </c>
      <c r="F62" s="47">
        <v>0</v>
      </c>
      <c r="G62" s="47">
        <v>0</v>
      </c>
      <c r="H62" s="47"/>
      <c r="I62" s="47"/>
      <c r="J62" s="47"/>
      <c r="K62" s="47"/>
      <c r="L62" s="47"/>
      <c r="M62" s="47"/>
      <c r="N62" s="47"/>
      <c r="O62" s="47"/>
      <c r="P62" s="47"/>
      <c r="Q62" s="39"/>
      <c r="R62" s="39"/>
      <c r="S62" s="41">
        <v>41821</v>
      </c>
      <c r="T62" s="47">
        <v>2.2194793062559801E-3</v>
      </c>
      <c r="U62" s="47">
        <v>2.2383653709816698E-3</v>
      </c>
      <c r="V62" s="47">
        <v>2.0239341257222701E-3</v>
      </c>
      <c r="W62" s="47">
        <v>1.83497047924029E-3</v>
      </c>
      <c r="X62" s="47"/>
      <c r="Y62" s="47"/>
      <c r="Z62" s="47"/>
      <c r="AA62" s="47"/>
      <c r="AB62" s="47"/>
      <c r="AC62" s="47"/>
      <c r="AD62" s="47"/>
      <c r="AE62" s="47"/>
      <c r="AF62" s="47"/>
      <c r="AG62" s="48"/>
      <c r="AH62" s="48"/>
      <c r="AI62"/>
      <c r="AJ62"/>
      <c r="AK62"/>
      <c r="AL62"/>
      <c r="AM62"/>
      <c r="AN62"/>
      <c r="AO62"/>
    </row>
    <row r="63" spans="3:41" s="38" customFormat="1" ht="16.5" customHeight="1">
      <c r="C63" s="41">
        <v>41852</v>
      </c>
      <c r="D63" s="47">
        <v>2.9999999999999997E-4</v>
      </c>
      <c r="E63" s="47">
        <v>1E-4</v>
      </c>
      <c r="F63" s="47">
        <v>0</v>
      </c>
      <c r="G63" s="47">
        <v>0</v>
      </c>
      <c r="H63" s="47">
        <v>0</v>
      </c>
      <c r="I63" s="47"/>
      <c r="J63" s="47">
        <v>0</v>
      </c>
      <c r="K63" s="47"/>
      <c r="L63" s="47"/>
      <c r="M63" s="47"/>
      <c r="N63" s="47"/>
      <c r="O63" s="47"/>
      <c r="P63" s="47"/>
      <c r="Q63" s="39"/>
      <c r="R63" s="39"/>
      <c r="S63" s="41">
        <v>41852</v>
      </c>
      <c r="T63" s="47">
        <v>2.1691470665304502E-3</v>
      </c>
      <c r="U63" s="47">
        <v>2.2145809990234099E-3</v>
      </c>
      <c r="V63" s="47">
        <v>2.1676206490169798E-3</v>
      </c>
      <c r="W63" s="47">
        <v>1.77433496993155E-3</v>
      </c>
      <c r="X63" s="47">
        <v>1.8750273449471E-3</v>
      </c>
      <c r="Y63" s="47"/>
      <c r="Z63" s="47">
        <v>1.77747015749579E-3</v>
      </c>
      <c r="AA63" s="47"/>
      <c r="AB63" s="47"/>
      <c r="AC63" s="47"/>
      <c r="AD63" s="47"/>
      <c r="AE63" s="47"/>
      <c r="AF63" s="47"/>
      <c r="AG63" s="48"/>
      <c r="AH63" s="48"/>
      <c r="AI63"/>
      <c r="AJ63"/>
      <c r="AK63"/>
      <c r="AL63"/>
      <c r="AM63"/>
      <c r="AN63"/>
      <c r="AO63"/>
    </row>
    <row r="64" spans="3:41" s="38" customFormat="1" ht="16.5" customHeight="1">
      <c r="C64" s="41">
        <v>41883</v>
      </c>
      <c r="D64" s="47">
        <v>2.9999999999999997E-4</v>
      </c>
      <c r="E64" s="47">
        <v>1E-4</v>
      </c>
      <c r="F64" s="47">
        <v>1E-4</v>
      </c>
      <c r="G64" s="47">
        <v>0</v>
      </c>
      <c r="H64" s="47">
        <v>0</v>
      </c>
      <c r="I64" s="47">
        <v>0</v>
      </c>
      <c r="J64" s="47">
        <v>0</v>
      </c>
      <c r="K64" s="47">
        <v>0</v>
      </c>
      <c r="L64" s="47">
        <v>0</v>
      </c>
      <c r="M64" s="47"/>
      <c r="N64" s="47"/>
      <c r="O64" s="47"/>
      <c r="P64" s="47"/>
      <c r="Q64" s="39"/>
      <c r="R64" s="39"/>
      <c r="S64" s="41">
        <v>41883</v>
      </c>
      <c r="T64" s="47">
        <v>2.5668689206130601E-3</v>
      </c>
      <c r="U64" s="47">
        <v>2.5701887094479298E-3</v>
      </c>
      <c r="V64" s="47">
        <v>2.5084879073542202E-3</v>
      </c>
      <c r="W64" s="47">
        <v>2.2391729474885501E-3</v>
      </c>
      <c r="X64" s="47">
        <v>2.18480727059924E-3</v>
      </c>
      <c r="Y64" s="47">
        <v>0</v>
      </c>
      <c r="Z64" s="47">
        <v>2.6546245827528099E-3</v>
      </c>
      <c r="AA64" s="47">
        <v>1.9867683813505799E-3</v>
      </c>
      <c r="AB64" s="47">
        <v>0</v>
      </c>
      <c r="AC64" s="47"/>
      <c r="AD64" s="47"/>
      <c r="AE64" s="47"/>
      <c r="AF64" s="47"/>
      <c r="AG64" s="48"/>
      <c r="AH64" s="48"/>
      <c r="AI64"/>
      <c r="AJ64"/>
      <c r="AK64"/>
      <c r="AL64"/>
      <c r="AM64"/>
      <c r="AN64"/>
      <c r="AO64"/>
    </row>
    <row r="65" spans="3:41" s="38" customFormat="1" ht="16.5" customHeight="1">
      <c r="C65" s="41">
        <v>41913</v>
      </c>
      <c r="D65" s="47">
        <v>4.0000000000000002E-4</v>
      </c>
      <c r="E65" s="47">
        <v>2.0000000000000001E-4</v>
      </c>
      <c r="F65" s="47">
        <v>1E-4</v>
      </c>
      <c r="G65" s="47">
        <v>1E-4</v>
      </c>
      <c r="H65" s="47">
        <v>0</v>
      </c>
      <c r="I65" s="47">
        <v>0</v>
      </c>
      <c r="J65" s="47">
        <v>0</v>
      </c>
      <c r="K65" s="47">
        <v>0</v>
      </c>
      <c r="L65" s="47">
        <v>0</v>
      </c>
      <c r="M65" s="47"/>
      <c r="N65" s="47"/>
      <c r="O65" s="47"/>
      <c r="P65" s="47"/>
      <c r="Q65" s="39"/>
      <c r="R65" s="39"/>
      <c r="S65" s="41">
        <v>41913</v>
      </c>
      <c r="T65" s="47">
        <v>2.4419934930955201E-3</v>
      </c>
      <c r="U65" s="47">
        <v>2.5146402216979901E-3</v>
      </c>
      <c r="V65" s="47">
        <v>2.43580365405539E-3</v>
      </c>
      <c r="W65" s="47">
        <v>2.3875834479081602E-3</v>
      </c>
      <c r="X65" s="47">
        <v>2.5633474783678901E-3</v>
      </c>
      <c r="Y65" s="47">
        <v>1.9170658184365799E-3</v>
      </c>
      <c r="Z65" s="47">
        <v>3.07291430520249E-3</v>
      </c>
      <c r="AA65" s="47">
        <v>1.9704739462751298E-3</v>
      </c>
      <c r="AB65" s="47">
        <v>1.6623303474317399E-3</v>
      </c>
      <c r="AC65" s="47"/>
      <c r="AD65" s="47"/>
      <c r="AE65" s="47"/>
      <c r="AF65" s="47"/>
      <c r="AG65" s="48"/>
      <c r="AH65" s="48"/>
      <c r="AI65"/>
      <c r="AJ65"/>
      <c r="AK65"/>
      <c r="AL65"/>
      <c r="AM65"/>
      <c r="AN65"/>
      <c r="AO65"/>
    </row>
    <row r="66" spans="3:41" s="38" customFormat="1" ht="16.5" customHeight="1">
      <c r="C66" s="41">
        <v>41944</v>
      </c>
      <c r="D66" s="47">
        <v>4.0000000000000002E-4</v>
      </c>
      <c r="E66" s="47">
        <v>2.0000000000000001E-4</v>
      </c>
      <c r="F66" s="47">
        <v>1E-4</v>
      </c>
      <c r="G66" s="47">
        <v>1E-4</v>
      </c>
      <c r="H66" s="47">
        <v>0</v>
      </c>
      <c r="I66" s="47">
        <v>0</v>
      </c>
      <c r="J66" s="47">
        <v>0</v>
      </c>
      <c r="K66" s="47">
        <v>0</v>
      </c>
      <c r="L66" s="47">
        <v>0</v>
      </c>
      <c r="M66" s="47"/>
      <c r="N66" s="47"/>
      <c r="O66" s="47"/>
      <c r="P66" s="47"/>
      <c r="Q66" s="39"/>
      <c r="R66" s="39"/>
      <c r="S66" s="41">
        <v>41944</v>
      </c>
      <c r="T66" s="47">
        <v>2.26047138543922E-3</v>
      </c>
      <c r="U66" s="47">
        <v>2.1534383388060198E-3</v>
      </c>
      <c r="V66" s="47">
        <v>1.9498019037850699E-3</v>
      </c>
      <c r="W66" s="47">
        <v>2.2911961585951198E-3</v>
      </c>
      <c r="X66" s="47">
        <v>2.5782310018865502E-3</v>
      </c>
      <c r="Y66" s="47">
        <v>1.7382168099278599E-3</v>
      </c>
      <c r="Z66" s="47">
        <v>3.5378818839678899E-3</v>
      </c>
      <c r="AA66" s="47">
        <v>1.82791002941537E-3</v>
      </c>
      <c r="AB66" s="47">
        <v>1.8127235784901399E-3</v>
      </c>
      <c r="AC66" s="47"/>
      <c r="AD66" s="47"/>
      <c r="AE66" s="47"/>
      <c r="AF66" s="47"/>
      <c r="AG66" s="48"/>
      <c r="AH66" s="48"/>
      <c r="AI66"/>
      <c r="AJ66"/>
      <c r="AK66"/>
      <c r="AL66"/>
      <c r="AM66"/>
      <c r="AN66"/>
      <c r="AO66"/>
    </row>
    <row r="67" spans="3:41" s="38" customFormat="1" ht="16.5" customHeight="1">
      <c r="C67" s="41">
        <v>41974</v>
      </c>
      <c r="D67" s="47">
        <v>5.0000000000000001E-4</v>
      </c>
      <c r="E67" s="47">
        <v>2.0000000000000001E-4</v>
      </c>
      <c r="F67" s="47">
        <v>2.0000000000000001E-4</v>
      </c>
      <c r="G67" s="47">
        <v>1E-4</v>
      </c>
      <c r="H67" s="47">
        <v>0</v>
      </c>
      <c r="I67" s="47">
        <v>0</v>
      </c>
      <c r="J67" s="47">
        <v>2.0000000000000001E-4</v>
      </c>
      <c r="K67" s="47">
        <v>0</v>
      </c>
      <c r="L67" s="47">
        <v>0</v>
      </c>
      <c r="M67" s="47"/>
      <c r="N67" s="47"/>
      <c r="O67" s="47"/>
      <c r="P67" s="47"/>
      <c r="Q67" s="39"/>
      <c r="R67" s="39"/>
      <c r="S67" s="41">
        <v>41974</v>
      </c>
      <c r="T67" s="47">
        <v>3.1978297540562299E-3</v>
      </c>
      <c r="U67" s="47">
        <v>3.1372260189091402E-3</v>
      </c>
      <c r="V67" s="47">
        <v>3.1639523448709602E-3</v>
      </c>
      <c r="W67" s="47">
        <v>3.61345336157841E-3</v>
      </c>
      <c r="X67" s="47">
        <v>4.1618114863963898E-3</v>
      </c>
      <c r="Y67" s="47">
        <v>3.5413995458346702E-3</v>
      </c>
      <c r="Z67" s="47">
        <v>5.1635036194168701E-3</v>
      </c>
      <c r="AA67" s="47">
        <v>3.1173836097395098E-3</v>
      </c>
      <c r="AB67" s="47">
        <v>3.2100016355282599E-3</v>
      </c>
      <c r="AC67" s="47"/>
      <c r="AD67" s="47"/>
      <c r="AE67" s="47"/>
      <c r="AF67" s="47"/>
      <c r="AG67" s="48"/>
      <c r="AH67" s="48"/>
      <c r="AI67"/>
      <c r="AJ67"/>
      <c r="AK67"/>
      <c r="AL67"/>
      <c r="AM67"/>
      <c r="AN67"/>
      <c r="AO67"/>
    </row>
    <row r="68" spans="3:41" s="38" customFormat="1" ht="16.5" customHeight="1">
      <c r="C68" s="41">
        <v>42005</v>
      </c>
      <c r="D68" s="47">
        <v>5.0000000000000001E-4</v>
      </c>
      <c r="E68" s="47">
        <v>2.9999999999999997E-4</v>
      </c>
      <c r="F68" s="47">
        <v>2.0000000000000001E-4</v>
      </c>
      <c r="G68" s="47">
        <v>1E-4</v>
      </c>
      <c r="H68" s="47">
        <v>0</v>
      </c>
      <c r="I68" s="47">
        <v>0</v>
      </c>
      <c r="J68" s="47">
        <v>2.0000000000000001E-4</v>
      </c>
      <c r="K68" s="47">
        <v>0</v>
      </c>
      <c r="L68" s="47">
        <v>0</v>
      </c>
      <c r="M68" s="47">
        <v>0</v>
      </c>
      <c r="N68" s="47"/>
      <c r="O68" s="47"/>
      <c r="P68" s="47"/>
      <c r="Q68" s="39"/>
      <c r="R68" s="39"/>
      <c r="S68" s="41">
        <v>42005</v>
      </c>
      <c r="T68" s="47">
        <v>2.5090365666056301E-3</v>
      </c>
      <c r="U68" s="47">
        <v>2.5071003222516702E-3</v>
      </c>
      <c r="V68" s="47">
        <v>2.4825080357062301E-3</v>
      </c>
      <c r="W68" s="47">
        <v>2.8897348095416799E-3</v>
      </c>
      <c r="X68" s="47">
        <v>3.69019871178118E-3</v>
      </c>
      <c r="Y68" s="47">
        <v>2.7748621000516899E-3</v>
      </c>
      <c r="Z68" s="47">
        <v>4.2606312132453398E-3</v>
      </c>
      <c r="AA68" s="47">
        <v>2.5871680534557298E-3</v>
      </c>
      <c r="AB68" s="47">
        <v>3.4388182085411199E-3</v>
      </c>
      <c r="AC68" s="47">
        <v>1.5922864086589899E-3</v>
      </c>
      <c r="AD68" s="47"/>
      <c r="AE68" s="47"/>
      <c r="AF68" s="47"/>
      <c r="AG68" s="48"/>
      <c r="AH68" s="48"/>
      <c r="AI68"/>
      <c r="AJ68"/>
      <c r="AK68"/>
      <c r="AL68"/>
      <c r="AM68"/>
      <c r="AN68"/>
      <c r="AO68"/>
    </row>
    <row r="69" spans="3:41" s="38" customFormat="1" ht="16.5" customHeight="1">
      <c r="C69" s="41">
        <v>42036</v>
      </c>
      <c r="D69" s="47">
        <v>5.0000000000000001E-4</v>
      </c>
      <c r="E69" s="47">
        <v>4.0000000000000002E-4</v>
      </c>
      <c r="F69" s="47">
        <v>2.0000000000000001E-4</v>
      </c>
      <c r="G69" s="47">
        <v>2.0000000000000001E-4</v>
      </c>
      <c r="H69" s="47">
        <v>1E-4</v>
      </c>
      <c r="I69" s="47">
        <v>0</v>
      </c>
      <c r="J69" s="47">
        <v>2.9999999999999997E-4</v>
      </c>
      <c r="K69" s="47">
        <v>1E-4</v>
      </c>
      <c r="L69" s="47">
        <v>1E-4</v>
      </c>
      <c r="M69" s="47">
        <v>0</v>
      </c>
      <c r="N69" s="47"/>
      <c r="O69" s="47"/>
      <c r="P69" s="47"/>
      <c r="Q69" s="39"/>
      <c r="R69" s="39"/>
      <c r="S69" s="41">
        <v>42036</v>
      </c>
      <c r="T69" s="47">
        <v>2.5015041079039799E-3</v>
      </c>
      <c r="U69" s="47">
        <v>2.60061031892786E-3</v>
      </c>
      <c r="V69" s="47">
        <v>2.52494335767715E-3</v>
      </c>
      <c r="W69" s="47">
        <v>2.89173380183875E-3</v>
      </c>
      <c r="X69" s="47">
        <v>3.9045994484270099E-3</v>
      </c>
      <c r="Y69" s="47">
        <v>3.0916978033754998E-3</v>
      </c>
      <c r="Z69" s="47">
        <v>5.3237138676784897E-3</v>
      </c>
      <c r="AA69" s="47">
        <v>2.9512584597165201E-3</v>
      </c>
      <c r="AB69" s="47">
        <v>4.1123124381280398E-3</v>
      </c>
      <c r="AC69" s="47">
        <v>1.73183463286868E-3</v>
      </c>
      <c r="AD69" s="47"/>
      <c r="AE69" s="47"/>
      <c r="AF69" s="47"/>
      <c r="AG69" s="48"/>
      <c r="AH69" s="48"/>
      <c r="AI69"/>
      <c r="AJ69"/>
      <c r="AK69"/>
      <c r="AL69"/>
      <c r="AM69"/>
      <c r="AN69"/>
      <c r="AO69"/>
    </row>
    <row r="70" spans="3:41" s="38" customFormat="1" ht="16.5" customHeight="1">
      <c r="C70" s="41">
        <v>42064</v>
      </c>
      <c r="D70" s="47">
        <v>5.9999999999999995E-4</v>
      </c>
      <c r="E70" s="47">
        <v>4.0000000000000002E-4</v>
      </c>
      <c r="F70" s="47">
        <v>2.0000000000000001E-4</v>
      </c>
      <c r="G70" s="47">
        <v>2.0000000000000001E-4</v>
      </c>
      <c r="H70" s="47">
        <v>2.0000000000000001E-4</v>
      </c>
      <c r="I70" s="47">
        <v>0</v>
      </c>
      <c r="J70" s="47">
        <v>4.0000000000000002E-4</v>
      </c>
      <c r="K70" s="47">
        <v>2.0000000000000001E-4</v>
      </c>
      <c r="L70" s="47">
        <v>2.0000000000000001E-4</v>
      </c>
      <c r="M70" s="47">
        <v>0</v>
      </c>
      <c r="N70" s="47"/>
      <c r="O70" s="47">
        <v>0</v>
      </c>
      <c r="P70" s="47"/>
      <c r="Q70" s="39"/>
      <c r="R70" s="39"/>
      <c r="S70" s="41">
        <v>42064</v>
      </c>
      <c r="T70" s="47">
        <v>3.0000390932597401E-3</v>
      </c>
      <c r="U70" s="47">
        <v>3.0653763936751102E-3</v>
      </c>
      <c r="V70" s="47">
        <v>3.1499647857695201E-3</v>
      </c>
      <c r="W70" s="47">
        <v>3.4767765375114E-3</v>
      </c>
      <c r="X70" s="47">
        <v>4.9454945394582697E-3</v>
      </c>
      <c r="Y70" s="47">
        <v>4.2376432266131598E-3</v>
      </c>
      <c r="Z70" s="47">
        <v>5.8858695835742603E-3</v>
      </c>
      <c r="AA70" s="47">
        <v>3.4120372853844198E-3</v>
      </c>
      <c r="AB70" s="47">
        <v>5.0680743447907902E-3</v>
      </c>
      <c r="AC70" s="47">
        <v>3.4222049864019101E-3</v>
      </c>
      <c r="AD70" s="47"/>
      <c r="AE70" s="47">
        <v>2.03240793500672E-3</v>
      </c>
      <c r="AF70" s="47"/>
      <c r="AG70" s="48"/>
      <c r="AH70" s="48"/>
      <c r="AI70"/>
      <c r="AJ70"/>
      <c r="AK70"/>
      <c r="AL70"/>
      <c r="AM70"/>
      <c r="AN70"/>
      <c r="AO70"/>
    </row>
    <row r="71" spans="3:41" s="38" customFormat="1" ht="16.5" customHeight="1">
      <c r="C71" s="41">
        <v>42095</v>
      </c>
      <c r="D71" s="47">
        <v>5.9999999999999995E-4</v>
      </c>
      <c r="E71" s="47">
        <v>5.0000000000000001E-4</v>
      </c>
      <c r="F71" s="47">
        <v>2.9999999999999997E-4</v>
      </c>
      <c r="G71" s="47">
        <v>2.0000000000000001E-4</v>
      </c>
      <c r="H71" s="47">
        <v>2.0000000000000001E-4</v>
      </c>
      <c r="I71" s="47">
        <v>0</v>
      </c>
      <c r="J71" s="47">
        <v>5.9999999999999995E-4</v>
      </c>
      <c r="K71" s="47">
        <v>2.0000000000000001E-4</v>
      </c>
      <c r="L71" s="47">
        <v>2.9999999999999997E-4</v>
      </c>
      <c r="M71" s="47">
        <v>0</v>
      </c>
      <c r="N71" s="47">
        <v>0</v>
      </c>
      <c r="O71" s="47">
        <v>0</v>
      </c>
      <c r="P71" s="47">
        <v>0</v>
      </c>
      <c r="Q71" s="39"/>
      <c r="R71" s="39"/>
      <c r="S71" s="41">
        <v>42095</v>
      </c>
      <c r="T71" s="47">
        <v>2.21292653406198E-3</v>
      </c>
      <c r="U71" s="47">
        <v>2.12804341599132E-3</v>
      </c>
      <c r="V71" s="47">
        <v>2.35929860311377E-3</v>
      </c>
      <c r="W71" s="47">
        <v>2.63312904737718E-3</v>
      </c>
      <c r="X71" s="47">
        <v>4.09348673887507E-3</v>
      </c>
      <c r="Y71" s="47">
        <v>3.5782370579607601E-3</v>
      </c>
      <c r="Z71" s="47">
        <v>4.2740795025214898E-3</v>
      </c>
      <c r="AA71" s="47">
        <v>2.5385131985243702E-3</v>
      </c>
      <c r="AB71" s="47">
        <v>3.77482947982053E-3</v>
      </c>
      <c r="AC71" s="47">
        <v>2.11566290273635E-3</v>
      </c>
      <c r="AD71" s="47">
        <v>5.5999090056126305E-4</v>
      </c>
      <c r="AE71" s="47">
        <v>1.6889907033116099E-3</v>
      </c>
      <c r="AF71" s="47">
        <v>0</v>
      </c>
      <c r="AG71" s="48"/>
      <c r="AH71" s="48"/>
      <c r="AI71"/>
      <c r="AJ71"/>
      <c r="AK71"/>
      <c r="AL71"/>
      <c r="AM71"/>
      <c r="AN71"/>
      <c r="AO71"/>
    </row>
    <row r="72" spans="3:41" s="38" customFormat="1" ht="16.5" customHeight="1">
      <c r="C72" s="44">
        <v>42125</v>
      </c>
      <c r="D72" s="49">
        <v>6.9999999999999999E-4</v>
      </c>
      <c r="E72" s="49">
        <v>5.0000000000000001E-4</v>
      </c>
      <c r="F72" s="49">
        <v>2.9999999999999997E-4</v>
      </c>
      <c r="G72" s="49">
        <v>2.9999999999999997E-4</v>
      </c>
      <c r="H72" s="49">
        <v>2.9999999999999997E-4</v>
      </c>
      <c r="I72" s="49">
        <v>0</v>
      </c>
      <c r="J72" s="49">
        <v>6.9999999999999999E-4</v>
      </c>
      <c r="K72" s="49">
        <v>2.9999999999999997E-4</v>
      </c>
      <c r="L72" s="49">
        <v>4.0000000000000002E-4</v>
      </c>
      <c r="M72" s="49">
        <v>0</v>
      </c>
      <c r="N72" s="49">
        <v>0</v>
      </c>
      <c r="O72" s="49">
        <v>0</v>
      </c>
      <c r="P72" s="49">
        <v>0</v>
      </c>
      <c r="Q72" s="39"/>
      <c r="R72" s="39"/>
      <c r="S72" s="44">
        <v>42125</v>
      </c>
      <c r="T72" s="49">
        <v>2.29371262051119E-3</v>
      </c>
      <c r="U72" s="49">
        <v>2.3137861072066801E-3</v>
      </c>
      <c r="V72" s="49">
        <v>2.45970523329553E-3</v>
      </c>
      <c r="W72" s="49">
        <v>2.8994875935216798E-3</v>
      </c>
      <c r="X72" s="49">
        <v>4.1318942079793201E-3</v>
      </c>
      <c r="Y72" s="49">
        <v>3.9062777689486301E-3</v>
      </c>
      <c r="Z72" s="49">
        <v>5.1322419447953497E-3</v>
      </c>
      <c r="AA72" s="49">
        <v>2.9648472609394602E-3</v>
      </c>
      <c r="AB72" s="49">
        <v>4.4673961711471696E-3</v>
      </c>
      <c r="AC72" s="49">
        <v>2.7772949574741499E-3</v>
      </c>
      <c r="AD72" s="49">
        <v>7.6209042857628502E-4</v>
      </c>
      <c r="AE72" s="49">
        <v>1.94430091270715E-3</v>
      </c>
      <c r="AF72" s="49">
        <v>1.0399318474289801E-3</v>
      </c>
      <c r="AG72" s="48"/>
      <c r="AH72" s="48"/>
      <c r="AI72"/>
      <c r="AJ72"/>
      <c r="AK72"/>
      <c r="AL72"/>
      <c r="AM72"/>
      <c r="AN72"/>
      <c r="AO72"/>
    </row>
    <row r="73" spans="3:41" hidden="1">
      <c r="C73" s="28"/>
      <c r="D73" s="33">
        <v>1E-3</v>
      </c>
      <c r="E73" s="33">
        <v>1E-3</v>
      </c>
      <c r="F73" s="33">
        <v>1E-3</v>
      </c>
      <c r="G73" s="33">
        <v>1E-3</v>
      </c>
      <c r="H73" s="33">
        <v>1E-3</v>
      </c>
      <c r="I73" s="33">
        <v>1E-3</v>
      </c>
      <c r="J73" s="33">
        <v>1E-3</v>
      </c>
      <c r="K73" s="33">
        <v>1E-3</v>
      </c>
      <c r="L73" s="33">
        <v>1E-3</v>
      </c>
      <c r="M73" s="33">
        <v>1E-3</v>
      </c>
      <c r="N73" s="33">
        <v>1E-3</v>
      </c>
      <c r="O73" s="33">
        <v>1E-3</v>
      </c>
      <c r="P73" s="33">
        <v>1E-3</v>
      </c>
      <c r="Q73" s="24"/>
      <c r="R73" s="24"/>
      <c r="S73" s="34"/>
      <c r="T73" s="34">
        <v>0.01</v>
      </c>
      <c r="U73" s="34"/>
      <c r="V73" s="34"/>
      <c r="W73" s="34"/>
      <c r="X73" s="34"/>
      <c r="Y73" s="34"/>
      <c r="Z73" s="34"/>
      <c r="AA73" s="34"/>
      <c r="AB73" s="34"/>
      <c r="AC73" s="34"/>
      <c r="AD73" s="34"/>
      <c r="AE73" s="34"/>
      <c r="AF73" s="34"/>
      <c r="AG73" s="34"/>
      <c r="AH73" s="34"/>
    </row>
    <row r="74" spans="3:41">
      <c r="C74" s="28"/>
      <c r="D74" s="33"/>
      <c r="E74" s="33"/>
      <c r="F74" s="33"/>
      <c r="G74" s="33"/>
      <c r="H74" s="33"/>
      <c r="I74" s="33"/>
      <c r="J74" s="33"/>
      <c r="K74" s="33"/>
      <c r="L74" s="33"/>
      <c r="M74" s="33"/>
      <c r="N74" s="33"/>
      <c r="O74" s="33"/>
      <c r="P74" s="33"/>
      <c r="Q74" s="24"/>
      <c r="R74" s="24"/>
      <c r="S74" s="34"/>
      <c r="T74" s="34"/>
      <c r="U74" s="34"/>
      <c r="V74" s="34"/>
      <c r="W74" s="34"/>
      <c r="X74" s="34"/>
      <c r="Y74" s="34"/>
      <c r="Z74" s="34"/>
      <c r="AA74" s="34"/>
      <c r="AB74" s="34"/>
      <c r="AC74" s="34"/>
      <c r="AD74" s="34"/>
      <c r="AE74" s="34"/>
      <c r="AF74" s="34"/>
      <c r="AG74" s="34"/>
      <c r="AH74" s="34"/>
    </row>
  </sheetData>
  <mergeCells count="4">
    <mergeCell ref="C15:P15"/>
    <mergeCell ref="S15:AF15"/>
    <mergeCell ref="C46:P46"/>
    <mergeCell ref="S46:AF46"/>
  </mergeCells>
  <conditionalFormatting sqref="D18:D42">
    <cfRule type="dataBar" priority="8">
      <dataBar>
        <cfvo type="min"/>
        <cfvo type="max"/>
        <color theme="4" tint="0.59999389629810485"/>
      </dataBar>
      <extLst>
        <ext xmlns:x14="http://schemas.microsoft.com/office/spreadsheetml/2009/9/main" uri="{B025F937-C7B1-47D3-B67F-A62EFF666E3E}">
          <x14:id>{6F4B84C6-8235-4F52-9145-939F4C8732E2}</x14:id>
        </ext>
      </extLst>
    </cfRule>
  </conditionalFormatting>
  <conditionalFormatting sqref="E18:P42">
    <cfRule type="dataBar" priority="7">
      <dataBar>
        <cfvo type="min"/>
        <cfvo type="max"/>
        <color theme="4" tint="0.59999389629810485"/>
      </dataBar>
      <extLst>
        <ext xmlns:x14="http://schemas.microsoft.com/office/spreadsheetml/2009/9/main" uri="{B025F937-C7B1-47D3-B67F-A62EFF666E3E}">
          <x14:id>{46BD75B0-17BC-426E-AB93-F7A67D67CF18}</x14:id>
        </ext>
      </extLst>
    </cfRule>
  </conditionalFormatting>
  <conditionalFormatting sqref="T18:T42">
    <cfRule type="dataBar" priority="6">
      <dataBar>
        <cfvo type="min"/>
        <cfvo type="max"/>
        <color theme="9" tint="0.59999389629810485"/>
      </dataBar>
      <extLst>
        <ext xmlns:x14="http://schemas.microsoft.com/office/spreadsheetml/2009/9/main" uri="{B025F937-C7B1-47D3-B67F-A62EFF666E3E}">
          <x14:id>{F15DB058-FF37-4AFF-852E-55C168BDD54D}</x14:id>
        </ext>
      </extLst>
    </cfRule>
  </conditionalFormatting>
  <conditionalFormatting sqref="U18:AF42">
    <cfRule type="dataBar" priority="5">
      <dataBar>
        <cfvo type="min"/>
        <cfvo type="max"/>
        <color theme="9" tint="0.59999389629810485"/>
      </dataBar>
      <extLst>
        <ext xmlns:x14="http://schemas.microsoft.com/office/spreadsheetml/2009/9/main" uri="{B025F937-C7B1-47D3-B67F-A62EFF666E3E}">
          <x14:id>{106EFFFC-C10C-472D-81DE-9FB6AAE4565F}</x14:id>
        </ext>
      </extLst>
    </cfRule>
  </conditionalFormatting>
  <conditionalFormatting sqref="D49:D73">
    <cfRule type="dataBar" priority="4">
      <dataBar>
        <cfvo type="min"/>
        <cfvo type="max"/>
        <color theme="5" tint="0.59999389629810485"/>
      </dataBar>
      <extLst>
        <ext xmlns:x14="http://schemas.microsoft.com/office/spreadsheetml/2009/9/main" uri="{B025F937-C7B1-47D3-B67F-A62EFF666E3E}">
          <x14:id>{734BC738-BC10-4C9A-AA88-7F5CACED988D}</x14:id>
        </ext>
      </extLst>
    </cfRule>
  </conditionalFormatting>
  <conditionalFormatting sqref="E49:P73">
    <cfRule type="dataBar" priority="3">
      <dataBar>
        <cfvo type="min"/>
        <cfvo type="max"/>
        <color theme="5" tint="0.59999389629810485"/>
      </dataBar>
      <extLst>
        <ext xmlns:x14="http://schemas.microsoft.com/office/spreadsheetml/2009/9/main" uri="{B025F937-C7B1-47D3-B67F-A62EFF666E3E}">
          <x14:id>{A2B978D8-1B53-4899-B056-49F844EA62E0}</x14:id>
        </ext>
      </extLst>
    </cfRule>
  </conditionalFormatting>
  <conditionalFormatting sqref="T49:T73">
    <cfRule type="dataBar" priority="2">
      <dataBar>
        <cfvo type="min"/>
        <cfvo type="max"/>
        <color theme="7" tint="0.59999389629810485"/>
      </dataBar>
      <extLst>
        <ext xmlns:x14="http://schemas.microsoft.com/office/spreadsheetml/2009/9/main" uri="{B025F937-C7B1-47D3-B67F-A62EFF666E3E}">
          <x14:id>{819D9F46-0717-4059-B807-672E537D6C27}</x14:id>
        </ext>
      </extLst>
    </cfRule>
  </conditionalFormatting>
  <conditionalFormatting sqref="U51:AH73 U49:AF50">
    <cfRule type="dataBar" priority="1">
      <dataBar>
        <cfvo type="min"/>
        <cfvo type="max"/>
        <color theme="7" tint="0.59999389629810485"/>
      </dataBar>
      <extLst>
        <ext xmlns:x14="http://schemas.microsoft.com/office/spreadsheetml/2009/9/main" uri="{B025F937-C7B1-47D3-B67F-A62EFF666E3E}">
          <x14:id>{E810D74F-A89B-4948-AB85-99164C39B438}</x14:id>
        </ext>
      </extLst>
    </cfRule>
  </conditionalFormatting>
  <pageMargins left="0.25" right="0.25" top="0.255" bottom="0.25" header="0.1" footer="0.1"/>
  <pageSetup scale="47" orientation="landscape" r:id="rId5"/>
  <headerFooter scaleWithDoc="0">
    <oddHeader>&amp;L&amp;G&amp;C&amp;"-,Bold"&amp;10&amp;K2E398A
&amp;15Deal Surveilance Summary&amp;R&amp;"-,Bold"&amp;10&amp;K2E398A
As of 03/18/2015</oddHeader>
    <oddFooter>&amp;L&amp;10&amp;K2E398AReport created on &amp;D &amp;T&amp;C&amp;G
&amp;8&amp;K2E398APage &amp;P of &amp;N</oddFooter>
  </headerFooter>
  <colBreaks count="1" manualBreakCount="1">
    <brk id="34" max="1048575" man="1"/>
  </colBreaks>
  <legacyDrawingHF r:id="rId6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6F4B84C6-8235-4F52-9145-939F4C8732E2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D18:D42</xm:sqref>
        </x14:conditionalFormatting>
        <x14:conditionalFormatting xmlns:xm="http://schemas.microsoft.com/office/excel/2006/main">
          <x14:cfRule type="dataBar" id="{46BD75B0-17BC-426E-AB93-F7A67D67CF18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E18:P42</xm:sqref>
        </x14:conditionalFormatting>
        <x14:conditionalFormatting xmlns:xm="http://schemas.microsoft.com/office/excel/2006/main">
          <x14:cfRule type="dataBar" id="{F15DB058-FF37-4AFF-852E-55C168BDD54D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T18:T42</xm:sqref>
        </x14:conditionalFormatting>
        <x14:conditionalFormatting xmlns:xm="http://schemas.microsoft.com/office/excel/2006/main">
          <x14:cfRule type="dataBar" id="{106EFFFC-C10C-472D-81DE-9FB6AAE4565F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U18:AF42</xm:sqref>
        </x14:conditionalFormatting>
        <x14:conditionalFormatting xmlns:xm="http://schemas.microsoft.com/office/excel/2006/main">
          <x14:cfRule type="dataBar" id="{734BC738-BC10-4C9A-AA88-7F5CACED988D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D49:D73</xm:sqref>
        </x14:conditionalFormatting>
        <x14:conditionalFormatting xmlns:xm="http://schemas.microsoft.com/office/excel/2006/main">
          <x14:cfRule type="dataBar" id="{A2B978D8-1B53-4899-B056-49F844EA62E0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E49:P73</xm:sqref>
        </x14:conditionalFormatting>
        <x14:conditionalFormatting xmlns:xm="http://schemas.microsoft.com/office/excel/2006/main">
          <x14:cfRule type="dataBar" id="{819D9F46-0717-4059-B807-672E537D6C27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T49:T73</xm:sqref>
        </x14:conditionalFormatting>
        <x14:conditionalFormatting xmlns:xm="http://schemas.microsoft.com/office/excel/2006/main">
          <x14:cfRule type="dataBar" id="{E810D74F-A89B-4948-AB85-99164C39B438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U51:AH73 U49:AF50</xm:sqref>
        </x14:conditionalFormatting>
      </x14:conditionalFormatting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G147"/>
  <sheetViews>
    <sheetView workbookViewId="0">
      <selection activeCell="K133" sqref="K133"/>
    </sheetView>
  </sheetViews>
  <sheetFormatPr defaultRowHeight="15"/>
  <sheetData>
    <row r="1" spans="1:7">
      <c r="A1" t="s">
        <v>53</v>
      </c>
      <c r="B1" t="s">
        <v>54</v>
      </c>
      <c r="C1" s="55" t="s">
        <v>55</v>
      </c>
      <c r="D1" s="55" t="s">
        <v>56</v>
      </c>
      <c r="E1" s="56" t="s">
        <v>57</v>
      </c>
      <c r="F1" s="57" t="s">
        <v>58</v>
      </c>
      <c r="G1" s="57" t="s">
        <v>59</v>
      </c>
    </row>
    <row r="2" spans="1:7">
      <c r="A2" t="s">
        <v>36</v>
      </c>
      <c r="B2" s="58">
        <v>41426</v>
      </c>
      <c r="C2" s="59">
        <v>7.1894999999999998</v>
      </c>
      <c r="D2" s="59">
        <v>0</v>
      </c>
      <c r="E2" s="60">
        <v>0</v>
      </c>
      <c r="F2" s="60">
        <v>0.69</v>
      </c>
      <c r="G2" s="60">
        <v>0</v>
      </c>
    </row>
    <row r="3" spans="1:7">
      <c r="A3" t="s">
        <v>36</v>
      </c>
      <c r="B3" s="58">
        <v>41456</v>
      </c>
      <c r="C3" s="59">
        <v>5.2968000000000002</v>
      </c>
      <c r="D3" s="59">
        <v>0</v>
      </c>
      <c r="E3" s="60">
        <v>0.12667221826199199</v>
      </c>
      <c r="F3" s="60">
        <v>1.1900000000000002</v>
      </c>
      <c r="G3" s="60">
        <v>0</v>
      </c>
    </row>
    <row r="4" spans="1:7">
      <c r="A4" t="s">
        <v>36</v>
      </c>
      <c r="B4" s="58">
        <v>41487</v>
      </c>
      <c r="C4" s="59">
        <v>3.7195999999999998</v>
      </c>
      <c r="D4" s="59">
        <v>0</v>
      </c>
      <c r="E4" s="60">
        <v>0.10356345223757799</v>
      </c>
      <c r="F4" s="60">
        <v>1.53</v>
      </c>
      <c r="G4" s="60">
        <v>0</v>
      </c>
    </row>
    <row r="5" spans="1:7">
      <c r="A5" t="s">
        <v>36</v>
      </c>
      <c r="B5" s="58">
        <v>41518</v>
      </c>
      <c r="C5" s="59">
        <v>3.9026999999999998</v>
      </c>
      <c r="D5" s="59">
        <v>0</v>
      </c>
      <c r="E5" s="60">
        <v>0.137402924202362</v>
      </c>
      <c r="F5" s="60">
        <v>1.9</v>
      </c>
      <c r="G5" s="60">
        <v>0</v>
      </c>
    </row>
    <row r="6" spans="1:7">
      <c r="A6" t="s">
        <v>36</v>
      </c>
      <c r="B6" s="58">
        <v>41548</v>
      </c>
      <c r="C6" s="59">
        <v>3.5990000000000002</v>
      </c>
      <c r="D6" s="59">
        <v>0</v>
      </c>
      <c r="E6" s="60">
        <v>0.15484221430720702</v>
      </c>
      <c r="F6" s="60">
        <v>2.23</v>
      </c>
      <c r="G6" s="60">
        <v>0</v>
      </c>
    </row>
    <row r="7" spans="1:7">
      <c r="A7" t="s">
        <v>36</v>
      </c>
      <c r="B7" s="58">
        <v>41579</v>
      </c>
      <c r="C7" s="59">
        <v>3.7277999999999998</v>
      </c>
      <c r="D7" s="59">
        <v>5.4000000000000003E-3</v>
      </c>
      <c r="E7" s="60">
        <v>0.15094332223427401</v>
      </c>
      <c r="F7" s="60">
        <v>2.5700000000000003</v>
      </c>
      <c r="G7" s="60">
        <v>0</v>
      </c>
    </row>
    <row r="8" spans="1:7">
      <c r="A8" t="s">
        <v>36</v>
      </c>
      <c r="B8" s="58">
        <v>41609</v>
      </c>
      <c r="C8" s="59">
        <v>3.1396999999999999</v>
      </c>
      <c r="D8" s="59">
        <v>1.66E-2</v>
      </c>
      <c r="E8" s="60">
        <v>0.21700490437786399</v>
      </c>
      <c r="F8" s="60">
        <v>2.85</v>
      </c>
      <c r="G8" s="60">
        <v>0</v>
      </c>
    </row>
    <row r="9" spans="1:7">
      <c r="A9" t="s">
        <v>36</v>
      </c>
      <c r="B9" s="58">
        <v>41640</v>
      </c>
      <c r="C9" s="59">
        <v>2.976</v>
      </c>
      <c r="D9" s="59">
        <v>0.03</v>
      </c>
      <c r="E9" s="60">
        <v>0.21894667321964001</v>
      </c>
      <c r="F9" s="60">
        <v>3.1199999999999997</v>
      </c>
      <c r="G9" s="60">
        <v>0</v>
      </c>
    </row>
    <row r="10" spans="1:7">
      <c r="A10" t="s">
        <v>36</v>
      </c>
      <c r="B10" s="58">
        <v>41671</v>
      </c>
      <c r="C10" s="59">
        <v>3.8313999999999999</v>
      </c>
      <c r="D10" s="59">
        <v>1.9E-2</v>
      </c>
      <c r="E10" s="60">
        <v>0.23021683029496001</v>
      </c>
      <c r="F10" s="60">
        <v>3.47</v>
      </c>
      <c r="G10" s="60">
        <v>0</v>
      </c>
    </row>
    <row r="11" spans="1:7">
      <c r="A11" t="s">
        <v>36</v>
      </c>
      <c r="B11" s="58">
        <v>41699</v>
      </c>
      <c r="C11" s="59">
        <v>3.9773000000000001</v>
      </c>
      <c r="D11" s="59">
        <v>8.3900000000000002E-2</v>
      </c>
      <c r="E11" s="60">
        <v>0.28763854780915599</v>
      </c>
      <c r="F11" s="60">
        <v>3.83</v>
      </c>
      <c r="G11" s="60">
        <v>0.01</v>
      </c>
    </row>
    <row r="12" spans="1:7">
      <c r="A12" t="s">
        <v>36</v>
      </c>
      <c r="B12" s="58">
        <v>41730</v>
      </c>
      <c r="C12" s="59">
        <v>5.8136999999999999</v>
      </c>
      <c r="D12" s="59">
        <v>5.5599999999999997E-2</v>
      </c>
      <c r="E12" s="60">
        <v>0.17641106928362399</v>
      </c>
      <c r="F12" s="60">
        <v>4.3499999999999996</v>
      </c>
      <c r="G12" s="60">
        <v>0.01</v>
      </c>
    </row>
    <row r="13" spans="1:7">
      <c r="A13" t="s">
        <v>36</v>
      </c>
      <c r="B13" s="58">
        <v>41760</v>
      </c>
      <c r="C13" s="59">
        <v>7.3971999999999998</v>
      </c>
      <c r="D13" s="59">
        <v>5.04E-2</v>
      </c>
      <c r="E13" s="60">
        <v>0.17421491729425201</v>
      </c>
      <c r="F13" s="60">
        <v>5.0200000000000005</v>
      </c>
      <c r="G13" s="60">
        <v>0.02</v>
      </c>
    </row>
    <row r="14" spans="1:7">
      <c r="A14" t="s">
        <v>36</v>
      </c>
      <c r="B14" s="58">
        <v>41791</v>
      </c>
      <c r="C14" s="59">
        <v>6.9165999999999999</v>
      </c>
      <c r="D14" s="59">
        <v>3.8899999999999997E-2</v>
      </c>
      <c r="E14" s="60">
        <v>0.18080148243312499</v>
      </c>
      <c r="F14" s="60">
        <v>5.64</v>
      </c>
      <c r="G14" s="60">
        <v>0.02</v>
      </c>
    </row>
    <row r="15" spans="1:7">
      <c r="A15" t="s">
        <v>36</v>
      </c>
      <c r="B15" s="58">
        <v>41821</v>
      </c>
      <c r="C15" s="59">
        <v>6.4720000000000004</v>
      </c>
      <c r="D15" s="59">
        <v>3.9800000000000002E-2</v>
      </c>
      <c r="E15" s="60">
        <v>0.22194793062559801</v>
      </c>
      <c r="F15" s="60">
        <v>6.21</v>
      </c>
      <c r="G15" s="60">
        <v>0.02</v>
      </c>
    </row>
    <row r="16" spans="1:7">
      <c r="A16" t="s">
        <v>36</v>
      </c>
      <c r="B16" s="58">
        <v>41852</v>
      </c>
      <c r="C16" s="59">
        <v>5.0166000000000004</v>
      </c>
      <c r="D16" s="59">
        <v>3.09E-2</v>
      </c>
      <c r="E16" s="60">
        <v>0.21691470665304502</v>
      </c>
      <c r="F16" s="60">
        <v>6.65</v>
      </c>
      <c r="G16" s="60">
        <v>0.03</v>
      </c>
    </row>
    <row r="17" spans="1:7">
      <c r="A17" t="s">
        <v>36</v>
      </c>
      <c r="B17" s="58">
        <v>41883</v>
      </c>
      <c r="C17" s="59">
        <v>6.4724000000000004</v>
      </c>
      <c r="D17" s="59">
        <v>5.0900000000000001E-2</v>
      </c>
      <c r="E17" s="60">
        <v>0.25668689206130602</v>
      </c>
      <c r="F17" s="60">
        <v>7.21</v>
      </c>
      <c r="G17" s="60">
        <v>0.03</v>
      </c>
    </row>
    <row r="18" spans="1:7">
      <c r="A18" t="s">
        <v>36</v>
      </c>
      <c r="B18" s="58">
        <v>41913</v>
      </c>
      <c r="C18" s="59">
        <v>5.2816000000000001</v>
      </c>
      <c r="D18" s="59">
        <v>5.8500000000000003E-2</v>
      </c>
      <c r="E18" s="60">
        <v>0.24419934930955201</v>
      </c>
      <c r="F18" s="60">
        <v>7.66</v>
      </c>
      <c r="G18" s="60">
        <v>0.04</v>
      </c>
    </row>
    <row r="19" spans="1:7">
      <c r="A19" t="s">
        <v>36</v>
      </c>
      <c r="B19" s="58">
        <v>41944</v>
      </c>
      <c r="C19" s="59">
        <v>6.0025000000000004</v>
      </c>
      <c r="D19" s="59">
        <v>2.3800000000000002E-2</v>
      </c>
      <c r="E19" s="60">
        <v>0.226047138543922</v>
      </c>
      <c r="F19" s="60">
        <v>8.18</v>
      </c>
      <c r="G19" s="60">
        <v>0.04</v>
      </c>
    </row>
    <row r="20" spans="1:7">
      <c r="A20" t="s">
        <v>36</v>
      </c>
      <c r="B20" s="58">
        <v>41974</v>
      </c>
      <c r="C20" s="59">
        <v>5.2076000000000002</v>
      </c>
      <c r="D20" s="59">
        <v>9.3100000000000002E-2</v>
      </c>
      <c r="E20" s="60">
        <v>0.319782975405623</v>
      </c>
      <c r="F20" s="60">
        <v>8.6199999999999992</v>
      </c>
      <c r="G20" s="60">
        <v>0.05</v>
      </c>
    </row>
    <row r="21" spans="1:7">
      <c r="A21" t="s">
        <v>36</v>
      </c>
      <c r="B21" s="58">
        <v>42005</v>
      </c>
      <c r="C21" s="59">
        <v>7.9896000000000003</v>
      </c>
      <c r="D21" s="59">
        <v>3.1E-2</v>
      </c>
      <c r="E21" s="60">
        <v>0.25090365666056302</v>
      </c>
      <c r="F21" s="60">
        <v>9.3000000000000007</v>
      </c>
      <c r="G21" s="60">
        <v>0.05</v>
      </c>
    </row>
    <row r="22" spans="1:7">
      <c r="A22" t="s">
        <v>36</v>
      </c>
      <c r="B22" s="58">
        <v>42036</v>
      </c>
      <c r="C22" s="59">
        <v>11.042299999999999</v>
      </c>
      <c r="D22" s="59">
        <v>5.7599999999999998E-2</v>
      </c>
      <c r="E22" s="60">
        <v>0.25015041079039801</v>
      </c>
      <c r="F22" s="60">
        <v>10.24</v>
      </c>
      <c r="G22" s="60">
        <v>0.05</v>
      </c>
    </row>
    <row r="23" spans="1:7">
      <c r="A23" t="s">
        <v>36</v>
      </c>
      <c r="B23" s="58">
        <v>42064</v>
      </c>
      <c r="C23" s="59">
        <v>9.9810999999999996</v>
      </c>
      <c r="D23" s="59">
        <v>7.2300000000000003E-2</v>
      </c>
      <c r="E23" s="60">
        <v>0.30000390932597404</v>
      </c>
      <c r="F23" s="60">
        <v>11.09</v>
      </c>
      <c r="G23" s="60">
        <v>0.06</v>
      </c>
    </row>
    <row r="24" spans="1:7">
      <c r="A24" t="s">
        <v>36</v>
      </c>
      <c r="B24" s="58">
        <v>42095</v>
      </c>
      <c r="C24" s="59">
        <v>9.9797999999999991</v>
      </c>
      <c r="D24" s="59">
        <v>5.2200000000000003E-2</v>
      </c>
      <c r="E24" s="60">
        <v>0.221292653406198</v>
      </c>
      <c r="F24" s="60">
        <v>11.92</v>
      </c>
      <c r="G24" s="60">
        <v>0.06</v>
      </c>
    </row>
    <row r="25" spans="1:7">
      <c r="A25" t="s">
        <v>36</v>
      </c>
      <c r="B25" s="58">
        <v>42125</v>
      </c>
      <c r="C25" s="59">
        <v>11.419499999999999</v>
      </c>
      <c r="D25" s="59">
        <v>0.12759999999999999</v>
      </c>
      <c r="E25" s="60">
        <v>0.22937126205111899</v>
      </c>
      <c r="F25" s="60">
        <v>12.86</v>
      </c>
      <c r="G25" s="60">
        <v>6.9999999999999993E-2</v>
      </c>
    </row>
    <row r="26" spans="1:7">
      <c r="A26" t="s">
        <v>36</v>
      </c>
      <c r="B26" s="58">
        <v>42156</v>
      </c>
      <c r="C26" s="59">
        <v>0</v>
      </c>
      <c r="D26" s="59">
        <v>0</v>
      </c>
      <c r="E26" s="60">
        <v>0.26052343270604</v>
      </c>
      <c r="F26" s="61">
        <v>12.86</v>
      </c>
      <c r="G26" s="61">
        <v>6.9999999999999993E-2</v>
      </c>
    </row>
    <row r="27" spans="1:7">
      <c r="A27" t="s">
        <v>37</v>
      </c>
      <c r="B27" s="58">
        <v>41579</v>
      </c>
      <c r="C27" s="59">
        <v>8.3688000000000002</v>
      </c>
      <c r="D27" s="59">
        <v>0</v>
      </c>
      <c r="E27" s="60">
        <v>0.111349989822876</v>
      </c>
      <c r="F27" s="60">
        <v>0.77</v>
      </c>
      <c r="G27" s="60">
        <v>0</v>
      </c>
    </row>
    <row r="28" spans="1:7">
      <c r="A28" t="s">
        <v>37</v>
      </c>
      <c r="B28" s="58">
        <v>41609</v>
      </c>
      <c r="C28" s="59">
        <v>2.5486</v>
      </c>
      <c r="D28" s="59">
        <v>0</v>
      </c>
      <c r="E28" s="60">
        <v>0.17538831299275401</v>
      </c>
      <c r="F28" s="60">
        <v>1</v>
      </c>
      <c r="G28" s="60">
        <v>0</v>
      </c>
    </row>
    <row r="29" spans="1:7">
      <c r="A29" t="s">
        <v>37</v>
      </c>
      <c r="B29" s="58">
        <v>41640</v>
      </c>
      <c r="C29" s="59">
        <v>2.6267</v>
      </c>
      <c r="D29" s="59">
        <v>0</v>
      </c>
      <c r="E29" s="60">
        <v>0.18421270287605002</v>
      </c>
      <c r="F29" s="60">
        <v>1.24</v>
      </c>
      <c r="G29" s="60">
        <v>0</v>
      </c>
    </row>
    <row r="30" spans="1:7">
      <c r="A30" t="s">
        <v>37</v>
      </c>
      <c r="B30" s="58">
        <v>41671</v>
      </c>
      <c r="C30" s="59">
        <v>3.6274999999999999</v>
      </c>
      <c r="D30" s="59">
        <v>8.9999999999999993E-3</v>
      </c>
      <c r="E30" s="60">
        <v>0.17825470643351798</v>
      </c>
      <c r="F30" s="60">
        <v>1.5599999999999998</v>
      </c>
      <c r="G30" s="60">
        <v>0</v>
      </c>
    </row>
    <row r="31" spans="1:7">
      <c r="A31" t="s">
        <v>37</v>
      </c>
      <c r="B31" s="58">
        <v>41699</v>
      </c>
      <c r="C31" s="59">
        <v>3.9352999999999998</v>
      </c>
      <c r="D31" s="59">
        <v>3.9E-2</v>
      </c>
      <c r="E31" s="60">
        <v>0.24791712180865</v>
      </c>
      <c r="F31" s="60">
        <v>1.91</v>
      </c>
      <c r="G31" s="60">
        <v>0</v>
      </c>
    </row>
    <row r="32" spans="1:7">
      <c r="A32" t="s">
        <v>37</v>
      </c>
      <c r="B32" s="58">
        <v>41730</v>
      </c>
      <c r="C32" s="59">
        <v>5.2506000000000004</v>
      </c>
      <c r="D32" s="59">
        <v>1.7299999999999999E-2</v>
      </c>
      <c r="E32" s="60">
        <v>0.20046795170412401</v>
      </c>
      <c r="F32" s="60">
        <v>2.3800000000000003</v>
      </c>
      <c r="G32" s="60">
        <v>0</v>
      </c>
    </row>
    <row r="33" spans="1:7">
      <c r="A33" t="s">
        <v>37</v>
      </c>
      <c r="B33" s="58">
        <v>41760</v>
      </c>
      <c r="C33" s="59">
        <v>5.7789000000000001</v>
      </c>
      <c r="D33" s="59">
        <v>2.12E-2</v>
      </c>
      <c r="E33" s="60">
        <v>0.206107820186025</v>
      </c>
      <c r="F33" s="60">
        <v>2.9000000000000004</v>
      </c>
      <c r="G33" s="60">
        <v>0</v>
      </c>
    </row>
    <row r="34" spans="1:7">
      <c r="A34" t="s">
        <v>37</v>
      </c>
      <c r="B34" s="58">
        <v>41791</v>
      </c>
      <c r="C34" s="59">
        <v>5.8940999999999999</v>
      </c>
      <c r="D34" s="59">
        <v>2.7699999999999999E-2</v>
      </c>
      <c r="E34" s="60">
        <v>0.19825996525561401</v>
      </c>
      <c r="F34" s="60">
        <v>3.42</v>
      </c>
      <c r="G34" s="60">
        <v>0</v>
      </c>
    </row>
    <row r="35" spans="1:7">
      <c r="A35" t="s">
        <v>37</v>
      </c>
      <c r="B35" s="58">
        <v>41821</v>
      </c>
      <c r="C35" s="59">
        <v>5.4923000000000002</v>
      </c>
      <c r="D35" s="59">
        <v>2.58E-2</v>
      </c>
      <c r="E35" s="60">
        <v>0.22383653709816698</v>
      </c>
      <c r="F35" s="60">
        <v>3.9</v>
      </c>
      <c r="G35" s="60">
        <v>0.01</v>
      </c>
    </row>
    <row r="36" spans="1:7">
      <c r="A36" t="s">
        <v>37</v>
      </c>
      <c r="B36" s="58">
        <v>41852</v>
      </c>
      <c r="C36" s="59">
        <v>4.6874000000000002</v>
      </c>
      <c r="D36" s="59">
        <v>2.06E-2</v>
      </c>
      <c r="E36" s="60">
        <v>0.221458099902341</v>
      </c>
      <c r="F36" s="60">
        <v>4.3</v>
      </c>
      <c r="G36" s="60">
        <v>0.01</v>
      </c>
    </row>
    <row r="37" spans="1:7">
      <c r="A37" t="s">
        <v>37</v>
      </c>
      <c r="B37" s="58">
        <v>41883</v>
      </c>
      <c r="C37" s="59">
        <v>5.3079999999999998</v>
      </c>
      <c r="D37" s="59">
        <v>5.4300000000000001E-2</v>
      </c>
      <c r="E37" s="60">
        <v>0.25701887094479298</v>
      </c>
      <c r="F37" s="60">
        <v>4.7600000000000007</v>
      </c>
      <c r="G37" s="60">
        <v>0.01</v>
      </c>
    </row>
    <row r="38" spans="1:7">
      <c r="A38" t="s">
        <v>37</v>
      </c>
      <c r="B38" s="58">
        <v>41913</v>
      </c>
      <c r="C38" s="59">
        <v>4.5232999999999999</v>
      </c>
      <c r="D38" s="59">
        <v>5.67E-2</v>
      </c>
      <c r="E38" s="60">
        <v>0.25146402216979902</v>
      </c>
      <c r="F38" s="60">
        <v>5.1499999999999995</v>
      </c>
      <c r="G38" s="60">
        <v>0.02</v>
      </c>
    </row>
    <row r="39" spans="1:7">
      <c r="A39" t="s">
        <v>37</v>
      </c>
      <c r="B39" s="58">
        <v>41944</v>
      </c>
      <c r="C39" s="59">
        <v>5.1199000000000003</v>
      </c>
      <c r="D39" s="59">
        <v>4.8800000000000003E-2</v>
      </c>
      <c r="E39" s="60">
        <v>0.21534383388060199</v>
      </c>
      <c r="F39" s="60">
        <v>5.58</v>
      </c>
      <c r="G39" s="60">
        <v>0.02</v>
      </c>
    </row>
    <row r="40" spans="1:7">
      <c r="A40" t="s">
        <v>37</v>
      </c>
      <c r="B40" s="58">
        <v>41974</v>
      </c>
      <c r="C40" s="59">
        <v>3.7650000000000001</v>
      </c>
      <c r="D40" s="59">
        <v>2.7799999999999998E-2</v>
      </c>
      <c r="E40" s="60">
        <v>0.313722601890914</v>
      </c>
      <c r="F40" s="60">
        <v>5.8999999999999995</v>
      </c>
      <c r="G40" s="60">
        <v>0.02</v>
      </c>
    </row>
    <row r="41" spans="1:7">
      <c r="A41" t="s">
        <v>37</v>
      </c>
      <c r="B41" s="58">
        <v>42005</v>
      </c>
      <c r="C41" s="59">
        <v>4.7008000000000001</v>
      </c>
      <c r="D41" s="59">
        <v>8.4000000000000005E-2</v>
      </c>
      <c r="E41" s="60">
        <v>0.25071003222516702</v>
      </c>
      <c r="F41" s="60">
        <v>6.29</v>
      </c>
      <c r="G41" s="60">
        <v>0.03</v>
      </c>
    </row>
    <row r="42" spans="1:7">
      <c r="A42" t="s">
        <v>37</v>
      </c>
      <c r="B42" s="58">
        <v>42036</v>
      </c>
      <c r="C42" s="59">
        <v>7.3334999999999999</v>
      </c>
      <c r="D42" s="59">
        <v>4.3700000000000003E-2</v>
      </c>
      <c r="E42" s="60">
        <v>0.26006103189278601</v>
      </c>
      <c r="F42" s="60">
        <v>6.9099999999999993</v>
      </c>
      <c r="G42" s="60">
        <v>0.04</v>
      </c>
    </row>
    <row r="43" spans="1:7">
      <c r="A43" t="s">
        <v>37</v>
      </c>
      <c r="B43" s="58">
        <v>42064</v>
      </c>
      <c r="C43" s="59">
        <v>7.4539999999999997</v>
      </c>
      <c r="D43" s="59">
        <v>6.3100000000000003E-2</v>
      </c>
      <c r="E43" s="60">
        <v>0.30653763936751099</v>
      </c>
      <c r="F43" s="60">
        <v>7.53</v>
      </c>
      <c r="G43" s="60">
        <v>0.04</v>
      </c>
    </row>
    <row r="44" spans="1:7">
      <c r="A44" t="s">
        <v>37</v>
      </c>
      <c r="B44" s="58">
        <v>42095</v>
      </c>
      <c r="C44" s="59">
        <v>8.0878999999999994</v>
      </c>
      <c r="D44" s="59">
        <v>0.1116</v>
      </c>
      <c r="E44" s="60">
        <v>0.212804341599132</v>
      </c>
      <c r="F44" s="60">
        <v>8.2100000000000009</v>
      </c>
      <c r="G44" s="60">
        <v>0.05</v>
      </c>
    </row>
    <row r="45" spans="1:7">
      <c r="A45" t="s">
        <v>37</v>
      </c>
      <c r="B45" s="58">
        <v>42125</v>
      </c>
      <c r="C45" s="59">
        <v>9.1</v>
      </c>
      <c r="D45" s="59">
        <v>2.2200000000000001E-2</v>
      </c>
      <c r="E45" s="60">
        <v>0.23137861072066801</v>
      </c>
      <c r="F45" s="60">
        <v>8.9599999999999991</v>
      </c>
      <c r="G45" s="60">
        <v>0.05</v>
      </c>
    </row>
    <row r="46" spans="1:7">
      <c r="A46" t="s">
        <v>37</v>
      </c>
      <c r="B46" s="58">
        <v>42156</v>
      </c>
      <c r="C46" s="59">
        <v>0</v>
      </c>
      <c r="D46" s="59">
        <v>0</v>
      </c>
      <c r="E46" s="60">
        <v>0.32330500813024599</v>
      </c>
      <c r="F46" s="61">
        <v>8.9599999999999991</v>
      </c>
      <c r="G46" s="61">
        <v>0.05</v>
      </c>
    </row>
    <row r="47" spans="1:7">
      <c r="A47" t="s">
        <v>38</v>
      </c>
      <c r="B47" s="58">
        <v>41671</v>
      </c>
      <c r="C47" s="59">
        <v>7.4269999999999996</v>
      </c>
      <c r="D47" s="59">
        <v>0</v>
      </c>
      <c r="E47" s="60">
        <v>8.3035215336207904E-2</v>
      </c>
      <c r="F47" s="60">
        <v>0.67999999999999994</v>
      </c>
      <c r="G47" s="60">
        <v>0</v>
      </c>
    </row>
    <row r="48" spans="1:7">
      <c r="A48" t="s">
        <v>38</v>
      </c>
      <c r="B48" s="58">
        <v>41699</v>
      </c>
      <c r="C48" s="59">
        <v>3.8881000000000001</v>
      </c>
      <c r="D48" s="59">
        <v>0</v>
      </c>
      <c r="E48" s="60">
        <v>0.15226672684829901</v>
      </c>
      <c r="F48" s="60">
        <v>1.03</v>
      </c>
      <c r="G48" s="60">
        <v>0</v>
      </c>
    </row>
    <row r="49" spans="1:7">
      <c r="A49" t="s">
        <v>38</v>
      </c>
      <c r="B49" s="58">
        <v>41730</v>
      </c>
      <c r="C49" s="59">
        <v>4.7267999999999999</v>
      </c>
      <c r="D49" s="59">
        <v>0</v>
      </c>
      <c r="E49" s="60">
        <v>0.11277179985904899</v>
      </c>
      <c r="F49" s="60">
        <v>1.4500000000000002</v>
      </c>
      <c r="G49" s="60">
        <v>0</v>
      </c>
    </row>
    <row r="50" spans="1:7">
      <c r="A50" t="s">
        <v>38</v>
      </c>
      <c r="B50" s="58">
        <v>41760</v>
      </c>
      <c r="C50" s="59">
        <v>5.5388000000000002</v>
      </c>
      <c r="D50" s="59">
        <v>1.5599999999999999E-2</v>
      </c>
      <c r="E50" s="60">
        <v>0.137937264918369</v>
      </c>
      <c r="F50" s="60">
        <v>1.95</v>
      </c>
      <c r="G50" s="60">
        <v>0</v>
      </c>
    </row>
    <row r="51" spans="1:7">
      <c r="A51" t="s">
        <v>38</v>
      </c>
      <c r="B51" s="58">
        <v>41791</v>
      </c>
      <c r="C51" s="59">
        <v>5.3395999999999999</v>
      </c>
      <c r="D51" s="59">
        <v>3.0999999999999999E-3</v>
      </c>
      <c r="E51" s="60">
        <v>0.16926852605984802</v>
      </c>
      <c r="F51" s="60">
        <v>2.42</v>
      </c>
      <c r="G51" s="60">
        <v>0</v>
      </c>
    </row>
    <row r="52" spans="1:7">
      <c r="A52" t="s">
        <v>38</v>
      </c>
      <c r="B52" s="58">
        <v>41821</v>
      </c>
      <c r="C52" s="59">
        <v>4.8250000000000002</v>
      </c>
      <c r="D52" s="59">
        <v>2.6100000000000002E-2</v>
      </c>
      <c r="E52" s="60">
        <v>0.20239341257222701</v>
      </c>
      <c r="F52" s="60">
        <v>2.85</v>
      </c>
      <c r="G52" s="60">
        <v>0</v>
      </c>
    </row>
    <row r="53" spans="1:7">
      <c r="A53" t="s">
        <v>38</v>
      </c>
      <c r="B53" s="58">
        <v>41852</v>
      </c>
      <c r="C53" s="59">
        <v>4.5701999999999998</v>
      </c>
      <c r="D53" s="59">
        <v>4.4900000000000002E-2</v>
      </c>
      <c r="E53" s="60">
        <v>0.21676206490169797</v>
      </c>
      <c r="F53" s="60">
        <v>3.25</v>
      </c>
      <c r="G53" s="60">
        <v>0</v>
      </c>
    </row>
    <row r="54" spans="1:7">
      <c r="A54" t="s">
        <v>38</v>
      </c>
      <c r="B54" s="58">
        <v>41883</v>
      </c>
      <c r="C54" s="59">
        <v>5.1115000000000004</v>
      </c>
      <c r="D54" s="59">
        <v>2.86E-2</v>
      </c>
      <c r="E54" s="60">
        <v>0.25084879073542204</v>
      </c>
      <c r="F54" s="60">
        <v>3.6900000000000004</v>
      </c>
      <c r="G54" s="60">
        <v>0.01</v>
      </c>
    </row>
    <row r="55" spans="1:7">
      <c r="A55" t="s">
        <v>38</v>
      </c>
      <c r="B55" s="58">
        <v>41913</v>
      </c>
      <c r="C55" s="59">
        <v>4.7755000000000001</v>
      </c>
      <c r="D55" s="59">
        <v>4.2700000000000002E-2</v>
      </c>
      <c r="E55" s="60">
        <v>0.24358036540553901</v>
      </c>
      <c r="F55" s="60">
        <v>4.1000000000000005</v>
      </c>
      <c r="G55" s="60">
        <v>0.01</v>
      </c>
    </row>
    <row r="56" spans="1:7">
      <c r="A56" t="s">
        <v>38</v>
      </c>
      <c r="B56" s="58">
        <v>41944</v>
      </c>
      <c r="C56" s="59">
        <v>5.1914999999999996</v>
      </c>
      <c r="D56" s="59">
        <v>2.1299999999999999E-2</v>
      </c>
      <c r="E56" s="60">
        <v>0.194980190378507</v>
      </c>
      <c r="F56" s="60">
        <v>4.55</v>
      </c>
      <c r="G56" s="60">
        <v>0.01</v>
      </c>
    </row>
    <row r="57" spans="1:7">
      <c r="A57" t="s">
        <v>38</v>
      </c>
      <c r="B57" s="58">
        <v>41974</v>
      </c>
      <c r="C57" s="59">
        <v>4.2118000000000002</v>
      </c>
      <c r="D57" s="59">
        <v>6.59E-2</v>
      </c>
      <c r="E57" s="60">
        <v>0.316395234487096</v>
      </c>
      <c r="F57" s="60">
        <v>4.91</v>
      </c>
      <c r="G57" s="60">
        <v>0.02</v>
      </c>
    </row>
    <row r="58" spans="1:7">
      <c r="A58" t="s">
        <v>38</v>
      </c>
      <c r="B58" s="58">
        <v>42005</v>
      </c>
      <c r="C58" s="59">
        <v>5.9295999999999998</v>
      </c>
      <c r="D58" s="59">
        <v>2.35E-2</v>
      </c>
      <c r="E58" s="60">
        <v>0.24825080357062301</v>
      </c>
      <c r="F58" s="60">
        <v>5.41</v>
      </c>
      <c r="G58" s="60">
        <v>0.02</v>
      </c>
    </row>
    <row r="59" spans="1:7">
      <c r="A59" t="s">
        <v>38</v>
      </c>
      <c r="B59" s="58">
        <v>42036</v>
      </c>
      <c r="C59" s="59">
        <v>7.6299000000000001</v>
      </c>
      <c r="D59" s="59">
        <v>3.1099999999999999E-2</v>
      </c>
      <c r="E59" s="60">
        <v>0.25249433576771502</v>
      </c>
      <c r="F59" s="60">
        <v>6.0600000000000005</v>
      </c>
      <c r="G59" s="60">
        <v>0.02</v>
      </c>
    </row>
    <row r="60" spans="1:7">
      <c r="A60" t="s">
        <v>38</v>
      </c>
      <c r="B60" s="58">
        <v>42064</v>
      </c>
      <c r="C60" s="59">
        <v>8.0511999999999997</v>
      </c>
      <c r="D60" s="59">
        <v>2.2800000000000001E-2</v>
      </c>
      <c r="E60" s="60">
        <v>0.31499647857695201</v>
      </c>
      <c r="F60" s="60">
        <v>6.75</v>
      </c>
      <c r="G60" s="60">
        <v>0.02</v>
      </c>
    </row>
    <row r="61" spans="1:7">
      <c r="A61" t="s">
        <v>38</v>
      </c>
      <c r="B61" s="58">
        <v>42095</v>
      </c>
      <c r="C61" s="59">
        <v>9.2845999999999993</v>
      </c>
      <c r="D61" s="59">
        <v>6.3500000000000001E-2</v>
      </c>
      <c r="E61" s="60">
        <v>0.235929860311377</v>
      </c>
      <c r="F61" s="60">
        <v>7.53</v>
      </c>
      <c r="G61" s="60">
        <v>0.03</v>
      </c>
    </row>
    <row r="62" spans="1:7">
      <c r="A62" t="s">
        <v>38</v>
      </c>
      <c r="B62" s="58">
        <v>42125</v>
      </c>
      <c r="C62" s="59">
        <v>9.7987000000000002</v>
      </c>
      <c r="D62" s="59">
        <v>2.69E-2</v>
      </c>
      <c r="E62" s="60">
        <v>0.24597052332955299</v>
      </c>
      <c r="F62" s="60">
        <v>8.35</v>
      </c>
      <c r="G62" s="60">
        <v>0.03</v>
      </c>
    </row>
    <row r="63" spans="1:7">
      <c r="A63" t="s">
        <v>38</v>
      </c>
      <c r="B63" s="58">
        <v>42156</v>
      </c>
      <c r="C63" s="59">
        <v>0</v>
      </c>
      <c r="D63" s="59">
        <v>0</v>
      </c>
      <c r="E63" s="60">
        <v>0.283053241141691</v>
      </c>
      <c r="F63" s="61">
        <v>8.35</v>
      </c>
      <c r="G63" s="61">
        <v>0.03</v>
      </c>
    </row>
    <row r="64" spans="1:7">
      <c r="A64" t="s">
        <v>39</v>
      </c>
      <c r="B64" s="58">
        <v>41730</v>
      </c>
      <c r="C64" s="59">
        <v>14.718299999999999</v>
      </c>
      <c r="D64" s="59">
        <v>0</v>
      </c>
      <c r="E64" s="60">
        <v>0.125824980264575</v>
      </c>
      <c r="F64" s="60">
        <v>1.5</v>
      </c>
      <c r="G64" s="60">
        <v>0</v>
      </c>
    </row>
    <row r="65" spans="1:7">
      <c r="A65" t="s">
        <v>39</v>
      </c>
      <c r="B65" s="58">
        <v>41760</v>
      </c>
      <c r="C65" s="59">
        <v>8.6524000000000001</v>
      </c>
      <c r="D65" s="59">
        <v>0</v>
      </c>
      <c r="E65" s="60">
        <v>0.159444043323311</v>
      </c>
      <c r="F65" s="60">
        <v>2.34</v>
      </c>
      <c r="G65" s="60">
        <v>0</v>
      </c>
    </row>
    <row r="66" spans="1:7">
      <c r="A66" t="s">
        <v>39</v>
      </c>
      <c r="B66" s="58">
        <v>41791</v>
      </c>
      <c r="C66" s="59">
        <v>8.5411999999999999</v>
      </c>
      <c r="D66" s="59">
        <v>0</v>
      </c>
      <c r="E66" s="60">
        <v>0.162206789496806</v>
      </c>
      <c r="F66" s="60">
        <v>3.16</v>
      </c>
      <c r="G66" s="60">
        <v>0</v>
      </c>
    </row>
    <row r="67" spans="1:7">
      <c r="A67" t="s">
        <v>39</v>
      </c>
      <c r="B67" s="58">
        <v>41821</v>
      </c>
      <c r="C67" s="59">
        <v>7.7906000000000004</v>
      </c>
      <c r="D67" s="59">
        <v>4.2799999999999998E-2</v>
      </c>
      <c r="E67" s="60">
        <v>0.18349704792402902</v>
      </c>
      <c r="F67" s="60">
        <v>3.91</v>
      </c>
      <c r="G67" s="60">
        <v>0</v>
      </c>
    </row>
    <row r="68" spans="1:7">
      <c r="A68" t="s">
        <v>39</v>
      </c>
      <c r="B68" s="58">
        <v>41852</v>
      </c>
      <c r="C68" s="59">
        <v>7.0224000000000002</v>
      </c>
      <c r="D68" s="59">
        <v>3.3999999999999998E-3</v>
      </c>
      <c r="E68" s="60">
        <v>0.177433496993155</v>
      </c>
      <c r="F68" s="60">
        <v>4.5699999999999994</v>
      </c>
      <c r="G68" s="60">
        <v>0</v>
      </c>
    </row>
    <row r="69" spans="1:7">
      <c r="A69" t="s">
        <v>39</v>
      </c>
      <c r="B69" s="58">
        <v>41883</v>
      </c>
      <c r="C69" s="59">
        <v>7.5042999999999997</v>
      </c>
      <c r="D69" s="59">
        <v>3.9E-2</v>
      </c>
      <c r="E69" s="60">
        <v>0.22391729474885499</v>
      </c>
      <c r="F69" s="60">
        <v>5.27</v>
      </c>
      <c r="G69" s="60">
        <v>0</v>
      </c>
    </row>
    <row r="70" spans="1:7">
      <c r="A70" t="s">
        <v>39</v>
      </c>
      <c r="B70" s="58">
        <v>41913</v>
      </c>
      <c r="C70" s="59">
        <v>10.3561</v>
      </c>
      <c r="D70" s="59">
        <v>2.5000000000000001E-2</v>
      </c>
      <c r="E70" s="60">
        <v>0.23875834479081601</v>
      </c>
      <c r="F70" s="60">
        <v>6.2399999999999993</v>
      </c>
      <c r="G70" s="60">
        <v>0.01</v>
      </c>
    </row>
    <row r="71" spans="1:7">
      <c r="A71" t="s">
        <v>39</v>
      </c>
      <c r="B71" s="58">
        <v>41944</v>
      </c>
      <c r="C71" s="59">
        <v>11.3248</v>
      </c>
      <c r="D71" s="59">
        <v>2.2499999999999999E-2</v>
      </c>
      <c r="E71" s="60">
        <v>0.22911961585951199</v>
      </c>
      <c r="F71" s="60">
        <v>7.3</v>
      </c>
      <c r="G71" s="60">
        <v>0.01</v>
      </c>
    </row>
    <row r="72" spans="1:7">
      <c r="A72" t="s">
        <v>39</v>
      </c>
      <c r="B72" s="58">
        <v>41974</v>
      </c>
      <c r="C72" s="59">
        <v>9.6349999999999998</v>
      </c>
      <c r="D72" s="59">
        <v>3.2599999999999997E-2</v>
      </c>
      <c r="E72" s="60">
        <v>0.36134533615784098</v>
      </c>
      <c r="F72" s="60">
        <v>8.18</v>
      </c>
      <c r="G72" s="60">
        <v>0.01</v>
      </c>
    </row>
    <row r="73" spans="1:7">
      <c r="A73" t="s">
        <v>39</v>
      </c>
      <c r="B73" s="58">
        <v>42005</v>
      </c>
      <c r="C73" s="59">
        <v>17.597200000000001</v>
      </c>
      <c r="D73" s="59">
        <v>3.6299999999999999E-2</v>
      </c>
      <c r="E73" s="60">
        <v>0.28897348095416797</v>
      </c>
      <c r="F73" s="60">
        <v>9.84</v>
      </c>
      <c r="G73" s="60">
        <v>0.01</v>
      </c>
    </row>
    <row r="74" spans="1:7">
      <c r="A74" t="s">
        <v>39</v>
      </c>
      <c r="B74" s="58">
        <v>42036</v>
      </c>
      <c r="C74" s="59">
        <v>19.887699999999999</v>
      </c>
      <c r="D74" s="59">
        <v>3.4700000000000002E-2</v>
      </c>
      <c r="E74" s="60">
        <v>0.28917338018387501</v>
      </c>
      <c r="F74" s="60">
        <v>11.709999999999999</v>
      </c>
      <c r="G74" s="60">
        <v>0.02</v>
      </c>
    </row>
    <row r="75" spans="1:7">
      <c r="A75" t="s">
        <v>39</v>
      </c>
      <c r="B75" s="58">
        <v>42064</v>
      </c>
      <c r="C75" s="59">
        <v>13.9582</v>
      </c>
      <c r="D75" s="59">
        <v>4.1599999999999998E-2</v>
      </c>
      <c r="E75" s="60">
        <v>0.34767765375114001</v>
      </c>
      <c r="F75" s="60">
        <v>12.950000000000001</v>
      </c>
      <c r="G75" s="60">
        <v>0.02</v>
      </c>
    </row>
    <row r="76" spans="1:7">
      <c r="A76" t="s">
        <v>39</v>
      </c>
      <c r="B76" s="58">
        <v>42095</v>
      </c>
      <c r="C76" s="59">
        <v>13.7494</v>
      </c>
      <c r="D76" s="59">
        <v>5.2600000000000001E-2</v>
      </c>
      <c r="E76" s="60">
        <v>0.26331290473771801</v>
      </c>
      <c r="F76" s="60">
        <v>14.149999999999999</v>
      </c>
      <c r="G76" s="60">
        <v>0.02</v>
      </c>
    </row>
    <row r="77" spans="1:7">
      <c r="A77" t="s">
        <v>39</v>
      </c>
      <c r="B77" s="58">
        <v>42125</v>
      </c>
      <c r="C77" s="59">
        <v>13.478199999999999</v>
      </c>
      <c r="D77" s="59">
        <v>5.04E-2</v>
      </c>
      <c r="E77" s="60">
        <v>0.28994875935216796</v>
      </c>
      <c r="F77" s="60">
        <v>15.32</v>
      </c>
      <c r="G77" s="60">
        <v>0.03</v>
      </c>
    </row>
    <row r="78" spans="1:7">
      <c r="A78" t="s">
        <v>39</v>
      </c>
      <c r="B78" s="58">
        <v>42156</v>
      </c>
      <c r="C78" s="59">
        <v>0</v>
      </c>
      <c r="D78" s="59">
        <v>0</v>
      </c>
      <c r="E78" s="60">
        <v>0.34288805643157899</v>
      </c>
      <c r="F78" s="61">
        <v>15.32</v>
      </c>
      <c r="G78" s="61">
        <v>0.03</v>
      </c>
    </row>
    <row r="79" spans="1:7">
      <c r="A79" t="s">
        <v>40</v>
      </c>
      <c r="B79" s="58">
        <v>41852</v>
      </c>
      <c r="C79" s="59">
        <v>34.337400000000002</v>
      </c>
      <c r="D79" s="59">
        <v>0</v>
      </c>
      <c r="E79" s="60">
        <v>0.18750273449471</v>
      </c>
      <c r="F79" s="60">
        <v>4.38</v>
      </c>
      <c r="G79" s="60">
        <v>0</v>
      </c>
    </row>
    <row r="80" spans="1:7">
      <c r="A80" t="s">
        <v>40</v>
      </c>
      <c r="B80" s="58">
        <v>41883</v>
      </c>
      <c r="C80" s="59">
        <v>13.198499999999999</v>
      </c>
      <c r="D80" s="59">
        <v>0</v>
      </c>
      <c r="E80" s="60">
        <v>0.218480727059924</v>
      </c>
      <c r="F80" s="60">
        <v>5.81</v>
      </c>
      <c r="G80" s="60">
        <v>0</v>
      </c>
    </row>
    <row r="81" spans="1:7">
      <c r="A81" t="s">
        <v>40</v>
      </c>
      <c r="B81" s="58">
        <v>41913</v>
      </c>
      <c r="C81" s="59">
        <v>22.500599999999999</v>
      </c>
      <c r="D81" s="59">
        <v>0</v>
      </c>
      <c r="E81" s="60">
        <v>0.256334747836789</v>
      </c>
      <c r="F81" s="60">
        <v>8.36</v>
      </c>
      <c r="G81" s="60">
        <v>0</v>
      </c>
    </row>
    <row r="82" spans="1:7">
      <c r="A82" t="s">
        <v>40</v>
      </c>
      <c r="B82" s="58">
        <v>41944</v>
      </c>
      <c r="C82" s="59">
        <v>22.5213</v>
      </c>
      <c r="D82" s="59">
        <v>4.2700000000000002E-2</v>
      </c>
      <c r="E82" s="60">
        <v>0.25782310018865501</v>
      </c>
      <c r="F82" s="60">
        <v>10.84</v>
      </c>
      <c r="G82" s="60">
        <v>0</v>
      </c>
    </row>
    <row r="83" spans="1:7">
      <c r="A83" t="s">
        <v>40</v>
      </c>
      <c r="B83" s="58">
        <v>41974</v>
      </c>
      <c r="C83" s="59">
        <v>19.411799999999999</v>
      </c>
      <c r="D83" s="59">
        <v>0</v>
      </c>
      <c r="E83" s="60">
        <v>0.41618114863963895</v>
      </c>
      <c r="F83" s="60">
        <v>12.9</v>
      </c>
      <c r="G83" s="60">
        <v>0</v>
      </c>
    </row>
    <row r="84" spans="1:7">
      <c r="A84" t="s">
        <v>40</v>
      </c>
      <c r="B84" s="58">
        <v>42005</v>
      </c>
      <c r="C84" s="59">
        <v>37.158299999999997</v>
      </c>
      <c r="D84" s="59">
        <v>4.1000000000000002E-2</v>
      </c>
      <c r="E84" s="60">
        <v>0.36901987117811802</v>
      </c>
      <c r="F84" s="60">
        <v>17.2</v>
      </c>
      <c r="G84" s="60">
        <v>0</v>
      </c>
    </row>
    <row r="85" spans="1:7">
      <c r="A85" t="s">
        <v>40</v>
      </c>
      <c r="B85" s="58">
        <v>42036</v>
      </c>
      <c r="C85" s="59">
        <v>38.846600000000002</v>
      </c>
      <c r="D85" s="59">
        <v>4.6100000000000002E-2</v>
      </c>
      <c r="E85" s="60">
        <v>0.39045994484270097</v>
      </c>
      <c r="F85" s="60">
        <v>21.560000000000002</v>
      </c>
      <c r="G85" s="60">
        <v>0.01</v>
      </c>
    </row>
    <row r="86" spans="1:7">
      <c r="A86" t="s">
        <v>40</v>
      </c>
      <c r="B86" s="58">
        <v>42064</v>
      </c>
      <c r="C86" s="59">
        <v>27.4253</v>
      </c>
      <c r="D86" s="59">
        <v>9.6799999999999997E-2</v>
      </c>
      <c r="E86" s="60">
        <v>0.49454945394582694</v>
      </c>
      <c r="F86" s="60">
        <v>24.3</v>
      </c>
      <c r="G86" s="60">
        <v>0.02</v>
      </c>
    </row>
    <row r="87" spans="1:7">
      <c r="A87" t="s">
        <v>40</v>
      </c>
      <c r="B87" s="58">
        <v>42095</v>
      </c>
      <c r="C87" s="59">
        <v>24.923400000000001</v>
      </c>
      <c r="D87" s="59">
        <v>5.9700000000000003E-2</v>
      </c>
      <c r="E87" s="60">
        <v>0.40934867388750701</v>
      </c>
      <c r="F87" s="60">
        <v>26.69</v>
      </c>
      <c r="G87" s="60">
        <v>0.02</v>
      </c>
    </row>
    <row r="88" spans="1:7">
      <c r="A88" t="s">
        <v>40</v>
      </c>
      <c r="B88" s="58">
        <v>42125</v>
      </c>
      <c r="C88" s="59">
        <v>21.3535</v>
      </c>
      <c r="D88" s="59">
        <v>0.1091</v>
      </c>
      <c r="E88" s="60">
        <v>0.41318942079793203</v>
      </c>
      <c r="F88" s="60">
        <v>28.64</v>
      </c>
      <c r="G88" s="60">
        <v>0.03</v>
      </c>
    </row>
    <row r="89" spans="1:7">
      <c r="A89" t="s">
        <v>40</v>
      </c>
      <c r="B89" s="58">
        <v>42156</v>
      </c>
      <c r="C89" s="59">
        <v>0</v>
      </c>
      <c r="D89" s="59">
        <v>0</v>
      </c>
      <c r="E89" s="60">
        <v>0.532332738514399</v>
      </c>
      <c r="F89" s="61">
        <v>28.64</v>
      </c>
      <c r="G89" s="61">
        <v>0.03</v>
      </c>
    </row>
    <row r="90" spans="1:7">
      <c r="A90" t="s">
        <v>41</v>
      </c>
      <c r="B90" s="58">
        <v>41883</v>
      </c>
      <c r="C90" s="59">
        <v>13.3165</v>
      </c>
      <c r="D90" s="59">
        <v>0</v>
      </c>
      <c r="E90" s="60">
        <v>0</v>
      </c>
      <c r="F90" s="60">
        <v>1.46</v>
      </c>
      <c r="G90" s="60">
        <v>0</v>
      </c>
    </row>
    <row r="91" spans="1:7">
      <c r="A91" t="s">
        <v>41</v>
      </c>
      <c r="B91" s="58">
        <v>41913</v>
      </c>
      <c r="C91" s="59">
        <v>22.260400000000001</v>
      </c>
      <c r="D91" s="59">
        <v>0</v>
      </c>
      <c r="E91" s="60">
        <v>0.19170658184365799</v>
      </c>
      <c r="F91" s="60">
        <v>3.9800000000000004</v>
      </c>
      <c r="G91" s="60">
        <v>0</v>
      </c>
    </row>
    <row r="92" spans="1:7">
      <c r="A92" t="s">
        <v>41</v>
      </c>
      <c r="B92" s="58">
        <v>41944</v>
      </c>
      <c r="C92" s="59">
        <v>21.629799999999999</v>
      </c>
      <c r="D92" s="59">
        <v>0</v>
      </c>
      <c r="E92" s="60">
        <v>0.173821680992786</v>
      </c>
      <c r="F92" s="60">
        <v>6.370000000000001</v>
      </c>
      <c r="G92" s="60">
        <v>0</v>
      </c>
    </row>
    <row r="93" spans="1:7">
      <c r="A93" t="s">
        <v>41</v>
      </c>
      <c r="B93" s="58">
        <v>41974</v>
      </c>
      <c r="C93" s="59">
        <v>21.002500000000001</v>
      </c>
      <c r="D93" s="59">
        <v>0</v>
      </c>
      <c r="E93" s="60">
        <v>0.35413995458346703</v>
      </c>
      <c r="F93" s="60">
        <v>8.6300000000000008</v>
      </c>
      <c r="G93" s="60">
        <v>0</v>
      </c>
    </row>
    <row r="94" spans="1:7">
      <c r="A94" t="s">
        <v>41</v>
      </c>
      <c r="B94" s="58">
        <v>42005</v>
      </c>
      <c r="C94" s="59">
        <v>35.541899999999998</v>
      </c>
      <c r="D94" s="59">
        <v>0</v>
      </c>
      <c r="E94" s="60">
        <v>0.27748621000516899</v>
      </c>
      <c r="F94" s="60">
        <v>12.72</v>
      </c>
      <c r="G94" s="60">
        <v>0</v>
      </c>
    </row>
    <row r="95" spans="1:7">
      <c r="A95" t="s">
        <v>41</v>
      </c>
      <c r="B95" s="58">
        <v>42036</v>
      </c>
      <c r="C95" s="59">
        <v>41.523499999999999</v>
      </c>
      <c r="D95" s="59">
        <v>1.9099999999999999E-2</v>
      </c>
      <c r="E95" s="60">
        <v>0.30916978033754999</v>
      </c>
      <c r="F95" s="60">
        <v>17.510000000000002</v>
      </c>
      <c r="G95" s="60">
        <v>0</v>
      </c>
    </row>
    <row r="96" spans="1:7">
      <c r="A96" t="s">
        <v>41</v>
      </c>
      <c r="B96" s="58">
        <v>42064</v>
      </c>
      <c r="C96" s="59">
        <v>27.0959</v>
      </c>
      <c r="D96" s="59">
        <v>0</v>
      </c>
      <c r="E96" s="60">
        <v>0.42376432266131597</v>
      </c>
      <c r="F96" s="60">
        <v>20.23</v>
      </c>
      <c r="G96" s="60">
        <v>0</v>
      </c>
    </row>
    <row r="97" spans="1:7">
      <c r="A97" t="s">
        <v>41</v>
      </c>
      <c r="B97" s="58">
        <v>42095</v>
      </c>
      <c r="C97" s="59">
        <v>23.529800000000002</v>
      </c>
      <c r="D97" s="59">
        <v>6.83E-2</v>
      </c>
      <c r="E97" s="60">
        <v>0.35782370579607603</v>
      </c>
      <c r="F97" s="60">
        <v>22.470000000000002</v>
      </c>
      <c r="G97" s="60">
        <v>0</v>
      </c>
    </row>
    <row r="98" spans="1:7">
      <c r="A98" t="s">
        <v>41</v>
      </c>
      <c r="B98" s="58">
        <v>42125</v>
      </c>
      <c r="C98" s="59">
        <v>22.621600000000001</v>
      </c>
      <c r="D98" s="59">
        <v>5.1000000000000004E-3</v>
      </c>
      <c r="E98" s="60">
        <v>0.390627776894863</v>
      </c>
      <c r="F98" s="60">
        <v>24.57</v>
      </c>
      <c r="G98" s="60">
        <v>0</v>
      </c>
    </row>
    <row r="99" spans="1:7">
      <c r="A99" t="s">
        <v>41</v>
      </c>
      <c r="B99" s="58">
        <v>42156</v>
      </c>
      <c r="C99" s="59">
        <v>0</v>
      </c>
      <c r="D99" s="59">
        <v>0</v>
      </c>
      <c r="E99" s="60">
        <v>0.47030986431971999</v>
      </c>
      <c r="F99" s="61">
        <v>24.57</v>
      </c>
      <c r="G99" s="61">
        <v>0</v>
      </c>
    </row>
    <row r="100" spans="1:7">
      <c r="A100" t="s">
        <v>42</v>
      </c>
      <c r="B100" s="58">
        <v>41852</v>
      </c>
      <c r="C100" s="59">
        <v>26.836099999999998</v>
      </c>
      <c r="D100" s="59">
        <v>0</v>
      </c>
      <c r="E100" s="60">
        <v>0.17774701574957899</v>
      </c>
      <c r="F100" s="60">
        <v>3.1199999999999997</v>
      </c>
      <c r="G100" s="60">
        <v>0</v>
      </c>
    </row>
    <row r="101" spans="1:7">
      <c r="A101" t="s">
        <v>42</v>
      </c>
      <c r="B101" s="58">
        <v>41883</v>
      </c>
      <c r="C101" s="59">
        <v>11.3437</v>
      </c>
      <c r="D101" s="59">
        <v>0</v>
      </c>
      <c r="E101" s="60">
        <v>0.26546245827528098</v>
      </c>
      <c r="F101" s="60">
        <v>4.3</v>
      </c>
      <c r="G101" s="60">
        <v>0</v>
      </c>
    </row>
    <row r="102" spans="1:7">
      <c r="A102" t="s">
        <v>42</v>
      </c>
      <c r="B102" s="58">
        <v>41913</v>
      </c>
      <c r="C102" s="59">
        <v>17.6995</v>
      </c>
      <c r="D102" s="59">
        <v>0</v>
      </c>
      <c r="E102" s="60">
        <v>0.30729143052024899</v>
      </c>
      <c r="F102" s="60">
        <v>6.18</v>
      </c>
      <c r="G102" s="60">
        <v>0</v>
      </c>
    </row>
    <row r="103" spans="1:7">
      <c r="A103" t="s">
        <v>42</v>
      </c>
      <c r="B103" s="58">
        <v>41944</v>
      </c>
      <c r="C103" s="59">
        <v>18.272500000000001</v>
      </c>
      <c r="D103" s="59">
        <v>4.3099999999999999E-2</v>
      </c>
      <c r="E103" s="60">
        <v>0.35378818839678899</v>
      </c>
      <c r="F103" s="60">
        <v>8.09</v>
      </c>
      <c r="G103" s="60">
        <v>0</v>
      </c>
    </row>
    <row r="104" spans="1:7">
      <c r="A104" t="s">
        <v>42</v>
      </c>
      <c r="B104" s="58">
        <v>41974</v>
      </c>
      <c r="C104" s="59">
        <v>15.596500000000001</v>
      </c>
      <c r="D104" s="59">
        <v>0.1948</v>
      </c>
      <c r="E104" s="60">
        <v>0.51635036194168704</v>
      </c>
      <c r="F104" s="60">
        <v>9.67</v>
      </c>
      <c r="G104" s="60">
        <v>0.02</v>
      </c>
    </row>
    <row r="105" spans="1:7">
      <c r="A105" t="s">
        <v>42</v>
      </c>
      <c r="B105" s="58">
        <v>42005</v>
      </c>
      <c r="C105" s="59">
        <v>30.398</v>
      </c>
      <c r="D105" s="59">
        <v>0</v>
      </c>
      <c r="E105" s="60">
        <v>0.426063121324534</v>
      </c>
      <c r="F105" s="60">
        <v>12.97</v>
      </c>
      <c r="G105" s="60">
        <v>0.02</v>
      </c>
    </row>
    <row r="106" spans="1:7">
      <c r="A106" t="s">
        <v>42</v>
      </c>
      <c r="B106" s="58">
        <v>42036</v>
      </c>
      <c r="C106" s="59">
        <v>33.429000000000002</v>
      </c>
      <c r="D106" s="59">
        <v>0.1084</v>
      </c>
      <c r="E106" s="60">
        <v>0.53237138676784901</v>
      </c>
      <c r="F106" s="60">
        <v>16.54</v>
      </c>
      <c r="G106" s="60">
        <v>0.03</v>
      </c>
    </row>
    <row r="107" spans="1:7">
      <c r="A107" t="s">
        <v>42</v>
      </c>
      <c r="B107" s="58">
        <v>42064</v>
      </c>
      <c r="C107" s="59">
        <v>22.344000000000001</v>
      </c>
      <c r="D107" s="59">
        <v>0.1807</v>
      </c>
      <c r="E107" s="60">
        <v>0.58858695835742603</v>
      </c>
      <c r="F107" s="60">
        <v>18.7</v>
      </c>
      <c r="G107" s="60">
        <v>0.04</v>
      </c>
    </row>
    <row r="108" spans="1:7">
      <c r="A108" t="s">
        <v>42</v>
      </c>
      <c r="B108" s="58">
        <v>42095</v>
      </c>
      <c r="C108" s="59">
        <v>21.953800000000001</v>
      </c>
      <c r="D108" s="59">
        <v>0.22869999999999999</v>
      </c>
      <c r="E108" s="60">
        <v>0.42740795025214895</v>
      </c>
      <c r="F108" s="60">
        <v>20.77</v>
      </c>
      <c r="G108" s="60">
        <v>0.06</v>
      </c>
    </row>
    <row r="109" spans="1:7">
      <c r="A109" t="s">
        <v>42</v>
      </c>
      <c r="B109" s="58">
        <v>42125</v>
      </c>
      <c r="C109" s="59">
        <v>21.616299999999999</v>
      </c>
      <c r="D109" s="59">
        <v>6.4899999999999999E-2</v>
      </c>
      <c r="E109" s="60">
        <v>0.51322419447953493</v>
      </c>
      <c r="F109" s="60">
        <v>22.759999999999998</v>
      </c>
      <c r="G109" s="60">
        <v>6.9999999999999993E-2</v>
      </c>
    </row>
    <row r="110" spans="1:7">
      <c r="A110" t="s">
        <v>42</v>
      </c>
      <c r="B110" s="58">
        <v>42156</v>
      </c>
      <c r="C110" s="59">
        <v>0</v>
      </c>
      <c r="D110" s="59">
        <v>0</v>
      </c>
      <c r="E110" s="60">
        <v>0.61644989212499102</v>
      </c>
      <c r="F110" s="61">
        <v>22.759999999999998</v>
      </c>
      <c r="G110" s="61">
        <v>6.9999999999999993E-2</v>
      </c>
    </row>
    <row r="111" spans="1:7">
      <c r="A111" t="s">
        <v>43</v>
      </c>
      <c r="B111" s="58">
        <v>41883</v>
      </c>
      <c r="C111" s="59">
        <v>17.9786</v>
      </c>
      <c r="D111" s="59">
        <v>6.1999999999999998E-3</v>
      </c>
      <c r="E111" s="60">
        <v>0.19867683813505799</v>
      </c>
      <c r="F111" s="60">
        <v>1.73</v>
      </c>
      <c r="G111" s="60">
        <v>0</v>
      </c>
    </row>
    <row r="112" spans="1:7">
      <c r="A112" t="s">
        <v>43</v>
      </c>
      <c r="B112" s="58">
        <v>41913</v>
      </c>
      <c r="C112" s="59">
        <v>7.1130000000000004</v>
      </c>
      <c r="D112" s="59">
        <v>0</v>
      </c>
      <c r="E112" s="60">
        <v>0.19704739462751297</v>
      </c>
      <c r="F112" s="60">
        <v>2.37</v>
      </c>
      <c r="G112" s="60">
        <v>0</v>
      </c>
    </row>
    <row r="113" spans="1:7">
      <c r="A113" t="s">
        <v>43</v>
      </c>
      <c r="B113" s="58">
        <v>41944</v>
      </c>
      <c r="C113" s="59">
        <v>7.6486000000000001</v>
      </c>
      <c r="D113" s="59">
        <v>0</v>
      </c>
      <c r="E113" s="60">
        <v>0.182791002941537</v>
      </c>
      <c r="F113" s="60">
        <v>3.06</v>
      </c>
      <c r="G113" s="60">
        <v>0</v>
      </c>
    </row>
    <row r="114" spans="1:7">
      <c r="A114" t="s">
        <v>43</v>
      </c>
      <c r="B114" s="58">
        <v>41974</v>
      </c>
      <c r="C114" s="59">
        <v>6.3979999999999997</v>
      </c>
      <c r="D114" s="59">
        <v>2.5999999999999999E-2</v>
      </c>
      <c r="E114" s="60">
        <v>0.31173836097395097</v>
      </c>
      <c r="F114" s="60">
        <v>3.62</v>
      </c>
      <c r="G114" s="60">
        <v>0</v>
      </c>
    </row>
    <row r="115" spans="1:7">
      <c r="A115" t="s">
        <v>43</v>
      </c>
      <c r="B115" s="58">
        <v>42005</v>
      </c>
      <c r="C115" s="59">
        <v>11.402200000000001</v>
      </c>
      <c r="D115" s="59">
        <v>6.5199999999999994E-2</v>
      </c>
      <c r="E115" s="60">
        <v>0.25871680534557295</v>
      </c>
      <c r="F115" s="60">
        <v>4.6399999999999997</v>
      </c>
      <c r="G115" s="60">
        <v>0</v>
      </c>
    </row>
    <row r="116" spans="1:7">
      <c r="A116" t="s">
        <v>43</v>
      </c>
      <c r="B116" s="58">
        <v>42036</v>
      </c>
      <c r="C116" s="59">
        <v>14.1052</v>
      </c>
      <c r="D116" s="59">
        <v>8.3799999999999999E-2</v>
      </c>
      <c r="E116" s="60">
        <v>0.29512584597165203</v>
      </c>
      <c r="F116" s="60">
        <v>5.91</v>
      </c>
      <c r="G116" s="60">
        <v>0.01</v>
      </c>
    </row>
    <row r="117" spans="1:7">
      <c r="A117" t="s">
        <v>43</v>
      </c>
      <c r="B117" s="58">
        <v>42064</v>
      </c>
      <c r="C117" s="59">
        <v>12.1469</v>
      </c>
      <c r="D117" s="59">
        <v>0.06</v>
      </c>
      <c r="E117" s="60">
        <v>0.341203728538442</v>
      </c>
      <c r="F117" s="60">
        <v>6.97</v>
      </c>
      <c r="G117" s="60">
        <v>0.02</v>
      </c>
    </row>
    <row r="118" spans="1:7">
      <c r="A118" t="s">
        <v>43</v>
      </c>
      <c r="B118" s="58">
        <v>42095</v>
      </c>
      <c r="C118" s="59">
        <v>12.386200000000001</v>
      </c>
      <c r="D118" s="59">
        <v>6.0499999999999998E-2</v>
      </c>
      <c r="E118" s="60">
        <v>0.25385131985243703</v>
      </c>
      <c r="F118" s="60">
        <v>8.0500000000000007</v>
      </c>
      <c r="G118" s="60">
        <v>0.02</v>
      </c>
    </row>
    <row r="119" spans="1:7">
      <c r="A119" t="s">
        <v>43</v>
      </c>
      <c r="B119" s="58">
        <v>42125</v>
      </c>
      <c r="C119" s="59">
        <v>12.855</v>
      </c>
      <c r="D119" s="59">
        <v>6.08E-2</v>
      </c>
      <c r="E119" s="60">
        <v>0.29648472609394599</v>
      </c>
      <c r="F119" s="60">
        <v>9.15</v>
      </c>
      <c r="G119" s="60">
        <v>0.03</v>
      </c>
    </row>
    <row r="120" spans="1:7">
      <c r="A120" t="s">
        <v>43</v>
      </c>
      <c r="B120" s="58">
        <v>42156</v>
      </c>
      <c r="C120" s="59">
        <v>0</v>
      </c>
      <c r="D120" s="59">
        <v>0</v>
      </c>
      <c r="E120" s="60">
        <v>0.376515711270408</v>
      </c>
      <c r="F120" s="61">
        <v>9.15</v>
      </c>
      <c r="G120" s="61">
        <v>0.03</v>
      </c>
    </row>
    <row r="121" spans="1:7">
      <c r="A121" t="s">
        <v>44</v>
      </c>
      <c r="B121" s="58">
        <v>41883</v>
      </c>
      <c r="C121" s="59">
        <v>7.9057000000000004</v>
      </c>
      <c r="D121" s="59">
        <v>0</v>
      </c>
      <c r="E121" s="60">
        <v>0</v>
      </c>
      <c r="F121" s="60">
        <v>0.8</v>
      </c>
      <c r="G121" s="60">
        <v>0</v>
      </c>
    </row>
    <row r="122" spans="1:7">
      <c r="A122" t="s">
        <v>44</v>
      </c>
      <c r="B122" s="58">
        <v>41913</v>
      </c>
      <c r="C122" s="59">
        <v>16.529800000000002</v>
      </c>
      <c r="D122" s="59">
        <v>0</v>
      </c>
      <c r="E122" s="60">
        <v>0.166233034743174</v>
      </c>
      <c r="F122" s="60">
        <v>2.5299999999999998</v>
      </c>
      <c r="G122" s="60">
        <v>0</v>
      </c>
    </row>
    <row r="123" spans="1:7">
      <c r="A123" t="s">
        <v>44</v>
      </c>
      <c r="B123" s="58">
        <v>41944</v>
      </c>
      <c r="C123" s="59">
        <v>14.737299999999999</v>
      </c>
      <c r="D123" s="59">
        <v>0</v>
      </c>
      <c r="E123" s="60">
        <v>0.18127235784901399</v>
      </c>
      <c r="F123" s="60">
        <v>4.04</v>
      </c>
      <c r="G123" s="60">
        <v>0</v>
      </c>
    </row>
    <row r="124" spans="1:7">
      <c r="A124" t="s">
        <v>44</v>
      </c>
      <c r="B124" s="58">
        <v>41974</v>
      </c>
      <c r="C124" s="59">
        <v>15.9307</v>
      </c>
      <c r="D124" s="59">
        <v>0</v>
      </c>
      <c r="E124" s="60">
        <v>0.32100016355282601</v>
      </c>
      <c r="F124" s="60">
        <v>5.66</v>
      </c>
      <c r="G124" s="60">
        <v>0</v>
      </c>
    </row>
    <row r="125" spans="1:7">
      <c r="A125" t="s">
        <v>44</v>
      </c>
      <c r="B125" s="58">
        <v>42005</v>
      </c>
      <c r="C125" s="59">
        <v>28.165900000000001</v>
      </c>
      <c r="D125" s="59">
        <v>0</v>
      </c>
      <c r="E125" s="60">
        <v>0.34388182085411201</v>
      </c>
      <c r="F125" s="60">
        <v>8.67</v>
      </c>
      <c r="G125" s="60">
        <v>0</v>
      </c>
    </row>
    <row r="126" spans="1:7">
      <c r="A126" t="s">
        <v>44</v>
      </c>
      <c r="B126" s="58">
        <v>42036</v>
      </c>
      <c r="C126" s="59">
        <v>34.780200000000001</v>
      </c>
      <c r="D126" s="59">
        <v>0.18659999999999999</v>
      </c>
      <c r="E126" s="60">
        <v>0.41123124381280396</v>
      </c>
      <c r="F126" s="60">
        <v>12.44</v>
      </c>
      <c r="G126" s="60">
        <v>0.01</v>
      </c>
    </row>
    <row r="127" spans="1:7">
      <c r="A127" t="s">
        <v>44</v>
      </c>
      <c r="B127" s="58">
        <v>42064</v>
      </c>
      <c r="C127" s="59">
        <v>22.173100000000002</v>
      </c>
      <c r="D127" s="59">
        <v>0.1017</v>
      </c>
      <c r="E127" s="60">
        <v>0.50680743447907906</v>
      </c>
      <c r="F127" s="60">
        <v>14.580000000000002</v>
      </c>
      <c r="G127" s="60">
        <v>0.02</v>
      </c>
    </row>
    <row r="128" spans="1:7">
      <c r="A128" t="s">
        <v>44</v>
      </c>
      <c r="B128" s="58">
        <v>42095</v>
      </c>
      <c r="C128" s="59">
        <v>20.960100000000001</v>
      </c>
      <c r="D128" s="59">
        <v>0.1095</v>
      </c>
      <c r="E128" s="60">
        <v>0.37748294798205301</v>
      </c>
      <c r="F128" s="60">
        <v>16.55</v>
      </c>
      <c r="G128" s="60">
        <v>0.03</v>
      </c>
    </row>
    <row r="129" spans="1:7">
      <c r="A129" t="s">
        <v>44</v>
      </c>
      <c r="B129" s="58">
        <v>42125</v>
      </c>
      <c r="C129" s="59">
        <v>19.663900000000002</v>
      </c>
      <c r="D129" s="59">
        <v>0.1643</v>
      </c>
      <c r="E129" s="60">
        <v>0.44673961711471694</v>
      </c>
      <c r="F129" s="60">
        <v>18.34</v>
      </c>
      <c r="G129" s="60">
        <v>0.04</v>
      </c>
    </row>
    <row r="130" spans="1:7">
      <c r="A130" t="s">
        <v>44</v>
      </c>
      <c r="B130" s="58">
        <v>42156</v>
      </c>
      <c r="C130" s="59">
        <v>0</v>
      </c>
      <c r="D130" s="59">
        <v>0</v>
      </c>
      <c r="E130" s="60">
        <v>0.59045563730843498</v>
      </c>
      <c r="F130" s="61">
        <v>18.34</v>
      </c>
      <c r="G130" s="61">
        <v>0.04</v>
      </c>
    </row>
    <row r="131" spans="1:7">
      <c r="A131" t="s">
        <v>45</v>
      </c>
      <c r="B131" s="58">
        <v>42005</v>
      </c>
      <c r="C131" s="59">
        <v>51.978200000000001</v>
      </c>
      <c r="D131" s="59">
        <v>0</v>
      </c>
      <c r="E131" s="60">
        <v>0.159228640865899</v>
      </c>
      <c r="F131" s="60">
        <v>6.87</v>
      </c>
      <c r="G131" s="60">
        <v>0</v>
      </c>
    </row>
    <row r="132" spans="1:7">
      <c r="A132" t="s">
        <v>45</v>
      </c>
      <c r="B132" s="58">
        <v>42036</v>
      </c>
      <c r="C132" s="59">
        <v>37.950000000000003</v>
      </c>
      <c r="D132" s="59">
        <v>0</v>
      </c>
      <c r="E132" s="60">
        <v>0.17318346328686801</v>
      </c>
      <c r="F132" s="60">
        <v>11.110000000000001</v>
      </c>
      <c r="G132" s="60">
        <v>0</v>
      </c>
    </row>
    <row r="133" spans="1:7">
      <c r="A133" t="s">
        <v>45</v>
      </c>
      <c r="B133" s="58">
        <v>42064</v>
      </c>
      <c r="C133" s="59">
        <v>23.9587</v>
      </c>
      <c r="D133" s="59">
        <v>0</v>
      </c>
      <c r="E133" s="60">
        <v>0.342220498640191</v>
      </c>
      <c r="F133" s="60">
        <v>13.469999999999999</v>
      </c>
      <c r="G133" s="60">
        <v>0</v>
      </c>
    </row>
    <row r="134" spans="1:7">
      <c r="A134" t="s">
        <v>45</v>
      </c>
      <c r="B134" s="58">
        <v>42095</v>
      </c>
      <c r="C134" s="59">
        <v>22.691099999999999</v>
      </c>
      <c r="D134" s="59">
        <v>0</v>
      </c>
      <c r="E134" s="60">
        <v>0.21156629027363499</v>
      </c>
      <c r="F134" s="60">
        <v>15.629999999999999</v>
      </c>
      <c r="G134" s="60">
        <v>0</v>
      </c>
    </row>
    <row r="135" spans="1:7">
      <c r="A135" t="s">
        <v>45</v>
      </c>
      <c r="B135" s="58">
        <v>42125</v>
      </c>
      <c r="C135" s="59">
        <v>19.299199999999999</v>
      </c>
      <c r="D135" s="59">
        <v>2.7900000000000001E-2</v>
      </c>
      <c r="E135" s="60">
        <v>0.27772949574741501</v>
      </c>
      <c r="F135" s="60">
        <v>17.39</v>
      </c>
      <c r="G135" s="60">
        <v>0</v>
      </c>
    </row>
    <row r="136" spans="1:7">
      <c r="A136" t="s">
        <v>45</v>
      </c>
      <c r="B136" s="58">
        <v>42156</v>
      </c>
      <c r="C136" s="59">
        <v>0</v>
      </c>
      <c r="D136" s="59">
        <v>0</v>
      </c>
      <c r="E136" s="60">
        <v>0.35491638964424999</v>
      </c>
      <c r="F136" s="61">
        <v>17.39</v>
      </c>
      <c r="G136" s="61">
        <v>0</v>
      </c>
    </row>
    <row r="137" spans="1:7">
      <c r="A137" t="s">
        <v>46</v>
      </c>
      <c r="B137" s="58">
        <v>42095</v>
      </c>
      <c r="C137" s="59">
        <v>16.482600000000001</v>
      </c>
      <c r="D137" s="59">
        <v>0</v>
      </c>
      <c r="E137" s="60">
        <v>5.5999090056126306E-2</v>
      </c>
      <c r="F137" s="60">
        <v>1.43</v>
      </c>
      <c r="G137" s="60">
        <v>0</v>
      </c>
    </row>
    <row r="138" spans="1:7">
      <c r="A138" t="s">
        <v>46</v>
      </c>
      <c r="B138" s="58">
        <v>42125</v>
      </c>
      <c r="C138" s="59">
        <v>10.3049</v>
      </c>
      <c r="D138" s="59">
        <v>0</v>
      </c>
      <c r="E138" s="60">
        <v>7.6209042857628501E-2</v>
      </c>
      <c r="F138" s="60">
        <v>2.29</v>
      </c>
      <c r="G138" s="60">
        <v>0</v>
      </c>
    </row>
    <row r="139" spans="1:7">
      <c r="A139" t="s">
        <v>46</v>
      </c>
      <c r="B139" s="58">
        <v>42156</v>
      </c>
      <c r="C139" s="59">
        <v>0</v>
      </c>
      <c r="D139" s="59">
        <v>0</v>
      </c>
      <c r="E139" s="60">
        <v>0.11834858248674</v>
      </c>
      <c r="F139" s="61">
        <v>2.29</v>
      </c>
      <c r="G139" s="61">
        <v>0</v>
      </c>
    </row>
    <row r="140" spans="1:7">
      <c r="A140" t="s">
        <v>60</v>
      </c>
      <c r="B140" s="58">
        <v>42156</v>
      </c>
      <c r="C140" s="59">
        <v>0</v>
      </c>
      <c r="D140" s="59">
        <v>0</v>
      </c>
      <c r="E140" s="60">
        <v>0.17926947193298801</v>
      </c>
      <c r="F140" s="61">
        <v>1.37</v>
      </c>
      <c r="G140" s="61">
        <v>0</v>
      </c>
    </row>
    <row r="141" spans="1:7">
      <c r="A141" t="s">
        <v>47</v>
      </c>
      <c r="B141" s="58">
        <v>42064</v>
      </c>
      <c r="C141" s="59">
        <v>39.482300000000002</v>
      </c>
      <c r="D141" s="59">
        <v>0</v>
      </c>
      <c r="E141" s="60">
        <v>0.20324079350067201</v>
      </c>
      <c r="F141" s="60">
        <v>4.32</v>
      </c>
      <c r="G141" s="60">
        <v>0</v>
      </c>
    </row>
    <row r="142" spans="1:7">
      <c r="A142" t="s">
        <v>47</v>
      </c>
      <c r="B142" s="58">
        <v>42095</v>
      </c>
      <c r="C142" s="59">
        <v>17.138100000000001</v>
      </c>
      <c r="D142" s="59">
        <v>0</v>
      </c>
      <c r="E142" s="60">
        <v>0.168899070331161</v>
      </c>
      <c r="F142" s="60">
        <v>5.8999999999999995</v>
      </c>
      <c r="G142" s="60">
        <v>0</v>
      </c>
    </row>
    <row r="143" spans="1:7">
      <c r="A143" t="s">
        <v>47</v>
      </c>
      <c r="B143" s="58">
        <v>42125</v>
      </c>
      <c r="C143" s="59">
        <v>15.325200000000001</v>
      </c>
      <c r="D143" s="59">
        <v>0</v>
      </c>
      <c r="E143" s="60">
        <v>0.19443009127071501</v>
      </c>
      <c r="F143" s="60">
        <v>7.26</v>
      </c>
      <c r="G143" s="60">
        <v>0</v>
      </c>
    </row>
    <row r="144" spans="1:7">
      <c r="A144" t="s">
        <v>47</v>
      </c>
      <c r="B144" s="58">
        <v>42156</v>
      </c>
      <c r="C144" s="59">
        <v>0</v>
      </c>
      <c r="D144" s="59">
        <v>0</v>
      </c>
      <c r="E144" s="60">
        <v>0.26498330954823002</v>
      </c>
      <c r="F144" s="61">
        <v>7.26</v>
      </c>
      <c r="G144" s="61">
        <v>0</v>
      </c>
    </row>
    <row r="145" spans="1:7">
      <c r="A145" t="s">
        <v>48</v>
      </c>
      <c r="B145" s="58">
        <v>42095</v>
      </c>
      <c r="C145" s="59">
        <v>12.428100000000001</v>
      </c>
      <c r="D145" s="59">
        <v>0</v>
      </c>
      <c r="E145" s="60">
        <v>0</v>
      </c>
      <c r="F145" s="60">
        <v>1.0699999999999998</v>
      </c>
      <c r="G145" s="60">
        <v>0</v>
      </c>
    </row>
    <row r="146" spans="1:7">
      <c r="A146" t="s">
        <v>48</v>
      </c>
      <c r="B146" s="58">
        <v>42125</v>
      </c>
      <c r="C146" s="59">
        <v>12.8009</v>
      </c>
      <c r="D146" s="59">
        <v>0</v>
      </c>
      <c r="E146" s="60">
        <v>0.10399318474289801</v>
      </c>
      <c r="F146" s="60">
        <v>2.17</v>
      </c>
      <c r="G146" s="60">
        <v>0</v>
      </c>
    </row>
    <row r="147" spans="1:7">
      <c r="A147" t="s">
        <v>48</v>
      </c>
      <c r="B147" s="58">
        <v>42156</v>
      </c>
      <c r="C147" s="59">
        <v>0</v>
      </c>
      <c r="D147" s="59">
        <v>0</v>
      </c>
      <c r="E147" s="60">
        <v>0.16668659441076</v>
      </c>
      <c r="F147" s="61">
        <v>2.17</v>
      </c>
      <c r="G147" s="61">
        <v>0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C15"/>
  <sheetViews>
    <sheetView workbookViewId="0">
      <selection activeCell="H47" sqref="H47"/>
    </sheetView>
  </sheetViews>
  <sheetFormatPr defaultRowHeight="15"/>
  <cols>
    <col min="1" max="1" width="11.140625" bestFit="1" customWidth="1"/>
    <col min="2" max="2" width="18.85546875" bestFit="1" customWidth="1"/>
    <col min="3" max="3" width="16.140625" bestFit="1" customWidth="1"/>
    <col min="4" max="4" width="16.42578125" bestFit="1" customWidth="1"/>
    <col min="5" max="5" width="15.42578125" bestFit="1" customWidth="1"/>
    <col min="6" max="6" width="20.140625" bestFit="1" customWidth="1"/>
    <col min="7" max="7" width="23.28515625" bestFit="1" customWidth="1"/>
    <col min="8" max="8" width="14.7109375" bestFit="1" customWidth="1"/>
    <col min="9" max="9" width="15.85546875" bestFit="1" customWidth="1"/>
    <col min="10" max="10" width="17.85546875" bestFit="1" customWidth="1"/>
    <col min="11" max="11" width="14.42578125" bestFit="1" customWidth="1"/>
    <col min="12" max="12" width="15.7109375" bestFit="1" customWidth="1"/>
    <col min="13" max="13" width="19.42578125" bestFit="1" customWidth="1"/>
    <col min="14" max="14" width="7.140625" bestFit="1" customWidth="1"/>
    <col min="15" max="15" width="8" bestFit="1" customWidth="1"/>
    <col min="16" max="16" width="23.5703125" bestFit="1" customWidth="1"/>
    <col min="17" max="17" width="22.85546875" bestFit="1" customWidth="1"/>
    <col min="18" max="18" width="18" bestFit="1" customWidth="1"/>
    <col min="19" max="19" width="7.140625" bestFit="1" customWidth="1"/>
    <col min="20" max="20" width="10.42578125" bestFit="1" customWidth="1"/>
    <col min="21" max="21" width="12.7109375" bestFit="1" customWidth="1"/>
    <col min="22" max="22" width="10.5703125" bestFit="1" customWidth="1"/>
    <col min="23" max="23" width="11.140625" bestFit="1" customWidth="1"/>
    <col min="24" max="24" width="14.7109375" bestFit="1" customWidth="1"/>
    <col min="25" max="25" width="8" bestFit="1" customWidth="1"/>
    <col min="26" max="26" width="7.85546875" bestFit="1" customWidth="1"/>
    <col min="27" max="27" width="12.5703125" bestFit="1" customWidth="1"/>
    <col min="28" max="28" width="11.5703125" bestFit="1" customWidth="1"/>
    <col min="29" max="29" width="12.85546875" bestFit="1" customWidth="1"/>
  </cols>
  <sheetData>
    <row r="1" spans="1:29">
      <c r="A1" t="s">
        <v>53</v>
      </c>
      <c r="B1" s="64" t="s">
        <v>63</v>
      </c>
      <c r="C1" s="64" t="s">
        <v>64</v>
      </c>
      <c r="D1" s="64" t="s">
        <v>65</v>
      </c>
      <c r="E1" s="64" t="s">
        <v>66</v>
      </c>
      <c r="F1" s="59" t="s">
        <v>67</v>
      </c>
      <c r="G1" s="59" t="s">
        <v>68</v>
      </c>
      <c r="H1" s="65" t="s">
        <v>69</v>
      </c>
      <c r="I1" s="65" t="s">
        <v>70</v>
      </c>
      <c r="J1" s="65" t="s">
        <v>71</v>
      </c>
      <c r="K1" s="65" t="s">
        <v>72</v>
      </c>
      <c r="L1" s="65" t="s">
        <v>73</v>
      </c>
      <c r="M1" s="64" t="s">
        <v>74</v>
      </c>
      <c r="N1" s="57" t="s">
        <v>75</v>
      </c>
      <c r="O1" s="57" t="s">
        <v>76</v>
      </c>
      <c r="P1" s="57" t="s">
        <v>77</v>
      </c>
      <c r="Q1" s="57" t="s">
        <v>78</v>
      </c>
      <c r="R1" s="57" t="s">
        <v>79</v>
      </c>
      <c r="S1" s="57" t="s">
        <v>80</v>
      </c>
      <c r="T1" s="57" t="s">
        <v>81</v>
      </c>
      <c r="U1" s="57" t="s">
        <v>82</v>
      </c>
      <c r="V1" s="57" t="s">
        <v>83</v>
      </c>
      <c r="W1" s="57" t="s">
        <v>84</v>
      </c>
      <c r="X1" s="57" t="s">
        <v>85</v>
      </c>
      <c r="Y1" s="57" t="s">
        <v>86</v>
      </c>
      <c r="Z1" s="57" t="s">
        <v>87</v>
      </c>
      <c r="AA1" s="57" t="s">
        <v>88</v>
      </c>
      <c r="AB1" s="57" t="s">
        <v>89</v>
      </c>
      <c r="AC1" s="57" t="s">
        <v>90</v>
      </c>
    </row>
    <row r="2" spans="1:29">
      <c r="A2" t="s">
        <v>36</v>
      </c>
      <c r="B2" s="64">
        <v>84793</v>
      </c>
      <c r="C2" s="64">
        <v>18844871637.860001</v>
      </c>
      <c r="D2" s="64">
        <v>20248789000</v>
      </c>
      <c r="E2" s="64">
        <v>34.160833355208403</v>
      </c>
      <c r="F2" s="59">
        <v>3.8292562292607899</v>
      </c>
      <c r="G2" s="59">
        <v>3.8292601897346499</v>
      </c>
      <c r="H2" s="65">
        <v>74.826692598709997</v>
      </c>
      <c r="I2" s="65">
        <v>75.582367490546403</v>
      </c>
      <c r="J2" s="65">
        <v>60.618714100668697</v>
      </c>
      <c r="K2" s="65">
        <v>32.199716089737002</v>
      </c>
      <c r="L2" s="65">
        <v>766.69279975411803</v>
      </c>
      <c r="M2" s="64">
        <v>306098.61692109698</v>
      </c>
      <c r="N2" s="57">
        <v>0</v>
      </c>
      <c r="O2" s="57">
        <v>7.0286712970702506E-2</v>
      </c>
      <c r="P2" s="57">
        <v>0.105014142542322</v>
      </c>
      <c r="Q2" s="57">
        <v>0.63129471675833404</v>
      </c>
      <c r="R2" s="57">
        <v>2.3630007779695698E-2</v>
      </c>
      <c r="S2" s="57">
        <v>0.71571042737819401</v>
      </c>
      <c r="T2" s="57">
        <v>0.89395305003696202</v>
      </c>
      <c r="U2" s="57">
        <v>0.40084822924629898</v>
      </c>
      <c r="V2" s="57">
        <v>0.140747616088893</v>
      </c>
      <c r="W2" s="57">
        <v>0.99739476567293905</v>
      </c>
      <c r="X2" s="57">
        <v>2.6052343270604001E-3</v>
      </c>
      <c r="Y2" s="57">
        <v>0.97746113060718898</v>
      </c>
      <c r="Z2" s="57">
        <v>1.99336350657498E-2</v>
      </c>
      <c r="AA2" s="57">
        <v>2.33150770004339E-3</v>
      </c>
      <c r="AB2" s="57">
        <v>2.7372662701701298E-4</v>
      </c>
      <c r="AC2" s="57">
        <v>1.06326131507019E-4</v>
      </c>
    </row>
    <row r="3" spans="1:29">
      <c r="A3" t="s">
        <v>37</v>
      </c>
      <c r="B3" s="64">
        <v>132693</v>
      </c>
      <c r="C3" s="64">
        <v>30868963894.860001</v>
      </c>
      <c r="D3" s="64">
        <v>32744707000</v>
      </c>
      <c r="E3" s="64">
        <v>28.388378680159501</v>
      </c>
      <c r="F3" s="59">
        <v>3.5940966808970498</v>
      </c>
      <c r="G3" s="59">
        <v>3.59411456185369</v>
      </c>
      <c r="H3" s="65">
        <v>74.283992916362394</v>
      </c>
      <c r="I3" s="65">
        <v>75.279818992311107</v>
      </c>
      <c r="J3" s="65">
        <v>61.599118717611702</v>
      </c>
      <c r="K3" s="65">
        <v>32.138041426937498</v>
      </c>
      <c r="L3" s="65">
        <v>764.25690807350702</v>
      </c>
      <c r="M3" s="64">
        <v>313353.88862311898</v>
      </c>
      <c r="N3" s="57">
        <v>0</v>
      </c>
      <c r="O3" s="57">
        <v>9.3519772610854895E-2</v>
      </c>
      <c r="P3" s="57">
        <v>7.4736240114756297E-2</v>
      </c>
      <c r="Q3" s="57">
        <v>0.60931048166284096</v>
      </c>
      <c r="R3" s="57">
        <v>2.8841972311168099E-2</v>
      </c>
      <c r="S3" s="57">
        <v>0.67373260854385097</v>
      </c>
      <c r="T3" s="57">
        <v>0.88653955961789799</v>
      </c>
      <c r="U3" s="57">
        <v>0.26778516042439598</v>
      </c>
      <c r="V3" s="57">
        <v>0.122149590301858</v>
      </c>
      <c r="W3" s="57">
        <v>0.99676694991869697</v>
      </c>
      <c r="X3" s="57">
        <v>3.2330500813024599E-3</v>
      </c>
      <c r="Y3" s="57">
        <v>0.97970960481915303</v>
      </c>
      <c r="Z3" s="57">
        <v>1.7057345099544201E-2</v>
      </c>
      <c r="AA3" s="57">
        <v>2.9992835054440002E-3</v>
      </c>
      <c r="AB3" s="57">
        <v>2.3376657585846399E-4</v>
      </c>
      <c r="AC3" s="57">
        <v>1.14430765218789E-4</v>
      </c>
    </row>
    <row r="4" spans="1:29">
      <c r="A4" t="s">
        <v>38</v>
      </c>
      <c r="B4" s="64">
        <v>128194</v>
      </c>
      <c r="C4" s="64">
        <v>28730000635.919998</v>
      </c>
      <c r="D4" s="64">
        <v>30261960000</v>
      </c>
      <c r="E4" s="64">
        <v>25.215118808229001</v>
      </c>
      <c r="F4" s="59">
        <v>3.7159873508281001</v>
      </c>
      <c r="G4" s="59">
        <v>3.71599278627968</v>
      </c>
      <c r="H4" s="65">
        <v>74.8308152396678</v>
      </c>
      <c r="I4" s="65">
        <v>75.722337139684299</v>
      </c>
      <c r="J4" s="65">
        <v>63.536959983013503</v>
      </c>
      <c r="K4" s="65">
        <v>32.835626074592703</v>
      </c>
      <c r="L4" s="65">
        <v>761.35779383455997</v>
      </c>
      <c r="M4" s="64">
        <v>302441.392871955</v>
      </c>
      <c r="N4" s="57">
        <v>0</v>
      </c>
      <c r="O4" s="57">
        <v>8.0487457430783699E-2</v>
      </c>
      <c r="P4" s="57">
        <v>0.112468208129454</v>
      </c>
      <c r="Q4" s="57">
        <v>0.58662336641470403</v>
      </c>
      <c r="R4" s="57">
        <v>3.2283576632099797E-2</v>
      </c>
      <c r="S4" s="57">
        <v>0.657221934105096</v>
      </c>
      <c r="T4" s="57">
        <v>0.85746265877035599</v>
      </c>
      <c r="U4" s="57">
        <v>0.407853972339279</v>
      </c>
      <c r="V4" s="57">
        <v>0.12274786113477799</v>
      </c>
      <c r="W4" s="57">
        <v>0.99716946758858305</v>
      </c>
      <c r="X4" s="57">
        <v>2.8305324114169098E-3</v>
      </c>
      <c r="Y4" s="57">
        <v>0.98149129867803797</v>
      </c>
      <c r="Z4" s="57">
        <v>1.5678168910544299E-2</v>
      </c>
      <c r="AA4" s="57">
        <v>2.6510414515889202E-3</v>
      </c>
      <c r="AB4" s="57">
        <v>1.7949095982798801E-4</v>
      </c>
      <c r="AC4" s="57">
        <v>8.4162055568383701E-5</v>
      </c>
    </row>
    <row r="5" spans="1:29">
      <c r="A5" t="s">
        <v>39</v>
      </c>
      <c r="B5" s="64">
        <v>102690</v>
      </c>
      <c r="C5" s="64">
        <v>23516001945.110001</v>
      </c>
      <c r="D5" s="64">
        <v>24605428000</v>
      </c>
      <c r="E5" s="64">
        <v>22.542349212856799</v>
      </c>
      <c r="F5" s="59">
        <v>3.9738534854824601</v>
      </c>
      <c r="G5" s="59">
        <v>3.9738622374935502</v>
      </c>
      <c r="H5" s="65">
        <v>75.281709742869197</v>
      </c>
      <c r="I5" s="65">
        <v>76.339009535012707</v>
      </c>
      <c r="J5" s="65">
        <v>65.853191465945997</v>
      </c>
      <c r="K5" s="65">
        <v>33.067403096573102</v>
      </c>
      <c r="L5" s="65">
        <v>760.03980686218995</v>
      </c>
      <c r="M5" s="64">
        <v>303628.014954363</v>
      </c>
      <c r="N5" s="57">
        <v>0</v>
      </c>
      <c r="O5" s="57">
        <v>9.0462926605275398E-2</v>
      </c>
      <c r="P5" s="57">
        <v>0.15007943610303501</v>
      </c>
      <c r="Q5" s="57">
        <v>0.58850832344431703</v>
      </c>
      <c r="R5" s="57">
        <v>2.9315808846637401E-2</v>
      </c>
      <c r="S5" s="57">
        <v>0.636897315309774</v>
      </c>
      <c r="T5" s="57">
        <v>0.87896531170546699</v>
      </c>
      <c r="U5" s="57">
        <v>0.51999656120851701</v>
      </c>
      <c r="V5" s="57">
        <v>9.9023718611497405E-2</v>
      </c>
      <c r="W5" s="57">
        <v>0.99657111943568399</v>
      </c>
      <c r="X5" s="57">
        <v>3.4288805643157899E-3</v>
      </c>
      <c r="Y5" s="57">
        <v>0.98145424869508102</v>
      </c>
      <c r="Z5" s="57">
        <v>1.5116870740603101E-2</v>
      </c>
      <c r="AA5" s="57">
        <v>3.12590570121489E-3</v>
      </c>
      <c r="AB5" s="57">
        <v>3.0297486310089101E-4</v>
      </c>
      <c r="AC5" s="57">
        <v>7.4070098908211795E-5</v>
      </c>
    </row>
    <row r="6" spans="1:29">
      <c r="A6" t="s">
        <v>40</v>
      </c>
      <c r="B6" s="64">
        <v>71708</v>
      </c>
      <c r="C6" s="64">
        <v>14903591509.59</v>
      </c>
      <c r="D6" s="64">
        <v>15465048000</v>
      </c>
      <c r="E6" s="64">
        <v>19.160845104267398</v>
      </c>
      <c r="F6" s="59">
        <v>4.5363102345626301</v>
      </c>
      <c r="G6" s="59">
        <v>4.5363102345626301</v>
      </c>
      <c r="H6" s="65">
        <v>75.917112759675703</v>
      </c>
      <c r="I6" s="65">
        <v>76.686157591043695</v>
      </c>
      <c r="J6" s="65">
        <v>68.293092302147201</v>
      </c>
      <c r="K6" s="65">
        <v>34.478418486754101</v>
      </c>
      <c r="L6" s="65">
        <v>753.80486724772595</v>
      </c>
      <c r="M6" s="64">
        <v>280501.71368464403</v>
      </c>
      <c r="N6" s="57">
        <v>0</v>
      </c>
      <c r="O6" s="57">
        <v>6.2884593991115206E-2</v>
      </c>
      <c r="P6" s="57">
        <v>0.18928094221817501</v>
      </c>
      <c r="Q6" s="57">
        <v>0.55742381848390699</v>
      </c>
      <c r="R6" s="57">
        <v>3.4989357507178798E-2</v>
      </c>
      <c r="S6" s="57">
        <v>0.63150636996685305</v>
      </c>
      <c r="T6" s="57">
        <v>0.85486638953582605</v>
      </c>
      <c r="U6" s="57">
        <v>0.636277261282161</v>
      </c>
      <c r="V6" s="57">
        <v>0.12366351842937</v>
      </c>
      <c r="W6" s="57">
        <v>0.99467667261485604</v>
      </c>
      <c r="X6" s="57">
        <v>5.3233273851439897E-3</v>
      </c>
      <c r="Y6" s="57">
        <v>0.97980849253575097</v>
      </c>
      <c r="Z6" s="57">
        <v>1.48681800791047E-2</v>
      </c>
      <c r="AA6" s="57">
        <v>4.7958792002590397E-3</v>
      </c>
      <c r="AB6" s="57">
        <v>5.2744818488495004E-4</v>
      </c>
      <c r="AC6" s="57">
        <v>5.6965739396017199E-5</v>
      </c>
    </row>
    <row r="7" spans="1:29">
      <c r="A7" t="s">
        <v>41</v>
      </c>
      <c r="B7" s="64">
        <v>59082</v>
      </c>
      <c r="C7" s="64">
        <v>12356174994.129999</v>
      </c>
      <c r="D7" s="64">
        <v>12760098000</v>
      </c>
      <c r="E7" s="64">
        <v>16.3807543534034</v>
      </c>
      <c r="F7" s="59">
        <v>4.5668291499254297</v>
      </c>
      <c r="G7" s="59">
        <v>4.5668291499254297</v>
      </c>
      <c r="H7" s="65">
        <v>75.876078813017898</v>
      </c>
      <c r="I7" s="65">
        <v>76.700996994193105</v>
      </c>
      <c r="J7" s="65">
        <v>69.302217548040403</v>
      </c>
      <c r="K7" s="65">
        <v>34.776090603203301</v>
      </c>
      <c r="L7" s="65">
        <v>751.52818465194605</v>
      </c>
      <c r="M7" s="64">
        <v>280695.33743058302</v>
      </c>
      <c r="N7" s="57">
        <v>0</v>
      </c>
      <c r="O7" s="57">
        <v>6.7788188143006703E-2</v>
      </c>
      <c r="P7" s="57">
        <v>0.17352569864530001</v>
      </c>
      <c r="Q7" s="57">
        <v>0.54743106271183595</v>
      </c>
      <c r="R7" s="57">
        <v>3.6391874004990998E-2</v>
      </c>
      <c r="S7" s="57">
        <v>0.63295607042514701</v>
      </c>
      <c r="T7" s="57">
        <v>0.84416041759729199</v>
      </c>
      <c r="U7" s="57">
        <v>0.60963829247470003</v>
      </c>
      <c r="V7" s="57">
        <v>0.116810665398934</v>
      </c>
      <c r="W7" s="57">
        <v>0.99529690135680204</v>
      </c>
      <c r="X7" s="57">
        <v>4.7030986431971997E-3</v>
      </c>
      <c r="Y7" s="57">
        <v>0.98203506134418905</v>
      </c>
      <c r="Z7" s="57">
        <v>1.32618400126128E-2</v>
      </c>
      <c r="AA7" s="57">
        <v>4.2847106904160201E-3</v>
      </c>
      <c r="AB7" s="57">
        <v>4.1838795278117502E-4</v>
      </c>
      <c r="AC7" s="57">
        <v>0</v>
      </c>
    </row>
    <row r="8" spans="1:29">
      <c r="A8" t="s">
        <v>42</v>
      </c>
      <c r="B8" s="64">
        <v>37981</v>
      </c>
      <c r="C8" s="64">
        <v>7919678628.1700001</v>
      </c>
      <c r="D8" s="64">
        <v>8182812000</v>
      </c>
      <c r="E8" s="64">
        <v>19.223525697993999</v>
      </c>
      <c r="F8" s="59">
        <v>4.5516286331051203</v>
      </c>
      <c r="G8" s="59">
        <v>4.5515971531744999</v>
      </c>
      <c r="H8" s="65">
        <v>92.314133295397895</v>
      </c>
      <c r="I8" s="65">
        <v>92.3249810488919</v>
      </c>
      <c r="J8" s="65">
        <v>83.687363108517999</v>
      </c>
      <c r="K8" s="65">
        <v>34.722093165548202</v>
      </c>
      <c r="L8" s="65">
        <v>751.27795762989103</v>
      </c>
      <c r="M8" s="64">
        <v>257728.99219422101</v>
      </c>
      <c r="N8" s="57">
        <v>0.99801637525112097</v>
      </c>
      <c r="O8" s="57">
        <v>1.68610543014995E-3</v>
      </c>
      <c r="P8" s="57">
        <v>0.39643030257093398</v>
      </c>
      <c r="Q8" s="57">
        <v>0.54258630000532304</v>
      </c>
      <c r="R8" s="57">
        <v>0</v>
      </c>
      <c r="S8" s="57">
        <v>0.60735330321117498</v>
      </c>
      <c r="T8" s="57">
        <v>0.99548008661075205</v>
      </c>
      <c r="U8" s="57">
        <v>0.90576257158019802</v>
      </c>
      <c r="V8" s="57">
        <v>7.9505437242154198E-2</v>
      </c>
      <c r="W8" s="57">
        <v>0.99383550107874996</v>
      </c>
      <c r="X8" s="57">
        <v>6.1644989212499097E-3</v>
      </c>
      <c r="Y8" s="57">
        <v>0.98018477958665995</v>
      </c>
      <c r="Z8" s="57">
        <v>1.36507214920892E-2</v>
      </c>
      <c r="AA8" s="57">
        <v>5.4569332796255299E-3</v>
      </c>
      <c r="AB8" s="57">
        <v>7.0756564162437999E-4</v>
      </c>
      <c r="AC8" s="57">
        <v>8.9954897597229494E-5</v>
      </c>
    </row>
    <row r="9" spans="1:29">
      <c r="A9" t="s">
        <v>43</v>
      </c>
      <c r="B9" s="64">
        <v>135963</v>
      </c>
      <c r="C9" s="64">
        <v>29875609801.369999</v>
      </c>
      <c r="D9" s="64">
        <v>31361353000</v>
      </c>
      <c r="E9" s="64">
        <v>25.2121776592499</v>
      </c>
      <c r="F9" s="59">
        <v>3.79669684971442</v>
      </c>
      <c r="G9" s="59">
        <v>3.7966977189181401</v>
      </c>
      <c r="H9" s="65">
        <v>91.538060510031499</v>
      </c>
      <c r="I9" s="65">
        <v>91.562355822901694</v>
      </c>
      <c r="J9" s="65">
        <v>79.439633154000802</v>
      </c>
      <c r="K9" s="65">
        <v>33.148326786784601</v>
      </c>
      <c r="L9" s="65">
        <v>757.09097000118902</v>
      </c>
      <c r="M9" s="64">
        <v>274161.09979895299</v>
      </c>
      <c r="N9" s="57">
        <v>0.999304563393412</v>
      </c>
      <c r="O9" s="57">
        <v>3.9655796791323401E-3</v>
      </c>
      <c r="P9" s="57">
        <v>0.297197002461279</v>
      </c>
      <c r="Q9" s="57">
        <v>0.56621639503386001</v>
      </c>
      <c r="R9" s="57">
        <v>0</v>
      </c>
      <c r="S9" s="57">
        <v>0.62092425225440295</v>
      </c>
      <c r="T9" s="57">
        <v>0.99602556414347798</v>
      </c>
      <c r="U9" s="57">
        <v>0.71684535995606402</v>
      </c>
      <c r="V9" s="57">
        <v>7.7128833318218404E-2</v>
      </c>
      <c r="W9" s="57">
        <v>0.99623484288729502</v>
      </c>
      <c r="X9" s="57">
        <v>3.7651571127040799E-3</v>
      </c>
      <c r="Y9" s="57">
        <v>0.98681432852520601</v>
      </c>
      <c r="Z9" s="57">
        <v>9.4205143620898994E-3</v>
      </c>
      <c r="AA9" s="57">
        <v>3.2583719334001999E-3</v>
      </c>
      <c r="AB9" s="57">
        <v>5.06785179303878E-4</v>
      </c>
      <c r="AC9" s="57">
        <v>1.9732516387764699E-5</v>
      </c>
    </row>
    <row r="10" spans="1:29">
      <c r="A10" t="s">
        <v>44</v>
      </c>
      <c r="B10" s="64">
        <v>31630</v>
      </c>
      <c r="C10" s="64">
        <v>6632739546.4499998</v>
      </c>
      <c r="D10" s="64">
        <v>6823093000</v>
      </c>
      <c r="E10" s="64">
        <v>16.3784791544564</v>
      </c>
      <c r="F10" s="59">
        <v>4.5605805664145196</v>
      </c>
      <c r="G10" s="59">
        <v>4.5605126292845304</v>
      </c>
      <c r="H10" s="65">
        <v>92.369456020445</v>
      </c>
      <c r="I10" s="65">
        <v>92.378822957986401</v>
      </c>
      <c r="J10" s="65">
        <v>84.837973658007897</v>
      </c>
      <c r="K10" s="65">
        <v>34.914017671663998</v>
      </c>
      <c r="L10" s="65">
        <v>748.63164981732302</v>
      </c>
      <c r="M10" s="64">
        <v>258772.95562326</v>
      </c>
      <c r="N10" s="57">
        <v>0.99787556214572803</v>
      </c>
      <c r="O10" s="57">
        <v>1.4654595860321899E-3</v>
      </c>
      <c r="P10" s="57">
        <v>0.393983315768616</v>
      </c>
      <c r="Q10" s="57">
        <v>0.53975274066446899</v>
      </c>
      <c r="R10" s="57">
        <v>0</v>
      </c>
      <c r="S10" s="57">
        <v>0.59680719831953299</v>
      </c>
      <c r="T10" s="57">
        <v>0.995109091481307</v>
      </c>
      <c r="U10" s="57">
        <v>0.89881178197035905</v>
      </c>
      <c r="V10" s="57">
        <v>8.8609534730571995E-2</v>
      </c>
      <c r="W10" s="57">
        <v>0.99409544362691504</v>
      </c>
      <c r="X10" s="57">
        <v>5.9045563730843499E-3</v>
      </c>
      <c r="Y10" s="57">
        <v>0.98336518772562698</v>
      </c>
      <c r="Z10" s="57">
        <v>1.07302559012877E-2</v>
      </c>
      <c r="AA10" s="57">
        <v>5.0841820342619696E-3</v>
      </c>
      <c r="AB10" s="57">
        <v>8.2037433882238401E-4</v>
      </c>
      <c r="AC10" s="57">
        <v>6.0388559990174699E-5</v>
      </c>
    </row>
    <row r="11" spans="1:29">
      <c r="A11" t="s">
        <v>45</v>
      </c>
      <c r="B11" s="64">
        <v>107563</v>
      </c>
      <c r="C11" s="64">
        <v>23204440894.529999</v>
      </c>
      <c r="D11" s="64">
        <v>23801939000</v>
      </c>
      <c r="E11" s="64">
        <v>12.505718981802501</v>
      </c>
      <c r="F11" s="59">
        <v>4.51958030391304</v>
      </c>
      <c r="G11" s="59">
        <v>4.5195802139696903</v>
      </c>
      <c r="H11" s="65">
        <v>76.213677098987006</v>
      </c>
      <c r="I11" s="65">
        <v>77.015588711609695</v>
      </c>
      <c r="J11" s="65">
        <v>71.710370688618696</v>
      </c>
      <c r="K11" s="65">
        <v>34.480601611133302</v>
      </c>
      <c r="L11" s="65">
        <v>752.26310007983204</v>
      </c>
      <c r="M11" s="64">
        <v>284854.19919722702</v>
      </c>
      <c r="N11" s="57">
        <v>0</v>
      </c>
      <c r="O11" s="57">
        <v>6.4889682685478803E-2</v>
      </c>
      <c r="P11" s="57">
        <v>0.193494976380509</v>
      </c>
      <c r="Q11" s="57">
        <v>0.552612513181163</v>
      </c>
      <c r="R11" s="57">
        <v>3.4019637397774402E-2</v>
      </c>
      <c r="S11" s="57">
        <v>0.61989908816940498</v>
      </c>
      <c r="T11" s="57">
        <v>0.84966590518488505</v>
      </c>
      <c r="U11" s="57">
        <v>0.67181533554444794</v>
      </c>
      <c r="V11" s="57">
        <v>0.13026393858869201</v>
      </c>
      <c r="W11" s="57">
        <v>0.996450836103557</v>
      </c>
      <c r="X11" s="57">
        <v>3.5491638964424998E-3</v>
      </c>
      <c r="Y11" s="57">
        <v>0.98926828604007799</v>
      </c>
      <c r="Z11" s="57">
        <v>7.1825500634789497E-3</v>
      </c>
      <c r="AA11" s="57">
        <v>3.4281744029761099E-3</v>
      </c>
      <c r="AB11" s="57">
        <v>1.20989493466391E-4</v>
      </c>
      <c r="AC11" s="57">
        <v>0</v>
      </c>
    </row>
    <row r="12" spans="1:29">
      <c r="A12" t="s">
        <v>46</v>
      </c>
      <c r="B12" s="64">
        <v>132605</v>
      </c>
      <c r="C12" s="64">
        <v>30902656949.099998</v>
      </c>
      <c r="D12" s="64">
        <v>33002088000</v>
      </c>
      <c r="E12" s="64">
        <v>31.459982571827801</v>
      </c>
      <c r="F12" s="59">
        <v>3.6653300358472798</v>
      </c>
      <c r="G12" s="59">
        <v>3.66533024624965</v>
      </c>
      <c r="H12" s="65">
        <v>74.468186906887297</v>
      </c>
      <c r="I12" s="65">
        <v>75.489855449732801</v>
      </c>
      <c r="J12" s="65">
        <v>60.817591198192297</v>
      </c>
      <c r="K12" s="65">
        <v>31.9957291431604</v>
      </c>
      <c r="L12" s="65">
        <v>766.36911300325505</v>
      </c>
      <c r="M12" s="64">
        <v>314581.67473241698</v>
      </c>
      <c r="N12" s="57">
        <v>0</v>
      </c>
      <c r="O12" s="57">
        <v>9.5284311467456306E-2</v>
      </c>
      <c r="P12" s="57">
        <v>8.1393873836251296E-2</v>
      </c>
      <c r="Q12" s="57">
        <v>0.623578599544374</v>
      </c>
      <c r="R12" s="57">
        <v>2.5401029397339899E-2</v>
      </c>
      <c r="S12" s="57">
        <v>0.70198675552012002</v>
      </c>
      <c r="T12" s="57">
        <v>0.89209194671019598</v>
      </c>
      <c r="U12" s="57">
        <v>0.30733603070614202</v>
      </c>
      <c r="V12" s="57">
        <v>0.125649778648663</v>
      </c>
      <c r="W12" s="57">
        <v>0.99881651417513195</v>
      </c>
      <c r="X12" s="57">
        <v>1.1834858248674E-3</v>
      </c>
      <c r="Y12" s="57">
        <v>0.99783014810213699</v>
      </c>
      <c r="Z12" s="57">
        <v>9.8636607299514793E-4</v>
      </c>
      <c r="AA12" s="57">
        <v>1.1292800430551999E-3</v>
      </c>
      <c r="AB12" s="57">
        <v>5.4205781812194099E-5</v>
      </c>
      <c r="AC12" s="57">
        <v>0</v>
      </c>
    </row>
    <row r="13" spans="1:29">
      <c r="A13" t="s">
        <v>60</v>
      </c>
      <c r="B13" s="64">
        <v>141967</v>
      </c>
      <c r="C13" s="64">
        <v>31928168573.73</v>
      </c>
      <c r="D13" s="64">
        <v>32518882000</v>
      </c>
      <c r="E13" s="64">
        <v>8.7545979936163096</v>
      </c>
      <c r="F13" s="59">
        <v>4.37955953225784</v>
      </c>
      <c r="G13" s="59">
        <v>4.37955953225784</v>
      </c>
      <c r="H13" s="65">
        <v>75.9572137273572</v>
      </c>
      <c r="I13" s="65">
        <v>76.871091511166497</v>
      </c>
      <c r="J13" s="65">
        <v>73.487001855973404</v>
      </c>
      <c r="K13" s="65">
        <v>34.626370253664803</v>
      </c>
      <c r="L13" s="65">
        <v>751.69752539868705</v>
      </c>
      <c r="M13" s="64">
        <v>294182.62573164701</v>
      </c>
      <c r="N13" s="57">
        <v>0</v>
      </c>
      <c r="O13" s="57">
        <v>7.5041649686457199E-2</v>
      </c>
      <c r="P13" s="57">
        <v>0.17036935063997299</v>
      </c>
      <c r="Q13" s="57">
        <v>0.55562806941129494</v>
      </c>
      <c r="R13" s="57">
        <v>3.3118285136154502E-2</v>
      </c>
      <c r="S13" s="57">
        <v>0.62772848756475197</v>
      </c>
      <c r="T13" s="57">
        <v>0.85505301200809303</v>
      </c>
      <c r="U13" s="57">
        <v>0.61957617450367197</v>
      </c>
      <c r="V13" s="57">
        <v>0.121193763642733</v>
      </c>
      <c r="W13" s="57">
        <v>0.99820730528067003</v>
      </c>
      <c r="X13" s="57">
        <v>1.79269471932988E-3</v>
      </c>
      <c r="Y13" s="57">
        <v>0.99820730528067003</v>
      </c>
      <c r="Z13" s="57">
        <v>0</v>
      </c>
      <c r="AA13" s="57">
        <v>1.79269471932988E-3</v>
      </c>
      <c r="AB13" s="57">
        <v>0</v>
      </c>
      <c r="AC13" s="57">
        <v>0</v>
      </c>
    </row>
    <row r="14" spans="1:29">
      <c r="A14" t="s">
        <v>47</v>
      </c>
      <c r="B14" s="64">
        <v>71306</v>
      </c>
      <c r="C14" s="64">
        <v>15307704367.93</v>
      </c>
      <c r="D14" s="64">
        <v>15648312000</v>
      </c>
      <c r="E14" s="64">
        <v>12.4578112545452</v>
      </c>
      <c r="F14" s="59">
        <v>4.5402168157034204</v>
      </c>
      <c r="G14" s="59">
        <v>4.5402168157034204</v>
      </c>
      <c r="H14" s="65">
        <v>92.482191295939998</v>
      </c>
      <c r="I14" s="65">
        <v>92.489408970936495</v>
      </c>
      <c r="J14" s="65">
        <v>87.411302845692205</v>
      </c>
      <c r="K14" s="65">
        <v>34.741520116496403</v>
      </c>
      <c r="L14" s="65">
        <v>748.17364565155799</v>
      </c>
      <c r="M14" s="64">
        <v>261492.37113095701</v>
      </c>
      <c r="N14" s="57">
        <v>0.99829433543773505</v>
      </c>
      <c r="O14" s="57">
        <v>1.16631951734081E-3</v>
      </c>
      <c r="P14" s="57">
        <v>0.405933977118626</v>
      </c>
      <c r="Q14" s="57">
        <v>0.54599575686868296</v>
      </c>
      <c r="R14" s="57">
        <v>0</v>
      </c>
      <c r="S14" s="57">
        <v>0.59745977775482295</v>
      </c>
      <c r="T14" s="57">
        <v>0.99488595389952705</v>
      </c>
      <c r="U14" s="57">
        <v>0.92472485564954598</v>
      </c>
      <c r="V14" s="57">
        <v>0.10252488746503099</v>
      </c>
      <c r="W14" s="57">
        <v>0.99735016690451705</v>
      </c>
      <c r="X14" s="57">
        <v>2.6498330954822999E-3</v>
      </c>
      <c r="Y14" s="57">
        <v>0.99352357934951296</v>
      </c>
      <c r="Z14" s="57">
        <v>3.8265875550039098E-3</v>
      </c>
      <c r="AA14" s="57">
        <v>2.5400054061311701E-3</v>
      </c>
      <c r="AB14" s="57">
        <v>1.09827689351133E-4</v>
      </c>
      <c r="AC14" s="57">
        <v>0</v>
      </c>
    </row>
    <row r="15" spans="1:29">
      <c r="A15" t="s">
        <v>48</v>
      </c>
      <c r="B15" s="64">
        <v>134396</v>
      </c>
      <c r="C15" s="64">
        <v>29531552788.639999</v>
      </c>
      <c r="D15" s="64">
        <v>31002448000</v>
      </c>
      <c r="E15" s="64">
        <v>25.214556203141999</v>
      </c>
      <c r="F15" s="59">
        <v>3.7955551703555699</v>
      </c>
      <c r="G15" s="59">
        <v>3.7955551703555699</v>
      </c>
      <c r="H15" s="65">
        <v>91.535120058433805</v>
      </c>
      <c r="I15" s="65">
        <v>91.560280840275496</v>
      </c>
      <c r="J15" s="65">
        <v>79.431489742485397</v>
      </c>
      <c r="K15" s="65">
        <v>33.120655391504499</v>
      </c>
      <c r="L15" s="65">
        <v>757.39548421027405</v>
      </c>
      <c r="M15" s="64">
        <v>274143.878702202</v>
      </c>
      <c r="N15" s="57">
        <v>0.99931025504362103</v>
      </c>
      <c r="O15" s="57">
        <v>4.0987360788749799E-3</v>
      </c>
      <c r="P15" s="57">
        <v>0.29779204123505798</v>
      </c>
      <c r="Q15" s="57">
        <v>0.56770692301486902</v>
      </c>
      <c r="R15" s="57">
        <v>0</v>
      </c>
      <c r="S15" s="57">
        <v>0.62065396964668296</v>
      </c>
      <c r="T15" s="57">
        <v>0.99606576875447195</v>
      </c>
      <c r="U15" s="57">
        <v>0.71654250149351795</v>
      </c>
      <c r="V15" s="57">
        <v>7.6888101069763196E-2</v>
      </c>
      <c r="W15" s="57">
        <v>0.99833313405589197</v>
      </c>
      <c r="X15" s="57">
        <v>1.6668659441076001E-3</v>
      </c>
      <c r="Y15" s="57">
        <v>0.99761597253913803</v>
      </c>
      <c r="Z15" s="57">
        <v>7.1716151675393599E-4</v>
      </c>
      <c r="AA15" s="57">
        <v>1.6668659441076001E-3</v>
      </c>
      <c r="AB15" s="57">
        <v>0</v>
      </c>
      <c r="AC15" s="57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24</vt:i4>
      </vt:variant>
    </vt:vector>
  </HeadingPairs>
  <TitlesOfParts>
    <vt:vector size="30" baseType="lpstr">
      <vt:lpstr>Report</vt:lpstr>
      <vt:lpstr>Report Page1</vt:lpstr>
      <vt:lpstr>Report Page2</vt:lpstr>
      <vt:lpstr>Report (2)</vt:lpstr>
      <vt:lpstr>Performance</vt:lpstr>
      <vt:lpstr>Origination</vt:lpstr>
      <vt:lpstr>Report!CurrentCloseDate</vt:lpstr>
      <vt:lpstr>'Report (2)'!CurrentCloseDate</vt:lpstr>
      <vt:lpstr>'Report Page2'!CurrentCloseDate</vt:lpstr>
      <vt:lpstr>CurrentCloseDate</vt:lpstr>
      <vt:lpstr>Report!DatabaseEnv</vt:lpstr>
      <vt:lpstr>'Report (2)'!DatabaseEnv</vt:lpstr>
      <vt:lpstr>'Report Page2'!DatabaseEnv</vt:lpstr>
      <vt:lpstr>DatabaseEnv</vt:lpstr>
      <vt:lpstr>Report!PDFReportDir</vt:lpstr>
      <vt:lpstr>'Report (2)'!PDFReportDir</vt:lpstr>
      <vt:lpstr>'Report Page2'!PDFReportDir</vt:lpstr>
      <vt:lpstr>PDFReportDir</vt:lpstr>
      <vt:lpstr>Report!PDFReportName</vt:lpstr>
      <vt:lpstr>'Report (2)'!PDFReportName</vt:lpstr>
      <vt:lpstr>'Report Page2'!PDFReportName</vt:lpstr>
      <vt:lpstr>PDFReportName</vt:lpstr>
      <vt:lpstr>Report!Print_Area</vt:lpstr>
      <vt:lpstr>'Report (2)'!Print_Area</vt:lpstr>
      <vt:lpstr>'Report Page1'!Print_Area</vt:lpstr>
      <vt:lpstr>'Report Page2'!Print_Area</vt:lpstr>
      <vt:lpstr>Report!SaveRatesToDB</vt:lpstr>
      <vt:lpstr>'Report (2)'!SaveRatesToDB</vt:lpstr>
      <vt:lpstr>'Report Page2'!SaveRatesToDB</vt:lpstr>
      <vt:lpstr>SaveRatesToDB</vt:lpstr>
    </vt:vector>
  </TitlesOfParts>
  <Company>Hewlett-Packard Company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Lien Chen</dc:creator>
  <cp:lastModifiedBy>Lien Chen</cp:lastModifiedBy>
  <cp:lastPrinted>2015-07-29T21:04:36Z</cp:lastPrinted>
  <dcterms:created xsi:type="dcterms:W3CDTF">2015-03-12T13:39:23Z</dcterms:created>
  <dcterms:modified xsi:type="dcterms:W3CDTF">2015-07-29T21:19:20Z</dcterms:modified>
</cp:coreProperties>
</file>