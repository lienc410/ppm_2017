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 activeTab="3"/>
  </bookViews>
  <sheets>
    <sheet name="Report" sheetId="7" r:id="rId1"/>
    <sheet name="Report (3)" sheetId="14" r:id="rId2"/>
    <sheet name="Report (2)" sheetId="9" r:id="rId3"/>
    <sheet name="Performance" sheetId="8" r:id="rId4"/>
    <sheet name="Origination" sheetId="10" r:id="rId5"/>
    <sheet name="Deal Detail" sheetId="11" r:id="rId6"/>
    <sheet name="Projection" sheetId="12" r:id="rId7"/>
  </sheets>
  <functionGroups builtInGroupCount="17"/>
  <externalReferences>
    <externalReference r:id="rId8"/>
  </externalReferences>
  <definedNames>
    <definedName name="CurrentCloseDate" localSheetId="0">Report!$AJ$2</definedName>
    <definedName name="DatabaseEnv" localSheetId="0">Report!$AJ$1</definedName>
    <definedName name="PDFReportDir" localSheetId="0">Report!$AJ$3</definedName>
    <definedName name="PDFReportName" localSheetId="0">Report!$AJ$4</definedName>
    <definedName name="_xlnm.Print_Area" localSheetId="0">Report!$C$1:$AF$74</definedName>
    <definedName name="_xlnm.Print_Area" localSheetId="2">'Report (2)'!$A$1:$V$64</definedName>
    <definedName name="_xlnm.Print_Area" localSheetId="1">'Report (3)'!$B$1:$R$46</definedName>
    <definedName name="SaveRatesToDB" localSheetId="0">Report!$AL$1</definedName>
  </definedNames>
  <calcPr calcId="145621"/>
  <pivotCaches>
    <pivotCache cacheId="29" r:id="rId9"/>
    <pivotCache cacheId="30" r:id="rId10"/>
  </pivotCaches>
</workbook>
</file>

<file path=xl/calcChain.xml><?xml version="1.0" encoding="utf-8"?>
<calcChain xmlns="http://schemas.openxmlformats.org/spreadsheetml/2006/main">
  <c r="J433" i="12" l="1"/>
  <c r="J432" i="12"/>
  <c r="J431" i="12"/>
  <c r="J430" i="12"/>
  <c r="J429" i="12"/>
  <c r="J428" i="12"/>
  <c r="J427" i="12"/>
  <c r="J426" i="12"/>
  <c r="J425" i="12"/>
  <c r="J424" i="12"/>
  <c r="J423" i="12"/>
  <c r="J422" i="12"/>
  <c r="J421" i="12"/>
  <c r="J420" i="12"/>
  <c r="J419" i="12"/>
  <c r="J418" i="12"/>
  <c r="J417" i="12"/>
  <c r="J416" i="12"/>
  <c r="J415" i="12"/>
  <c r="J414" i="12"/>
  <c r="J413" i="12"/>
  <c r="J412" i="12"/>
  <c r="J411" i="12"/>
  <c r="J410" i="12"/>
  <c r="J409" i="12"/>
  <c r="J408" i="12"/>
  <c r="J407" i="12"/>
  <c r="J406" i="12"/>
  <c r="J405" i="12"/>
  <c r="J404" i="12"/>
  <c r="J403" i="12"/>
  <c r="J402" i="12"/>
  <c r="J401" i="12"/>
  <c r="J400" i="12"/>
  <c r="J399" i="12"/>
  <c r="J398" i="12"/>
  <c r="J397" i="12"/>
  <c r="J396" i="12"/>
  <c r="J395" i="12"/>
  <c r="J394" i="12"/>
  <c r="J393" i="12"/>
  <c r="J392" i="12"/>
  <c r="J391" i="12"/>
  <c r="J390" i="12"/>
  <c r="J389" i="12"/>
  <c r="J388" i="12"/>
  <c r="J387" i="12"/>
  <c r="J386" i="12"/>
  <c r="J385" i="12"/>
  <c r="J384" i="12"/>
  <c r="J383" i="12"/>
  <c r="J382" i="12"/>
  <c r="J381" i="12"/>
  <c r="J380" i="12"/>
  <c r="J379" i="12"/>
  <c r="J378" i="12"/>
  <c r="J377" i="12"/>
  <c r="J376" i="12"/>
  <c r="J375" i="12"/>
  <c r="J374" i="12"/>
  <c r="J373" i="12"/>
  <c r="J372" i="12"/>
  <c r="J371" i="12"/>
  <c r="J370" i="12"/>
  <c r="J369" i="12"/>
  <c r="J368" i="12"/>
  <c r="J367" i="12"/>
  <c r="J366" i="12"/>
  <c r="J365" i="12"/>
  <c r="J364" i="12"/>
  <c r="J363" i="12"/>
  <c r="J362" i="12"/>
  <c r="J361" i="12"/>
  <c r="J360" i="12"/>
  <c r="J359" i="12"/>
  <c r="J358" i="12"/>
  <c r="J357" i="12"/>
  <c r="J356" i="12"/>
  <c r="J355" i="12"/>
  <c r="J354" i="12"/>
  <c r="J353" i="12"/>
  <c r="J352" i="12"/>
  <c r="J351" i="12"/>
  <c r="J350" i="12"/>
  <c r="J349" i="12"/>
  <c r="J348" i="12"/>
  <c r="J347" i="12"/>
  <c r="J346" i="12"/>
  <c r="J345" i="12"/>
  <c r="J344" i="12"/>
  <c r="J343" i="12"/>
  <c r="J342" i="12"/>
  <c r="J341" i="12"/>
  <c r="J340" i="12"/>
  <c r="J339" i="12"/>
  <c r="J338" i="12"/>
  <c r="J337" i="12"/>
  <c r="J336" i="12"/>
  <c r="J335" i="12"/>
  <c r="J334" i="12"/>
  <c r="J333" i="12"/>
  <c r="J332" i="12"/>
  <c r="J331" i="12"/>
  <c r="J330" i="12"/>
  <c r="J329" i="12"/>
  <c r="J328" i="12"/>
  <c r="J327" i="12"/>
  <c r="J326" i="12"/>
  <c r="J325" i="12"/>
  <c r="J324" i="12"/>
  <c r="J323" i="12"/>
  <c r="J322" i="12"/>
  <c r="J321" i="12"/>
  <c r="J320" i="12"/>
  <c r="J319" i="12"/>
  <c r="J318" i="12"/>
  <c r="J317" i="12"/>
  <c r="J316" i="12"/>
  <c r="J315" i="12"/>
  <c r="J314" i="12"/>
  <c r="J313" i="12"/>
  <c r="J312" i="12"/>
  <c r="J311" i="12"/>
  <c r="J310" i="12"/>
  <c r="J309" i="12"/>
  <c r="J308" i="12"/>
  <c r="J307" i="12"/>
  <c r="J306" i="12"/>
  <c r="J305" i="12"/>
  <c r="J304" i="12"/>
  <c r="J303" i="12"/>
  <c r="J302" i="12"/>
  <c r="J301" i="12"/>
  <c r="J300" i="12"/>
  <c r="J299" i="12"/>
  <c r="J298" i="12"/>
  <c r="J297" i="12"/>
  <c r="J296" i="12"/>
  <c r="J295" i="12"/>
  <c r="J294" i="12"/>
  <c r="J293" i="12"/>
  <c r="J292" i="12"/>
  <c r="J291" i="12"/>
  <c r="J290" i="12"/>
  <c r="J289" i="12"/>
  <c r="J288" i="12"/>
  <c r="J287" i="12"/>
  <c r="J286" i="12"/>
  <c r="J285" i="12"/>
  <c r="J284" i="12"/>
  <c r="J283" i="12"/>
  <c r="J282" i="12"/>
  <c r="J281" i="12"/>
  <c r="J280" i="12"/>
  <c r="J279" i="12"/>
  <c r="J278" i="12"/>
  <c r="J277" i="12"/>
  <c r="J276" i="12"/>
  <c r="J275" i="12"/>
  <c r="J274" i="12"/>
  <c r="J273" i="12"/>
  <c r="J272" i="12"/>
  <c r="J271" i="12"/>
  <c r="J270" i="12"/>
  <c r="J269" i="12"/>
  <c r="J268" i="12"/>
  <c r="J267" i="12"/>
  <c r="J266" i="12"/>
  <c r="J265" i="12"/>
  <c r="J264" i="12"/>
  <c r="J263" i="12"/>
  <c r="J262" i="12"/>
  <c r="J261" i="12"/>
  <c r="J260" i="12"/>
  <c r="J259" i="12"/>
  <c r="J258" i="12"/>
  <c r="J257" i="12"/>
  <c r="J256" i="12"/>
  <c r="J255" i="12"/>
  <c r="J254" i="12"/>
  <c r="J253" i="12"/>
  <c r="J252" i="12"/>
  <c r="J251" i="12"/>
  <c r="J250" i="12"/>
  <c r="J249" i="12"/>
  <c r="J248" i="12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J173" i="12"/>
  <c r="J172" i="12"/>
  <c r="J171" i="12"/>
  <c r="J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AJ4" i="7"/>
</calcChain>
</file>

<file path=xl/sharedStrings.xml><?xml version="1.0" encoding="utf-8"?>
<sst xmlns="http://schemas.openxmlformats.org/spreadsheetml/2006/main" count="3088" uniqueCount="137">
  <si>
    <t>Database Env</t>
  </si>
  <si>
    <t>Save Data to DB</t>
  </si>
  <si>
    <t>As of Date</t>
  </si>
  <si>
    <t>Report Name</t>
  </si>
  <si>
    <t>No</t>
  </si>
  <si>
    <t>Report Folder</t>
  </si>
  <si>
    <t>PROD</t>
  </si>
  <si>
    <t>S:\IT\Production\Daily Reports\Primary Market\tmp\</t>
  </si>
  <si>
    <t>Check Update:</t>
  </si>
  <si>
    <t>http://portal.hud.gov/hudportal/HUD?src=/program_offices/housing/hsgrroom/fhaprodrpt</t>
  </si>
  <si>
    <t>CPR %</t>
  </si>
  <si>
    <t>CDR %</t>
  </si>
  <si>
    <t>Sum of CPR</t>
  </si>
  <si>
    <t>Column Labels</t>
  </si>
  <si>
    <t>Row Labels</t>
  </si>
  <si>
    <t>FHL13DN01</t>
  </si>
  <si>
    <t>FHL13DN02</t>
  </si>
  <si>
    <t>FHL14DN01</t>
  </si>
  <si>
    <t>FHL14DN02</t>
  </si>
  <si>
    <t>FHL14DN03</t>
  </si>
  <si>
    <t>FHL14DN04</t>
  </si>
  <si>
    <t>FHL14HQ01</t>
  </si>
  <si>
    <t>FHL14HQ02</t>
  </si>
  <si>
    <t>FHL14HQ03</t>
  </si>
  <si>
    <t>FHL15DN01</t>
  </si>
  <si>
    <t>FHL15DNA1</t>
  </si>
  <si>
    <t>FHL15HQ01</t>
  </si>
  <si>
    <t>FHL15HQ02</t>
  </si>
  <si>
    <t>Sum of cum_df_pct</t>
  </si>
  <si>
    <t>Sum of pct_dq</t>
  </si>
  <si>
    <t>DealID</t>
  </si>
  <si>
    <t>beginDate</t>
  </si>
  <si>
    <t>CPR</t>
  </si>
  <si>
    <t>CDR</t>
  </si>
  <si>
    <t>pct_dq</t>
  </si>
  <si>
    <t>cum_pp_pct</t>
  </si>
  <si>
    <t>cum_df_pct</t>
  </si>
  <si>
    <t>FHL15DNA2</t>
  </si>
  <si>
    <t>Cumulative Default Rate %</t>
  </si>
  <si>
    <t>Delinquency %</t>
  </si>
  <si>
    <t>CurrentLoanCount</t>
  </si>
  <si>
    <t>CurrentBalance</t>
  </si>
  <si>
    <t>OriginalBalance</t>
  </si>
  <si>
    <t>loanCount</t>
  </si>
  <si>
    <t>currentBalance</t>
  </si>
  <si>
    <t>prepaymentBalance</t>
  </si>
  <si>
    <t>defaultBalance</t>
  </si>
  <si>
    <t>cum_prepayment</t>
  </si>
  <si>
    <t>cum_default</t>
  </si>
  <si>
    <t>Cum Prepay %</t>
  </si>
  <si>
    <t>Cum Default %</t>
  </si>
  <si>
    <t>type</t>
  </si>
  <si>
    <t>period</t>
  </si>
  <si>
    <t>bucket</t>
  </si>
  <si>
    <t>bucket.val</t>
  </si>
  <si>
    <t>metric</t>
  </si>
  <si>
    <t>metric.val</t>
  </si>
  <si>
    <t>File</t>
  </si>
  <si>
    <t>Scenario</t>
  </si>
  <si>
    <t>Proj</t>
  </si>
  <si>
    <t>Period</t>
  </si>
  <si>
    <t>ALL</t>
  </si>
  <si>
    <t>Single Month Mortality</t>
  </si>
  <si>
    <t>CRT_STACR_2013-DN1_2015-06-01</t>
  </si>
  <si>
    <t>Sev</t>
  </si>
  <si>
    <t>Monthly Default Rate</t>
  </si>
  <si>
    <t>Flat</t>
  </si>
  <si>
    <t>Base</t>
  </si>
  <si>
    <t>Grand Total</t>
  </si>
  <si>
    <t>firstTimeHomeBuyer</t>
  </si>
  <si>
    <t>multiple_borrowers</t>
  </si>
  <si>
    <t>multiple_units</t>
  </si>
  <si>
    <t>sfr</t>
  </si>
  <si>
    <t>owner</t>
  </si>
  <si>
    <t>purchase</t>
  </si>
  <si>
    <t>broker</t>
  </si>
  <si>
    <t>current</t>
  </si>
  <si>
    <t>delinquent</t>
  </si>
  <si>
    <t>APL</t>
  </si>
  <si>
    <t>RPL</t>
  </si>
  <si>
    <t>earlyNPL</t>
  </si>
  <si>
    <t>mi</t>
  </si>
  <si>
    <t>lateNPL</t>
  </si>
  <si>
    <t>2nd</t>
  </si>
  <si>
    <t>modified</t>
  </si>
  <si>
    <t>loanAge</t>
  </si>
  <si>
    <t>origNoteRate</t>
  </si>
  <si>
    <t>currentNoteRate</t>
  </si>
  <si>
    <t>origLTV</t>
  </si>
  <si>
    <t>origCLTV</t>
  </si>
  <si>
    <t>currentLTV</t>
  </si>
  <si>
    <t>origDTI</t>
  </si>
  <si>
    <t>origFICO</t>
  </si>
  <si>
    <t>origLoanSize</t>
  </si>
  <si>
    <t>Distribution</t>
  </si>
  <si>
    <t>Annualized</t>
  </si>
  <si>
    <t>Sum of Annualized</t>
  </si>
  <si>
    <t xml:space="preserve">Note: </t>
  </si>
  <si>
    <t xml:space="preserve">           Mortgage rate unchanged for the first year, then down 25 bps each year for 2 years, then unchanged for the following years</t>
  </si>
  <si>
    <t xml:space="preserve"> CurrentLoanCount </t>
  </si>
  <si>
    <t xml:space="preserve"> CurrentBalance </t>
  </si>
  <si>
    <t xml:space="preserve"> OriginalBalance </t>
  </si>
  <si>
    <t xml:space="preserve"> loanAge </t>
  </si>
  <si>
    <t xml:space="preserve"> origNoteRate </t>
  </si>
  <si>
    <t xml:space="preserve"> currentNoteRate </t>
  </si>
  <si>
    <t xml:space="preserve"> origLTV </t>
  </si>
  <si>
    <t xml:space="preserve"> origCLTV </t>
  </si>
  <si>
    <t xml:space="preserve"> currentLTV </t>
  </si>
  <si>
    <t xml:space="preserve"> origDTI </t>
  </si>
  <si>
    <t xml:space="preserve"> origFICO </t>
  </si>
  <si>
    <t xml:space="preserve"> origLoanSize </t>
  </si>
  <si>
    <t>Base: HPA increased by 3% each year, Mortgage rate unchanged</t>
  </si>
  <si>
    <t>Flat:   HPA unchanged, Mortgage rate unchanged</t>
  </si>
  <si>
    <t xml:space="preserve">Sev:    HPA down 13% each year for the first 2 years, then unchange for the following yearsl; </t>
  </si>
  <si>
    <t>Current Balance (M)</t>
  </si>
  <si>
    <t>Original Balance (M)</t>
  </si>
  <si>
    <t xml:space="preserve">Loan Age </t>
  </si>
  <si>
    <t xml:space="preserve">Orig Note Rate </t>
  </si>
  <si>
    <t xml:space="preserve">Current Note Rate </t>
  </si>
  <si>
    <t xml:space="preserve">Orig LTV </t>
  </si>
  <si>
    <t xml:space="preserve">Orig CLTV </t>
  </si>
  <si>
    <t xml:space="preserve">Current LTV </t>
  </si>
  <si>
    <t xml:space="preserve">Orig DTI </t>
  </si>
  <si>
    <t xml:space="preserve">Orig FICO </t>
  </si>
  <si>
    <t xml:space="preserve">Orig Loan Size </t>
  </si>
  <si>
    <t>MI</t>
  </si>
  <si>
    <t>First Time Home Buyer</t>
  </si>
  <si>
    <t>Multiple Borrowers</t>
  </si>
  <si>
    <t>Multiple Units</t>
  </si>
  <si>
    <t>Single Family Residence</t>
  </si>
  <si>
    <t>Owner</t>
  </si>
  <si>
    <t>Purchase</t>
  </si>
  <si>
    <t>Broker</t>
  </si>
  <si>
    <t>Current</t>
  </si>
  <si>
    <t>Delinquent</t>
  </si>
  <si>
    <t>Early NPL</t>
  </si>
  <si>
    <t>Modified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</si>
</sst>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  <numFmt numFmtId="198" formatCode="0.0%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B3275C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E398A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8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3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9" borderId="0" applyNumberFormat="0" applyBorder="0" applyAlignment="0" applyProtection="0"/>
    <xf numFmtId="0" fontId="11" fillId="15" borderId="0" applyNumberFormat="0" applyBorder="0" applyAlignment="0" applyProtection="0"/>
    <xf numFmtId="0" fontId="12" fillId="20" borderId="0" applyNumberFormat="0" applyBorder="0" applyAlignment="0" applyProtection="0"/>
    <xf numFmtId="0" fontId="13" fillId="12" borderId="0" applyNumberFormat="0" applyBorder="0" applyAlignment="0" applyProtection="0"/>
    <xf numFmtId="0" fontId="11" fillId="17" borderId="0" applyNumberFormat="0" applyBorder="0" applyAlignment="0" applyProtection="0"/>
    <xf numFmtId="0" fontId="12" fillId="14" borderId="0" applyNumberFormat="0" applyBorder="0" applyAlignment="0" applyProtection="0"/>
    <xf numFmtId="0" fontId="13" fillId="1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9" borderId="0" applyNumberFormat="0" applyBorder="0" applyAlignment="0" applyProtection="0"/>
    <xf numFmtId="0" fontId="14" fillId="15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2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27" borderId="0" applyNumberFormat="0" applyBorder="0" applyAlignment="0" applyProtection="0"/>
    <xf numFmtId="0" fontId="14" fillId="22" borderId="0" applyNumberFormat="0" applyBorder="0" applyAlignment="0" applyProtection="0"/>
    <xf numFmtId="0" fontId="15" fillId="28" borderId="0" applyNumberFormat="0" applyBorder="0" applyAlignment="0" applyProtection="0"/>
    <xf numFmtId="0" fontId="16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0" borderId="0" applyNumberFormat="0" applyBorder="0" applyAlignment="0" applyProtection="0"/>
    <xf numFmtId="0" fontId="14" fillId="32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4" fillId="28" borderId="0" applyNumberFormat="0" applyBorder="0" applyAlignment="0" applyProtection="0"/>
    <xf numFmtId="0" fontId="15" fillId="28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32" borderId="0" applyNumberFormat="0" applyBorder="0" applyAlignment="0" applyProtection="0"/>
    <xf numFmtId="0" fontId="16" fillId="22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38" fontId="20" fillId="11" borderId="0"/>
    <xf numFmtId="0" fontId="21" fillId="0" borderId="0" applyNumberFormat="0" applyFill="0" applyBorder="0" applyAlignment="0" applyProtection="0"/>
    <xf numFmtId="0" fontId="22" fillId="34" borderId="0">
      <alignment horizontal="left"/>
    </xf>
    <xf numFmtId="2" fontId="23" fillId="35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6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1" borderId="7" applyNumberFormat="0" applyAlignment="0" applyProtection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37" borderId="8" applyNumberFormat="0"/>
    <xf numFmtId="0" fontId="32" fillId="38" borderId="9" applyBorder="0">
      <alignment horizontal="center" wrapText="1"/>
    </xf>
    <xf numFmtId="0" fontId="32" fillId="39" borderId="9" applyBorder="0">
      <alignment horizontal="center" wrapText="1"/>
    </xf>
    <xf numFmtId="0" fontId="33" fillId="40" borderId="8" applyNumberFormat="0"/>
    <xf numFmtId="0" fontId="34" fillId="41" borderId="8" applyNumberFormat="0"/>
    <xf numFmtId="0" fontId="3" fillId="41" borderId="8" applyNumberFormat="0"/>
    <xf numFmtId="0" fontId="33" fillId="40" borderId="8" applyNumberFormat="0"/>
    <xf numFmtId="0" fontId="34" fillId="40" borderId="8" applyNumberFormat="0"/>
    <xf numFmtId="0" fontId="33" fillId="37" borderId="8" applyNumberFormat="0"/>
    <xf numFmtId="0" fontId="31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5" fillId="40" borderId="10" applyNumberFormat="0" applyAlignment="0"/>
    <xf numFmtId="14" fontId="35" fillId="41" borderId="10" applyNumberFormat="0" applyAlignment="0"/>
    <xf numFmtId="14" fontId="36" fillId="41" borderId="10" applyNumberFormat="0" applyAlignment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1" borderId="0"/>
    <xf numFmtId="14" fontId="12" fillId="0" borderId="0" applyFill="0" applyBorder="0" applyAlignment="0"/>
    <xf numFmtId="0" fontId="45" fillId="35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8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1" borderId="0"/>
    <xf numFmtId="0" fontId="56" fillId="10" borderId="0" applyNumberFormat="0" applyBorder="0" applyAlignment="0" applyProtection="0"/>
    <xf numFmtId="0" fontId="57" fillId="14" borderId="0" applyNumberFormat="0" applyBorder="0" applyAlignment="0" applyProtection="0"/>
    <xf numFmtId="0" fontId="58" fillId="10" borderId="0" applyNumberFormat="0" applyBorder="0" applyAlignment="0" applyProtection="0"/>
    <xf numFmtId="2" fontId="59" fillId="35" borderId="6" applyProtection="0">
      <alignment horizontal="left"/>
      <protection locked="0"/>
    </xf>
    <xf numFmtId="38" fontId="40" fillId="43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5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1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4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3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1" borderId="0"/>
    <xf numFmtId="0" fontId="82" fillId="7" borderId="0" applyNumberFormat="0" applyBorder="0" applyAlignment="0" applyProtection="0"/>
    <xf numFmtId="0" fontId="83" fillId="12" borderId="0" applyNumberFormat="0" applyBorder="0" applyAlignment="0" applyProtection="0"/>
    <xf numFmtId="0" fontId="84" fillId="36" borderId="0" applyNumberFormat="0" applyBorder="0" applyAlignment="0" applyProtection="0"/>
    <xf numFmtId="37" fontId="85" fillId="0" borderId="0"/>
    <xf numFmtId="0" fontId="48" fillId="11" borderId="0" applyNumberFormat="0" applyFont="0" applyFill="0" applyBorder="0" applyAlignment="0"/>
    <xf numFmtId="10" fontId="12" fillId="11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1" borderId="0"/>
    <xf numFmtId="0" fontId="9" fillId="41" borderId="0"/>
    <xf numFmtId="0" fontId="9" fillId="0" borderId="0"/>
    <xf numFmtId="0" fontId="9" fillId="0" borderId="0"/>
    <xf numFmtId="0" fontId="33" fillId="40" borderId="0"/>
    <xf numFmtId="0" fontId="33" fillId="40" borderId="0"/>
    <xf numFmtId="0" fontId="33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33" fillId="40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9" borderId="26" applyNumberFormat="0" applyFont="0" applyAlignment="0" applyProtection="0"/>
    <xf numFmtId="0" fontId="88" fillId="9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9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5" borderId="6">
      <alignment horizontal="left"/>
    </xf>
    <xf numFmtId="0" fontId="92" fillId="11" borderId="28" applyNumberFormat="0" applyAlignment="0" applyProtection="0"/>
    <xf numFmtId="0" fontId="93" fillId="13" borderId="28" applyNumberFormat="0" applyAlignment="0" applyProtection="0"/>
    <xf numFmtId="0" fontId="94" fillId="15" borderId="28" applyNumberFormat="0" applyAlignment="0" applyProtection="0"/>
    <xf numFmtId="40" fontId="12" fillId="35" borderId="0">
      <alignment horizontal="right"/>
    </xf>
    <xf numFmtId="0" fontId="95" fillId="44" borderId="0">
      <alignment horizontal="center"/>
    </xf>
    <xf numFmtId="0" fontId="38" fillId="45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3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2" borderId="0">
      <alignment horizontal="left"/>
    </xf>
    <xf numFmtId="0" fontId="103" fillId="0" borderId="31"/>
    <xf numFmtId="187" fontId="23" fillId="9" borderId="0">
      <alignment horizontal="center"/>
    </xf>
    <xf numFmtId="187" fontId="104" fillId="9" borderId="0">
      <alignment horizontal="center"/>
    </xf>
    <xf numFmtId="187" fontId="23" fillId="10" borderId="0">
      <alignment horizontal="center"/>
    </xf>
    <xf numFmtId="0" fontId="23" fillId="9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9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5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6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1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1" borderId="0"/>
    <xf numFmtId="0" fontId="33" fillId="47" borderId="33" applyBorder="0">
      <alignment horizontal="center" wrapText="1"/>
    </xf>
    <xf numFmtId="0" fontId="32" fillId="38" borderId="9" applyBorder="0">
      <alignment horizontal="center" wrapText="1"/>
    </xf>
    <xf numFmtId="0" fontId="33" fillId="48" borderId="9" applyBorder="0">
      <alignment horizontal="center" wrapText="1"/>
    </xf>
    <xf numFmtId="0" fontId="32" fillId="39" borderId="9" applyBorder="0">
      <alignment horizontal="center" wrapText="1"/>
    </xf>
    <xf numFmtId="0" fontId="7" fillId="49" borderId="9" applyBorder="0">
      <alignment horizontal="center" wrapText="1"/>
    </xf>
    <xf numFmtId="0" fontId="32" fillId="50" borderId="9" applyBorder="0">
      <alignment horizontal="center" wrapText="1"/>
    </xf>
    <xf numFmtId="0" fontId="32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1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0" borderId="10"/>
    <xf numFmtId="1" fontId="123" fillId="41" borderId="10"/>
    <xf numFmtId="2" fontId="124" fillId="41" borderId="10"/>
    <xf numFmtId="0" fontId="125" fillId="40" borderId="4" applyNumberFormat="0" applyAlignment="0"/>
    <xf numFmtId="0" fontId="126" fillId="41" borderId="4" applyNumberFormat="0" applyAlignment="0"/>
    <xf numFmtId="1" fontId="127" fillId="41" borderId="10" applyNumberFormat="0"/>
    <xf numFmtId="177" fontId="128" fillId="41" borderId="10" applyNumberFormat="0"/>
    <xf numFmtId="0" fontId="9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7" fillId="0" borderId="0" xfId="0" applyFont="1"/>
    <xf numFmtId="0" fontId="6" fillId="5" borderId="3" xfId="1" applyFont="1" applyBorder="1" applyAlignment="1">
      <alignment horizontal="left"/>
    </xf>
    <xf numFmtId="0" fontId="8" fillId="0" borderId="0" xfId="2"/>
    <xf numFmtId="0" fontId="0" fillId="0" borderId="0" xfId="0" applyAlignment="1">
      <alignment horizontal="center"/>
    </xf>
    <xf numFmtId="0" fontId="129" fillId="52" borderId="39" xfId="0" applyFont="1" applyFill="1" applyBorder="1" applyAlignment="1">
      <alignment horizontal="center"/>
    </xf>
    <xf numFmtId="0" fontId="7" fillId="53" borderId="39" xfId="0" applyFont="1" applyFill="1" applyBorder="1" applyAlignment="1">
      <alignment horizontal="center"/>
    </xf>
    <xf numFmtId="14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56" borderId="39" xfId="0" applyFont="1" applyFill="1" applyBorder="1" applyAlignment="1">
      <alignment horizontal="center"/>
    </xf>
    <xf numFmtId="0" fontId="7" fillId="57" borderId="39" xfId="0" applyFont="1" applyFill="1" applyBorder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/>
    <xf numFmtId="14" fontId="0" fillId="0" borderId="39" xfId="0" applyNumberFormat="1" applyFont="1" applyBorder="1" applyAlignment="1">
      <alignment horizontal="center"/>
    </xf>
    <xf numFmtId="164" fontId="0" fillId="0" borderId="39" xfId="0" applyNumberFormat="1" applyFont="1" applyBorder="1" applyAlignment="1">
      <alignment horizontal="center"/>
    </xf>
    <xf numFmtId="2" fontId="0" fillId="0" borderId="39" xfId="0" applyNumberFormat="1" applyFont="1" applyBorder="1" applyAlignment="1">
      <alignment horizontal="center"/>
    </xf>
    <xf numFmtId="14" fontId="0" fillId="0" borderId="40" xfId="0" applyNumberFormat="1" applyFont="1" applyBorder="1" applyAlignment="1">
      <alignment horizontal="center"/>
    </xf>
    <xf numFmtId="164" fontId="0" fillId="0" borderId="40" xfId="0" applyNumberFormat="1" applyFont="1" applyBorder="1" applyAlignment="1">
      <alignment horizontal="center"/>
    </xf>
    <xf numFmtId="2" fontId="0" fillId="0" borderId="40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0" fontId="7" fillId="0" borderId="0" xfId="0" applyFont="1" applyAlignment="1"/>
    <xf numFmtId="43" fontId="0" fillId="58" borderId="0" xfId="526" applyNumberFormat="1" applyFont="1" applyFill="1"/>
    <xf numFmtId="10" fontId="0" fillId="58" borderId="0" xfId="527" applyNumberFormat="1" applyFont="1" applyFill="1"/>
    <xf numFmtId="10" fontId="0" fillId="0" borderId="0" xfId="527" applyNumberFormat="1" applyFont="1"/>
    <xf numFmtId="14" fontId="0" fillId="0" borderId="0" xfId="0" applyNumberFormat="1"/>
    <xf numFmtId="43" fontId="0" fillId="0" borderId="0" xfId="526" applyNumberFormat="1" applyFont="1"/>
    <xf numFmtId="2" fontId="0" fillId="0" borderId="0" xfId="527" applyNumberFormat="1" applyFont="1"/>
    <xf numFmtId="2" fontId="0" fillId="60" borderId="0" xfId="527" applyNumberFormat="1" applyFont="1" applyFill="1"/>
    <xf numFmtId="0" fontId="7" fillId="0" borderId="38" xfId="0" pivotButton="1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94" fontId="0" fillId="0" borderId="0" xfId="526" applyNumberFormat="1" applyFont="1"/>
    <xf numFmtId="195" fontId="0" fillId="0" borderId="0" xfId="526" applyNumberFormat="1" applyFont="1"/>
    <xf numFmtId="194" fontId="0" fillId="58" borderId="0" xfId="526" applyNumberFormat="1" applyFont="1" applyFill="1"/>
    <xf numFmtId="194" fontId="0" fillId="61" borderId="0" xfId="526" applyNumberFormat="1" applyFont="1" applyFill="1"/>
    <xf numFmtId="43" fontId="0" fillId="61" borderId="0" xfId="526" applyNumberFormat="1" applyFont="1" applyFill="1"/>
    <xf numFmtId="10" fontId="0" fillId="61" borderId="0" xfId="527" applyNumberFormat="1" applyFont="1" applyFill="1"/>
    <xf numFmtId="194" fontId="0" fillId="62" borderId="0" xfId="526" applyNumberFormat="1" applyFont="1" applyFill="1"/>
    <xf numFmtId="43" fontId="0" fillId="62" borderId="0" xfId="526" applyNumberFormat="1" applyFont="1" applyFill="1"/>
    <xf numFmtId="10" fontId="0" fillId="62" borderId="0" xfId="527" applyNumberFormat="1" applyFont="1" applyFill="1"/>
    <xf numFmtId="11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60" borderId="0" xfId="0" applyFont="1" applyFill="1"/>
    <xf numFmtId="0" fontId="131" fillId="0" borderId="0" xfId="0" applyFont="1"/>
    <xf numFmtId="194" fontId="0" fillId="0" borderId="41" xfId="526" applyNumberFormat="1" applyFont="1" applyBorder="1"/>
    <xf numFmtId="10" fontId="0" fillId="0" borderId="41" xfId="527" applyNumberFormat="1" applyFont="1" applyBorder="1"/>
    <xf numFmtId="43" fontId="0" fillId="0" borderId="41" xfId="526" applyNumberFormat="1" applyFont="1" applyBorder="1"/>
    <xf numFmtId="195" fontId="0" fillId="0" borderId="41" xfId="526" applyNumberFormat="1" applyFont="1" applyBorder="1"/>
    <xf numFmtId="0" fontId="131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Fill="1" applyAlignment="1"/>
    <xf numFmtId="0" fontId="7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/>
    <xf numFmtId="0" fontId="0" fillId="0" borderId="0" xfId="0" applyFill="1"/>
    <xf numFmtId="0" fontId="7" fillId="0" borderId="0" xfId="0" applyFont="1" applyFill="1"/>
    <xf numFmtId="0" fontId="130" fillId="59" borderId="38" xfId="0" applyFont="1" applyFill="1" applyBorder="1" applyAlignment="1">
      <alignment horizontal="center" vertical="center"/>
    </xf>
    <xf numFmtId="0" fontId="130" fillId="51" borderId="38" xfId="0" applyFont="1" applyFill="1" applyBorder="1" applyAlignment="1">
      <alignment horizontal="center" vertical="center"/>
    </xf>
    <xf numFmtId="0" fontId="130" fillId="54" borderId="38" xfId="0" applyFont="1" applyFill="1" applyBorder="1" applyAlignment="1">
      <alignment horizontal="center" vertical="center"/>
    </xf>
    <xf numFmtId="0" fontId="130" fillId="55" borderId="38" xfId="0" applyFont="1" applyFill="1" applyBorder="1" applyAlignment="1">
      <alignment horizontal="center" vertical="center"/>
    </xf>
    <xf numFmtId="0" fontId="132" fillId="63" borderId="3" xfId="0" applyFont="1" applyFill="1" applyBorder="1" applyAlignment="1">
      <alignment horizontal="center" vertical="center"/>
    </xf>
    <xf numFmtId="194" fontId="7" fillId="0" borderId="39" xfId="526" applyNumberFormat="1" applyFont="1" applyBorder="1" applyAlignment="1">
      <alignment horizontal="center" vertical="center"/>
    </xf>
    <xf numFmtId="194" fontId="7" fillId="0" borderId="39" xfId="526" applyNumberFormat="1" applyFont="1" applyBorder="1" applyAlignment="1">
      <alignment horizontal="left" vertical="center"/>
    </xf>
    <xf numFmtId="43" fontId="7" fillId="0" borderId="39" xfId="526" applyNumberFormat="1" applyFont="1" applyBorder="1" applyAlignment="1">
      <alignment horizontal="left" vertical="center"/>
    </xf>
    <xf numFmtId="195" fontId="7" fillId="0" borderId="39" xfId="526" applyNumberFormat="1" applyFont="1" applyBorder="1" applyAlignment="1">
      <alignment horizontal="left" vertical="center"/>
    </xf>
    <xf numFmtId="10" fontId="7" fillId="0" borderId="39" xfId="527" applyNumberFormat="1" applyFont="1" applyBorder="1" applyAlignment="1">
      <alignment horizontal="left" vertical="center"/>
    </xf>
    <xf numFmtId="10" fontId="7" fillId="0" borderId="40" xfId="527" applyNumberFormat="1" applyFont="1" applyBorder="1" applyAlignment="1">
      <alignment horizontal="left" vertical="center"/>
    </xf>
    <xf numFmtId="0" fontId="0" fillId="0" borderId="0" xfId="0" applyAlignment="1">
      <alignment horizontal="right"/>
    </xf>
    <xf numFmtId="0" fontId="132" fillId="63" borderId="3" xfId="0" applyFont="1" applyFill="1" applyBorder="1" applyAlignment="1">
      <alignment horizontal="right" vertical="center"/>
    </xf>
    <xf numFmtId="194" fontId="7" fillId="0" borderId="39" xfId="526" applyNumberFormat="1" applyFont="1" applyBorder="1" applyAlignment="1">
      <alignment horizontal="right" vertical="center"/>
    </xf>
    <xf numFmtId="10" fontId="7" fillId="0" borderId="0" xfId="0" applyNumberFormat="1" applyFont="1" applyAlignment="1">
      <alignment horizontal="right"/>
    </xf>
    <xf numFmtId="195" fontId="7" fillId="0" borderId="39" xfId="526" applyNumberFormat="1" applyFont="1" applyBorder="1" applyAlignment="1">
      <alignment horizontal="right" vertical="center"/>
    </xf>
    <xf numFmtId="198" fontId="7" fillId="0" borderId="39" xfId="527" applyNumberFormat="1" applyFont="1" applyBorder="1" applyAlignment="1">
      <alignment horizontal="right" vertical="center"/>
    </xf>
    <xf numFmtId="198" fontId="7" fillId="0" borderId="40" xfId="527" applyNumberFormat="1" applyFont="1" applyBorder="1" applyAlignment="1">
      <alignment horizontal="right" vertical="center"/>
    </xf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48"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alignment horizontal="center" readingOrder="0"/>
    </dxf>
    <dxf>
      <font>
        <color theme="0"/>
      </font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numFmt numFmtId="164" formatCode="0.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2" formatCode="0.00"/>
    </dxf>
    <dxf>
      <numFmt numFmtId="2" formatCode="0.0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numFmt numFmtId="2" formatCode="0.0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'Deal Detail'!$S$1</c:f>
              <c:strCache>
                <c:ptCount val="1"/>
                <c:pt idx="0">
                  <c:v>Cum Prepay %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Detail'!$S$2:$S$25</c:f>
              <c:numCache>
                <c:formatCode>0.00</c:formatCode>
                <c:ptCount val="24"/>
                <c:pt idx="0">
                  <c:v>0.69</c:v>
                </c:pt>
                <c:pt idx="1">
                  <c:v>1.1900000000000002</c:v>
                </c:pt>
                <c:pt idx="2">
                  <c:v>1.53</c:v>
                </c:pt>
                <c:pt idx="3">
                  <c:v>1.9</c:v>
                </c:pt>
                <c:pt idx="4">
                  <c:v>2.23</c:v>
                </c:pt>
                <c:pt idx="5">
                  <c:v>2.5700000000000003</c:v>
                </c:pt>
                <c:pt idx="6">
                  <c:v>2.85</c:v>
                </c:pt>
                <c:pt idx="7">
                  <c:v>3.1199999999999997</c:v>
                </c:pt>
                <c:pt idx="8">
                  <c:v>3.47</c:v>
                </c:pt>
                <c:pt idx="9">
                  <c:v>3.83</c:v>
                </c:pt>
                <c:pt idx="10">
                  <c:v>4.3499999999999996</c:v>
                </c:pt>
                <c:pt idx="11">
                  <c:v>5.0200000000000005</c:v>
                </c:pt>
                <c:pt idx="12">
                  <c:v>5.64</c:v>
                </c:pt>
                <c:pt idx="13">
                  <c:v>6.21</c:v>
                </c:pt>
                <c:pt idx="14">
                  <c:v>6.65</c:v>
                </c:pt>
                <c:pt idx="15">
                  <c:v>7.21</c:v>
                </c:pt>
                <c:pt idx="16">
                  <c:v>7.66</c:v>
                </c:pt>
                <c:pt idx="17">
                  <c:v>8.18</c:v>
                </c:pt>
                <c:pt idx="18">
                  <c:v>8.6199999999999992</c:v>
                </c:pt>
                <c:pt idx="19">
                  <c:v>9.3000000000000007</c:v>
                </c:pt>
                <c:pt idx="20">
                  <c:v>10.24</c:v>
                </c:pt>
                <c:pt idx="21">
                  <c:v>11.09</c:v>
                </c:pt>
                <c:pt idx="22">
                  <c:v>11.92</c:v>
                </c:pt>
                <c:pt idx="23">
                  <c:v>12.86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107712"/>
        <c:axId val="369109248"/>
      </c:barChart>
      <c:lineChart>
        <c:grouping val="standard"/>
        <c:varyColors val="0"/>
        <c:ser>
          <c:idx val="0"/>
          <c:order val="0"/>
          <c:tx>
            <c:strRef>
              <c:f>'Deal Detail'!$Q$1</c:f>
              <c:strCache>
                <c:ptCount val="1"/>
                <c:pt idx="0">
                  <c:v>CPR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Detail'!$Q$2:$Q$25</c:f>
              <c:numCache>
                <c:formatCode>_(* #,##0.00_);_(* \(#,##0.00\);_(* "-"??_);_(@_)</c:formatCode>
                <c:ptCount val="24"/>
                <c:pt idx="0">
                  <c:v>7.1894999999999998</c:v>
                </c:pt>
                <c:pt idx="1">
                  <c:v>5.2968000000000002</c:v>
                </c:pt>
                <c:pt idx="2">
                  <c:v>3.7195999999999998</c:v>
                </c:pt>
                <c:pt idx="3">
                  <c:v>3.9026999999999998</c:v>
                </c:pt>
                <c:pt idx="4">
                  <c:v>3.5990000000000002</c:v>
                </c:pt>
                <c:pt idx="5">
                  <c:v>3.7277999999999998</c:v>
                </c:pt>
                <c:pt idx="6">
                  <c:v>3.1396999999999999</c:v>
                </c:pt>
                <c:pt idx="7">
                  <c:v>2.976</c:v>
                </c:pt>
                <c:pt idx="8">
                  <c:v>3.8313999999999999</c:v>
                </c:pt>
                <c:pt idx="9">
                  <c:v>3.9773000000000001</c:v>
                </c:pt>
                <c:pt idx="10">
                  <c:v>5.8136999999999999</c:v>
                </c:pt>
                <c:pt idx="11">
                  <c:v>7.3971999999999998</c:v>
                </c:pt>
                <c:pt idx="12">
                  <c:v>6.9165999999999999</c:v>
                </c:pt>
                <c:pt idx="13">
                  <c:v>6.4720000000000004</c:v>
                </c:pt>
                <c:pt idx="14">
                  <c:v>5.0166000000000004</c:v>
                </c:pt>
                <c:pt idx="15">
                  <c:v>6.4724000000000004</c:v>
                </c:pt>
                <c:pt idx="16">
                  <c:v>5.2816000000000001</c:v>
                </c:pt>
                <c:pt idx="17">
                  <c:v>6.0025000000000004</c:v>
                </c:pt>
                <c:pt idx="18">
                  <c:v>5.2076000000000002</c:v>
                </c:pt>
                <c:pt idx="19">
                  <c:v>7.9896000000000003</c:v>
                </c:pt>
                <c:pt idx="20">
                  <c:v>11.042299999999999</c:v>
                </c:pt>
                <c:pt idx="21">
                  <c:v>9.9810999999999996</c:v>
                </c:pt>
                <c:pt idx="22">
                  <c:v>9.9797999999999991</c:v>
                </c:pt>
                <c:pt idx="23">
                  <c:v>11.419499999999999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'Deal Detail'!$R$1</c:f>
              <c:strCache>
                <c:ptCount val="1"/>
                <c:pt idx="0">
                  <c:v>cum_prepayment</c:v>
                </c:pt>
              </c:strCache>
            </c:strRef>
          </c:tx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Detail'!$R$2:$R$25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107712"/>
        <c:axId val="369109248"/>
      </c:lineChart>
      <c:dateAx>
        <c:axId val="369107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9109248"/>
        <c:crosses val="autoZero"/>
        <c:auto val="1"/>
        <c:lblOffset val="100"/>
        <c:baseTimeUnit val="months"/>
        <c:majorUnit val="6"/>
        <c:majorTimeUnit val="months"/>
      </c:dateAx>
      <c:valAx>
        <c:axId val="369109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Prepayment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6910771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'Deal Detail'!$X$1</c:f>
              <c:strCache>
                <c:ptCount val="1"/>
                <c:pt idx="0">
                  <c:v>Delinquency %</c:v>
                </c:pt>
              </c:strCache>
            </c:strRef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Detail'!$X$2:$X$25</c:f>
              <c:numCache>
                <c:formatCode>0.00</c:formatCode>
                <c:ptCount val="24"/>
                <c:pt idx="0">
                  <c:v>0</c:v>
                </c:pt>
                <c:pt idx="1">
                  <c:v>0.12667221826199199</c:v>
                </c:pt>
                <c:pt idx="2">
                  <c:v>0.10356345223757799</c:v>
                </c:pt>
                <c:pt idx="3">
                  <c:v>0.137402924202362</c:v>
                </c:pt>
                <c:pt idx="4">
                  <c:v>0.15484221430720702</c:v>
                </c:pt>
                <c:pt idx="5">
                  <c:v>0.15094332223427401</c:v>
                </c:pt>
                <c:pt idx="6">
                  <c:v>0.21700490437786399</c:v>
                </c:pt>
                <c:pt idx="7">
                  <c:v>0.21894667321964001</c:v>
                </c:pt>
                <c:pt idx="8">
                  <c:v>0.23021683029496001</c:v>
                </c:pt>
                <c:pt idx="9">
                  <c:v>0.28763854780915599</c:v>
                </c:pt>
                <c:pt idx="10">
                  <c:v>0.17641106928362399</c:v>
                </c:pt>
                <c:pt idx="11">
                  <c:v>0.17421491729425201</c:v>
                </c:pt>
                <c:pt idx="12">
                  <c:v>0.18080148243312499</c:v>
                </c:pt>
                <c:pt idx="13">
                  <c:v>0.22194793062559801</c:v>
                </c:pt>
                <c:pt idx="14">
                  <c:v>0.21691470665304502</c:v>
                </c:pt>
                <c:pt idx="15">
                  <c:v>0.25668689206130602</c:v>
                </c:pt>
                <c:pt idx="16">
                  <c:v>0.24419934930955201</c:v>
                </c:pt>
                <c:pt idx="17">
                  <c:v>0.226047138543922</c:v>
                </c:pt>
                <c:pt idx="18">
                  <c:v>0.319782975405623</c:v>
                </c:pt>
                <c:pt idx="19">
                  <c:v>0.25090365666056302</c:v>
                </c:pt>
                <c:pt idx="20">
                  <c:v>0.25015041079039801</c:v>
                </c:pt>
                <c:pt idx="21">
                  <c:v>0.30000390932597404</c:v>
                </c:pt>
                <c:pt idx="22">
                  <c:v>0.221292653406198</c:v>
                </c:pt>
                <c:pt idx="23">
                  <c:v>0.22937126205111899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427584"/>
        <c:axId val="369429120"/>
      </c:lineChart>
      <c:dateAx>
        <c:axId val="369427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9429120"/>
        <c:crosses val="autoZero"/>
        <c:auto val="1"/>
        <c:lblOffset val="100"/>
        <c:baseTimeUnit val="months"/>
        <c:majorUnit val="6"/>
        <c:majorTimeUnit val="months"/>
      </c:dateAx>
      <c:valAx>
        <c:axId val="36942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Delinquency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6942758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'Deal Detail'!$W$1</c:f>
              <c:strCache>
                <c:ptCount val="1"/>
                <c:pt idx="0">
                  <c:v>Cum Default %</c:v>
                </c:pt>
              </c:strCache>
            </c:strRef>
          </c:tx>
          <c:spPr>
            <a:solidFill>
              <a:srgbClr val="B3275C">
                <a:alpha val="20000"/>
              </a:srgbClr>
            </a:solidFill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Detail'!$W$2:$W$25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0.06</c:v>
                </c:pt>
                <c:pt idx="22">
                  <c:v>0.06</c:v>
                </c:pt>
                <c:pt idx="23">
                  <c:v>6.9999999999999993E-2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52928"/>
        <c:axId val="369454464"/>
      </c:barChart>
      <c:lineChart>
        <c:grouping val="standard"/>
        <c:varyColors val="0"/>
        <c:ser>
          <c:idx val="0"/>
          <c:order val="0"/>
          <c:tx>
            <c:strRef>
              <c:f>'Deal Detail'!$U$1</c:f>
              <c:strCache>
                <c:ptCount val="1"/>
                <c:pt idx="0">
                  <c:v>CDR</c:v>
                </c:pt>
              </c:strCache>
            </c:strRef>
          </c:tx>
          <c:spPr>
            <a:ln>
              <a:solidFill>
                <a:srgbClr val="B3275C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Detail'!$U$2:$U$25</c:f>
              <c:numCache>
                <c:formatCode>_(* #,##0.00_);_(* \(#,##0.00\);_(*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5.4000000000000003E-3</c:v>
                </c:pt>
                <c:pt idx="6">
                  <c:v>1.66E-2</c:v>
                </c:pt>
                <c:pt idx="7">
                  <c:v>0.03</c:v>
                </c:pt>
                <c:pt idx="8">
                  <c:v>1.9E-2</c:v>
                </c:pt>
                <c:pt idx="9">
                  <c:v>8.3900000000000002E-2</c:v>
                </c:pt>
                <c:pt idx="10">
                  <c:v>5.5599999999999997E-2</c:v>
                </c:pt>
                <c:pt idx="11">
                  <c:v>5.04E-2</c:v>
                </c:pt>
                <c:pt idx="12">
                  <c:v>3.8899999999999997E-2</c:v>
                </c:pt>
                <c:pt idx="13">
                  <c:v>3.9800000000000002E-2</c:v>
                </c:pt>
                <c:pt idx="14">
                  <c:v>3.09E-2</c:v>
                </c:pt>
                <c:pt idx="15">
                  <c:v>5.0900000000000001E-2</c:v>
                </c:pt>
                <c:pt idx="16">
                  <c:v>5.8500000000000003E-2</c:v>
                </c:pt>
                <c:pt idx="17">
                  <c:v>2.3800000000000002E-2</c:v>
                </c:pt>
                <c:pt idx="18">
                  <c:v>9.3100000000000002E-2</c:v>
                </c:pt>
                <c:pt idx="19">
                  <c:v>3.1E-2</c:v>
                </c:pt>
                <c:pt idx="20">
                  <c:v>5.7599999999999998E-2</c:v>
                </c:pt>
                <c:pt idx="21">
                  <c:v>7.2300000000000003E-2</c:v>
                </c:pt>
                <c:pt idx="22">
                  <c:v>5.2200000000000003E-2</c:v>
                </c:pt>
                <c:pt idx="23">
                  <c:v>0.12759999999999999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'Deal Detail'!$V$1</c:f>
              <c:strCache>
                <c:ptCount val="1"/>
                <c:pt idx="0">
                  <c:v>cum_default</c:v>
                </c:pt>
              </c:strCache>
            </c:strRef>
          </c:tx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Detail'!$V$2:$V$25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452928"/>
        <c:axId val="369454464"/>
      </c:lineChart>
      <c:dateAx>
        <c:axId val="369452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9454464"/>
        <c:crosses val="autoZero"/>
        <c:auto val="1"/>
        <c:lblOffset val="100"/>
        <c:baseTimeUnit val="months"/>
        <c:majorUnit val="6"/>
        <c:majorTimeUnit val="months"/>
      </c:dateAx>
      <c:valAx>
        <c:axId val="369454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Default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6945292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45215938916723E-2"/>
          <c:y val="4.535343008594514E-2"/>
          <c:w val="0.79484391155651002"/>
          <c:h val="0.753933469713344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'Deal Detail'!$N$1</c:f>
              <c:strCache>
                <c:ptCount val="1"/>
                <c:pt idx="0">
                  <c:v>loanCount</c:v>
                </c:pt>
              </c:strCache>
            </c:strRef>
          </c:tx>
          <c:spPr>
            <a:solidFill>
              <a:srgbClr val="C7732D">
                <a:alpha val="20000"/>
              </a:srgbClr>
            </a:solidFill>
            <a:ln>
              <a:noFill/>
            </a:ln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Detail'!$N$2:$N$25</c:f>
              <c:numCache>
                <c:formatCode>_(* #,##0_);_(* \(#,##0\);_(* "-"??_);_(@_)</c:formatCode>
                <c:ptCount val="24"/>
                <c:pt idx="0">
                  <c:v>96389</c:v>
                </c:pt>
                <c:pt idx="1">
                  <c:v>95815</c:v>
                </c:pt>
                <c:pt idx="2">
                  <c:v>95391</c:v>
                </c:pt>
                <c:pt idx="3">
                  <c:v>95074</c:v>
                </c:pt>
                <c:pt idx="4">
                  <c:v>94744</c:v>
                </c:pt>
                <c:pt idx="5">
                  <c:v>94439</c:v>
                </c:pt>
                <c:pt idx="6">
                  <c:v>94127</c:v>
                </c:pt>
                <c:pt idx="7">
                  <c:v>93864</c:v>
                </c:pt>
                <c:pt idx="8">
                  <c:v>93598</c:v>
                </c:pt>
                <c:pt idx="9">
                  <c:v>93266</c:v>
                </c:pt>
                <c:pt idx="10">
                  <c:v>92915</c:v>
                </c:pt>
                <c:pt idx="11">
                  <c:v>92428</c:v>
                </c:pt>
                <c:pt idx="12">
                  <c:v>91814</c:v>
                </c:pt>
                <c:pt idx="13">
                  <c:v>91234</c:v>
                </c:pt>
                <c:pt idx="14">
                  <c:v>90712</c:v>
                </c:pt>
                <c:pt idx="15">
                  <c:v>90301</c:v>
                </c:pt>
                <c:pt idx="16">
                  <c:v>89760</c:v>
                </c:pt>
                <c:pt idx="17">
                  <c:v>89344</c:v>
                </c:pt>
                <c:pt idx="18">
                  <c:v>88878</c:v>
                </c:pt>
                <c:pt idx="19">
                  <c:v>88484</c:v>
                </c:pt>
                <c:pt idx="20">
                  <c:v>87925</c:v>
                </c:pt>
                <c:pt idx="21">
                  <c:v>87132</c:v>
                </c:pt>
                <c:pt idx="22">
                  <c:v>86371</c:v>
                </c:pt>
                <c:pt idx="23">
                  <c:v>85631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680960"/>
        <c:axId val="370682496"/>
      </c:barChart>
      <c:lineChart>
        <c:grouping val="standard"/>
        <c:varyColors val="0"/>
        <c:ser>
          <c:idx val="1"/>
          <c:order val="1"/>
          <c:tx>
            <c:strRef>
              <c:f>'Deal Detail'!$O$1</c:f>
              <c:strCache>
                <c:ptCount val="1"/>
                <c:pt idx="0">
                  <c:v>currentBalance</c:v>
                </c:pt>
              </c:strCache>
            </c:strRef>
          </c:tx>
          <c:spPr>
            <a:ln>
              <a:solidFill>
                <a:srgbClr val="C7732D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Detail'!$O$2:$O$25</c:f>
              <c:numCache>
                <c:formatCode>_(* #,##0_);_(* \(#,##0\);_(* "-"??_);_(@_)</c:formatCode>
                <c:ptCount val="24"/>
                <c:pt idx="0">
                  <c:v>22584361082.810001</c:v>
                </c:pt>
                <c:pt idx="1">
                  <c:v>22391372156.549999</c:v>
                </c:pt>
                <c:pt idx="2">
                  <c:v>22242256898.849998</c:v>
                </c:pt>
                <c:pt idx="3">
                  <c:v>22126259871.459999</c:v>
                </c:pt>
                <c:pt idx="4">
                  <c:v>22004407481.799999</c:v>
                </c:pt>
                <c:pt idx="5">
                  <c:v>21889515190.82</c:v>
                </c:pt>
                <c:pt idx="6">
                  <c:v>21778303317.84</c:v>
                </c:pt>
                <c:pt idx="7">
                  <c:v>21671804564.209999</c:v>
                </c:pt>
                <c:pt idx="8">
                  <c:v>21571139506.34</c:v>
                </c:pt>
                <c:pt idx="9">
                  <c:v>21453636186.810001</c:v>
                </c:pt>
                <c:pt idx="10">
                  <c:v>21332337955.220001</c:v>
                </c:pt>
                <c:pt idx="11">
                  <c:v>21177637181.139999</c:v>
                </c:pt>
                <c:pt idx="12">
                  <c:v>20996596520.740002</c:v>
                </c:pt>
                <c:pt idx="13">
                  <c:v>20823941241.41</c:v>
                </c:pt>
                <c:pt idx="14">
                  <c:v>20661068570</c:v>
                </c:pt>
                <c:pt idx="15">
                  <c:v>20526568204.119999</c:v>
                </c:pt>
                <c:pt idx="16">
                  <c:v>20365001794.889999</c:v>
                </c:pt>
                <c:pt idx="17">
                  <c:v>20227022657.540001</c:v>
                </c:pt>
                <c:pt idx="18">
                  <c:v>20076676930.209999</c:v>
                </c:pt>
                <c:pt idx="19">
                  <c:v>19939199442.470001</c:v>
                </c:pt>
                <c:pt idx="20">
                  <c:v>19755112263.799999</c:v>
                </c:pt>
                <c:pt idx="21">
                  <c:v>19517918050.32</c:v>
                </c:pt>
                <c:pt idx="22">
                  <c:v>19298303853.59</c:v>
                </c:pt>
                <c:pt idx="23">
                  <c:v>19082907230.220001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687360"/>
        <c:axId val="370685056"/>
      </c:lineChart>
      <c:dateAx>
        <c:axId val="370680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70682496"/>
        <c:crosses val="autoZero"/>
        <c:auto val="1"/>
        <c:lblOffset val="100"/>
        <c:baseTimeUnit val="months"/>
        <c:majorUnit val="6"/>
        <c:majorTimeUnit val="months"/>
      </c:dateAx>
      <c:valAx>
        <c:axId val="370682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Loan Count</a:t>
                </a:r>
              </a:p>
            </c:rich>
          </c:tx>
          <c:layout/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370680960"/>
        <c:crosses val="autoZero"/>
        <c:crossBetween val="between"/>
        <c:dispUnits>
          <c:builtInUnit val="thousands"/>
          <c:dispUnitsLbl>
            <c:layout/>
          </c:dispUnitsLbl>
        </c:dispUnits>
      </c:valAx>
      <c:valAx>
        <c:axId val="3706850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Balance</a:t>
                </a:r>
              </a:p>
            </c:rich>
          </c:tx>
          <c:layout/>
          <c:overlay val="0"/>
        </c:title>
        <c:numFmt formatCode="&quot;$&quot;#,##0" sourceLinked="0"/>
        <c:majorTickMark val="out"/>
        <c:minorTickMark val="none"/>
        <c:tickLblPos val="nextTo"/>
        <c:crossAx val="370687360"/>
        <c:crosses val="max"/>
        <c:crossBetween val="between"/>
        <c:dispUnits>
          <c:builtInUnit val="billions"/>
          <c:dispUnitsLbl>
            <c:layout/>
          </c:dispUnitsLbl>
        </c:dispUnits>
      </c:valAx>
      <c:dateAx>
        <c:axId val="3706873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70685056"/>
        <c:crosses val="autoZero"/>
        <c:auto val="1"/>
        <c:lblOffset val="100"/>
        <c:baseTimeUnit val="month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automation.xlsm]Projection!PivotTable2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Projection!$N$3:$N$4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Projection!$N$5:$N$77</c:f>
              <c:numCache>
                <c:formatCode>General</c:formatCode>
                <c:ptCount val="72"/>
                <c:pt idx="0">
                  <c:v>6.8455766249975181E-2</c:v>
                </c:pt>
                <c:pt idx="1">
                  <c:v>7.6800785957120699E-2</c:v>
                </c:pt>
                <c:pt idx="2">
                  <c:v>9.7557646391455144E-2</c:v>
                </c:pt>
                <c:pt idx="3">
                  <c:v>0.13478088123276555</c:v>
                </c:pt>
                <c:pt idx="4">
                  <c:v>0.15334988374516856</c:v>
                </c:pt>
                <c:pt idx="5">
                  <c:v>0.19834404458559662</c:v>
                </c:pt>
                <c:pt idx="6">
                  <c:v>0.19178008225922971</c:v>
                </c:pt>
                <c:pt idx="7">
                  <c:v>0.21816514836252576</c:v>
                </c:pt>
                <c:pt idx="8">
                  <c:v>0.25312175216204436</c:v>
                </c:pt>
                <c:pt idx="9">
                  <c:v>0.25072662933561807</c:v>
                </c:pt>
                <c:pt idx="10">
                  <c:v>0.25730275178916795</c:v>
                </c:pt>
                <c:pt idx="11">
                  <c:v>0.27456666485733416</c:v>
                </c:pt>
                <c:pt idx="12">
                  <c:v>0.25303093819286637</c:v>
                </c:pt>
                <c:pt idx="13">
                  <c:v>0.29219406590851316</c:v>
                </c:pt>
                <c:pt idx="14">
                  <c:v>0.26071599379409172</c:v>
                </c:pt>
                <c:pt idx="15">
                  <c:v>0.25717096732228439</c:v>
                </c:pt>
                <c:pt idx="16">
                  <c:v>0.25222167021793362</c:v>
                </c:pt>
                <c:pt idx="17">
                  <c:v>0.24651580451199306</c:v>
                </c:pt>
                <c:pt idx="18">
                  <c:v>0.22979008461142536</c:v>
                </c:pt>
                <c:pt idx="19">
                  <c:v>0.21447463230929165</c:v>
                </c:pt>
                <c:pt idx="20">
                  <c:v>0.25611690506034401</c:v>
                </c:pt>
                <c:pt idx="21">
                  <c:v>0.20961575376159391</c:v>
                </c:pt>
                <c:pt idx="22">
                  <c:v>0.24113748093192999</c:v>
                </c:pt>
                <c:pt idx="23">
                  <c:v>0.24017860829588233</c:v>
                </c:pt>
                <c:pt idx="24">
                  <c:v>0.21787235557304552</c:v>
                </c:pt>
                <c:pt idx="25">
                  <c:v>0.25025187376317426</c:v>
                </c:pt>
                <c:pt idx="26">
                  <c:v>0.21759428522735158</c:v>
                </c:pt>
                <c:pt idx="27">
                  <c:v>0.23940974327915088</c:v>
                </c:pt>
                <c:pt idx="28">
                  <c:v>0.22869873231274873</c:v>
                </c:pt>
                <c:pt idx="29">
                  <c:v>0.21802215045217954</c:v>
                </c:pt>
                <c:pt idx="30">
                  <c:v>0.22915731014551133</c:v>
                </c:pt>
                <c:pt idx="31">
                  <c:v>0.20759221795718652</c:v>
                </c:pt>
                <c:pt idx="32">
                  <c:v>0.22969334023426047</c:v>
                </c:pt>
                <c:pt idx="33">
                  <c:v>0.22996771653088777</c:v>
                </c:pt>
                <c:pt idx="34">
                  <c:v>0.24119147655810025</c:v>
                </c:pt>
                <c:pt idx="35">
                  <c:v>0.23050699266135011</c:v>
                </c:pt>
                <c:pt idx="36">
                  <c:v>0.23076803288314407</c:v>
                </c:pt>
                <c:pt idx="37">
                  <c:v>0.25299880633103955</c:v>
                </c:pt>
                <c:pt idx="38">
                  <c:v>0.20926476711402575</c:v>
                </c:pt>
                <c:pt idx="39">
                  <c:v>0.25353168146140526</c:v>
                </c:pt>
                <c:pt idx="40">
                  <c:v>0.2317408723447989</c:v>
                </c:pt>
                <c:pt idx="41">
                  <c:v>0.2209306578889958</c:v>
                </c:pt>
                <c:pt idx="42">
                  <c:v>0.23218271301979065</c:v>
                </c:pt>
                <c:pt idx="43">
                  <c:v>0.2102815881673159</c:v>
                </c:pt>
                <c:pt idx="44">
                  <c:v>0.23259610216547211</c:v>
                </c:pt>
                <c:pt idx="45">
                  <c:v>0.23279237308462264</c:v>
                </c:pt>
                <c:pt idx="46">
                  <c:v>0.24406364551629034</c:v>
                </c:pt>
                <c:pt idx="47">
                  <c:v>0.22207239282292512</c:v>
                </c:pt>
                <c:pt idx="48">
                  <c:v>0.24443862023849627</c:v>
                </c:pt>
                <c:pt idx="49">
                  <c:v>0.24461529786081737</c:v>
                </c:pt>
                <c:pt idx="50">
                  <c:v>0.22255456596008694</c:v>
                </c:pt>
                <c:pt idx="51">
                  <c:v>0.25606901975420149</c:v>
                </c:pt>
                <c:pt idx="52">
                  <c:v>0.22284522019783148</c:v>
                </c:pt>
                <c:pt idx="53">
                  <c:v>0.2341191475189297</c:v>
                </c:pt>
                <c:pt idx="54">
                  <c:v>0.23425720265136674</c:v>
                </c:pt>
                <c:pt idx="55">
                  <c:v>0.21208868214971366</c:v>
                </c:pt>
                <c:pt idx="56">
                  <c:v>0.24567204778955798</c:v>
                </c:pt>
                <c:pt idx="57">
                  <c:v>0.23463928154201508</c:v>
                </c:pt>
                <c:pt idx="58">
                  <c:v>0.22358875178487558</c:v>
                </c:pt>
                <c:pt idx="59">
                  <c:v>0.2460392436252512</c:v>
                </c:pt>
                <c:pt idx="60">
                  <c:v>0.24615042429423362</c:v>
                </c:pt>
                <c:pt idx="61">
                  <c:v>0.23507454588064247</c:v>
                </c:pt>
                <c:pt idx="62">
                  <c:v>0.23516986287175357</c:v>
                </c:pt>
                <c:pt idx="63">
                  <c:v>0.2464499862996683</c:v>
                </c:pt>
                <c:pt idx="64">
                  <c:v>0.22414905269915186</c:v>
                </c:pt>
                <c:pt idx="65">
                  <c:v>0.2466219346382581</c:v>
                </c:pt>
                <c:pt idx="66">
                  <c:v>0.21309419035479005</c:v>
                </c:pt>
                <c:pt idx="67">
                  <c:v>0.2131639695323706</c:v>
                </c:pt>
                <c:pt idx="68">
                  <c:v>0.25807368353570892</c:v>
                </c:pt>
                <c:pt idx="69">
                  <c:v>0.23574041319152084</c:v>
                </c:pt>
                <c:pt idx="70">
                  <c:v>0.22461522979846382</c:v>
                </c:pt>
                <c:pt idx="71">
                  <c:v>0.24716324405946732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Projection!$O$3:$O$4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Projection!$O$5:$O$77</c:f>
              <c:numCache>
                <c:formatCode>General</c:formatCode>
                <c:ptCount val="72"/>
                <c:pt idx="0">
                  <c:v>6.8477772982200591E-2</c:v>
                </c:pt>
                <c:pt idx="1">
                  <c:v>7.692463223158974E-2</c:v>
                </c:pt>
                <c:pt idx="2">
                  <c:v>9.7952809085466441E-2</c:v>
                </c:pt>
                <c:pt idx="3">
                  <c:v>0.13586525970529229</c:v>
                </c:pt>
                <c:pt idx="4">
                  <c:v>0.15531456709010349</c:v>
                </c:pt>
                <c:pt idx="5">
                  <c:v>0.20191692874439449</c:v>
                </c:pt>
                <c:pt idx="6">
                  <c:v>0.19629924541419985</c:v>
                </c:pt>
                <c:pt idx="7">
                  <c:v>0.22458343566111871</c:v>
                </c:pt>
                <c:pt idx="8">
                  <c:v>0.26212009202315478</c:v>
                </c:pt>
                <c:pt idx="9">
                  <c:v>0.26123935595782077</c:v>
                </c:pt>
                <c:pt idx="10">
                  <c:v>0.26978573058155098</c:v>
                </c:pt>
                <c:pt idx="11">
                  <c:v>0.28974181203964555</c:v>
                </c:pt>
                <c:pt idx="12">
                  <c:v>0.268762983173787</c:v>
                </c:pt>
                <c:pt idx="13">
                  <c:v>0.3124371680660265</c:v>
                </c:pt>
                <c:pt idx="14">
                  <c:v>0.28055884134289277</c:v>
                </c:pt>
                <c:pt idx="15">
                  <c:v>0.27863028583489102</c:v>
                </c:pt>
                <c:pt idx="16">
                  <c:v>0.27516840473549298</c:v>
                </c:pt>
                <c:pt idx="17">
                  <c:v>0.27083046441778169</c:v>
                </c:pt>
                <c:pt idx="18">
                  <c:v>0.25423511845485969</c:v>
                </c:pt>
                <c:pt idx="19">
                  <c:v>0.23896358425179454</c:v>
                </c:pt>
                <c:pt idx="20">
                  <c:v>0.28735618552808706</c:v>
                </c:pt>
                <c:pt idx="21">
                  <c:v>0.23682867806651409</c:v>
                </c:pt>
                <c:pt idx="22">
                  <c:v>0.27432063640341342</c:v>
                </c:pt>
                <c:pt idx="23">
                  <c:v>0.27510184680796801</c:v>
                </c:pt>
                <c:pt idx="24">
                  <c:v>0.25125060460053916</c:v>
                </c:pt>
                <c:pt idx="25">
                  <c:v>0.29052689772337548</c:v>
                </c:pt>
                <c:pt idx="26">
                  <c:v>0.25430687909144822</c:v>
                </c:pt>
                <c:pt idx="27">
                  <c:v>0.28165283633938554</c:v>
                </c:pt>
                <c:pt idx="28">
                  <c:v>0.27082495751054037</c:v>
                </c:pt>
                <c:pt idx="29">
                  <c:v>0.25987188339753331</c:v>
                </c:pt>
                <c:pt idx="30">
                  <c:v>0.27491573053057827</c:v>
                </c:pt>
                <c:pt idx="31">
                  <c:v>0.25065708460707548</c:v>
                </c:pt>
                <c:pt idx="32">
                  <c:v>0.27911658767649783</c:v>
                </c:pt>
                <c:pt idx="33">
                  <c:v>0.28123247269224994</c:v>
                </c:pt>
                <c:pt idx="34">
                  <c:v>0.29682558849589702</c:v>
                </c:pt>
                <c:pt idx="35">
                  <c:v>0.28546886097372548</c:v>
                </c:pt>
                <c:pt idx="36">
                  <c:v>0.28758351860762588</c:v>
                </c:pt>
                <c:pt idx="37">
                  <c:v>0.31724310946029677</c:v>
                </c:pt>
                <c:pt idx="38">
                  <c:v>0.26404090254381618</c:v>
                </c:pt>
                <c:pt idx="39">
                  <c:v>0.32184359220377434</c:v>
                </c:pt>
                <c:pt idx="40">
                  <c:v>0.29598529656480466</c:v>
                </c:pt>
                <c:pt idx="41">
                  <c:v>0.2838929841144755</c:v>
                </c:pt>
                <c:pt idx="42">
                  <c:v>0.30014347385867168</c:v>
                </c:pt>
                <c:pt idx="43">
                  <c:v>0.27346501982755678</c:v>
                </c:pt>
                <c:pt idx="44">
                  <c:v>0.30427038577364174</c:v>
                </c:pt>
                <c:pt idx="45">
                  <c:v>0.30632186572846498</c:v>
                </c:pt>
                <c:pt idx="46">
                  <c:v>0.3230275848842612</c:v>
                </c:pt>
                <c:pt idx="47">
                  <c:v>0.29563969021384473</c:v>
                </c:pt>
                <c:pt idx="48">
                  <c:v>0.32728301626395728</c:v>
                </c:pt>
                <c:pt idx="49">
                  <c:v>0.32939796762184725</c:v>
                </c:pt>
                <c:pt idx="50">
                  <c:v>0.30140931109612357</c:v>
                </c:pt>
                <c:pt idx="51">
                  <c:v>0.34874176057975159</c:v>
                </c:pt>
                <c:pt idx="52">
                  <c:v>0.30521696353194017</c:v>
                </c:pt>
                <c:pt idx="53">
                  <c:v>0.32244188604377833</c:v>
                </c:pt>
                <c:pt idx="54">
                  <c:v>0.32442024720259477</c:v>
                </c:pt>
                <c:pt idx="55">
                  <c:v>0.29534777504568455</c:v>
                </c:pt>
                <c:pt idx="56">
                  <c:v>0.34396365954645347</c:v>
                </c:pt>
                <c:pt idx="57">
                  <c:v>0.33030640171347603</c:v>
                </c:pt>
                <c:pt idx="58">
                  <c:v>0.31645358544751812</c:v>
                </c:pt>
                <c:pt idx="59">
                  <c:v>0.3500779549343247</c:v>
                </c:pt>
                <c:pt idx="60">
                  <c:v>0.35209896191892298</c:v>
                </c:pt>
                <c:pt idx="61">
                  <c:v>0.33804041832595777</c:v>
                </c:pt>
                <c:pt idx="62">
                  <c:v>0.33995352876025065</c:v>
                </c:pt>
                <c:pt idx="63">
                  <c:v>0.35811070298320535</c:v>
                </c:pt>
                <c:pt idx="64">
                  <c:v>0.32741056954694869</c:v>
                </c:pt>
                <c:pt idx="65">
                  <c:v>0.36207579266425149</c:v>
                </c:pt>
                <c:pt idx="66">
                  <c:v>0.3144745841889951</c:v>
                </c:pt>
                <c:pt idx="67">
                  <c:v>0.31616909867849818</c:v>
                </c:pt>
                <c:pt idx="68">
                  <c:v>0.38465520586280499</c:v>
                </c:pt>
                <c:pt idx="69">
                  <c:v>0.35311683948878736</c:v>
                </c:pt>
                <c:pt idx="70">
                  <c:v>0.33808781368330765</c:v>
                </c:pt>
                <c:pt idx="71">
                  <c:v>0.37376587021543672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Projection!$P$3:$P$4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Projection!$P$5:$P$77</c:f>
              <c:numCache>
                <c:formatCode>General</c:formatCode>
                <c:ptCount val="72"/>
                <c:pt idx="0">
                  <c:v>6.8574147761568671E-2</c:v>
                </c:pt>
                <c:pt idx="1">
                  <c:v>7.747167281973999E-2</c:v>
                </c:pt>
                <c:pt idx="2">
                  <c:v>9.9721987422607405E-2</c:v>
                </c:pt>
                <c:pt idx="3">
                  <c:v>0.14081549341448119</c:v>
                </c:pt>
                <c:pt idx="4">
                  <c:v>0.16447879200210958</c:v>
                </c:pt>
                <c:pt idx="5">
                  <c:v>0.21897137777078246</c:v>
                </c:pt>
                <c:pt idx="6">
                  <c:v>0.21840592125506042</c:v>
                </c:pt>
                <c:pt idx="7">
                  <c:v>0.25680294525248781</c:v>
                </c:pt>
                <c:pt idx="8">
                  <c:v>0.30853486188883172</c:v>
                </c:pt>
                <c:pt idx="9">
                  <c:v>0.31702822951593657</c:v>
                </c:pt>
                <c:pt idx="10">
                  <c:v>0.33801571954741316</c:v>
                </c:pt>
                <c:pt idx="11">
                  <c:v>0.37526014771728233</c:v>
                </c:pt>
                <c:pt idx="12">
                  <c:v>0.36026471801112736</c:v>
                </c:pt>
                <c:pt idx="13">
                  <c:v>0.43419033565986753</c:v>
                </c:pt>
                <c:pt idx="14">
                  <c:v>0.40399842252869522</c:v>
                </c:pt>
                <c:pt idx="15">
                  <c:v>0.4172316060212955</c:v>
                </c:pt>
                <c:pt idx="16">
                  <c:v>0.42917768637715792</c:v>
                </c:pt>
                <c:pt idx="17">
                  <c:v>0.44057285216574371</c:v>
                </c:pt>
                <c:pt idx="18">
                  <c:v>0.43196161402666577</c:v>
                </c:pt>
                <c:pt idx="19">
                  <c:v>0.42460170901726935</c:v>
                </c:pt>
                <c:pt idx="20">
                  <c:v>0.53442917913749666</c:v>
                </c:pt>
                <c:pt idx="21">
                  <c:v>0.46165762136742838</c:v>
                </c:pt>
                <c:pt idx="22">
                  <c:v>0.56076938874475291</c:v>
                </c:pt>
                <c:pt idx="23">
                  <c:v>0.59033853837989758</c:v>
                </c:pt>
                <c:pt idx="24">
                  <c:v>0.5652926624689858</c:v>
                </c:pt>
                <c:pt idx="25">
                  <c:v>0.68231819558526308</c:v>
                </c:pt>
                <c:pt idx="26">
                  <c:v>0.6204486612536364</c:v>
                </c:pt>
                <c:pt idx="27">
                  <c:v>0.70857965290022085</c:v>
                </c:pt>
                <c:pt idx="28">
                  <c:v>0.69795480567251822</c:v>
                </c:pt>
                <c:pt idx="29">
                  <c:v>0.68213631699720612</c:v>
                </c:pt>
                <c:pt idx="30">
                  <c:v>0.73160556065006155</c:v>
                </c:pt>
                <c:pt idx="31">
                  <c:v>0.67428044605013504</c:v>
                </c:pt>
                <c:pt idx="32">
                  <c:v>0.75690821752015802</c:v>
                </c:pt>
                <c:pt idx="33">
                  <c:v>0.76772331772515523</c:v>
                </c:pt>
                <c:pt idx="34">
                  <c:v>0.81468660226983181</c:v>
                </c:pt>
                <c:pt idx="35">
                  <c:v>0.78734094169045088</c:v>
                </c:pt>
                <c:pt idx="36">
                  <c:v>0.79655393188233781</c:v>
                </c:pt>
                <c:pt idx="37">
                  <c:v>0.88177975907884898</c:v>
                </c:pt>
                <c:pt idx="38">
                  <c:v>0.73665210761491018</c:v>
                </c:pt>
                <c:pt idx="39">
                  <c:v>0.90003392709135932</c:v>
                </c:pt>
                <c:pt idx="40">
                  <c:v>0.82987848402611419</c:v>
                </c:pt>
                <c:pt idx="41">
                  <c:v>0.79765564273571732</c:v>
                </c:pt>
                <c:pt idx="42">
                  <c:v>0.84463969747265999</c:v>
                </c:pt>
                <c:pt idx="43">
                  <c:v>0.77086822126125609</c:v>
                </c:pt>
                <c:pt idx="44">
                  <c:v>0.85859253373301581</c:v>
                </c:pt>
                <c:pt idx="45">
                  <c:v>0.86536706633491001</c:v>
                </c:pt>
                <c:pt idx="46">
                  <c:v>0.91339453345284927</c:v>
                </c:pt>
                <c:pt idx="47">
                  <c:v>0.83695972586714795</c:v>
                </c:pt>
                <c:pt idx="48">
                  <c:v>0.9271378157784782</c:v>
                </c:pt>
                <c:pt idx="49">
                  <c:v>0.93391290146502826</c:v>
                </c:pt>
                <c:pt idx="50">
                  <c:v>0.85545771879766974</c:v>
                </c:pt>
                <c:pt idx="51">
                  <c:v>0.99016740126296465</c:v>
                </c:pt>
                <c:pt idx="52">
                  <c:v>0.86755357703600655</c:v>
                </c:pt>
                <c:pt idx="53">
                  <c:v>0.91703287194061511</c:v>
                </c:pt>
                <c:pt idx="54">
                  <c:v>0.92327535936211902</c:v>
                </c:pt>
                <c:pt idx="55">
                  <c:v>0.84129884021461043</c:v>
                </c:pt>
                <c:pt idx="56">
                  <c:v>0.97999552456747852</c:v>
                </c:pt>
                <c:pt idx="57">
                  <c:v>0.9417673958819206</c:v>
                </c:pt>
                <c:pt idx="58">
                  <c:v>0.90290630889090506</c:v>
                </c:pt>
                <c:pt idx="59">
                  <c:v>0.99911988262491036</c:v>
                </c:pt>
                <c:pt idx="60">
                  <c:v>1.0054158590551587</c:v>
                </c:pt>
                <c:pt idx="61">
                  <c:v>0.96589199050018948</c:v>
                </c:pt>
                <c:pt idx="62">
                  <c:v>0.97182996953041334</c:v>
                </c:pt>
                <c:pt idx="63">
                  <c:v>1.0240702906837873</c:v>
                </c:pt>
                <c:pt idx="64">
                  <c:v>0.93695916720434314</c:v>
                </c:pt>
                <c:pt idx="65">
                  <c:v>1.0363134251845096</c:v>
                </c:pt>
                <c:pt idx="66">
                  <c:v>0.90082397356073818</c:v>
                </c:pt>
                <c:pt idx="67">
                  <c:v>0.90603485251693483</c:v>
                </c:pt>
                <c:pt idx="68">
                  <c:v>1.1020745177807489</c:v>
                </c:pt>
                <c:pt idx="69">
                  <c:v>1.0123674172025421</c:v>
                </c:pt>
                <c:pt idx="70">
                  <c:v>0.96975222908756153</c:v>
                </c:pt>
                <c:pt idx="71">
                  <c:v>1.0721254812349534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711552"/>
        <c:axId val="370750208"/>
      </c:lineChart>
      <c:catAx>
        <c:axId val="370711552"/>
        <c:scaling>
          <c:orientation val="minMax"/>
        </c:scaling>
        <c:delete val="0"/>
        <c:axPos val="b"/>
        <c:majorTickMark val="out"/>
        <c:minorTickMark val="none"/>
        <c:tickLblPos val="nextTo"/>
        <c:crossAx val="37075020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7075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7071155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automation.xlsm]Projection!PivotTable5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Projection!$U$3:$U$4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Projection!$U$5:$U$77</c:f>
              <c:numCache>
                <c:formatCode>General</c:formatCode>
                <c:ptCount val="72"/>
                <c:pt idx="0">
                  <c:v>15.30459218543907</c:v>
                </c:pt>
                <c:pt idx="1">
                  <c:v>14.684126188442637</c:v>
                </c:pt>
                <c:pt idx="2">
                  <c:v>14.704151011869959</c:v>
                </c:pt>
                <c:pt idx="3">
                  <c:v>15.371901378995556</c:v>
                </c:pt>
                <c:pt idx="4">
                  <c:v>14.088020495169641</c:v>
                </c:pt>
                <c:pt idx="5">
                  <c:v>15.411783756492303</c:v>
                </c:pt>
                <c:pt idx="6">
                  <c:v>13.464949023854867</c:v>
                </c:pt>
                <c:pt idx="7">
                  <c:v>14.14418258849912</c:v>
                </c:pt>
                <c:pt idx="8">
                  <c:v>15.473186483387169</c:v>
                </c:pt>
                <c:pt idx="9">
                  <c:v>14.840250113201602</c:v>
                </c:pt>
                <c:pt idx="10">
                  <c:v>14.859971457524612</c:v>
                </c:pt>
                <c:pt idx="11">
                  <c:v>15.534684902191742</c:v>
                </c:pt>
                <c:pt idx="12">
                  <c:v>14.238474651171828</c:v>
                </c:pt>
                <c:pt idx="13">
                  <c:v>16.062232618610384</c:v>
                </c:pt>
                <c:pt idx="14">
                  <c:v>14.769687534672315</c:v>
                </c:pt>
                <c:pt idx="15">
                  <c:v>14.78813260608135</c:v>
                </c:pt>
                <c:pt idx="16">
                  <c:v>14.806492379838643</c:v>
                </c:pt>
                <c:pt idx="17">
                  <c:v>14.824569474791272</c:v>
                </c:pt>
                <c:pt idx="18">
                  <c:v>14.184109169720783</c:v>
                </c:pt>
                <c:pt idx="19">
                  <c:v>13.537251114966386</c:v>
                </c:pt>
                <c:pt idx="20">
                  <c:v>16.182330685429324</c:v>
                </c:pt>
                <c:pt idx="21">
                  <c:v>13.568575744295874</c:v>
                </c:pt>
                <c:pt idx="22">
                  <c:v>15.566985954214797</c:v>
                </c:pt>
                <c:pt idx="23">
                  <c:v>15.584157780222707</c:v>
                </c:pt>
                <c:pt idx="24">
                  <c:v>14.281111430774917</c:v>
                </c:pt>
                <c:pt idx="25">
                  <c:v>16.271517874240615</c:v>
                </c:pt>
                <c:pt idx="26">
                  <c:v>14.311851134778198</c:v>
                </c:pt>
                <c:pt idx="27">
                  <c:v>15.650833218815963</c:v>
                </c:pt>
                <c:pt idx="28">
                  <c:v>15.006805222953645</c:v>
                </c:pt>
                <c:pt idx="29">
                  <c:v>14.356614099623155</c:v>
                </c:pt>
                <c:pt idx="30">
                  <c:v>15.037376044801842</c:v>
                </c:pt>
                <c:pt idx="31">
                  <c:v>13.714011478070686</c:v>
                </c:pt>
                <c:pt idx="32">
                  <c:v>15.067249078550137</c:v>
                </c:pt>
                <c:pt idx="33">
                  <c:v>15.081925935334784</c:v>
                </c:pt>
                <c:pt idx="34">
                  <c:v>15.760229971055018</c:v>
                </c:pt>
                <c:pt idx="35">
                  <c:v>15.110620729033764</c:v>
                </c:pt>
                <c:pt idx="36">
                  <c:v>15.124591324962056</c:v>
                </c:pt>
                <c:pt idx="37">
                  <c:v>16.464564278779847</c:v>
                </c:pt>
                <c:pt idx="38">
                  <c:v>13.805440204539254</c:v>
                </c:pt>
                <c:pt idx="39">
                  <c:v>16.493745248534498</c:v>
                </c:pt>
                <c:pt idx="40">
                  <c:v>15.178556320007242</c:v>
                </c:pt>
                <c:pt idx="41">
                  <c:v>14.519050470616312</c:v>
                </c:pt>
                <c:pt idx="42">
                  <c:v>15.204291850996011</c:v>
                </c:pt>
                <c:pt idx="43">
                  <c:v>13.864984615082355</c:v>
                </c:pt>
                <c:pt idx="44">
                  <c:v>15.229254038078665</c:v>
                </c:pt>
                <c:pt idx="45">
                  <c:v>15.241455013764217</c:v>
                </c:pt>
                <c:pt idx="46">
                  <c:v>15.923563604085212</c:v>
                </c:pt>
                <c:pt idx="47">
                  <c:v>14.589843801701052</c:v>
                </c:pt>
                <c:pt idx="48">
                  <c:v>15.948000999429702</c:v>
                </c:pt>
                <c:pt idx="49">
                  <c:v>15.959919456130844</c:v>
                </c:pt>
                <c:pt idx="50">
                  <c:v>14.622816690439445</c:v>
                </c:pt>
                <c:pt idx="51">
                  <c:v>16.650620856904386</c:v>
                </c:pt>
                <c:pt idx="52">
                  <c:v>14.643890014757154</c:v>
                </c:pt>
                <c:pt idx="53">
                  <c:v>15.332317561181164</c:v>
                </c:pt>
                <c:pt idx="54">
                  <c:v>15.342809647376832</c:v>
                </c:pt>
                <c:pt idx="55">
                  <c:v>13.990063743713987</c:v>
                </c:pt>
                <c:pt idx="56">
                  <c:v>16.037735582640302</c:v>
                </c:pt>
                <c:pt idx="57">
                  <c:v>15.373205263829991</c:v>
                </c:pt>
                <c:pt idx="58">
                  <c:v>14.702729250880243</c:v>
                </c:pt>
                <c:pt idx="59">
                  <c:v>16.068220565599166</c:v>
                </c:pt>
                <c:pt idx="60">
                  <c:v>16.0780091887178</c:v>
                </c:pt>
                <c:pt idx="61">
                  <c:v>15.411212992368784</c:v>
                </c:pt>
                <c:pt idx="62">
                  <c:v>15.4202675375131</c:v>
                </c:pt>
                <c:pt idx="63">
                  <c:v>16.10625772926889</c:v>
                </c:pt>
                <c:pt idx="64">
                  <c:v>14.755367941121522</c:v>
                </c:pt>
                <c:pt idx="65">
                  <c:v>16.12402373911722</c:v>
                </c:pt>
                <c:pt idx="66">
                  <c:v>14.081966701758796</c:v>
                </c:pt>
                <c:pt idx="67">
                  <c:v>14.088248636864819</c:v>
                </c:pt>
                <c:pt idx="68">
                  <c:v>16.818985068251113</c:v>
                </c:pt>
                <c:pt idx="69">
                  <c:v>15.472017160355534</c:v>
                </c:pt>
                <c:pt idx="70">
                  <c:v>14.791902847550309</c:v>
                </c:pt>
                <c:pt idx="71">
                  <c:v>16.158811447782785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Projection!$V$3:$V$4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Projection!$V$5:$V$77</c:f>
              <c:numCache>
                <c:formatCode>General</c:formatCode>
                <c:ptCount val="72"/>
                <c:pt idx="0">
                  <c:v>15.275835800818315</c:v>
                </c:pt>
                <c:pt idx="1">
                  <c:v>14.628919144950514</c:v>
                </c:pt>
                <c:pt idx="2">
                  <c:v>14.621525155158698</c:v>
                </c:pt>
                <c:pt idx="3">
                  <c:v>15.257562417900971</c:v>
                </c:pt>
                <c:pt idx="4">
                  <c:v>13.956583112023313</c:v>
                </c:pt>
                <c:pt idx="5">
                  <c:v>15.241105523025167</c:v>
                </c:pt>
                <c:pt idx="6">
                  <c:v>13.289772584464854</c:v>
                </c:pt>
                <c:pt idx="7">
                  <c:v>13.935429214012206</c:v>
                </c:pt>
                <c:pt idx="8">
                  <c:v>15.219081616006868</c:v>
                </c:pt>
                <c:pt idx="9">
                  <c:v>14.569548276797562</c:v>
                </c:pt>
                <c:pt idx="10">
                  <c:v>14.5629668515041</c:v>
                </c:pt>
                <c:pt idx="11">
                  <c:v>15.198493807915082</c:v>
                </c:pt>
                <c:pt idx="12">
                  <c:v>13.903591356329216</c:v>
                </c:pt>
                <c:pt idx="13">
                  <c:v>15.660613668708534</c:v>
                </c:pt>
                <c:pt idx="14">
                  <c:v>14.37286999096038</c:v>
                </c:pt>
                <c:pt idx="15">
                  <c:v>14.366103175909439</c:v>
                </c:pt>
                <c:pt idx="16">
                  <c:v>14.359376545522029</c:v>
                </c:pt>
                <c:pt idx="17">
                  <c:v>14.352505965719221</c:v>
                </c:pt>
                <c:pt idx="18">
                  <c:v>13.707609495045126</c:v>
                </c:pt>
                <c:pt idx="19">
                  <c:v>13.058801964033728</c:v>
                </c:pt>
                <c:pt idx="20">
                  <c:v>15.592516009017899</c:v>
                </c:pt>
                <c:pt idx="21">
                  <c:v>13.045262386868306</c:v>
                </c:pt>
                <c:pt idx="22">
                  <c:v>14.948313695915981</c:v>
                </c:pt>
                <c:pt idx="23">
                  <c:v>14.940425041901895</c:v>
                </c:pt>
                <c:pt idx="24">
                  <c:v>13.66475083619777</c:v>
                </c:pt>
                <c:pt idx="25">
                  <c:v>15.551621495579138</c:v>
                </c:pt>
                <c:pt idx="26">
                  <c:v>13.649976732441937</c:v>
                </c:pt>
                <c:pt idx="27">
                  <c:v>14.908369509841435</c:v>
                </c:pt>
                <c:pt idx="28">
                  <c:v>14.269796869781704</c:v>
                </c:pt>
                <c:pt idx="29">
                  <c:v>13.627550986820813</c:v>
                </c:pt>
                <c:pt idx="30">
                  <c:v>14.254106309036318</c:v>
                </c:pt>
                <c:pt idx="31">
                  <c:v>12.974387878974781</c:v>
                </c:pt>
                <c:pt idx="32">
                  <c:v>14.238292858306167</c:v>
                </c:pt>
                <c:pt idx="33">
                  <c:v>14.230341452029627</c:v>
                </c:pt>
                <c:pt idx="34">
                  <c:v>14.850896050867169</c:v>
                </c:pt>
                <c:pt idx="35">
                  <c:v>14.214350715913749</c:v>
                </c:pt>
                <c:pt idx="36">
                  <c:v>14.206311713466846</c:v>
                </c:pt>
                <c:pt idx="37">
                  <c:v>15.449146829586313</c:v>
                </c:pt>
                <c:pt idx="38">
                  <c:v>12.922972225314922</c:v>
                </c:pt>
                <c:pt idx="39">
                  <c:v>15.431616779495204</c:v>
                </c:pt>
                <c:pt idx="40">
                  <c:v>14.173866814816027</c:v>
                </c:pt>
                <c:pt idx="41">
                  <c:v>13.535232683517151</c:v>
                </c:pt>
                <c:pt idx="42">
                  <c:v>14.157471669419364</c:v>
                </c:pt>
                <c:pt idx="43">
                  <c:v>12.88545305999701</c:v>
                </c:pt>
                <c:pt idx="44">
                  <c:v>14.140961709760379</c:v>
                </c:pt>
                <c:pt idx="45">
                  <c:v>14.13266373490516</c:v>
                </c:pt>
                <c:pt idx="46">
                  <c:v>14.748892116173806</c:v>
                </c:pt>
                <c:pt idx="47">
                  <c:v>13.48757974448761</c:v>
                </c:pt>
                <c:pt idx="48">
                  <c:v>14.73147287963088</c:v>
                </c:pt>
                <c:pt idx="49">
                  <c:v>14.722718616832775</c:v>
                </c:pt>
                <c:pt idx="50">
                  <c:v>13.46338347936722</c:v>
                </c:pt>
                <c:pt idx="51">
                  <c:v>15.323824933759688</c:v>
                </c:pt>
                <c:pt idx="52">
                  <c:v>13.447116148895455</c:v>
                </c:pt>
                <c:pt idx="53">
                  <c:v>14.065251376617615</c:v>
                </c:pt>
                <c:pt idx="54">
                  <c:v>14.056696687807602</c:v>
                </c:pt>
                <c:pt idx="55">
                  <c:v>12.792736942127437</c:v>
                </c:pt>
                <c:pt idx="56">
                  <c:v>14.660608224151916</c:v>
                </c:pt>
                <c:pt idx="57">
                  <c:v>14.030862553610246</c:v>
                </c:pt>
                <c:pt idx="58">
                  <c:v>13.397661765962955</c:v>
                </c:pt>
                <c:pt idx="59">
                  <c:v>14.633546475273606</c:v>
                </c:pt>
                <c:pt idx="60">
                  <c:v>14.624467117877526</c:v>
                </c:pt>
                <c:pt idx="61">
                  <c:v>13.996021680332937</c:v>
                </c:pt>
                <c:pt idx="62">
                  <c:v>13.987241148050867</c:v>
                </c:pt>
                <c:pt idx="63">
                  <c:v>14.597053366917645</c:v>
                </c:pt>
                <c:pt idx="64">
                  <c:v>13.347235112978485</c:v>
                </c:pt>
                <c:pt idx="65">
                  <c:v>14.578631634592387</c:v>
                </c:pt>
                <c:pt idx="66">
                  <c:v>12.704470373148292</c:v>
                </c:pt>
                <c:pt idx="67">
                  <c:v>12.696292594632686</c:v>
                </c:pt>
                <c:pt idx="68">
                  <c:v>15.163536912490084</c:v>
                </c:pt>
                <c:pt idx="69">
                  <c:v>13.924995435798305</c:v>
                </c:pt>
                <c:pt idx="70">
                  <c:v>13.295846052863391</c:v>
                </c:pt>
                <c:pt idx="71">
                  <c:v>14.522671018099176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Projection!$W$3:$W$4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Projection!$W$5:$W$77</c:f>
              <c:numCache>
                <c:formatCode>General</c:formatCode>
                <c:ptCount val="72"/>
                <c:pt idx="0">
                  <c:v>15.15012058688473</c:v>
                </c:pt>
                <c:pt idx="1">
                  <c:v>14.385430221458318</c:v>
                </c:pt>
                <c:pt idx="2">
                  <c:v>14.253844611729495</c:v>
                </c:pt>
                <c:pt idx="3">
                  <c:v>14.744102733884922</c:v>
                </c:pt>
                <c:pt idx="4">
                  <c:v>13.361212037017767</c:v>
                </c:pt>
                <c:pt idx="5">
                  <c:v>14.460620213040688</c:v>
                </c:pt>
                <c:pt idx="6">
                  <c:v>12.482034032850219</c:v>
                </c:pt>
                <c:pt idx="7">
                  <c:v>12.96378980087206</c:v>
                </c:pt>
                <c:pt idx="8">
                  <c:v>14.024608023164053</c:v>
                </c:pt>
                <c:pt idx="9">
                  <c:v>13.285690331869748</c:v>
                </c:pt>
                <c:pt idx="10">
                  <c:v>13.141203218116459</c:v>
                </c:pt>
                <c:pt idx="11">
                  <c:v>13.573244567430221</c:v>
                </c:pt>
                <c:pt idx="12">
                  <c:v>12.465557663387216</c:v>
                </c:pt>
                <c:pt idx="13">
                  <c:v>14.046170391208278</c:v>
                </c:pt>
                <c:pt idx="14">
                  <c:v>12.901500530299492</c:v>
                </c:pt>
                <c:pt idx="15">
                  <c:v>12.9122072009473</c:v>
                </c:pt>
                <c:pt idx="16">
                  <c:v>12.918608049488379</c:v>
                </c:pt>
                <c:pt idx="17">
                  <c:v>12.920410421835172</c:v>
                </c:pt>
                <c:pt idx="18">
                  <c:v>12.338790024873425</c:v>
                </c:pt>
                <c:pt idx="19">
                  <c:v>11.74936218930921</c:v>
                </c:pt>
                <c:pt idx="20">
                  <c:v>14.041464458825203</c:v>
                </c:pt>
                <c:pt idx="21">
                  <c:v>11.720621242414941</c:v>
                </c:pt>
                <c:pt idx="22">
                  <c:v>13.426835309665286</c:v>
                </c:pt>
                <c:pt idx="23">
                  <c:v>13.39621352569641</c:v>
                </c:pt>
                <c:pt idx="24">
                  <c:v>12.404902078381131</c:v>
                </c:pt>
                <c:pt idx="25">
                  <c:v>14.315683082366204</c:v>
                </c:pt>
                <c:pt idx="26">
                  <c:v>12.720060408026546</c:v>
                </c:pt>
                <c:pt idx="27">
                  <c:v>14.080971673407605</c:v>
                </c:pt>
                <c:pt idx="28">
                  <c:v>13.651760789103019</c:v>
                </c:pt>
                <c:pt idx="29">
                  <c:v>13.206421654145107</c:v>
                </c:pt>
                <c:pt idx="30">
                  <c:v>13.995403142534268</c:v>
                </c:pt>
                <c:pt idx="31">
                  <c:v>12.904317333059446</c:v>
                </c:pt>
                <c:pt idx="32">
                  <c:v>14.345883779024193</c:v>
                </c:pt>
                <c:pt idx="33">
                  <c:v>14.52362525106896</c:v>
                </c:pt>
                <c:pt idx="34">
                  <c:v>15.350992869944957</c:v>
                </c:pt>
                <c:pt idx="35">
                  <c:v>14.88404291710701</c:v>
                </c:pt>
                <c:pt idx="36">
                  <c:v>14.874281181799521</c:v>
                </c:pt>
                <c:pt idx="37">
                  <c:v>16.168898851388946</c:v>
                </c:pt>
                <c:pt idx="38">
                  <c:v>13.532691939342556</c:v>
                </c:pt>
                <c:pt idx="39">
                  <c:v>16.147913296448724</c:v>
                </c:pt>
                <c:pt idx="40">
                  <c:v>14.835398997935389</c:v>
                </c:pt>
                <c:pt idx="41">
                  <c:v>14.168140191450096</c:v>
                </c:pt>
                <c:pt idx="42">
                  <c:v>14.815952591677151</c:v>
                </c:pt>
                <c:pt idx="43">
                  <c:v>13.488082984911099</c:v>
                </c:pt>
                <c:pt idx="44">
                  <c:v>14.796451103249408</c:v>
                </c:pt>
                <c:pt idx="45">
                  <c:v>14.786673315006915</c:v>
                </c:pt>
                <c:pt idx="46">
                  <c:v>15.42783044088779</c:v>
                </c:pt>
                <c:pt idx="47">
                  <c:v>14.111913292472543</c:v>
                </c:pt>
                <c:pt idx="48">
                  <c:v>15.40737887856306</c:v>
                </c:pt>
                <c:pt idx="49">
                  <c:v>15.39711862354417</c:v>
                </c:pt>
                <c:pt idx="50">
                  <c:v>14.083535185094787</c:v>
                </c:pt>
                <c:pt idx="51">
                  <c:v>16.020964956921556</c:v>
                </c:pt>
                <c:pt idx="52">
                  <c:v>14.064508093375682</c:v>
                </c:pt>
                <c:pt idx="53">
                  <c:v>14.707674596000341</c:v>
                </c:pt>
                <c:pt idx="54">
                  <c:v>14.697697510357788</c:v>
                </c:pt>
                <c:pt idx="55">
                  <c:v>13.379343919161556</c:v>
                </c:pt>
                <c:pt idx="56">
                  <c:v>15.324630291952646</c:v>
                </c:pt>
                <c:pt idx="57">
                  <c:v>14.667627444109321</c:v>
                </c:pt>
                <c:pt idx="58">
                  <c:v>14.006897165116882</c:v>
                </c:pt>
                <c:pt idx="59">
                  <c:v>15.293202517302673</c:v>
                </c:pt>
                <c:pt idx="60">
                  <c:v>15.282678280382722</c:v>
                </c:pt>
                <c:pt idx="61">
                  <c:v>14.627209731356583</c:v>
                </c:pt>
                <c:pt idx="62">
                  <c:v>14.617047420142848</c:v>
                </c:pt>
                <c:pt idx="63">
                  <c:v>15.250960754046384</c:v>
                </c:pt>
                <c:pt idx="64">
                  <c:v>13.94848871324611</c:v>
                </c:pt>
                <c:pt idx="65">
                  <c:v>15.229695217245753</c:v>
                </c:pt>
                <c:pt idx="66">
                  <c:v>13.277023864373517</c:v>
                </c:pt>
                <c:pt idx="67">
                  <c:v>13.267595447364567</c:v>
                </c:pt>
                <c:pt idx="68">
                  <c:v>15.835219607548067</c:v>
                </c:pt>
                <c:pt idx="69">
                  <c:v>14.545264831283111</c:v>
                </c:pt>
                <c:pt idx="70">
                  <c:v>13.889285215453839</c:v>
                </c:pt>
                <c:pt idx="71">
                  <c:v>15.16532217151626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202304"/>
        <c:axId val="371212288"/>
      </c:lineChart>
      <c:catAx>
        <c:axId val="371202304"/>
        <c:scaling>
          <c:orientation val="minMax"/>
        </c:scaling>
        <c:delete val="0"/>
        <c:axPos val="b"/>
        <c:majorTickMark val="out"/>
        <c:minorTickMark val="none"/>
        <c:tickLblPos val="nextTo"/>
        <c:crossAx val="37121228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71212288"/>
        <c:scaling>
          <c:orientation val="minMax"/>
          <c:min val="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7120230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57150</xdr:colOff>
      <xdr:row>5</xdr:row>
      <xdr:rowOff>28576</xdr:rowOff>
    </xdr:from>
    <xdr:to>
      <xdr:col>36</xdr:col>
      <xdr:colOff>0</xdr:colOff>
      <xdr:row>7</xdr:row>
      <xdr:rowOff>13336</xdr:rowOff>
    </xdr:to>
    <xdr:sp macro="[0]!RunApplicationActivityReport" textlink="">
      <xdr:nvSpPr>
        <xdr:cNvPr id="2" name="Rounded Rectangle 1"/>
        <xdr:cNvSpPr/>
      </xdr:nvSpPr>
      <xdr:spPr>
        <a:xfrm>
          <a:off x="16649700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36</xdr:col>
      <xdr:colOff>276226</xdr:colOff>
      <xdr:row>5</xdr:row>
      <xdr:rowOff>28576</xdr:rowOff>
    </xdr:from>
    <xdr:to>
      <xdr:col>38</xdr:col>
      <xdr:colOff>47626</xdr:colOff>
      <xdr:row>7</xdr:row>
      <xdr:rowOff>13336</xdr:rowOff>
    </xdr:to>
    <xdr:sp macro="[1]!CreatePDFReport" textlink="">
      <xdr:nvSpPr>
        <xdr:cNvPr id="3" name="Rounded Rectangle 2"/>
        <xdr:cNvSpPr/>
      </xdr:nvSpPr>
      <xdr:spPr>
        <a:xfrm>
          <a:off x="18173701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694764</xdr:colOff>
      <xdr:row>10</xdr:row>
      <xdr:rowOff>0</xdr:rowOff>
    </xdr:from>
    <xdr:to>
      <xdr:col>13</xdr:col>
      <xdr:colOff>165846</xdr:colOff>
      <xdr:row>25</xdr:row>
      <xdr:rowOff>128195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</xdr:colOff>
      <xdr:row>26</xdr:row>
      <xdr:rowOff>78439</xdr:rowOff>
    </xdr:from>
    <xdr:to>
      <xdr:col>13</xdr:col>
      <xdr:colOff>165848</xdr:colOff>
      <xdr:row>42</xdr:row>
      <xdr:rowOff>161811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493059</xdr:colOff>
      <xdr:row>9</xdr:row>
      <xdr:rowOff>235323</xdr:rowOff>
    </xdr:from>
    <xdr:to>
      <xdr:col>20</xdr:col>
      <xdr:colOff>658906</xdr:colOff>
      <xdr:row>25</xdr:row>
      <xdr:rowOff>112059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22409</xdr:colOff>
      <xdr:row>26</xdr:row>
      <xdr:rowOff>78439</xdr:rowOff>
    </xdr:from>
    <xdr:to>
      <xdr:col>21</xdr:col>
      <xdr:colOff>188256</xdr:colOff>
      <xdr:row>42</xdr:row>
      <xdr:rowOff>161811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537881</xdr:colOff>
      <xdr:row>43</xdr:row>
      <xdr:rowOff>201707</xdr:rowOff>
    </xdr:from>
    <xdr:to>
      <xdr:col>21</xdr:col>
      <xdr:colOff>145676</xdr:colOff>
      <xdr:row>58</xdr:row>
      <xdr:rowOff>116991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100853</xdr:colOff>
      <xdr:row>43</xdr:row>
      <xdr:rowOff>168088</xdr:rowOff>
    </xdr:from>
    <xdr:to>
      <xdr:col>13</xdr:col>
      <xdr:colOff>389963</xdr:colOff>
      <xdr:row>58</xdr:row>
      <xdr:rowOff>83372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112059</xdr:colOff>
      <xdr:row>18</xdr:row>
      <xdr:rowOff>78440</xdr:rowOff>
    </xdr:from>
    <xdr:to>
      <xdr:col>5</xdr:col>
      <xdr:colOff>627529</xdr:colOff>
      <xdr:row>34</xdr:row>
      <xdr:rowOff>78439</xdr:rowOff>
    </xdr:to>
    <xdr:sp macro="" textlink="">
      <xdr:nvSpPr>
        <xdr:cNvPr id="9" name="TextBox 8"/>
        <xdr:cNvSpPr txBox="1"/>
      </xdr:nvSpPr>
      <xdr:spPr>
        <a:xfrm rot="10800000">
          <a:off x="4303059" y="4493558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Historical</a:t>
          </a:r>
        </a:p>
      </xdr:txBody>
    </xdr:sp>
    <xdr:clientData/>
  </xdr:twoCellAnchor>
  <xdr:twoCellAnchor>
    <xdr:from>
      <xdr:col>5</xdr:col>
      <xdr:colOff>571499</xdr:colOff>
      <xdr:row>11</xdr:row>
      <xdr:rowOff>168089</xdr:rowOff>
    </xdr:from>
    <xdr:to>
      <xdr:col>5</xdr:col>
      <xdr:colOff>571499</xdr:colOff>
      <xdr:row>39</xdr:row>
      <xdr:rowOff>179294</xdr:rowOff>
    </xdr:to>
    <xdr:cxnSp macro="">
      <xdr:nvCxnSpPr>
        <xdr:cNvPr id="11" name="Straight Connector 10"/>
        <xdr:cNvCxnSpPr/>
      </xdr:nvCxnSpPr>
      <xdr:spPr>
        <a:xfrm flipH="1">
          <a:off x="4762499" y="3092824"/>
          <a:ext cx="0" cy="5782235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29136</xdr:colOff>
      <xdr:row>40</xdr:row>
      <xdr:rowOff>118782</xdr:rowOff>
    </xdr:from>
    <xdr:to>
      <xdr:col>5</xdr:col>
      <xdr:colOff>544606</xdr:colOff>
      <xdr:row>57</xdr:row>
      <xdr:rowOff>107575</xdr:rowOff>
    </xdr:to>
    <xdr:sp macro="" textlink="">
      <xdr:nvSpPr>
        <xdr:cNvPr id="14" name="TextBox 13"/>
        <xdr:cNvSpPr txBox="1"/>
      </xdr:nvSpPr>
      <xdr:spPr>
        <a:xfrm rot="10800000">
          <a:off x="4220136" y="9038664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Projection</a:t>
          </a:r>
        </a:p>
      </xdr:txBody>
    </xdr:sp>
    <xdr:clientData/>
  </xdr:twoCellAnchor>
  <xdr:twoCellAnchor>
    <xdr:from>
      <xdr:col>5</xdr:col>
      <xdr:colOff>571500</xdr:colOff>
      <xdr:row>44</xdr:row>
      <xdr:rowOff>44823</xdr:rowOff>
    </xdr:from>
    <xdr:to>
      <xdr:col>5</xdr:col>
      <xdr:colOff>571500</xdr:colOff>
      <xdr:row>56</xdr:row>
      <xdr:rowOff>11206</xdr:rowOff>
    </xdr:to>
    <xdr:cxnSp macro="">
      <xdr:nvCxnSpPr>
        <xdr:cNvPr id="15" name="Straight Connector 14"/>
        <xdr:cNvCxnSpPr/>
      </xdr:nvCxnSpPr>
      <xdr:spPr>
        <a:xfrm>
          <a:off x="4762500" y="9614647"/>
          <a:ext cx="0" cy="2521324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</sheetData>
      <sheetData sheetId="10"/>
      <sheetData sheetId="11"/>
      <sheetData sheetId="12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14.717577546297" createdVersion="4" refreshedVersion="4" minRefreshableVersion="3" recordCount="146">
  <cacheSource type="worksheet">
    <worksheetSource ref="A1:G147" sheet="Performance"/>
  </cacheSource>
  <cacheFields count="7">
    <cacheField name="DealID" numFmtId="0">
      <sharedItems count="14">
        <s v="FHL13DN01"/>
        <s v="FHL13DN02"/>
        <s v="FHL14DN01"/>
        <s v="FHL14DN02"/>
        <s v="FHL14DN03"/>
        <s v="FHL14DN04"/>
        <s v="FHL14HQ01"/>
        <s v="FHL14HQ02"/>
        <s v="FHL14HQ03"/>
        <s v="FHL15DN01"/>
        <s v="FHL15DNA1"/>
        <s v="FHL15DNA2"/>
        <s v="FHL15HQ01"/>
        <s v="FHL15HQ02"/>
      </sharedItems>
    </cacheField>
    <cacheField name="beginDate" numFmtId="14">
      <sharedItems containsSemiMixedTypes="0" containsNonDate="0" containsDate="1" containsString="0" minDate="2013-06-01T00:00:00" maxDate="2015-06-02T00:00:00" count="25"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</sharedItems>
    </cacheField>
    <cacheField name="CPR" numFmtId="43">
      <sharedItems containsSemiMixedTypes="0" containsString="0" containsNumber="1" minValue="0" maxValue="51.978200000000001"/>
    </cacheField>
    <cacheField name="CDR" numFmtId="43">
      <sharedItems containsSemiMixedTypes="0" containsString="0" containsNumber="1" minValue="0" maxValue="0.22869999999999999"/>
    </cacheField>
    <cacheField name="pct_dq" numFmtId="2">
      <sharedItems containsSemiMixedTypes="0" containsString="0" containsNumber="1" minValue="0" maxValue="0.61644989212499102"/>
    </cacheField>
    <cacheField name="cum_pp_pct" numFmtId="2">
      <sharedItems containsSemiMixedTypes="0" containsString="0" containsNumber="1" minValue="0.67999999999999994" maxValue="28.64"/>
    </cacheField>
    <cacheField name="cum_df_pct" numFmtId="2">
      <sharedItems containsSemiMixedTypes="0" containsString="0" containsNumber="1" minValue="0" maxValue="6.9999999999999993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220.627708333333" createdVersion="4" refreshedVersion="4" minRefreshableVersion="3" recordCount="432">
  <cacheSource type="worksheet">
    <worksheetSource ref="B1:J433" sheet="Projection"/>
  </cacheSource>
  <cacheFields count="9">
    <cacheField name="type" numFmtId="0">
      <sharedItems/>
    </cacheField>
    <cacheField name="period" numFmtId="14">
      <sharedItems containsSemiMixedTypes="0" containsNonDate="0" containsDate="1" containsString="0" minDate="2015-07-01T00:00:00" maxDate="2021-06-02T00:00:00" count="72"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</sharedItems>
    </cacheField>
    <cacheField name="bucket" numFmtId="0">
      <sharedItems/>
    </cacheField>
    <cacheField name="bucket.val" numFmtId="0">
      <sharedItems/>
    </cacheField>
    <cacheField name="metric" numFmtId="0">
      <sharedItems count="2">
        <s v="Single Month Mortality"/>
        <s v="Monthly Default Rate"/>
      </sharedItems>
    </cacheField>
    <cacheField name="metric.val" numFmtId="0">
      <sharedItems containsSemiMixedTypes="0" containsString="0" containsNumber="1" minValue="5.7064378356679999E-5" maxValue="1.52287722164584E-2"/>
    </cacheField>
    <cacheField name="File" numFmtId="0">
      <sharedItems/>
    </cacheField>
    <cacheField name="Scenario" numFmtId="0">
      <sharedItems count="3">
        <s v="Sev"/>
        <s v="Flat"/>
        <s v="Base"/>
      </sharedItems>
    </cacheField>
    <cacheField name="Annualized" numFmtId="0">
      <sharedItems containsSemiMixedTypes="0" containsString="0" containsNumber="1" minValue="6.8455766249975181E-2" maxValue="16.8189850682511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6">
  <r>
    <x v="0"/>
    <x v="0"/>
    <n v="7.1894999999999998"/>
    <n v="0"/>
    <n v="0"/>
    <n v="0.69"/>
    <n v="0"/>
  </r>
  <r>
    <x v="0"/>
    <x v="1"/>
    <n v="5.2968000000000002"/>
    <n v="0"/>
    <n v="0.12667221826199199"/>
    <n v="1.1900000000000002"/>
    <n v="0"/>
  </r>
  <r>
    <x v="0"/>
    <x v="2"/>
    <n v="3.7195999999999998"/>
    <n v="0"/>
    <n v="0.10356345223757799"/>
    <n v="1.53"/>
    <n v="0"/>
  </r>
  <r>
    <x v="0"/>
    <x v="3"/>
    <n v="3.9026999999999998"/>
    <n v="0"/>
    <n v="0.137402924202362"/>
    <n v="1.9"/>
    <n v="0"/>
  </r>
  <r>
    <x v="0"/>
    <x v="4"/>
    <n v="3.5990000000000002"/>
    <n v="0"/>
    <n v="0.15484221430720702"/>
    <n v="2.23"/>
    <n v="0"/>
  </r>
  <r>
    <x v="0"/>
    <x v="5"/>
    <n v="3.7277999999999998"/>
    <n v="5.4000000000000003E-3"/>
    <n v="0.15094332223427401"/>
    <n v="2.5700000000000003"/>
    <n v="0"/>
  </r>
  <r>
    <x v="0"/>
    <x v="6"/>
    <n v="3.1396999999999999"/>
    <n v="1.66E-2"/>
    <n v="0.21700490437786399"/>
    <n v="2.85"/>
    <n v="0"/>
  </r>
  <r>
    <x v="0"/>
    <x v="7"/>
    <n v="2.976"/>
    <n v="0.03"/>
    <n v="0.21894667321964001"/>
    <n v="3.1199999999999997"/>
    <n v="0"/>
  </r>
  <r>
    <x v="0"/>
    <x v="8"/>
    <n v="3.8313999999999999"/>
    <n v="1.9E-2"/>
    <n v="0.23021683029496001"/>
    <n v="3.47"/>
    <n v="0"/>
  </r>
  <r>
    <x v="0"/>
    <x v="9"/>
    <n v="3.9773000000000001"/>
    <n v="8.3900000000000002E-2"/>
    <n v="0.28763854780915599"/>
    <n v="3.83"/>
    <n v="0.01"/>
  </r>
  <r>
    <x v="0"/>
    <x v="10"/>
    <n v="5.8136999999999999"/>
    <n v="5.5599999999999997E-2"/>
    <n v="0.17641106928362399"/>
    <n v="4.3499999999999996"/>
    <n v="0.01"/>
  </r>
  <r>
    <x v="0"/>
    <x v="11"/>
    <n v="7.3971999999999998"/>
    <n v="5.04E-2"/>
    <n v="0.17421491729425201"/>
    <n v="5.0200000000000005"/>
    <n v="0.02"/>
  </r>
  <r>
    <x v="0"/>
    <x v="12"/>
    <n v="6.9165999999999999"/>
    <n v="3.8899999999999997E-2"/>
    <n v="0.18080148243312499"/>
    <n v="5.64"/>
    <n v="0.02"/>
  </r>
  <r>
    <x v="0"/>
    <x v="13"/>
    <n v="6.4720000000000004"/>
    <n v="3.9800000000000002E-2"/>
    <n v="0.22194793062559801"/>
    <n v="6.21"/>
    <n v="0.02"/>
  </r>
  <r>
    <x v="0"/>
    <x v="14"/>
    <n v="5.0166000000000004"/>
    <n v="3.09E-2"/>
    <n v="0.21691470665304502"/>
    <n v="6.65"/>
    <n v="0.03"/>
  </r>
  <r>
    <x v="0"/>
    <x v="15"/>
    <n v="6.4724000000000004"/>
    <n v="5.0900000000000001E-2"/>
    <n v="0.25668689206130602"/>
    <n v="7.21"/>
    <n v="0.03"/>
  </r>
  <r>
    <x v="0"/>
    <x v="16"/>
    <n v="5.2816000000000001"/>
    <n v="5.8500000000000003E-2"/>
    <n v="0.24419934930955201"/>
    <n v="7.66"/>
    <n v="0.04"/>
  </r>
  <r>
    <x v="0"/>
    <x v="17"/>
    <n v="6.0025000000000004"/>
    <n v="2.3800000000000002E-2"/>
    <n v="0.226047138543922"/>
    <n v="8.18"/>
    <n v="0.04"/>
  </r>
  <r>
    <x v="0"/>
    <x v="18"/>
    <n v="5.2076000000000002"/>
    <n v="9.3100000000000002E-2"/>
    <n v="0.319782975405623"/>
    <n v="8.6199999999999992"/>
    <n v="0.05"/>
  </r>
  <r>
    <x v="0"/>
    <x v="19"/>
    <n v="7.9896000000000003"/>
    <n v="3.1E-2"/>
    <n v="0.25090365666056302"/>
    <n v="9.3000000000000007"/>
    <n v="0.05"/>
  </r>
  <r>
    <x v="0"/>
    <x v="20"/>
    <n v="11.042299999999999"/>
    <n v="5.7599999999999998E-2"/>
    <n v="0.25015041079039801"/>
    <n v="10.24"/>
    <n v="0.05"/>
  </r>
  <r>
    <x v="0"/>
    <x v="21"/>
    <n v="9.9810999999999996"/>
    <n v="7.2300000000000003E-2"/>
    <n v="0.30000390932597404"/>
    <n v="11.09"/>
    <n v="0.06"/>
  </r>
  <r>
    <x v="0"/>
    <x v="22"/>
    <n v="9.9797999999999991"/>
    <n v="5.2200000000000003E-2"/>
    <n v="0.221292653406198"/>
    <n v="11.92"/>
    <n v="0.06"/>
  </r>
  <r>
    <x v="0"/>
    <x v="23"/>
    <n v="11.419499999999999"/>
    <n v="0.12759999999999999"/>
    <n v="0.22937126205111899"/>
    <n v="12.86"/>
    <n v="6.9999999999999993E-2"/>
  </r>
  <r>
    <x v="0"/>
    <x v="24"/>
    <n v="0"/>
    <n v="0"/>
    <n v="0.26052343270604"/>
    <n v="12.86"/>
    <n v="6.9999999999999993E-2"/>
  </r>
  <r>
    <x v="1"/>
    <x v="5"/>
    <n v="8.3688000000000002"/>
    <n v="0"/>
    <n v="0.111349989822876"/>
    <n v="0.77"/>
    <n v="0"/>
  </r>
  <r>
    <x v="1"/>
    <x v="6"/>
    <n v="2.5486"/>
    <n v="0"/>
    <n v="0.17538831299275401"/>
    <n v="1"/>
    <n v="0"/>
  </r>
  <r>
    <x v="1"/>
    <x v="7"/>
    <n v="2.6267"/>
    <n v="0"/>
    <n v="0.18421270287605002"/>
    <n v="1.24"/>
    <n v="0"/>
  </r>
  <r>
    <x v="1"/>
    <x v="8"/>
    <n v="3.6274999999999999"/>
    <n v="8.9999999999999993E-3"/>
    <n v="0.17825470643351798"/>
    <n v="1.5599999999999998"/>
    <n v="0"/>
  </r>
  <r>
    <x v="1"/>
    <x v="9"/>
    <n v="3.9352999999999998"/>
    <n v="3.9E-2"/>
    <n v="0.24791712180865"/>
    <n v="1.91"/>
    <n v="0"/>
  </r>
  <r>
    <x v="1"/>
    <x v="10"/>
    <n v="5.2506000000000004"/>
    <n v="1.7299999999999999E-2"/>
    <n v="0.20046795170412401"/>
    <n v="2.3800000000000003"/>
    <n v="0"/>
  </r>
  <r>
    <x v="1"/>
    <x v="11"/>
    <n v="5.7789000000000001"/>
    <n v="2.12E-2"/>
    <n v="0.206107820186025"/>
    <n v="2.9000000000000004"/>
    <n v="0"/>
  </r>
  <r>
    <x v="1"/>
    <x v="12"/>
    <n v="5.8940999999999999"/>
    <n v="2.7699999999999999E-2"/>
    <n v="0.19825996525561401"/>
    <n v="3.42"/>
    <n v="0"/>
  </r>
  <r>
    <x v="1"/>
    <x v="13"/>
    <n v="5.4923000000000002"/>
    <n v="2.58E-2"/>
    <n v="0.22383653709816698"/>
    <n v="3.9"/>
    <n v="0.01"/>
  </r>
  <r>
    <x v="1"/>
    <x v="14"/>
    <n v="4.6874000000000002"/>
    <n v="2.06E-2"/>
    <n v="0.221458099902341"/>
    <n v="4.3"/>
    <n v="0.01"/>
  </r>
  <r>
    <x v="1"/>
    <x v="15"/>
    <n v="5.3079999999999998"/>
    <n v="5.4300000000000001E-2"/>
    <n v="0.25701887094479298"/>
    <n v="4.7600000000000007"/>
    <n v="0.01"/>
  </r>
  <r>
    <x v="1"/>
    <x v="16"/>
    <n v="4.5232999999999999"/>
    <n v="5.67E-2"/>
    <n v="0.25146402216979902"/>
    <n v="5.1499999999999995"/>
    <n v="0.02"/>
  </r>
  <r>
    <x v="1"/>
    <x v="17"/>
    <n v="5.1199000000000003"/>
    <n v="4.8800000000000003E-2"/>
    <n v="0.21534383388060199"/>
    <n v="5.58"/>
    <n v="0.02"/>
  </r>
  <r>
    <x v="1"/>
    <x v="18"/>
    <n v="3.7650000000000001"/>
    <n v="2.7799999999999998E-2"/>
    <n v="0.313722601890914"/>
    <n v="5.8999999999999995"/>
    <n v="0.02"/>
  </r>
  <r>
    <x v="1"/>
    <x v="19"/>
    <n v="4.7008000000000001"/>
    <n v="8.4000000000000005E-2"/>
    <n v="0.25071003222516702"/>
    <n v="6.29"/>
    <n v="0.03"/>
  </r>
  <r>
    <x v="1"/>
    <x v="20"/>
    <n v="7.3334999999999999"/>
    <n v="4.3700000000000003E-2"/>
    <n v="0.26006103189278601"/>
    <n v="6.9099999999999993"/>
    <n v="0.04"/>
  </r>
  <r>
    <x v="1"/>
    <x v="21"/>
    <n v="7.4539999999999997"/>
    <n v="6.3100000000000003E-2"/>
    <n v="0.30653763936751099"/>
    <n v="7.53"/>
    <n v="0.04"/>
  </r>
  <r>
    <x v="1"/>
    <x v="22"/>
    <n v="8.0878999999999994"/>
    <n v="0.1116"/>
    <n v="0.212804341599132"/>
    <n v="8.2100000000000009"/>
    <n v="0.05"/>
  </r>
  <r>
    <x v="1"/>
    <x v="23"/>
    <n v="9.1"/>
    <n v="2.2200000000000001E-2"/>
    <n v="0.23137861072066801"/>
    <n v="8.9599999999999991"/>
    <n v="0.05"/>
  </r>
  <r>
    <x v="1"/>
    <x v="24"/>
    <n v="0"/>
    <n v="0"/>
    <n v="0.32330500813024599"/>
    <n v="8.9599999999999991"/>
    <n v="0.05"/>
  </r>
  <r>
    <x v="2"/>
    <x v="8"/>
    <n v="7.4269999999999996"/>
    <n v="0"/>
    <n v="8.3035215336207904E-2"/>
    <n v="0.67999999999999994"/>
    <n v="0"/>
  </r>
  <r>
    <x v="2"/>
    <x v="9"/>
    <n v="3.8881000000000001"/>
    <n v="0"/>
    <n v="0.15226672684829901"/>
    <n v="1.03"/>
    <n v="0"/>
  </r>
  <r>
    <x v="2"/>
    <x v="10"/>
    <n v="4.7267999999999999"/>
    <n v="0"/>
    <n v="0.11277179985904899"/>
    <n v="1.4500000000000002"/>
    <n v="0"/>
  </r>
  <r>
    <x v="2"/>
    <x v="11"/>
    <n v="5.5388000000000002"/>
    <n v="1.5599999999999999E-2"/>
    <n v="0.137937264918369"/>
    <n v="1.95"/>
    <n v="0"/>
  </r>
  <r>
    <x v="2"/>
    <x v="12"/>
    <n v="5.3395999999999999"/>
    <n v="3.0999999999999999E-3"/>
    <n v="0.16926852605984802"/>
    <n v="2.42"/>
    <n v="0"/>
  </r>
  <r>
    <x v="2"/>
    <x v="13"/>
    <n v="4.8250000000000002"/>
    <n v="2.6100000000000002E-2"/>
    <n v="0.20239341257222701"/>
    <n v="2.85"/>
    <n v="0"/>
  </r>
  <r>
    <x v="2"/>
    <x v="14"/>
    <n v="4.5701999999999998"/>
    <n v="4.4900000000000002E-2"/>
    <n v="0.21676206490169797"/>
    <n v="3.25"/>
    <n v="0"/>
  </r>
  <r>
    <x v="2"/>
    <x v="15"/>
    <n v="5.1115000000000004"/>
    <n v="2.86E-2"/>
    <n v="0.25084879073542204"/>
    <n v="3.6900000000000004"/>
    <n v="0.01"/>
  </r>
  <r>
    <x v="2"/>
    <x v="16"/>
    <n v="4.7755000000000001"/>
    <n v="4.2700000000000002E-2"/>
    <n v="0.24358036540553901"/>
    <n v="4.1000000000000005"/>
    <n v="0.01"/>
  </r>
  <r>
    <x v="2"/>
    <x v="17"/>
    <n v="5.1914999999999996"/>
    <n v="2.1299999999999999E-2"/>
    <n v="0.194980190378507"/>
    <n v="4.55"/>
    <n v="0.01"/>
  </r>
  <r>
    <x v="2"/>
    <x v="18"/>
    <n v="4.2118000000000002"/>
    <n v="6.59E-2"/>
    <n v="0.316395234487096"/>
    <n v="4.91"/>
    <n v="0.02"/>
  </r>
  <r>
    <x v="2"/>
    <x v="19"/>
    <n v="5.9295999999999998"/>
    <n v="2.35E-2"/>
    <n v="0.24825080357062301"/>
    <n v="5.41"/>
    <n v="0.02"/>
  </r>
  <r>
    <x v="2"/>
    <x v="20"/>
    <n v="7.6299000000000001"/>
    <n v="3.1099999999999999E-2"/>
    <n v="0.25249433576771502"/>
    <n v="6.0600000000000005"/>
    <n v="0.02"/>
  </r>
  <r>
    <x v="2"/>
    <x v="21"/>
    <n v="8.0511999999999997"/>
    <n v="2.2800000000000001E-2"/>
    <n v="0.31499647857695201"/>
    <n v="6.75"/>
    <n v="0.02"/>
  </r>
  <r>
    <x v="2"/>
    <x v="22"/>
    <n v="9.2845999999999993"/>
    <n v="6.3500000000000001E-2"/>
    <n v="0.235929860311377"/>
    <n v="7.53"/>
    <n v="0.03"/>
  </r>
  <r>
    <x v="2"/>
    <x v="23"/>
    <n v="9.7987000000000002"/>
    <n v="2.69E-2"/>
    <n v="0.24597052332955299"/>
    <n v="8.35"/>
    <n v="0.03"/>
  </r>
  <r>
    <x v="2"/>
    <x v="24"/>
    <n v="0"/>
    <n v="0"/>
    <n v="0.283053241141691"/>
    <n v="8.35"/>
    <n v="0.03"/>
  </r>
  <r>
    <x v="3"/>
    <x v="10"/>
    <n v="14.718299999999999"/>
    <n v="0"/>
    <n v="0.125824980264575"/>
    <n v="1.5"/>
    <n v="0"/>
  </r>
  <r>
    <x v="3"/>
    <x v="11"/>
    <n v="8.6524000000000001"/>
    <n v="0"/>
    <n v="0.159444043323311"/>
    <n v="2.34"/>
    <n v="0"/>
  </r>
  <r>
    <x v="3"/>
    <x v="12"/>
    <n v="8.5411999999999999"/>
    <n v="0"/>
    <n v="0.162206789496806"/>
    <n v="3.16"/>
    <n v="0"/>
  </r>
  <r>
    <x v="3"/>
    <x v="13"/>
    <n v="7.7906000000000004"/>
    <n v="4.2799999999999998E-2"/>
    <n v="0.18349704792402902"/>
    <n v="3.91"/>
    <n v="0"/>
  </r>
  <r>
    <x v="3"/>
    <x v="14"/>
    <n v="7.0224000000000002"/>
    <n v="3.3999999999999998E-3"/>
    <n v="0.177433496993155"/>
    <n v="4.5699999999999994"/>
    <n v="0"/>
  </r>
  <r>
    <x v="3"/>
    <x v="15"/>
    <n v="7.5042999999999997"/>
    <n v="3.9E-2"/>
    <n v="0.22391729474885499"/>
    <n v="5.27"/>
    <n v="0"/>
  </r>
  <r>
    <x v="3"/>
    <x v="16"/>
    <n v="10.3561"/>
    <n v="2.5000000000000001E-2"/>
    <n v="0.23875834479081601"/>
    <n v="6.2399999999999993"/>
    <n v="0.01"/>
  </r>
  <r>
    <x v="3"/>
    <x v="17"/>
    <n v="11.3248"/>
    <n v="2.2499999999999999E-2"/>
    <n v="0.22911961585951199"/>
    <n v="7.3"/>
    <n v="0.01"/>
  </r>
  <r>
    <x v="3"/>
    <x v="18"/>
    <n v="9.6349999999999998"/>
    <n v="3.2599999999999997E-2"/>
    <n v="0.36134533615784098"/>
    <n v="8.18"/>
    <n v="0.01"/>
  </r>
  <r>
    <x v="3"/>
    <x v="19"/>
    <n v="17.597200000000001"/>
    <n v="3.6299999999999999E-2"/>
    <n v="0.28897348095416797"/>
    <n v="9.84"/>
    <n v="0.01"/>
  </r>
  <r>
    <x v="3"/>
    <x v="20"/>
    <n v="19.887699999999999"/>
    <n v="3.4700000000000002E-2"/>
    <n v="0.28917338018387501"/>
    <n v="11.709999999999999"/>
    <n v="0.02"/>
  </r>
  <r>
    <x v="3"/>
    <x v="21"/>
    <n v="13.9582"/>
    <n v="4.1599999999999998E-2"/>
    <n v="0.34767765375114001"/>
    <n v="12.950000000000001"/>
    <n v="0.02"/>
  </r>
  <r>
    <x v="3"/>
    <x v="22"/>
    <n v="13.7494"/>
    <n v="5.2600000000000001E-2"/>
    <n v="0.26331290473771801"/>
    <n v="14.149999999999999"/>
    <n v="0.02"/>
  </r>
  <r>
    <x v="3"/>
    <x v="23"/>
    <n v="13.478199999999999"/>
    <n v="5.04E-2"/>
    <n v="0.28994875935216796"/>
    <n v="15.32"/>
    <n v="0.03"/>
  </r>
  <r>
    <x v="3"/>
    <x v="24"/>
    <n v="0"/>
    <n v="0"/>
    <n v="0.34288805643157899"/>
    <n v="15.32"/>
    <n v="0.03"/>
  </r>
  <r>
    <x v="4"/>
    <x v="14"/>
    <n v="34.337400000000002"/>
    <n v="0"/>
    <n v="0.18750273449471"/>
    <n v="4.38"/>
    <n v="0"/>
  </r>
  <r>
    <x v="4"/>
    <x v="15"/>
    <n v="13.198499999999999"/>
    <n v="0"/>
    <n v="0.218480727059924"/>
    <n v="5.81"/>
    <n v="0"/>
  </r>
  <r>
    <x v="4"/>
    <x v="16"/>
    <n v="22.500599999999999"/>
    <n v="0"/>
    <n v="0.256334747836789"/>
    <n v="8.36"/>
    <n v="0"/>
  </r>
  <r>
    <x v="4"/>
    <x v="17"/>
    <n v="22.5213"/>
    <n v="4.2700000000000002E-2"/>
    <n v="0.25782310018865501"/>
    <n v="10.84"/>
    <n v="0"/>
  </r>
  <r>
    <x v="4"/>
    <x v="18"/>
    <n v="19.411799999999999"/>
    <n v="0"/>
    <n v="0.41618114863963895"/>
    <n v="12.9"/>
    <n v="0"/>
  </r>
  <r>
    <x v="4"/>
    <x v="19"/>
    <n v="37.158299999999997"/>
    <n v="4.1000000000000002E-2"/>
    <n v="0.36901987117811802"/>
    <n v="17.2"/>
    <n v="0"/>
  </r>
  <r>
    <x v="4"/>
    <x v="20"/>
    <n v="38.846600000000002"/>
    <n v="4.6100000000000002E-2"/>
    <n v="0.39045994484270097"/>
    <n v="21.560000000000002"/>
    <n v="0.01"/>
  </r>
  <r>
    <x v="4"/>
    <x v="21"/>
    <n v="27.4253"/>
    <n v="9.6799999999999997E-2"/>
    <n v="0.49454945394582694"/>
    <n v="24.3"/>
    <n v="0.02"/>
  </r>
  <r>
    <x v="4"/>
    <x v="22"/>
    <n v="24.923400000000001"/>
    <n v="5.9700000000000003E-2"/>
    <n v="0.40934867388750701"/>
    <n v="26.69"/>
    <n v="0.02"/>
  </r>
  <r>
    <x v="4"/>
    <x v="23"/>
    <n v="21.3535"/>
    <n v="0.1091"/>
    <n v="0.41318942079793203"/>
    <n v="28.64"/>
    <n v="0.03"/>
  </r>
  <r>
    <x v="4"/>
    <x v="24"/>
    <n v="0"/>
    <n v="0"/>
    <n v="0.532332738514399"/>
    <n v="28.64"/>
    <n v="0.03"/>
  </r>
  <r>
    <x v="5"/>
    <x v="15"/>
    <n v="13.3165"/>
    <n v="0"/>
    <n v="0"/>
    <n v="1.46"/>
    <n v="0"/>
  </r>
  <r>
    <x v="5"/>
    <x v="16"/>
    <n v="22.260400000000001"/>
    <n v="0"/>
    <n v="0.19170658184365799"/>
    <n v="3.9800000000000004"/>
    <n v="0"/>
  </r>
  <r>
    <x v="5"/>
    <x v="17"/>
    <n v="21.629799999999999"/>
    <n v="0"/>
    <n v="0.173821680992786"/>
    <n v="6.370000000000001"/>
    <n v="0"/>
  </r>
  <r>
    <x v="5"/>
    <x v="18"/>
    <n v="21.002500000000001"/>
    <n v="0"/>
    <n v="0.35413995458346703"/>
    <n v="8.6300000000000008"/>
    <n v="0"/>
  </r>
  <r>
    <x v="5"/>
    <x v="19"/>
    <n v="35.541899999999998"/>
    <n v="0"/>
    <n v="0.27748621000516899"/>
    <n v="12.72"/>
    <n v="0"/>
  </r>
  <r>
    <x v="5"/>
    <x v="20"/>
    <n v="41.523499999999999"/>
    <n v="1.9099999999999999E-2"/>
    <n v="0.30916978033754999"/>
    <n v="17.510000000000002"/>
    <n v="0"/>
  </r>
  <r>
    <x v="5"/>
    <x v="21"/>
    <n v="27.0959"/>
    <n v="0"/>
    <n v="0.42376432266131597"/>
    <n v="20.23"/>
    <n v="0"/>
  </r>
  <r>
    <x v="5"/>
    <x v="22"/>
    <n v="23.529800000000002"/>
    <n v="6.83E-2"/>
    <n v="0.35782370579607603"/>
    <n v="22.470000000000002"/>
    <n v="0"/>
  </r>
  <r>
    <x v="5"/>
    <x v="23"/>
    <n v="22.621600000000001"/>
    <n v="5.1000000000000004E-3"/>
    <n v="0.390627776894863"/>
    <n v="24.57"/>
    <n v="0"/>
  </r>
  <r>
    <x v="5"/>
    <x v="24"/>
    <n v="0"/>
    <n v="0"/>
    <n v="0.47030986431971999"/>
    <n v="24.57"/>
    <n v="0"/>
  </r>
  <r>
    <x v="6"/>
    <x v="14"/>
    <n v="26.836099999999998"/>
    <n v="0"/>
    <n v="0.17774701574957899"/>
    <n v="3.1199999999999997"/>
    <n v="0"/>
  </r>
  <r>
    <x v="6"/>
    <x v="15"/>
    <n v="11.3437"/>
    <n v="0"/>
    <n v="0.26546245827528098"/>
    <n v="4.3"/>
    <n v="0"/>
  </r>
  <r>
    <x v="6"/>
    <x v="16"/>
    <n v="17.6995"/>
    <n v="0"/>
    <n v="0.30729143052024899"/>
    <n v="6.18"/>
    <n v="0"/>
  </r>
  <r>
    <x v="6"/>
    <x v="17"/>
    <n v="18.272500000000001"/>
    <n v="4.3099999999999999E-2"/>
    <n v="0.35378818839678899"/>
    <n v="8.09"/>
    <n v="0"/>
  </r>
  <r>
    <x v="6"/>
    <x v="18"/>
    <n v="15.596500000000001"/>
    <n v="0.1948"/>
    <n v="0.51635036194168704"/>
    <n v="9.67"/>
    <n v="0.02"/>
  </r>
  <r>
    <x v="6"/>
    <x v="19"/>
    <n v="30.398"/>
    <n v="0"/>
    <n v="0.426063121324534"/>
    <n v="12.97"/>
    <n v="0.02"/>
  </r>
  <r>
    <x v="6"/>
    <x v="20"/>
    <n v="33.429000000000002"/>
    <n v="0.1084"/>
    <n v="0.53237138676784901"/>
    <n v="16.54"/>
    <n v="0.03"/>
  </r>
  <r>
    <x v="6"/>
    <x v="21"/>
    <n v="22.344000000000001"/>
    <n v="0.1807"/>
    <n v="0.58858695835742603"/>
    <n v="18.7"/>
    <n v="0.04"/>
  </r>
  <r>
    <x v="6"/>
    <x v="22"/>
    <n v="21.953800000000001"/>
    <n v="0.22869999999999999"/>
    <n v="0.42740795025214895"/>
    <n v="20.77"/>
    <n v="0.06"/>
  </r>
  <r>
    <x v="6"/>
    <x v="23"/>
    <n v="21.616299999999999"/>
    <n v="6.4899999999999999E-2"/>
    <n v="0.51322419447953493"/>
    <n v="22.759999999999998"/>
    <n v="6.9999999999999993E-2"/>
  </r>
  <r>
    <x v="6"/>
    <x v="24"/>
    <n v="0"/>
    <n v="0"/>
    <n v="0.61644989212499102"/>
    <n v="22.759999999999998"/>
    <n v="6.9999999999999993E-2"/>
  </r>
  <r>
    <x v="7"/>
    <x v="15"/>
    <n v="17.9786"/>
    <n v="6.1999999999999998E-3"/>
    <n v="0.19867683813505799"/>
    <n v="1.73"/>
    <n v="0"/>
  </r>
  <r>
    <x v="7"/>
    <x v="16"/>
    <n v="7.1130000000000004"/>
    <n v="0"/>
    <n v="0.19704739462751297"/>
    <n v="2.37"/>
    <n v="0"/>
  </r>
  <r>
    <x v="7"/>
    <x v="17"/>
    <n v="7.6486000000000001"/>
    <n v="0"/>
    <n v="0.182791002941537"/>
    <n v="3.06"/>
    <n v="0"/>
  </r>
  <r>
    <x v="7"/>
    <x v="18"/>
    <n v="6.3979999999999997"/>
    <n v="2.5999999999999999E-2"/>
    <n v="0.31173836097395097"/>
    <n v="3.62"/>
    <n v="0"/>
  </r>
  <r>
    <x v="7"/>
    <x v="19"/>
    <n v="11.402200000000001"/>
    <n v="6.5199999999999994E-2"/>
    <n v="0.25871680534557295"/>
    <n v="4.6399999999999997"/>
    <n v="0"/>
  </r>
  <r>
    <x v="7"/>
    <x v="20"/>
    <n v="14.1052"/>
    <n v="8.3799999999999999E-2"/>
    <n v="0.29512584597165203"/>
    <n v="5.91"/>
    <n v="0.01"/>
  </r>
  <r>
    <x v="7"/>
    <x v="21"/>
    <n v="12.1469"/>
    <n v="0.06"/>
    <n v="0.341203728538442"/>
    <n v="6.97"/>
    <n v="0.02"/>
  </r>
  <r>
    <x v="7"/>
    <x v="22"/>
    <n v="12.386200000000001"/>
    <n v="6.0499999999999998E-2"/>
    <n v="0.25385131985243703"/>
    <n v="8.0500000000000007"/>
    <n v="0.02"/>
  </r>
  <r>
    <x v="7"/>
    <x v="23"/>
    <n v="12.855"/>
    <n v="6.08E-2"/>
    <n v="0.29648472609394599"/>
    <n v="9.15"/>
    <n v="0.03"/>
  </r>
  <r>
    <x v="7"/>
    <x v="24"/>
    <n v="0"/>
    <n v="0"/>
    <n v="0.376515711270408"/>
    <n v="9.15"/>
    <n v="0.03"/>
  </r>
  <r>
    <x v="8"/>
    <x v="15"/>
    <n v="7.9057000000000004"/>
    <n v="0"/>
    <n v="0"/>
    <n v="0.8"/>
    <n v="0"/>
  </r>
  <r>
    <x v="8"/>
    <x v="16"/>
    <n v="16.529800000000002"/>
    <n v="0"/>
    <n v="0.166233034743174"/>
    <n v="2.5299999999999998"/>
    <n v="0"/>
  </r>
  <r>
    <x v="8"/>
    <x v="17"/>
    <n v="14.737299999999999"/>
    <n v="0"/>
    <n v="0.18127235784901399"/>
    <n v="4.04"/>
    <n v="0"/>
  </r>
  <r>
    <x v="8"/>
    <x v="18"/>
    <n v="15.9307"/>
    <n v="0"/>
    <n v="0.32100016355282601"/>
    <n v="5.66"/>
    <n v="0"/>
  </r>
  <r>
    <x v="8"/>
    <x v="19"/>
    <n v="28.165900000000001"/>
    <n v="0"/>
    <n v="0.34388182085411201"/>
    <n v="8.67"/>
    <n v="0"/>
  </r>
  <r>
    <x v="8"/>
    <x v="20"/>
    <n v="34.780200000000001"/>
    <n v="0.18659999999999999"/>
    <n v="0.41123124381280396"/>
    <n v="12.44"/>
    <n v="0.01"/>
  </r>
  <r>
    <x v="8"/>
    <x v="21"/>
    <n v="22.173100000000002"/>
    <n v="0.1017"/>
    <n v="0.50680743447907906"/>
    <n v="14.580000000000002"/>
    <n v="0.02"/>
  </r>
  <r>
    <x v="8"/>
    <x v="22"/>
    <n v="20.960100000000001"/>
    <n v="0.1095"/>
    <n v="0.37748294798205301"/>
    <n v="16.55"/>
    <n v="0.03"/>
  </r>
  <r>
    <x v="8"/>
    <x v="23"/>
    <n v="19.663900000000002"/>
    <n v="0.1643"/>
    <n v="0.44673961711471694"/>
    <n v="18.34"/>
    <n v="0.04"/>
  </r>
  <r>
    <x v="8"/>
    <x v="24"/>
    <n v="0"/>
    <n v="0"/>
    <n v="0.59045563730843498"/>
    <n v="18.34"/>
    <n v="0.04"/>
  </r>
  <r>
    <x v="9"/>
    <x v="19"/>
    <n v="51.978200000000001"/>
    <n v="0"/>
    <n v="0.159228640865899"/>
    <n v="6.87"/>
    <n v="0"/>
  </r>
  <r>
    <x v="9"/>
    <x v="20"/>
    <n v="37.950000000000003"/>
    <n v="0"/>
    <n v="0.17318346328686801"/>
    <n v="11.110000000000001"/>
    <n v="0"/>
  </r>
  <r>
    <x v="9"/>
    <x v="21"/>
    <n v="23.9587"/>
    <n v="0"/>
    <n v="0.342220498640191"/>
    <n v="13.469999999999999"/>
    <n v="0"/>
  </r>
  <r>
    <x v="9"/>
    <x v="22"/>
    <n v="22.691099999999999"/>
    <n v="0"/>
    <n v="0.21156629027363499"/>
    <n v="15.629999999999999"/>
    <n v="0"/>
  </r>
  <r>
    <x v="9"/>
    <x v="23"/>
    <n v="19.299199999999999"/>
    <n v="2.7900000000000001E-2"/>
    <n v="0.27772949574741501"/>
    <n v="17.39"/>
    <n v="0"/>
  </r>
  <r>
    <x v="9"/>
    <x v="24"/>
    <n v="0"/>
    <n v="0"/>
    <n v="0.35491638964424999"/>
    <n v="17.39"/>
    <n v="0"/>
  </r>
  <r>
    <x v="10"/>
    <x v="22"/>
    <n v="16.482600000000001"/>
    <n v="0"/>
    <n v="5.5999090056126306E-2"/>
    <n v="1.43"/>
    <n v="0"/>
  </r>
  <r>
    <x v="10"/>
    <x v="23"/>
    <n v="10.3049"/>
    <n v="0"/>
    <n v="7.6209042857628501E-2"/>
    <n v="2.29"/>
    <n v="0"/>
  </r>
  <r>
    <x v="10"/>
    <x v="24"/>
    <n v="0"/>
    <n v="0"/>
    <n v="0.11834858248674"/>
    <n v="2.29"/>
    <n v="0"/>
  </r>
  <r>
    <x v="11"/>
    <x v="24"/>
    <n v="0"/>
    <n v="0"/>
    <n v="0.17926947193298801"/>
    <n v="1.37"/>
    <n v="0"/>
  </r>
  <r>
    <x v="12"/>
    <x v="21"/>
    <n v="39.482300000000002"/>
    <n v="0"/>
    <n v="0.20324079350067201"/>
    <n v="4.32"/>
    <n v="0"/>
  </r>
  <r>
    <x v="12"/>
    <x v="22"/>
    <n v="17.138100000000001"/>
    <n v="0"/>
    <n v="0.168899070331161"/>
    <n v="5.8999999999999995"/>
    <n v="0"/>
  </r>
  <r>
    <x v="12"/>
    <x v="23"/>
    <n v="15.325200000000001"/>
    <n v="0"/>
    <n v="0.19443009127071501"/>
    <n v="7.26"/>
    <n v="0"/>
  </r>
  <r>
    <x v="12"/>
    <x v="24"/>
    <n v="0"/>
    <n v="0"/>
    <n v="0.26498330954823002"/>
    <n v="7.26"/>
    <n v="0"/>
  </r>
  <r>
    <x v="13"/>
    <x v="22"/>
    <n v="12.428100000000001"/>
    <n v="0"/>
    <n v="0"/>
    <n v="1.0699999999999998"/>
    <n v="0"/>
  </r>
  <r>
    <x v="13"/>
    <x v="23"/>
    <n v="12.8009"/>
    <n v="0"/>
    <n v="0.10399318474289801"/>
    <n v="2.17"/>
    <n v="0"/>
  </r>
  <r>
    <x v="13"/>
    <x v="24"/>
    <n v="0"/>
    <n v="0"/>
    <n v="0.16668659441076"/>
    <n v="2.17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32">
  <r>
    <s v="Proj"/>
    <x v="0"/>
    <s v="Period"/>
    <s v="ALL"/>
    <x v="0"/>
    <n v="1.35972619061464E-2"/>
    <s v="CRT_STACR_2013-DN1_2015-06-01"/>
    <x v="0"/>
    <n v="15.15012058688473"/>
  </r>
  <r>
    <s v="Proj"/>
    <x v="1"/>
    <s v="Period"/>
    <s v="ALL"/>
    <x v="0"/>
    <n v="1.2859493432500899E-2"/>
    <s v="CRT_STACR_2013-DN1_2015-06-01"/>
    <x v="0"/>
    <n v="14.385430221458318"/>
  </r>
  <r>
    <s v="Proj"/>
    <x v="2"/>
    <s v="Period"/>
    <s v="ALL"/>
    <x v="0"/>
    <n v="1.27331499902656E-2"/>
    <s v="CRT_STACR_2013-DN1_2015-06-01"/>
    <x v="0"/>
    <n v="14.253844611729495"/>
  </r>
  <r>
    <s v="Proj"/>
    <x v="3"/>
    <s v="Period"/>
    <s v="ALL"/>
    <x v="0"/>
    <n v="1.3204783020481999E-2"/>
    <s v="CRT_STACR_2013-DN1_2015-06-01"/>
    <x v="0"/>
    <n v="14.744102733884922"/>
  </r>
  <r>
    <s v="Proj"/>
    <x v="4"/>
    <s v="Period"/>
    <s v="ALL"/>
    <x v="0"/>
    <n v="1.18807410323356E-2"/>
    <s v="CRT_STACR_2013-DN1_2015-06-01"/>
    <x v="0"/>
    <n v="13.361212037017767"/>
  </r>
  <r>
    <s v="Proj"/>
    <x v="5"/>
    <s v="Period"/>
    <s v="ALL"/>
    <x v="0"/>
    <n v="1.2931767910293801E-2"/>
    <s v="CRT_STACR_2013-DN1_2015-06-01"/>
    <x v="0"/>
    <n v="14.460620213040688"/>
  </r>
  <r>
    <s v="Proj"/>
    <x v="6"/>
    <s v="Period"/>
    <s v="ALL"/>
    <x v="0"/>
    <n v="1.10490136294649E-2"/>
    <s v="CRT_STACR_2013-DN1_2015-06-01"/>
    <x v="0"/>
    <n v="12.482034032850219"/>
  </r>
  <r>
    <s v="Proj"/>
    <x v="7"/>
    <s v="Period"/>
    <s v="ALL"/>
    <x v="0"/>
    <n v="1.1503814637333199E-2"/>
    <s v="CRT_STACR_2013-DN1_2015-06-01"/>
    <x v="0"/>
    <n v="12.96378980087206"/>
  </r>
  <r>
    <s v="Proj"/>
    <x v="8"/>
    <s v="Period"/>
    <s v="ALL"/>
    <x v="0"/>
    <n v="1.25134697374899E-2"/>
    <s v="CRT_STACR_2013-DN1_2015-06-01"/>
    <x v="0"/>
    <n v="14.024608023164053"/>
  </r>
  <r>
    <s v="Proj"/>
    <x v="9"/>
    <s v="Period"/>
    <s v="ALL"/>
    <x v="0"/>
    <n v="1.18089923237484E-2"/>
    <s v="CRT_STACR_2013-DN1_2015-06-01"/>
    <x v="0"/>
    <n v="13.285690331869748"/>
  </r>
  <r>
    <s v="Proj"/>
    <x v="10"/>
    <s v="Period"/>
    <s v="ALL"/>
    <x v="0"/>
    <n v="1.16718831372463E-2"/>
    <s v="CRT_STACR_2013-DN1_2015-06-01"/>
    <x v="0"/>
    <n v="13.141203218116459"/>
  </r>
  <r>
    <s v="Proj"/>
    <x v="11"/>
    <s v="Period"/>
    <s v="ALL"/>
    <x v="0"/>
    <n v="1.2082487471288501E-2"/>
    <s v="CRT_STACR_2013-DN1_2015-06-01"/>
    <x v="0"/>
    <n v="13.573244567430221"/>
  </r>
  <r>
    <s v="Proj"/>
    <x v="12"/>
    <s v="Period"/>
    <s v="ALL"/>
    <x v="0"/>
    <n v="1.10334997519885E-2"/>
    <s v="CRT_STACR_2013-DN1_2015-06-01"/>
    <x v="0"/>
    <n v="12.465557663387216"/>
  </r>
  <r>
    <s v="Proj"/>
    <x v="13"/>
    <s v="Period"/>
    <s v="ALL"/>
    <x v="0"/>
    <n v="1.25341103295784E-2"/>
    <s v="CRT_STACR_2013-DN1_2015-06-01"/>
    <x v="0"/>
    <n v="14.046170391208278"/>
  </r>
  <r>
    <s v="Proj"/>
    <x v="14"/>
    <s v="Period"/>
    <s v="ALL"/>
    <x v="0"/>
    <n v="1.14448808148273E-2"/>
    <s v="CRT_STACR_2013-DN1_2015-06-01"/>
    <x v="0"/>
    <n v="12.901500530299492"/>
  </r>
  <r>
    <s v="Proj"/>
    <x v="15"/>
    <s v="Period"/>
    <s v="ALL"/>
    <x v="0"/>
    <n v="1.14550079797719E-2"/>
    <s v="CRT_STACR_2013-DN1_2015-06-01"/>
    <x v="0"/>
    <n v="12.9122072009473"/>
  </r>
  <r>
    <s v="Proj"/>
    <x v="16"/>
    <s v="Period"/>
    <s v="ALL"/>
    <x v="0"/>
    <n v="1.14610629232297E-2"/>
    <s v="CRT_STACR_2013-DN1_2015-06-01"/>
    <x v="0"/>
    <n v="12.918608049488379"/>
  </r>
  <r>
    <s v="Proj"/>
    <x v="17"/>
    <s v="Period"/>
    <s v="ALL"/>
    <x v="0"/>
    <n v="1.1462767968079299E-2"/>
    <s v="CRT_STACR_2013-DN1_2015-06-01"/>
    <x v="0"/>
    <n v="12.920410421835172"/>
  </r>
  <r>
    <s v="Proj"/>
    <x v="18"/>
    <s v="Period"/>
    <s v="ALL"/>
    <x v="0"/>
    <n v="1.09142268820568E-2"/>
    <s v="CRT_STACR_2013-DN1_2015-06-01"/>
    <x v="0"/>
    <n v="12.338790024873425"/>
  </r>
  <r>
    <s v="Proj"/>
    <x v="19"/>
    <s v="Period"/>
    <s v="ALL"/>
    <x v="0"/>
    <n v="1.0361715596993899E-2"/>
    <s v="CRT_STACR_2013-DN1_2015-06-01"/>
    <x v="0"/>
    <n v="11.74936218930921"/>
  </r>
  <r>
    <s v="Proj"/>
    <x v="20"/>
    <s v="Period"/>
    <s v="ALL"/>
    <x v="0"/>
    <n v="1.25296051675976E-2"/>
    <s v="CRT_STACR_2013-DN1_2015-06-01"/>
    <x v="0"/>
    <n v="14.041464458825203"/>
  </r>
  <r>
    <s v="Proj"/>
    <x v="21"/>
    <s v="Period"/>
    <s v="ALL"/>
    <x v="0"/>
    <n v="1.0334861308898E-2"/>
    <s v="CRT_STACR_2013-DN1_2015-06-01"/>
    <x v="0"/>
    <n v="11.720621242414941"/>
  </r>
  <r>
    <s v="Proj"/>
    <x v="22"/>
    <s v="Period"/>
    <s v="ALL"/>
    <x v="0"/>
    <n v="1.19431323920392E-2"/>
    <s v="CRT_STACR_2013-DN1_2015-06-01"/>
    <x v="0"/>
    <n v="13.426835309665286"/>
  </r>
  <r>
    <s v="Proj"/>
    <x v="23"/>
    <s v="Period"/>
    <s v="ALL"/>
    <x v="0"/>
    <n v="1.19140133225003E-2"/>
    <s v="CRT_STACR_2013-DN1_2015-06-01"/>
    <x v="0"/>
    <n v="13.39621352569641"/>
  </r>
  <r>
    <s v="Proj"/>
    <x v="24"/>
    <s v="Period"/>
    <s v="ALL"/>
    <x v="0"/>
    <n v="1.09764105107825E-2"/>
    <s v="CRT_STACR_2013-DN1_2015-06-01"/>
    <x v="0"/>
    <n v="12.404902078381131"/>
  </r>
  <r>
    <s v="Proj"/>
    <x v="25"/>
    <s v="Period"/>
    <s v="ALL"/>
    <x v="0"/>
    <n v="1.2792502759526401E-2"/>
    <s v="CRT_STACR_2013-DN1_2015-06-01"/>
    <x v="0"/>
    <n v="14.315683082366204"/>
  </r>
  <r>
    <s v="Proj"/>
    <x v="26"/>
    <s v="Period"/>
    <s v="ALL"/>
    <x v="0"/>
    <n v="1.1273434562103699E-2"/>
    <s v="CRT_STACR_2013-DN1_2015-06-01"/>
    <x v="0"/>
    <n v="12.720060408026546"/>
  </r>
  <r>
    <s v="Proj"/>
    <x v="27"/>
    <s v="Period"/>
    <s v="ALL"/>
    <x v="0"/>
    <n v="1.25674338961151E-2"/>
    <s v="CRT_STACR_2013-DN1_2015-06-01"/>
    <x v="0"/>
    <n v="14.080971673407605"/>
  </r>
  <r>
    <s v="Proj"/>
    <x v="28"/>
    <s v="Period"/>
    <s v="ALL"/>
    <x v="0"/>
    <n v="1.21573098517737E-2"/>
    <s v="CRT_STACR_2013-DN1_2015-06-01"/>
    <x v="0"/>
    <n v="13.651760789103019"/>
  </r>
  <r>
    <s v="Proj"/>
    <x v="29"/>
    <s v="Period"/>
    <s v="ALL"/>
    <x v="0"/>
    <n v="1.1733745425573899E-2"/>
    <s v="CRT_STACR_2013-DN1_2015-06-01"/>
    <x v="0"/>
    <n v="13.206421654145107"/>
  </r>
  <r>
    <s v="Proj"/>
    <x v="30"/>
    <s v="Period"/>
    <s v="ALL"/>
    <x v="0"/>
    <n v="1.2485520909614E-2"/>
    <s v="CRT_STACR_2013-DN1_2015-06-01"/>
    <x v="0"/>
    <n v="13.995403142534268"/>
  </r>
  <r>
    <s v="Proj"/>
    <x v="31"/>
    <s v="Period"/>
    <s v="ALL"/>
    <x v="0"/>
    <n v="1.14475450456317E-2"/>
    <s v="CRT_STACR_2013-DN1_2015-06-01"/>
    <x v="0"/>
    <n v="12.904317333059446"/>
  </r>
  <r>
    <s v="Proj"/>
    <x v="32"/>
    <s v="Period"/>
    <s v="ALL"/>
    <x v="0"/>
    <n v="1.2821503760642399E-2"/>
    <s v="CRT_STACR_2013-DN1_2015-06-01"/>
    <x v="0"/>
    <n v="14.345883779024193"/>
  </r>
  <r>
    <s v="Proj"/>
    <x v="33"/>
    <s v="Period"/>
    <s v="ALL"/>
    <x v="0"/>
    <n v="1.29923747680202E-2"/>
    <s v="CRT_STACR_2013-DN1_2015-06-01"/>
    <x v="0"/>
    <n v="14.52362525106896"/>
  </r>
  <r>
    <s v="Proj"/>
    <x v="34"/>
    <s v="Period"/>
    <s v="ALL"/>
    <x v="0"/>
    <n v="1.37920729165102E-2"/>
    <s v="CRT_STACR_2013-DN1_2015-06-01"/>
    <x v="0"/>
    <n v="15.350992869944957"/>
  </r>
  <r>
    <s v="Proj"/>
    <x v="35"/>
    <s v="Period"/>
    <s v="ALL"/>
    <x v="0"/>
    <n v="1.3339862924846501E-2"/>
    <s v="CRT_STACR_2013-DN1_2015-06-01"/>
    <x v="0"/>
    <n v="14.88404291710701"/>
  </r>
  <r>
    <s v="Proj"/>
    <x v="36"/>
    <s v="Period"/>
    <s v="ALL"/>
    <x v="0"/>
    <n v="1.33304336227683E-2"/>
    <s v="CRT_STACR_2013-DN1_2015-06-01"/>
    <x v="0"/>
    <n v="14.874281181799521"/>
  </r>
  <r>
    <s v="Proj"/>
    <x v="37"/>
    <s v="Period"/>
    <s v="ALL"/>
    <x v="0"/>
    <n v="1.4589699679981701E-2"/>
    <s v="CRT_STACR_2013-DN1_2015-06-01"/>
    <x v="0"/>
    <n v="16.168898851388946"/>
  </r>
  <r>
    <s v="Proj"/>
    <x v="38"/>
    <s v="Period"/>
    <s v="ALL"/>
    <x v="0"/>
    <n v="1.20438670636368E-2"/>
    <s v="CRT_STACR_2013-DN1_2015-06-01"/>
    <x v="0"/>
    <n v="13.532691939342556"/>
  </r>
  <r>
    <s v="Proj"/>
    <x v="39"/>
    <s v="Period"/>
    <s v="ALL"/>
    <x v="0"/>
    <n v="1.45691454450987E-2"/>
    <s v="CRT_STACR_2013-DN1_2015-06-01"/>
    <x v="0"/>
    <n v="16.147913296448724"/>
  </r>
  <r>
    <s v="Proj"/>
    <x v="40"/>
    <s v="Period"/>
    <s v="ALL"/>
    <x v="0"/>
    <n v="1.32928853951551E-2"/>
    <s v="CRT_STACR_2013-DN1_2015-06-01"/>
    <x v="0"/>
    <n v="14.835398997935389"/>
  </r>
  <r>
    <s v="Proj"/>
    <x v="41"/>
    <s v="Period"/>
    <s v="ALL"/>
    <x v="0"/>
    <n v="1.2650955444390301E-2"/>
    <s v="CRT_STACR_2013-DN1_2015-06-01"/>
    <x v="0"/>
    <n v="14.168140191450096"/>
  </r>
  <r>
    <s v="Proj"/>
    <x v="42"/>
    <s v="Period"/>
    <s v="ALL"/>
    <x v="0"/>
    <n v="1.3274112043945199E-2"/>
    <s v="CRT_STACR_2013-DN1_2015-06-01"/>
    <x v="0"/>
    <n v="14.815952591677151"/>
  </r>
  <r>
    <s v="Proj"/>
    <x v="43"/>
    <s v="Period"/>
    <s v="ALL"/>
    <x v="0"/>
    <n v="1.20014027752142E-2"/>
    <s v="CRT_STACR_2013-DN1_2015-06-01"/>
    <x v="0"/>
    <n v="13.488082984911099"/>
  </r>
  <r>
    <s v="Proj"/>
    <x v="44"/>
    <s v="Period"/>
    <s v="ALL"/>
    <x v="0"/>
    <n v="1.3255289461863501E-2"/>
    <s v="CRT_STACR_2013-DN1_2015-06-01"/>
    <x v="0"/>
    <n v="14.796451103249408"/>
  </r>
  <r>
    <s v="Proj"/>
    <x v="45"/>
    <s v="Period"/>
    <s v="ALL"/>
    <x v="0"/>
    <n v="1.3245853554633299E-2"/>
    <s v="CRT_STACR_2013-DN1_2015-06-01"/>
    <x v="0"/>
    <n v="14.786673315006915"/>
  </r>
  <r>
    <s v="Proj"/>
    <x v="46"/>
    <s v="Period"/>
    <s v="ALL"/>
    <x v="0"/>
    <n v="1.3866704000889501E-2"/>
    <s v="CRT_STACR_2013-DN1_2015-06-01"/>
    <x v="0"/>
    <n v="15.42783044088779"/>
  </r>
  <r>
    <s v="Proj"/>
    <x v="47"/>
    <s v="Period"/>
    <s v="ALL"/>
    <x v="0"/>
    <n v="1.25970720789381E-2"/>
    <s v="CRT_STACR_2013-DN1_2015-06-01"/>
    <x v="0"/>
    <n v="14.111913292472543"/>
  </r>
  <r>
    <s v="Proj"/>
    <x v="48"/>
    <s v="Period"/>
    <s v="ALL"/>
    <x v="0"/>
    <n v="1.38468336624562E-2"/>
    <s v="CRT_STACR_2013-DN1_2015-06-01"/>
    <x v="0"/>
    <n v="15.40737887856306"/>
  </r>
  <r>
    <s v="Proj"/>
    <x v="49"/>
    <s v="Period"/>
    <s v="ALL"/>
    <x v="0"/>
    <n v="1.3836866657847899E-2"/>
    <s v="CRT_STACR_2013-DN1_2015-06-01"/>
    <x v="0"/>
    <n v="15.39711862354417"/>
  </r>
  <r>
    <s v="Proj"/>
    <x v="50"/>
    <s v="Period"/>
    <s v="ALL"/>
    <x v="0"/>
    <n v="1.25698890464166E-2"/>
    <s v="CRT_STACR_2013-DN1_2015-06-01"/>
    <x v="0"/>
    <n v="14.083535185094787"/>
  </r>
  <r>
    <s v="Proj"/>
    <x v="51"/>
    <s v="Period"/>
    <s v="ALL"/>
    <x v="0"/>
    <n v="1.4444906747050099E-2"/>
    <s v="CRT_STACR_2013-DN1_2015-06-01"/>
    <x v="0"/>
    <n v="16.020964956921556"/>
  </r>
  <r>
    <s v="Proj"/>
    <x v="52"/>
    <s v="Period"/>
    <s v="ALL"/>
    <x v="0"/>
    <n v="1.2551667843052399E-2"/>
    <s v="CRT_STACR_2013-DN1_2015-06-01"/>
    <x v="0"/>
    <n v="14.064508093375682"/>
  </r>
  <r>
    <s v="Proj"/>
    <x v="53"/>
    <s v="Period"/>
    <s v="ALL"/>
    <x v="0"/>
    <n v="1.31696534130889E-2"/>
    <s v="CRT_STACR_2013-DN1_2015-06-01"/>
    <x v="0"/>
    <n v="14.707674596000341"/>
  </r>
  <r>
    <s v="Proj"/>
    <x v="54"/>
    <s v="Period"/>
    <s v="ALL"/>
    <x v="0"/>
    <n v="1.31600343734976E-2"/>
    <s v="CRT_STACR_2013-DN1_2015-06-01"/>
    <x v="0"/>
    <n v="14.697697510357788"/>
  </r>
  <r>
    <s v="Proj"/>
    <x v="55"/>
    <s v="Period"/>
    <s v="ALL"/>
    <x v="0"/>
    <n v="1.1897975596242401E-2"/>
    <s v="CRT_STACR_2013-DN1_2015-06-01"/>
    <x v="0"/>
    <n v="13.379343919161556"/>
  </r>
  <r>
    <s v="Proj"/>
    <x v="56"/>
    <s v="Period"/>
    <s v="ALL"/>
    <x v="0"/>
    <n v="1.37664816801173E-2"/>
    <s v="CRT_STACR_2013-DN1_2015-06-01"/>
    <x v="0"/>
    <n v="15.324630291952646"/>
  </r>
  <r>
    <s v="Proj"/>
    <x v="57"/>
    <s v="Period"/>
    <s v="ALL"/>
    <x v="0"/>
    <n v="1.31310496636916E-2"/>
    <s v="CRT_STACR_2013-DN1_2015-06-01"/>
    <x v="0"/>
    <n v="14.667627444109321"/>
  </r>
  <r>
    <s v="Proj"/>
    <x v="58"/>
    <s v="Period"/>
    <s v="ALL"/>
    <x v="0"/>
    <n v="1.2496519555284901E-2"/>
    <s v="CRT_STACR_2013-DN1_2015-06-01"/>
    <x v="0"/>
    <n v="14.006897165116882"/>
  </r>
  <r>
    <s v="Proj"/>
    <x v="59"/>
    <s v="Period"/>
    <s v="ALL"/>
    <x v="0"/>
    <n v="1.37359829909831E-2"/>
    <s v="CRT_STACR_2013-DN1_2015-06-01"/>
    <x v="0"/>
    <n v="15.293202517302673"/>
  </r>
  <r>
    <s v="Proj"/>
    <x v="60"/>
    <s v="Period"/>
    <s v="ALL"/>
    <x v="0"/>
    <n v="1.37257721957579E-2"/>
    <s v="CRT_STACR_2013-DN1_2015-06-01"/>
    <x v="0"/>
    <n v="15.282678280382722"/>
  </r>
  <r>
    <s v="Proj"/>
    <x v="61"/>
    <s v="Period"/>
    <s v="ALL"/>
    <x v="0"/>
    <n v="1.3092105544236799E-2"/>
    <s v="CRT_STACR_2013-DN1_2015-06-01"/>
    <x v="0"/>
    <n v="14.627209731356583"/>
  </r>
  <r>
    <s v="Proj"/>
    <x v="62"/>
    <s v="Period"/>
    <s v="ALL"/>
    <x v="0"/>
    <n v="1.3082316400645499E-2"/>
    <s v="CRT_STACR_2013-DN1_2015-06-01"/>
    <x v="0"/>
    <n v="14.617047420142848"/>
  </r>
  <r>
    <s v="Proj"/>
    <x v="63"/>
    <s v="Period"/>
    <s v="ALL"/>
    <x v="0"/>
    <n v="1.3695006338659801E-2"/>
    <s v="CRT_STACR_2013-DN1_2015-06-01"/>
    <x v="0"/>
    <n v="15.250960754046384"/>
  </r>
  <r>
    <s v="Proj"/>
    <x v="64"/>
    <s v="Period"/>
    <s v="ALL"/>
    <x v="0"/>
    <n v="1.2440642398213299E-2"/>
    <s v="CRT_STACR_2013-DN1_2015-06-01"/>
    <x v="0"/>
    <n v="13.94848871324611"/>
  </r>
  <r>
    <s v="Proj"/>
    <x v="65"/>
    <s v="Period"/>
    <s v="ALL"/>
    <x v="0"/>
    <n v="1.3674384774168101E-2"/>
    <s v="CRT_STACR_2013-DN1_2015-06-01"/>
    <x v="0"/>
    <n v="15.229695217245753"/>
  </r>
  <r>
    <s v="Proj"/>
    <x v="66"/>
    <s v="Period"/>
    <s v="ALL"/>
    <x v="0"/>
    <n v="1.180076248928E-2"/>
    <s v="CRT_STACR_2013-DN1_2015-06-01"/>
    <x v="0"/>
    <n v="13.277023864373517"/>
  </r>
  <r>
    <s v="Proj"/>
    <x v="67"/>
    <s v="Period"/>
    <s v="ALL"/>
    <x v="0"/>
    <n v="1.17918099499434E-2"/>
    <s v="CRT_STACR_2013-DN1_2015-06-01"/>
    <x v="0"/>
    <n v="13.267595447364567"/>
  </r>
  <r>
    <s v="Proj"/>
    <x v="68"/>
    <s v="Period"/>
    <s v="ALL"/>
    <x v="0"/>
    <n v="1.42634359009113E-2"/>
    <s v="CRT_STACR_2013-DN1_2015-06-01"/>
    <x v="0"/>
    <n v="15.835219607548067"/>
  </r>
  <r>
    <s v="Proj"/>
    <x v="69"/>
    <s v="Period"/>
    <s v="ALL"/>
    <x v="0"/>
    <n v="1.30132001222383E-2"/>
    <s v="CRT_STACR_2013-DN1_2015-06-01"/>
    <x v="0"/>
    <n v="14.545264831283111"/>
  </r>
  <r>
    <s v="Proj"/>
    <x v="70"/>
    <s v="Period"/>
    <s v="ALL"/>
    <x v="0"/>
    <n v="1.2384040119268899E-2"/>
    <s v="CRT_STACR_2013-DN1_2015-06-01"/>
    <x v="0"/>
    <n v="13.889285215453839"/>
  </r>
  <r>
    <s v="Proj"/>
    <x v="71"/>
    <s v="Period"/>
    <s v="ALL"/>
    <x v="0"/>
    <n v="1.36119899924284E-2"/>
    <s v="CRT_STACR_2013-DN1_2015-06-01"/>
    <x v="0"/>
    <n v="15.16532217151626"/>
  </r>
  <r>
    <s v="Proj"/>
    <x v="0"/>
    <s v="Period"/>
    <s v="ALL"/>
    <x v="1"/>
    <n v="5.7163091615371602E-5"/>
    <s v="CRT_STACR_2013-DN1_2015-06-01"/>
    <x v="0"/>
    <n v="6.8574147761568671E-2"/>
  </r>
  <r>
    <s v="Proj"/>
    <x v="1"/>
    <s v="Period"/>
    <s v="ALL"/>
    <x v="1"/>
    <n v="6.4582662473640099E-5"/>
    <s v="CRT_STACR_2013-DN1_2015-06-01"/>
    <x v="0"/>
    <n v="7.747167281973999E-2"/>
  </r>
  <r>
    <s v="Proj"/>
    <x v="2"/>
    <s v="Period"/>
    <s v="ALL"/>
    <x v="1"/>
    <n v="8.31396627710693E-5"/>
    <s v="CRT_STACR_2013-DN1_2015-06-01"/>
    <x v="0"/>
    <n v="9.9721987422607405E-2"/>
  </r>
  <r>
    <s v="Proj"/>
    <x v="3"/>
    <s v="Period"/>
    <s v="ALL"/>
    <x v="1"/>
    <n v="1.17422048494203E-4"/>
    <s v="CRT_STACR_2013-DN1_2015-06-01"/>
    <x v="0"/>
    <n v="0.14081549341448119"/>
  </r>
  <r>
    <s v="Proj"/>
    <x v="4"/>
    <s v="Period"/>
    <s v="ALL"/>
    <x v="1"/>
    <n v="1.3716909718688601E-4"/>
    <s v="CRT_STACR_2013-DN1_2015-06-01"/>
    <x v="0"/>
    <n v="0.16447879200210958"/>
  </r>
  <r>
    <s v="Proj"/>
    <x v="5"/>
    <s v="Period"/>
    <s v="ALL"/>
    <x v="1"/>
    <n v="1.82659541252636E-4"/>
    <s v="CRT_STACR_2013-DN1_2015-06-01"/>
    <x v="0"/>
    <n v="0.21897137777078246"/>
  </r>
  <r>
    <s v="Proj"/>
    <x v="6"/>
    <s v="Period"/>
    <s v="ALL"/>
    <x v="1"/>
    <n v="1.8218738088879299E-4"/>
    <s v="CRT_STACR_2013-DN1_2015-06-01"/>
    <x v="0"/>
    <n v="0.21840592125506042"/>
  </r>
  <r>
    <s v="Proj"/>
    <x v="7"/>
    <s v="Period"/>
    <s v="ALL"/>
    <x v="1"/>
    <n v="2.14254752192218E-4"/>
    <s v="CRT_STACR_2013-DN1_2015-06-01"/>
    <x v="0"/>
    <n v="0.25680294525248781"/>
  </r>
  <r>
    <s v="Proj"/>
    <x v="8"/>
    <s v="Period"/>
    <s v="ALL"/>
    <x v="1"/>
    <n v="2.5747669050664099E-4"/>
    <s v="CRT_STACR_2013-DN1_2015-06-01"/>
    <x v="0"/>
    <n v="0.30853486188883172"/>
  </r>
  <r>
    <s v="Proj"/>
    <x v="9"/>
    <s v="Period"/>
    <s v="ALL"/>
    <x v="1"/>
    <n v="2.6457485111342101E-4"/>
    <s v="CRT_STACR_2013-DN1_2015-06-01"/>
    <x v="0"/>
    <n v="0.31702822951593657"/>
  </r>
  <r>
    <s v="Proj"/>
    <x v="10"/>
    <s v="Period"/>
    <s v="ALL"/>
    <x v="1"/>
    <n v="2.8211710021947602E-4"/>
    <s v="CRT_STACR_2013-DN1_2015-06-01"/>
    <x v="0"/>
    <n v="0.33801571954741316"/>
  </r>
  <r>
    <s v="Proj"/>
    <x v="11"/>
    <s v="Period"/>
    <s v="ALL"/>
    <x v="1"/>
    <n v="3.1325593765608903E-4"/>
    <s v="CRT_STACR_2013-DN1_2015-06-01"/>
    <x v="0"/>
    <n v="0.37526014771728233"/>
  </r>
  <r>
    <s v="Proj"/>
    <x v="12"/>
    <s v="Period"/>
    <s v="ALL"/>
    <x v="1"/>
    <n v="3.0071747060400503E-4"/>
    <s v="CRT_STACR_2013-DN1_2015-06-01"/>
    <x v="0"/>
    <n v="0.36026471801112736"/>
  </r>
  <r>
    <s v="Proj"/>
    <x v="13"/>
    <s v="Period"/>
    <s v="ALL"/>
    <x v="1"/>
    <n v="3.6254732989795402E-4"/>
    <s v="CRT_STACR_2013-DN1_2015-06-01"/>
    <x v="0"/>
    <n v="0.43419033565986753"/>
  </r>
  <r>
    <s v="Proj"/>
    <x v="14"/>
    <s v="Period"/>
    <s v="ALL"/>
    <x v="1"/>
    <n v="3.3729035546988401E-4"/>
    <s v="CRT_STACR_2013-DN1_2015-06-01"/>
    <x v="0"/>
    <n v="0.40399842252869522"/>
  </r>
  <r>
    <s v="Proj"/>
    <x v="15"/>
    <s v="Period"/>
    <s v="ALL"/>
    <x v="1"/>
    <n v="3.4835968015029802E-4"/>
    <s v="CRT_STACR_2013-DN1_2015-06-01"/>
    <x v="0"/>
    <n v="0.4172316060212955"/>
  </r>
  <r>
    <s v="Proj"/>
    <x v="16"/>
    <s v="Period"/>
    <s v="ALL"/>
    <x v="1"/>
    <n v="3.5835352384766197E-4"/>
    <s v="CRT_STACR_2013-DN1_2015-06-01"/>
    <x v="0"/>
    <n v="0.42917768637715792"/>
  </r>
  <r>
    <s v="Proj"/>
    <x v="17"/>
    <s v="Period"/>
    <s v="ALL"/>
    <x v="1"/>
    <n v="3.67887508105973E-4"/>
    <s v="CRT_STACR_2013-DN1_2015-06-01"/>
    <x v="0"/>
    <n v="0.44057285216574371"/>
  </r>
  <r>
    <s v="Proj"/>
    <x v="18"/>
    <s v="Period"/>
    <s v="ALL"/>
    <x v="1"/>
    <n v="3.6068265804038902E-4"/>
    <s v="CRT_STACR_2013-DN1_2015-06-01"/>
    <x v="0"/>
    <n v="0.43196161402666577"/>
  </r>
  <r>
    <s v="Proj"/>
    <x v="19"/>
    <s v="Period"/>
    <s v="ALL"/>
    <x v="1"/>
    <n v="3.5452522598662802E-4"/>
    <s v="CRT_STACR_2013-DN1_2015-06-01"/>
    <x v="0"/>
    <n v="0.42460170901726935"/>
  </r>
  <r>
    <s v="Proj"/>
    <x v="20"/>
    <s v="Period"/>
    <s v="ALL"/>
    <x v="1"/>
    <n v="4.4645227749436599E-4"/>
    <s v="CRT_STACR_2013-DN1_2015-06-01"/>
    <x v="0"/>
    <n v="0.53442917913749666"/>
  </r>
  <r>
    <s v="Proj"/>
    <x v="21"/>
    <s v="Period"/>
    <s v="ALL"/>
    <x v="1"/>
    <n v="3.8553112318440202E-4"/>
    <s v="CRT_STACR_2013-DN1_2015-06-01"/>
    <x v="0"/>
    <n v="0.46165762136742838"/>
  </r>
  <r>
    <s v="Proj"/>
    <x v="22"/>
    <s v="Period"/>
    <s v="ALL"/>
    <x v="1"/>
    <n v="4.6851321600961898E-4"/>
    <s v="CRT_STACR_2013-DN1_2015-06-01"/>
    <x v="0"/>
    <n v="0.56076938874475291"/>
  </r>
  <r>
    <s v="Proj"/>
    <x v="23"/>
    <s v="Period"/>
    <s v="ALL"/>
    <x v="1"/>
    <n v="4.9328489880788996E-4"/>
    <s v="CRT_STACR_2013-DN1_2015-06-01"/>
    <x v="0"/>
    <n v="0.59033853837989758"/>
  </r>
  <r>
    <s v="Proj"/>
    <x v="24"/>
    <s v="Period"/>
    <s v="ALL"/>
    <x v="1"/>
    <n v="4.7230217061814002E-4"/>
    <s v="CRT_STACR_2013-DN1_2015-06-01"/>
    <x v="0"/>
    <n v="0.5652926624689858"/>
  </r>
  <r>
    <s v="Proj"/>
    <x v="25"/>
    <s v="Period"/>
    <s v="ALL"/>
    <x v="1"/>
    <n v="5.7038445998043705E-4"/>
    <s v="CRT_STACR_2013-DN1_2015-06-01"/>
    <x v="0"/>
    <n v="0.68231819558526308"/>
  </r>
  <r>
    <s v="Proj"/>
    <x v="26"/>
    <s v="Period"/>
    <s v="ALL"/>
    <x v="1"/>
    <n v="5.18516725980263E-4"/>
    <s v="CRT_STACR_2013-DN1_2015-06-01"/>
    <x v="0"/>
    <n v="0.6204486612536364"/>
  </r>
  <r>
    <s v="Proj"/>
    <x v="27"/>
    <s v="Period"/>
    <s v="ALL"/>
    <x v="1"/>
    <n v="5.9240945686389905E-4"/>
    <s v="CRT_STACR_2013-DN1_2015-06-01"/>
    <x v="0"/>
    <n v="0.70857965290022085"/>
  </r>
  <r>
    <s v="Proj"/>
    <x v="28"/>
    <s v="Period"/>
    <s v="ALL"/>
    <x v="1"/>
    <n v="5.8349795156793696E-4"/>
    <s v="CRT_STACR_2013-DN1_2015-06-01"/>
    <x v="0"/>
    <n v="0.69795480567251822"/>
  </r>
  <r>
    <s v="Proj"/>
    <x v="29"/>
    <s v="Period"/>
    <s v="ALL"/>
    <x v="1"/>
    <n v="5.7023194039925102E-4"/>
    <s v="CRT_STACR_2013-DN1_2015-06-01"/>
    <x v="0"/>
    <n v="0.68213631699720612"/>
  </r>
  <r>
    <s v="Proj"/>
    <x v="30"/>
    <s v="Period"/>
    <s v="ALL"/>
    <x v="1"/>
    <n v="6.1172525240029004E-4"/>
    <s v="CRT_STACR_2013-DN1_2015-06-01"/>
    <x v="0"/>
    <n v="0.73160556065006155"/>
  </r>
  <r>
    <s v="Proj"/>
    <x v="31"/>
    <s v="Period"/>
    <s v="ALL"/>
    <x v="1"/>
    <n v="5.6364441562256498E-4"/>
    <s v="CRT_STACR_2013-DN1_2015-06-01"/>
    <x v="0"/>
    <n v="0.67428044605013504"/>
  </r>
  <r>
    <s v="Proj"/>
    <x v="32"/>
    <s v="Period"/>
    <s v="ALL"/>
    <x v="1"/>
    <n v="6.3295568648408598E-4"/>
    <s v="CRT_STACR_2013-DN1_2015-06-01"/>
    <x v="0"/>
    <n v="0.75690821752015802"/>
  </r>
  <r>
    <s v="Proj"/>
    <x v="33"/>
    <s v="Period"/>
    <s v="ALL"/>
    <x v="1"/>
    <n v="6.4203171250947302E-4"/>
    <s v="CRT_STACR_2013-DN1_2015-06-01"/>
    <x v="0"/>
    <n v="0.76772331772515523"/>
  </r>
  <r>
    <s v="Proj"/>
    <x v="34"/>
    <s v="Period"/>
    <s v="ALL"/>
    <x v="1"/>
    <n v="6.8145379515075302E-4"/>
    <s v="CRT_STACR_2013-DN1_2015-06-01"/>
    <x v="0"/>
    <n v="0.81468660226983181"/>
  </r>
  <r>
    <s v="Proj"/>
    <x v="35"/>
    <s v="Period"/>
    <s v="ALL"/>
    <x v="1"/>
    <n v="6.5849712587679398E-4"/>
    <s v="CRT_STACR_2013-DN1_2015-06-01"/>
    <x v="0"/>
    <n v="0.78734094169045088"/>
  </r>
  <r>
    <s v="Proj"/>
    <x v="36"/>
    <s v="Period"/>
    <s v="ALL"/>
    <x v="1"/>
    <n v="6.6623077888181698E-4"/>
    <s v="CRT_STACR_2013-DN1_2015-06-01"/>
    <x v="0"/>
    <n v="0.79655393188233781"/>
  </r>
  <r>
    <s v="Proj"/>
    <x v="37"/>
    <s v="Period"/>
    <s v="ALL"/>
    <x v="1"/>
    <n v="7.3780305841401395E-4"/>
    <s v="CRT_STACR_2013-DN1_2015-06-01"/>
    <x v="0"/>
    <n v="0.88177975907884898"/>
  </r>
  <r>
    <s v="Proj"/>
    <x v="38"/>
    <s v="Period"/>
    <s v="ALL"/>
    <x v="1"/>
    <n v="6.1595920941819298E-4"/>
    <s v="CRT_STACR_2013-DN1_2015-06-01"/>
    <x v="0"/>
    <n v="0.73665210761491018"/>
  </r>
  <r>
    <s v="Proj"/>
    <x v="39"/>
    <s v="Period"/>
    <s v="ALL"/>
    <x v="1"/>
    <n v="7.5314016449126199E-4"/>
    <s v="CRT_STACR_2013-DN1_2015-06-01"/>
    <x v="0"/>
    <n v="0.90003392709135932"/>
  </r>
  <r>
    <s v="Proj"/>
    <x v="40"/>
    <s v="Period"/>
    <s v="ALL"/>
    <x v="1"/>
    <n v="6.9420987981292303E-4"/>
    <s v="CRT_STACR_2013-DN1_2015-06-01"/>
    <x v="0"/>
    <n v="0.82987848402611419"/>
  </r>
  <r>
    <s v="Proj"/>
    <x v="41"/>
    <s v="Period"/>
    <s v="ALL"/>
    <x v="1"/>
    <n v="6.6715563121583796E-4"/>
    <s v="CRT_STACR_2013-DN1_2015-06-01"/>
    <x v="0"/>
    <n v="0.79765564273571732"/>
  </r>
  <r>
    <s v="Proj"/>
    <x v="42"/>
    <s v="Period"/>
    <s v="ALL"/>
    <x v="1"/>
    <n v="7.0660606348939997E-4"/>
    <s v="CRT_STACR_2013-DN1_2015-06-01"/>
    <x v="0"/>
    <n v="0.84463969747265999"/>
  </r>
  <r>
    <s v="Proj"/>
    <x v="43"/>
    <s v="Period"/>
    <s v="ALL"/>
    <x v="1"/>
    <n v="6.4467108396431899E-4"/>
    <s v="CRT_STACR_2013-DN1_2015-06-01"/>
    <x v="0"/>
    <n v="0.77086822126125609"/>
  </r>
  <r>
    <s v="Proj"/>
    <x v="44"/>
    <s v="Period"/>
    <s v="ALL"/>
    <x v="1"/>
    <n v="7.1832494282826002E-4"/>
    <s v="CRT_STACR_2013-DN1_2015-06-01"/>
    <x v="0"/>
    <n v="0.85859253373301581"/>
  </r>
  <r>
    <s v="Proj"/>
    <x v="45"/>
    <s v="Period"/>
    <s v="ALL"/>
    <x v="1"/>
    <n v="7.2401536563495498E-4"/>
    <s v="CRT_STACR_2013-DN1_2015-06-01"/>
    <x v="0"/>
    <n v="0.86536706633491001"/>
  </r>
  <r>
    <s v="Proj"/>
    <x v="46"/>
    <s v="Period"/>
    <s v="ALL"/>
    <x v="1"/>
    <n v="7.6436735382398103E-4"/>
    <s v="CRT_STACR_2013-DN1_2015-06-01"/>
    <x v="0"/>
    <n v="0.91339453345284927"/>
  </r>
  <r>
    <s v="Proj"/>
    <x v="47"/>
    <s v="Period"/>
    <s v="ALL"/>
    <x v="1"/>
    <n v="7.0015635968037301E-4"/>
    <s v="CRT_STACR_2013-DN1_2015-06-01"/>
    <x v="0"/>
    <n v="0.83695972586714795"/>
  </r>
  <r>
    <s v="Proj"/>
    <x v="48"/>
    <s v="Period"/>
    <s v="ALL"/>
    <x v="1"/>
    <n v="7.7591756153054102E-4"/>
    <s v="CRT_STACR_2013-DN1_2015-06-01"/>
    <x v="0"/>
    <n v="0.9271378157784782"/>
  </r>
  <r>
    <s v="Proj"/>
    <x v="49"/>
    <s v="Period"/>
    <s v="ALL"/>
    <x v="1"/>
    <n v="7.8161205817489296E-4"/>
    <s v="CRT_STACR_2013-DN1_2015-06-01"/>
    <x v="0"/>
    <n v="0.93391290146502826"/>
  </r>
  <r>
    <s v="Proj"/>
    <x v="50"/>
    <s v="Period"/>
    <s v="ALL"/>
    <x v="1"/>
    <n v="7.1569190432101398E-4"/>
    <s v="CRT_STACR_2013-DN1_2015-06-01"/>
    <x v="0"/>
    <n v="0.85545771879766974"/>
  </r>
  <r>
    <s v="Proj"/>
    <x v="51"/>
    <s v="Period"/>
    <s v="ALL"/>
    <x v="1"/>
    <n v="8.2890806625987405E-4"/>
    <s v="CRT_STACR_2013-DN1_2015-06-01"/>
    <x v="0"/>
    <n v="0.99016740126296465"/>
  </r>
  <r>
    <s v="Proj"/>
    <x v="52"/>
    <s v="Period"/>
    <s v="ALL"/>
    <x v="1"/>
    <n v="7.2585205114098698E-4"/>
    <s v="CRT_STACR_2013-DN1_2015-06-01"/>
    <x v="0"/>
    <n v="0.86755357703600655"/>
  </r>
  <r>
    <s v="Proj"/>
    <x v="53"/>
    <s v="Period"/>
    <s v="ALL"/>
    <x v="1"/>
    <n v="7.6742496407428097E-4"/>
    <s v="CRT_STACR_2013-DN1_2015-06-01"/>
    <x v="0"/>
    <n v="0.91703287194061511"/>
  </r>
  <r>
    <s v="Proj"/>
    <x v="54"/>
    <s v="Period"/>
    <s v="ALL"/>
    <x v="1"/>
    <n v="7.7267130550723697E-4"/>
    <s v="CRT_STACR_2013-DN1_2015-06-01"/>
    <x v="0"/>
    <n v="0.92327535936211902"/>
  </r>
  <r>
    <s v="Proj"/>
    <x v="55"/>
    <s v="Period"/>
    <s v="ALL"/>
    <x v="1"/>
    <n v="7.0380032760208801E-4"/>
    <s v="CRT_STACR_2013-DN1_2015-06-01"/>
    <x v="0"/>
    <n v="0.84129884021461043"/>
  </r>
  <r>
    <s v="Proj"/>
    <x v="56"/>
    <s v="Period"/>
    <s v="ALL"/>
    <x v="1"/>
    <n v="8.20354230124079E-4"/>
    <s v="CRT_STACR_2013-DN1_2015-06-01"/>
    <x v="0"/>
    <n v="0.97999552456747852"/>
  </r>
  <r>
    <s v="Proj"/>
    <x v="57"/>
    <s v="Period"/>
    <s v="ALL"/>
    <x v="1"/>
    <n v="7.8821425062379805E-4"/>
    <s v="CRT_STACR_2013-DN1_2015-06-01"/>
    <x v="0"/>
    <n v="0.9417673958819206"/>
  </r>
  <r>
    <s v="Proj"/>
    <x v="58"/>
    <s v="Period"/>
    <s v="ALL"/>
    <x v="1"/>
    <n v="7.5555376826404695E-4"/>
    <s v="CRT_STACR_2013-DN1_2015-06-01"/>
    <x v="0"/>
    <n v="0.90290630889090506"/>
  </r>
  <r>
    <s v="Proj"/>
    <x v="59"/>
    <s v="Period"/>
    <s v="ALL"/>
    <x v="1"/>
    <n v="8.3643714280944698E-4"/>
    <s v="CRT_STACR_2013-DN1_2015-06-01"/>
    <x v="0"/>
    <n v="0.99911988262491036"/>
  </r>
  <r>
    <s v="Proj"/>
    <x v="60"/>
    <s v="Period"/>
    <s v="ALL"/>
    <x v="1"/>
    <n v="8.4173246072473298E-4"/>
    <s v="CRT_STACR_2013-DN1_2015-06-01"/>
    <x v="0"/>
    <n v="1.0054158590551587"/>
  </r>
  <r>
    <s v="Proj"/>
    <x v="61"/>
    <s v="Period"/>
    <s v="ALL"/>
    <x v="1"/>
    <n v="8.0849547794979802E-4"/>
    <s v="CRT_STACR_2013-DN1_2015-06-01"/>
    <x v="0"/>
    <n v="0.96589199050018948"/>
  </r>
  <r>
    <s v="Proj"/>
    <x v="62"/>
    <s v="Period"/>
    <s v="ALL"/>
    <x v="1"/>
    <n v="8.1348815284509499E-4"/>
    <s v="CRT_STACR_2013-DN1_2015-06-01"/>
    <x v="0"/>
    <n v="0.97182996953041334"/>
  </r>
  <r>
    <s v="Proj"/>
    <x v="63"/>
    <s v="Period"/>
    <s v="ALL"/>
    <x v="1"/>
    <n v="8.5742384065414998E-4"/>
    <s v="CRT_STACR_2013-DN1_2015-06-01"/>
    <x v="0"/>
    <n v="1.0240702906837873"/>
  </r>
  <r>
    <s v="Proj"/>
    <x v="64"/>
    <s v="Period"/>
    <s v="ALL"/>
    <x v="1"/>
    <n v="7.8417257756376502E-4"/>
    <s v="CRT_STACR_2013-DN1_2015-06-01"/>
    <x v="0"/>
    <n v="0.93695916720434314"/>
  </r>
  <r>
    <s v="Proj"/>
    <x v="65"/>
    <s v="Period"/>
    <s v="ALL"/>
    <x v="1"/>
    <n v="8.6772376118787503E-4"/>
    <s v="CRT_STACR_2013-DN1_2015-06-01"/>
    <x v="0"/>
    <n v="1.0363134251845096"/>
  </r>
  <r>
    <s v="Proj"/>
    <x v="66"/>
    <s v="Period"/>
    <s v="ALL"/>
    <x v="1"/>
    <n v="7.5380401801343304E-4"/>
    <s v="CRT_STACR_2013-DN1_2015-06-01"/>
    <x v="0"/>
    <n v="0.90082397356073818"/>
  </r>
  <r>
    <s v="Proj"/>
    <x v="67"/>
    <s v="Period"/>
    <s v="ALL"/>
    <x v="1"/>
    <n v="7.5818269255331996E-4"/>
    <s v="CRT_STACR_2013-DN1_2015-06-01"/>
    <x v="0"/>
    <n v="0.90603485251693483"/>
  </r>
  <r>
    <s v="Proj"/>
    <x v="68"/>
    <s v="Period"/>
    <s v="ALL"/>
    <x v="1"/>
    <n v="9.2306733535399302E-4"/>
    <s v="CRT_STACR_2013-DN1_2015-06-01"/>
    <x v="0"/>
    <n v="1.1020745177807489"/>
  </r>
  <r>
    <s v="Proj"/>
    <x v="69"/>
    <s v="Period"/>
    <s v="ALL"/>
    <x v="1"/>
    <n v="8.4757952331269504E-4"/>
    <s v="CRT_STACR_2013-DN1_2015-06-01"/>
    <x v="0"/>
    <n v="1.0123674172025421"/>
  </r>
  <r>
    <s v="Proj"/>
    <x v="70"/>
    <s v="Period"/>
    <s v="ALL"/>
    <x v="1"/>
    <n v="8.1174114972713699E-4"/>
    <s v="CRT_STACR_2013-DN1_2015-06-01"/>
    <x v="0"/>
    <n v="0.96975222908756153"/>
  </r>
  <r>
    <s v="Proj"/>
    <x v="71"/>
    <s v="Period"/>
    <s v="ALL"/>
    <x v="1"/>
    <n v="8.9785848217299497E-4"/>
    <s v="CRT_STACR_2013-DN1_2015-06-01"/>
    <x v="0"/>
    <n v="1.0721254812349534"/>
  </r>
  <r>
    <s v="Proj"/>
    <x v="0"/>
    <s v="Period"/>
    <s v="ALL"/>
    <x v="0"/>
    <n v="1.37191341284175E-2"/>
    <s v="CRT_STACR_2013-DN1_2015-06-01"/>
    <x v="1"/>
    <n v="15.275835800818315"/>
  </r>
  <r>
    <s v="Proj"/>
    <x v="1"/>
    <s v="Period"/>
    <s v="ALL"/>
    <x v="0"/>
    <n v="1.3093752291840101E-2"/>
    <s v="CRT_STACR_2013-DN1_2015-06-01"/>
    <x v="1"/>
    <n v="14.628919144950514"/>
  </r>
  <r>
    <s v="Proj"/>
    <x v="2"/>
    <s v="Period"/>
    <s v="ALL"/>
    <x v="0"/>
    <n v="1.30866295782764E-2"/>
    <s v="CRT_STACR_2013-DN1_2015-06-01"/>
    <x v="1"/>
    <n v="14.621525155158698"/>
  </r>
  <r>
    <s v="Proj"/>
    <x v="3"/>
    <s v="Period"/>
    <s v="ALL"/>
    <x v="0"/>
    <n v="1.37014090528426E-2"/>
    <s v="CRT_STACR_2013-DN1_2015-06-01"/>
    <x v="1"/>
    <n v="15.257562417900971"/>
  </r>
  <r>
    <s v="Proj"/>
    <x v="4"/>
    <s v="Period"/>
    <s v="ALL"/>
    <x v="0"/>
    <n v="1.24483839278599E-2"/>
    <s v="CRT_STACR_2013-DN1_2015-06-01"/>
    <x v="1"/>
    <n v="13.956583112023313"/>
  </r>
  <r>
    <s v="Proj"/>
    <x v="5"/>
    <s v="Period"/>
    <s v="ALL"/>
    <x v="0"/>
    <n v="1.3685448958401999E-2"/>
    <s v="CRT_STACR_2013-DN1_2015-06-01"/>
    <x v="1"/>
    <n v="15.241105523025167"/>
  </r>
  <r>
    <s v="Proj"/>
    <x v="6"/>
    <s v="Period"/>
    <s v="ALL"/>
    <x v="0"/>
    <n v="1.18128691659579E-2"/>
    <s v="CRT_STACR_2013-DN1_2015-06-01"/>
    <x v="1"/>
    <n v="13.289772584464854"/>
  </r>
  <r>
    <s v="Proj"/>
    <x v="7"/>
    <s v="Period"/>
    <s v="ALL"/>
    <x v="0"/>
    <n v="1.2428153625043599E-2"/>
    <s v="CRT_STACR_2013-DN1_2015-06-01"/>
    <x v="1"/>
    <n v="13.935429214012206"/>
  </r>
  <r>
    <s v="Proj"/>
    <x v="8"/>
    <s v="Period"/>
    <s v="ALL"/>
    <x v="0"/>
    <n v="1.36640943525883E-2"/>
    <s v="CRT_STACR_2013-DN1_2015-06-01"/>
    <x v="1"/>
    <n v="15.219081616006868"/>
  </r>
  <r>
    <s v="Proj"/>
    <x v="9"/>
    <s v="Period"/>
    <s v="ALL"/>
    <x v="0"/>
    <n v="1.30365756187296E-2"/>
    <s v="CRT_STACR_2013-DN1_2015-06-01"/>
    <x v="1"/>
    <n v="14.569548276797562"/>
  </r>
  <r>
    <s v="Proj"/>
    <x v="10"/>
    <s v="Period"/>
    <s v="ALL"/>
    <x v="0"/>
    <n v="1.3030239668872699E-2"/>
    <s v="CRT_STACR_2013-DN1_2015-06-01"/>
    <x v="1"/>
    <n v="14.5629668515041"/>
  </r>
  <r>
    <s v="Proj"/>
    <x v="11"/>
    <s v="Period"/>
    <s v="ALL"/>
    <x v="0"/>
    <n v="1.36441368010413E-2"/>
    <s v="CRT_STACR_2013-DN1_2015-06-01"/>
    <x v="1"/>
    <n v="15.198493807915082"/>
  </r>
  <r>
    <s v="Proj"/>
    <x v="12"/>
    <s v="Period"/>
    <s v="ALL"/>
    <x v="0"/>
    <n v="1.23977144232026E-2"/>
    <s v="CRT_STACR_2013-DN1_2015-06-01"/>
    <x v="1"/>
    <n v="13.903591356329216"/>
  </r>
  <r>
    <s v="Proj"/>
    <x v="13"/>
    <s v="Period"/>
    <s v="ALL"/>
    <x v="0"/>
    <n v="1.4093182561017201E-2"/>
    <s v="CRT_STACR_2013-DN1_2015-06-01"/>
    <x v="1"/>
    <n v="15.660613668708534"/>
  </r>
  <r>
    <s v="Proj"/>
    <x v="14"/>
    <s v="Period"/>
    <s v="ALL"/>
    <x v="0"/>
    <n v="1.28474259005472E-2"/>
    <s v="CRT_STACR_2013-DN1_2015-06-01"/>
    <x v="1"/>
    <n v="14.37286999096038"/>
  </r>
  <r>
    <s v="Proj"/>
    <x v="15"/>
    <s v="Period"/>
    <s v="ALL"/>
    <x v="0"/>
    <n v="1.2840925199037701E-2"/>
    <s v="CRT_STACR_2013-DN1_2015-06-01"/>
    <x v="1"/>
    <n v="14.366103175909439"/>
  </r>
  <r>
    <s v="Proj"/>
    <x v="16"/>
    <s v="Period"/>
    <s v="ALL"/>
    <x v="0"/>
    <n v="1.2834463568556101E-2"/>
    <s v="CRT_STACR_2013-DN1_2015-06-01"/>
    <x v="1"/>
    <n v="14.359376545522029"/>
  </r>
  <r>
    <s v="Proj"/>
    <x v="17"/>
    <s v="Period"/>
    <s v="ALL"/>
    <x v="0"/>
    <n v="1.2827864139895E-2"/>
    <s v="CRT_STACR_2013-DN1_2015-06-01"/>
    <x v="1"/>
    <n v="14.352505965719221"/>
  </r>
  <r>
    <s v="Proj"/>
    <x v="18"/>
    <s v="Period"/>
    <s v="ALL"/>
    <x v="0"/>
    <n v="1.2210569090045399E-2"/>
    <s v="CRT_STACR_2013-DN1_2015-06-01"/>
    <x v="1"/>
    <n v="13.707609495045126"/>
  </r>
  <r>
    <s v="Proj"/>
    <x v="19"/>
    <s v="Period"/>
    <s v="ALL"/>
    <x v="0"/>
    <n v="1.15937831156382E-2"/>
    <s v="CRT_STACR_2013-DN1_2015-06-01"/>
    <x v="1"/>
    <n v="13.058801964033728"/>
  </r>
  <r>
    <s v="Proj"/>
    <x v="20"/>
    <s v="Period"/>
    <s v="ALL"/>
    <x v="0"/>
    <n v="1.40268700142063E-2"/>
    <s v="CRT_STACR_2013-DN1_2015-06-01"/>
    <x v="1"/>
    <n v="15.592516009017899"/>
  </r>
  <r>
    <s v="Proj"/>
    <x v="21"/>
    <s v="Period"/>
    <s v="ALL"/>
    <x v="0"/>
    <n v="1.1580956776854201E-2"/>
    <s v="CRT_STACR_2013-DN1_2015-06-01"/>
    <x v="1"/>
    <n v="13.045262386868306"/>
  </r>
  <r>
    <s v="Proj"/>
    <x v="22"/>
    <s v="Period"/>
    <s v="ALL"/>
    <x v="0"/>
    <n v="1.34019697403521E-2"/>
    <s v="CRT_STACR_2013-DN1_2015-06-01"/>
    <x v="1"/>
    <n v="14.948313695915981"/>
  </r>
  <r>
    <s v="Proj"/>
    <x v="23"/>
    <s v="Period"/>
    <s v="ALL"/>
    <x v="0"/>
    <n v="1.3394344377460799E-2"/>
    <s v="CRT_STACR_2013-DN1_2015-06-01"/>
    <x v="1"/>
    <n v="14.940425041901895"/>
  </r>
  <r>
    <s v="Proj"/>
    <x v="24"/>
    <s v="Period"/>
    <s v="ALL"/>
    <x v="0"/>
    <n v="1.21696947867508E-2"/>
    <s v="CRT_STACR_2013-DN1_2015-06-01"/>
    <x v="1"/>
    <n v="13.66475083619777"/>
  </r>
  <r>
    <s v="Proj"/>
    <x v="25"/>
    <s v="Period"/>
    <s v="ALL"/>
    <x v="0"/>
    <n v="1.39870710742697E-2"/>
    <s v="CRT_STACR_2013-DN1_2015-06-01"/>
    <x v="1"/>
    <n v="15.551621495579138"/>
  </r>
  <r>
    <s v="Proj"/>
    <x v="26"/>
    <s v="Period"/>
    <s v="ALL"/>
    <x v="0"/>
    <n v="1.21556090347693E-2"/>
    <s v="CRT_STACR_2013-DN1_2015-06-01"/>
    <x v="1"/>
    <n v="13.649976732441937"/>
  </r>
  <r>
    <s v="Proj"/>
    <x v="27"/>
    <s v="Period"/>
    <s v="ALL"/>
    <x v="0"/>
    <n v="1.3363365396111999E-2"/>
    <s v="CRT_STACR_2013-DN1_2015-06-01"/>
    <x v="1"/>
    <n v="14.908369509841435"/>
  </r>
  <r>
    <s v="Proj"/>
    <x v="28"/>
    <s v="Period"/>
    <s v="ALL"/>
    <x v="0"/>
    <n v="1.27484572641528E-2"/>
    <s v="CRT_STACR_2013-DN1_2015-06-01"/>
    <x v="1"/>
    <n v="14.269796869781704"/>
  </r>
  <r>
    <s v="Proj"/>
    <x v="29"/>
    <s v="Period"/>
    <s v="ALL"/>
    <x v="0"/>
    <n v="1.21342323656441E-2"/>
    <s v="CRT_STACR_2013-DN1_2015-06-01"/>
    <x v="1"/>
    <n v="13.627550986820813"/>
  </r>
  <r>
    <s v="Proj"/>
    <x v="30"/>
    <s v="Period"/>
    <s v="ALL"/>
    <x v="0"/>
    <n v="1.27334010855247E-2"/>
    <s v="CRT_STACR_2013-DN1_2015-06-01"/>
    <x v="1"/>
    <n v="14.254106309036318"/>
  </r>
  <r>
    <s v="Proj"/>
    <x v="31"/>
    <s v="Period"/>
    <s v="ALL"/>
    <x v="0"/>
    <n v="1.15138456582038E-2"/>
    <s v="CRT_STACR_2013-DN1_2015-06-01"/>
    <x v="1"/>
    <n v="12.974387878974781"/>
  </r>
  <r>
    <s v="Proj"/>
    <x v="32"/>
    <s v="Period"/>
    <s v="ALL"/>
    <x v="0"/>
    <n v="1.27182295405077E-2"/>
    <s v="CRT_STACR_2013-DN1_2015-06-01"/>
    <x v="1"/>
    <n v="14.238292858306167"/>
  </r>
  <r>
    <s v="Proj"/>
    <x v="33"/>
    <s v="Period"/>
    <s v="ALL"/>
    <x v="0"/>
    <n v="1.27106018696483E-2"/>
    <s v="CRT_STACR_2013-DN1_2015-06-01"/>
    <x v="1"/>
    <n v="14.230341452029627"/>
  </r>
  <r>
    <s v="Proj"/>
    <x v="34"/>
    <s v="Period"/>
    <s v="ALL"/>
    <x v="0"/>
    <n v="1.33078488968537E-2"/>
    <s v="CRT_STACR_2013-DN1_2015-06-01"/>
    <x v="1"/>
    <n v="14.850896050867169"/>
  </r>
  <r>
    <s v="Proj"/>
    <x v="35"/>
    <s v="Period"/>
    <s v="ALL"/>
    <x v="0"/>
    <n v="1.26952641464857E-2"/>
    <s v="CRT_STACR_2013-DN1_2015-06-01"/>
    <x v="1"/>
    <n v="14.214350715913749"/>
  </r>
  <r>
    <s v="Proj"/>
    <x v="36"/>
    <s v="Period"/>
    <s v="ALL"/>
    <x v="0"/>
    <n v="1.2687554422328599E-2"/>
    <s v="CRT_STACR_2013-DN1_2015-06-01"/>
    <x v="1"/>
    <n v="14.206311713466846"/>
  </r>
  <r>
    <s v="Proj"/>
    <x v="37"/>
    <s v="Period"/>
    <s v="ALL"/>
    <x v="0"/>
    <n v="1.38874192763045E-2"/>
    <s v="CRT_STACR_2013-DN1_2015-06-01"/>
    <x v="1"/>
    <n v="15.449146829586313"/>
  </r>
  <r>
    <s v="Proj"/>
    <x v="38"/>
    <s v="Period"/>
    <s v="ALL"/>
    <x v="0"/>
    <n v="1.14651914907063E-2"/>
    <s v="CRT_STACR_2013-DN1_2015-06-01"/>
    <x v="1"/>
    <n v="12.922972225314922"/>
  </r>
  <r>
    <s v="Proj"/>
    <x v="39"/>
    <s v="Period"/>
    <s v="ALL"/>
    <x v="0"/>
    <n v="1.38703832167296E-2"/>
    <s v="CRT_STACR_2013-DN1_2015-06-01"/>
    <x v="1"/>
    <n v="15.431616779495204"/>
  </r>
  <r>
    <s v="Proj"/>
    <x v="40"/>
    <s v="Period"/>
    <s v="ALL"/>
    <x v="0"/>
    <n v="1.26564451978758E-2"/>
    <s v="CRT_STACR_2013-DN1_2015-06-01"/>
    <x v="1"/>
    <n v="14.173866814816027"/>
  </r>
  <r>
    <s v="Proj"/>
    <x v="41"/>
    <s v="Period"/>
    <s v="ALL"/>
    <x v="0"/>
    <n v="1.2046286260799399E-2"/>
    <s v="CRT_STACR_2013-DN1_2015-06-01"/>
    <x v="1"/>
    <n v="13.535232683517151"/>
  </r>
  <r>
    <s v="Proj"/>
    <x v="42"/>
    <s v="Period"/>
    <s v="ALL"/>
    <x v="0"/>
    <n v="1.2640729098931399E-2"/>
    <s v="CRT_STACR_2013-DN1_2015-06-01"/>
    <x v="1"/>
    <n v="14.157471669419364"/>
  </r>
  <r>
    <s v="Proj"/>
    <x v="43"/>
    <s v="Period"/>
    <s v="ALL"/>
    <x v="0"/>
    <n v="1.1429704061360599E-2"/>
    <s v="CRT_STACR_2013-DN1_2015-06-01"/>
    <x v="1"/>
    <n v="12.88545305999701"/>
  </r>
  <r>
    <s v="Proj"/>
    <x v="44"/>
    <s v="Period"/>
    <s v="ALL"/>
    <x v="0"/>
    <n v="1.2624905721269199E-2"/>
    <s v="CRT_STACR_2013-DN1_2015-06-01"/>
    <x v="1"/>
    <n v="14.140961709760379"/>
  </r>
  <r>
    <s v="Proj"/>
    <x v="45"/>
    <s v="Period"/>
    <s v="ALL"/>
    <x v="0"/>
    <n v="1.26169538785731E-2"/>
    <s v="CRT_STACR_2013-DN1_2015-06-01"/>
    <x v="1"/>
    <n v="14.13266373490516"/>
  </r>
  <r>
    <s v="Proj"/>
    <x v="46"/>
    <s v="Period"/>
    <s v="ALL"/>
    <x v="0"/>
    <n v="1.32094027021087E-2"/>
    <s v="CRT_STACR_2013-DN1_2015-06-01"/>
    <x v="1"/>
    <n v="14.748892116173806"/>
  </r>
  <r>
    <s v="Proj"/>
    <x v="47"/>
    <s v="Period"/>
    <s v="ALL"/>
    <x v="0"/>
    <n v="1.2000923843598001E-2"/>
    <s v="CRT_STACR_2013-DN1_2015-06-01"/>
    <x v="1"/>
    <n v="13.48757974448761"/>
  </r>
  <r>
    <s v="Proj"/>
    <x v="48"/>
    <s v="Period"/>
    <s v="ALL"/>
    <x v="0"/>
    <n v="1.31926018165676E-2"/>
    <s v="CRT_STACR_2013-DN1_2015-06-01"/>
    <x v="1"/>
    <n v="14.73147287963088"/>
  </r>
  <r>
    <s v="Proj"/>
    <x v="49"/>
    <s v="Period"/>
    <s v="ALL"/>
    <x v="0"/>
    <n v="1.3184159501927599E-2"/>
    <s v="CRT_STACR_2013-DN1_2015-06-01"/>
    <x v="1"/>
    <n v="14.722718616832775"/>
  </r>
  <r>
    <s v="Proj"/>
    <x v="50"/>
    <s v="Period"/>
    <s v="ALL"/>
    <x v="0"/>
    <n v="1.1977899381150301E-2"/>
    <s v="CRT_STACR_2013-DN1_2015-06-01"/>
    <x v="1"/>
    <n v="13.46338347936722"/>
  </r>
  <r>
    <s v="Proj"/>
    <x v="51"/>
    <s v="Period"/>
    <s v="ALL"/>
    <x v="0"/>
    <n v="1.37657000008399E-2"/>
    <s v="CRT_STACR_2013-DN1_2015-06-01"/>
    <x v="1"/>
    <n v="15.323824933759688"/>
  </r>
  <r>
    <s v="Proj"/>
    <x v="52"/>
    <s v="Period"/>
    <s v="ALL"/>
    <x v="0"/>
    <n v="1.1962423179614099E-2"/>
    <s v="CRT_STACR_2013-DN1_2015-06-01"/>
    <x v="1"/>
    <n v="13.447116148895455"/>
  </r>
  <r>
    <s v="Proj"/>
    <x v="53"/>
    <s v="Period"/>
    <s v="ALL"/>
    <x v="0"/>
    <n v="1.2552379575278201E-2"/>
    <s v="CRT_STACR_2013-DN1_2015-06-01"/>
    <x v="1"/>
    <n v="14.065251376617615"/>
  </r>
  <r>
    <s v="Proj"/>
    <x v="54"/>
    <s v="Period"/>
    <s v="ALL"/>
    <x v="0"/>
    <n v="1.2544188358639999E-2"/>
    <s v="CRT_STACR_2013-DN1_2015-06-01"/>
    <x v="1"/>
    <n v="14.056696687807602"/>
  </r>
  <r>
    <s v="Proj"/>
    <x v="55"/>
    <s v="Period"/>
    <s v="ALL"/>
    <x v="0"/>
    <n v="1.1342068755076999E-2"/>
    <s v="CRT_STACR_2013-DN1_2015-06-01"/>
    <x v="1"/>
    <n v="12.792736942127437"/>
  </r>
  <r>
    <s v="Proj"/>
    <x v="56"/>
    <s v="Period"/>
    <s v="ALL"/>
    <x v="0"/>
    <n v="1.3124285145062E-2"/>
    <s v="CRT_STACR_2013-DN1_2015-06-01"/>
    <x v="1"/>
    <n v="14.660608224151916"/>
  </r>
  <r>
    <s v="Proj"/>
    <x v="57"/>
    <s v="Period"/>
    <s v="ALL"/>
    <x v="0"/>
    <n v="1.25194564025598E-2"/>
    <s v="CRT_STACR_2013-DN1_2015-06-01"/>
    <x v="1"/>
    <n v="14.030862553610246"/>
  </r>
  <r>
    <s v="Proj"/>
    <x v="58"/>
    <s v="Period"/>
    <s v="ALL"/>
    <x v="0"/>
    <n v="1.1915390280078099E-2"/>
    <s v="CRT_STACR_2013-DN1_2015-06-01"/>
    <x v="1"/>
    <n v="13.397661765962955"/>
  </r>
  <r>
    <s v="Proj"/>
    <x v="59"/>
    <s v="Period"/>
    <s v="ALL"/>
    <x v="0"/>
    <n v="1.3098210138899301E-2"/>
    <s v="CRT_STACR_2013-DN1_2015-06-01"/>
    <x v="1"/>
    <n v="14.633546475273606"/>
  </r>
  <r>
    <s v="Proj"/>
    <x v="60"/>
    <s v="Period"/>
    <s v="ALL"/>
    <x v="0"/>
    <n v="1.3089463536331799E-2"/>
    <s v="CRT_STACR_2013-DN1_2015-06-01"/>
    <x v="1"/>
    <n v="14.624467117877526"/>
  </r>
  <r>
    <s v="Proj"/>
    <x v="61"/>
    <s v="Period"/>
    <s v="ALL"/>
    <x v="0"/>
    <n v="1.2486112754960799E-2"/>
    <s v="CRT_STACR_2013-DN1_2015-06-01"/>
    <x v="1"/>
    <n v="13.996021680332937"/>
  </r>
  <r>
    <s v="Proj"/>
    <x v="62"/>
    <s v="Period"/>
    <s v="ALL"/>
    <x v="0"/>
    <n v="1.24777115042068E-2"/>
    <s v="CRT_STACR_2013-DN1_2015-06-01"/>
    <x v="1"/>
    <n v="13.987241148050867"/>
  </r>
  <r>
    <s v="Proj"/>
    <x v="63"/>
    <s v="Period"/>
    <s v="ALL"/>
    <x v="0"/>
    <n v="1.3063059661276299E-2"/>
    <s v="CRT_STACR_2013-DN1_2015-06-01"/>
    <x v="1"/>
    <n v="14.597053366917645"/>
  </r>
  <r>
    <s v="Proj"/>
    <x v="64"/>
    <s v="Period"/>
    <s v="ALL"/>
    <x v="0"/>
    <n v="1.1867458060705299E-2"/>
    <s v="CRT_STACR_2013-DN1_2015-06-01"/>
    <x v="1"/>
    <n v="13.347235112978485"/>
  </r>
  <r>
    <s v="Proj"/>
    <x v="65"/>
    <s v="Period"/>
    <s v="ALL"/>
    <x v="0"/>
    <n v="1.3045320918408499E-2"/>
    <s v="CRT_STACR_2013-DN1_2015-06-01"/>
    <x v="1"/>
    <n v="14.578631634592387"/>
  </r>
  <r>
    <s v="Proj"/>
    <x v="66"/>
    <s v="Period"/>
    <s v="ALL"/>
    <x v="0"/>
    <n v="1.1258718484999699E-2"/>
    <s v="CRT_STACR_2013-DN1_2015-06-01"/>
    <x v="1"/>
    <n v="12.704470373148292"/>
  </r>
  <r>
    <s v="Proj"/>
    <x v="67"/>
    <s v="Period"/>
    <s v="ALL"/>
    <x v="0"/>
    <n v="1.12510001057441E-2"/>
    <s v="CRT_STACR_2013-DN1_2015-06-01"/>
    <x v="1"/>
    <n v="12.696292594632686"/>
  </r>
  <r>
    <s v="Proj"/>
    <x v="68"/>
    <s v="Period"/>
    <s v="ALL"/>
    <x v="0"/>
    <n v="1.3610260215212701E-2"/>
    <s v="CRT_STACR_2013-DN1_2015-06-01"/>
    <x v="1"/>
    <n v="15.163536912490084"/>
  </r>
  <r>
    <s v="Proj"/>
    <x v="69"/>
    <s v="Period"/>
    <s v="ALL"/>
    <x v="0"/>
    <n v="1.2418177071953401E-2"/>
    <s v="CRT_STACR_2013-DN1_2015-06-01"/>
    <x v="1"/>
    <n v="13.924995435798305"/>
  </r>
  <r>
    <s v="Proj"/>
    <x v="70"/>
    <s v="Period"/>
    <s v="ALL"/>
    <x v="0"/>
    <n v="1.1818637339806299E-2"/>
    <s v="CRT_STACR_2013-DN1_2015-06-01"/>
    <x v="1"/>
    <n v="13.295846052863391"/>
  </r>
  <r>
    <s v="Proj"/>
    <x v="71"/>
    <s v="Period"/>
    <s v="ALL"/>
    <x v="0"/>
    <n v="1.2991456550948299E-2"/>
    <s v="CRT_STACR_2013-DN1_2015-06-01"/>
    <x v="1"/>
    <n v="14.522671018099176"/>
  </r>
  <r>
    <s v="Proj"/>
    <x v="0"/>
    <s v="Period"/>
    <s v="ALL"/>
    <x v="1"/>
    <n v="5.7082728817530598E-5"/>
    <s v="CRT_STACR_2013-DN1_2015-06-01"/>
    <x v="1"/>
    <n v="6.8477772982200591E-2"/>
  </r>
  <r>
    <s v="Proj"/>
    <x v="1"/>
    <s v="Period"/>
    <s v="ALL"/>
    <x v="1"/>
    <n v="6.4126472483795404E-5"/>
    <s v="CRT_STACR_2013-DN1_2015-06-01"/>
    <x v="1"/>
    <n v="7.692463223158974E-2"/>
  </r>
  <r>
    <s v="Proj"/>
    <x v="2"/>
    <s v="Period"/>
    <s v="ALL"/>
    <x v="1"/>
    <n v="8.1664010480083296E-5"/>
    <s v="CRT_STACR_2013-DN1_2015-06-01"/>
    <x v="1"/>
    <n v="9.7952809085466441E-2"/>
  </r>
  <r>
    <s v="Proj"/>
    <x v="3"/>
    <s v="Period"/>
    <s v="ALL"/>
    <x v="1"/>
    <n v="1.1329161554857799E-4"/>
    <s v="CRT_STACR_2013-DN1_2015-06-01"/>
    <x v="1"/>
    <n v="0.13586525970529229"/>
  </r>
  <r>
    <s v="Proj"/>
    <x v="4"/>
    <s v="Period"/>
    <s v="ALL"/>
    <x v="1"/>
    <n v="1.2952103242337801E-4"/>
    <s v="CRT_STACR_2013-DN1_2015-06-01"/>
    <x v="1"/>
    <n v="0.15531456709010349"/>
  </r>
  <r>
    <s v="Proj"/>
    <x v="5"/>
    <s v="Period"/>
    <s v="ALL"/>
    <x v="1"/>
    <n v="1.6842002892032099E-4"/>
    <s v="CRT_STACR_2013-DN1_2015-06-01"/>
    <x v="1"/>
    <n v="0.20191692874439449"/>
  </r>
  <r>
    <s v="Proj"/>
    <x v="6"/>
    <s v="Period"/>
    <s v="ALL"/>
    <x v="1"/>
    <n v="1.6373006551169501E-4"/>
    <s v="CRT_STACR_2013-DN1_2015-06-01"/>
    <x v="1"/>
    <n v="0.19629924541419985"/>
  </r>
  <r>
    <s v="Proj"/>
    <x v="7"/>
    <s v="Period"/>
    <s v="ALL"/>
    <x v="1"/>
    <n v="1.87345783985368E-4"/>
    <s v="CRT_STACR_2013-DN1_2015-06-01"/>
    <x v="1"/>
    <n v="0.22458343566111871"/>
  </r>
  <r>
    <s v="Proj"/>
    <x v="8"/>
    <s v="Period"/>
    <s v="ALL"/>
    <x v="1"/>
    <n v="2.1869627267860999E-4"/>
    <s v="CRT_STACR_2013-DN1_2015-06-01"/>
    <x v="1"/>
    <n v="0.26212009202315478"/>
  </r>
  <r>
    <s v="Proj"/>
    <x v="9"/>
    <s v="Period"/>
    <s v="ALL"/>
    <x v="1"/>
    <n v="2.1796056099058499E-4"/>
    <s v="CRT_STACR_2013-DN1_2015-06-01"/>
    <x v="1"/>
    <n v="0.26123935595782077"/>
  </r>
  <r>
    <s v="Proj"/>
    <x v="10"/>
    <s v="Period"/>
    <s v="ALL"/>
    <x v="1"/>
    <n v="2.2509991800268901E-4"/>
    <s v="CRT_STACR_2013-DN1_2015-06-01"/>
    <x v="1"/>
    <n v="0.26978573058155098"/>
  </r>
  <r>
    <s v="Proj"/>
    <x v="11"/>
    <s v="Period"/>
    <s v="ALL"/>
    <x v="1"/>
    <n v="2.41772748416591E-4"/>
    <s v="CRT_STACR_2013-DN1_2015-06-01"/>
    <x v="1"/>
    <n v="0.28974181203964555"/>
  </r>
  <r>
    <s v="Proj"/>
    <x v="12"/>
    <s v="Period"/>
    <s v="ALL"/>
    <x v="1"/>
    <n v="2.2424551930579599E-4"/>
    <s v="CRT_STACR_2013-DN1_2015-06-01"/>
    <x v="1"/>
    <n v="0.268762983173787"/>
  </r>
  <r>
    <s v="Proj"/>
    <x v="13"/>
    <s v="Period"/>
    <s v="ALL"/>
    <x v="1"/>
    <n v="2.6073789530951802E-4"/>
    <s v="CRT_STACR_2013-DN1_2015-06-01"/>
    <x v="1"/>
    <n v="0.3124371680660265"/>
  </r>
  <r>
    <s v="Proj"/>
    <x v="14"/>
    <s v="Period"/>
    <s v="ALL"/>
    <x v="1"/>
    <n v="2.34100215380687E-4"/>
    <s v="CRT_STACR_2013-DN1_2015-06-01"/>
    <x v="1"/>
    <n v="0.28055884134289277"/>
  </r>
  <r>
    <s v="Proj"/>
    <x v="15"/>
    <s v="Period"/>
    <s v="ALL"/>
    <x v="1"/>
    <n v="2.32488955730954E-4"/>
    <s v="CRT_STACR_2013-DN1_2015-06-01"/>
    <x v="1"/>
    <n v="0.27863028583489102"/>
  </r>
  <r>
    <s v="Proj"/>
    <x v="16"/>
    <s v="Period"/>
    <s v="ALL"/>
    <x v="1"/>
    <n v="2.2959671274824201E-4"/>
    <s v="CRT_STACR_2013-DN1_2015-06-01"/>
    <x v="1"/>
    <n v="0.27516840473549298"/>
  </r>
  <r>
    <s v="Proj"/>
    <x v="17"/>
    <s v="Period"/>
    <s v="ALL"/>
    <x v="1"/>
    <n v="2.2597269235813001E-4"/>
    <s v="CRT_STACR_2013-DN1_2015-06-01"/>
    <x v="1"/>
    <n v="0.27083046441778169"/>
  </r>
  <r>
    <s v="Proj"/>
    <x v="18"/>
    <s v="Period"/>
    <s v="ALL"/>
    <x v="1"/>
    <n v="2.12109872129913E-4"/>
    <s v="CRT_STACR_2013-DN1_2015-06-01"/>
    <x v="1"/>
    <n v="0.25423511845485969"/>
  </r>
  <r>
    <s v="Proj"/>
    <x v="19"/>
    <s v="Period"/>
    <s v="ALL"/>
    <x v="1"/>
    <n v="1.9935475778021599E-4"/>
    <s v="CRT_STACR_2013-DN1_2015-06-01"/>
    <x v="1"/>
    <n v="0.23896358425179454"/>
  </r>
  <r>
    <s v="Proj"/>
    <x v="20"/>
    <s v="Period"/>
    <s v="ALL"/>
    <x v="1"/>
    <n v="2.3977945335880801E-4"/>
    <s v="CRT_STACR_2013-DN1_2015-06-01"/>
    <x v="1"/>
    <n v="0.28735618552808706"/>
  </r>
  <r>
    <s v="Proj"/>
    <x v="21"/>
    <s v="Period"/>
    <s v="ALL"/>
    <x v="1"/>
    <n v="1.9757178074281099E-4"/>
    <s v="CRT_STACR_2013-DN1_2015-06-01"/>
    <x v="1"/>
    <n v="0.23682867806651409"/>
  </r>
  <r>
    <s v="Proj"/>
    <x v="22"/>
    <s v="Period"/>
    <s v="ALL"/>
    <x v="1"/>
    <n v="2.28888455193169E-4"/>
    <s v="CRT_STACR_2013-DN1_2015-06-01"/>
    <x v="1"/>
    <n v="0.27432063640341342"/>
  </r>
  <r>
    <s v="Proj"/>
    <x v="23"/>
    <s v="Period"/>
    <s v="ALL"/>
    <x v="1"/>
    <n v="2.2954110755223501E-4"/>
    <s v="CRT_STACR_2013-DN1_2015-06-01"/>
    <x v="1"/>
    <n v="0.27510184680796801"/>
  </r>
  <r>
    <s v="Proj"/>
    <x v="24"/>
    <s v="Period"/>
    <s v="ALL"/>
    <x v="1"/>
    <n v="2.09617001135068E-4"/>
    <s v="CRT_STACR_2013-DN1_2015-06-01"/>
    <x v="1"/>
    <n v="0.25125060460053916"/>
  </r>
  <r>
    <s v="Proj"/>
    <x v="25"/>
    <s v="Period"/>
    <s v="ALL"/>
    <x v="1"/>
    <n v="2.42428731326677E-4"/>
    <s v="CRT_STACR_2013-DN1_2015-06-01"/>
    <x v="1"/>
    <n v="0.29052689772337548"/>
  </r>
  <r>
    <s v="Proj"/>
    <x v="26"/>
    <s v="Period"/>
    <s v="ALL"/>
    <x v="1"/>
    <n v="2.1216981238505499E-4"/>
    <s v="CRT_STACR_2013-DN1_2015-06-01"/>
    <x v="1"/>
    <n v="0.25430687909144822"/>
  </r>
  <r>
    <s v="Proj"/>
    <x v="27"/>
    <s v="Period"/>
    <s v="ALL"/>
    <x v="1"/>
    <n v="2.3501423339874401E-4"/>
    <s v="CRT_STACR_2013-DN1_2015-06-01"/>
    <x v="1"/>
    <n v="0.28165283633938554"/>
  </r>
  <r>
    <s v="Proj"/>
    <x v="28"/>
    <s v="Period"/>
    <s v="ALL"/>
    <x v="1"/>
    <n v="2.25968091846239E-4"/>
    <s v="CRT_STACR_2013-DN1_2015-06-01"/>
    <x v="1"/>
    <n v="0.27082495751054037"/>
  </r>
  <r>
    <s v="Proj"/>
    <x v="29"/>
    <s v="Period"/>
    <s v="ALL"/>
    <x v="1"/>
    <n v="2.16818271953793E-4"/>
    <s v="CRT_STACR_2013-DN1_2015-06-01"/>
    <x v="1"/>
    <n v="0.25987188339753331"/>
  </r>
  <r>
    <s v="Proj"/>
    <x v="30"/>
    <s v="Period"/>
    <s v="ALL"/>
    <x v="1"/>
    <n v="2.2938561863523099E-4"/>
    <s v="CRT_STACR_2013-DN1_2015-06-01"/>
    <x v="1"/>
    <n v="0.27491573053057827"/>
  </r>
  <r>
    <s v="Proj"/>
    <x v="31"/>
    <s v="Period"/>
    <s v="ALL"/>
    <x v="1"/>
    <n v="2.0912126061453101E-4"/>
    <s v="CRT_STACR_2013-DN1_2015-06-01"/>
    <x v="1"/>
    <n v="0.25065708460707548"/>
  </r>
  <r>
    <s v="Proj"/>
    <x v="32"/>
    <s v="Period"/>
    <s v="ALL"/>
    <x v="1"/>
    <n v="2.3289524600228901E-4"/>
    <s v="CRT_STACR_2013-DN1_2015-06-01"/>
    <x v="1"/>
    <n v="0.27911658767649783"/>
  </r>
  <r>
    <s v="Proj"/>
    <x v="33"/>
    <s v="Period"/>
    <s v="ALL"/>
    <x v="1"/>
    <n v="2.34663024171658E-4"/>
    <s v="CRT_STACR_2013-DN1_2015-06-01"/>
    <x v="1"/>
    <n v="0.28123247269224994"/>
  </r>
  <r>
    <s v="Proj"/>
    <x v="34"/>
    <s v="Period"/>
    <s v="ALL"/>
    <x v="1"/>
    <n v="2.4769181041936998E-4"/>
    <s v="CRT_STACR_2013-DN1_2015-06-01"/>
    <x v="1"/>
    <n v="0.29682558849589702"/>
  </r>
  <r>
    <s v="Proj"/>
    <x v="35"/>
    <s v="Period"/>
    <s v="ALL"/>
    <x v="1"/>
    <n v="2.3820254230395E-4"/>
    <s v="CRT_STACR_2013-DN1_2015-06-01"/>
    <x v="1"/>
    <n v="0.28546886097372548"/>
  </r>
  <r>
    <s v="Proj"/>
    <x v="36"/>
    <s v="Period"/>
    <s v="ALL"/>
    <x v="1"/>
    <n v="2.39969398183074E-4"/>
    <s v="CRT_STACR_2013-DN1_2015-06-01"/>
    <x v="1"/>
    <n v="0.28758351860762588"/>
  </r>
  <r>
    <s v="Proj"/>
    <x v="37"/>
    <s v="Period"/>
    <s v="ALL"/>
    <x v="1"/>
    <n v="2.6475443988114802E-4"/>
    <s v="CRT_STACR_2013-DN1_2015-06-01"/>
    <x v="1"/>
    <n v="0.31724310946029677"/>
  </r>
  <r>
    <s v="Proj"/>
    <x v="38"/>
    <s v="Period"/>
    <s v="ALL"/>
    <x v="1"/>
    <n v="2.2030081801240501E-4"/>
    <s v="CRT_STACR_2013-DN1_2015-06-01"/>
    <x v="1"/>
    <n v="0.26404090254381618"/>
  </r>
  <r>
    <s v="Proj"/>
    <x v="39"/>
    <s v="Period"/>
    <s v="ALL"/>
    <x v="1"/>
    <n v="2.6859943957338801E-4"/>
    <s v="CRT_STACR_2013-DN1_2015-06-01"/>
    <x v="1"/>
    <n v="0.32184359220377434"/>
  </r>
  <r>
    <s v="Proj"/>
    <x v="40"/>
    <s v="Period"/>
    <s v="ALL"/>
    <x v="1"/>
    <n v="2.46989659127527E-4"/>
    <s v="CRT_STACR_2013-DN1_2015-06-01"/>
    <x v="1"/>
    <n v="0.29598529656480466"/>
  </r>
  <r>
    <s v="Proj"/>
    <x v="41"/>
    <s v="Period"/>
    <s v="ALL"/>
    <x v="1"/>
    <n v="2.36885875238428E-4"/>
    <s v="CRT_STACR_2013-DN1_2015-06-01"/>
    <x v="1"/>
    <n v="0.2838929841144755"/>
  </r>
  <r>
    <s v="Proj"/>
    <x v="42"/>
    <s v="Period"/>
    <s v="ALL"/>
    <x v="1"/>
    <n v="2.5046430166910001E-4"/>
    <s v="CRT_STACR_2013-DN1_2015-06-01"/>
    <x v="1"/>
    <n v="0.30014347385867168"/>
  </r>
  <r>
    <s v="Proj"/>
    <x v="43"/>
    <s v="Period"/>
    <s v="ALL"/>
    <x v="1"/>
    <n v="2.28173646516039E-4"/>
    <s v="CRT_STACR_2013-DN1_2015-06-01"/>
    <x v="1"/>
    <n v="0.27346501982755678"/>
  </r>
  <r>
    <s v="Proj"/>
    <x v="44"/>
    <s v="Period"/>
    <s v="ALL"/>
    <x v="1"/>
    <n v="2.5391294968514901E-4"/>
    <s v="CRT_STACR_2013-DN1_2015-06-01"/>
    <x v="1"/>
    <n v="0.30427038577364174"/>
  </r>
  <r>
    <s v="Proj"/>
    <x v="45"/>
    <s v="Period"/>
    <s v="ALL"/>
    <x v="1"/>
    <n v="2.5562731465750998E-4"/>
    <s v="CRT_STACR_2013-DN1_2015-06-01"/>
    <x v="1"/>
    <n v="0.30632186572846498"/>
  </r>
  <r>
    <s v="Proj"/>
    <x v="46"/>
    <s v="Period"/>
    <s v="ALL"/>
    <x v="1"/>
    <n v="2.6958902541277798E-4"/>
    <s v="CRT_STACR_2013-DN1_2015-06-01"/>
    <x v="1"/>
    <n v="0.3230275848842612"/>
  </r>
  <r>
    <s v="Proj"/>
    <x v="47"/>
    <s v="Period"/>
    <s v="ALL"/>
    <x v="1"/>
    <n v="2.4670087065534901E-4"/>
    <s v="CRT_STACR_2013-DN1_2015-06-01"/>
    <x v="1"/>
    <n v="0.29563969021384473"/>
  </r>
  <r>
    <s v="Proj"/>
    <x v="48"/>
    <s v="Period"/>
    <s v="ALL"/>
    <x v="1"/>
    <n v="2.7314582101788402E-4"/>
    <s v="CRT_STACR_2013-DN1_2015-06-01"/>
    <x v="1"/>
    <n v="0.32728301626395728"/>
  </r>
  <r>
    <s v="Proj"/>
    <x v="49"/>
    <s v="Period"/>
    <s v="ALL"/>
    <x v="1"/>
    <n v="2.7491360185695701E-4"/>
    <s v="CRT_STACR_2013-DN1_2015-06-01"/>
    <x v="1"/>
    <n v="0.32939796762184725"/>
  </r>
  <r>
    <s v="Proj"/>
    <x v="50"/>
    <s v="Period"/>
    <s v="ALL"/>
    <x v="1"/>
    <n v="2.5152208282591302E-4"/>
    <s v="CRT_STACR_2013-DN1_2015-06-01"/>
    <x v="1"/>
    <n v="0.30140931109612357"/>
  </r>
  <r>
    <s v="Proj"/>
    <x v="51"/>
    <s v="Period"/>
    <s v="ALL"/>
    <x v="1"/>
    <n v="2.9108369539684599E-4"/>
    <s v="CRT_STACR_2013-DN1_2015-06-01"/>
    <x v="1"/>
    <n v="0.34874176057975159"/>
  </r>
  <r>
    <s v="Proj"/>
    <x v="52"/>
    <s v="Period"/>
    <s v="ALL"/>
    <x v="1"/>
    <n v="2.5470397447948599E-4"/>
    <s v="CRT_STACR_2013-DN1_2015-06-01"/>
    <x v="1"/>
    <n v="0.30521696353194017"/>
  </r>
  <r>
    <s v="Proj"/>
    <x v="53"/>
    <s v="Period"/>
    <s v="ALL"/>
    <x v="1"/>
    <n v="2.6909949462193702E-4"/>
    <s v="CRT_STACR_2013-DN1_2015-06-01"/>
    <x v="1"/>
    <n v="0.32244188604377833"/>
  </r>
  <r>
    <s v="Proj"/>
    <x v="54"/>
    <s v="Period"/>
    <s v="ALL"/>
    <x v="1"/>
    <n v="2.7075303196478199E-4"/>
    <s v="CRT_STACR_2013-DN1_2015-06-01"/>
    <x v="1"/>
    <n v="0.32442024720259477"/>
  </r>
  <r>
    <s v="Proj"/>
    <x v="55"/>
    <s v="Period"/>
    <s v="ALL"/>
    <x v="1"/>
    <n v="2.46456947220249E-4"/>
    <s v="CRT_STACR_2013-DN1_2015-06-01"/>
    <x v="1"/>
    <n v="0.29534777504568455"/>
  </r>
  <r>
    <s v="Proj"/>
    <x v="56"/>
    <s v="Period"/>
    <s v="ALL"/>
    <x v="1"/>
    <n v="2.87089260772819E-4"/>
    <s v="CRT_STACR_2013-DN1_2015-06-01"/>
    <x v="1"/>
    <n v="0.34396365954645347"/>
  </r>
  <r>
    <s v="Proj"/>
    <x v="57"/>
    <s v="Period"/>
    <s v="ALL"/>
    <x v="1"/>
    <n v="2.7567292651073697E-4"/>
    <s v="CRT_STACR_2013-DN1_2015-06-01"/>
    <x v="1"/>
    <n v="0.33030640171347603"/>
  </r>
  <r>
    <s v="Proj"/>
    <x v="58"/>
    <s v="Period"/>
    <s v="ALL"/>
    <x v="1"/>
    <n v="2.64094586443725E-4"/>
    <s v="CRT_STACR_2013-DN1_2015-06-01"/>
    <x v="1"/>
    <n v="0.31645358544751812"/>
  </r>
  <r>
    <s v="Proj"/>
    <x v="59"/>
    <s v="Period"/>
    <s v="ALL"/>
    <x v="1"/>
    <n v="2.9220076911584599E-4"/>
    <s v="CRT_STACR_2013-DN1_2015-06-01"/>
    <x v="1"/>
    <n v="0.3500779549343247"/>
  </r>
  <r>
    <s v="Proj"/>
    <x v="60"/>
    <s v="Period"/>
    <s v="ALL"/>
    <x v="1"/>
    <n v="2.9389038009286402E-4"/>
    <s v="CRT_STACR_2013-DN1_2015-06-01"/>
    <x v="1"/>
    <n v="0.35209896191892298"/>
  </r>
  <r>
    <s v="Proj"/>
    <x v="61"/>
    <s v="Period"/>
    <s v="ALL"/>
    <x v="1"/>
    <n v="2.8213774651841199E-4"/>
    <s v="CRT_STACR_2013-DN1_2015-06-01"/>
    <x v="1"/>
    <n v="0.33804041832595777"/>
  </r>
  <r>
    <s v="Proj"/>
    <x v="62"/>
    <s v="Period"/>
    <s v="ALL"/>
    <x v="1"/>
    <n v="2.8373697547608601E-4"/>
    <s v="CRT_STACR_2013-DN1_2015-06-01"/>
    <x v="1"/>
    <n v="0.33995352876025065"/>
  </r>
  <r>
    <s v="Proj"/>
    <x v="63"/>
    <s v="Period"/>
    <s v="ALL"/>
    <x v="1"/>
    <n v="2.98916527489573E-4"/>
    <s v="CRT_STACR_2013-DN1_2015-06-01"/>
    <x v="1"/>
    <n v="0.35811070298320535"/>
  </r>
  <r>
    <s v="Proj"/>
    <x v="64"/>
    <s v="Period"/>
    <s v="ALL"/>
    <x v="1"/>
    <n v="2.73252435379572E-4"/>
    <s v="CRT_STACR_2013-DN1_2015-06-01"/>
    <x v="1"/>
    <n v="0.32741056954694869"/>
  </r>
  <r>
    <s v="Proj"/>
    <x v="65"/>
    <s v="Period"/>
    <s v="ALL"/>
    <x v="1"/>
    <n v="3.0223171348226798E-4"/>
    <s v="CRT_STACR_2013-DN1_2015-06-01"/>
    <x v="1"/>
    <n v="0.36207579266425149"/>
  </r>
  <r>
    <s v="Proj"/>
    <x v="66"/>
    <s v="Period"/>
    <s v="ALL"/>
    <x v="1"/>
    <n v="2.6244063527885802E-4"/>
    <s v="CRT_STACR_2013-DN1_2015-06-01"/>
    <x v="1"/>
    <n v="0.3144745841889951"/>
  </r>
  <r>
    <s v="Proj"/>
    <x v="67"/>
    <s v="Period"/>
    <s v="ALL"/>
    <x v="1"/>
    <n v="2.6385682465002701E-4"/>
    <s v="CRT_STACR_2013-DN1_2015-06-01"/>
    <x v="1"/>
    <n v="0.31616909867849818"/>
  </r>
  <r>
    <s v="Proj"/>
    <x v="68"/>
    <s v="Period"/>
    <s v="ALL"/>
    <x v="1"/>
    <n v="3.2111252117175801E-4"/>
    <s v="CRT_STACR_2013-DN1_2015-06-01"/>
    <x v="1"/>
    <n v="0.38465520586280499"/>
  </r>
  <r>
    <s v="Proj"/>
    <x v="69"/>
    <s v="Period"/>
    <s v="ALL"/>
    <x v="1"/>
    <n v="2.9474136238393498E-4"/>
    <s v="CRT_STACR_2013-DN1_2015-06-01"/>
    <x v="1"/>
    <n v="0.35311683948878736"/>
  </r>
  <r>
    <s v="Proj"/>
    <x v="70"/>
    <s v="Period"/>
    <s v="ALL"/>
    <x v="1"/>
    <n v="2.8217736544272799E-4"/>
    <s v="CRT_STACR_2013-DN1_2015-06-01"/>
    <x v="1"/>
    <n v="0.33808781368330765"/>
  </r>
  <r>
    <s v="Proj"/>
    <x v="71"/>
    <s v="Period"/>
    <s v="ALL"/>
    <x v="1"/>
    <n v="3.1200641608174901E-4"/>
    <s v="CRT_STACR_2013-DN1_2015-06-01"/>
    <x v="1"/>
    <n v="0.37376587021543672"/>
  </r>
  <r>
    <s v="Proj"/>
    <x v="0"/>
    <s v="Period"/>
    <s v="ALL"/>
    <x v="0"/>
    <n v="1.37470347527825E-2"/>
    <s v="CRT_STACR_2013-DN1_2015-06-01"/>
    <x v="2"/>
    <n v="15.30459218543907"/>
  </r>
  <r>
    <s v="Proj"/>
    <x v="1"/>
    <s v="Period"/>
    <s v="ALL"/>
    <x v="0"/>
    <n v="1.31469517387855E-2"/>
    <s v="CRT_STACR_2013-DN1_2015-06-01"/>
    <x v="2"/>
    <n v="14.684126188442637"/>
  </r>
  <r>
    <s v="Proj"/>
    <x v="2"/>
    <s v="Period"/>
    <s v="ALL"/>
    <x v="0"/>
    <n v="1.3166256161446E-2"/>
    <s v="CRT_STACR_2013-DN1_2015-06-01"/>
    <x v="2"/>
    <n v="14.704151011869959"/>
  </r>
  <r>
    <s v="Proj"/>
    <x v="3"/>
    <s v="Period"/>
    <s v="ALL"/>
    <x v="0"/>
    <n v="1.3812374859824001E-2"/>
    <s v="CRT_STACR_2013-DN1_2015-06-01"/>
    <x v="2"/>
    <n v="15.371901378995556"/>
  </r>
  <r>
    <s v="Proj"/>
    <x v="4"/>
    <s v="Period"/>
    <s v="ALL"/>
    <x v="0"/>
    <n v="1.25741849209145E-2"/>
    <s v="CRT_STACR_2013-DN1_2015-06-01"/>
    <x v="2"/>
    <n v="14.088020495169641"/>
  </r>
  <r>
    <s v="Proj"/>
    <x v="5"/>
    <s v="Period"/>
    <s v="ALL"/>
    <x v="0"/>
    <n v="1.38511129836852E-2"/>
    <s v="CRT_STACR_2013-DN1_2015-06-01"/>
    <x v="2"/>
    <n v="15.411783756492303"/>
  </r>
  <r>
    <s v="Proj"/>
    <x v="6"/>
    <s v="Period"/>
    <s v="ALL"/>
    <x v="0"/>
    <n v="1.19793889291988E-2"/>
    <s v="CRT_STACR_2013-DN1_2015-06-01"/>
    <x v="2"/>
    <n v="13.464949023854867"/>
  </r>
  <r>
    <s v="Proj"/>
    <x v="7"/>
    <s v="Period"/>
    <s v="ALL"/>
    <x v="0"/>
    <n v="1.26279924377764E-2"/>
    <s v="CRT_STACR_2013-DN1_2015-06-01"/>
    <x v="2"/>
    <n v="14.14418258849912"/>
  </r>
  <r>
    <s v="Proj"/>
    <x v="8"/>
    <s v="Period"/>
    <s v="ALL"/>
    <x v="0"/>
    <n v="1.39107867665229E-2"/>
    <s v="CRT_STACR_2013-DN1_2015-06-01"/>
    <x v="2"/>
    <n v="15.473186483387169"/>
  </r>
  <r>
    <s v="Proj"/>
    <x v="9"/>
    <s v="Period"/>
    <s v="ALL"/>
    <x v="0"/>
    <n v="1.3297569221985399E-2"/>
    <s v="CRT_STACR_2013-DN1_2015-06-01"/>
    <x v="2"/>
    <n v="14.840250113201602"/>
  </r>
  <r>
    <s v="Proj"/>
    <x v="10"/>
    <s v="Period"/>
    <s v="ALL"/>
    <x v="0"/>
    <n v="1.33166130035483E-2"/>
    <s v="CRT_STACR_2013-DN1_2015-06-01"/>
    <x v="2"/>
    <n v="14.859971457524612"/>
  </r>
  <r>
    <s v="Proj"/>
    <x v="11"/>
    <s v="Period"/>
    <s v="ALL"/>
    <x v="0"/>
    <n v="1.39705933894342E-2"/>
    <s v="CRT_STACR_2013-DN1_2015-06-01"/>
    <x v="2"/>
    <n v="15.534684902191742"/>
  </r>
  <r>
    <s v="Proj"/>
    <x v="12"/>
    <s v="Period"/>
    <s v="ALL"/>
    <x v="0"/>
    <n v="1.27184039393961E-2"/>
    <s v="CRT_STACR_2013-DN1_2015-06-01"/>
    <x v="2"/>
    <n v="14.238474651171828"/>
  </r>
  <r>
    <s v="Proj"/>
    <x v="13"/>
    <s v="Period"/>
    <s v="ALL"/>
    <x v="0"/>
    <n v="1.44852746767281E-2"/>
    <s v="CRT_STACR_2013-DN1_2015-06-01"/>
    <x v="2"/>
    <n v="16.062232618610384"/>
  </r>
  <r>
    <s v="Proj"/>
    <x v="14"/>
    <s v="Period"/>
    <s v="ALL"/>
    <x v="0"/>
    <n v="1.3229464042623399E-2"/>
    <s v="CRT_STACR_2013-DN1_2015-06-01"/>
    <x v="2"/>
    <n v="14.769687534672315"/>
  </r>
  <r>
    <s v="Proj"/>
    <x v="15"/>
    <s v="Period"/>
    <s v="ALL"/>
    <x v="0"/>
    <n v="1.3247261758487699E-2"/>
    <s v="CRT_STACR_2013-DN1_2015-06-01"/>
    <x v="2"/>
    <n v="14.78813260608135"/>
  </r>
  <r>
    <s v="Proj"/>
    <x v="16"/>
    <s v="Period"/>
    <s v="ALL"/>
    <x v="0"/>
    <n v="1.3264980677701099E-2"/>
    <s v="CRT_STACR_2013-DN1_2015-06-01"/>
    <x v="2"/>
    <n v="14.806492379838643"/>
  </r>
  <r>
    <s v="Proj"/>
    <x v="17"/>
    <s v="Period"/>
    <s v="ALL"/>
    <x v="0"/>
    <n v="1.3282430205355199E-2"/>
    <s v="CRT_STACR_2013-DN1_2015-06-01"/>
    <x v="2"/>
    <n v="14.824569474791272"/>
  </r>
  <r>
    <s v="Proj"/>
    <x v="18"/>
    <s v="Period"/>
    <s v="ALL"/>
    <x v="0"/>
    <n v="1.26662647364217E-2"/>
    <s v="CRT_STACR_2013-DN1_2015-06-01"/>
    <x v="2"/>
    <n v="14.184109169720783"/>
  </r>
  <r>
    <s v="Proj"/>
    <x v="19"/>
    <s v="Period"/>
    <s v="ALL"/>
    <x v="0"/>
    <n v="1.20482081786742E-2"/>
    <s v="CRT_STACR_2013-DN1_2015-06-01"/>
    <x v="2"/>
    <n v="13.537251114966386"/>
  </r>
  <r>
    <s v="Proj"/>
    <x v="20"/>
    <s v="Period"/>
    <s v="ALL"/>
    <x v="0"/>
    <n v="1.4602857922695001E-2"/>
    <s v="CRT_STACR_2013-DN1_2015-06-01"/>
    <x v="2"/>
    <n v="16.182330685429324"/>
  </r>
  <r>
    <s v="Proj"/>
    <x v="21"/>
    <s v="Period"/>
    <s v="ALL"/>
    <x v="0"/>
    <n v="1.20780402586194E-2"/>
    <s v="CRT_STACR_2013-DN1_2015-06-01"/>
    <x v="2"/>
    <n v="13.568575744295874"/>
  </r>
  <r>
    <s v="Proj"/>
    <x v="22"/>
    <s v="Period"/>
    <s v="ALL"/>
    <x v="0"/>
    <n v="1.4002021843187201E-2"/>
    <s v="CRT_STACR_2013-DN1_2015-06-01"/>
    <x v="2"/>
    <n v="15.566985954214797"/>
  </r>
  <r>
    <s v="Proj"/>
    <x v="23"/>
    <s v="Period"/>
    <s v="ALL"/>
    <x v="0"/>
    <n v="1.4018734267408999E-2"/>
    <s v="CRT_STACR_2013-DN1_2015-06-01"/>
    <x v="2"/>
    <n v="15.584157780222707"/>
  </r>
  <r>
    <s v="Proj"/>
    <x v="24"/>
    <s v="Period"/>
    <s v="ALL"/>
    <x v="0"/>
    <n v="1.2759315935834599E-2"/>
    <s v="CRT_STACR_2013-DN1_2015-06-01"/>
    <x v="2"/>
    <n v="14.281111430774917"/>
  </r>
  <r>
    <s v="Proj"/>
    <x v="25"/>
    <s v="Period"/>
    <s v="ALL"/>
    <x v="0"/>
    <n v="1.46902775282759E-2"/>
    <s v="CRT_STACR_2013-DN1_2015-06-01"/>
    <x v="2"/>
    <n v="16.271517874240615"/>
  </r>
  <r>
    <s v="Proj"/>
    <x v="26"/>
    <s v="Period"/>
    <s v="ALL"/>
    <x v="0"/>
    <n v="1.2788823702508501E-2"/>
    <s v="CRT_STACR_2013-DN1_2015-06-01"/>
    <x v="2"/>
    <n v="14.311851134778198"/>
  </r>
  <r>
    <s v="Proj"/>
    <x v="27"/>
    <s v="Period"/>
    <s v="ALL"/>
    <x v="0"/>
    <n v="1.40836554782671E-2"/>
    <s v="CRT_STACR_2013-DN1_2015-06-01"/>
    <x v="2"/>
    <n v="15.650833218815963"/>
  </r>
  <r>
    <s v="Proj"/>
    <x v="28"/>
    <s v="Period"/>
    <s v="ALL"/>
    <x v="0"/>
    <n v="1.34585292920895E-2"/>
    <s v="CRT_STACR_2013-DN1_2015-06-01"/>
    <x v="2"/>
    <n v="15.006805222953645"/>
  </r>
  <r>
    <s v="Proj"/>
    <x v="29"/>
    <s v="Period"/>
    <s v="ALL"/>
    <x v="0"/>
    <n v="1.28318100857401E-2"/>
    <s v="CRT_STACR_2013-DN1_2015-06-01"/>
    <x v="2"/>
    <n v="14.356614099623155"/>
  </r>
  <r>
    <s v="Proj"/>
    <x v="30"/>
    <s v="Period"/>
    <s v="ALL"/>
    <x v="0"/>
    <n v="1.34881045585957E-2"/>
    <s v="CRT_STACR_2013-DN1_2015-06-01"/>
    <x v="2"/>
    <n v="15.037376044801842"/>
  </r>
  <r>
    <s v="Proj"/>
    <x v="31"/>
    <s v="Period"/>
    <s v="ALL"/>
    <x v="0"/>
    <n v="1.22166762587215E-2"/>
    <s v="CRT_STACR_2013-DN1_2015-06-01"/>
    <x v="2"/>
    <n v="13.714011478070686"/>
  </r>
  <r>
    <s v="Proj"/>
    <x v="32"/>
    <s v="Period"/>
    <s v="ALL"/>
    <x v="0"/>
    <n v="1.35170141857309E-2"/>
    <s v="CRT_STACR_2013-DN1_2015-06-01"/>
    <x v="2"/>
    <n v="15.067249078550137"/>
  </r>
  <r>
    <s v="Proj"/>
    <x v="33"/>
    <s v="Period"/>
    <s v="ALL"/>
    <x v="0"/>
    <n v="1.35312211280911E-2"/>
    <s v="CRT_STACR_2013-DN1_2015-06-01"/>
    <x v="2"/>
    <n v="15.081925935334784"/>
  </r>
  <r>
    <s v="Proj"/>
    <x v="34"/>
    <s v="Period"/>
    <s v="ALL"/>
    <x v="0"/>
    <n v="1.4190275986878401E-2"/>
    <s v="CRT_STACR_2013-DN1_2015-06-01"/>
    <x v="2"/>
    <n v="15.760229971055018"/>
  </r>
  <r>
    <s v="Proj"/>
    <x v="35"/>
    <s v="Period"/>
    <s v="ALL"/>
    <x v="0"/>
    <n v="1.3559003693190901E-2"/>
    <s v="CRT_STACR_2013-DN1_2015-06-01"/>
    <x v="2"/>
    <n v="15.110620729033764"/>
  </r>
  <r>
    <s v="Proj"/>
    <x v="36"/>
    <s v="Period"/>
    <s v="ALL"/>
    <x v="0"/>
    <n v="1.3572533269667401E-2"/>
    <s v="CRT_STACR_2013-DN1_2015-06-01"/>
    <x v="2"/>
    <n v="15.124591324962056"/>
  </r>
  <r>
    <s v="Proj"/>
    <x v="37"/>
    <s v="Period"/>
    <s v="ALL"/>
    <x v="0"/>
    <n v="1.4879790697217499E-2"/>
    <s v="CRT_STACR_2013-DN1_2015-06-01"/>
    <x v="2"/>
    <n v="16.464564278779847"/>
  </r>
  <r>
    <s v="Proj"/>
    <x v="38"/>
    <s v="Period"/>
    <s v="ALL"/>
    <x v="0"/>
    <n v="1.23039400027502E-2"/>
    <s v="CRT_STACR_2013-DN1_2015-06-01"/>
    <x v="2"/>
    <n v="13.805440204539254"/>
  </r>
  <r>
    <s v="Proj"/>
    <x v="39"/>
    <s v="Period"/>
    <s v="ALL"/>
    <x v="0"/>
    <n v="1.4908472503896901E-2"/>
    <s v="CRT_STACR_2013-DN1_2015-06-01"/>
    <x v="2"/>
    <n v="16.493745248534498"/>
  </r>
  <r>
    <s v="Proj"/>
    <x v="40"/>
    <s v="Period"/>
    <s v="ALL"/>
    <x v="0"/>
    <n v="1.3624813894141699E-2"/>
    <s v="CRT_STACR_2013-DN1_2015-06-01"/>
    <x v="2"/>
    <n v="15.178556320007242"/>
  </r>
  <r>
    <s v="Proj"/>
    <x v="41"/>
    <s v="Period"/>
    <s v="ALL"/>
    <x v="0"/>
    <n v="1.29879727403214E-2"/>
    <s v="CRT_STACR_2013-DN1_2015-06-01"/>
    <x v="2"/>
    <n v="14.519050470616312"/>
  </r>
  <r>
    <s v="Proj"/>
    <x v="42"/>
    <s v="Period"/>
    <s v="ALL"/>
    <x v="0"/>
    <n v="1.3649756898752899E-2"/>
    <s v="CRT_STACR_2013-DN1_2015-06-01"/>
    <x v="2"/>
    <n v="15.204291850996011"/>
  </r>
  <r>
    <s v="Proj"/>
    <x v="43"/>
    <s v="Period"/>
    <s v="ALL"/>
    <x v="0"/>
    <n v="1.23608175377304E-2"/>
    <s v="CRT_STACR_2013-DN1_2015-06-01"/>
    <x v="2"/>
    <n v="13.864984615082355"/>
  </r>
  <r>
    <s v="Proj"/>
    <x v="44"/>
    <s v="Period"/>
    <s v="ALL"/>
    <x v="0"/>
    <n v="1.36739570051942E-2"/>
    <s v="CRT_STACR_2013-DN1_2015-06-01"/>
    <x v="2"/>
    <n v="15.229254038078665"/>
  </r>
  <r>
    <s v="Proj"/>
    <x v="45"/>
    <s v="Period"/>
    <s v="ALL"/>
    <x v="0"/>
    <n v="1.36857878691981E-2"/>
    <s v="CRT_STACR_2013-DN1_2015-06-01"/>
    <x v="2"/>
    <n v="15.241455013764217"/>
  </r>
  <r>
    <s v="Proj"/>
    <x v="46"/>
    <s v="Period"/>
    <s v="ALL"/>
    <x v="0"/>
    <n v="1.4349701033312999E-2"/>
    <s v="CRT_STACR_2013-DN1_2015-06-01"/>
    <x v="2"/>
    <n v="15.923563604085212"/>
  </r>
  <r>
    <s v="Proj"/>
    <x v="47"/>
    <s v="Period"/>
    <s v="ALL"/>
    <x v="0"/>
    <n v="1.30561169744555E-2"/>
    <s v="CRT_STACR_2013-DN1_2015-06-01"/>
    <x v="2"/>
    <n v="14.589843801701052"/>
  </r>
  <r>
    <s v="Proj"/>
    <x v="48"/>
    <s v="Period"/>
    <s v="ALL"/>
    <x v="0"/>
    <n v="1.4373578051689701E-2"/>
    <s v="CRT_STACR_2013-DN1_2015-06-01"/>
    <x v="2"/>
    <n v="15.948000999429702"/>
  </r>
  <r>
    <s v="Proj"/>
    <x v="49"/>
    <s v="Period"/>
    <s v="ALL"/>
    <x v="0"/>
    <n v="1.43852255134806E-2"/>
    <s v="CRT_STACR_2013-DN1_2015-06-01"/>
    <x v="2"/>
    <n v="15.959919456130844"/>
  </r>
  <r>
    <s v="Proj"/>
    <x v="50"/>
    <s v="Period"/>
    <s v="ALL"/>
    <x v="0"/>
    <n v="1.3087873687985901E-2"/>
    <s v="CRT_STACR_2013-DN1_2015-06-01"/>
    <x v="2"/>
    <n v="14.622816690439445"/>
  </r>
  <r>
    <s v="Proj"/>
    <x v="51"/>
    <s v="Period"/>
    <s v="ALL"/>
    <x v="0"/>
    <n v="1.5062822272643101E-2"/>
    <s v="CRT_STACR_2013-DN1_2015-06-01"/>
    <x v="2"/>
    <n v="16.650620856904386"/>
  </r>
  <r>
    <s v="Proj"/>
    <x v="52"/>
    <s v="Period"/>
    <s v="ALL"/>
    <x v="0"/>
    <n v="1.3108175630955701E-2"/>
    <s v="CRT_STACR_2013-DN1_2015-06-01"/>
    <x v="2"/>
    <n v="14.643890014757154"/>
  </r>
  <r>
    <s v="Proj"/>
    <x v="53"/>
    <s v="Period"/>
    <s v="ALL"/>
    <x v="0"/>
    <n v="1.37739432734205E-2"/>
    <s v="CRT_STACR_2013-DN1_2015-06-01"/>
    <x v="2"/>
    <n v="15.332317561181164"/>
  </r>
  <r>
    <s v="Proj"/>
    <x v="54"/>
    <s v="Period"/>
    <s v="ALL"/>
    <x v="0"/>
    <n v="1.3784128344685001E-2"/>
    <s v="CRT_STACR_2013-DN1_2015-06-01"/>
    <x v="2"/>
    <n v="15.342809647376832"/>
  </r>
  <r>
    <s v="Proj"/>
    <x v="55"/>
    <s v="Period"/>
    <s v="ALL"/>
    <x v="0"/>
    <n v="1.2480412090037399E-2"/>
    <s v="CRT_STACR_2013-DN1_2015-06-01"/>
    <x v="2"/>
    <n v="13.990063743713987"/>
  </r>
  <r>
    <s v="Proj"/>
    <x v="56"/>
    <s v="Period"/>
    <s v="ALL"/>
    <x v="0"/>
    <n v="1.446130953993E-2"/>
    <s v="CRT_STACR_2013-DN1_2015-06-01"/>
    <x v="2"/>
    <n v="16.037735582640302"/>
  </r>
  <r>
    <s v="Proj"/>
    <x v="57"/>
    <s v="Period"/>
    <s v="ALL"/>
    <x v="0"/>
    <n v="1.3813641070643E-2"/>
    <s v="CRT_STACR_2013-DN1_2015-06-01"/>
    <x v="2"/>
    <n v="15.373205263829991"/>
  </r>
  <r>
    <s v="Proj"/>
    <x v="58"/>
    <s v="Period"/>
    <s v="ALL"/>
    <x v="0"/>
    <n v="1.31648854118548E-2"/>
    <s v="CRT_STACR_2013-DN1_2015-06-01"/>
    <x v="2"/>
    <n v="14.702729250880243"/>
  </r>
  <r>
    <s v="Proj"/>
    <x v="59"/>
    <s v="Period"/>
    <s v="ALL"/>
    <x v="0"/>
    <n v="1.4491133583743401E-2"/>
    <s v="CRT_STACR_2013-DN1_2015-06-01"/>
    <x v="2"/>
    <n v="16.068220565599166"/>
  </r>
  <r>
    <s v="Proj"/>
    <x v="60"/>
    <s v="Period"/>
    <s v="ALL"/>
    <x v="0"/>
    <n v="1.45007120876897E-2"/>
    <s v="CRT_STACR_2013-DN1_2015-06-01"/>
    <x v="2"/>
    <n v="16.0780091887178"/>
  </r>
  <r>
    <s v="Proj"/>
    <x v="61"/>
    <s v="Period"/>
    <s v="ALL"/>
    <x v="0"/>
    <n v="1.3850558477110701E-2"/>
    <s v="CRT_STACR_2013-DN1_2015-06-01"/>
    <x v="2"/>
    <n v="15.411212992368784"/>
  </r>
  <r>
    <s v="Proj"/>
    <x v="62"/>
    <s v="Period"/>
    <s v="ALL"/>
    <x v="0"/>
    <n v="1.3859355518513699E-2"/>
    <s v="CRT_STACR_2013-DN1_2015-06-01"/>
    <x v="2"/>
    <n v="15.4202675375131"/>
  </r>
  <r>
    <s v="Proj"/>
    <x v="63"/>
    <s v="Period"/>
    <s v="ALL"/>
    <x v="0"/>
    <n v="1.4528359998328501E-2"/>
    <s v="CRT_STACR_2013-DN1_2015-06-01"/>
    <x v="2"/>
    <n v="16.10625772926889"/>
  </r>
  <r>
    <s v="Proj"/>
    <x v="64"/>
    <s v="Period"/>
    <s v="ALL"/>
    <x v="0"/>
    <n v="1.32156494495318E-2"/>
    <s v="CRT_STACR_2013-DN1_2015-06-01"/>
    <x v="2"/>
    <n v="14.755367941121522"/>
  </r>
  <r>
    <s v="Proj"/>
    <x v="65"/>
    <s v="Period"/>
    <s v="ALL"/>
    <x v="0"/>
    <n v="1.4545752632888201E-2"/>
    <s v="CRT_STACR_2013-DN1_2015-06-01"/>
    <x v="2"/>
    <n v="16.12402373911722"/>
  </r>
  <r>
    <s v="Proj"/>
    <x v="66"/>
    <s v="Period"/>
    <s v="ALL"/>
    <x v="0"/>
    <n v="1.25683868559663E-2"/>
    <s v="CRT_STACR_2013-DN1_2015-06-01"/>
    <x v="2"/>
    <n v="14.081966701758796"/>
  </r>
  <r>
    <s v="Proj"/>
    <x v="67"/>
    <s v="Period"/>
    <s v="ALL"/>
    <x v="0"/>
    <n v="1.2574403432615599E-2"/>
    <s v="CRT_STACR_2013-DN1_2015-06-01"/>
    <x v="2"/>
    <n v="14.088248636864819"/>
  </r>
  <r>
    <s v="Proj"/>
    <x v="68"/>
    <s v="Period"/>
    <s v="ALL"/>
    <x v="0"/>
    <n v="1.52287722164584E-2"/>
    <s v="CRT_STACR_2013-DN1_2015-06-01"/>
    <x v="2"/>
    <n v="16.818985068251113"/>
  </r>
  <r>
    <s v="Proj"/>
    <x v="69"/>
    <s v="Period"/>
    <s v="ALL"/>
    <x v="0"/>
    <n v="1.3909649997540499E-2"/>
    <s v="CRT_STACR_2013-DN1_2015-06-01"/>
    <x v="2"/>
    <n v="15.472017160355534"/>
  </r>
  <r>
    <s v="Proj"/>
    <x v="70"/>
    <s v="Period"/>
    <s v="ALL"/>
    <x v="0"/>
    <n v="1.3250900112758699E-2"/>
    <s v="CRT_STACR_2013-DN1_2015-06-01"/>
    <x v="2"/>
    <n v="14.791902847550309"/>
  </r>
  <r>
    <s v="Proj"/>
    <x v="71"/>
    <s v="Period"/>
    <s v="ALL"/>
    <x v="0"/>
    <n v="1.4579819016057099E-2"/>
    <s v="CRT_STACR_2013-DN1_2015-06-01"/>
    <x v="2"/>
    <n v="16.158811447782785"/>
  </r>
  <r>
    <s v="Proj"/>
    <x v="0"/>
    <s v="Period"/>
    <s v="ALL"/>
    <x v="1"/>
    <n v="5.7064378356679999E-5"/>
    <s v="CRT_STACR_2013-DN1_2015-06-01"/>
    <x v="2"/>
    <n v="6.8455766249975181E-2"/>
  </r>
  <r>
    <s v="Proj"/>
    <x v="1"/>
    <s v="Period"/>
    <s v="ALL"/>
    <x v="1"/>
    <n v="6.4023194485644705E-5"/>
    <s v="CRT_STACR_2013-DN1_2015-06-01"/>
    <x v="2"/>
    <n v="7.6800785957120699E-2"/>
  </r>
  <r>
    <s v="Proj"/>
    <x v="2"/>
    <s v="Period"/>
    <s v="ALL"/>
    <x v="1"/>
    <n v="8.1334412874016E-5"/>
    <s v="CRT_STACR_2013-DN1_2015-06-01"/>
    <x v="2"/>
    <n v="9.7557646391455144E-2"/>
  </r>
  <r>
    <s v="Proj"/>
    <x v="3"/>
    <s v="Period"/>
    <s v="ALL"/>
    <x v="1"/>
    <n v="1.12386844424534E-4"/>
    <s v="CRT_STACR_2013-DN1_2015-06-01"/>
    <x v="2"/>
    <n v="0.13478088123276555"/>
  </r>
  <r>
    <s v="Proj"/>
    <x v="4"/>
    <s v="Period"/>
    <s v="ALL"/>
    <x v="1"/>
    <n v="1.2788147665398399E-4"/>
    <s v="CRT_STACR_2013-DN1_2015-06-01"/>
    <x v="2"/>
    <n v="0.15334988374516856"/>
  </r>
  <r>
    <s v="Proj"/>
    <x v="5"/>
    <s v="Period"/>
    <s v="ALL"/>
    <x v="1"/>
    <n v="1.65437152823643E-4"/>
    <s v="CRT_STACR_2013-DN1_2015-06-01"/>
    <x v="2"/>
    <n v="0.19834404458559662"/>
  </r>
  <r>
    <s v="Proj"/>
    <x v="6"/>
    <s v="Period"/>
    <s v="ALL"/>
    <x v="1"/>
    <n v="1.5995738521772199E-4"/>
    <s v="CRT_STACR_2013-DN1_2015-06-01"/>
    <x v="2"/>
    <n v="0.19178008225922971"/>
  </r>
  <r>
    <s v="Proj"/>
    <x v="7"/>
    <s v="Period"/>
    <s v="ALL"/>
    <x v="1"/>
    <n v="1.8198633449115301E-4"/>
    <s v="CRT_STACR_2013-DN1_2015-06-01"/>
    <x v="2"/>
    <n v="0.21816514836252576"/>
  </r>
  <r>
    <s v="Proj"/>
    <x v="8"/>
    <s v="Period"/>
    <s v="ALL"/>
    <x v="1"/>
    <n v="2.11179904122888E-4"/>
    <s v="CRT_STACR_2013-DN1_2015-06-01"/>
    <x v="2"/>
    <n v="0.25312175216204436"/>
  </r>
  <r>
    <s v="Proj"/>
    <x v="9"/>
    <s v="Period"/>
    <s v="ALL"/>
    <x v="1"/>
    <n v="2.0917934805440299E-4"/>
    <s v="CRT_STACR_2013-DN1_2015-06-01"/>
    <x v="2"/>
    <n v="0.25072662933561807"/>
  </r>
  <r>
    <s v="Proj"/>
    <x v="10"/>
    <s v="Period"/>
    <s v="ALL"/>
    <x v="1"/>
    <n v="2.14672241482268E-4"/>
    <s v="CRT_STACR_2013-DN1_2015-06-01"/>
    <x v="2"/>
    <n v="0.25730275178916795"/>
  </r>
  <r>
    <s v="Proj"/>
    <x v="11"/>
    <s v="Period"/>
    <s v="ALL"/>
    <x v="1"/>
    <n v="2.2909399604995899E-4"/>
    <s v="CRT_STACR_2013-DN1_2015-06-01"/>
    <x v="2"/>
    <n v="0.27456666485733416"/>
  </r>
  <r>
    <s v="Proj"/>
    <x v="12"/>
    <s v="Period"/>
    <s v="ALL"/>
    <x v="1"/>
    <n v="2.1110404982486899E-4"/>
    <s v="CRT_STACR_2013-DN1_2015-06-01"/>
    <x v="2"/>
    <n v="0.25303093819286637"/>
  </r>
  <r>
    <s v="Proj"/>
    <x v="13"/>
    <s v="Period"/>
    <s v="ALL"/>
    <x v="1"/>
    <n v="2.4382175910452099E-4"/>
    <s v="CRT_STACR_2013-DN1_2015-06-01"/>
    <x v="2"/>
    <n v="0.29219406590851316"/>
  </r>
  <r>
    <s v="Proj"/>
    <x v="14"/>
    <s v="Period"/>
    <s v="ALL"/>
    <x v="1"/>
    <n v="2.17523379873944E-4"/>
    <s v="CRT_STACR_2013-DN1_2015-06-01"/>
    <x v="2"/>
    <n v="0.26071599379409172"/>
  </r>
  <r>
    <s v="Proj"/>
    <x v="15"/>
    <s v="Period"/>
    <s v="ALL"/>
    <x v="1"/>
    <n v="2.14562161496305E-4"/>
    <s v="CRT_STACR_2013-DN1_2015-06-01"/>
    <x v="2"/>
    <n v="0.25717096732228439"/>
  </r>
  <r>
    <s v="Proj"/>
    <x v="16"/>
    <s v="Period"/>
    <s v="ALL"/>
    <x v="1"/>
    <n v="2.1042809434290499E-4"/>
    <s v="CRT_STACR_2013-DN1_2015-06-01"/>
    <x v="2"/>
    <n v="0.25222167021793362"/>
  </r>
  <r>
    <s v="Proj"/>
    <x v="17"/>
    <s v="Period"/>
    <s v="ALL"/>
    <x v="1"/>
    <n v="2.0566231111152799E-4"/>
    <s v="CRT_STACR_2013-DN1_2015-06-01"/>
    <x v="2"/>
    <n v="0.24651580451199306"/>
  </r>
  <r>
    <s v="Proj"/>
    <x v="18"/>
    <s v="Period"/>
    <s v="ALL"/>
    <x v="1"/>
    <n v="1.9169371372995E-4"/>
    <s v="CRT_STACR_2013-DN1_2015-06-01"/>
    <x v="2"/>
    <n v="0.22979008461142536"/>
  </r>
  <r>
    <s v="Proj"/>
    <x v="19"/>
    <s v="Period"/>
    <s v="ALL"/>
    <x v="1"/>
    <n v="1.7890479340790301E-4"/>
    <s v="CRT_STACR_2013-DN1_2015-06-01"/>
    <x v="2"/>
    <n v="0.21447463230929165"/>
  </r>
  <r>
    <s v="Proj"/>
    <x v="20"/>
    <s v="Period"/>
    <s v="ALL"/>
    <x v="1"/>
    <n v="2.13681704720531E-4"/>
    <s v="CRT_STACR_2013-DN1_2015-06-01"/>
    <x v="2"/>
    <n v="0.25611690506034401"/>
  </r>
  <r>
    <s v="Proj"/>
    <x v="21"/>
    <s v="Period"/>
    <s v="ALL"/>
    <x v="1"/>
    <n v="1.7484784156311699E-4"/>
    <s v="CRT_STACR_2013-DN1_2015-06-01"/>
    <x v="2"/>
    <n v="0.20961575376159391"/>
  </r>
  <r>
    <s v="Proj"/>
    <x v="22"/>
    <s v="Period"/>
    <s v="ALL"/>
    <x v="1"/>
    <n v="2.0117033385538201E-4"/>
    <s v="CRT_STACR_2013-DN1_2015-06-01"/>
    <x v="2"/>
    <n v="0.24113748093192999"/>
  </r>
  <r>
    <s v="Proj"/>
    <x v="23"/>
    <s v="Period"/>
    <s v="ALL"/>
    <x v="1"/>
    <n v="2.00369506497116E-4"/>
    <s v="CRT_STACR_2013-DN1_2015-06-01"/>
    <x v="2"/>
    <n v="0.24017860829588233"/>
  </r>
  <r>
    <s v="Proj"/>
    <x v="24"/>
    <s v="Period"/>
    <s v="ALL"/>
    <x v="1"/>
    <n v="1.8174185185566001E-4"/>
    <s v="CRT_STACR_2013-DN1_2015-06-01"/>
    <x v="2"/>
    <n v="0.21787235557304552"/>
  </r>
  <r>
    <s v="Proj"/>
    <x v="25"/>
    <s v="Period"/>
    <s v="ALL"/>
    <x v="1"/>
    <n v="2.08782807799135E-4"/>
    <s v="CRT_STACR_2013-DN1_2015-06-01"/>
    <x v="2"/>
    <n v="0.25025187376317426"/>
  </r>
  <r>
    <s v="Proj"/>
    <x v="26"/>
    <s v="Period"/>
    <s v="ALL"/>
    <x v="1"/>
    <n v="1.8150966310260801E-4"/>
    <s v="CRT_STACR_2013-DN1_2015-06-01"/>
    <x v="2"/>
    <n v="0.21759428522735158"/>
  </r>
  <r>
    <s v="Proj"/>
    <x v="27"/>
    <s v="Period"/>
    <s v="ALL"/>
    <x v="1"/>
    <n v="1.9972737402889401E-4"/>
    <s v="CRT_STACR_2013-DN1_2015-06-01"/>
    <x v="2"/>
    <n v="0.23940974327915088"/>
  </r>
  <r>
    <s v="Proj"/>
    <x v="28"/>
    <s v="Period"/>
    <s v="ALL"/>
    <x v="1"/>
    <n v="1.9078233812682501E-4"/>
    <s v="CRT_STACR_2013-DN1_2015-06-01"/>
    <x v="2"/>
    <n v="0.22869873231274873"/>
  </r>
  <r>
    <s v="Proj"/>
    <x v="29"/>
    <s v="Period"/>
    <s v="ALL"/>
    <x v="1"/>
    <n v="1.8186693083338399E-4"/>
    <s v="CRT_STACR_2013-DN1_2015-06-01"/>
    <x v="2"/>
    <n v="0.21802215045217954"/>
  </r>
  <r>
    <s v="Proj"/>
    <x v="30"/>
    <s v="Period"/>
    <s v="ALL"/>
    <x v="1"/>
    <n v="1.9116529002476801E-4"/>
    <s v="CRT_STACR_2013-DN1_2015-06-01"/>
    <x v="2"/>
    <n v="0.22915731014551133"/>
  </r>
  <r>
    <s v="Proj"/>
    <x v="31"/>
    <s v="Period"/>
    <s v="ALL"/>
    <x v="1"/>
    <n v="1.7315833075698801E-4"/>
    <s v="CRT_STACR_2013-DN1_2015-06-01"/>
    <x v="2"/>
    <n v="0.20759221795718652"/>
  </r>
  <r>
    <s v="Proj"/>
    <x v="32"/>
    <s v="Period"/>
    <s v="ALL"/>
    <x v="1"/>
    <n v="1.91612923257401E-4"/>
    <s v="CRT_STACR_2013-DN1_2015-06-01"/>
    <x v="2"/>
    <n v="0.22969334023426047"/>
  </r>
  <r>
    <s v="Proj"/>
    <x v="33"/>
    <s v="Period"/>
    <s v="ALL"/>
    <x v="1"/>
    <n v="1.9184205294334899E-4"/>
    <s v="CRT_STACR_2013-DN1_2015-06-01"/>
    <x v="2"/>
    <n v="0.22996771653088777"/>
  </r>
  <r>
    <s v="Proj"/>
    <x v="34"/>
    <s v="Period"/>
    <s v="ALL"/>
    <x v="1"/>
    <n v="2.0121542991325601E-4"/>
    <s v="CRT_STACR_2013-DN1_2015-06-01"/>
    <x v="2"/>
    <n v="0.24119147655810025"/>
  </r>
  <r>
    <s v="Proj"/>
    <x v="35"/>
    <s v="Period"/>
    <s v="ALL"/>
    <x v="1"/>
    <n v="1.92292400272036E-4"/>
    <s v="CRT_STACR_2013-DN1_2015-06-01"/>
    <x v="2"/>
    <n v="0.23050699266135011"/>
  </r>
  <r>
    <s v="Proj"/>
    <x v="36"/>
    <s v="Period"/>
    <s v="ALL"/>
    <x v="1"/>
    <n v="1.9251039471341401E-4"/>
    <s v="CRT_STACR_2013-DN1_2015-06-01"/>
    <x v="2"/>
    <n v="0.23076803288314407"/>
  </r>
  <r>
    <s v="Proj"/>
    <x v="37"/>
    <s v="Period"/>
    <s v="ALL"/>
    <x v="1"/>
    <n v="2.1107721101945099E-4"/>
    <s v="CRT_STACR_2013-DN1_2015-06-01"/>
    <x v="2"/>
    <n v="0.25299880633103955"/>
  </r>
  <r>
    <s v="Proj"/>
    <x v="38"/>
    <s v="Period"/>
    <s v="ALL"/>
    <x v="1"/>
    <n v="1.7455479002032999E-4"/>
    <s v="CRT_STACR_2013-DN1_2015-06-01"/>
    <x v="2"/>
    <n v="0.20926476711402575"/>
  </r>
  <r>
    <s v="Proj"/>
    <x v="39"/>
    <s v="Period"/>
    <s v="ALL"/>
    <x v="1"/>
    <n v="2.1152230707128199E-4"/>
    <s v="CRT_STACR_2013-DN1_2015-06-01"/>
    <x v="2"/>
    <n v="0.25353168146140526"/>
  </r>
  <r>
    <s v="Proj"/>
    <x v="40"/>
    <s v="Period"/>
    <s v="ALL"/>
    <x v="1"/>
    <n v="1.93322816629312E-4"/>
    <s v="CRT_STACR_2013-DN1_2015-06-01"/>
    <x v="2"/>
    <n v="0.2317408723447989"/>
  </r>
  <r>
    <s v="Proj"/>
    <x v="41"/>
    <s v="Period"/>
    <s v="ALL"/>
    <x v="1"/>
    <n v="1.8429557358432699E-4"/>
    <s v="CRT_STACR_2013-DN1_2015-06-01"/>
    <x v="2"/>
    <n v="0.2209306578889958"/>
  </r>
  <r>
    <s v="Proj"/>
    <x v="42"/>
    <s v="Period"/>
    <s v="ALL"/>
    <x v="1"/>
    <n v="1.93691801847019E-4"/>
    <s v="CRT_STACR_2013-DN1_2015-06-01"/>
    <x v="2"/>
    <n v="0.23218271301979065"/>
  </r>
  <r>
    <s v="Proj"/>
    <x v="43"/>
    <s v="Period"/>
    <s v="ALL"/>
    <x v="1"/>
    <n v="1.7540377356904199E-4"/>
    <s v="CRT_STACR_2013-DN1_2015-06-01"/>
    <x v="2"/>
    <n v="0.2102815881673159"/>
  </r>
  <r>
    <s v="Proj"/>
    <x v="44"/>
    <s v="Period"/>
    <s v="ALL"/>
    <x v="1"/>
    <n v="1.9403702828692501E-4"/>
    <s v="CRT_STACR_2013-DN1_2015-06-01"/>
    <x v="2"/>
    <n v="0.23259610216547211"/>
  </r>
  <r>
    <s v="Proj"/>
    <x v="45"/>
    <s v="Period"/>
    <s v="ALL"/>
    <x v="1"/>
    <n v="1.94200937042521E-4"/>
    <s v="CRT_STACR_2013-DN1_2015-06-01"/>
    <x v="2"/>
    <n v="0.23279237308462264"/>
  </r>
  <r>
    <s v="Proj"/>
    <x v="46"/>
    <s v="Period"/>
    <s v="ALL"/>
    <x v="1"/>
    <n v="2.03614239744325E-4"/>
    <s v="CRT_STACR_2013-DN1_2015-06-01"/>
    <x v="2"/>
    <n v="0.24406364551629034"/>
  </r>
  <r>
    <s v="Proj"/>
    <x v="47"/>
    <s v="Period"/>
    <s v="ALL"/>
    <x v="1"/>
    <n v="1.8524895531692799E-4"/>
    <s v="CRT_STACR_2013-DN1_2015-06-01"/>
    <x v="2"/>
    <n v="0.22207239282292512"/>
  </r>
  <r>
    <s v="Proj"/>
    <x v="48"/>
    <s v="Period"/>
    <s v="ALL"/>
    <x v="1"/>
    <n v="2.03927419951642E-4"/>
    <s v="CRT_STACR_2013-DN1_2015-06-01"/>
    <x v="2"/>
    <n v="0.24443862023849627"/>
  </r>
  <r>
    <s v="Proj"/>
    <x v="49"/>
    <s v="Period"/>
    <s v="ALL"/>
    <x v="1"/>
    <n v="2.0407498209739399E-4"/>
    <s v="CRT_STACR_2013-DN1_2015-06-01"/>
    <x v="2"/>
    <n v="0.24461529786081737"/>
  </r>
  <r>
    <s v="Proj"/>
    <x v="50"/>
    <s v="Period"/>
    <s v="ALL"/>
    <x v="1"/>
    <n v="1.85651586852743E-4"/>
    <s v="CRT_STACR_2013-DN1_2015-06-01"/>
    <x v="2"/>
    <n v="0.22255456596008694"/>
  </r>
  <r>
    <s v="Proj"/>
    <x v="51"/>
    <s v="Period"/>
    <s v="ALL"/>
    <x v="1"/>
    <n v="2.13641706391907E-4"/>
    <s v="CRT_STACR_2013-DN1_2015-06-01"/>
    <x v="2"/>
    <n v="0.25606901975420149"/>
  </r>
  <r>
    <s v="Proj"/>
    <x v="52"/>
    <s v="Period"/>
    <s v="ALL"/>
    <x v="1"/>
    <n v="1.8589429423016701E-4"/>
    <s v="CRT_STACR_2013-DN1_2015-06-01"/>
    <x v="2"/>
    <n v="0.22284522019783148"/>
  </r>
  <r>
    <s v="Proj"/>
    <x v="53"/>
    <s v="Period"/>
    <s v="ALL"/>
    <x v="1"/>
    <n v="1.9530895380348801E-4"/>
    <s v="CRT_STACR_2013-DN1_2015-06-01"/>
    <x v="2"/>
    <n v="0.2341191475189297"/>
  </r>
  <r>
    <s v="Proj"/>
    <x v="54"/>
    <s v="Period"/>
    <s v="ALL"/>
    <x v="1"/>
    <n v="1.9542424727474401E-4"/>
    <s v="CRT_STACR_2013-DN1_2015-06-01"/>
    <x v="2"/>
    <n v="0.23425720265136674"/>
  </r>
  <r>
    <s v="Proj"/>
    <x v="55"/>
    <s v="Period"/>
    <s v="ALL"/>
    <x v="1"/>
    <n v="1.7691260637303399E-4"/>
    <s v="CRT_STACR_2013-DN1_2015-06-01"/>
    <x v="2"/>
    <n v="0.21208868214971366"/>
  </r>
  <r>
    <s v="Proj"/>
    <x v="56"/>
    <s v="Period"/>
    <s v="ALL"/>
    <x v="1"/>
    <n v="2.0495759059478499E-4"/>
    <s v="CRT_STACR_2013-DN1_2015-06-01"/>
    <x v="2"/>
    <n v="0.24567204778955798"/>
  </r>
  <r>
    <s v="Proj"/>
    <x v="57"/>
    <s v="Period"/>
    <s v="ALL"/>
    <x v="1"/>
    <n v="1.95743332165443E-4"/>
    <s v="CRT_STACR_2013-DN1_2015-06-01"/>
    <x v="2"/>
    <n v="0.23463928154201508"/>
  </r>
  <r>
    <s v="Proj"/>
    <x v="58"/>
    <s v="Period"/>
    <s v="ALL"/>
    <x v="1"/>
    <n v="1.8651517442191999E-4"/>
    <s v="CRT_STACR_2013-DN1_2015-06-01"/>
    <x v="2"/>
    <n v="0.22358875178487558"/>
  </r>
  <r>
    <s v="Proj"/>
    <x v="59"/>
    <s v="Period"/>
    <s v="ALL"/>
    <x v="1"/>
    <n v="2.05264278370557E-4"/>
    <s v="CRT_STACR_2013-DN1_2015-06-01"/>
    <x v="2"/>
    <n v="0.2460392436252512"/>
  </r>
  <r>
    <s v="Proj"/>
    <x v="60"/>
    <s v="Period"/>
    <s v="ALL"/>
    <x v="1"/>
    <n v="2.0535713842964999E-4"/>
    <s v="CRT_STACR_2013-DN1_2015-06-01"/>
    <x v="2"/>
    <n v="0.24615042429423362"/>
  </r>
  <r>
    <s v="Proj"/>
    <x v="61"/>
    <s v="Period"/>
    <s v="ALL"/>
    <x v="1"/>
    <n v="1.9610683509337101E-4"/>
    <s v="CRT_STACR_2013-DN1_2015-06-01"/>
    <x v="2"/>
    <n v="0.23507454588064247"/>
  </r>
  <r>
    <s v="Proj"/>
    <x v="62"/>
    <s v="Period"/>
    <s v="ALL"/>
    <x v="1"/>
    <n v="1.9618643750218999E-4"/>
    <s v="CRT_STACR_2013-DN1_2015-06-01"/>
    <x v="2"/>
    <n v="0.23516986287175357"/>
  </r>
  <r>
    <s v="Proj"/>
    <x v="63"/>
    <s v="Period"/>
    <s v="ALL"/>
    <x v="1"/>
    <n v="2.0560733838163501E-4"/>
    <s v="CRT_STACR_2013-DN1_2015-06-01"/>
    <x v="2"/>
    <n v="0.2464499862996683"/>
  </r>
  <r>
    <s v="Proj"/>
    <x v="64"/>
    <s v="Period"/>
    <s v="ALL"/>
    <x v="1"/>
    <n v="1.86983052086692E-4"/>
    <s v="CRT_STACR_2013-DN1_2015-06-01"/>
    <x v="2"/>
    <n v="0.22414905269915186"/>
  </r>
  <r>
    <s v="Proj"/>
    <x v="65"/>
    <s v="Period"/>
    <s v="ALL"/>
    <x v="1"/>
    <n v="2.05750953254261E-4"/>
    <s v="CRT_STACR_2013-DN1_2015-06-01"/>
    <x v="2"/>
    <n v="0.2466219346382581"/>
  </r>
  <r>
    <s v="Proj"/>
    <x v="66"/>
    <s v="Period"/>
    <s v="ALL"/>
    <x v="1"/>
    <n v="1.77752166118351E-4"/>
    <s v="CRT_STACR_2013-DN1_2015-06-01"/>
    <x v="2"/>
    <n v="0.21309419035479005"/>
  </r>
  <r>
    <s v="Proj"/>
    <x v="67"/>
    <s v="Period"/>
    <s v="ALL"/>
    <x v="1"/>
    <n v="1.7781042927089E-4"/>
    <s v="CRT_STACR_2013-DN1_2015-06-01"/>
    <x v="2"/>
    <n v="0.2131639695323706"/>
  </r>
  <r>
    <s v="Proj"/>
    <x v="68"/>
    <s v="Period"/>
    <s v="ALL"/>
    <x v="1"/>
    <n v="2.1531620590329901E-4"/>
    <s v="CRT_STACR_2013-DN1_2015-06-01"/>
    <x v="2"/>
    <n v="0.25807368353570892"/>
  </r>
  <r>
    <s v="Proj"/>
    <x v="69"/>
    <s v="Period"/>
    <s v="ALL"/>
    <x v="1"/>
    <n v="1.9666292462359699E-4"/>
    <s v="CRT_STACR_2013-DN1_2015-06-01"/>
    <x v="2"/>
    <n v="0.23574041319152084"/>
  </r>
  <r>
    <s v="Proj"/>
    <x v="70"/>
    <s v="Period"/>
    <s v="ALL"/>
    <x v="1"/>
    <n v="1.8737233376632599E-4"/>
    <s v="CRT_STACR_2013-DN1_2015-06-01"/>
    <x v="2"/>
    <n v="0.22461522979846382"/>
  </r>
  <r>
    <s v="Proj"/>
    <x v="71"/>
    <s v="Period"/>
    <s v="ALL"/>
    <x v="1"/>
    <n v="2.0620306776144499E-4"/>
    <s v="CRT_STACR_2013-DN1_2015-06-01"/>
    <x v="2"/>
    <n v="0.247163244059467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8" cacheId="29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16:P41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dataField="1" numFmtId="43" showAll="0"/>
    <pivotField numFmtId="43" showAll="0"/>
    <pivotField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PR" fld="2" baseField="0" baseItem="0" numFmtId="164"/>
  </dataFields>
  <formats count="14"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6">
      <pivotArea type="all" dataOnly="0" outline="0" fieldPosition="0"/>
    </format>
    <format dxfId="5">
      <pivotArea type="all" dataOnly="0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field="1" type="button" dataOnly="0" labelOnly="1" outline="0" axis="axisRow" fieldPosition="0"/>
    </format>
    <format dxfId="0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7" cacheId="29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16:AF41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dataField="1" numFmtId="43" showAll="0"/>
    <pivotField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CDR %" fld="3" baseField="0" baseItem="0" numFmtId="2"/>
  </dataFields>
  <formats count="10">
    <format dxfId="23">
      <pivotArea outline="0" collapsedLevelsAreSubtotals="1" fieldPosition="0"/>
    </format>
    <format dxfId="22">
      <pivotArea field="1" type="button" dataOnly="0" labelOnly="1" outline="0" axis="axisRow" fieldPosition="0"/>
    </format>
    <format dxfId="2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0">
      <pivotArea type="all" dataOnly="0" outline="0" fieldPosition="0"/>
    </format>
    <format dxfId="19">
      <pivotArea type="all" dataOnly="0" outline="0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fieldPosition="0">
        <references count="1">
          <reference field="1" count="0"/>
        </references>
      </pivotArea>
    </format>
    <format dxfId="15">
      <pivotArea field="1" type="button" dataOnly="0" labelOnly="1" outline="0" axis="axisRow" fieldPosition="0"/>
    </format>
    <format dxfId="1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6" cacheId="29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47:P72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numFmtId="43" showAll="0"/>
    <pivotField numFmtId="10" showAll="0"/>
    <pivotField numFmtId="10" showAll="0"/>
    <pivotField dataField="1"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um_df_pct" fld="6" baseField="0" baseItem="0" numFmtId="2"/>
  </dataFields>
  <formats count="11">
    <format dxfId="34">
      <pivotArea outline="0" collapsedLevelsAreSubtotals="1" fieldPosition="0"/>
    </format>
    <format dxfId="33">
      <pivotArea type="all" dataOnly="0" outline="0" fieldPosition="0"/>
    </format>
    <format dxfId="32">
      <pivotArea field="1" type="button" dataOnly="0" labelOnly="1" outline="0" axis="axisRow" fieldPosition="0"/>
    </format>
    <format dxfId="3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30">
      <pivotArea type="all" dataOnly="0" outline="0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dataOnly="0" labelOnly="1" fieldPosition="0">
        <references count="1">
          <reference field="1" count="0"/>
        </references>
      </pivotArea>
    </format>
    <format dxfId="26">
      <pivotArea field="1" type="button" dataOnly="0" labelOnly="1" outline="0" axis="axisRow" fieldPosition="0"/>
    </format>
    <format dxfId="25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5" cacheId="29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47:AF72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numFmtId="43" showAll="0"/>
    <pivotField dataField="1"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pct_dq" fld="4" baseField="0" baseItem="0" numFmtId="2"/>
  </dataFields>
  <formats count="13">
    <format dxfId="47">
      <pivotArea outline="0" collapsedLevelsAreSubtotals="1" fieldPosition="0"/>
    </format>
    <format dxfId="46">
      <pivotArea type="all" dataOnly="0" outline="0" fieldPosition="0"/>
    </format>
    <format dxfId="45">
      <pivotArea field="1" type="button" dataOnly="0" labelOnly="1" outline="0" axis="axisRow" fieldPosition="0"/>
    </format>
    <format dxfId="4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43">
      <pivotArea field="1" type="button" dataOnly="0" labelOnly="1" outline="0" axis="axisRow" fieldPosition="0"/>
    </format>
    <format dxfId="42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41">
      <pivotArea type="all" dataOnly="0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dataOnly="0" labelOnly="1" fieldPosition="0">
        <references count="1">
          <reference field="1" count="0"/>
        </references>
      </pivotArea>
    </format>
    <format dxfId="37">
      <pivotArea field="1" type="button" dataOnly="0" labelOnly="1" outline="0" axis="axisRow" fieldPosition="0"/>
    </format>
    <format dxfId="36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T3:X77" firstHeaderRow="1" firstDataRow="2" firstDataCol="1" rowPageCount="1" colPageCount="1"/>
  <pivotFields count="9">
    <pivotField showAll="0"/>
    <pivotField axis="axisRow" numFmtId="14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Col" showAll="0">
      <items count="4">
        <item x="2"/>
        <item x="1"/>
        <item x="0"/>
        <item t="default"/>
      </items>
    </pivotField>
    <pivotField dataField="1" showAll="0" defaultSubtotal="0"/>
  </pivotFields>
  <rowFields count="1">
    <field x="1"/>
  </rowFields>
  <rowItems count="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pageFields count="1">
    <pageField fld="4" item="1" hier="-1"/>
  </pageFields>
  <dataFields count="1">
    <dataField name="Sum of Annualized" fld="8" baseField="0" baseItem="0"/>
  </dataFields>
  <chartFormats count="6">
    <chartFormat chart="0" format="3" series="1">
      <pivotArea type="data" outline="0" fieldPosition="0">
        <references count="1">
          <reference field="7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7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2" cacheId="3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M3:Q77" firstHeaderRow="1" firstDataRow="2" firstDataCol="1" rowPageCount="1" colPageCount="1"/>
  <pivotFields count="9">
    <pivotField showAll="0"/>
    <pivotField axis="axisRow" numFmtId="14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Col" showAll="0">
      <items count="4">
        <item x="2"/>
        <item x="1"/>
        <item x="0"/>
        <item t="default"/>
      </items>
    </pivotField>
    <pivotField dataField="1" showAll="0" defaultSubtotal="0"/>
  </pivotFields>
  <rowFields count="1">
    <field x="1"/>
  </rowFields>
  <rowItems count="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pageFields count="1">
    <pageField fld="4" item="0" hier="-1"/>
  </pageFields>
  <dataFields count="1">
    <dataField name="Sum of Annualized" fld="8" baseField="0" baseItem="0"/>
  </dataFields>
  <chartFormats count="3"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portal.hud.gov/hudportal/HUD?src=/program_offices/housing/hsgrroom/fhaprodrpt" TargetMode="Externa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B1:AL74"/>
  <sheetViews>
    <sheetView showGridLines="0" topLeftCell="A45" zoomScale="85" zoomScaleNormal="85" workbookViewId="0">
      <selection activeCell="S10" sqref="S10"/>
    </sheetView>
  </sheetViews>
  <sheetFormatPr defaultRowHeight="15"/>
  <cols>
    <col min="1" max="1" width="9.140625" customWidth="1"/>
    <col min="3" max="3" width="15.140625" customWidth="1"/>
    <col min="4" max="4" width="11.140625" customWidth="1"/>
    <col min="5" max="9" width="10.42578125" customWidth="1"/>
    <col min="10" max="12" width="10.5703125" customWidth="1"/>
    <col min="13" max="13" width="10.42578125" customWidth="1"/>
    <col min="14" max="16" width="10.5703125" customWidth="1"/>
    <col min="17" max="18" width="2.85546875" customWidth="1"/>
    <col min="19" max="19" width="15.140625" customWidth="1"/>
    <col min="20" max="20" width="12.42578125" customWidth="1"/>
    <col min="21" max="25" width="10.42578125" customWidth="1"/>
    <col min="26" max="28" width="10.5703125" customWidth="1"/>
    <col min="29" max="29" width="10.42578125" customWidth="1"/>
    <col min="30" max="32" width="10.5703125" customWidth="1"/>
    <col min="33" max="33" width="10.7109375" customWidth="1"/>
    <col min="34" max="34" width="14.5703125" customWidth="1"/>
    <col min="35" max="35" width="11.85546875" bestFit="1" customWidth="1"/>
    <col min="36" max="36" width="19.5703125" customWidth="1"/>
    <col min="37" max="37" width="40.85546875" bestFit="1" customWidth="1"/>
    <col min="38" max="38" width="14.85546875" bestFit="1" customWidth="1"/>
  </cols>
  <sheetData>
    <row r="1" spans="2:38">
      <c r="AI1" s="3" t="s">
        <v>0</v>
      </c>
      <c r="AJ1" s="8" t="s">
        <v>6</v>
      </c>
      <c r="AK1" t="s">
        <v>1</v>
      </c>
      <c r="AL1" s="4" t="s">
        <v>4</v>
      </c>
    </row>
    <row r="2" spans="2:38">
      <c r="AI2" s="3" t="s">
        <v>2</v>
      </c>
      <c r="AJ2" s="5">
        <v>42214</v>
      </c>
    </row>
    <row r="3" spans="2:38">
      <c r="AI3" s="3" t="s">
        <v>5</v>
      </c>
      <c r="AJ3" s="8" t="s">
        <v>7</v>
      </c>
    </row>
    <row r="4" spans="2:38">
      <c r="AI4" s="3" t="s">
        <v>3</v>
      </c>
      <c r="AJ4" s="8" t="str">
        <f>PDFReportDir &amp; "\Application Activity " &amp; TEXT(CurrentCloseDate, "yyyy-mm-dd") &amp; ".pdf"</f>
        <v>S:\IT\Production\Daily Reports\Primary Market\tmp\\Application Activity 2015-07-29.pdf</v>
      </c>
    </row>
    <row r="5" spans="2:38">
      <c r="AI5" s="6"/>
    </row>
    <row r="6" spans="2:38">
      <c r="AI6" s="6"/>
    </row>
    <row r="7" spans="2:38">
      <c r="AI7" s="6"/>
    </row>
    <row r="8" spans="2:38">
      <c r="AI8" s="6"/>
    </row>
    <row r="9" spans="2:38">
      <c r="AI9" s="6"/>
    </row>
    <row r="10" spans="2:38">
      <c r="AI10" s="6"/>
    </row>
    <row r="11" spans="2:38">
      <c r="AJ11" t="s">
        <v>8</v>
      </c>
      <c r="AK11" s="9" t="s">
        <v>9</v>
      </c>
    </row>
    <row r="12" spans="2:38" ht="13.5" customHeight="1"/>
    <row r="14" spans="2:38" s="1" customFormat="1" ht="18" customHeight="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V14"/>
      <c r="W14"/>
      <c r="X14"/>
      <c r="Y14"/>
      <c r="Z14"/>
      <c r="AA14"/>
      <c r="AB14"/>
      <c r="AC14"/>
      <c r="AD14"/>
    </row>
    <row r="15" spans="2:38" s="2" customFormat="1" ht="19.5" customHeight="1">
      <c r="B15"/>
      <c r="C15" s="67" t="s">
        <v>10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10"/>
      <c r="R15" s="10"/>
      <c r="S15" s="68" t="s">
        <v>11</v>
      </c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/>
      <c r="AH15"/>
      <c r="AI15"/>
    </row>
    <row r="16" spans="2:38" s="2" customFormat="1" hidden="1">
      <c r="B16"/>
      <c r="C16" s="38" t="s">
        <v>12</v>
      </c>
      <c r="D16" s="38" t="s">
        <v>13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10"/>
      <c r="R16" s="10"/>
      <c r="S16" s="38" t="s">
        <v>11</v>
      </c>
      <c r="T16" s="38" t="s">
        <v>13</v>
      </c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/>
      <c r="AH16"/>
      <c r="AI16"/>
    </row>
    <row r="17" spans="2:35" s="30" customFormat="1" ht="12.75">
      <c r="B17" s="7"/>
      <c r="C17" s="11" t="s">
        <v>14</v>
      </c>
      <c r="D17" s="11" t="s">
        <v>15</v>
      </c>
      <c r="E17" s="11" t="s">
        <v>16</v>
      </c>
      <c r="F17" s="11" t="s">
        <v>17</v>
      </c>
      <c r="G17" s="11" t="s">
        <v>18</v>
      </c>
      <c r="H17" s="11" t="s">
        <v>19</v>
      </c>
      <c r="I17" s="11" t="s">
        <v>20</v>
      </c>
      <c r="J17" s="11" t="s">
        <v>21</v>
      </c>
      <c r="K17" s="11" t="s">
        <v>22</v>
      </c>
      <c r="L17" s="11" t="s">
        <v>23</v>
      </c>
      <c r="M17" s="11" t="s">
        <v>24</v>
      </c>
      <c r="N17" s="11" t="s">
        <v>25</v>
      </c>
      <c r="O17" s="11" t="s">
        <v>26</v>
      </c>
      <c r="P17" s="11" t="s">
        <v>27</v>
      </c>
      <c r="Q17" s="19"/>
      <c r="R17" s="19"/>
      <c r="S17" s="12" t="s">
        <v>14</v>
      </c>
      <c r="T17" s="12" t="s">
        <v>15</v>
      </c>
      <c r="U17" s="12" t="s">
        <v>16</v>
      </c>
      <c r="V17" s="12" t="s">
        <v>17</v>
      </c>
      <c r="W17" s="12" t="s">
        <v>18</v>
      </c>
      <c r="X17" s="12" t="s">
        <v>19</v>
      </c>
      <c r="Y17" s="12" t="s">
        <v>20</v>
      </c>
      <c r="Z17" s="12" t="s">
        <v>21</v>
      </c>
      <c r="AA17" s="12" t="s">
        <v>22</v>
      </c>
      <c r="AB17" s="12" t="s">
        <v>23</v>
      </c>
      <c r="AC17" s="12" t="s">
        <v>24</v>
      </c>
      <c r="AD17" s="12" t="s">
        <v>25</v>
      </c>
      <c r="AE17" s="12" t="s">
        <v>26</v>
      </c>
      <c r="AF17" s="12" t="s">
        <v>27</v>
      </c>
      <c r="AG17" s="7"/>
      <c r="AH17" s="7"/>
      <c r="AI17" s="7"/>
    </row>
    <row r="18" spans="2:35" s="22" customFormat="1" ht="18" customHeight="1">
      <c r="B18" s="20"/>
      <c r="C18" s="23">
        <v>41426</v>
      </c>
      <c r="D18" s="24">
        <v>7.1894999999999998</v>
      </c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1"/>
      <c r="R18" s="21"/>
      <c r="S18" s="23">
        <v>41426</v>
      </c>
      <c r="T18" s="25">
        <v>0</v>
      </c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0"/>
      <c r="AH18" s="20"/>
      <c r="AI18" s="20"/>
    </row>
    <row r="19" spans="2:35" s="22" customFormat="1" ht="18" customHeight="1">
      <c r="B19" s="20"/>
      <c r="C19" s="23">
        <v>41456</v>
      </c>
      <c r="D19" s="24">
        <v>5.2968000000000002</v>
      </c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1"/>
      <c r="R19" s="21"/>
      <c r="S19" s="23">
        <v>41456</v>
      </c>
      <c r="T19" s="25">
        <v>0</v>
      </c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0"/>
      <c r="AH19" s="20"/>
      <c r="AI19" s="20"/>
    </row>
    <row r="20" spans="2:35" s="22" customFormat="1" ht="18" customHeight="1">
      <c r="B20" s="20"/>
      <c r="C20" s="23">
        <v>41487</v>
      </c>
      <c r="D20" s="24">
        <v>3.7195999999999998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1"/>
      <c r="R20" s="21"/>
      <c r="S20" s="23">
        <v>41487</v>
      </c>
      <c r="T20" s="25">
        <v>0</v>
      </c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0"/>
      <c r="AH20" s="20"/>
      <c r="AI20" s="20"/>
    </row>
    <row r="21" spans="2:35" s="22" customFormat="1" ht="18" customHeight="1">
      <c r="B21" s="20"/>
      <c r="C21" s="23">
        <v>41518</v>
      </c>
      <c r="D21" s="24">
        <v>3.9026999999999998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1"/>
      <c r="R21" s="21"/>
      <c r="S21" s="23">
        <v>41518</v>
      </c>
      <c r="T21" s="25">
        <v>0</v>
      </c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0"/>
      <c r="AH21" s="20"/>
      <c r="AI21" s="20"/>
    </row>
    <row r="22" spans="2:35" s="22" customFormat="1" ht="18" customHeight="1">
      <c r="B22" s="20"/>
      <c r="C22" s="23">
        <v>41548</v>
      </c>
      <c r="D22" s="24">
        <v>3.5990000000000002</v>
      </c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1"/>
      <c r="R22" s="21"/>
      <c r="S22" s="23">
        <v>41548</v>
      </c>
      <c r="T22" s="25">
        <v>0</v>
      </c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0"/>
      <c r="AH22" s="20"/>
      <c r="AI22" s="20"/>
    </row>
    <row r="23" spans="2:35" s="22" customFormat="1" ht="18" customHeight="1">
      <c r="B23" s="20"/>
      <c r="C23" s="23">
        <v>41579</v>
      </c>
      <c r="D23" s="24">
        <v>3.7277999999999998</v>
      </c>
      <c r="E23" s="24">
        <v>8.3688000000000002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1"/>
      <c r="R23" s="21"/>
      <c r="S23" s="23">
        <v>41579</v>
      </c>
      <c r="T23" s="25">
        <v>5.4000000000000003E-3</v>
      </c>
      <c r="U23" s="25">
        <v>0</v>
      </c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0"/>
      <c r="AH23" s="20"/>
      <c r="AI23" s="20"/>
    </row>
    <row r="24" spans="2:35" s="22" customFormat="1" ht="18" customHeight="1">
      <c r="B24" s="20"/>
      <c r="C24" s="23">
        <v>41609</v>
      </c>
      <c r="D24" s="24">
        <v>3.1396999999999999</v>
      </c>
      <c r="E24" s="24">
        <v>2.5486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1"/>
      <c r="R24" s="21"/>
      <c r="S24" s="23">
        <v>41609</v>
      </c>
      <c r="T24" s="25">
        <v>1.66E-2</v>
      </c>
      <c r="U24" s="25">
        <v>0</v>
      </c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0"/>
      <c r="AH24" s="20"/>
      <c r="AI24" s="20"/>
    </row>
    <row r="25" spans="2:35" s="22" customFormat="1" ht="18" customHeight="1">
      <c r="B25" s="20"/>
      <c r="C25" s="23">
        <v>41640</v>
      </c>
      <c r="D25" s="24">
        <v>2.976</v>
      </c>
      <c r="E25" s="24">
        <v>2.6267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1"/>
      <c r="R25" s="21"/>
      <c r="S25" s="23">
        <v>41640</v>
      </c>
      <c r="T25" s="25">
        <v>0.03</v>
      </c>
      <c r="U25" s="25">
        <v>0</v>
      </c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0"/>
      <c r="AH25" s="20"/>
      <c r="AI25" s="20"/>
    </row>
    <row r="26" spans="2:35" s="20" customFormat="1" ht="18" customHeight="1">
      <c r="C26" s="23">
        <v>41671</v>
      </c>
      <c r="D26" s="24">
        <v>3.8313999999999999</v>
      </c>
      <c r="E26" s="24">
        <v>3.6274999999999999</v>
      </c>
      <c r="F26" s="24">
        <v>7.4269999999999996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1"/>
      <c r="R26" s="21"/>
      <c r="S26" s="23">
        <v>41671</v>
      </c>
      <c r="T26" s="25">
        <v>1.9E-2</v>
      </c>
      <c r="U26" s="25">
        <v>8.9999999999999993E-3</v>
      </c>
      <c r="V26" s="25">
        <v>0</v>
      </c>
      <c r="W26" s="25"/>
      <c r="X26" s="25"/>
      <c r="Y26" s="25"/>
      <c r="Z26" s="25"/>
      <c r="AA26" s="25"/>
      <c r="AB26" s="25"/>
      <c r="AC26" s="25"/>
      <c r="AD26" s="25"/>
      <c r="AE26" s="25"/>
      <c r="AF26" s="25"/>
    </row>
    <row r="27" spans="2:35" s="20" customFormat="1" ht="18" customHeight="1">
      <c r="C27" s="23">
        <v>41699</v>
      </c>
      <c r="D27" s="24">
        <v>3.9773000000000001</v>
      </c>
      <c r="E27" s="24">
        <v>3.9352999999999998</v>
      </c>
      <c r="F27" s="24">
        <v>3.8881000000000001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1"/>
      <c r="R27" s="21"/>
      <c r="S27" s="23">
        <v>41699</v>
      </c>
      <c r="T27" s="25">
        <v>8.3900000000000002E-2</v>
      </c>
      <c r="U27" s="25">
        <v>3.9E-2</v>
      </c>
      <c r="V27" s="25">
        <v>0</v>
      </c>
      <c r="W27" s="25"/>
      <c r="X27" s="25"/>
      <c r="Y27" s="25"/>
      <c r="Z27" s="25"/>
      <c r="AA27" s="25"/>
      <c r="AB27" s="25"/>
      <c r="AC27" s="25"/>
      <c r="AD27" s="25"/>
      <c r="AE27" s="25"/>
      <c r="AF27" s="25"/>
    </row>
    <row r="28" spans="2:35" s="20" customFormat="1" ht="18" customHeight="1">
      <c r="C28" s="23">
        <v>41730</v>
      </c>
      <c r="D28" s="24">
        <v>5.8136999999999999</v>
      </c>
      <c r="E28" s="24">
        <v>5.2506000000000004</v>
      </c>
      <c r="F28" s="24">
        <v>4.7267999999999999</v>
      </c>
      <c r="G28" s="24">
        <v>14.718299999999999</v>
      </c>
      <c r="H28" s="24"/>
      <c r="I28" s="24"/>
      <c r="J28" s="24"/>
      <c r="K28" s="24"/>
      <c r="L28" s="24"/>
      <c r="M28" s="24"/>
      <c r="N28" s="24"/>
      <c r="O28" s="24"/>
      <c r="P28" s="24"/>
      <c r="Q28" s="21"/>
      <c r="R28" s="21"/>
      <c r="S28" s="23">
        <v>41730</v>
      </c>
      <c r="T28" s="25">
        <v>5.5599999999999997E-2</v>
      </c>
      <c r="U28" s="25">
        <v>1.7299999999999999E-2</v>
      </c>
      <c r="V28" s="25">
        <v>0</v>
      </c>
      <c r="W28" s="25">
        <v>0</v>
      </c>
      <c r="X28" s="25"/>
      <c r="Y28" s="25"/>
      <c r="Z28" s="25"/>
      <c r="AA28" s="25"/>
      <c r="AB28" s="25"/>
      <c r="AC28" s="25"/>
      <c r="AD28" s="25"/>
      <c r="AE28" s="25"/>
      <c r="AF28" s="25"/>
    </row>
    <row r="29" spans="2:35" s="20" customFormat="1" ht="18" customHeight="1">
      <c r="C29" s="23">
        <v>41760</v>
      </c>
      <c r="D29" s="24">
        <v>7.3971999999999998</v>
      </c>
      <c r="E29" s="24">
        <v>5.7789000000000001</v>
      </c>
      <c r="F29" s="24">
        <v>5.5388000000000002</v>
      </c>
      <c r="G29" s="24">
        <v>8.6524000000000001</v>
      </c>
      <c r="H29" s="24"/>
      <c r="I29" s="24"/>
      <c r="J29" s="24"/>
      <c r="K29" s="24"/>
      <c r="L29" s="24"/>
      <c r="M29" s="24"/>
      <c r="N29" s="24"/>
      <c r="O29" s="24"/>
      <c r="P29" s="24"/>
      <c r="Q29" s="21"/>
      <c r="R29" s="21"/>
      <c r="S29" s="23">
        <v>41760</v>
      </c>
      <c r="T29" s="25">
        <v>5.04E-2</v>
      </c>
      <c r="U29" s="25">
        <v>2.12E-2</v>
      </c>
      <c r="V29" s="25">
        <v>1.5599999999999999E-2</v>
      </c>
      <c r="W29" s="25">
        <v>0</v>
      </c>
      <c r="X29" s="25"/>
      <c r="Y29" s="25"/>
      <c r="Z29" s="25"/>
      <c r="AA29" s="25"/>
      <c r="AB29" s="25"/>
      <c r="AC29" s="25"/>
      <c r="AD29" s="25"/>
      <c r="AE29" s="25"/>
      <c r="AF29" s="25"/>
    </row>
    <row r="30" spans="2:35" s="20" customFormat="1" ht="18" customHeight="1">
      <c r="C30" s="23">
        <v>41791</v>
      </c>
      <c r="D30" s="24">
        <v>6.9165999999999999</v>
      </c>
      <c r="E30" s="24">
        <v>5.8940999999999999</v>
      </c>
      <c r="F30" s="24">
        <v>5.3395999999999999</v>
      </c>
      <c r="G30" s="24">
        <v>8.5411999999999999</v>
      </c>
      <c r="H30" s="24"/>
      <c r="I30" s="24"/>
      <c r="J30" s="24"/>
      <c r="K30" s="24"/>
      <c r="L30" s="24"/>
      <c r="M30" s="24"/>
      <c r="N30" s="24"/>
      <c r="O30" s="24"/>
      <c r="P30" s="24"/>
      <c r="Q30" s="21"/>
      <c r="R30" s="21"/>
      <c r="S30" s="23">
        <v>41791</v>
      </c>
      <c r="T30" s="25">
        <v>3.8899999999999997E-2</v>
      </c>
      <c r="U30" s="25">
        <v>2.7699999999999999E-2</v>
      </c>
      <c r="V30" s="25">
        <v>3.0999999999999999E-3</v>
      </c>
      <c r="W30" s="25">
        <v>0</v>
      </c>
      <c r="X30" s="25"/>
      <c r="Y30" s="25"/>
      <c r="Z30" s="25"/>
      <c r="AA30" s="25"/>
      <c r="AB30" s="25"/>
      <c r="AC30" s="25"/>
      <c r="AD30" s="25"/>
      <c r="AE30" s="25"/>
      <c r="AF30" s="25"/>
    </row>
    <row r="31" spans="2:35" s="20" customFormat="1" ht="18" customHeight="1">
      <c r="C31" s="23">
        <v>41821</v>
      </c>
      <c r="D31" s="24">
        <v>6.4720000000000004</v>
      </c>
      <c r="E31" s="24">
        <v>5.4923000000000002</v>
      </c>
      <c r="F31" s="24">
        <v>4.8250000000000002</v>
      </c>
      <c r="G31" s="24">
        <v>7.7906000000000004</v>
      </c>
      <c r="H31" s="24"/>
      <c r="I31" s="24"/>
      <c r="J31" s="24"/>
      <c r="K31" s="24"/>
      <c r="L31" s="24"/>
      <c r="M31" s="24"/>
      <c r="N31" s="24"/>
      <c r="O31" s="24"/>
      <c r="P31" s="24"/>
      <c r="Q31" s="21"/>
      <c r="R31" s="21"/>
      <c r="S31" s="23">
        <v>41821</v>
      </c>
      <c r="T31" s="25">
        <v>3.9800000000000002E-2</v>
      </c>
      <c r="U31" s="25">
        <v>2.58E-2</v>
      </c>
      <c r="V31" s="25">
        <v>2.6100000000000002E-2</v>
      </c>
      <c r="W31" s="25">
        <v>4.2799999999999998E-2</v>
      </c>
      <c r="X31" s="25"/>
      <c r="Y31" s="25"/>
      <c r="Z31" s="25"/>
      <c r="AA31" s="25"/>
      <c r="AB31" s="25"/>
      <c r="AC31" s="25"/>
      <c r="AD31" s="25"/>
      <c r="AE31" s="25"/>
      <c r="AF31" s="25"/>
    </row>
    <row r="32" spans="2:35" s="20" customFormat="1" ht="18" customHeight="1">
      <c r="C32" s="23">
        <v>41852</v>
      </c>
      <c r="D32" s="24">
        <v>5.0166000000000004</v>
      </c>
      <c r="E32" s="24">
        <v>4.6874000000000002</v>
      </c>
      <c r="F32" s="24">
        <v>4.5701999999999998</v>
      </c>
      <c r="G32" s="24">
        <v>7.0224000000000002</v>
      </c>
      <c r="H32" s="24">
        <v>34.337400000000002</v>
      </c>
      <c r="I32" s="24"/>
      <c r="J32" s="24">
        <v>26.836099999999998</v>
      </c>
      <c r="K32" s="24"/>
      <c r="L32" s="24"/>
      <c r="M32" s="24"/>
      <c r="N32" s="24"/>
      <c r="O32" s="24"/>
      <c r="P32" s="24"/>
      <c r="Q32" s="21"/>
      <c r="R32" s="21"/>
      <c r="S32" s="23">
        <v>41852</v>
      </c>
      <c r="T32" s="25">
        <v>3.09E-2</v>
      </c>
      <c r="U32" s="25">
        <v>2.06E-2</v>
      </c>
      <c r="V32" s="25">
        <v>4.4900000000000002E-2</v>
      </c>
      <c r="W32" s="25">
        <v>3.3999999999999998E-3</v>
      </c>
      <c r="X32" s="25">
        <v>0</v>
      </c>
      <c r="Y32" s="25"/>
      <c r="Z32" s="25">
        <v>0</v>
      </c>
      <c r="AA32" s="25"/>
      <c r="AB32" s="25"/>
      <c r="AC32" s="25"/>
      <c r="AD32" s="25"/>
      <c r="AE32" s="25"/>
      <c r="AF32" s="25"/>
    </row>
    <row r="33" spans="3:32" s="20" customFormat="1" ht="18" customHeight="1">
      <c r="C33" s="23">
        <v>41883</v>
      </c>
      <c r="D33" s="24">
        <v>6.4724000000000004</v>
      </c>
      <c r="E33" s="24">
        <v>5.3079999999999998</v>
      </c>
      <c r="F33" s="24">
        <v>5.1115000000000004</v>
      </c>
      <c r="G33" s="24">
        <v>7.5042999999999997</v>
      </c>
      <c r="H33" s="24">
        <v>13.198499999999999</v>
      </c>
      <c r="I33" s="24">
        <v>13.3165</v>
      </c>
      <c r="J33" s="24">
        <v>11.3437</v>
      </c>
      <c r="K33" s="24">
        <v>17.9786</v>
      </c>
      <c r="L33" s="24">
        <v>7.9057000000000004</v>
      </c>
      <c r="M33" s="24"/>
      <c r="N33" s="24"/>
      <c r="O33" s="24"/>
      <c r="P33" s="24"/>
      <c r="Q33" s="21"/>
      <c r="R33" s="21"/>
      <c r="S33" s="23">
        <v>41883</v>
      </c>
      <c r="T33" s="25">
        <v>5.0900000000000001E-2</v>
      </c>
      <c r="U33" s="25">
        <v>5.4300000000000001E-2</v>
      </c>
      <c r="V33" s="25">
        <v>2.86E-2</v>
      </c>
      <c r="W33" s="25">
        <v>3.9E-2</v>
      </c>
      <c r="X33" s="25">
        <v>0</v>
      </c>
      <c r="Y33" s="25">
        <v>0</v>
      </c>
      <c r="Z33" s="25">
        <v>0</v>
      </c>
      <c r="AA33" s="25">
        <v>6.1999999999999998E-3</v>
      </c>
      <c r="AB33" s="25">
        <v>0</v>
      </c>
      <c r="AC33" s="25"/>
      <c r="AD33" s="25"/>
      <c r="AE33" s="25"/>
      <c r="AF33" s="25"/>
    </row>
    <row r="34" spans="3:32" s="20" customFormat="1" ht="18" customHeight="1">
      <c r="C34" s="23">
        <v>41913</v>
      </c>
      <c r="D34" s="24">
        <v>5.2816000000000001</v>
      </c>
      <c r="E34" s="24">
        <v>4.5232999999999999</v>
      </c>
      <c r="F34" s="24">
        <v>4.7755000000000001</v>
      </c>
      <c r="G34" s="24">
        <v>10.3561</v>
      </c>
      <c r="H34" s="24">
        <v>22.500599999999999</v>
      </c>
      <c r="I34" s="24">
        <v>22.260400000000001</v>
      </c>
      <c r="J34" s="24">
        <v>17.6995</v>
      </c>
      <c r="K34" s="24">
        <v>7.1130000000000004</v>
      </c>
      <c r="L34" s="24">
        <v>16.529800000000002</v>
      </c>
      <c r="M34" s="24"/>
      <c r="N34" s="24"/>
      <c r="O34" s="24"/>
      <c r="P34" s="24"/>
      <c r="Q34" s="21"/>
      <c r="R34" s="21"/>
      <c r="S34" s="23">
        <v>41913</v>
      </c>
      <c r="T34" s="25">
        <v>5.8500000000000003E-2</v>
      </c>
      <c r="U34" s="25">
        <v>5.67E-2</v>
      </c>
      <c r="V34" s="25">
        <v>4.2700000000000002E-2</v>
      </c>
      <c r="W34" s="25">
        <v>2.5000000000000001E-2</v>
      </c>
      <c r="X34" s="25">
        <v>0</v>
      </c>
      <c r="Y34" s="25">
        <v>0</v>
      </c>
      <c r="Z34" s="25">
        <v>0</v>
      </c>
      <c r="AA34" s="25">
        <v>0</v>
      </c>
      <c r="AB34" s="25">
        <v>0</v>
      </c>
      <c r="AC34" s="25"/>
      <c r="AD34" s="25"/>
      <c r="AE34" s="25"/>
      <c r="AF34" s="25"/>
    </row>
    <row r="35" spans="3:32" s="20" customFormat="1" ht="18" customHeight="1">
      <c r="C35" s="23">
        <v>41944</v>
      </c>
      <c r="D35" s="24">
        <v>6.0025000000000004</v>
      </c>
      <c r="E35" s="24">
        <v>5.1199000000000003</v>
      </c>
      <c r="F35" s="24">
        <v>5.1914999999999996</v>
      </c>
      <c r="G35" s="24">
        <v>11.3248</v>
      </c>
      <c r="H35" s="24">
        <v>22.5213</v>
      </c>
      <c r="I35" s="24">
        <v>21.629799999999999</v>
      </c>
      <c r="J35" s="24">
        <v>18.272500000000001</v>
      </c>
      <c r="K35" s="24">
        <v>7.6486000000000001</v>
      </c>
      <c r="L35" s="24">
        <v>14.737299999999999</v>
      </c>
      <c r="M35" s="24"/>
      <c r="N35" s="24"/>
      <c r="O35" s="24"/>
      <c r="P35" s="24"/>
      <c r="Q35" s="21"/>
      <c r="R35" s="21"/>
      <c r="S35" s="23">
        <v>41944</v>
      </c>
      <c r="T35" s="25">
        <v>2.3800000000000002E-2</v>
      </c>
      <c r="U35" s="25">
        <v>4.8800000000000003E-2</v>
      </c>
      <c r="V35" s="25">
        <v>2.1299999999999999E-2</v>
      </c>
      <c r="W35" s="25">
        <v>2.2499999999999999E-2</v>
      </c>
      <c r="X35" s="25">
        <v>4.2700000000000002E-2</v>
      </c>
      <c r="Y35" s="25">
        <v>0</v>
      </c>
      <c r="Z35" s="25">
        <v>4.3099999999999999E-2</v>
      </c>
      <c r="AA35" s="25">
        <v>0</v>
      </c>
      <c r="AB35" s="25">
        <v>0</v>
      </c>
      <c r="AC35" s="25"/>
      <c r="AD35" s="25"/>
      <c r="AE35" s="25"/>
      <c r="AF35" s="25"/>
    </row>
    <row r="36" spans="3:32" s="20" customFormat="1" ht="18" customHeight="1">
      <c r="C36" s="23">
        <v>41974</v>
      </c>
      <c r="D36" s="24">
        <v>5.2076000000000002</v>
      </c>
      <c r="E36" s="24">
        <v>3.7650000000000001</v>
      </c>
      <c r="F36" s="24">
        <v>4.2118000000000002</v>
      </c>
      <c r="G36" s="24">
        <v>9.6349999999999998</v>
      </c>
      <c r="H36" s="24">
        <v>19.411799999999999</v>
      </c>
      <c r="I36" s="24">
        <v>21.002500000000001</v>
      </c>
      <c r="J36" s="24">
        <v>15.596500000000001</v>
      </c>
      <c r="K36" s="24">
        <v>6.3979999999999997</v>
      </c>
      <c r="L36" s="24">
        <v>15.9307</v>
      </c>
      <c r="M36" s="24"/>
      <c r="N36" s="24"/>
      <c r="O36" s="24"/>
      <c r="P36" s="24"/>
      <c r="Q36" s="21"/>
      <c r="R36" s="21"/>
      <c r="S36" s="23">
        <v>41974</v>
      </c>
      <c r="T36" s="25">
        <v>9.3100000000000002E-2</v>
      </c>
      <c r="U36" s="25">
        <v>2.7799999999999998E-2</v>
      </c>
      <c r="V36" s="25">
        <v>6.59E-2</v>
      </c>
      <c r="W36" s="25">
        <v>3.2599999999999997E-2</v>
      </c>
      <c r="X36" s="25">
        <v>0</v>
      </c>
      <c r="Y36" s="25">
        <v>0</v>
      </c>
      <c r="Z36" s="25">
        <v>0.1948</v>
      </c>
      <c r="AA36" s="25">
        <v>2.5999999999999999E-2</v>
      </c>
      <c r="AB36" s="25">
        <v>0</v>
      </c>
      <c r="AC36" s="25"/>
      <c r="AD36" s="25"/>
      <c r="AE36" s="25"/>
      <c r="AF36" s="25"/>
    </row>
    <row r="37" spans="3:32" s="20" customFormat="1" ht="18" customHeight="1">
      <c r="C37" s="23">
        <v>42005</v>
      </c>
      <c r="D37" s="24">
        <v>7.9896000000000003</v>
      </c>
      <c r="E37" s="24">
        <v>4.7008000000000001</v>
      </c>
      <c r="F37" s="24">
        <v>5.9295999999999998</v>
      </c>
      <c r="G37" s="24">
        <v>17.597200000000001</v>
      </c>
      <c r="H37" s="24">
        <v>37.158299999999997</v>
      </c>
      <c r="I37" s="24">
        <v>35.541899999999998</v>
      </c>
      <c r="J37" s="24">
        <v>30.398</v>
      </c>
      <c r="K37" s="24">
        <v>11.402200000000001</v>
      </c>
      <c r="L37" s="24">
        <v>28.165900000000001</v>
      </c>
      <c r="M37" s="24">
        <v>51.978200000000001</v>
      </c>
      <c r="N37" s="24"/>
      <c r="O37" s="24"/>
      <c r="P37" s="24"/>
      <c r="Q37" s="21"/>
      <c r="R37" s="21"/>
      <c r="S37" s="23">
        <v>42005</v>
      </c>
      <c r="T37" s="25">
        <v>3.1E-2</v>
      </c>
      <c r="U37" s="25">
        <v>8.4000000000000005E-2</v>
      </c>
      <c r="V37" s="25">
        <v>2.35E-2</v>
      </c>
      <c r="W37" s="25">
        <v>3.6299999999999999E-2</v>
      </c>
      <c r="X37" s="25">
        <v>4.1000000000000002E-2</v>
      </c>
      <c r="Y37" s="25">
        <v>0</v>
      </c>
      <c r="Z37" s="25">
        <v>0</v>
      </c>
      <c r="AA37" s="25">
        <v>6.5199999999999994E-2</v>
      </c>
      <c r="AB37" s="25">
        <v>0</v>
      </c>
      <c r="AC37" s="25">
        <v>0</v>
      </c>
      <c r="AD37" s="25"/>
      <c r="AE37" s="25"/>
      <c r="AF37" s="25"/>
    </row>
    <row r="38" spans="3:32" s="20" customFormat="1" ht="18" customHeight="1">
      <c r="C38" s="23">
        <v>42036</v>
      </c>
      <c r="D38" s="24">
        <v>11.042299999999999</v>
      </c>
      <c r="E38" s="24">
        <v>7.3334999999999999</v>
      </c>
      <c r="F38" s="24">
        <v>7.6299000000000001</v>
      </c>
      <c r="G38" s="24">
        <v>19.887699999999999</v>
      </c>
      <c r="H38" s="24">
        <v>38.846600000000002</v>
      </c>
      <c r="I38" s="24">
        <v>41.523499999999999</v>
      </c>
      <c r="J38" s="24">
        <v>33.429000000000002</v>
      </c>
      <c r="K38" s="24">
        <v>14.1052</v>
      </c>
      <c r="L38" s="24">
        <v>34.780200000000001</v>
      </c>
      <c r="M38" s="24">
        <v>37.950000000000003</v>
      </c>
      <c r="N38" s="24"/>
      <c r="O38" s="24"/>
      <c r="P38" s="24"/>
      <c r="Q38" s="21"/>
      <c r="R38" s="21"/>
      <c r="S38" s="23">
        <v>42036</v>
      </c>
      <c r="T38" s="25">
        <v>5.7599999999999998E-2</v>
      </c>
      <c r="U38" s="25">
        <v>4.3700000000000003E-2</v>
      </c>
      <c r="V38" s="25">
        <v>3.1099999999999999E-2</v>
      </c>
      <c r="W38" s="25">
        <v>3.4700000000000002E-2</v>
      </c>
      <c r="X38" s="25">
        <v>4.6100000000000002E-2</v>
      </c>
      <c r="Y38" s="25">
        <v>1.9099999999999999E-2</v>
      </c>
      <c r="Z38" s="25">
        <v>0.1084</v>
      </c>
      <c r="AA38" s="25">
        <v>8.3799999999999999E-2</v>
      </c>
      <c r="AB38" s="25">
        <v>0.18659999999999999</v>
      </c>
      <c r="AC38" s="25">
        <v>0</v>
      </c>
      <c r="AD38" s="25"/>
      <c r="AE38" s="25"/>
      <c r="AF38" s="25"/>
    </row>
    <row r="39" spans="3:32" s="20" customFormat="1" ht="18" customHeight="1">
      <c r="C39" s="23">
        <v>42064</v>
      </c>
      <c r="D39" s="24">
        <v>9.9810999999999996</v>
      </c>
      <c r="E39" s="24">
        <v>7.4539999999999997</v>
      </c>
      <c r="F39" s="24">
        <v>8.0511999999999997</v>
      </c>
      <c r="G39" s="24">
        <v>13.9582</v>
      </c>
      <c r="H39" s="24">
        <v>27.4253</v>
      </c>
      <c r="I39" s="24">
        <v>27.0959</v>
      </c>
      <c r="J39" s="24">
        <v>22.344000000000001</v>
      </c>
      <c r="K39" s="24">
        <v>12.1469</v>
      </c>
      <c r="L39" s="24">
        <v>22.173100000000002</v>
      </c>
      <c r="M39" s="24">
        <v>23.9587</v>
      </c>
      <c r="N39" s="24"/>
      <c r="O39" s="24">
        <v>39.482300000000002</v>
      </c>
      <c r="P39" s="24"/>
      <c r="Q39" s="21"/>
      <c r="R39" s="21"/>
      <c r="S39" s="23">
        <v>42064</v>
      </c>
      <c r="T39" s="25">
        <v>7.2300000000000003E-2</v>
      </c>
      <c r="U39" s="25">
        <v>6.3100000000000003E-2</v>
      </c>
      <c r="V39" s="25">
        <v>2.2800000000000001E-2</v>
      </c>
      <c r="W39" s="25">
        <v>4.1599999999999998E-2</v>
      </c>
      <c r="X39" s="25">
        <v>9.6799999999999997E-2</v>
      </c>
      <c r="Y39" s="25">
        <v>0</v>
      </c>
      <c r="Z39" s="25">
        <v>0.1807</v>
      </c>
      <c r="AA39" s="25">
        <v>0.06</v>
      </c>
      <c r="AB39" s="25">
        <v>0.1017</v>
      </c>
      <c r="AC39" s="25">
        <v>0</v>
      </c>
      <c r="AD39" s="25"/>
      <c r="AE39" s="25">
        <v>0</v>
      </c>
      <c r="AF39" s="25"/>
    </row>
    <row r="40" spans="3:32" s="20" customFormat="1" ht="18" customHeight="1">
      <c r="C40" s="23">
        <v>42095</v>
      </c>
      <c r="D40" s="24">
        <v>9.9797999999999991</v>
      </c>
      <c r="E40" s="24">
        <v>8.0878999999999994</v>
      </c>
      <c r="F40" s="24">
        <v>9.2845999999999993</v>
      </c>
      <c r="G40" s="24">
        <v>13.7494</v>
      </c>
      <c r="H40" s="24">
        <v>24.923400000000001</v>
      </c>
      <c r="I40" s="24">
        <v>23.529800000000002</v>
      </c>
      <c r="J40" s="24">
        <v>21.953800000000001</v>
      </c>
      <c r="K40" s="24">
        <v>12.386200000000001</v>
      </c>
      <c r="L40" s="24">
        <v>20.960100000000001</v>
      </c>
      <c r="M40" s="24">
        <v>22.691099999999999</v>
      </c>
      <c r="N40" s="24">
        <v>16.482600000000001</v>
      </c>
      <c r="O40" s="24">
        <v>17.138100000000001</v>
      </c>
      <c r="P40" s="24">
        <v>12.428100000000001</v>
      </c>
      <c r="Q40" s="21"/>
      <c r="R40" s="21"/>
      <c r="S40" s="23">
        <v>42095</v>
      </c>
      <c r="T40" s="25">
        <v>5.2200000000000003E-2</v>
      </c>
      <c r="U40" s="25">
        <v>0.1116</v>
      </c>
      <c r="V40" s="25">
        <v>6.3500000000000001E-2</v>
      </c>
      <c r="W40" s="25">
        <v>5.2600000000000001E-2</v>
      </c>
      <c r="X40" s="25">
        <v>5.9700000000000003E-2</v>
      </c>
      <c r="Y40" s="25">
        <v>6.83E-2</v>
      </c>
      <c r="Z40" s="25">
        <v>0.22869999999999999</v>
      </c>
      <c r="AA40" s="25">
        <v>6.0499999999999998E-2</v>
      </c>
      <c r="AB40" s="25">
        <v>0.1095</v>
      </c>
      <c r="AC40" s="25">
        <v>0</v>
      </c>
      <c r="AD40" s="25">
        <v>0</v>
      </c>
      <c r="AE40" s="25">
        <v>0</v>
      </c>
      <c r="AF40" s="25">
        <v>0</v>
      </c>
    </row>
    <row r="41" spans="3:32" s="20" customFormat="1" ht="18" customHeight="1">
      <c r="C41" s="26">
        <v>42125</v>
      </c>
      <c r="D41" s="27">
        <v>11.419499999999999</v>
      </c>
      <c r="E41" s="27">
        <v>9.1</v>
      </c>
      <c r="F41" s="27">
        <v>9.7987000000000002</v>
      </c>
      <c r="G41" s="27">
        <v>13.478199999999999</v>
      </c>
      <c r="H41" s="27">
        <v>21.3535</v>
      </c>
      <c r="I41" s="27">
        <v>22.621600000000001</v>
      </c>
      <c r="J41" s="27">
        <v>21.616299999999999</v>
      </c>
      <c r="K41" s="27">
        <v>12.855</v>
      </c>
      <c r="L41" s="27">
        <v>19.663900000000002</v>
      </c>
      <c r="M41" s="27">
        <v>19.299199999999999</v>
      </c>
      <c r="N41" s="27">
        <v>10.3049</v>
      </c>
      <c r="O41" s="27">
        <v>15.325200000000001</v>
      </c>
      <c r="P41" s="27">
        <v>12.8009</v>
      </c>
      <c r="Q41" s="21"/>
      <c r="R41" s="21"/>
      <c r="S41" s="26">
        <v>42125</v>
      </c>
      <c r="T41" s="28">
        <v>0.12759999999999999</v>
      </c>
      <c r="U41" s="28">
        <v>2.2200000000000001E-2</v>
      </c>
      <c r="V41" s="28">
        <v>2.69E-2</v>
      </c>
      <c r="W41" s="28">
        <v>5.04E-2</v>
      </c>
      <c r="X41" s="28">
        <v>0.1091</v>
      </c>
      <c r="Y41" s="28">
        <v>5.1000000000000004E-3</v>
      </c>
      <c r="Z41" s="28">
        <v>6.4899999999999999E-2</v>
      </c>
      <c r="AA41" s="28">
        <v>6.08E-2</v>
      </c>
      <c r="AB41" s="28">
        <v>0.1643</v>
      </c>
      <c r="AC41" s="28">
        <v>2.7900000000000001E-2</v>
      </c>
      <c r="AD41" s="28">
        <v>0</v>
      </c>
      <c r="AE41" s="28">
        <v>0</v>
      </c>
      <c r="AF41" s="28">
        <v>0</v>
      </c>
    </row>
    <row r="42" spans="3:32" ht="17.25" hidden="1" customHeight="1">
      <c r="C42" s="13"/>
      <c r="D42" s="14">
        <v>50</v>
      </c>
      <c r="E42" s="14">
        <v>50</v>
      </c>
      <c r="F42" s="14">
        <v>50</v>
      </c>
      <c r="G42" s="14">
        <v>50</v>
      </c>
      <c r="H42" s="14">
        <v>50</v>
      </c>
      <c r="I42" s="14">
        <v>50</v>
      </c>
      <c r="J42" s="14">
        <v>50</v>
      </c>
      <c r="K42" s="14">
        <v>50</v>
      </c>
      <c r="L42" s="14">
        <v>50</v>
      </c>
      <c r="M42" s="14">
        <v>50</v>
      </c>
      <c r="N42" s="14">
        <v>50</v>
      </c>
      <c r="O42" s="14">
        <v>50</v>
      </c>
      <c r="P42" s="14">
        <v>50</v>
      </c>
      <c r="Q42" s="10"/>
      <c r="R42" s="10"/>
      <c r="S42" s="13"/>
      <c r="T42" s="15">
        <v>0.5</v>
      </c>
      <c r="U42" s="15">
        <v>0.5</v>
      </c>
      <c r="V42" s="15">
        <v>0.5</v>
      </c>
      <c r="W42" s="15">
        <v>0.5</v>
      </c>
      <c r="X42" s="15">
        <v>0.5</v>
      </c>
      <c r="Y42" s="15">
        <v>0.5</v>
      </c>
      <c r="Z42" s="15">
        <v>0.5</v>
      </c>
      <c r="AA42" s="15">
        <v>0.5</v>
      </c>
      <c r="AB42" s="15">
        <v>0.5</v>
      </c>
      <c r="AC42" s="15">
        <v>0.5</v>
      </c>
      <c r="AD42" s="15">
        <v>0.5</v>
      </c>
      <c r="AE42" s="15">
        <v>0.5</v>
      </c>
      <c r="AF42" s="15">
        <v>0.5</v>
      </c>
    </row>
    <row r="43" spans="3:32" ht="17.25" customHeight="1">
      <c r="C43" s="13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0"/>
      <c r="R43" s="10"/>
      <c r="S43" s="13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</row>
    <row r="44" spans="3:32" ht="17.25" customHeight="1">
      <c r="C44" s="13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0"/>
      <c r="R44" s="10"/>
      <c r="S44" s="13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</row>
    <row r="45" spans="3:32" ht="17.25" customHeight="1">
      <c r="C45" s="13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</row>
    <row r="46" spans="3:32" ht="17.25" customHeight="1">
      <c r="C46" s="69" t="s">
        <v>38</v>
      </c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10"/>
      <c r="R46" s="10"/>
      <c r="S46" s="70" t="s">
        <v>39</v>
      </c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</row>
    <row r="47" spans="3:32" hidden="1">
      <c r="C47" s="38" t="s">
        <v>28</v>
      </c>
      <c r="D47" s="38" t="s">
        <v>13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10"/>
      <c r="R47" s="10"/>
      <c r="S47" s="38" t="s">
        <v>29</v>
      </c>
      <c r="T47" s="38" t="s">
        <v>13</v>
      </c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</row>
    <row r="48" spans="3:32" s="7" customFormat="1" ht="18" customHeight="1">
      <c r="C48" s="16" t="s">
        <v>14</v>
      </c>
      <c r="D48" s="16" t="s">
        <v>15</v>
      </c>
      <c r="E48" s="16" t="s">
        <v>16</v>
      </c>
      <c r="F48" s="16" t="s">
        <v>17</v>
      </c>
      <c r="G48" s="16" t="s">
        <v>18</v>
      </c>
      <c r="H48" s="16" t="s">
        <v>19</v>
      </c>
      <c r="I48" s="16" t="s">
        <v>20</v>
      </c>
      <c r="J48" s="16" t="s">
        <v>21</v>
      </c>
      <c r="K48" s="16" t="s">
        <v>22</v>
      </c>
      <c r="L48" s="16" t="s">
        <v>23</v>
      </c>
      <c r="M48" s="16" t="s">
        <v>24</v>
      </c>
      <c r="N48" s="16" t="s">
        <v>25</v>
      </c>
      <c r="O48" s="16" t="s">
        <v>26</v>
      </c>
      <c r="P48" s="16" t="s">
        <v>27</v>
      </c>
      <c r="Q48" s="19"/>
      <c r="R48" s="19"/>
      <c r="S48" s="17" t="s">
        <v>14</v>
      </c>
      <c r="T48" s="17" t="s">
        <v>15</v>
      </c>
      <c r="U48" s="17" t="s">
        <v>16</v>
      </c>
      <c r="V48" s="17" t="s">
        <v>17</v>
      </c>
      <c r="W48" s="17" t="s">
        <v>18</v>
      </c>
      <c r="X48" s="17" t="s">
        <v>19</v>
      </c>
      <c r="Y48" s="17" t="s">
        <v>20</v>
      </c>
      <c r="Z48" s="17" t="s">
        <v>21</v>
      </c>
      <c r="AA48" s="17" t="s">
        <v>22</v>
      </c>
      <c r="AB48" s="17" t="s">
        <v>23</v>
      </c>
      <c r="AC48" s="17" t="s">
        <v>24</v>
      </c>
      <c r="AD48" s="17" t="s">
        <v>25</v>
      </c>
      <c r="AE48" s="17" t="s">
        <v>26</v>
      </c>
      <c r="AF48" s="17" t="s">
        <v>27</v>
      </c>
    </row>
    <row r="49" spans="3:34" s="20" customFormat="1" ht="18" customHeight="1">
      <c r="C49" s="23">
        <v>41426</v>
      </c>
      <c r="D49" s="25">
        <v>0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1"/>
      <c r="R49" s="21"/>
      <c r="S49" s="23">
        <v>41426</v>
      </c>
      <c r="T49" s="25">
        <v>0</v>
      </c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</row>
    <row r="50" spans="3:34" s="20" customFormat="1" ht="18" customHeight="1">
      <c r="C50" s="23">
        <v>41456</v>
      </c>
      <c r="D50" s="25"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1"/>
      <c r="R50" s="21"/>
      <c r="S50" s="23">
        <v>41456</v>
      </c>
      <c r="T50" s="25">
        <v>0.12667221826199199</v>
      </c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</row>
    <row r="51" spans="3:34" s="20" customFormat="1" ht="18" customHeight="1">
      <c r="C51" s="23">
        <v>41487</v>
      </c>
      <c r="D51" s="25">
        <v>0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1"/>
      <c r="R51" s="21"/>
      <c r="S51" s="23">
        <v>41487</v>
      </c>
      <c r="T51" s="25">
        <v>0.10356345223757799</v>
      </c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9"/>
      <c r="AH51" s="29"/>
    </row>
    <row r="52" spans="3:34" s="20" customFormat="1" ht="18" customHeight="1">
      <c r="C52" s="23">
        <v>41518</v>
      </c>
      <c r="D52" s="25">
        <v>0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1"/>
      <c r="R52" s="21"/>
      <c r="S52" s="23">
        <v>41518</v>
      </c>
      <c r="T52" s="25">
        <v>0.137402924202362</v>
      </c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9"/>
      <c r="AH52" s="29"/>
    </row>
    <row r="53" spans="3:34" s="20" customFormat="1" ht="18" customHeight="1">
      <c r="C53" s="23">
        <v>41548</v>
      </c>
      <c r="D53" s="25">
        <v>0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1"/>
      <c r="R53" s="21"/>
      <c r="S53" s="23">
        <v>41548</v>
      </c>
      <c r="T53" s="25">
        <v>0.15484221430720702</v>
      </c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9"/>
      <c r="AH53" s="29"/>
    </row>
    <row r="54" spans="3:34" s="20" customFormat="1" ht="18" customHeight="1">
      <c r="C54" s="23">
        <v>41579</v>
      </c>
      <c r="D54" s="25">
        <v>0</v>
      </c>
      <c r="E54" s="25">
        <v>0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1"/>
      <c r="R54" s="21"/>
      <c r="S54" s="23">
        <v>41579</v>
      </c>
      <c r="T54" s="25">
        <v>0.15094332223427401</v>
      </c>
      <c r="U54" s="25">
        <v>0.111349989822876</v>
      </c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9"/>
      <c r="AH54" s="29"/>
    </row>
    <row r="55" spans="3:34" s="20" customFormat="1" ht="18" customHeight="1">
      <c r="C55" s="23">
        <v>41609</v>
      </c>
      <c r="D55" s="25">
        <v>0</v>
      </c>
      <c r="E55" s="25">
        <v>0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1"/>
      <c r="R55" s="21"/>
      <c r="S55" s="23">
        <v>41609</v>
      </c>
      <c r="T55" s="25">
        <v>0.21700490437786399</v>
      </c>
      <c r="U55" s="25">
        <v>0.17538831299275401</v>
      </c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9"/>
      <c r="AH55" s="29"/>
    </row>
    <row r="56" spans="3:34" s="20" customFormat="1" ht="18" customHeight="1">
      <c r="C56" s="23">
        <v>41640</v>
      </c>
      <c r="D56" s="25">
        <v>0</v>
      </c>
      <c r="E56" s="25">
        <v>0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1"/>
      <c r="R56" s="21"/>
      <c r="S56" s="23">
        <v>41640</v>
      </c>
      <c r="T56" s="25">
        <v>0.21894667321964001</v>
      </c>
      <c r="U56" s="25">
        <v>0.18421270287605002</v>
      </c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9"/>
      <c r="AH56" s="29"/>
    </row>
    <row r="57" spans="3:34" s="20" customFormat="1" ht="18" customHeight="1">
      <c r="C57" s="23">
        <v>41671</v>
      </c>
      <c r="D57" s="25">
        <v>0</v>
      </c>
      <c r="E57" s="25">
        <v>0</v>
      </c>
      <c r="F57" s="25">
        <v>0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1"/>
      <c r="R57" s="21"/>
      <c r="S57" s="23">
        <v>41671</v>
      </c>
      <c r="T57" s="25">
        <v>0.23021683029496001</v>
      </c>
      <c r="U57" s="25">
        <v>0.17825470643351798</v>
      </c>
      <c r="V57" s="25">
        <v>8.3035215336207904E-2</v>
      </c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9"/>
      <c r="AH57" s="29"/>
    </row>
    <row r="58" spans="3:34" s="20" customFormat="1" ht="18" customHeight="1">
      <c r="C58" s="23">
        <v>41699</v>
      </c>
      <c r="D58" s="25">
        <v>0.01</v>
      </c>
      <c r="E58" s="25">
        <v>0</v>
      </c>
      <c r="F58" s="25">
        <v>0</v>
      </c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1"/>
      <c r="R58" s="21"/>
      <c r="S58" s="23">
        <v>41699</v>
      </c>
      <c r="T58" s="25">
        <v>0.28763854780915599</v>
      </c>
      <c r="U58" s="25">
        <v>0.24791712180865</v>
      </c>
      <c r="V58" s="25">
        <v>0.15226672684829901</v>
      </c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9"/>
      <c r="AH58" s="29"/>
    </row>
    <row r="59" spans="3:34" s="20" customFormat="1" ht="18" customHeight="1">
      <c r="C59" s="23">
        <v>41730</v>
      </c>
      <c r="D59" s="25">
        <v>0.01</v>
      </c>
      <c r="E59" s="25">
        <v>0</v>
      </c>
      <c r="F59" s="25">
        <v>0</v>
      </c>
      <c r="G59" s="25">
        <v>0</v>
      </c>
      <c r="H59" s="25"/>
      <c r="I59" s="25"/>
      <c r="J59" s="25"/>
      <c r="K59" s="25"/>
      <c r="L59" s="25"/>
      <c r="M59" s="25"/>
      <c r="N59" s="25"/>
      <c r="O59" s="25"/>
      <c r="P59" s="25"/>
      <c r="Q59" s="21"/>
      <c r="R59" s="21"/>
      <c r="S59" s="23">
        <v>41730</v>
      </c>
      <c r="T59" s="25">
        <v>0.17641106928362399</v>
      </c>
      <c r="U59" s="25">
        <v>0.20046795170412401</v>
      </c>
      <c r="V59" s="25">
        <v>0.11277179985904899</v>
      </c>
      <c r="W59" s="25">
        <v>0.125824980264575</v>
      </c>
      <c r="X59" s="25"/>
      <c r="Y59" s="25"/>
      <c r="Z59" s="25"/>
      <c r="AA59" s="25"/>
      <c r="AB59" s="25"/>
      <c r="AC59" s="25"/>
      <c r="AD59" s="25"/>
      <c r="AE59" s="25"/>
      <c r="AF59" s="25"/>
      <c r="AG59" s="29"/>
      <c r="AH59" s="29"/>
    </row>
    <row r="60" spans="3:34" s="20" customFormat="1" ht="18" customHeight="1">
      <c r="C60" s="23">
        <v>41760</v>
      </c>
      <c r="D60" s="25">
        <v>0.02</v>
      </c>
      <c r="E60" s="25">
        <v>0</v>
      </c>
      <c r="F60" s="25">
        <v>0</v>
      </c>
      <c r="G60" s="25">
        <v>0</v>
      </c>
      <c r="H60" s="25"/>
      <c r="I60" s="25"/>
      <c r="J60" s="25"/>
      <c r="K60" s="25"/>
      <c r="L60" s="25"/>
      <c r="M60" s="25"/>
      <c r="N60" s="25"/>
      <c r="O60" s="25"/>
      <c r="P60" s="25"/>
      <c r="Q60" s="21"/>
      <c r="R60" s="21"/>
      <c r="S60" s="23">
        <v>41760</v>
      </c>
      <c r="T60" s="25">
        <v>0.17421491729425201</v>
      </c>
      <c r="U60" s="25">
        <v>0.206107820186025</v>
      </c>
      <c r="V60" s="25">
        <v>0.137937264918369</v>
      </c>
      <c r="W60" s="25">
        <v>0.159444043323311</v>
      </c>
      <c r="X60" s="25"/>
      <c r="Y60" s="25"/>
      <c r="Z60" s="25"/>
      <c r="AA60" s="25"/>
      <c r="AB60" s="25"/>
      <c r="AC60" s="25"/>
      <c r="AD60" s="25"/>
      <c r="AE60" s="25"/>
      <c r="AF60" s="25"/>
      <c r="AG60" s="29"/>
      <c r="AH60" s="29"/>
    </row>
    <row r="61" spans="3:34" s="20" customFormat="1" ht="18" customHeight="1">
      <c r="C61" s="23">
        <v>41791</v>
      </c>
      <c r="D61" s="25">
        <v>0.02</v>
      </c>
      <c r="E61" s="25">
        <v>0</v>
      </c>
      <c r="F61" s="25">
        <v>0</v>
      </c>
      <c r="G61" s="25">
        <v>0</v>
      </c>
      <c r="H61" s="25"/>
      <c r="I61" s="25"/>
      <c r="J61" s="25"/>
      <c r="K61" s="25"/>
      <c r="L61" s="25"/>
      <c r="M61" s="25"/>
      <c r="N61" s="25"/>
      <c r="O61" s="25"/>
      <c r="P61" s="25"/>
      <c r="Q61" s="21"/>
      <c r="R61" s="21"/>
      <c r="S61" s="23">
        <v>41791</v>
      </c>
      <c r="T61" s="25">
        <v>0.18080148243312499</v>
      </c>
      <c r="U61" s="25">
        <v>0.19825996525561401</v>
      </c>
      <c r="V61" s="25">
        <v>0.16926852605984802</v>
      </c>
      <c r="W61" s="25">
        <v>0.162206789496806</v>
      </c>
      <c r="X61" s="25"/>
      <c r="Y61" s="25"/>
      <c r="Z61" s="25"/>
      <c r="AA61" s="25"/>
      <c r="AB61" s="25"/>
      <c r="AC61" s="25"/>
      <c r="AD61" s="25"/>
      <c r="AE61" s="25"/>
      <c r="AF61" s="25"/>
      <c r="AG61" s="29"/>
      <c r="AH61" s="29"/>
    </row>
    <row r="62" spans="3:34" s="20" customFormat="1" ht="18" customHeight="1">
      <c r="C62" s="23">
        <v>41821</v>
      </c>
      <c r="D62" s="25">
        <v>0.02</v>
      </c>
      <c r="E62" s="25">
        <v>0.01</v>
      </c>
      <c r="F62" s="25">
        <v>0</v>
      </c>
      <c r="G62" s="25">
        <v>0</v>
      </c>
      <c r="H62" s="25"/>
      <c r="I62" s="25"/>
      <c r="J62" s="25"/>
      <c r="K62" s="25"/>
      <c r="L62" s="25"/>
      <c r="M62" s="25"/>
      <c r="N62" s="25"/>
      <c r="O62" s="25"/>
      <c r="P62" s="25"/>
      <c r="Q62" s="21"/>
      <c r="R62" s="21"/>
      <c r="S62" s="23">
        <v>41821</v>
      </c>
      <c r="T62" s="25">
        <v>0.22194793062559801</v>
      </c>
      <c r="U62" s="25">
        <v>0.22383653709816698</v>
      </c>
      <c r="V62" s="25">
        <v>0.20239341257222701</v>
      </c>
      <c r="W62" s="25">
        <v>0.18349704792402902</v>
      </c>
      <c r="X62" s="25"/>
      <c r="Y62" s="25"/>
      <c r="Z62" s="25"/>
      <c r="AA62" s="25"/>
      <c r="AB62" s="25"/>
      <c r="AC62" s="25"/>
      <c r="AD62" s="25"/>
      <c r="AE62" s="25"/>
      <c r="AF62" s="25"/>
      <c r="AG62" s="29"/>
      <c r="AH62" s="29"/>
    </row>
    <row r="63" spans="3:34" s="20" customFormat="1" ht="18" customHeight="1">
      <c r="C63" s="23">
        <v>41852</v>
      </c>
      <c r="D63" s="25">
        <v>0.03</v>
      </c>
      <c r="E63" s="25">
        <v>0.01</v>
      </c>
      <c r="F63" s="25">
        <v>0</v>
      </c>
      <c r="G63" s="25">
        <v>0</v>
      </c>
      <c r="H63" s="25">
        <v>0</v>
      </c>
      <c r="I63" s="25"/>
      <c r="J63" s="25">
        <v>0</v>
      </c>
      <c r="K63" s="25"/>
      <c r="L63" s="25"/>
      <c r="M63" s="25"/>
      <c r="N63" s="25"/>
      <c r="O63" s="25"/>
      <c r="P63" s="25"/>
      <c r="Q63" s="21"/>
      <c r="R63" s="21"/>
      <c r="S63" s="23">
        <v>41852</v>
      </c>
      <c r="T63" s="25">
        <v>0.21691470665304502</v>
      </c>
      <c r="U63" s="25">
        <v>0.221458099902341</v>
      </c>
      <c r="V63" s="25">
        <v>0.21676206490169797</v>
      </c>
      <c r="W63" s="25">
        <v>0.177433496993155</v>
      </c>
      <c r="X63" s="25">
        <v>0.18750273449471</v>
      </c>
      <c r="Y63" s="25"/>
      <c r="Z63" s="25">
        <v>0.17774701574957899</v>
      </c>
      <c r="AA63" s="25"/>
      <c r="AB63" s="25"/>
      <c r="AC63" s="25"/>
      <c r="AD63" s="25"/>
      <c r="AE63" s="25"/>
      <c r="AF63" s="25"/>
      <c r="AG63" s="29"/>
      <c r="AH63" s="29"/>
    </row>
    <row r="64" spans="3:34" s="20" customFormat="1" ht="18" customHeight="1">
      <c r="C64" s="23">
        <v>41883</v>
      </c>
      <c r="D64" s="25">
        <v>0.03</v>
      </c>
      <c r="E64" s="25">
        <v>0.01</v>
      </c>
      <c r="F64" s="25">
        <v>0.01</v>
      </c>
      <c r="G64" s="25">
        <v>0</v>
      </c>
      <c r="H64" s="25">
        <v>0</v>
      </c>
      <c r="I64" s="25">
        <v>0</v>
      </c>
      <c r="J64" s="25">
        <v>0</v>
      </c>
      <c r="K64" s="25">
        <v>0</v>
      </c>
      <c r="L64" s="25">
        <v>0</v>
      </c>
      <c r="M64" s="25"/>
      <c r="N64" s="25"/>
      <c r="O64" s="25"/>
      <c r="P64" s="25"/>
      <c r="Q64" s="21"/>
      <c r="R64" s="21"/>
      <c r="S64" s="23">
        <v>41883</v>
      </c>
      <c r="T64" s="25">
        <v>0.25668689206130602</v>
      </c>
      <c r="U64" s="25">
        <v>0.25701887094479298</v>
      </c>
      <c r="V64" s="25">
        <v>0.25084879073542204</v>
      </c>
      <c r="W64" s="25">
        <v>0.22391729474885499</v>
      </c>
      <c r="X64" s="25">
        <v>0.218480727059924</v>
      </c>
      <c r="Y64" s="25">
        <v>0</v>
      </c>
      <c r="Z64" s="25">
        <v>0.26546245827528098</v>
      </c>
      <c r="AA64" s="25">
        <v>0.19867683813505799</v>
      </c>
      <c r="AB64" s="25">
        <v>0</v>
      </c>
      <c r="AC64" s="25"/>
      <c r="AD64" s="25"/>
      <c r="AE64" s="25"/>
      <c r="AF64" s="25"/>
      <c r="AG64" s="29"/>
      <c r="AH64" s="29"/>
    </row>
    <row r="65" spans="3:34" s="20" customFormat="1" ht="18" customHeight="1">
      <c r="C65" s="23">
        <v>41913</v>
      </c>
      <c r="D65" s="25">
        <v>0.04</v>
      </c>
      <c r="E65" s="25">
        <v>0.02</v>
      </c>
      <c r="F65" s="25">
        <v>0.01</v>
      </c>
      <c r="G65" s="25">
        <v>0.01</v>
      </c>
      <c r="H65" s="25">
        <v>0</v>
      </c>
      <c r="I65" s="25">
        <v>0</v>
      </c>
      <c r="J65" s="25">
        <v>0</v>
      </c>
      <c r="K65" s="25">
        <v>0</v>
      </c>
      <c r="L65" s="25">
        <v>0</v>
      </c>
      <c r="M65" s="25"/>
      <c r="N65" s="25"/>
      <c r="O65" s="25"/>
      <c r="P65" s="25"/>
      <c r="Q65" s="21"/>
      <c r="R65" s="21"/>
      <c r="S65" s="23">
        <v>41913</v>
      </c>
      <c r="T65" s="25">
        <v>0.24419934930955201</v>
      </c>
      <c r="U65" s="25">
        <v>0.25146402216979902</v>
      </c>
      <c r="V65" s="25">
        <v>0.24358036540553901</v>
      </c>
      <c r="W65" s="25">
        <v>0.23875834479081601</v>
      </c>
      <c r="X65" s="25">
        <v>0.256334747836789</v>
      </c>
      <c r="Y65" s="25">
        <v>0.19170658184365799</v>
      </c>
      <c r="Z65" s="25">
        <v>0.30729143052024899</v>
      </c>
      <c r="AA65" s="25">
        <v>0.19704739462751297</v>
      </c>
      <c r="AB65" s="25">
        <v>0.166233034743174</v>
      </c>
      <c r="AC65" s="25"/>
      <c r="AD65" s="25"/>
      <c r="AE65" s="25"/>
      <c r="AF65" s="25"/>
      <c r="AG65" s="29"/>
      <c r="AH65" s="29"/>
    </row>
    <row r="66" spans="3:34" s="20" customFormat="1" ht="18" customHeight="1">
      <c r="C66" s="23">
        <v>41944</v>
      </c>
      <c r="D66" s="25">
        <v>0.04</v>
      </c>
      <c r="E66" s="25">
        <v>0.02</v>
      </c>
      <c r="F66" s="25">
        <v>0.01</v>
      </c>
      <c r="G66" s="25">
        <v>0.01</v>
      </c>
      <c r="H66" s="25">
        <v>0</v>
      </c>
      <c r="I66" s="25">
        <v>0</v>
      </c>
      <c r="J66" s="25">
        <v>0</v>
      </c>
      <c r="K66" s="25">
        <v>0</v>
      </c>
      <c r="L66" s="25">
        <v>0</v>
      </c>
      <c r="M66" s="25"/>
      <c r="N66" s="25"/>
      <c r="O66" s="25"/>
      <c r="P66" s="25"/>
      <c r="Q66" s="21"/>
      <c r="R66" s="21"/>
      <c r="S66" s="23">
        <v>41944</v>
      </c>
      <c r="T66" s="25">
        <v>0.226047138543922</v>
      </c>
      <c r="U66" s="25">
        <v>0.21534383388060199</v>
      </c>
      <c r="V66" s="25">
        <v>0.194980190378507</v>
      </c>
      <c r="W66" s="25">
        <v>0.22911961585951199</v>
      </c>
      <c r="X66" s="25">
        <v>0.25782310018865501</v>
      </c>
      <c r="Y66" s="25">
        <v>0.173821680992786</v>
      </c>
      <c r="Z66" s="25">
        <v>0.35378818839678899</v>
      </c>
      <c r="AA66" s="25">
        <v>0.182791002941537</v>
      </c>
      <c r="AB66" s="25">
        <v>0.18127235784901399</v>
      </c>
      <c r="AC66" s="25"/>
      <c r="AD66" s="25"/>
      <c r="AE66" s="25"/>
      <c r="AF66" s="25"/>
      <c r="AG66" s="29"/>
      <c r="AH66" s="29"/>
    </row>
    <row r="67" spans="3:34" s="20" customFormat="1" ht="18" customHeight="1">
      <c r="C67" s="23">
        <v>41974</v>
      </c>
      <c r="D67" s="25">
        <v>0.05</v>
      </c>
      <c r="E67" s="25">
        <v>0.02</v>
      </c>
      <c r="F67" s="25">
        <v>0.02</v>
      </c>
      <c r="G67" s="25">
        <v>0.01</v>
      </c>
      <c r="H67" s="25">
        <v>0</v>
      </c>
      <c r="I67" s="25">
        <v>0</v>
      </c>
      <c r="J67" s="25">
        <v>0.02</v>
      </c>
      <c r="K67" s="25">
        <v>0</v>
      </c>
      <c r="L67" s="25">
        <v>0</v>
      </c>
      <c r="M67" s="25"/>
      <c r="N67" s="25"/>
      <c r="O67" s="25"/>
      <c r="P67" s="25"/>
      <c r="Q67" s="21"/>
      <c r="R67" s="21"/>
      <c r="S67" s="23">
        <v>41974</v>
      </c>
      <c r="T67" s="25">
        <v>0.319782975405623</v>
      </c>
      <c r="U67" s="25">
        <v>0.313722601890914</v>
      </c>
      <c r="V67" s="25">
        <v>0.316395234487096</v>
      </c>
      <c r="W67" s="25">
        <v>0.36134533615784098</v>
      </c>
      <c r="X67" s="25">
        <v>0.41618114863963895</v>
      </c>
      <c r="Y67" s="25">
        <v>0.35413995458346703</v>
      </c>
      <c r="Z67" s="25">
        <v>0.51635036194168704</v>
      </c>
      <c r="AA67" s="25">
        <v>0.31173836097395097</v>
      </c>
      <c r="AB67" s="25">
        <v>0.32100016355282601</v>
      </c>
      <c r="AC67" s="25"/>
      <c r="AD67" s="25"/>
      <c r="AE67" s="25"/>
      <c r="AF67" s="25"/>
      <c r="AG67" s="29"/>
      <c r="AH67" s="29"/>
    </row>
    <row r="68" spans="3:34" s="20" customFormat="1" ht="18" customHeight="1">
      <c r="C68" s="23">
        <v>42005</v>
      </c>
      <c r="D68" s="25">
        <v>0.05</v>
      </c>
      <c r="E68" s="25">
        <v>0.03</v>
      </c>
      <c r="F68" s="25">
        <v>0.02</v>
      </c>
      <c r="G68" s="25">
        <v>0.01</v>
      </c>
      <c r="H68" s="25">
        <v>0</v>
      </c>
      <c r="I68" s="25">
        <v>0</v>
      </c>
      <c r="J68" s="25">
        <v>0.02</v>
      </c>
      <c r="K68" s="25">
        <v>0</v>
      </c>
      <c r="L68" s="25">
        <v>0</v>
      </c>
      <c r="M68" s="25">
        <v>0</v>
      </c>
      <c r="N68" s="25"/>
      <c r="O68" s="25"/>
      <c r="P68" s="25"/>
      <c r="Q68" s="21"/>
      <c r="R68" s="21"/>
      <c r="S68" s="23">
        <v>42005</v>
      </c>
      <c r="T68" s="25">
        <v>0.25090365666056302</v>
      </c>
      <c r="U68" s="25">
        <v>0.25071003222516702</v>
      </c>
      <c r="V68" s="25">
        <v>0.24825080357062301</v>
      </c>
      <c r="W68" s="25">
        <v>0.28897348095416797</v>
      </c>
      <c r="X68" s="25">
        <v>0.36901987117811802</v>
      </c>
      <c r="Y68" s="25">
        <v>0.27748621000516899</v>
      </c>
      <c r="Z68" s="25">
        <v>0.426063121324534</v>
      </c>
      <c r="AA68" s="25">
        <v>0.25871680534557295</v>
      </c>
      <c r="AB68" s="25">
        <v>0.34388182085411201</v>
      </c>
      <c r="AC68" s="25">
        <v>0.159228640865899</v>
      </c>
      <c r="AD68" s="25"/>
      <c r="AE68" s="25"/>
      <c r="AF68" s="25"/>
      <c r="AG68" s="29"/>
      <c r="AH68" s="29"/>
    </row>
    <row r="69" spans="3:34" s="20" customFormat="1" ht="18" customHeight="1">
      <c r="C69" s="23">
        <v>42036</v>
      </c>
      <c r="D69" s="25">
        <v>0.05</v>
      </c>
      <c r="E69" s="25">
        <v>0.04</v>
      </c>
      <c r="F69" s="25">
        <v>0.02</v>
      </c>
      <c r="G69" s="25">
        <v>0.02</v>
      </c>
      <c r="H69" s="25">
        <v>0.01</v>
      </c>
      <c r="I69" s="25">
        <v>0</v>
      </c>
      <c r="J69" s="25">
        <v>0.03</v>
      </c>
      <c r="K69" s="25">
        <v>0.01</v>
      </c>
      <c r="L69" s="25">
        <v>0.01</v>
      </c>
      <c r="M69" s="25">
        <v>0</v>
      </c>
      <c r="N69" s="25"/>
      <c r="O69" s="25"/>
      <c r="P69" s="25"/>
      <c r="Q69" s="21"/>
      <c r="R69" s="21"/>
      <c r="S69" s="23">
        <v>42036</v>
      </c>
      <c r="T69" s="25">
        <v>0.25015041079039801</v>
      </c>
      <c r="U69" s="25">
        <v>0.26006103189278601</v>
      </c>
      <c r="V69" s="25">
        <v>0.25249433576771502</v>
      </c>
      <c r="W69" s="25">
        <v>0.28917338018387501</v>
      </c>
      <c r="X69" s="25">
        <v>0.39045994484270097</v>
      </c>
      <c r="Y69" s="25">
        <v>0.30916978033754999</v>
      </c>
      <c r="Z69" s="25">
        <v>0.53237138676784901</v>
      </c>
      <c r="AA69" s="25">
        <v>0.29512584597165203</v>
      </c>
      <c r="AB69" s="25">
        <v>0.41123124381280396</v>
      </c>
      <c r="AC69" s="25">
        <v>0.17318346328686801</v>
      </c>
      <c r="AD69" s="25"/>
      <c r="AE69" s="25"/>
      <c r="AF69" s="25"/>
      <c r="AG69" s="29"/>
      <c r="AH69" s="29"/>
    </row>
    <row r="70" spans="3:34" s="20" customFormat="1" ht="18" customHeight="1">
      <c r="C70" s="23">
        <v>42064</v>
      </c>
      <c r="D70" s="25">
        <v>0.06</v>
      </c>
      <c r="E70" s="25">
        <v>0.04</v>
      </c>
      <c r="F70" s="25">
        <v>0.02</v>
      </c>
      <c r="G70" s="25">
        <v>0.02</v>
      </c>
      <c r="H70" s="25">
        <v>0.02</v>
      </c>
      <c r="I70" s="25">
        <v>0</v>
      </c>
      <c r="J70" s="25">
        <v>0.04</v>
      </c>
      <c r="K70" s="25">
        <v>0.02</v>
      </c>
      <c r="L70" s="25">
        <v>0.02</v>
      </c>
      <c r="M70" s="25">
        <v>0</v>
      </c>
      <c r="N70" s="25"/>
      <c r="O70" s="25">
        <v>0</v>
      </c>
      <c r="P70" s="25"/>
      <c r="Q70" s="21"/>
      <c r="R70" s="21"/>
      <c r="S70" s="23">
        <v>42064</v>
      </c>
      <c r="T70" s="25">
        <v>0.30000390932597404</v>
      </c>
      <c r="U70" s="25">
        <v>0.30653763936751099</v>
      </c>
      <c r="V70" s="25">
        <v>0.31499647857695201</v>
      </c>
      <c r="W70" s="25">
        <v>0.34767765375114001</v>
      </c>
      <c r="X70" s="25">
        <v>0.49454945394582694</v>
      </c>
      <c r="Y70" s="25">
        <v>0.42376432266131597</v>
      </c>
      <c r="Z70" s="25">
        <v>0.58858695835742603</v>
      </c>
      <c r="AA70" s="25">
        <v>0.341203728538442</v>
      </c>
      <c r="AB70" s="25">
        <v>0.50680743447907906</v>
      </c>
      <c r="AC70" s="25">
        <v>0.342220498640191</v>
      </c>
      <c r="AD70" s="25"/>
      <c r="AE70" s="25">
        <v>0.20324079350067201</v>
      </c>
      <c r="AF70" s="25"/>
      <c r="AG70" s="29"/>
      <c r="AH70" s="29"/>
    </row>
    <row r="71" spans="3:34" s="20" customFormat="1" ht="18" customHeight="1">
      <c r="C71" s="23">
        <v>42095</v>
      </c>
      <c r="D71" s="25">
        <v>0.06</v>
      </c>
      <c r="E71" s="25">
        <v>0.05</v>
      </c>
      <c r="F71" s="25">
        <v>0.03</v>
      </c>
      <c r="G71" s="25">
        <v>0.02</v>
      </c>
      <c r="H71" s="25">
        <v>0.02</v>
      </c>
      <c r="I71" s="25">
        <v>0</v>
      </c>
      <c r="J71" s="25">
        <v>0.06</v>
      </c>
      <c r="K71" s="25">
        <v>0.02</v>
      </c>
      <c r="L71" s="25">
        <v>0.03</v>
      </c>
      <c r="M71" s="25">
        <v>0</v>
      </c>
      <c r="N71" s="25">
        <v>0</v>
      </c>
      <c r="O71" s="25">
        <v>0</v>
      </c>
      <c r="P71" s="25">
        <v>0</v>
      </c>
      <c r="Q71" s="21"/>
      <c r="R71" s="21"/>
      <c r="S71" s="23">
        <v>42095</v>
      </c>
      <c r="T71" s="25">
        <v>0.221292653406198</v>
      </c>
      <c r="U71" s="25">
        <v>0.212804341599132</v>
      </c>
      <c r="V71" s="25">
        <v>0.235929860311377</v>
      </c>
      <c r="W71" s="25">
        <v>0.26331290473771801</v>
      </c>
      <c r="X71" s="25">
        <v>0.40934867388750701</v>
      </c>
      <c r="Y71" s="25">
        <v>0.35782370579607603</v>
      </c>
      <c r="Z71" s="25">
        <v>0.42740795025214895</v>
      </c>
      <c r="AA71" s="25">
        <v>0.25385131985243703</v>
      </c>
      <c r="AB71" s="25">
        <v>0.37748294798205301</v>
      </c>
      <c r="AC71" s="25">
        <v>0.21156629027363499</v>
      </c>
      <c r="AD71" s="25">
        <v>5.5999090056126306E-2</v>
      </c>
      <c r="AE71" s="25">
        <v>0.168899070331161</v>
      </c>
      <c r="AF71" s="25">
        <v>0</v>
      </c>
      <c r="AG71" s="29"/>
      <c r="AH71" s="29"/>
    </row>
    <row r="72" spans="3:34" s="20" customFormat="1" ht="18" customHeight="1">
      <c r="C72" s="26">
        <v>42125</v>
      </c>
      <c r="D72" s="28">
        <v>6.9999999999999993E-2</v>
      </c>
      <c r="E72" s="28">
        <v>0.05</v>
      </c>
      <c r="F72" s="28">
        <v>0.03</v>
      </c>
      <c r="G72" s="28">
        <v>0.03</v>
      </c>
      <c r="H72" s="28">
        <v>0.03</v>
      </c>
      <c r="I72" s="28">
        <v>0</v>
      </c>
      <c r="J72" s="28">
        <v>6.9999999999999993E-2</v>
      </c>
      <c r="K72" s="28">
        <v>0.03</v>
      </c>
      <c r="L72" s="28">
        <v>0.04</v>
      </c>
      <c r="M72" s="28">
        <v>0</v>
      </c>
      <c r="N72" s="28">
        <v>0</v>
      </c>
      <c r="O72" s="28">
        <v>0</v>
      </c>
      <c r="P72" s="28">
        <v>0</v>
      </c>
      <c r="Q72" s="21"/>
      <c r="R72" s="21"/>
      <c r="S72" s="26">
        <v>42125</v>
      </c>
      <c r="T72" s="28">
        <v>0.22937126205111899</v>
      </c>
      <c r="U72" s="28">
        <v>0.23137861072066801</v>
      </c>
      <c r="V72" s="28">
        <v>0.24597052332955299</v>
      </c>
      <c r="W72" s="28">
        <v>0.28994875935216796</v>
      </c>
      <c r="X72" s="28">
        <v>0.41318942079793203</v>
      </c>
      <c r="Y72" s="28">
        <v>0.390627776894863</v>
      </c>
      <c r="Z72" s="28">
        <v>0.51322419447953493</v>
      </c>
      <c r="AA72" s="28">
        <v>0.29648472609394599</v>
      </c>
      <c r="AB72" s="28">
        <v>0.44673961711471694</v>
      </c>
      <c r="AC72" s="28">
        <v>0.27772949574741501</v>
      </c>
      <c r="AD72" s="28">
        <v>7.6209042857628501E-2</v>
      </c>
      <c r="AE72" s="28">
        <v>0.19443009127071501</v>
      </c>
      <c r="AF72" s="28">
        <v>0.10399318474289801</v>
      </c>
      <c r="AG72" s="29"/>
      <c r="AH72" s="29"/>
    </row>
    <row r="73" spans="3:34" hidden="1">
      <c r="C73" s="13"/>
      <c r="D73" s="18">
        <v>0.1</v>
      </c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0"/>
      <c r="R73" s="10"/>
      <c r="S73" s="19"/>
      <c r="T73" s="15">
        <v>1</v>
      </c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9"/>
      <c r="AH73" s="19"/>
    </row>
    <row r="74" spans="3:34">
      <c r="C74" s="13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0"/>
      <c r="R74" s="10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</row>
  </sheetData>
  <mergeCells count="4">
    <mergeCell ref="C15:P15"/>
    <mergeCell ref="S15:AF15"/>
    <mergeCell ref="C46:P46"/>
    <mergeCell ref="S46:AF46"/>
  </mergeCells>
  <conditionalFormatting sqref="D42">
    <cfRule type="dataBar" priority="12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{A5DA7839-D386-4DEB-B34A-F76077E22625}</x14:id>
        </ext>
      </extLst>
    </cfRule>
  </conditionalFormatting>
  <conditionalFormatting sqref="E42:P42">
    <cfRule type="dataBar" priority="1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{588488D4-34AA-4487-9D89-C7DC767A8D79}</x14:id>
        </ext>
      </extLst>
    </cfRule>
  </conditionalFormatting>
  <conditionalFormatting sqref="T42">
    <cfRule type="dataBar" priority="1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{4242798E-7594-4B67-BE00-977E5703BA31}</x14:id>
        </ext>
      </extLst>
    </cfRule>
  </conditionalFormatting>
  <conditionalFormatting sqref="U42:AF42">
    <cfRule type="dataBar" priority="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{2869B8FB-C15B-43B1-87A4-CBD9A99423E9}</x14:id>
        </ext>
      </extLst>
    </cfRule>
  </conditionalFormatting>
  <conditionalFormatting sqref="D73">
    <cfRule type="dataBar" priority="8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{FB435F9A-6CAF-4B2C-B6A4-54C59B2A2779}</x14:id>
        </ext>
      </extLst>
    </cfRule>
  </conditionalFormatting>
  <conditionalFormatting sqref="E73:P73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{684E19EC-8C4B-4AC9-B855-1083D3749578}</x14:id>
        </ext>
      </extLst>
    </cfRule>
  </conditionalFormatting>
  <conditionalFormatting sqref="T73">
    <cfRule type="dataBar" priority="6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{9226FE07-62FC-4907-819E-9F59DFBABE13}</x14:id>
        </ext>
      </extLst>
    </cfRule>
  </conditionalFormatting>
  <conditionalFormatting sqref="U73:AH73 AG51:AH72">
    <cfRule type="dataBar" priority="5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{13FD29DA-0ECC-4A3B-854D-BE45D5BFA93C}</x14:id>
        </ext>
      </extLst>
    </cfRule>
  </conditionalFormatting>
  <conditionalFormatting sqref="D49:P73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{6C574F30-E9C1-412E-8A44-846A49D4355E}</x14:id>
        </ext>
      </extLst>
    </cfRule>
  </conditionalFormatting>
  <conditionalFormatting sqref="T49:AF73">
    <cfRule type="dataBar" priority="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{3639C360-747A-49CC-842A-BCE9CB0A4482}</x14:id>
        </ext>
      </extLst>
    </cfRule>
  </conditionalFormatting>
  <conditionalFormatting sqref="D18:P43">
    <cfRule type="dataBar" priority="2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{E4212A0D-F39A-4B4F-9C01-53ED2E69DBC4}</x14:id>
        </ext>
      </extLst>
    </cfRule>
  </conditionalFormatting>
  <conditionalFormatting sqref="T18:AF43">
    <cfRule type="dataBar" priority="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{9957FB16-6BA5-4A99-A57C-A04A33504F77}</x14:id>
        </ext>
      </extLst>
    </cfRule>
  </conditionalFormatting>
  <dataValidations disablePrompts="1" count="2">
    <dataValidation type="list" allowBlank="1" showInputMessage="1" showErrorMessage="1" sqref="AJ1">
      <formula1>"PROD, DEV"</formula1>
    </dataValidation>
    <dataValidation type="list" allowBlank="1" showInputMessage="1" showErrorMessage="1" sqref="AL1">
      <formula1>"Yes, No"</formula1>
    </dataValidation>
  </dataValidations>
  <hyperlinks>
    <hyperlink ref="AK11" r:id="rId5"/>
  </hyperlinks>
  <pageMargins left="0.25" right="0.25" top="0.255" bottom="0.25" header="0.1" footer="0.1"/>
  <pageSetup scale="42" orientation="landscape" r:id="rId6"/>
  <headerFooter scaleWithDoc="0">
    <oddHeader>&amp;L&amp;G&amp;C&amp;"-,Bold"&amp;10&amp;K2E398A
&amp;15Deal Surveillance Summary&amp;R&amp;"-,Bold"&amp;10&amp;K2E398A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4" max="1048575" man="1"/>
  </colBreaks>
  <drawing r:id="rId7"/>
  <legacyDrawingHF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DA7839-D386-4DEB-B34A-F76077E226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588488D4-34AA-4487-9D89-C7DC767A8D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E42:P42</xm:sqref>
        </x14:conditionalFormatting>
        <x14:conditionalFormatting xmlns:xm="http://schemas.microsoft.com/office/excel/2006/main">
          <x14:cfRule type="dataBar" id="{4242798E-7594-4B67-BE00-977E5703BA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T42</xm:sqref>
        </x14:conditionalFormatting>
        <x14:conditionalFormatting xmlns:xm="http://schemas.microsoft.com/office/excel/2006/main">
          <x14:cfRule type="dataBar" id="{2869B8FB-C15B-43B1-87A4-CBD9A99423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U42:AF42</xm:sqref>
        </x14:conditionalFormatting>
        <x14:conditionalFormatting xmlns:xm="http://schemas.microsoft.com/office/excel/2006/main">
          <x14:cfRule type="dataBar" id="{FB435F9A-6CAF-4B2C-B6A4-54C59B2A2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</xm:sqref>
        </x14:conditionalFormatting>
        <x14:conditionalFormatting xmlns:xm="http://schemas.microsoft.com/office/excel/2006/main">
          <x14:cfRule type="dataBar" id="{684E19EC-8C4B-4AC9-B855-1083D3749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E73:P73</xm:sqref>
        </x14:conditionalFormatting>
        <x14:conditionalFormatting xmlns:xm="http://schemas.microsoft.com/office/excel/2006/main">
          <x14:cfRule type="dataBar" id="{9226FE07-62FC-4907-819E-9F59DFBABE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T73</xm:sqref>
        </x14:conditionalFormatting>
        <x14:conditionalFormatting xmlns:xm="http://schemas.microsoft.com/office/excel/2006/main">
          <x14:cfRule type="dataBar" id="{13FD29DA-0ECC-4A3B-854D-BE45D5BFA9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U73:AH73 AG51:AH72</xm:sqref>
        </x14:conditionalFormatting>
        <x14:conditionalFormatting xmlns:xm="http://schemas.microsoft.com/office/excel/2006/main">
          <x14:cfRule type="dataBar" id="{6C574F30-E9C1-412E-8A44-846A49D435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D49:P73</xm:sqref>
        </x14:conditionalFormatting>
        <x14:conditionalFormatting xmlns:xm="http://schemas.microsoft.com/office/excel/2006/main">
          <x14:cfRule type="dataBar" id="{3639C360-747A-49CC-842A-BCE9CB0A44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T49:AF73</xm:sqref>
        </x14:conditionalFormatting>
        <x14:conditionalFormatting xmlns:xm="http://schemas.microsoft.com/office/excel/2006/main">
          <x14:cfRule type="dataBar" id="{E4212A0D-F39A-4B4F-9C01-53ED2E69DB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D18:P43</xm:sqref>
        </x14:conditionalFormatting>
        <x14:conditionalFormatting xmlns:xm="http://schemas.microsoft.com/office/excel/2006/main">
          <x14:cfRule type="dataBar" id="{9957FB16-6BA5-4A99-A57C-A04A33504F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T18:AF43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59999389629810485"/>
    <pageSetUpPr fitToPage="1"/>
  </sheetPr>
  <dimension ref="A15:AN75"/>
  <sheetViews>
    <sheetView showGridLines="0" zoomScale="85" zoomScaleNormal="85" workbookViewId="0">
      <selection activeCell="D52" sqref="D52"/>
    </sheetView>
  </sheetViews>
  <sheetFormatPr defaultRowHeight="15"/>
  <cols>
    <col min="1" max="1" width="9.140625" customWidth="1"/>
    <col min="3" max="3" width="19.85546875" bestFit="1" customWidth="1"/>
    <col min="4" max="17" width="10.7109375" style="78" customWidth="1"/>
    <col min="18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5" spans="1:40" s="2" customFormat="1" ht="19.5" customHeight="1">
      <c r="A15" s="61"/>
      <c r="B15"/>
      <c r="C15" s="71" t="s">
        <v>30</v>
      </c>
      <c r="D15" s="79" t="s">
        <v>15</v>
      </c>
      <c r="E15" s="79" t="s">
        <v>16</v>
      </c>
      <c r="F15" s="79" t="s">
        <v>17</v>
      </c>
      <c r="G15" s="79" t="s">
        <v>18</v>
      </c>
      <c r="H15" s="79" t="s">
        <v>19</v>
      </c>
      <c r="I15" s="79" t="s">
        <v>20</v>
      </c>
      <c r="J15" s="79" t="s">
        <v>21</v>
      </c>
      <c r="K15" s="79" t="s">
        <v>22</v>
      </c>
      <c r="L15" s="79" t="s">
        <v>23</v>
      </c>
      <c r="M15" s="79" t="s">
        <v>24</v>
      </c>
      <c r="N15" s="79" t="s">
        <v>25</v>
      </c>
      <c r="O15" s="79" t="s">
        <v>37</v>
      </c>
      <c r="P15" s="79" t="s">
        <v>26</v>
      </c>
      <c r="Q15" s="79" t="s">
        <v>27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s="2" customFormat="1" hidden="1">
      <c r="A16" s="61"/>
      <c r="B16"/>
      <c r="C16" s="72" t="s">
        <v>99</v>
      </c>
      <c r="D16" s="80">
        <v>84793</v>
      </c>
      <c r="E16" s="80">
        <v>132693</v>
      </c>
      <c r="F16" s="80">
        <v>128194</v>
      </c>
      <c r="G16" s="80">
        <v>102690</v>
      </c>
      <c r="H16" s="80">
        <v>71708</v>
      </c>
      <c r="I16" s="80">
        <v>59082</v>
      </c>
      <c r="J16" s="80">
        <v>37981</v>
      </c>
      <c r="K16" s="80">
        <v>135963</v>
      </c>
      <c r="L16" s="80">
        <v>31630</v>
      </c>
      <c r="M16" s="80">
        <v>107563</v>
      </c>
      <c r="N16" s="80">
        <v>132605</v>
      </c>
      <c r="O16" s="80">
        <v>141967</v>
      </c>
      <c r="P16" s="80">
        <v>71306</v>
      </c>
      <c r="Q16" s="80">
        <v>134396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s="30" customFormat="1" ht="16.5" customHeight="1">
      <c r="A17" s="62"/>
      <c r="B17" s="7"/>
      <c r="C17" s="73" t="s">
        <v>114</v>
      </c>
      <c r="D17" s="80">
        <v>18844.87163786</v>
      </c>
      <c r="E17" s="80">
        <v>30868.96389486</v>
      </c>
      <c r="F17" s="80">
        <v>28730.000635919998</v>
      </c>
      <c r="G17" s="80">
        <v>23516.001945110002</v>
      </c>
      <c r="H17" s="80">
        <v>14903.59150959</v>
      </c>
      <c r="I17" s="80">
        <v>12356.174994129999</v>
      </c>
      <c r="J17" s="80">
        <v>7919.6786281699997</v>
      </c>
      <c r="K17" s="80">
        <v>29875.609801369999</v>
      </c>
      <c r="L17" s="80">
        <v>6632.7395464499996</v>
      </c>
      <c r="M17" s="80">
        <v>23204.440894529998</v>
      </c>
      <c r="N17" s="80">
        <v>30902.656949099997</v>
      </c>
      <c r="O17" s="80">
        <v>31928.168573729999</v>
      </c>
      <c r="P17" s="80">
        <v>15307.70436793</v>
      </c>
      <c r="Q17" s="80">
        <v>29531.552788639998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7"/>
      <c r="AG17" s="7"/>
      <c r="AH17"/>
      <c r="AI17"/>
      <c r="AJ17"/>
      <c r="AK17"/>
      <c r="AL17"/>
      <c r="AM17"/>
      <c r="AN17"/>
    </row>
    <row r="18" spans="1:40" s="22" customFormat="1" ht="16.5" customHeight="1">
      <c r="A18" s="63"/>
      <c r="B18" s="20"/>
      <c r="C18" s="73" t="s">
        <v>115</v>
      </c>
      <c r="D18" s="80">
        <v>20248.789000000001</v>
      </c>
      <c r="E18" s="80">
        <v>32744.706999999999</v>
      </c>
      <c r="F18" s="80">
        <v>30261.96</v>
      </c>
      <c r="G18" s="80">
        <v>24605.428</v>
      </c>
      <c r="H18" s="80">
        <v>15465.048000000001</v>
      </c>
      <c r="I18" s="80">
        <v>12760.098</v>
      </c>
      <c r="J18" s="80">
        <v>8182.8119999999999</v>
      </c>
      <c r="K18" s="80">
        <v>31361.352999999999</v>
      </c>
      <c r="L18" s="80">
        <v>6823.0929999999998</v>
      </c>
      <c r="M18" s="80">
        <v>23801.938999999998</v>
      </c>
      <c r="N18" s="80">
        <v>33002.088000000003</v>
      </c>
      <c r="O18" s="80">
        <v>32518.882000000001</v>
      </c>
      <c r="P18" s="80">
        <v>15648.312</v>
      </c>
      <c r="Q18" s="80">
        <v>31002.448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20"/>
      <c r="AG18" s="20"/>
      <c r="AH18"/>
      <c r="AI18"/>
      <c r="AJ18"/>
      <c r="AK18"/>
      <c r="AL18"/>
      <c r="AM18"/>
      <c r="AN18"/>
    </row>
    <row r="19" spans="1:40" s="22" customFormat="1" ht="16.5" customHeight="1">
      <c r="A19" s="63"/>
      <c r="B19" s="20"/>
      <c r="C19" s="73" t="s">
        <v>116</v>
      </c>
      <c r="D19" s="82">
        <v>34.160833355208403</v>
      </c>
      <c r="E19" s="82">
        <v>28.388378680159501</v>
      </c>
      <c r="F19" s="82">
        <v>25.215118808229001</v>
      </c>
      <c r="G19" s="82">
        <v>22.542349212856799</v>
      </c>
      <c r="H19" s="82">
        <v>19.160845104267398</v>
      </c>
      <c r="I19" s="82">
        <v>16.3807543534034</v>
      </c>
      <c r="J19" s="82">
        <v>19.223525697993999</v>
      </c>
      <c r="K19" s="82">
        <v>25.2121776592499</v>
      </c>
      <c r="L19" s="82">
        <v>16.3784791544564</v>
      </c>
      <c r="M19" s="82">
        <v>12.505718981802501</v>
      </c>
      <c r="N19" s="82">
        <v>31.459982571827801</v>
      </c>
      <c r="O19" s="82">
        <v>8.7545979936163096</v>
      </c>
      <c r="P19" s="82">
        <v>12.4578112545452</v>
      </c>
      <c r="Q19" s="82">
        <v>25.214556203141999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20"/>
      <c r="AG19" s="20"/>
      <c r="AH19"/>
      <c r="AI19"/>
      <c r="AJ19"/>
      <c r="AK19"/>
      <c r="AL19"/>
      <c r="AM19"/>
      <c r="AN19"/>
    </row>
    <row r="20" spans="1:40" s="22" customFormat="1" ht="16.5" customHeight="1">
      <c r="A20" s="63"/>
      <c r="B20" s="20"/>
      <c r="C20" s="74" t="s">
        <v>117</v>
      </c>
      <c r="D20" s="82">
        <v>3.8292562292607899</v>
      </c>
      <c r="E20" s="82">
        <v>3.5940966808970498</v>
      </c>
      <c r="F20" s="82">
        <v>3.7159873508281001</v>
      </c>
      <c r="G20" s="82">
        <v>3.9738534854824601</v>
      </c>
      <c r="H20" s="82">
        <v>4.5363102345626301</v>
      </c>
      <c r="I20" s="82">
        <v>4.5668291499254297</v>
      </c>
      <c r="J20" s="82">
        <v>4.5516286331051203</v>
      </c>
      <c r="K20" s="82">
        <v>3.79669684971442</v>
      </c>
      <c r="L20" s="82">
        <v>4.5605805664145196</v>
      </c>
      <c r="M20" s="82">
        <v>4.51958030391304</v>
      </c>
      <c r="N20" s="82">
        <v>3.6653300358472798</v>
      </c>
      <c r="O20" s="82">
        <v>4.37955953225784</v>
      </c>
      <c r="P20" s="82">
        <v>4.5402168157034204</v>
      </c>
      <c r="Q20" s="82">
        <v>3.7955551703555699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20"/>
      <c r="AG20" s="20"/>
      <c r="AH20"/>
      <c r="AI20"/>
      <c r="AJ20"/>
      <c r="AK20"/>
      <c r="AL20"/>
      <c r="AM20"/>
      <c r="AN20"/>
    </row>
    <row r="21" spans="1:40" s="22" customFormat="1" ht="16.5" customHeight="1">
      <c r="A21" s="63"/>
      <c r="B21" s="20"/>
      <c r="C21" s="74" t="s">
        <v>118</v>
      </c>
      <c r="D21" s="82">
        <v>3.8292601897346499</v>
      </c>
      <c r="E21" s="82">
        <v>3.59411456185369</v>
      </c>
      <c r="F21" s="82">
        <v>3.71599278627968</v>
      </c>
      <c r="G21" s="82">
        <v>3.9738622374935502</v>
      </c>
      <c r="H21" s="82">
        <v>4.5363102345626301</v>
      </c>
      <c r="I21" s="82">
        <v>4.5668291499254297</v>
      </c>
      <c r="J21" s="82">
        <v>4.5515971531744999</v>
      </c>
      <c r="K21" s="82">
        <v>3.7966977189181401</v>
      </c>
      <c r="L21" s="82">
        <v>4.5605126292845304</v>
      </c>
      <c r="M21" s="82">
        <v>4.5195802139696903</v>
      </c>
      <c r="N21" s="82">
        <v>3.66533024624965</v>
      </c>
      <c r="O21" s="82">
        <v>4.37955953225784</v>
      </c>
      <c r="P21" s="82">
        <v>4.5402168157034204</v>
      </c>
      <c r="Q21" s="82">
        <v>3.7955551703555699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 s="20"/>
      <c r="AG21" s="20"/>
      <c r="AH21"/>
      <c r="AI21"/>
      <c r="AJ21"/>
      <c r="AK21"/>
      <c r="AL21"/>
      <c r="AM21"/>
      <c r="AN21"/>
    </row>
    <row r="22" spans="1:40" s="22" customFormat="1" ht="16.5" customHeight="1">
      <c r="A22" s="63"/>
      <c r="B22" s="20"/>
      <c r="C22" s="75" t="s">
        <v>119</v>
      </c>
      <c r="D22" s="82">
        <v>74.826692598709997</v>
      </c>
      <c r="E22" s="82">
        <v>74.283992916362394</v>
      </c>
      <c r="F22" s="82">
        <v>74.8308152396678</v>
      </c>
      <c r="G22" s="82">
        <v>75.281709742869197</v>
      </c>
      <c r="H22" s="82">
        <v>75.917112759675703</v>
      </c>
      <c r="I22" s="82">
        <v>75.876078813017898</v>
      </c>
      <c r="J22" s="82">
        <v>92.314133295397895</v>
      </c>
      <c r="K22" s="82">
        <v>91.538060510031499</v>
      </c>
      <c r="L22" s="82">
        <v>92.369456020445</v>
      </c>
      <c r="M22" s="82">
        <v>76.213677098987006</v>
      </c>
      <c r="N22" s="82">
        <v>74.468186906887297</v>
      </c>
      <c r="O22" s="82">
        <v>75.9572137273572</v>
      </c>
      <c r="P22" s="82">
        <v>92.482191295939998</v>
      </c>
      <c r="Q22" s="82">
        <v>91.535120058433805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0"/>
      <c r="AG22" s="20"/>
      <c r="AH22"/>
      <c r="AI22"/>
      <c r="AJ22"/>
      <c r="AK22"/>
      <c r="AL22"/>
      <c r="AM22"/>
      <c r="AN22"/>
    </row>
    <row r="23" spans="1:40" s="22" customFormat="1" ht="16.5" customHeight="1">
      <c r="A23" s="63"/>
      <c r="B23" s="20"/>
      <c r="C23" s="75" t="s">
        <v>120</v>
      </c>
      <c r="D23" s="82">
        <v>75.582367490546403</v>
      </c>
      <c r="E23" s="82">
        <v>75.279818992311107</v>
      </c>
      <c r="F23" s="82">
        <v>75.722337139684299</v>
      </c>
      <c r="G23" s="82">
        <v>76.339009535012707</v>
      </c>
      <c r="H23" s="82">
        <v>76.686157591043695</v>
      </c>
      <c r="I23" s="82">
        <v>76.700996994193105</v>
      </c>
      <c r="J23" s="82">
        <v>92.3249810488919</v>
      </c>
      <c r="K23" s="82">
        <v>91.562355822901694</v>
      </c>
      <c r="L23" s="82">
        <v>92.378822957986401</v>
      </c>
      <c r="M23" s="82">
        <v>77.015588711609695</v>
      </c>
      <c r="N23" s="82">
        <v>75.489855449732801</v>
      </c>
      <c r="O23" s="82">
        <v>76.871091511166497</v>
      </c>
      <c r="P23" s="82">
        <v>92.489408970936495</v>
      </c>
      <c r="Q23" s="82">
        <v>91.560280840275496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 s="20"/>
      <c r="AG23" s="20"/>
      <c r="AH23"/>
      <c r="AI23"/>
      <c r="AJ23"/>
      <c r="AK23"/>
      <c r="AL23"/>
      <c r="AM23"/>
      <c r="AN23"/>
    </row>
    <row r="24" spans="1:40" s="22" customFormat="1" ht="16.5" customHeight="1">
      <c r="A24" s="63"/>
      <c r="B24" s="20"/>
      <c r="C24" s="75" t="s">
        <v>121</v>
      </c>
      <c r="D24" s="82">
        <v>60.618714100668697</v>
      </c>
      <c r="E24" s="82">
        <v>61.599118717611702</v>
      </c>
      <c r="F24" s="82">
        <v>63.536959983013503</v>
      </c>
      <c r="G24" s="82">
        <v>65.853191465945997</v>
      </c>
      <c r="H24" s="82">
        <v>68.293092302147201</v>
      </c>
      <c r="I24" s="82">
        <v>69.302217548040403</v>
      </c>
      <c r="J24" s="82">
        <v>83.687363108517999</v>
      </c>
      <c r="K24" s="82">
        <v>79.439633154000802</v>
      </c>
      <c r="L24" s="82">
        <v>84.837973658007897</v>
      </c>
      <c r="M24" s="82">
        <v>71.710370688618696</v>
      </c>
      <c r="N24" s="82">
        <v>60.817591198192297</v>
      </c>
      <c r="O24" s="82">
        <v>73.487001855973404</v>
      </c>
      <c r="P24" s="82">
        <v>87.411302845692205</v>
      </c>
      <c r="Q24" s="82">
        <v>79.431489742485397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0"/>
      <c r="AG24" s="20"/>
      <c r="AH24"/>
      <c r="AI24"/>
      <c r="AJ24"/>
      <c r="AK24"/>
      <c r="AL24"/>
      <c r="AM24"/>
      <c r="AN24"/>
    </row>
    <row r="25" spans="1:40" s="22" customFormat="1" ht="16.5" customHeight="1">
      <c r="A25" s="63"/>
      <c r="B25" s="20"/>
      <c r="C25" s="75" t="s">
        <v>122</v>
      </c>
      <c r="D25" s="82">
        <v>32.199716089737002</v>
      </c>
      <c r="E25" s="82">
        <v>32.138041426937498</v>
      </c>
      <c r="F25" s="82">
        <v>32.835626074592703</v>
      </c>
      <c r="G25" s="82">
        <v>33.067403096573102</v>
      </c>
      <c r="H25" s="82">
        <v>34.478418486754101</v>
      </c>
      <c r="I25" s="82">
        <v>34.776090603203301</v>
      </c>
      <c r="J25" s="82">
        <v>34.722093165548202</v>
      </c>
      <c r="K25" s="82">
        <v>33.148326786784601</v>
      </c>
      <c r="L25" s="82">
        <v>34.914017671663998</v>
      </c>
      <c r="M25" s="82">
        <v>34.480601611133302</v>
      </c>
      <c r="N25" s="82">
        <v>31.9957291431604</v>
      </c>
      <c r="O25" s="82">
        <v>34.626370253664803</v>
      </c>
      <c r="P25" s="82">
        <v>34.741520116496403</v>
      </c>
      <c r="Q25" s="82">
        <v>33.120655391504499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0"/>
      <c r="AG25" s="20"/>
      <c r="AH25"/>
      <c r="AI25"/>
      <c r="AJ25"/>
      <c r="AK25"/>
      <c r="AL25"/>
      <c r="AM25"/>
      <c r="AN25"/>
    </row>
    <row r="26" spans="1:40" s="20" customFormat="1" ht="16.5" customHeight="1">
      <c r="A26" s="64"/>
      <c r="C26" s="75" t="s">
        <v>123</v>
      </c>
      <c r="D26" s="82">
        <v>766.69279975411803</v>
      </c>
      <c r="E26" s="82">
        <v>764.25690807350702</v>
      </c>
      <c r="F26" s="82">
        <v>761.35779383455997</v>
      </c>
      <c r="G26" s="82">
        <v>760.03980686218995</v>
      </c>
      <c r="H26" s="82">
        <v>753.80486724772595</v>
      </c>
      <c r="I26" s="82">
        <v>751.52818465194605</v>
      </c>
      <c r="J26" s="82">
        <v>751.27795762989103</v>
      </c>
      <c r="K26" s="82">
        <v>757.09097000118902</v>
      </c>
      <c r="L26" s="82">
        <v>748.63164981732302</v>
      </c>
      <c r="M26" s="82">
        <v>752.26310007983204</v>
      </c>
      <c r="N26" s="82">
        <v>766.36911300325505</v>
      </c>
      <c r="O26" s="82">
        <v>751.69752539868705</v>
      </c>
      <c r="P26" s="82">
        <v>748.17364565155799</v>
      </c>
      <c r="Q26" s="82">
        <v>757.39548421027405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20" customFormat="1" ht="16.5" customHeight="1">
      <c r="A27" s="64"/>
      <c r="C27" s="73" t="s">
        <v>124</v>
      </c>
      <c r="D27" s="80">
        <v>306098.61692109698</v>
      </c>
      <c r="E27" s="80">
        <v>313353.88862311898</v>
      </c>
      <c r="F27" s="80">
        <v>302441.392871955</v>
      </c>
      <c r="G27" s="80">
        <v>303628.014954363</v>
      </c>
      <c r="H27" s="80">
        <v>280501.71368464403</v>
      </c>
      <c r="I27" s="80">
        <v>280695.33743058302</v>
      </c>
      <c r="J27" s="80">
        <v>257728.99219422101</v>
      </c>
      <c r="K27" s="80">
        <v>274161.09979895299</v>
      </c>
      <c r="L27" s="80">
        <v>258772.95562326</v>
      </c>
      <c r="M27" s="80">
        <v>284854.19919722702</v>
      </c>
      <c r="N27" s="80">
        <v>314581.67473241698</v>
      </c>
      <c r="O27" s="80">
        <v>294182.62573164701</v>
      </c>
      <c r="P27" s="80">
        <v>261492.37113095701</v>
      </c>
      <c r="Q27" s="80">
        <v>274143.878702202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20" customFormat="1" ht="16.5" customHeight="1">
      <c r="A28" s="64"/>
      <c r="C28" s="73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20" customFormat="1" ht="16.5" customHeight="1">
      <c r="A29" s="64"/>
      <c r="C29" s="76" t="s">
        <v>125</v>
      </c>
      <c r="D29" s="83">
        <v>0</v>
      </c>
      <c r="E29" s="83">
        <v>0</v>
      </c>
      <c r="F29" s="83">
        <v>0</v>
      </c>
      <c r="G29" s="83">
        <v>0</v>
      </c>
      <c r="H29" s="83">
        <v>0</v>
      </c>
      <c r="I29" s="83">
        <v>0</v>
      </c>
      <c r="J29" s="83">
        <v>0.99801637525112097</v>
      </c>
      <c r="K29" s="83">
        <v>0.999304563393412</v>
      </c>
      <c r="L29" s="83">
        <v>0.99787556214572803</v>
      </c>
      <c r="M29" s="83">
        <v>0</v>
      </c>
      <c r="N29" s="83">
        <v>0</v>
      </c>
      <c r="O29" s="83">
        <v>0</v>
      </c>
      <c r="P29" s="83">
        <v>0.99829433543773505</v>
      </c>
      <c r="Q29" s="83">
        <v>0.99931025504362103</v>
      </c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20" customFormat="1" ht="16.5" customHeight="1">
      <c r="A30" s="64"/>
      <c r="C30" s="76" t="s">
        <v>83</v>
      </c>
      <c r="D30" s="83">
        <v>7.0286712970702506E-2</v>
      </c>
      <c r="E30" s="83">
        <v>9.3519772610854895E-2</v>
      </c>
      <c r="F30" s="83">
        <v>8.0487457430783699E-2</v>
      </c>
      <c r="G30" s="83">
        <v>9.0462926605275398E-2</v>
      </c>
      <c r="H30" s="83">
        <v>6.2884593991115206E-2</v>
      </c>
      <c r="I30" s="83">
        <v>6.7788188143006703E-2</v>
      </c>
      <c r="J30" s="83">
        <v>1.68610543014995E-3</v>
      </c>
      <c r="K30" s="83">
        <v>3.9655796791323401E-3</v>
      </c>
      <c r="L30" s="83">
        <v>1.4654595860321899E-3</v>
      </c>
      <c r="M30" s="83">
        <v>6.4889682685478803E-2</v>
      </c>
      <c r="N30" s="83">
        <v>9.5284311467456306E-2</v>
      </c>
      <c r="O30" s="83">
        <v>7.5041649686457199E-2</v>
      </c>
      <c r="P30" s="83">
        <v>1.16631951734081E-3</v>
      </c>
      <c r="Q30" s="83">
        <v>4.0987360788749799E-3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20" customFormat="1" ht="16.5" customHeight="1">
      <c r="A31" s="64"/>
      <c r="C31" s="76" t="s">
        <v>126</v>
      </c>
      <c r="D31" s="83">
        <v>0.105014142542322</v>
      </c>
      <c r="E31" s="83">
        <v>7.4736240114756297E-2</v>
      </c>
      <c r="F31" s="83">
        <v>0.112468208129454</v>
      </c>
      <c r="G31" s="83">
        <v>0.15007943610303501</v>
      </c>
      <c r="H31" s="83">
        <v>0.18928094221817501</v>
      </c>
      <c r="I31" s="83">
        <v>0.17352569864530001</v>
      </c>
      <c r="J31" s="83">
        <v>0.39643030257093398</v>
      </c>
      <c r="K31" s="83">
        <v>0.297197002461279</v>
      </c>
      <c r="L31" s="83">
        <v>0.393983315768616</v>
      </c>
      <c r="M31" s="83">
        <v>0.193494976380509</v>
      </c>
      <c r="N31" s="83">
        <v>8.1393873836251296E-2</v>
      </c>
      <c r="O31" s="83">
        <v>0.17036935063997299</v>
      </c>
      <c r="P31" s="83">
        <v>0.405933977118626</v>
      </c>
      <c r="Q31" s="83">
        <v>0.29779204123505798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20" customFormat="1" ht="16.5" customHeight="1">
      <c r="A32" s="64"/>
      <c r="C32" s="76" t="s">
        <v>127</v>
      </c>
      <c r="D32" s="83">
        <v>0.63129471675833404</v>
      </c>
      <c r="E32" s="83">
        <v>0.60931048166284096</v>
      </c>
      <c r="F32" s="83">
        <v>0.58662336641470403</v>
      </c>
      <c r="G32" s="83">
        <v>0.58850832344431703</v>
      </c>
      <c r="H32" s="83">
        <v>0.55742381848390699</v>
      </c>
      <c r="I32" s="83">
        <v>0.54743106271183595</v>
      </c>
      <c r="J32" s="83">
        <v>0.54258630000532304</v>
      </c>
      <c r="K32" s="83">
        <v>0.56621639503386001</v>
      </c>
      <c r="L32" s="83">
        <v>0.53975274066446899</v>
      </c>
      <c r="M32" s="83">
        <v>0.552612513181163</v>
      </c>
      <c r="N32" s="83">
        <v>0.623578599544374</v>
      </c>
      <c r="O32" s="83">
        <v>0.55562806941129494</v>
      </c>
      <c r="P32" s="83">
        <v>0.54599575686868296</v>
      </c>
      <c r="Q32" s="83">
        <v>0.56770692301486902</v>
      </c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20" customFormat="1" ht="16.5" customHeight="1">
      <c r="A33" s="64"/>
      <c r="C33" s="76" t="s">
        <v>128</v>
      </c>
      <c r="D33" s="83">
        <v>2.3630007779695698E-2</v>
      </c>
      <c r="E33" s="83">
        <v>2.8841972311168099E-2</v>
      </c>
      <c r="F33" s="83">
        <v>3.2283576632099797E-2</v>
      </c>
      <c r="G33" s="83">
        <v>2.9315808846637401E-2</v>
      </c>
      <c r="H33" s="83">
        <v>3.4989357507178798E-2</v>
      </c>
      <c r="I33" s="83">
        <v>3.6391874004990998E-2</v>
      </c>
      <c r="J33" s="83">
        <v>0</v>
      </c>
      <c r="K33" s="83">
        <v>0</v>
      </c>
      <c r="L33" s="83">
        <v>0</v>
      </c>
      <c r="M33" s="83">
        <v>3.4019637397774402E-2</v>
      </c>
      <c r="N33" s="83">
        <v>2.5401029397339899E-2</v>
      </c>
      <c r="O33" s="83">
        <v>3.3118285136154502E-2</v>
      </c>
      <c r="P33" s="83">
        <v>0</v>
      </c>
      <c r="Q33" s="83">
        <v>0</v>
      </c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20" customFormat="1" ht="16.5" customHeight="1">
      <c r="A34" s="64"/>
      <c r="C34" s="76" t="s">
        <v>129</v>
      </c>
      <c r="D34" s="83">
        <v>0.71571042737819401</v>
      </c>
      <c r="E34" s="83">
        <v>0.67373260854385097</v>
      </c>
      <c r="F34" s="83">
        <v>0.657221934105096</v>
      </c>
      <c r="G34" s="83">
        <v>0.636897315309774</v>
      </c>
      <c r="H34" s="83">
        <v>0.63150636996685305</v>
      </c>
      <c r="I34" s="83">
        <v>0.63295607042514701</v>
      </c>
      <c r="J34" s="83">
        <v>0.60735330321117498</v>
      </c>
      <c r="K34" s="83">
        <v>0.62092425225440295</v>
      </c>
      <c r="L34" s="83">
        <v>0.59680719831953299</v>
      </c>
      <c r="M34" s="83">
        <v>0.61989908816940498</v>
      </c>
      <c r="N34" s="83">
        <v>0.70198675552012002</v>
      </c>
      <c r="O34" s="83">
        <v>0.62772848756475197</v>
      </c>
      <c r="P34" s="83">
        <v>0.59745977775482295</v>
      </c>
      <c r="Q34" s="83">
        <v>0.62065396964668296</v>
      </c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20" customFormat="1" ht="16.5" customHeight="1">
      <c r="A35" s="64"/>
      <c r="C35" s="76" t="s">
        <v>130</v>
      </c>
      <c r="D35" s="83">
        <v>0.89395305003696202</v>
      </c>
      <c r="E35" s="83">
        <v>0.88653955961789799</v>
      </c>
      <c r="F35" s="83">
        <v>0.85746265877035599</v>
      </c>
      <c r="G35" s="83">
        <v>0.87896531170546699</v>
      </c>
      <c r="H35" s="83">
        <v>0.85486638953582605</v>
      </c>
      <c r="I35" s="83">
        <v>0.84416041759729199</v>
      </c>
      <c r="J35" s="83">
        <v>0.99548008661075205</v>
      </c>
      <c r="K35" s="83">
        <v>0.99602556414347798</v>
      </c>
      <c r="L35" s="83">
        <v>0.995109091481307</v>
      </c>
      <c r="M35" s="83">
        <v>0.84966590518488505</v>
      </c>
      <c r="N35" s="83">
        <v>0.89209194671019598</v>
      </c>
      <c r="O35" s="83">
        <v>0.85505301200809303</v>
      </c>
      <c r="P35" s="83">
        <v>0.99488595389952705</v>
      </c>
      <c r="Q35" s="83">
        <v>0.99606576875447195</v>
      </c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20" customFormat="1" ht="16.5" customHeight="1">
      <c r="A36" s="64"/>
      <c r="C36" s="76" t="s">
        <v>131</v>
      </c>
      <c r="D36" s="83">
        <v>0.40084822924629898</v>
      </c>
      <c r="E36" s="83">
        <v>0.26778516042439598</v>
      </c>
      <c r="F36" s="83">
        <v>0.407853972339279</v>
      </c>
      <c r="G36" s="83">
        <v>0.51999656120851701</v>
      </c>
      <c r="H36" s="83">
        <v>0.636277261282161</v>
      </c>
      <c r="I36" s="83">
        <v>0.60963829247470003</v>
      </c>
      <c r="J36" s="83">
        <v>0.90576257158019802</v>
      </c>
      <c r="K36" s="83">
        <v>0.71684535995606402</v>
      </c>
      <c r="L36" s="83">
        <v>0.89881178197035905</v>
      </c>
      <c r="M36" s="83">
        <v>0.67181533554444794</v>
      </c>
      <c r="N36" s="83">
        <v>0.30733603070614202</v>
      </c>
      <c r="O36" s="83">
        <v>0.61957617450367197</v>
      </c>
      <c r="P36" s="83">
        <v>0.92472485564954598</v>
      </c>
      <c r="Q36" s="83">
        <v>0.71654250149351795</v>
      </c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s="20" customFormat="1" ht="16.5" customHeight="1">
      <c r="A37" s="64"/>
      <c r="C37" s="76" t="s">
        <v>132</v>
      </c>
      <c r="D37" s="83">
        <v>0.140747616088893</v>
      </c>
      <c r="E37" s="83">
        <v>0.122149590301858</v>
      </c>
      <c r="F37" s="83">
        <v>0.12274786113477799</v>
      </c>
      <c r="G37" s="83">
        <v>9.9023718611497405E-2</v>
      </c>
      <c r="H37" s="83">
        <v>0.12366351842937</v>
      </c>
      <c r="I37" s="83">
        <v>0.116810665398934</v>
      </c>
      <c r="J37" s="83">
        <v>7.9505437242154198E-2</v>
      </c>
      <c r="K37" s="83">
        <v>7.7128833318218404E-2</v>
      </c>
      <c r="L37" s="83">
        <v>8.8609534730571995E-2</v>
      </c>
      <c r="M37" s="83">
        <v>0.13026393858869201</v>
      </c>
      <c r="N37" s="83">
        <v>0.125649778648663</v>
      </c>
      <c r="O37" s="83">
        <v>0.121193763642733</v>
      </c>
      <c r="P37" s="83">
        <v>0.10252488746503099</v>
      </c>
      <c r="Q37" s="83">
        <v>7.6888101069763196E-2</v>
      </c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H37"/>
      <c r="AI37"/>
      <c r="AJ37"/>
      <c r="AK37"/>
      <c r="AL37"/>
      <c r="AM37"/>
      <c r="AN37"/>
    </row>
    <row r="38" spans="1:40" s="20" customFormat="1" ht="16.5" customHeight="1">
      <c r="A38" s="64"/>
      <c r="C38" s="76" t="s">
        <v>133</v>
      </c>
      <c r="D38" s="83">
        <v>0.99739476567293905</v>
      </c>
      <c r="E38" s="83">
        <v>0.99676694991869697</v>
      </c>
      <c r="F38" s="83">
        <v>0.99716946758858305</v>
      </c>
      <c r="G38" s="83">
        <v>0.99657111943568399</v>
      </c>
      <c r="H38" s="83">
        <v>0.99467667261485604</v>
      </c>
      <c r="I38" s="83">
        <v>0.99529690135680204</v>
      </c>
      <c r="J38" s="83">
        <v>0.99383550107874996</v>
      </c>
      <c r="K38" s="83">
        <v>0.99623484288729502</v>
      </c>
      <c r="L38" s="83">
        <v>0.99409544362691504</v>
      </c>
      <c r="M38" s="83">
        <v>0.996450836103557</v>
      </c>
      <c r="N38" s="83">
        <v>0.99881651417513195</v>
      </c>
      <c r="O38" s="83">
        <v>0.99820730528067003</v>
      </c>
      <c r="P38" s="83">
        <v>0.99735016690451705</v>
      </c>
      <c r="Q38" s="83">
        <v>0.99833313405589197</v>
      </c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H38"/>
      <c r="AI38"/>
      <c r="AJ38"/>
      <c r="AK38"/>
      <c r="AL38"/>
      <c r="AM38"/>
      <c r="AN38"/>
    </row>
    <row r="39" spans="1:40" s="20" customFormat="1" ht="16.5" customHeight="1">
      <c r="A39" s="64"/>
      <c r="C39" s="76" t="s">
        <v>134</v>
      </c>
      <c r="D39" s="83">
        <v>2.6052343270604001E-3</v>
      </c>
      <c r="E39" s="83">
        <v>3.2330500813024599E-3</v>
      </c>
      <c r="F39" s="83">
        <v>2.8305324114169098E-3</v>
      </c>
      <c r="G39" s="83">
        <v>3.4288805643157899E-3</v>
      </c>
      <c r="H39" s="83">
        <v>5.3233273851439897E-3</v>
      </c>
      <c r="I39" s="83">
        <v>4.7030986431971997E-3</v>
      </c>
      <c r="J39" s="83">
        <v>6.1644989212499097E-3</v>
      </c>
      <c r="K39" s="83">
        <v>3.7651571127040799E-3</v>
      </c>
      <c r="L39" s="83">
        <v>5.9045563730843499E-3</v>
      </c>
      <c r="M39" s="83">
        <v>3.5491638964424998E-3</v>
      </c>
      <c r="N39" s="83">
        <v>1.1834858248674E-3</v>
      </c>
      <c r="O39" s="83">
        <v>1.79269471932988E-3</v>
      </c>
      <c r="P39" s="83">
        <v>2.6498330954822999E-3</v>
      </c>
      <c r="Q39" s="83">
        <v>1.6668659441076001E-3</v>
      </c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H39"/>
      <c r="AI39"/>
      <c r="AJ39"/>
      <c r="AK39"/>
      <c r="AL39"/>
      <c r="AM39"/>
      <c r="AN39"/>
    </row>
    <row r="40" spans="1:40" s="20" customFormat="1" ht="16.5" customHeight="1">
      <c r="A40" s="64"/>
      <c r="C40" s="76" t="s">
        <v>78</v>
      </c>
      <c r="D40" s="83">
        <v>0.97746113060718898</v>
      </c>
      <c r="E40" s="83">
        <v>0.97970960481915303</v>
      </c>
      <c r="F40" s="83">
        <v>0.98149129867803797</v>
      </c>
      <c r="G40" s="83">
        <v>0.98145424869508102</v>
      </c>
      <c r="H40" s="83">
        <v>0.97980849253575097</v>
      </c>
      <c r="I40" s="83">
        <v>0.98203506134418905</v>
      </c>
      <c r="J40" s="83">
        <v>0.98018477958665995</v>
      </c>
      <c r="K40" s="83">
        <v>0.98681432852520601</v>
      </c>
      <c r="L40" s="83">
        <v>0.98336518772562698</v>
      </c>
      <c r="M40" s="83">
        <v>0.98926828604007799</v>
      </c>
      <c r="N40" s="83">
        <v>0.99783014810213699</v>
      </c>
      <c r="O40" s="83">
        <v>0.99820730528067003</v>
      </c>
      <c r="P40" s="83">
        <v>0.99352357934951296</v>
      </c>
      <c r="Q40" s="83">
        <v>0.99761597253913803</v>
      </c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H40"/>
      <c r="AI40"/>
      <c r="AJ40"/>
      <c r="AK40"/>
      <c r="AL40"/>
      <c r="AM40"/>
      <c r="AN40"/>
    </row>
    <row r="41" spans="1:40" s="20" customFormat="1" ht="16.5" customHeight="1">
      <c r="A41" s="64"/>
      <c r="C41" s="76" t="s">
        <v>79</v>
      </c>
      <c r="D41" s="83">
        <v>1.99336350657498E-2</v>
      </c>
      <c r="E41" s="83">
        <v>1.7057345099544201E-2</v>
      </c>
      <c r="F41" s="83">
        <v>1.5678168910544299E-2</v>
      </c>
      <c r="G41" s="83">
        <v>1.5116870740603101E-2</v>
      </c>
      <c r="H41" s="83">
        <v>1.48681800791047E-2</v>
      </c>
      <c r="I41" s="83">
        <v>1.32618400126128E-2</v>
      </c>
      <c r="J41" s="83">
        <v>1.36507214920892E-2</v>
      </c>
      <c r="K41" s="83">
        <v>9.4205143620898994E-3</v>
      </c>
      <c r="L41" s="83">
        <v>1.07302559012877E-2</v>
      </c>
      <c r="M41" s="83">
        <v>7.1825500634789497E-3</v>
      </c>
      <c r="N41" s="83">
        <v>9.8636607299514793E-4</v>
      </c>
      <c r="O41" s="83">
        <v>0</v>
      </c>
      <c r="P41" s="83">
        <v>3.8265875550039098E-3</v>
      </c>
      <c r="Q41" s="83">
        <v>7.1716151675393599E-4</v>
      </c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H41"/>
      <c r="AI41"/>
      <c r="AJ41"/>
      <c r="AK41"/>
      <c r="AL41"/>
      <c r="AM41"/>
      <c r="AN41"/>
    </row>
    <row r="42" spans="1:40" s="20" customFormat="1" ht="16.5" customHeight="1">
      <c r="A42" s="64"/>
      <c r="C42" s="76" t="s">
        <v>135</v>
      </c>
      <c r="D42" s="83">
        <v>2.33150770004339E-3</v>
      </c>
      <c r="E42" s="83">
        <v>2.9992835054440002E-3</v>
      </c>
      <c r="F42" s="83">
        <v>2.6510414515889202E-3</v>
      </c>
      <c r="G42" s="83">
        <v>3.12590570121489E-3</v>
      </c>
      <c r="H42" s="83">
        <v>4.7958792002590397E-3</v>
      </c>
      <c r="I42" s="83">
        <v>4.2847106904160201E-3</v>
      </c>
      <c r="J42" s="83">
        <v>5.4569332796255299E-3</v>
      </c>
      <c r="K42" s="83">
        <v>3.2583719334001999E-3</v>
      </c>
      <c r="L42" s="83">
        <v>5.0841820342619696E-3</v>
      </c>
      <c r="M42" s="83">
        <v>3.4281744029761099E-3</v>
      </c>
      <c r="N42" s="83">
        <v>1.1292800430551999E-3</v>
      </c>
      <c r="O42" s="83">
        <v>1.79269471932988E-3</v>
      </c>
      <c r="P42" s="83">
        <v>2.5400054061311701E-3</v>
      </c>
      <c r="Q42" s="83">
        <v>1.6668659441076001E-3</v>
      </c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H42"/>
      <c r="AI42"/>
      <c r="AJ42"/>
      <c r="AK42"/>
      <c r="AL42"/>
      <c r="AM42"/>
      <c r="AN42"/>
    </row>
    <row r="43" spans="1:40" ht="17.25" hidden="1" customHeight="1">
      <c r="A43" s="65"/>
      <c r="C43" s="76" t="s">
        <v>82</v>
      </c>
      <c r="D43" s="83">
        <v>2.7372662701701298E-4</v>
      </c>
      <c r="E43" s="83">
        <v>2.3376657585846399E-4</v>
      </c>
      <c r="F43" s="83">
        <v>1.7949095982798801E-4</v>
      </c>
      <c r="G43" s="83">
        <v>3.0297486310089101E-4</v>
      </c>
      <c r="H43" s="83">
        <v>5.2744818488495004E-4</v>
      </c>
      <c r="I43" s="83">
        <v>4.1838795278117502E-4</v>
      </c>
      <c r="J43" s="83">
        <v>7.0756564162437999E-4</v>
      </c>
      <c r="K43" s="83">
        <v>5.06785179303878E-4</v>
      </c>
      <c r="L43" s="83">
        <v>8.2037433882238401E-4</v>
      </c>
      <c r="M43" s="83">
        <v>1.20989493466391E-4</v>
      </c>
      <c r="N43" s="83">
        <v>5.4205781812194099E-5</v>
      </c>
      <c r="O43" s="83">
        <v>0</v>
      </c>
      <c r="P43" s="83">
        <v>1.09827689351133E-4</v>
      </c>
      <c r="Q43" s="83">
        <v>0</v>
      </c>
    </row>
    <row r="44" spans="1:40" ht="17.25" customHeight="1">
      <c r="A44" s="65"/>
      <c r="C44" s="77" t="s">
        <v>136</v>
      </c>
      <c r="D44" s="84">
        <v>1.06326131507019E-4</v>
      </c>
      <c r="E44" s="84">
        <v>1.14430765218789E-4</v>
      </c>
      <c r="F44" s="84">
        <v>8.4162055568383701E-5</v>
      </c>
      <c r="G44" s="84">
        <v>7.4070098908211795E-5</v>
      </c>
      <c r="H44" s="84">
        <v>5.6965739396017199E-5</v>
      </c>
      <c r="I44" s="84">
        <v>0</v>
      </c>
      <c r="J44" s="84">
        <v>8.9954897597229494E-5</v>
      </c>
      <c r="K44" s="84">
        <v>1.9732516387764699E-5</v>
      </c>
      <c r="L44" s="84">
        <v>6.0388559990174699E-5</v>
      </c>
      <c r="M44" s="84">
        <v>0</v>
      </c>
      <c r="N44" s="84">
        <v>0</v>
      </c>
      <c r="O44" s="84">
        <v>0</v>
      </c>
      <c r="P44" s="84">
        <v>0</v>
      </c>
      <c r="Q44" s="84">
        <v>0</v>
      </c>
    </row>
    <row r="45" spans="1:40" ht="17.25" customHeight="1">
      <c r="A45" s="65"/>
    </row>
    <row r="46" spans="1:40" ht="17.25" customHeight="1">
      <c r="A46" s="65"/>
    </row>
    <row r="47" spans="1:40" ht="17.25" customHeight="1">
      <c r="A47" s="65"/>
    </row>
    <row r="48" spans="1:40" ht="17.25" hidden="1" customHeight="1">
      <c r="A48" s="65"/>
    </row>
    <row r="49" spans="1:40" s="7" customFormat="1" ht="16.5" customHeight="1">
      <c r="A49" s="66"/>
      <c r="C49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H49"/>
      <c r="AI49"/>
      <c r="AJ49"/>
      <c r="AK49"/>
      <c r="AL49"/>
      <c r="AM49"/>
      <c r="AN49"/>
    </row>
    <row r="50" spans="1:40" s="20" customFormat="1" ht="16.5" customHeight="1">
      <c r="A50" s="64"/>
      <c r="C50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H50"/>
      <c r="AI50"/>
      <c r="AJ50"/>
      <c r="AK50"/>
      <c r="AL50"/>
      <c r="AM50"/>
      <c r="AN50"/>
    </row>
    <row r="51" spans="1:40" s="20" customFormat="1" ht="16.5" customHeight="1">
      <c r="A51" s="64"/>
      <c r="C51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H51"/>
      <c r="AI51"/>
      <c r="AJ51"/>
      <c r="AK51"/>
      <c r="AL51"/>
      <c r="AM51"/>
      <c r="AN51"/>
    </row>
    <row r="52" spans="1:40" s="20" customFormat="1" ht="16.5" customHeight="1">
      <c r="A52" s="64"/>
      <c r="C52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29"/>
      <c r="AG52" s="29"/>
      <c r="AH52"/>
      <c r="AI52"/>
      <c r="AJ52"/>
      <c r="AK52"/>
      <c r="AL52"/>
      <c r="AM52"/>
      <c r="AN52"/>
    </row>
    <row r="53" spans="1:40" s="20" customFormat="1" ht="16.5" customHeight="1">
      <c r="A53" s="64"/>
      <c r="C53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29"/>
      <c r="AG53" s="29"/>
      <c r="AH53"/>
      <c r="AI53"/>
      <c r="AJ53"/>
      <c r="AK53"/>
      <c r="AL53"/>
      <c r="AM53"/>
      <c r="AN53"/>
    </row>
    <row r="54" spans="1:40" s="20" customFormat="1" ht="16.5" customHeight="1">
      <c r="A54" s="64"/>
      <c r="C54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29"/>
      <c r="AG54" s="29"/>
      <c r="AH54"/>
      <c r="AI54"/>
      <c r="AJ54"/>
      <c r="AK54"/>
      <c r="AL54"/>
      <c r="AM54"/>
      <c r="AN54"/>
    </row>
    <row r="55" spans="1:40" s="20" customFormat="1" ht="16.5" customHeight="1">
      <c r="A55" s="64"/>
      <c r="C55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29"/>
      <c r="AG55" s="29"/>
      <c r="AH55"/>
      <c r="AI55"/>
      <c r="AJ55"/>
      <c r="AK55"/>
      <c r="AL55"/>
      <c r="AM55"/>
      <c r="AN55"/>
    </row>
    <row r="56" spans="1:40" s="20" customFormat="1" ht="16.5" customHeight="1">
      <c r="A56" s="64"/>
      <c r="C56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29"/>
      <c r="AG56" s="29"/>
      <c r="AH56"/>
      <c r="AI56"/>
      <c r="AJ56"/>
      <c r="AK56"/>
      <c r="AL56"/>
      <c r="AM56"/>
      <c r="AN56"/>
    </row>
    <row r="57" spans="1:40" s="20" customFormat="1" ht="16.5" customHeight="1">
      <c r="A57" s="64"/>
      <c r="C57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29"/>
      <c r="AG57" s="29"/>
      <c r="AH57"/>
      <c r="AI57"/>
      <c r="AJ57"/>
      <c r="AK57"/>
      <c r="AL57"/>
      <c r="AM57"/>
      <c r="AN57"/>
    </row>
    <row r="58" spans="1:40" s="20" customFormat="1" ht="16.5" customHeight="1">
      <c r="A58" s="64"/>
      <c r="C5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29"/>
      <c r="AG58" s="29"/>
      <c r="AH58"/>
      <c r="AI58"/>
      <c r="AJ58"/>
      <c r="AK58"/>
      <c r="AL58"/>
      <c r="AM58"/>
      <c r="AN58"/>
    </row>
    <row r="59" spans="1:40" s="20" customFormat="1" ht="16.5" customHeight="1">
      <c r="A59" s="64"/>
      <c r="C59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29"/>
      <c r="AG59" s="29"/>
      <c r="AH59"/>
      <c r="AI59"/>
      <c r="AJ59"/>
      <c r="AK59"/>
      <c r="AL59"/>
      <c r="AM59"/>
      <c r="AN59"/>
    </row>
    <row r="60" spans="1:40" s="20" customFormat="1" ht="16.5" customHeight="1">
      <c r="A60" s="64"/>
      <c r="C60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29"/>
      <c r="AG60" s="29"/>
      <c r="AH60"/>
      <c r="AI60"/>
      <c r="AJ60"/>
      <c r="AK60"/>
      <c r="AL60"/>
      <c r="AM60"/>
      <c r="AN60"/>
    </row>
    <row r="61" spans="1:40" s="20" customFormat="1" ht="16.5" customHeight="1">
      <c r="A61" s="64"/>
      <c r="C61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29"/>
      <c r="AG61" s="29"/>
      <c r="AH61"/>
      <c r="AI61"/>
      <c r="AJ61"/>
      <c r="AK61"/>
      <c r="AL61"/>
      <c r="AM61"/>
      <c r="AN61"/>
    </row>
    <row r="62" spans="1:40" s="20" customFormat="1" ht="16.5" customHeight="1">
      <c r="A62" s="64"/>
      <c r="C62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29"/>
      <c r="AG62" s="29"/>
      <c r="AH62"/>
      <c r="AI62"/>
      <c r="AJ62"/>
      <c r="AK62"/>
      <c r="AL62"/>
      <c r="AM62"/>
      <c r="AN62"/>
    </row>
    <row r="63" spans="1:40" s="20" customFormat="1" ht="16.5" customHeight="1">
      <c r="A63" s="64"/>
      <c r="C63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29"/>
      <c r="AG63" s="29"/>
      <c r="AH63"/>
      <c r="AI63"/>
      <c r="AJ63"/>
      <c r="AK63"/>
      <c r="AL63"/>
      <c r="AM63"/>
      <c r="AN63"/>
    </row>
    <row r="64" spans="1:40" s="20" customFormat="1" ht="16.5" customHeight="1">
      <c r="A64" s="64"/>
      <c r="C64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29"/>
      <c r="AG64" s="29"/>
      <c r="AH64"/>
      <c r="AI64"/>
      <c r="AJ64"/>
      <c r="AK64"/>
      <c r="AL64"/>
      <c r="AM64"/>
      <c r="AN64"/>
    </row>
    <row r="65" spans="1:40" s="20" customFormat="1" ht="16.5" customHeight="1">
      <c r="A65" s="64"/>
      <c r="C65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29"/>
      <c r="AG65" s="29"/>
      <c r="AH65"/>
      <c r="AI65"/>
      <c r="AJ65"/>
      <c r="AK65"/>
      <c r="AL65"/>
      <c r="AM65"/>
      <c r="AN65"/>
    </row>
    <row r="66" spans="1:40" s="20" customFormat="1" ht="16.5" customHeight="1">
      <c r="A66" s="64"/>
      <c r="C66"/>
      <c r="D66" s="78"/>
      <c r="E66" s="78"/>
      <c r="F66" s="78"/>
      <c r="G66" s="60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29"/>
      <c r="AG66" s="29"/>
      <c r="AH66"/>
      <c r="AI66"/>
      <c r="AJ66"/>
      <c r="AK66"/>
      <c r="AL66"/>
      <c r="AM66"/>
      <c r="AN66"/>
    </row>
    <row r="67" spans="1:40" s="20" customFormat="1" ht="16.5" customHeight="1">
      <c r="A67" s="64"/>
      <c r="C67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29"/>
      <c r="AG67" s="29"/>
      <c r="AH67"/>
      <c r="AI67"/>
      <c r="AJ67"/>
      <c r="AK67"/>
      <c r="AL67"/>
      <c r="AM67"/>
      <c r="AN67"/>
    </row>
    <row r="68" spans="1:40" s="20" customFormat="1" ht="16.5" customHeight="1">
      <c r="A68" s="64"/>
      <c r="C6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 s="29"/>
      <c r="AG68" s="29"/>
      <c r="AH68"/>
      <c r="AI68"/>
      <c r="AJ68"/>
      <c r="AK68"/>
      <c r="AL68"/>
      <c r="AM68"/>
      <c r="AN68"/>
    </row>
    <row r="69" spans="1:40" s="20" customFormat="1" ht="16.5" customHeight="1">
      <c r="A69" s="64"/>
      <c r="C69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 s="29"/>
      <c r="AG69" s="29"/>
      <c r="AH69"/>
      <c r="AI69"/>
      <c r="AJ69"/>
      <c r="AK69"/>
      <c r="AL69"/>
      <c r="AM69"/>
      <c r="AN69"/>
    </row>
    <row r="70" spans="1:40" s="20" customFormat="1" ht="16.5" customHeight="1">
      <c r="A70" s="64"/>
      <c r="C70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 s="29"/>
      <c r="AG70" s="29"/>
      <c r="AH70"/>
      <c r="AI70"/>
      <c r="AJ70"/>
      <c r="AK70"/>
      <c r="AL70"/>
      <c r="AM70"/>
      <c r="AN70"/>
    </row>
    <row r="71" spans="1:40" s="20" customFormat="1" ht="16.5" customHeight="1">
      <c r="A71" s="53"/>
      <c r="C71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 s="29"/>
      <c r="AG71" s="29"/>
      <c r="AH71"/>
      <c r="AI71"/>
      <c r="AJ71"/>
      <c r="AK71"/>
      <c r="AL71"/>
      <c r="AM71"/>
      <c r="AN71"/>
    </row>
    <row r="72" spans="1:40" s="20" customFormat="1" ht="16.5" customHeight="1">
      <c r="A72" s="53"/>
      <c r="C72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 s="29"/>
      <c r="AG72" s="29"/>
      <c r="AH72"/>
      <c r="AI72"/>
      <c r="AJ72"/>
      <c r="AK72"/>
      <c r="AL72"/>
      <c r="AM72"/>
      <c r="AN72"/>
    </row>
    <row r="73" spans="1:40" s="20" customFormat="1" ht="16.5" customHeight="1">
      <c r="A73" s="53"/>
      <c r="C73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 s="29"/>
      <c r="AG73" s="29"/>
      <c r="AH73"/>
      <c r="AI73"/>
      <c r="AJ73"/>
      <c r="AK73"/>
      <c r="AL73"/>
      <c r="AM73"/>
      <c r="AN73"/>
    </row>
    <row r="74" spans="1:40" hidden="1">
      <c r="C74" s="13"/>
      <c r="D74" s="81">
        <v>1E-3</v>
      </c>
      <c r="E74" s="81">
        <v>1E-3</v>
      </c>
      <c r="F74" s="81">
        <v>1E-3</v>
      </c>
      <c r="G74" s="81"/>
      <c r="H74" s="81"/>
      <c r="I74" s="81"/>
      <c r="J74" s="81"/>
      <c r="K74" s="81"/>
      <c r="L74" s="81"/>
      <c r="M74" s="81"/>
      <c r="N74" s="81"/>
      <c r="O74" s="81"/>
      <c r="R74" s="19"/>
      <c r="S74" s="19">
        <v>0.01</v>
      </c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</row>
    <row r="75" spans="1:40">
      <c r="C75" s="13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</row>
  </sheetData>
  <pageMargins left="0.25" right="0.25" top="0.255" bottom="0.25" header="0.1" footer="0.1"/>
  <pageSetup scale="70" orientation="landscape" r:id="rId1"/>
  <headerFooter scaleWithDoc="0">
    <oddHeader>&amp;L&amp;G&amp;C&amp;"-,Bold"&amp;10&amp;K2E398A
&amp;15Deal Collateral Information&amp;R&amp;"-,Bold"&amp;10&amp;K2E398A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3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A10:AN69"/>
  <sheetViews>
    <sheetView showGridLines="0" zoomScale="85" zoomScaleNormal="85" workbookViewId="0">
      <selection activeCell="G6" sqref="G6"/>
    </sheetView>
  </sheetViews>
  <sheetFormatPr defaultRowHeight="15"/>
  <cols>
    <col min="1" max="1" width="9.140625" customWidth="1"/>
    <col min="3" max="3" width="19" bestFit="1" customWidth="1"/>
    <col min="4" max="4" width="15.28515625" bestFit="1" customWidth="1"/>
    <col min="5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0" spans="1:40" s="2" customFormat="1" ht="19.5" customHeight="1">
      <c r="A10" s="61"/>
      <c r="B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 s="2" customFormat="1" hidden="1">
      <c r="A11" s="61"/>
      <c r="B11"/>
      <c r="E11" s="33" t="s">
        <v>69</v>
      </c>
      <c r="F11" s="33">
        <v>0.105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0" s="30" customFormat="1" ht="16.5" customHeight="1">
      <c r="A12" s="62"/>
      <c r="B12" s="7"/>
      <c r="C12" s="54" t="s">
        <v>30</v>
      </c>
      <c r="D12" s="59" t="s">
        <v>15</v>
      </c>
      <c r="F12" s="33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7"/>
      <c r="AG12" s="7"/>
      <c r="AH12"/>
      <c r="AI12"/>
      <c r="AJ12"/>
      <c r="AK12"/>
      <c r="AL12"/>
      <c r="AM12"/>
      <c r="AN12"/>
    </row>
    <row r="13" spans="1:40" s="22" customFormat="1" ht="16.5" customHeight="1">
      <c r="A13" s="63"/>
      <c r="B13" s="20"/>
      <c r="C13" s="55" t="s">
        <v>40</v>
      </c>
      <c r="D13" s="55">
        <v>84793</v>
      </c>
      <c r="F13" s="3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 s="20"/>
      <c r="AG13" s="20"/>
      <c r="AH13"/>
      <c r="AI13"/>
      <c r="AJ13"/>
      <c r="AK13"/>
      <c r="AL13"/>
      <c r="AM13"/>
      <c r="AN13"/>
    </row>
    <row r="14" spans="1:40" s="22" customFormat="1" ht="16.5" customHeight="1">
      <c r="A14" s="63"/>
      <c r="B14" s="20"/>
      <c r="C14" s="55" t="s">
        <v>41</v>
      </c>
      <c r="D14" s="55">
        <v>18844871638</v>
      </c>
      <c r="F14" s="33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 s="20"/>
      <c r="AG14" s="20"/>
      <c r="AH14"/>
      <c r="AI14"/>
      <c r="AJ14"/>
      <c r="AK14"/>
      <c r="AL14"/>
      <c r="AM14"/>
      <c r="AN14"/>
    </row>
    <row r="15" spans="1:40" s="22" customFormat="1" ht="16.5" customHeight="1">
      <c r="A15" s="63"/>
      <c r="B15" s="20"/>
      <c r="C15" s="55" t="s">
        <v>42</v>
      </c>
      <c r="D15" s="55">
        <v>20248789000</v>
      </c>
      <c r="F15" s="33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 s="20"/>
      <c r="AG15" s="20"/>
      <c r="AH15"/>
      <c r="AI15"/>
      <c r="AJ15"/>
      <c r="AK15"/>
      <c r="AL15"/>
      <c r="AM15"/>
      <c r="AN15"/>
    </row>
    <row r="16" spans="1:40" s="22" customFormat="1" ht="16.5" customHeight="1">
      <c r="A16" s="63"/>
      <c r="B16" s="20"/>
      <c r="C16" s="55" t="s">
        <v>85</v>
      </c>
      <c r="D16" s="55">
        <v>34</v>
      </c>
      <c r="F16" s="33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 s="20"/>
      <c r="AG16" s="20"/>
      <c r="AH16"/>
      <c r="AI16"/>
      <c r="AJ16"/>
      <c r="AK16"/>
      <c r="AL16"/>
      <c r="AM16"/>
      <c r="AN16"/>
    </row>
    <row r="17" spans="1:40" s="22" customFormat="1" ht="16.5" customHeight="1">
      <c r="A17" s="63"/>
      <c r="B17" s="20"/>
      <c r="C17" s="57" t="s">
        <v>86</v>
      </c>
      <c r="D17" s="57">
        <v>3.83</v>
      </c>
      <c r="F17" s="33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20"/>
      <c r="AG17" s="20"/>
      <c r="AH17"/>
      <c r="AI17"/>
      <c r="AJ17"/>
      <c r="AK17"/>
      <c r="AL17"/>
      <c r="AM17"/>
      <c r="AN17"/>
    </row>
    <row r="18" spans="1:40" s="22" customFormat="1" ht="16.5" customHeight="1">
      <c r="A18" s="63"/>
      <c r="B18" s="20"/>
      <c r="C18" s="57" t="s">
        <v>87</v>
      </c>
      <c r="D18" s="57">
        <v>3.83</v>
      </c>
      <c r="F18" s="33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20"/>
      <c r="AG18" s="20"/>
      <c r="AH18"/>
      <c r="AI18"/>
      <c r="AJ18"/>
      <c r="AK18"/>
      <c r="AL18"/>
      <c r="AM18"/>
      <c r="AN18"/>
    </row>
    <row r="19" spans="1:40" s="22" customFormat="1" ht="16.5" customHeight="1">
      <c r="A19" s="63"/>
      <c r="B19" s="20"/>
      <c r="C19" s="58" t="s">
        <v>88</v>
      </c>
      <c r="D19" s="58">
        <v>74.8</v>
      </c>
      <c r="F19" s="33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20"/>
      <c r="AG19" s="20"/>
      <c r="AH19"/>
      <c r="AI19"/>
      <c r="AJ19"/>
      <c r="AK19"/>
      <c r="AL19"/>
      <c r="AM19"/>
      <c r="AN19"/>
    </row>
    <row r="20" spans="1:40" s="22" customFormat="1" ht="16.5" customHeight="1">
      <c r="A20" s="63"/>
      <c r="B20" s="20"/>
      <c r="C20" s="58" t="s">
        <v>89</v>
      </c>
      <c r="D20" s="58">
        <v>75.599999999999994</v>
      </c>
      <c r="F20" s="33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20"/>
      <c r="AG20" s="20"/>
      <c r="AH20"/>
      <c r="AI20"/>
      <c r="AJ20"/>
      <c r="AK20"/>
      <c r="AL20"/>
      <c r="AM20"/>
      <c r="AN20"/>
    </row>
    <row r="21" spans="1:40" s="20" customFormat="1" ht="16.5" customHeight="1">
      <c r="A21" s="64"/>
      <c r="C21" s="58" t="s">
        <v>90</v>
      </c>
      <c r="D21" s="58">
        <v>60.6</v>
      </c>
      <c r="F21" s="33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H21"/>
      <c r="AI21"/>
      <c r="AJ21"/>
      <c r="AK21"/>
      <c r="AL21"/>
      <c r="AM21"/>
      <c r="AN21"/>
    </row>
    <row r="22" spans="1:40" s="20" customFormat="1" ht="16.5" customHeight="1">
      <c r="A22" s="64"/>
      <c r="C22" s="58" t="s">
        <v>91</v>
      </c>
      <c r="D22" s="58">
        <v>32.200000000000003</v>
      </c>
      <c r="F22" s="33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H22"/>
      <c r="AI22"/>
      <c r="AJ22"/>
      <c r="AK22"/>
      <c r="AL22"/>
      <c r="AM22"/>
      <c r="AN22"/>
    </row>
    <row r="23" spans="1:40" s="20" customFormat="1" ht="16.5" customHeight="1">
      <c r="A23" s="64"/>
      <c r="C23" s="58" t="s">
        <v>92</v>
      </c>
      <c r="D23" s="58">
        <v>766.7</v>
      </c>
      <c r="F23" s="3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H23"/>
      <c r="AI23"/>
      <c r="AJ23"/>
      <c r="AK23"/>
      <c r="AL23"/>
      <c r="AM23"/>
      <c r="AN23"/>
    </row>
    <row r="24" spans="1:40" s="20" customFormat="1" ht="16.5" customHeight="1">
      <c r="A24" s="64"/>
      <c r="C24" s="55" t="s">
        <v>93</v>
      </c>
      <c r="D24" s="55">
        <v>306099</v>
      </c>
      <c r="F24" s="33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H24"/>
      <c r="AI24"/>
      <c r="AJ24"/>
      <c r="AK24"/>
      <c r="AL24"/>
      <c r="AM24"/>
      <c r="AN24"/>
    </row>
    <row r="25" spans="1:40" s="20" customFormat="1" ht="16.5" customHeight="1">
      <c r="A25" s="64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H25"/>
      <c r="AI25"/>
      <c r="AJ25"/>
      <c r="AK25"/>
      <c r="AL25"/>
      <c r="AM25"/>
      <c r="AN25"/>
    </row>
    <row r="26" spans="1:40" s="20" customFormat="1" ht="16.5" customHeight="1">
      <c r="A26" s="64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20" customFormat="1" ht="16.5" customHeight="1">
      <c r="A27" s="64"/>
      <c r="C27" s="54" t="s">
        <v>94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20" customFormat="1" ht="16.5" customHeight="1">
      <c r="A28" s="64"/>
      <c r="C28" s="56" t="s">
        <v>81</v>
      </c>
      <c r="D28" s="56">
        <v>0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20" customFormat="1" ht="16.5" customHeight="1">
      <c r="A29" s="64"/>
      <c r="C29" s="56" t="s">
        <v>83</v>
      </c>
      <c r="D29" s="56">
        <v>7.0300000000000001E-2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20" customFormat="1" ht="16.5" customHeight="1">
      <c r="A30" s="64"/>
      <c r="C30" s="56" t="s">
        <v>70</v>
      </c>
      <c r="D30" s="56">
        <v>0.63129999999999997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20" customFormat="1" ht="16.5" customHeight="1">
      <c r="A31" s="64"/>
      <c r="C31" s="56" t="s">
        <v>71</v>
      </c>
      <c r="D31" s="56">
        <v>2.3599999999999999E-2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20" customFormat="1" ht="16.5" customHeight="1">
      <c r="A32" s="64"/>
      <c r="C32" s="56" t="s">
        <v>72</v>
      </c>
      <c r="D32" s="56">
        <v>0.7157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20" customFormat="1" ht="16.5" customHeight="1">
      <c r="A33" s="64"/>
      <c r="C33" s="56" t="s">
        <v>73</v>
      </c>
      <c r="D33" s="56">
        <v>0.89400000000000002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20" customFormat="1" ht="16.5" customHeight="1">
      <c r="A34" s="64"/>
      <c r="C34" s="56" t="s">
        <v>74</v>
      </c>
      <c r="D34" s="56">
        <v>0.40079999999999999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20" customFormat="1" ht="16.5" customHeight="1">
      <c r="A35" s="64"/>
      <c r="C35" s="56" t="s">
        <v>75</v>
      </c>
      <c r="D35" s="56">
        <v>0.14069999999999999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20" customFormat="1" ht="16.5" customHeight="1">
      <c r="A36" s="64"/>
      <c r="C36" s="56" t="s">
        <v>76</v>
      </c>
      <c r="D36" s="56">
        <v>0.99739999999999995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ht="17.25" hidden="1" customHeight="1">
      <c r="A37" s="65"/>
      <c r="C37" s="56" t="s">
        <v>77</v>
      </c>
      <c r="D37" s="56">
        <v>2.5999999999999999E-3</v>
      </c>
    </row>
    <row r="38" spans="1:40" ht="17.25" customHeight="1">
      <c r="A38" s="65"/>
      <c r="C38" s="56" t="s">
        <v>78</v>
      </c>
      <c r="D38" s="56">
        <v>0.97750000000000004</v>
      </c>
    </row>
    <row r="39" spans="1:40" ht="17.25" customHeight="1">
      <c r="A39" s="65"/>
      <c r="C39" s="56" t="s">
        <v>79</v>
      </c>
      <c r="D39" s="56">
        <v>1.9900000000000001E-2</v>
      </c>
    </row>
    <row r="40" spans="1:40" ht="17.25" customHeight="1">
      <c r="A40" s="65"/>
      <c r="C40" s="56" t="s">
        <v>80</v>
      </c>
      <c r="D40" s="56">
        <v>2.3E-3</v>
      </c>
    </row>
    <row r="41" spans="1:40" ht="17.25" customHeight="1">
      <c r="A41" s="65"/>
    </row>
    <row r="42" spans="1:40" ht="17.25" hidden="1" customHeight="1">
      <c r="A42" s="65"/>
    </row>
    <row r="43" spans="1:40" s="7" customFormat="1" ht="16.5" customHeight="1">
      <c r="A43" s="66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H43"/>
      <c r="AI43"/>
      <c r="AJ43"/>
      <c r="AK43"/>
      <c r="AL43"/>
      <c r="AM43"/>
      <c r="AN43"/>
    </row>
    <row r="44" spans="1:40" s="20" customFormat="1" ht="16.5" customHeight="1">
      <c r="A44" s="6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H44"/>
      <c r="AI44"/>
      <c r="AJ44"/>
      <c r="AK44"/>
      <c r="AL44"/>
      <c r="AM44"/>
      <c r="AN44"/>
    </row>
    <row r="45" spans="1:40" s="20" customFormat="1" ht="16.5" customHeight="1">
      <c r="A45" s="64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H45"/>
      <c r="AI45"/>
      <c r="AJ45"/>
      <c r="AK45"/>
      <c r="AL45"/>
      <c r="AM45"/>
      <c r="AN45"/>
    </row>
    <row r="46" spans="1:40" s="20" customFormat="1" ht="16.5" customHeight="1">
      <c r="A46" s="64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 s="29"/>
      <c r="AG46" s="29"/>
      <c r="AH46"/>
      <c r="AI46"/>
      <c r="AJ46"/>
      <c r="AK46"/>
      <c r="AL46"/>
      <c r="AM46"/>
      <c r="AN46"/>
    </row>
    <row r="47" spans="1:40" s="20" customFormat="1" ht="16.5" customHeight="1">
      <c r="A47" s="64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 s="29"/>
      <c r="AG47" s="29"/>
      <c r="AH47"/>
      <c r="AI47"/>
      <c r="AJ47"/>
      <c r="AK47"/>
      <c r="AL47"/>
      <c r="AM47"/>
      <c r="AN47"/>
    </row>
    <row r="48" spans="1:40" s="20" customFormat="1" ht="16.5" customHeight="1">
      <c r="A48" s="64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 s="29"/>
      <c r="AG48" s="29"/>
      <c r="AH48"/>
      <c r="AI48"/>
      <c r="AJ48"/>
      <c r="AK48"/>
      <c r="AL48"/>
      <c r="AM48"/>
      <c r="AN48"/>
    </row>
    <row r="49" spans="1:40" s="20" customFormat="1" ht="16.5" customHeight="1">
      <c r="A49" s="64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 s="29"/>
      <c r="AG49" s="29"/>
      <c r="AH49"/>
      <c r="AI49"/>
      <c r="AJ49"/>
      <c r="AK49"/>
      <c r="AL49"/>
      <c r="AM49"/>
      <c r="AN49"/>
    </row>
    <row r="50" spans="1:40" s="20" customFormat="1" ht="16.5" customHeight="1">
      <c r="A50" s="64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 s="29"/>
      <c r="AG50" s="29"/>
      <c r="AH50"/>
      <c r="AI50"/>
      <c r="AJ50"/>
      <c r="AK50"/>
      <c r="AL50"/>
      <c r="AM50"/>
      <c r="AN50"/>
    </row>
    <row r="51" spans="1:40" s="20" customFormat="1" ht="16.5" customHeight="1">
      <c r="A51" s="64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 s="29"/>
      <c r="AG51" s="29"/>
      <c r="AH51"/>
      <c r="AI51"/>
      <c r="AJ51"/>
      <c r="AK51"/>
      <c r="AL51"/>
      <c r="AM51"/>
      <c r="AN51"/>
    </row>
    <row r="52" spans="1:40" s="20" customFormat="1" ht="16.5" customHeight="1">
      <c r="A52" s="64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29"/>
      <c r="AG52" s="29"/>
      <c r="AH52"/>
      <c r="AI52"/>
      <c r="AJ52"/>
      <c r="AK52"/>
      <c r="AL52"/>
      <c r="AM52"/>
      <c r="AN52"/>
    </row>
    <row r="53" spans="1:40" s="20" customFormat="1" ht="16.5" customHeight="1">
      <c r="A53" s="64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29"/>
      <c r="AG53" s="29"/>
      <c r="AH53"/>
      <c r="AI53"/>
      <c r="AJ53"/>
      <c r="AK53"/>
      <c r="AL53"/>
      <c r="AM53"/>
      <c r="AN53"/>
    </row>
    <row r="54" spans="1:40" s="20" customFormat="1" ht="16.5" customHeight="1">
      <c r="A54" s="6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29"/>
      <c r="AG54" s="29"/>
      <c r="AH54"/>
      <c r="AI54"/>
      <c r="AJ54"/>
      <c r="AK54"/>
      <c r="AL54"/>
      <c r="AM54"/>
      <c r="AN54"/>
    </row>
    <row r="55" spans="1:40" s="20" customFormat="1" ht="16.5" customHeight="1">
      <c r="A55" s="64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29"/>
      <c r="AG55" s="29"/>
      <c r="AH55"/>
      <c r="AI55"/>
      <c r="AJ55"/>
      <c r="AK55"/>
      <c r="AL55"/>
      <c r="AM55"/>
      <c r="AN55"/>
    </row>
    <row r="56" spans="1:40" s="20" customFormat="1" ht="16.5" customHeight="1">
      <c r="A56" s="64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29"/>
      <c r="AG56" s="29"/>
      <c r="AH56"/>
      <c r="AI56"/>
      <c r="AJ56"/>
      <c r="AK56"/>
      <c r="AL56"/>
      <c r="AM56"/>
      <c r="AN56"/>
    </row>
    <row r="57" spans="1:40" s="20" customFormat="1" ht="16.5" customHeight="1">
      <c r="A57" s="64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29"/>
      <c r="AG57" s="29"/>
      <c r="AH57"/>
      <c r="AI57"/>
      <c r="AJ57"/>
      <c r="AK57"/>
      <c r="AL57"/>
      <c r="AM57"/>
      <c r="AN57"/>
    </row>
    <row r="58" spans="1:40" s="20" customFormat="1" ht="16.5" customHeight="1">
      <c r="A58" s="64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29"/>
      <c r="AG58" s="29"/>
      <c r="AH58"/>
      <c r="AI58"/>
      <c r="AJ58"/>
      <c r="AK58"/>
      <c r="AL58"/>
      <c r="AM58"/>
      <c r="AN58"/>
    </row>
    <row r="59" spans="1:40" s="20" customFormat="1" ht="16.5" customHeight="1">
      <c r="A59" s="64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29"/>
      <c r="AG59" s="29"/>
      <c r="AH59"/>
      <c r="AI59"/>
      <c r="AJ59"/>
      <c r="AK59"/>
      <c r="AL59"/>
      <c r="AM59"/>
      <c r="AN59"/>
    </row>
    <row r="60" spans="1:40" s="20" customFormat="1" ht="16.5" customHeight="1">
      <c r="A60" s="64"/>
      <c r="C60"/>
      <c r="D60"/>
      <c r="E60"/>
      <c r="F60"/>
      <c r="G60" s="60" t="s">
        <v>97</v>
      </c>
      <c r="H60" t="s">
        <v>111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29"/>
      <c r="AG60" s="29"/>
      <c r="AH60"/>
      <c r="AI60"/>
      <c r="AJ60"/>
      <c r="AK60"/>
      <c r="AL60"/>
      <c r="AM60"/>
      <c r="AN60"/>
    </row>
    <row r="61" spans="1:40" s="20" customFormat="1" ht="16.5" customHeight="1">
      <c r="A61" s="64"/>
      <c r="C61"/>
      <c r="D61"/>
      <c r="E61"/>
      <c r="F61"/>
      <c r="G61"/>
      <c r="H61" t="s">
        <v>112</v>
      </c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29"/>
      <c r="AG61" s="29"/>
      <c r="AH61"/>
      <c r="AI61"/>
      <c r="AJ61"/>
      <c r="AK61"/>
      <c r="AL61"/>
      <c r="AM61"/>
      <c r="AN61"/>
    </row>
    <row r="62" spans="1:40" s="20" customFormat="1" ht="16.5" customHeight="1">
      <c r="A62" s="64"/>
      <c r="C62"/>
      <c r="D62"/>
      <c r="E62"/>
      <c r="F62"/>
      <c r="G62"/>
      <c r="H62" t="s">
        <v>113</v>
      </c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29"/>
      <c r="AG62" s="29"/>
      <c r="AH62"/>
      <c r="AI62"/>
      <c r="AJ62"/>
      <c r="AK62"/>
      <c r="AL62"/>
      <c r="AM62"/>
      <c r="AN62"/>
    </row>
    <row r="63" spans="1:40" s="20" customFormat="1" ht="16.5" customHeight="1">
      <c r="A63" s="64"/>
      <c r="C63"/>
      <c r="D63"/>
      <c r="E63"/>
      <c r="F63"/>
      <c r="G63"/>
      <c r="H63" t="s">
        <v>98</v>
      </c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29"/>
      <c r="AG63" s="29"/>
      <c r="AH63"/>
      <c r="AI63"/>
      <c r="AJ63"/>
      <c r="AK63"/>
      <c r="AL63"/>
      <c r="AM63"/>
      <c r="AN63"/>
    </row>
    <row r="64" spans="1:40" s="20" customFormat="1" ht="16.5" customHeight="1">
      <c r="A64" s="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29"/>
      <c r="AG64" s="29"/>
      <c r="AH64"/>
      <c r="AI64"/>
      <c r="AJ64"/>
      <c r="AK64"/>
      <c r="AL64"/>
      <c r="AM64"/>
      <c r="AN64"/>
    </row>
    <row r="65" spans="1:40" s="20" customFormat="1" ht="16.5" customHeight="1">
      <c r="A65" s="53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29"/>
      <c r="AG65" s="29"/>
      <c r="AH65"/>
      <c r="AI65"/>
      <c r="AJ65"/>
      <c r="AK65"/>
      <c r="AL65"/>
      <c r="AM65"/>
      <c r="AN65"/>
    </row>
    <row r="66" spans="1:40" s="20" customFormat="1" ht="16.5" customHeight="1">
      <c r="A66" s="53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29"/>
      <c r="AG66" s="29"/>
      <c r="AH66"/>
      <c r="AI66"/>
      <c r="AJ66"/>
      <c r="AK66"/>
      <c r="AL66"/>
      <c r="AM66"/>
      <c r="AN66"/>
    </row>
    <row r="67" spans="1:40" s="20" customFormat="1" ht="16.5" customHeight="1">
      <c r="A67" s="53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29"/>
      <c r="AG67" s="29"/>
      <c r="AH67"/>
      <c r="AI67"/>
      <c r="AJ67"/>
      <c r="AK67"/>
      <c r="AL67"/>
      <c r="AM67"/>
      <c r="AN67"/>
    </row>
    <row r="68" spans="1:40" hidden="1">
      <c r="C68" s="13"/>
      <c r="D68" s="18">
        <v>1E-3</v>
      </c>
      <c r="E68" s="18">
        <v>1E-3</v>
      </c>
      <c r="F68" s="18">
        <v>1E-3</v>
      </c>
      <c r="G68" s="18">
        <v>1E-3</v>
      </c>
      <c r="H68" s="18">
        <v>1E-3</v>
      </c>
      <c r="I68" s="18">
        <v>1E-3</v>
      </c>
      <c r="J68" s="18">
        <v>1E-3</v>
      </c>
      <c r="K68" s="18">
        <v>1E-3</v>
      </c>
      <c r="L68" s="18">
        <v>1E-3</v>
      </c>
      <c r="M68" s="18">
        <v>1E-3</v>
      </c>
      <c r="N68" s="18">
        <v>1E-3</v>
      </c>
      <c r="O68" s="18">
        <v>1E-3</v>
      </c>
      <c r="P68" s="10"/>
      <c r="Q68" s="10"/>
      <c r="R68" s="19"/>
      <c r="S68" s="19">
        <v>0.01</v>
      </c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</row>
    <row r="69" spans="1:40">
      <c r="C69" s="13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0"/>
      <c r="Q69" s="10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</row>
  </sheetData>
  <conditionalFormatting sqref="D68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{734BC738-BC10-4C9A-AA88-7F5CACED988D}</x14:id>
        </ext>
      </extLst>
    </cfRule>
  </conditionalFormatting>
  <conditionalFormatting sqref="S68">
    <cfRule type="dataBar" priority="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{819D9F46-0717-4059-B807-672E537D6C27}</x14:id>
        </ext>
      </extLst>
    </cfRule>
  </conditionalFormatting>
  <conditionalFormatting sqref="T68:AG68 AF46:AG67">
    <cfRule type="dataBar" priority="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{E810D74F-A89B-4948-AB85-99164C39B438}</x14:id>
        </ext>
      </extLst>
    </cfRule>
  </conditionalFormatting>
  <conditionalFormatting sqref="E68:O68">
    <cfRule type="dataBar" priority="1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{A2B978D8-1B53-4899-B056-49F844EA62E0}</x14:id>
        </ext>
      </extLst>
    </cfRule>
  </conditionalFormatting>
  <pageMargins left="0.25" right="0.25" top="0.255" bottom="0.25" header="0.1" footer="0.1"/>
  <pageSetup scale="55" orientation="landscape" r:id="rId1"/>
  <headerFooter scaleWithDoc="0">
    <oddHeader>&amp;L&amp;G&amp;C&amp;"-,Bold"&amp;10&amp;K2E398A
&amp;15Deal Detail - FHL13DN01&amp;R&amp;"-,Bold"&amp;10&amp;K2E398A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3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4BC738-BC10-4C9A-AA88-7F5CACED98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D68</xm:sqref>
        </x14:conditionalFormatting>
        <x14:conditionalFormatting xmlns:xm="http://schemas.microsoft.com/office/excel/2006/main">
          <x14:cfRule type="dataBar" id="{819D9F46-0717-4059-B807-672E537D6C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S68</xm:sqref>
        </x14:conditionalFormatting>
        <x14:conditionalFormatting xmlns:xm="http://schemas.microsoft.com/office/excel/2006/main">
          <x14:cfRule type="dataBar" id="{E810D74F-A89B-4948-AB85-99164C39B4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T68:AG68 AF46:AG67</xm:sqref>
        </x14:conditionalFormatting>
        <x14:conditionalFormatting xmlns:xm="http://schemas.microsoft.com/office/excel/2006/main">
          <x14:cfRule type="dataBar" id="{A2B978D8-1B53-4899-B056-49F844EA6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E68:O68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7"/>
  <sheetViews>
    <sheetView tabSelected="1" topLeftCell="A13" workbookViewId="0">
      <selection activeCell="H41" sqref="H41"/>
    </sheetView>
  </sheetViews>
  <sheetFormatPr defaultRowHeight="15"/>
  <cols>
    <col min="1" max="1" width="11.140625" bestFit="1" customWidth="1"/>
  </cols>
  <sheetData>
    <row r="1" spans="1:7">
      <c r="A1" t="s">
        <v>30</v>
      </c>
      <c r="B1" t="s">
        <v>31</v>
      </c>
      <c r="C1" s="31" t="s">
        <v>32</v>
      </c>
      <c r="D1" s="31" t="s">
        <v>33</v>
      </c>
      <c r="E1" s="32" t="s">
        <v>34</v>
      </c>
      <c r="F1" s="33" t="s">
        <v>35</v>
      </c>
      <c r="G1" s="33" t="s">
        <v>36</v>
      </c>
    </row>
    <row r="2" spans="1:7">
      <c r="A2" t="s">
        <v>15</v>
      </c>
      <c r="B2" s="34">
        <v>41426</v>
      </c>
      <c r="C2" s="35">
        <v>7.1894999999999998</v>
      </c>
      <c r="D2" s="35">
        <v>0</v>
      </c>
      <c r="E2" s="36">
        <v>0</v>
      </c>
      <c r="F2" s="36">
        <v>0.69</v>
      </c>
      <c r="G2" s="36">
        <v>0</v>
      </c>
    </row>
    <row r="3" spans="1:7">
      <c r="A3" t="s">
        <v>15</v>
      </c>
      <c r="B3" s="34">
        <v>41456</v>
      </c>
      <c r="C3" s="35">
        <v>5.2968000000000002</v>
      </c>
      <c r="D3" s="35">
        <v>0</v>
      </c>
      <c r="E3" s="36">
        <v>0.12667221826199199</v>
      </c>
      <c r="F3" s="36">
        <v>1.1900000000000002</v>
      </c>
      <c r="G3" s="36">
        <v>0</v>
      </c>
    </row>
    <row r="4" spans="1:7">
      <c r="A4" t="s">
        <v>15</v>
      </c>
      <c r="B4" s="34">
        <v>41487</v>
      </c>
      <c r="C4" s="35">
        <v>3.7195999999999998</v>
      </c>
      <c r="D4" s="35">
        <v>0</v>
      </c>
      <c r="E4" s="36">
        <v>0.10356345223757799</v>
      </c>
      <c r="F4" s="36">
        <v>1.53</v>
      </c>
      <c r="G4" s="36">
        <v>0</v>
      </c>
    </row>
    <row r="5" spans="1:7">
      <c r="A5" t="s">
        <v>15</v>
      </c>
      <c r="B5" s="34">
        <v>41518</v>
      </c>
      <c r="C5" s="35">
        <v>3.9026999999999998</v>
      </c>
      <c r="D5" s="35">
        <v>0</v>
      </c>
      <c r="E5" s="36">
        <v>0.137402924202362</v>
      </c>
      <c r="F5" s="36">
        <v>1.9</v>
      </c>
      <c r="G5" s="36">
        <v>0</v>
      </c>
    </row>
    <row r="6" spans="1:7">
      <c r="A6" t="s">
        <v>15</v>
      </c>
      <c r="B6" s="34">
        <v>41548</v>
      </c>
      <c r="C6" s="35">
        <v>3.5990000000000002</v>
      </c>
      <c r="D6" s="35">
        <v>0</v>
      </c>
      <c r="E6" s="36">
        <v>0.15484221430720702</v>
      </c>
      <c r="F6" s="36">
        <v>2.23</v>
      </c>
      <c r="G6" s="36">
        <v>0</v>
      </c>
    </row>
    <row r="7" spans="1:7">
      <c r="A7" t="s">
        <v>15</v>
      </c>
      <c r="B7" s="34">
        <v>41579</v>
      </c>
      <c r="C7" s="35">
        <v>3.7277999999999998</v>
      </c>
      <c r="D7" s="35">
        <v>5.4000000000000003E-3</v>
      </c>
      <c r="E7" s="36">
        <v>0.15094332223427401</v>
      </c>
      <c r="F7" s="36">
        <v>2.5700000000000003</v>
      </c>
      <c r="G7" s="36">
        <v>0</v>
      </c>
    </row>
    <row r="8" spans="1:7">
      <c r="A8" t="s">
        <v>15</v>
      </c>
      <c r="B8" s="34">
        <v>41609</v>
      </c>
      <c r="C8" s="35">
        <v>3.1396999999999999</v>
      </c>
      <c r="D8" s="35">
        <v>1.66E-2</v>
      </c>
      <c r="E8" s="36">
        <v>0.21700490437786399</v>
      </c>
      <c r="F8" s="36">
        <v>2.85</v>
      </c>
      <c r="G8" s="36">
        <v>0</v>
      </c>
    </row>
    <row r="9" spans="1:7">
      <c r="A9" t="s">
        <v>15</v>
      </c>
      <c r="B9" s="34">
        <v>41640</v>
      </c>
      <c r="C9" s="35">
        <v>2.976</v>
      </c>
      <c r="D9" s="35">
        <v>0.03</v>
      </c>
      <c r="E9" s="36">
        <v>0.21894667321964001</v>
      </c>
      <c r="F9" s="36">
        <v>3.1199999999999997</v>
      </c>
      <c r="G9" s="36">
        <v>0</v>
      </c>
    </row>
    <row r="10" spans="1:7">
      <c r="A10" t="s">
        <v>15</v>
      </c>
      <c r="B10" s="34">
        <v>41671</v>
      </c>
      <c r="C10" s="35">
        <v>3.8313999999999999</v>
      </c>
      <c r="D10" s="35">
        <v>1.9E-2</v>
      </c>
      <c r="E10" s="36">
        <v>0.23021683029496001</v>
      </c>
      <c r="F10" s="36">
        <v>3.47</v>
      </c>
      <c r="G10" s="36">
        <v>0</v>
      </c>
    </row>
    <row r="11" spans="1:7">
      <c r="A11" t="s">
        <v>15</v>
      </c>
      <c r="B11" s="34">
        <v>41699</v>
      </c>
      <c r="C11" s="35">
        <v>3.9773000000000001</v>
      </c>
      <c r="D11" s="35">
        <v>8.3900000000000002E-2</v>
      </c>
      <c r="E11" s="36">
        <v>0.28763854780915599</v>
      </c>
      <c r="F11" s="36">
        <v>3.83</v>
      </c>
      <c r="G11" s="36">
        <v>0.01</v>
      </c>
    </row>
    <row r="12" spans="1:7">
      <c r="A12" t="s">
        <v>15</v>
      </c>
      <c r="B12" s="34">
        <v>41730</v>
      </c>
      <c r="C12" s="35">
        <v>5.8136999999999999</v>
      </c>
      <c r="D12" s="35">
        <v>5.5599999999999997E-2</v>
      </c>
      <c r="E12" s="36">
        <v>0.17641106928362399</v>
      </c>
      <c r="F12" s="36">
        <v>4.3499999999999996</v>
      </c>
      <c r="G12" s="36">
        <v>0.01</v>
      </c>
    </row>
    <row r="13" spans="1:7">
      <c r="A13" t="s">
        <v>15</v>
      </c>
      <c r="B13" s="34">
        <v>41760</v>
      </c>
      <c r="C13" s="35">
        <v>7.3971999999999998</v>
      </c>
      <c r="D13" s="35">
        <v>5.04E-2</v>
      </c>
      <c r="E13" s="36">
        <v>0.17421491729425201</v>
      </c>
      <c r="F13" s="36">
        <v>5.0200000000000005</v>
      </c>
      <c r="G13" s="36">
        <v>0.02</v>
      </c>
    </row>
    <row r="14" spans="1:7">
      <c r="A14" t="s">
        <v>15</v>
      </c>
      <c r="B14" s="34">
        <v>41791</v>
      </c>
      <c r="C14" s="35">
        <v>6.9165999999999999</v>
      </c>
      <c r="D14" s="35">
        <v>3.8899999999999997E-2</v>
      </c>
      <c r="E14" s="36">
        <v>0.18080148243312499</v>
      </c>
      <c r="F14" s="36">
        <v>5.64</v>
      </c>
      <c r="G14" s="36">
        <v>0.02</v>
      </c>
    </row>
    <row r="15" spans="1:7">
      <c r="A15" t="s">
        <v>15</v>
      </c>
      <c r="B15" s="34">
        <v>41821</v>
      </c>
      <c r="C15" s="35">
        <v>6.4720000000000004</v>
      </c>
      <c r="D15" s="35">
        <v>3.9800000000000002E-2</v>
      </c>
      <c r="E15" s="36">
        <v>0.22194793062559801</v>
      </c>
      <c r="F15" s="36">
        <v>6.21</v>
      </c>
      <c r="G15" s="36">
        <v>0.02</v>
      </c>
    </row>
    <row r="16" spans="1:7">
      <c r="A16" t="s">
        <v>15</v>
      </c>
      <c r="B16" s="34">
        <v>41852</v>
      </c>
      <c r="C16" s="35">
        <v>5.0166000000000004</v>
      </c>
      <c r="D16" s="35">
        <v>3.09E-2</v>
      </c>
      <c r="E16" s="36">
        <v>0.21691470665304502</v>
      </c>
      <c r="F16" s="36">
        <v>6.65</v>
      </c>
      <c r="G16" s="36">
        <v>0.03</v>
      </c>
    </row>
    <row r="17" spans="1:7">
      <c r="A17" t="s">
        <v>15</v>
      </c>
      <c r="B17" s="34">
        <v>41883</v>
      </c>
      <c r="C17" s="35">
        <v>6.4724000000000004</v>
      </c>
      <c r="D17" s="35">
        <v>5.0900000000000001E-2</v>
      </c>
      <c r="E17" s="36">
        <v>0.25668689206130602</v>
      </c>
      <c r="F17" s="36">
        <v>7.21</v>
      </c>
      <c r="G17" s="36">
        <v>0.03</v>
      </c>
    </row>
    <row r="18" spans="1:7">
      <c r="A18" t="s">
        <v>15</v>
      </c>
      <c r="B18" s="34">
        <v>41913</v>
      </c>
      <c r="C18" s="35">
        <v>5.2816000000000001</v>
      </c>
      <c r="D18" s="35">
        <v>5.8500000000000003E-2</v>
      </c>
      <c r="E18" s="36">
        <v>0.24419934930955201</v>
      </c>
      <c r="F18" s="36">
        <v>7.66</v>
      </c>
      <c r="G18" s="36">
        <v>0.04</v>
      </c>
    </row>
    <row r="19" spans="1:7">
      <c r="A19" t="s">
        <v>15</v>
      </c>
      <c r="B19" s="34">
        <v>41944</v>
      </c>
      <c r="C19" s="35">
        <v>6.0025000000000004</v>
      </c>
      <c r="D19" s="35">
        <v>2.3800000000000002E-2</v>
      </c>
      <c r="E19" s="36">
        <v>0.226047138543922</v>
      </c>
      <c r="F19" s="36">
        <v>8.18</v>
      </c>
      <c r="G19" s="36">
        <v>0.04</v>
      </c>
    </row>
    <row r="20" spans="1:7">
      <c r="A20" t="s">
        <v>15</v>
      </c>
      <c r="B20" s="34">
        <v>41974</v>
      </c>
      <c r="C20" s="35">
        <v>5.2076000000000002</v>
      </c>
      <c r="D20" s="35">
        <v>9.3100000000000002E-2</v>
      </c>
      <c r="E20" s="36">
        <v>0.319782975405623</v>
      </c>
      <c r="F20" s="36">
        <v>8.6199999999999992</v>
      </c>
      <c r="G20" s="36">
        <v>0.05</v>
      </c>
    </row>
    <row r="21" spans="1:7">
      <c r="A21" t="s">
        <v>15</v>
      </c>
      <c r="B21" s="34">
        <v>42005</v>
      </c>
      <c r="C21" s="35">
        <v>7.9896000000000003</v>
      </c>
      <c r="D21" s="35">
        <v>3.1E-2</v>
      </c>
      <c r="E21" s="36">
        <v>0.25090365666056302</v>
      </c>
      <c r="F21" s="36">
        <v>9.3000000000000007</v>
      </c>
      <c r="G21" s="36">
        <v>0.05</v>
      </c>
    </row>
    <row r="22" spans="1:7">
      <c r="A22" t="s">
        <v>15</v>
      </c>
      <c r="B22" s="34">
        <v>42036</v>
      </c>
      <c r="C22" s="35">
        <v>11.042299999999999</v>
      </c>
      <c r="D22" s="35">
        <v>5.7599999999999998E-2</v>
      </c>
      <c r="E22" s="36">
        <v>0.25015041079039801</v>
      </c>
      <c r="F22" s="36">
        <v>10.24</v>
      </c>
      <c r="G22" s="36">
        <v>0.05</v>
      </c>
    </row>
    <row r="23" spans="1:7">
      <c r="A23" t="s">
        <v>15</v>
      </c>
      <c r="B23" s="34">
        <v>42064</v>
      </c>
      <c r="C23" s="35">
        <v>9.9810999999999996</v>
      </c>
      <c r="D23" s="35">
        <v>7.2300000000000003E-2</v>
      </c>
      <c r="E23" s="36">
        <v>0.30000390932597404</v>
      </c>
      <c r="F23" s="36">
        <v>11.09</v>
      </c>
      <c r="G23" s="36">
        <v>0.06</v>
      </c>
    </row>
    <row r="24" spans="1:7">
      <c r="A24" t="s">
        <v>15</v>
      </c>
      <c r="B24" s="34">
        <v>42095</v>
      </c>
      <c r="C24" s="35">
        <v>9.9797999999999991</v>
      </c>
      <c r="D24" s="35">
        <v>5.2200000000000003E-2</v>
      </c>
      <c r="E24" s="36">
        <v>0.221292653406198</v>
      </c>
      <c r="F24" s="36">
        <v>11.92</v>
      </c>
      <c r="G24" s="36">
        <v>0.06</v>
      </c>
    </row>
    <row r="25" spans="1:7">
      <c r="A25" t="s">
        <v>15</v>
      </c>
      <c r="B25" s="34">
        <v>42125</v>
      </c>
      <c r="C25" s="35">
        <v>11.419499999999999</v>
      </c>
      <c r="D25" s="35">
        <v>0.12759999999999999</v>
      </c>
      <c r="E25" s="36">
        <v>0.22937126205111899</v>
      </c>
      <c r="F25" s="36">
        <v>12.86</v>
      </c>
      <c r="G25" s="36">
        <v>6.9999999999999993E-2</v>
      </c>
    </row>
    <row r="26" spans="1:7">
      <c r="A26" t="s">
        <v>15</v>
      </c>
      <c r="B26" s="34">
        <v>42156</v>
      </c>
      <c r="C26" s="35">
        <v>0</v>
      </c>
      <c r="D26" s="35">
        <v>0</v>
      </c>
      <c r="E26" s="36">
        <v>0.26052343270604</v>
      </c>
      <c r="F26" s="37">
        <v>12.86</v>
      </c>
      <c r="G26" s="37">
        <v>6.9999999999999993E-2</v>
      </c>
    </row>
    <row r="27" spans="1:7">
      <c r="A27" t="s">
        <v>16</v>
      </c>
      <c r="B27" s="34">
        <v>41579</v>
      </c>
      <c r="C27" s="35">
        <v>8.3688000000000002</v>
      </c>
      <c r="D27" s="35">
        <v>0</v>
      </c>
      <c r="E27" s="36">
        <v>0.111349989822876</v>
      </c>
      <c r="F27" s="36">
        <v>0.77</v>
      </c>
      <c r="G27" s="36">
        <v>0</v>
      </c>
    </row>
    <row r="28" spans="1:7">
      <c r="A28" t="s">
        <v>16</v>
      </c>
      <c r="B28" s="34">
        <v>41609</v>
      </c>
      <c r="C28" s="35">
        <v>2.5486</v>
      </c>
      <c r="D28" s="35">
        <v>0</v>
      </c>
      <c r="E28" s="36">
        <v>0.17538831299275401</v>
      </c>
      <c r="F28" s="36">
        <v>1</v>
      </c>
      <c r="G28" s="36">
        <v>0</v>
      </c>
    </row>
    <row r="29" spans="1:7">
      <c r="A29" t="s">
        <v>16</v>
      </c>
      <c r="B29" s="34">
        <v>41640</v>
      </c>
      <c r="C29" s="35">
        <v>2.6267</v>
      </c>
      <c r="D29" s="35">
        <v>0</v>
      </c>
      <c r="E29" s="36">
        <v>0.18421270287605002</v>
      </c>
      <c r="F29" s="36">
        <v>1.24</v>
      </c>
      <c r="G29" s="36">
        <v>0</v>
      </c>
    </row>
    <row r="30" spans="1:7">
      <c r="A30" t="s">
        <v>16</v>
      </c>
      <c r="B30" s="34">
        <v>41671</v>
      </c>
      <c r="C30" s="35">
        <v>3.6274999999999999</v>
      </c>
      <c r="D30" s="35">
        <v>8.9999999999999993E-3</v>
      </c>
      <c r="E30" s="36">
        <v>0.17825470643351798</v>
      </c>
      <c r="F30" s="36">
        <v>1.5599999999999998</v>
      </c>
      <c r="G30" s="36">
        <v>0</v>
      </c>
    </row>
    <row r="31" spans="1:7">
      <c r="A31" t="s">
        <v>16</v>
      </c>
      <c r="B31" s="34">
        <v>41699</v>
      </c>
      <c r="C31" s="35">
        <v>3.9352999999999998</v>
      </c>
      <c r="D31" s="35">
        <v>3.9E-2</v>
      </c>
      <c r="E31" s="36">
        <v>0.24791712180865</v>
      </c>
      <c r="F31" s="36">
        <v>1.91</v>
      </c>
      <c r="G31" s="36">
        <v>0</v>
      </c>
    </row>
    <row r="32" spans="1:7">
      <c r="A32" t="s">
        <v>16</v>
      </c>
      <c r="B32" s="34">
        <v>41730</v>
      </c>
      <c r="C32" s="35">
        <v>5.2506000000000004</v>
      </c>
      <c r="D32" s="35">
        <v>1.7299999999999999E-2</v>
      </c>
      <c r="E32" s="36">
        <v>0.20046795170412401</v>
      </c>
      <c r="F32" s="36">
        <v>2.3800000000000003</v>
      </c>
      <c r="G32" s="36">
        <v>0</v>
      </c>
    </row>
    <row r="33" spans="1:7">
      <c r="A33" t="s">
        <v>16</v>
      </c>
      <c r="B33" s="34">
        <v>41760</v>
      </c>
      <c r="C33" s="35">
        <v>5.7789000000000001</v>
      </c>
      <c r="D33" s="35">
        <v>2.12E-2</v>
      </c>
      <c r="E33" s="36">
        <v>0.206107820186025</v>
      </c>
      <c r="F33" s="36">
        <v>2.9000000000000004</v>
      </c>
      <c r="G33" s="36">
        <v>0</v>
      </c>
    </row>
    <row r="34" spans="1:7">
      <c r="A34" t="s">
        <v>16</v>
      </c>
      <c r="B34" s="34">
        <v>41791</v>
      </c>
      <c r="C34" s="35">
        <v>5.8940999999999999</v>
      </c>
      <c r="D34" s="35">
        <v>2.7699999999999999E-2</v>
      </c>
      <c r="E34" s="36">
        <v>0.19825996525561401</v>
      </c>
      <c r="F34" s="36">
        <v>3.42</v>
      </c>
      <c r="G34" s="36">
        <v>0</v>
      </c>
    </row>
    <row r="35" spans="1:7">
      <c r="A35" t="s">
        <v>16</v>
      </c>
      <c r="B35" s="34">
        <v>41821</v>
      </c>
      <c r="C35" s="35">
        <v>5.4923000000000002</v>
      </c>
      <c r="D35" s="35">
        <v>2.58E-2</v>
      </c>
      <c r="E35" s="36">
        <v>0.22383653709816698</v>
      </c>
      <c r="F35" s="36">
        <v>3.9</v>
      </c>
      <c r="G35" s="36">
        <v>0.01</v>
      </c>
    </row>
    <row r="36" spans="1:7">
      <c r="A36" t="s">
        <v>16</v>
      </c>
      <c r="B36" s="34">
        <v>41852</v>
      </c>
      <c r="C36" s="35">
        <v>4.6874000000000002</v>
      </c>
      <c r="D36" s="35">
        <v>2.06E-2</v>
      </c>
      <c r="E36" s="36">
        <v>0.221458099902341</v>
      </c>
      <c r="F36" s="36">
        <v>4.3</v>
      </c>
      <c r="G36" s="36">
        <v>0.01</v>
      </c>
    </row>
    <row r="37" spans="1:7">
      <c r="A37" t="s">
        <v>16</v>
      </c>
      <c r="B37" s="34">
        <v>41883</v>
      </c>
      <c r="C37" s="35">
        <v>5.3079999999999998</v>
      </c>
      <c r="D37" s="35">
        <v>5.4300000000000001E-2</v>
      </c>
      <c r="E37" s="36">
        <v>0.25701887094479298</v>
      </c>
      <c r="F37" s="36">
        <v>4.7600000000000007</v>
      </c>
      <c r="G37" s="36">
        <v>0.01</v>
      </c>
    </row>
    <row r="38" spans="1:7">
      <c r="A38" t="s">
        <v>16</v>
      </c>
      <c r="B38" s="34">
        <v>41913</v>
      </c>
      <c r="C38" s="35">
        <v>4.5232999999999999</v>
      </c>
      <c r="D38" s="35">
        <v>5.67E-2</v>
      </c>
      <c r="E38" s="36">
        <v>0.25146402216979902</v>
      </c>
      <c r="F38" s="36">
        <v>5.1499999999999995</v>
      </c>
      <c r="G38" s="36">
        <v>0.02</v>
      </c>
    </row>
    <row r="39" spans="1:7">
      <c r="A39" t="s">
        <v>16</v>
      </c>
      <c r="B39" s="34">
        <v>41944</v>
      </c>
      <c r="C39" s="35">
        <v>5.1199000000000003</v>
      </c>
      <c r="D39" s="35">
        <v>4.8800000000000003E-2</v>
      </c>
      <c r="E39" s="36">
        <v>0.21534383388060199</v>
      </c>
      <c r="F39" s="36">
        <v>5.58</v>
      </c>
      <c r="G39" s="36">
        <v>0.02</v>
      </c>
    </row>
    <row r="40" spans="1:7">
      <c r="A40" t="s">
        <v>16</v>
      </c>
      <c r="B40" s="34">
        <v>41974</v>
      </c>
      <c r="C40" s="35">
        <v>3.7650000000000001</v>
      </c>
      <c r="D40" s="35">
        <v>2.7799999999999998E-2</v>
      </c>
      <c r="E40" s="36">
        <v>0.313722601890914</v>
      </c>
      <c r="F40" s="36">
        <v>5.8999999999999995</v>
      </c>
      <c r="G40" s="36">
        <v>0.02</v>
      </c>
    </row>
    <row r="41" spans="1:7">
      <c r="A41" t="s">
        <v>16</v>
      </c>
      <c r="B41" s="34">
        <v>42005</v>
      </c>
      <c r="C41" s="35">
        <v>4.7008000000000001</v>
      </c>
      <c r="D41" s="35">
        <v>8.4000000000000005E-2</v>
      </c>
      <c r="E41" s="36">
        <v>0.25071003222516702</v>
      </c>
      <c r="F41" s="36">
        <v>6.29</v>
      </c>
      <c r="G41" s="36">
        <v>0.03</v>
      </c>
    </row>
    <row r="42" spans="1:7">
      <c r="A42" t="s">
        <v>16</v>
      </c>
      <c r="B42" s="34">
        <v>42036</v>
      </c>
      <c r="C42" s="35">
        <v>7.3334999999999999</v>
      </c>
      <c r="D42" s="35">
        <v>4.3700000000000003E-2</v>
      </c>
      <c r="E42" s="36">
        <v>0.26006103189278601</v>
      </c>
      <c r="F42" s="36">
        <v>6.9099999999999993</v>
      </c>
      <c r="G42" s="36">
        <v>0.04</v>
      </c>
    </row>
    <row r="43" spans="1:7">
      <c r="A43" t="s">
        <v>16</v>
      </c>
      <c r="B43" s="34">
        <v>42064</v>
      </c>
      <c r="C43" s="35">
        <v>7.4539999999999997</v>
      </c>
      <c r="D43" s="35">
        <v>6.3100000000000003E-2</v>
      </c>
      <c r="E43" s="36">
        <v>0.30653763936751099</v>
      </c>
      <c r="F43" s="36">
        <v>7.53</v>
      </c>
      <c r="G43" s="36">
        <v>0.04</v>
      </c>
    </row>
    <row r="44" spans="1:7">
      <c r="A44" t="s">
        <v>16</v>
      </c>
      <c r="B44" s="34">
        <v>42095</v>
      </c>
      <c r="C44" s="35">
        <v>8.0878999999999994</v>
      </c>
      <c r="D44" s="35">
        <v>0.1116</v>
      </c>
      <c r="E44" s="36">
        <v>0.212804341599132</v>
      </c>
      <c r="F44" s="36">
        <v>8.2100000000000009</v>
      </c>
      <c r="G44" s="36">
        <v>0.05</v>
      </c>
    </row>
    <row r="45" spans="1:7">
      <c r="A45" t="s">
        <v>16</v>
      </c>
      <c r="B45" s="34">
        <v>42125</v>
      </c>
      <c r="C45" s="35">
        <v>9.1</v>
      </c>
      <c r="D45" s="35">
        <v>2.2200000000000001E-2</v>
      </c>
      <c r="E45" s="36">
        <v>0.23137861072066801</v>
      </c>
      <c r="F45" s="36">
        <v>8.9599999999999991</v>
      </c>
      <c r="G45" s="36">
        <v>0.05</v>
      </c>
    </row>
    <row r="46" spans="1:7">
      <c r="A46" t="s">
        <v>16</v>
      </c>
      <c r="B46" s="34">
        <v>42156</v>
      </c>
      <c r="C46" s="35">
        <v>0</v>
      </c>
      <c r="D46" s="35">
        <v>0</v>
      </c>
      <c r="E46" s="36">
        <v>0.32330500813024599</v>
      </c>
      <c r="F46" s="37">
        <v>8.9599999999999991</v>
      </c>
      <c r="G46" s="37">
        <v>0.05</v>
      </c>
    </row>
    <row r="47" spans="1:7">
      <c r="A47" t="s">
        <v>17</v>
      </c>
      <c r="B47" s="34">
        <v>41671</v>
      </c>
      <c r="C47" s="35">
        <v>7.4269999999999996</v>
      </c>
      <c r="D47" s="35">
        <v>0</v>
      </c>
      <c r="E47" s="36">
        <v>8.3035215336207904E-2</v>
      </c>
      <c r="F47" s="36">
        <v>0.67999999999999994</v>
      </c>
      <c r="G47" s="36">
        <v>0</v>
      </c>
    </row>
    <row r="48" spans="1:7">
      <c r="A48" t="s">
        <v>17</v>
      </c>
      <c r="B48" s="34">
        <v>41699</v>
      </c>
      <c r="C48" s="35">
        <v>3.8881000000000001</v>
      </c>
      <c r="D48" s="35">
        <v>0</v>
      </c>
      <c r="E48" s="36">
        <v>0.15226672684829901</v>
      </c>
      <c r="F48" s="36">
        <v>1.03</v>
      </c>
      <c r="G48" s="36">
        <v>0</v>
      </c>
    </row>
    <row r="49" spans="1:10">
      <c r="A49" t="s">
        <v>17</v>
      </c>
      <c r="B49" s="34">
        <v>41730</v>
      </c>
      <c r="C49" s="35">
        <v>4.7267999999999999</v>
      </c>
      <c r="D49" s="35">
        <v>0</v>
      </c>
      <c r="E49" s="36">
        <v>0.11277179985904899</v>
      </c>
      <c r="F49" s="36">
        <v>1.4500000000000002</v>
      </c>
      <c r="G49" s="36">
        <v>0</v>
      </c>
    </row>
    <row r="50" spans="1:10">
      <c r="A50" t="s">
        <v>17</v>
      </c>
      <c r="B50" s="34">
        <v>41760</v>
      </c>
      <c r="C50" s="35">
        <v>5.5388000000000002</v>
      </c>
      <c r="D50" s="35">
        <v>1.5599999999999999E-2</v>
      </c>
      <c r="E50" s="36">
        <v>0.137937264918369</v>
      </c>
      <c r="F50" s="36">
        <v>1.95</v>
      </c>
      <c r="G50" s="36">
        <v>0</v>
      </c>
    </row>
    <row r="51" spans="1:10">
      <c r="A51" t="s">
        <v>17</v>
      </c>
      <c r="B51" s="34">
        <v>41791</v>
      </c>
      <c r="C51" s="35">
        <v>5.3395999999999999</v>
      </c>
      <c r="D51" s="35">
        <v>3.0999999999999999E-3</v>
      </c>
      <c r="E51" s="36">
        <v>0.16926852605984802</v>
      </c>
      <c r="F51" s="36">
        <v>2.42</v>
      </c>
      <c r="G51" s="36">
        <v>0</v>
      </c>
    </row>
    <row r="52" spans="1:10">
      <c r="A52" t="s">
        <v>17</v>
      </c>
      <c r="B52" s="34">
        <v>41821</v>
      </c>
      <c r="C52" s="35">
        <v>4.8250000000000002</v>
      </c>
      <c r="D52" s="35">
        <v>2.6100000000000002E-2</v>
      </c>
      <c r="E52" s="36">
        <v>0.20239341257222701</v>
      </c>
      <c r="F52" s="36">
        <v>2.85</v>
      </c>
      <c r="G52" s="36">
        <v>0</v>
      </c>
    </row>
    <row r="53" spans="1:10">
      <c r="A53" t="s">
        <v>17</v>
      </c>
      <c r="B53" s="34">
        <v>41852</v>
      </c>
      <c r="C53" s="35">
        <v>4.5701999999999998</v>
      </c>
      <c r="D53" s="35">
        <v>4.4900000000000002E-2</v>
      </c>
      <c r="E53" s="36">
        <v>0.21676206490169797</v>
      </c>
      <c r="F53" s="36">
        <v>3.25</v>
      </c>
      <c r="G53" s="36">
        <v>0</v>
      </c>
      <c r="J53" s="36"/>
    </row>
    <row r="54" spans="1:10">
      <c r="A54" t="s">
        <v>17</v>
      </c>
      <c r="B54" s="34">
        <v>41883</v>
      </c>
      <c r="C54" s="35">
        <v>5.1115000000000004</v>
      </c>
      <c r="D54" s="35">
        <v>2.86E-2</v>
      </c>
      <c r="E54" s="36">
        <v>0.25084879073542204</v>
      </c>
      <c r="F54" s="36">
        <v>3.6900000000000004</v>
      </c>
      <c r="G54" s="36">
        <v>0.01</v>
      </c>
    </row>
    <row r="55" spans="1:10">
      <c r="A55" t="s">
        <v>17</v>
      </c>
      <c r="B55" s="34">
        <v>41913</v>
      </c>
      <c r="C55" s="35">
        <v>4.7755000000000001</v>
      </c>
      <c r="D55" s="35">
        <v>4.2700000000000002E-2</v>
      </c>
      <c r="E55" s="36">
        <v>0.24358036540553901</v>
      </c>
      <c r="F55" s="36">
        <v>4.1000000000000005</v>
      </c>
      <c r="G55" s="36">
        <v>0.01</v>
      </c>
    </row>
    <row r="56" spans="1:10">
      <c r="A56" t="s">
        <v>17</v>
      </c>
      <c r="B56" s="34">
        <v>41944</v>
      </c>
      <c r="C56" s="35">
        <v>5.1914999999999996</v>
      </c>
      <c r="D56" s="35">
        <v>2.1299999999999999E-2</v>
      </c>
      <c r="E56" s="36">
        <v>0.194980190378507</v>
      </c>
      <c r="F56" s="36">
        <v>4.55</v>
      </c>
      <c r="G56" s="36">
        <v>0.01</v>
      </c>
    </row>
    <row r="57" spans="1:10">
      <c r="A57" t="s">
        <v>17</v>
      </c>
      <c r="B57" s="34">
        <v>41974</v>
      </c>
      <c r="C57" s="35">
        <v>4.2118000000000002</v>
      </c>
      <c r="D57" s="35">
        <v>6.59E-2</v>
      </c>
      <c r="E57" s="36">
        <v>0.316395234487096</v>
      </c>
      <c r="F57" s="36">
        <v>4.91</v>
      </c>
      <c r="G57" s="36">
        <v>0.02</v>
      </c>
    </row>
    <row r="58" spans="1:10">
      <c r="A58" t="s">
        <v>17</v>
      </c>
      <c r="B58" s="34">
        <v>42005</v>
      </c>
      <c r="C58" s="35">
        <v>5.9295999999999998</v>
      </c>
      <c r="D58" s="35">
        <v>2.35E-2</v>
      </c>
      <c r="E58" s="36">
        <v>0.24825080357062301</v>
      </c>
      <c r="F58" s="36">
        <v>5.41</v>
      </c>
      <c r="G58" s="36">
        <v>0.02</v>
      </c>
    </row>
    <row r="59" spans="1:10">
      <c r="A59" t="s">
        <v>17</v>
      </c>
      <c r="B59" s="34">
        <v>42036</v>
      </c>
      <c r="C59" s="35">
        <v>7.6299000000000001</v>
      </c>
      <c r="D59" s="35">
        <v>3.1099999999999999E-2</v>
      </c>
      <c r="E59" s="36">
        <v>0.25249433576771502</v>
      </c>
      <c r="F59" s="36">
        <v>6.0600000000000005</v>
      </c>
      <c r="G59" s="36">
        <v>0.02</v>
      </c>
    </row>
    <row r="60" spans="1:10">
      <c r="A60" t="s">
        <v>17</v>
      </c>
      <c r="B60" s="34">
        <v>42064</v>
      </c>
      <c r="C60" s="35">
        <v>8.0511999999999997</v>
      </c>
      <c r="D60" s="35">
        <v>2.2800000000000001E-2</v>
      </c>
      <c r="E60" s="36">
        <v>0.31499647857695201</v>
      </c>
      <c r="F60" s="36">
        <v>6.75</v>
      </c>
      <c r="G60" s="36">
        <v>0.02</v>
      </c>
    </row>
    <row r="61" spans="1:10">
      <c r="A61" t="s">
        <v>17</v>
      </c>
      <c r="B61" s="34">
        <v>42095</v>
      </c>
      <c r="C61" s="35">
        <v>9.2845999999999993</v>
      </c>
      <c r="D61" s="35">
        <v>6.3500000000000001E-2</v>
      </c>
      <c r="E61" s="36">
        <v>0.235929860311377</v>
      </c>
      <c r="F61" s="36">
        <v>7.53</v>
      </c>
      <c r="G61" s="36">
        <v>0.03</v>
      </c>
    </row>
    <row r="62" spans="1:10">
      <c r="A62" t="s">
        <v>17</v>
      </c>
      <c r="B62" s="34">
        <v>42125</v>
      </c>
      <c r="C62" s="35">
        <v>9.7987000000000002</v>
      </c>
      <c r="D62" s="35">
        <v>2.69E-2</v>
      </c>
      <c r="E62" s="36">
        <v>0.24597052332955299</v>
      </c>
      <c r="F62" s="36">
        <v>8.35</v>
      </c>
      <c r="G62" s="36">
        <v>0.03</v>
      </c>
    </row>
    <row r="63" spans="1:10">
      <c r="A63" t="s">
        <v>17</v>
      </c>
      <c r="B63" s="34">
        <v>42156</v>
      </c>
      <c r="C63" s="35">
        <v>0</v>
      </c>
      <c r="D63" s="35">
        <v>0</v>
      </c>
      <c r="E63" s="36">
        <v>0.283053241141691</v>
      </c>
      <c r="F63" s="37">
        <v>8.35</v>
      </c>
      <c r="G63" s="37">
        <v>0.03</v>
      </c>
    </row>
    <row r="64" spans="1:10">
      <c r="A64" t="s">
        <v>18</v>
      </c>
      <c r="B64" s="34">
        <v>41730</v>
      </c>
      <c r="C64" s="35">
        <v>14.718299999999999</v>
      </c>
      <c r="D64" s="35">
        <v>0</v>
      </c>
      <c r="E64" s="36">
        <v>0.125824980264575</v>
      </c>
      <c r="F64" s="36">
        <v>1.5</v>
      </c>
      <c r="G64" s="36">
        <v>0</v>
      </c>
    </row>
    <row r="65" spans="1:7">
      <c r="A65" t="s">
        <v>18</v>
      </c>
      <c r="B65" s="34">
        <v>41760</v>
      </c>
      <c r="C65" s="35">
        <v>8.6524000000000001</v>
      </c>
      <c r="D65" s="35">
        <v>0</v>
      </c>
      <c r="E65" s="36">
        <v>0.159444043323311</v>
      </c>
      <c r="F65" s="36">
        <v>2.34</v>
      </c>
      <c r="G65" s="36">
        <v>0</v>
      </c>
    </row>
    <row r="66" spans="1:7">
      <c r="A66" t="s">
        <v>18</v>
      </c>
      <c r="B66" s="34">
        <v>41791</v>
      </c>
      <c r="C66" s="35">
        <v>8.5411999999999999</v>
      </c>
      <c r="D66" s="35">
        <v>0</v>
      </c>
      <c r="E66" s="36">
        <v>0.162206789496806</v>
      </c>
      <c r="F66" s="36">
        <v>3.16</v>
      </c>
      <c r="G66" s="36">
        <v>0</v>
      </c>
    </row>
    <row r="67" spans="1:7">
      <c r="A67" t="s">
        <v>18</v>
      </c>
      <c r="B67" s="34">
        <v>41821</v>
      </c>
      <c r="C67" s="35">
        <v>7.7906000000000004</v>
      </c>
      <c r="D67" s="35">
        <v>4.2799999999999998E-2</v>
      </c>
      <c r="E67" s="36">
        <v>0.18349704792402902</v>
      </c>
      <c r="F67" s="36">
        <v>3.91</v>
      </c>
      <c r="G67" s="36">
        <v>0</v>
      </c>
    </row>
    <row r="68" spans="1:7">
      <c r="A68" t="s">
        <v>18</v>
      </c>
      <c r="B68" s="34">
        <v>41852</v>
      </c>
      <c r="C68" s="35">
        <v>7.0224000000000002</v>
      </c>
      <c r="D68" s="35">
        <v>3.3999999999999998E-3</v>
      </c>
      <c r="E68" s="36">
        <v>0.177433496993155</v>
      </c>
      <c r="F68" s="36">
        <v>4.5699999999999994</v>
      </c>
      <c r="G68" s="36">
        <v>0</v>
      </c>
    </row>
    <row r="69" spans="1:7">
      <c r="A69" t="s">
        <v>18</v>
      </c>
      <c r="B69" s="34">
        <v>41883</v>
      </c>
      <c r="C69" s="35">
        <v>7.5042999999999997</v>
      </c>
      <c r="D69" s="35">
        <v>3.9E-2</v>
      </c>
      <c r="E69" s="36">
        <v>0.22391729474885499</v>
      </c>
      <c r="F69" s="36">
        <v>5.27</v>
      </c>
      <c r="G69" s="36">
        <v>0</v>
      </c>
    </row>
    <row r="70" spans="1:7">
      <c r="A70" t="s">
        <v>18</v>
      </c>
      <c r="B70" s="34">
        <v>41913</v>
      </c>
      <c r="C70" s="35">
        <v>10.3561</v>
      </c>
      <c r="D70" s="35">
        <v>2.5000000000000001E-2</v>
      </c>
      <c r="E70" s="36">
        <v>0.23875834479081601</v>
      </c>
      <c r="F70" s="36">
        <v>6.2399999999999993</v>
      </c>
      <c r="G70" s="36">
        <v>0.01</v>
      </c>
    </row>
    <row r="71" spans="1:7">
      <c r="A71" t="s">
        <v>18</v>
      </c>
      <c r="B71" s="34">
        <v>41944</v>
      </c>
      <c r="C71" s="35">
        <v>11.3248</v>
      </c>
      <c r="D71" s="35">
        <v>2.2499999999999999E-2</v>
      </c>
      <c r="E71" s="36">
        <v>0.22911961585951199</v>
      </c>
      <c r="F71" s="36">
        <v>7.3</v>
      </c>
      <c r="G71" s="36">
        <v>0.01</v>
      </c>
    </row>
    <row r="72" spans="1:7">
      <c r="A72" t="s">
        <v>18</v>
      </c>
      <c r="B72" s="34">
        <v>41974</v>
      </c>
      <c r="C72" s="35">
        <v>9.6349999999999998</v>
      </c>
      <c r="D72" s="35">
        <v>3.2599999999999997E-2</v>
      </c>
      <c r="E72" s="36">
        <v>0.36134533615784098</v>
      </c>
      <c r="F72" s="36">
        <v>8.18</v>
      </c>
      <c r="G72" s="36">
        <v>0.01</v>
      </c>
    </row>
    <row r="73" spans="1:7">
      <c r="A73" t="s">
        <v>18</v>
      </c>
      <c r="B73" s="34">
        <v>42005</v>
      </c>
      <c r="C73" s="35">
        <v>17.597200000000001</v>
      </c>
      <c r="D73" s="35">
        <v>3.6299999999999999E-2</v>
      </c>
      <c r="E73" s="36">
        <v>0.28897348095416797</v>
      </c>
      <c r="F73" s="36">
        <v>9.84</v>
      </c>
      <c r="G73" s="36">
        <v>0.01</v>
      </c>
    </row>
    <row r="74" spans="1:7">
      <c r="A74" t="s">
        <v>18</v>
      </c>
      <c r="B74" s="34">
        <v>42036</v>
      </c>
      <c r="C74" s="35">
        <v>19.887699999999999</v>
      </c>
      <c r="D74" s="35">
        <v>3.4700000000000002E-2</v>
      </c>
      <c r="E74" s="36">
        <v>0.28917338018387501</v>
      </c>
      <c r="F74" s="36">
        <v>11.709999999999999</v>
      </c>
      <c r="G74" s="36">
        <v>0.02</v>
      </c>
    </row>
    <row r="75" spans="1:7">
      <c r="A75" t="s">
        <v>18</v>
      </c>
      <c r="B75" s="34">
        <v>42064</v>
      </c>
      <c r="C75" s="35">
        <v>13.9582</v>
      </c>
      <c r="D75" s="35">
        <v>4.1599999999999998E-2</v>
      </c>
      <c r="E75" s="36">
        <v>0.34767765375114001</v>
      </c>
      <c r="F75" s="36">
        <v>12.950000000000001</v>
      </c>
      <c r="G75" s="36">
        <v>0.02</v>
      </c>
    </row>
    <row r="76" spans="1:7">
      <c r="A76" t="s">
        <v>18</v>
      </c>
      <c r="B76" s="34">
        <v>42095</v>
      </c>
      <c r="C76" s="35">
        <v>13.7494</v>
      </c>
      <c r="D76" s="35">
        <v>5.2600000000000001E-2</v>
      </c>
      <c r="E76" s="36">
        <v>0.26331290473771801</v>
      </c>
      <c r="F76" s="36">
        <v>14.149999999999999</v>
      </c>
      <c r="G76" s="36">
        <v>0.02</v>
      </c>
    </row>
    <row r="77" spans="1:7">
      <c r="A77" t="s">
        <v>18</v>
      </c>
      <c r="B77" s="34">
        <v>42125</v>
      </c>
      <c r="C77" s="35">
        <v>13.478199999999999</v>
      </c>
      <c r="D77" s="35">
        <v>5.04E-2</v>
      </c>
      <c r="E77" s="36">
        <v>0.28994875935216796</v>
      </c>
      <c r="F77" s="36">
        <v>15.32</v>
      </c>
      <c r="G77" s="36">
        <v>0.03</v>
      </c>
    </row>
    <row r="78" spans="1:7">
      <c r="A78" t="s">
        <v>18</v>
      </c>
      <c r="B78" s="34">
        <v>42156</v>
      </c>
      <c r="C78" s="35">
        <v>0</v>
      </c>
      <c r="D78" s="35">
        <v>0</v>
      </c>
      <c r="E78" s="36">
        <v>0.34288805643157899</v>
      </c>
      <c r="F78" s="37">
        <v>15.32</v>
      </c>
      <c r="G78" s="37">
        <v>0.03</v>
      </c>
    </row>
    <row r="79" spans="1:7">
      <c r="A79" t="s">
        <v>19</v>
      </c>
      <c r="B79" s="34">
        <v>41852</v>
      </c>
      <c r="C79" s="35">
        <v>34.337400000000002</v>
      </c>
      <c r="D79" s="35">
        <v>0</v>
      </c>
      <c r="E79" s="36">
        <v>0.18750273449471</v>
      </c>
      <c r="F79" s="36">
        <v>4.38</v>
      </c>
      <c r="G79" s="36">
        <v>0</v>
      </c>
    </row>
    <row r="80" spans="1:7">
      <c r="A80" t="s">
        <v>19</v>
      </c>
      <c r="B80" s="34">
        <v>41883</v>
      </c>
      <c r="C80" s="35">
        <v>13.198499999999999</v>
      </c>
      <c r="D80" s="35">
        <v>0</v>
      </c>
      <c r="E80" s="36">
        <v>0.218480727059924</v>
      </c>
      <c r="F80" s="36">
        <v>5.81</v>
      </c>
      <c r="G80" s="36">
        <v>0</v>
      </c>
    </row>
    <row r="81" spans="1:7">
      <c r="A81" t="s">
        <v>19</v>
      </c>
      <c r="B81" s="34">
        <v>41913</v>
      </c>
      <c r="C81" s="35">
        <v>22.500599999999999</v>
      </c>
      <c r="D81" s="35">
        <v>0</v>
      </c>
      <c r="E81" s="36">
        <v>0.256334747836789</v>
      </c>
      <c r="F81" s="36">
        <v>8.36</v>
      </c>
      <c r="G81" s="36">
        <v>0</v>
      </c>
    </row>
    <row r="82" spans="1:7">
      <c r="A82" t="s">
        <v>19</v>
      </c>
      <c r="B82" s="34">
        <v>41944</v>
      </c>
      <c r="C82" s="35">
        <v>22.5213</v>
      </c>
      <c r="D82" s="35">
        <v>4.2700000000000002E-2</v>
      </c>
      <c r="E82" s="36">
        <v>0.25782310018865501</v>
      </c>
      <c r="F82" s="36">
        <v>10.84</v>
      </c>
      <c r="G82" s="36">
        <v>0</v>
      </c>
    </row>
    <row r="83" spans="1:7">
      <c r="A83" t="s">
        <v>19</v>
      </c>
      <c r="B83" s="34">
        <v>41974</v>
      </c>
      <c r="C83" s="35">
        <v>19.411799999999999</v>
      </c>
      <c r="D83" s="35">
        <v>0</v>
      </c>
      <c r="E83" s="36">
        <v>0.41618114863963895</v>
      </c>
      <c r="F83" s="36">
        <v>12.9</v>
      </c>
      <c r="G83" s="36">
        <v>0</v>
      </c>
    </row>
    <row r="84" spans="1:7">
      <c r="A84" t="s">
        <v>19</v>
      </c>
      <c r="B84" s="34">
        <v>42005</v>
      </c>
      <c r="C84" s="35">
        <v>37.158299999999997</v>
      </c>
      <c r="D84" s="35">
        <v>4.1000000000000002E-2</v>
      </c>
      <c r="E84" s="36">
        <v>0.36901987117811802</v>
      </c>
      <c r="F84" s="36">
        <v>17.2</v>
      </c>
      <c r="G84" s="36">
        <v>0</v>
      </c>
    </row>
    <row r="85" spans="1:7">
      <c r="A85" t="s">
        <v>19</v>
      </c>
      <c r="B85" s="34">
        <v>42036</v>
      </c>
      <c r="C85" s="35">
        <v>38.846600000000002</v>
      </c>
      <c r="D85" s="35">
        <v>4.6100000000000002E-2</v>
      </c>
      <c r="E85" s="36">
        <v>0.39045994484270097</v>
      </c>
      <c r="F85" s="36">
        <v>21.560000000000002</v>
      </c>
      <c r="G85" s="36">
        <v>0.01</v>
      </c>
    </row>
    <row r="86" spans="1:7">
      <c r="A86" t="s">
        <v>19</v>
      </c>
      <c r="B86" s="34">
        <v>42064</v>
      </c>
      <c r="C86" s="35">
        <v>27.4253</v>
      </c>
      <c r="D86" s="35">
        <v>9.6799999999999997E-2</v>
      </c>
      <c r="E86" s="36">
        <v>0.49454945394582694</v>
      </c>
      <c r="F86" s="36">
        <v>24.3</v>
      </c>
      <c r="G86" s="36">
        <v>0.02</v>
      </c>
    </row>
    <row r="87" spans="1:7">
      <c r="A87" t="s">
        <v>19</v>
      </c>
      <c r="B87" s="34">
        <v>42095</v>
      </c>
      <c r="C87" s="35">
        <v>24.923400000000001</v>
      </c>
      <c r="D87" s="35">
        <v>5.9700000000000003E-2</v>
      </c>
      <c r="E87" s="36">
        <v>0.40934867388750701</v>
      </c>
      <c r="F87" s="36">
        <v>26.69</v>
      </c>
      <c r="G87" s="36">
        <v>0.02</v>
      </c>
    </row>
    <row r="88" spans="1:7">
      <c r="A88" t="s">
        <v>19</v>
      </c>
      <c r="B88" s="34">
        <v>42125</v>
      </c>
      <c r="C88" s="35">
        <v>21.3535</v>
      </c>
      <c r="D88" s="35">
        <v>0.1091</v>
      </c>
      <c r="E88" s="36">
        <v>0.41318942079793203</v>
      </c>
      <c r="F88" s="36">
        <v>28.64</v>
      </c>
      <c r="G88" s="36">
        <v>0.03</v>
      </c>
    </row>
    <row r="89" spans="1:7">
      <c r="A89" t="s">
        <v>19</v>
      </c>
      <c r="B89" s="34">
        <v>42156</v>
      </c>
      <c r="C89" s="35">
        <v>0</v>
      </c>
      <c r="D89" s="35">
        <v>0</v>
      </c>
      <c r="E89" s="36">
        <v>0.532332738514399</v>
      </c>
      <c r="F89" s="37">
        <v>28.64</v>
      </c>
      <c r="G89" s="37">
        <v>0.03</v>
      </c>
    </row>
    <row r="90" spans="1:7">
      <c r="A90" t="s">
        <v>20</v>
      </c>
      <c r="B90" s="34">
        <v>41883</v>
      </c>
      <c r="C90" s="35">
        <v>13.3165</v>
      </c>
      <c r="D90" s="35">
        <v>0</v>
      </c>
      <c r="E90" s="36">
        <v>0</v>
      </c>
      <c r="F90" s="36">
        <v>1.46</v>
      </c>
      <c r="G90" s="36">
        <v>0</v>
      </c>
    </row>
    <row r="91" spans="1:7">
      <c r="A91" t="s">
        <v>20</v>
      </c>
      <c r="B91" s="34">
        <v>41913</v>
      </c>
      <c r="C91" s="35">
        <v>22.260400000000001</v>
      </c>
      <c r="D91" s="35">
        <v>0</v>
      </c>
      <c r="E91" s="36">
        <v>0.19170658184365799</v>
      </c>
      <c r="F91" s="36">
        <v>3.9800000000000004</v>
      </c>
      <c r="G91" s="36">
        <v>0</v>
      </c>
    </row>
    <row r="92" spans="1:7">
      <c r="A92" t="s">
        <v>20</v>
      </c>
      <c r="B92" s="34">
        <v>41944</v>
      </c>
      <c r="C92" s="35">
        <v>21.629799999999999</v>
      </c>
      <c r="D92" s="35">
        <v>0</v>
      </c>
      <c r="E92" s="36">
        <v>0.173821680992786</v>
      </c>
      <c r="F92" s="36">
        <v>6.370000000000001</v>
      </c>
      <c r="G92" s="36">
        <v>0</v>
      </c>
    </row>
    <row r="93" spans="1:7">
      <c r="A93" t="s">
        <v>20</v>
      </c>
      <c r="B93" s="34">
        <v>41974</v>
      </c>
      <c r="C93" s="35">
        <v>21.002500000000001</v>
      </c>
      <c r="D93" s="35">
        <v>0</v>
      </c>
      <c r="E93" s="36">
        <v>0.35413995458346703</v>
      </c>
      <c r="F93" s="36">
        <v>8.6300000000000008</v>
      </c>
      <c r="G93" s="36">
        <v>0</v>
      </c>
    </row>
    <row r="94" spans="1:7">
      <c r="A94" t="s">
        <v>20</v>
      </c>
      <c r="B94" s="34">
        <v>42005</v>
      </c>
      <c r="C94" s="35">
        <v>35.541899999999998</v>
      </c>
      <c r="D94" s="35">
        <v>0</v>
      </c>
      <c r="E94" s="36">
        <v>0.27748621000516899</v>
      </c>
      <c r="F94" s="36">
        <v>12.72</v>
      </c>
      <c r="G94" s="36">
        <v>0</v>
      </c>
    </row>
    <row r="95" spans="1:7">
      <c r="A95" t="s">
        <v>20</v>
      </c>
      <c r="B95" s="34">
        <v>42036</v>
      </c>
      <c r="C95" s="35">
        <v>41.523499999999999</v>
      </c>
      <c r="D95" s="35">
        <v>1.9099999999999999E-2</v>
      </c>
      <c r="E95" s="36">
        <v>0.30916978033754999</v>
      </c>
      <c r="F95" s="36">
        <v>17.510000000000002</v>
      </c>
      <c r="G95" s="36">
        <v>0</v>
      </c>
    </row>
    <row r="96" spans="1:7">
      <c r="A96" t="s">
        <v>20</v>
      </c>
      <c r="B96" s="34">
        <v>42064</v>
      </c>
      <c r="C96" s="35">
        <v>27.0959</v>
      </c>
      <c r="D96" s="35">
        <v>0</v>
      </c>
      <c r="E96" s="36">
        <v>0.42376432266131597</v>
      </c>
      <c r="F96" s="36">
        <v>20.23</v>
      </c>
      <c r="G96" s="36">
        <v>0</v>
      </c>
    </row>
    <row r="97" spans="1:7">
      <c r="A97" t="s">
        <v>20</v>
      </c>
      <c r="B97" s="34">
        <v>42095</v>
      </c>
      <c r="C97" s="35">
        <v>23.529800000000002</v>
      </c>
      <c r="D97" s="35">
        <v>6.83E-2</v>
      </c>
      <c r="E97" s="36">
        <v>0.35782370579607603</v>
      </c>
      <c r="F97" s="36">
        <v>22.470000000000002</v>
      </c>
      <c r="G97" s="36">
        <v>0</v>
      </c>
    </row>
    <row r="98" spans="1:7">
      <c r="A98" t="s">
        <v>20</v>
      </c>
      <c r="B98" s="34">
        <v>42125</v>
      </c>
      <c r="C98" s="35">
        <v>22.621600000000001</v>
      </c>
      <c r="D98" s="35">
        <v>5.1000000000000004E-3</v>
      </c>
      <c r="E98" s="36">
        <v>0.390627776894863</v>
      </c>
      <c r="F98" s="36">
        <v>24.57</v>
      </c>
      <c r="G98" s="36">
        <v>0</v>
      </c>
    </row>
    <row r="99" spans="1:7">
      <c r="A99" t="s">
        <v>20</v>
      </c>
      <c r="B99" s="34">
        <v>42156</v>
      </c>
      <c r="C99" s="35">
        <v>0</v>
      </c>
      <c r="D99" s="35">
        <v>0</v>
      </c>
      <c r="E99" s="36">
        <v>0.47030986431971999</v>
      </c>
      <c r="F99" s="37">
        <v>24.57</v>
      </c>
      <c r="G99" s="37">
        <v>0</v>
      </c>
    </row>
    <row r="100" spans="1:7">
      <c r="A100" t="s">
        <v>21</v>
      </c>
      <c r="B100" s="34">
        <v>41852</v>
      </c>
      <c r="C100" s="35">
        <v>26.836099999999998</v>
      </c>
      <c r="D100" s="35">
        <v>0</v>
      </c>
      <c r="E100" s="36">
        <v>0.17774701574957899</v>
      </c>
      <c r="F100" s="36">
        <v>3.1199999999999997</v>
      </c>
      <c r="G100" s="36">
        <v>0</v>
      </c>
    </row>
    <row r="101" spans="1:7">
      <c r="A101" t="s">
        <v>21</v>
      </c>
      <c r="B101" s="34">
        <v>41883</v>
      </c>
      <c r="C101" s="35">
        <v>11.3437</v>
      </c>
      <c r="D101" s="35">
        <v>0</v>
      </c>
      <c r="E101" s="36">
        <v>0.26546245827528098</v>
      </c>
      <c r="F101" s="36">
        <v>4.3</v>
      </c>
      <c r="G101" s="36">
        <v>0</v>
      </c>
    </row>
    <row r="102" spans="1:7">
      <c r="A102" t="s">
        <v>21</v>
      </c>
      <c r="B102" s="34">
        <v>41913</v>
      </c>
      <c r="C102" s="35">
        <v>17.6995</v>
      </c>
      <c r="D102" s="35">
        <v>0</v>
      </c>
      <c r="E102" s="36">
        <v>0.30729143052024899</v>
      </c>
      <c r="F102" s="36">
        <v>6.18</v>
      </c>
      <c r="G102" s="36">
        <v>0</v>
      </c>
    </row>
    <row r="103" spans="1:7">
      <c r="A103" t="s">
        <v>21</v>
      </c>
      <c r="B103" s="34">
        <v>41944</v>
      </c>
      <c r="C103" s="35">
        <v>18.272500000000001</v>
      </c>
      <c r="D103" s="35">
        <v>4.3099999999999999E-2</v>
      </c>
      <c r="E103" s="36">
        <v>0.35378818839678899</v>
      </c>
      <c r="F103" s="36">
        <v>8.09</v>
      </c>
      <c r="G103" s="36">
        <v>0</v>
      </c>
    </row>
    <row r="104" spans="1:7">
      <c r="A104" t="s">
        <v>21</v>
      </c>
      <c r="B104" s="34">
        <v>41974</v>
      </c>
      <c r="C104" s="35">
        <v>15.596500000000001</v>
      </c>
      <c r="D104" s="35">
        <v>0.1948</v>
      </c>
      <c r="E104" s="36">
        <v>0.51635036194168704</v>
      </c>
      <c r="F104" s="36">
        <v>9.67</v>
      </c>
      <c r="G104" s="36">
        <v>0.02</v>
      </c>
    </row>
    <row r="105" spans="1:7">
      <c r="A105" t="s">
        <v>21</v>
      </c>
      <c r="B105" s="34">
        <v>42005</v>
      </c>
      <c r="C105" s="35">
        <v>30.398</v>
      </c>
      <c r="D105" s="35">
        <v>0</v>
      </c>
      <c r="E105" s="36">
        <v>0.426063121324534</v>
      </c>
      <c r="F105" s="36">
        <v>12.97</v>
      </c>
      <c r="G105" s="36">
        <v>0.02</v>
      </c>
    </row>
    <row r="106" spans="1:7">
      <c r="A106" t="s">
        <v>21</v>
      </c>
      <c r="B106" s="34">
        <v>42036</v>
      </c>
      <c r="C106" s="35">
        <v>33.429000000000002</v>
      </c>
      <c r="D106" s="35">
        <v>0.1084</v>
      </c>
      <c r="E106" s="36">
        <v>0.53237138676784901</v>
      </c>
      <c r="F106" s="36">
        <v>16.54</v>
      </c>
      <c r="G106" s="36">
        <v>0.03</v>
      </c>
    </row>
    <row r="107" spans="1:7">
      <c r="A107" t="s">
        <v>21</v>
      </c>
      <c r="B107" s="34">
        <v>42064</v>
      </c>
      <c r="C107" s="35">
        <v>22.344000000000001</v>
      </c>
      <c r="D107" s="35">
        <v>0.1807</v>
      </c>
      <c r="E107" s="36">
        <v>0.58858695835742603</v>
      </c>
      <c r="F107" s="36">
        <v>18.7</v>
      </c>
      <c r="G107" s="36">
        <v>0.04</v>
      </c>
    </row>
    <row r="108" spans="1:7">
      <c r="A108" t="s">
        <v>21</v>
      </c>
      <c r="B108" s="34">
        <v>42095</v>
      </c>
      <c r="C108" s="35">
        <v>21.953800000000001</v>
      </c>
      <c r="D108" s="35">
        <v>0.22869999999999999</v>
      </c>
      <c r="E108" s="36">
        <v>0.42740795025214895</v>
      </c>
      <c r="F108" s="36">
        <v>20.77</v>
      </c>
      <c r="G108" s="36">
        <v>0.06</v>
      </c>
    </row>
    <row r="109" spans="1:7">
      <c r="A109" t="s">
        <v>21</v>
      </c>
      <c r="B109" s="34">
        <v>42125</v>
      </c>
      <c r="C109" s="35">
        <v>21.616299999999999</v>
      </c>
      <c r="D109" s="35">
        <v>6.4899999999999999E-2</v>
      </c>
      <c r="E109" s="36">
        <v>0.51322419447953493</v>
      </c>
      <c r="F109" s="36">
        <v>22.759999999999998</v>
      </c>
      <c r="G109" s="36">
        <v>6.9999999999999993E-2</v>
      </c>
    </row>
    <row r="110" spans="1:7">
      <c r="A110" t="s">
        <v>21</v>
      </c>
      <c r="B110" s="34">
        <v>42156</v>
      </c>
      <c r="C110" s="35">
        <v>0</v>
      </c>
      <c r="D110" s="35">
        <v>0</v>
      </c>
      <c r="E110" s="36">
        <v>0.61644989212499102</v>
      </c>
      <c r="F110" s="37">
        <v>22.759999999999998</v>
      </c>
      <c r="G110" s="37">
        <v>6.9999999999999993E-2</v>
      </c>
    </row>
    <row r="111" spans="1:7">
      <c r="A111" t="s">
        <v>22</v>
      </c>
      <c r="B111" s="34">
        <v>41883</v>
      </c>
      <c r="C111" s="35">
        <v>17.9786</v>
      </c>
      <c r="D111" s="35">
        <v>6.1999999999999998E-3</v>
      </c>
      <c r="E111" s="36">
        <v>0.19867683813505799</v>
      </c>
      <c r="F111" s="36">
        <v>1.73</v>
      </c>
      <c r="G111" s="36">
        <v>0</v>
      </c>
    </row>
    <row r="112" spans="1:7">
      <c r="A112" t="s">
        <v>22</v>
      </c>
      <c r="B112" s="34">
        <v>41913</v>
      </c>
      <c r="C112" s="35">
        <v>7.1130000000000004</v>
      </c>
      <c r="D112" s="35">
        <v>0</v>
      </c>
      <c r="E112" s="36">
        <v>0.19704739462751297</v>
      </c>
      <c r="F112" s="36">
        <v>2.37</v>
      </c>
      <c r="G112" s="36">
        <v>0</v>
      </c>
    </row>
    <row r="113" spans="1:7">
      <c r="A113" t="s">
        <v>22</v>
      </c>
      <c r="B113" s="34">
        <v>41944</v>
      </c>
      <c r="C113" s="35">
        <v>7.6486000000000001</v>
      </c>
      <c r="D113" s="35">
        <v>0</v>
      </c>
      <c r="E113" s="36">
        <v>0.182791002941537</v>
      </c>
      <c r="F113" s="36">
        <v>3.06</v>
      </c>
      <c r="G113" s="36">
        <v>0</v>
      </c>
    </row>
    <row r="114" spans="1:7">
      <c r="A114" t="s">
        <v>22</v>
      </c>
      <c r="B114" s="34">
        <v>41974</v>
      </c>
      <c r="C114" s="35">
        <v>6.3979999999999997</v>
      </c>
      <c r="D114" s="35">
        <v>2.5999999999999999E-2</v>
      </c>
      <c r="E114" s="36">
        <v>0.31173836097395097</v>
      </c>
      <c r="F114" s="36">
        <v>3.62</v>
      </c>
      <c r="G114" s="36">
        <v>0</v>
      </c>
    </row>
    <row r="115" spans="1:7">
      <c r="A115" t="s">
        <v>22</v>
      </c>
      <c r="B115" s="34">
        <v>42005</v>
      </c>
      <c r="C115" s="35">
        <v>11.402200000000001</v>
      </c>
      <c r="D115" s="35">
        <v>6.5199999999999994E-2</v>
      </c>
      <c r="E115" s="36">
        <v>0.25871680534557295</v>
      </c>
      <c r="F115" s="36">
        <v>4.6399999999999997</v>
      </c>
      <c r="G115" s="36">
        <v>0</v>
      </c>
    </row>
    <row r="116" spans="1:7">
      <c r="A116" t="s">
        <v>22</v>
      </c>
      <c r="B116" s="34">
        <v>42036</v>
      </c>
      <c r="C116" s="35">
        <v>14.1052</v>
      </c>
      <c r="D116" s="35">
        <v>8.3799999999999999E-2</v>
      </c>
      <c r="E116" s="36">
        <v>0.29512584597165203</v>
      </c>
      <c r="F116" s="36">
        <v>5.91</v>
      </c>
      <c r="G116" s="36">
        <v>0.01</v>
      </c>
    </row>
    <row r="117" spans="1:7">
      <c r="A117" t="s">
        <v>22</v>
      </c>
      <c r="B117" s="34">
        <v>42064</v>
      </c>
      <c r="C117" s="35">
        <v>12.1469</v>
      </c>
      <c r="D117" s="35">
        <v>0.06</v>
      </c>
      <c r="E117" s="36">
        <v>0.341203728538442</v>
      </c>
      <c r="F117" s="36">
        <v>6.97</v>
      </c>
      <c r="G117" s="36">
        <v>0.02</v>
      </c>
    </row>
    <row r="118" spans="1:7">
      <c r="A118" t="s">
        <v>22</v>
      </c>
      <c r="B118" s="34">
        <v>42095</v>
      </c>
      <c r="C118" s="35">
        <v>12.386200000000001</v>
      </c>
      <c r="D118" s="35">
        <v>6.0499999999999998E-2</v>
      </c>
      <c r="E118" s="36">
        <v>0.25385131985243703</v>
      </c>
      <c r="F118" s="36">
        <v>8.0500000000000007</v>
      </c>
      <c r="G118" s="36">
        <v>0.02</v>
      </c>
    </row>
    <row r="119" spans="1:7">
      <c r="A119" t="s">
        <v>22</v>
      </c>
      <c r="B119" s="34">
        <v>42125</v>
      </c>
      <c r="C119" s="35">
        <v>12.855</v>
      </c>
      <c r="D119" s="35">
        <v>6.08E-2</v>
      </c>
      <c r="E119" s="36">
        <v>0.29648472609394599</v>
      </c>
      <c r="F119" s="36">
        <v>9.15</v>
      </c>
      <c r="G119" s="36">
        <v>0.03</v>
      </c>
    </row>
    <row r="120" spans="1:7">
      <c r="A120" t="s">
        <v>22</v>
      </c>
      <c r="B120" s="34">
        <v>42156</v>
      </c>
      <c r="C120" s="35">
        <v>0</v>
      </c>
      <c r="D120" s="35">
        <v>0</v>
      </c>
      <c r="E120" s="36">
        <v>0.376515711270408</v>
      </c>
      <c r="F120" s="37">
        <v>9.15</v>
      </c>
      <c r="G120" s="37">
        <v>0.03</v>
      </c>
    </row>
    <row r="121" spans="1:7">
      <c r="A121" t="s">
        <v>23</v>
      </c>
      <c r="B121" s="34">
        <v>41883</v>
      </c>
      <c r="C121" s="35">
        <v>7.9057000000000004</v>
      </c>
      <c r="D121" s="35">
        <v>0</v>
      </c>
      <c r="E121" s="36">
        <v>0</v>
      </c>
      <c r="F121" s="36">
        <v>0.8</v>
      </c>
      <c r="G121" s="36">
        <v>0</v>
      </c>
    </row>
    <row r="122" spans="1:7">
      <c r="A122" t="s">
        <v>23</v>
      </c>
      <c r="B122" s="34">
        <v>41913</v>
      </c>
      <c r="C122" s="35">
        <v>16.529800000000002</v>
      </c>
      <c r="D122" s="35">
        <v>0</v>
      </c>
      <c r="E122" s="36">
        <v>0.166233034743174</v>
      </c>
      <c r="F122" s="36">
        <v>2.5299999999999998</v>
      </c>
      <c r="G122" s="36">
        <v>0</v>
      </c>
    </row>
    <row r="123" spans="1:7">
      <c r="A123" t="s">
        <v>23</v>
      </c>
      <c r="B123" s="34">
        <v>41944</v>
      </c>
      <c r="C123" s="35">
        <v>14.737299999999999</v>
      </c>
      <c r="D123" s="35">
        <v>0</v>
      </c>
      <c r="E123" s="36">
        <v>0.18127235784901399</v>
      </c>
      <c r="F123" s="36">
        <v>4.04</v>
      </c>
      <c r="G123" s="36">
        <v>0</v>
      </c>
    </row>
    <row r="124" spans="1:7">
      <c r="A124" t="s">
        <v>23</v>
      </c>
      <c r="B124" s="34">
        <v>41974</v>
      </c>
      <c r="C124" s="35">
        <v>15.9307</v>
      </c>
      <c r="D124" s="35">
        <v>0</v>
      </c>
      <c r="E124" s="36">
        <v>0.32100016355282601</v>
      </c>
      <c r="F124" s="36">
        <v>5.66</v>
      </c>
      <c r="G124" s="36">
        <v>0</v>
      </c>
    </row>
    <row r="125" spans="1:7">
      <c r="A125" t="s">
        <v>23</v>
      </c>
      <c r="B125" s="34">
        <v>42005</v>
      </c>
      <c r="C125" s="35">
        <v>28.165900000000001</v>
      </c>
      <c r="D125" s="35">
        <v>0</v>
      </c>
      <c r="E125" s="36">
        <v>0.34388182085411201</v>
      </c>
      <c r="F125" s="36">
        <v>8.67</v>
      </c>
      <c r="G125" s="36">
        <v>0</v>
      </c>
    </row>
    <row r="126" spans="1:7">
      <c r="A126" t="s">
        <v>23</v>
      </c>
      <c r="B126" s="34">
        <v>42036</v>
      </c>
      <c r="C126" s="35">
        <v>34.780200000000001</v>
      </c>
      <c r="D126" s="35">
        <v>0.18659999999999999</v>
      </c>
      <c r="E126" s="36">
        <v>0.41123124381280396</v>
      </c>
      <c r="F126" s="36">
        <v>12.44</v>
      </c>
      <c r="G126" s="36">
        <v>0.01</v>
      </c>
    </row>
    <row r="127" spans="1:7">
      <c r="A127" t="s">
        <v>23</v>
      </c>
      <c r="B127" s="34">
        <v>42064</v>
      </c>
      <c r="C127" s="35">
        <v>22.173100000000002</v>
      </c>
      <c r="D127" s="35">
        <v>0.1017</v>
      </c>
      <c r="E127" s="36">
        <v>0.50680743447907906</v>
      </c>
      <c r="F127" s="36">
        <v>14.580000000000002</v>
      </c>
      <c r="G127" s="36">
        <v>0.02</v>
      </c>
    </row>
    <row r="128" spans="1:7">
      <c r="A128" t="s">
        <v>23</v>
      </c>
      <c r="B128" s="34">
        <v>42095</v>
      </c>
      <c r="C128" s="35">
        <v>20.960100000000001</v>
      </c>
      <c r="D128" s="35">
        <v>0.1095</v>
      </c>
      <c r="E128" s="36">
        <v>0.37748294798205301</v>
      </c>
      <c r="F128" s="36">
        <v>16.55</v>
      </c>
      <c r="G128" s="36">
        <v>0.03</v>
      </c>
    </row>
    <row r="129" spans="1:7">
      <c r="A129" t="s">
        <v>23</v>
      </c>
      <c r="B129" s="34">
        <v>42125</v>
      </c>
      <c r="C129" s="35">
        <v>19.663900000000002</v>
      </c>
      <c r="D129" s="35">
        <v>0.1643</v>
      </c>
      <c r="E129" s="36">
        <v>0.44673961711471694</v>
      </c>
      <c r="F129" s="36">
        <v>18.34</v>
      </c>
      <c r="G129" s="36">
        <v>0.04</v>
      </c>
    </row>
    <row r="130" spans="1:7">
      <c r="A130" t="s">
        <v>23</v>
      </c>
      <c r="B130" s="34">
        <v>42156</v>
      </c>
      <c r="C130" s="35">
        <v>0</v>
      </c>
      <c r="D130" s="35">
        <v>0</v>
      </c>
      <c r="E130" s="36">
        <v>0.59045563730843498</v>
      </c>
      <c r="F130" s="37">
        <v>18.34</v>
      </c>
      <c r="G130" s="37">
        <v>0.04</v>
      </c>
    </row>
    <row r="131" spans="1:7">
      <c r="A131" t="s">
        <v>24</v>
      </c>
      <c r="B131" s="34">
        <v>42005</v>
      </c>
      <c r="C131" s="35">
        <v>51.978200000000001</v>
      </c>
      <c r="D131" s="35">
        <v>0</v>
      </c>
      <c r="E131" s="36">
        <v>0.159228640865899</v>
      </c>
      <c r="F131" s="36">
        <v>6.87</v>
      </c>
      <c r="G131" s="36">
        <v>0</v>
      </c>
    </row>
    <row r="132" spans="1:7">
      <c r="A132" t="s">
        <v>24</v>
      </c>
      <c r="B132" s="34">
        <v>42036</v>
      </c>
      <c r="C132" s="35">
        <v>37.950000000000003</v>
      </c>
      <c r="D132" s="35">
        <v>0</v>
      </c>
      <c r="E132" s="36">
        <v>0.17318346328686801</v>
      </c>
      <c r="F132" s="36">
        <v>11.110000000000001</v>
      </c>
      <c r="G132" s="36">
        <v>0</v>
      </c>
    </row>
    <row r="133" spans="1:7">
      <c r="A133" t="s">
        <v>24</v>
      </c>
      <c r="B133" s="34">
        <v>42064</v>
      </c>
      <c r="C133" s="35">
        <v>23.9587</v>
      </c>
      <c r="D133" s="35">
        <v>0</v>
      </c>
      <c r="E133" s="36">
        <v>0.342220498640191</v>
      </c>
      <c r="F133" s="36">
        <v>13.469999999999999</v>
      </c>
      <c r="G133" s="36">
        <v>0</v>
      </c>
    </row>
    <row r="134" spans="1:7">
      <c r="A134" t="s">
        <v>24</v>
      </c>
      <c r="B134" s="34">
        <v>42095</v>
      </c>
      <c r="C134" s="35">
        <v>22.691099999999999</v>
      </c>
      <c r="D134" s="35">
        <v>0</v>
      </c>
      <c r="E134" s="36">
        <v>0.21156629027363499</v>
      </c>
      <c r="F134" s="36">
        <v>15.629999999999999</v>
      </c>
      <c r="G134" s="36">
        <v>0</v>
      </c>
    </row>
    <row r="135" spans="1:7">
      <c r="A135" t="s">
        <v>24</v>
      </c>
      <c r="B135" s="34">
        <v>42125</v>
      </c>
      <c r="C135" s="35">
        <v>19.299199999999999</v>
      </c>
      <c r="D135" s="35">
        <v>2.7900000000000001E-2</v>
      </c>
      <c r="E135" s="36">
        <v>0.27772949574741501</v>
      </c>
      <c r="F135" s="36">
        <v>17.39</v>
      </c>
      <c r="G135" s="36">
        <v>0</v>
      </c>
    </row>
    <row r="136" spans="1:7">
      <c r="A136" t="s">
        <v>24</v>
      </c>
      <c r="B136" s="34">
        <v>42156</v>
      </c>
      <c r="C136" s="35">
        <v>0</v>
      </c>
      <c r="D136" s="35">
        <v>0</v>
      </c>
      <c r="E136" s="36">
        <v>0.35491638964424999</v>
      </c>
      <c r="F136" s="37">
        <v>17.39</v>
      </c>
      <c r="G136" s="37">
        <v>0</v>
      </c>
    </row>
    <row r="137" spans="1:7">
      <c r="A137" t="s">
        <v>25</v>
      </c>
      <c r="B137" s="34">
        <v>42095</v>
      </c>
      <c r="C137" s="35">
        <v>16.482600000000001</v>
      </c>
      <c r="D137" s="35">
        <v>0</v>
      </c>
      <c r="E137" s="36">
        <v>5.5999090056126306E-2</v>
      </c>
      <c r="F137" s="36">
        <v>1.43</v>
      </c>
      <c r="G137" s="36">
        <v>0</v>
      </c>
    </row>
    <row r="138" spans="1:7">
      <c r="A138" t="s">
        <v>25</v>
      </c>
      <c r="B138" s="34">
        <v>42125</v>
      </c>
      <c r="C138" s="35">
        <v>10.3049</v>
      </c>
      <c r="D138" s="35">
        <v>0</v>
      </c>
      <c r="E138" s="36">
        <v>7.6209042857628501E-2</v>
      </c>
      <c r="F138" s="36">
        <v>2.29</v>
      </c>
      <c r="G138" s="36">
        <v>0</v>
      </c>
    </row>
    <row r="139" spans="1:7">
      <c r="A139" t="s">
        <v>25</v>
      </c>
      <c r="B139" s="34">
        <v>42156</v>
      </c>
      <c r="C139" s="35">
        <v>0</v>
      </c>
      <c r="D139" s="35">
        <v>0</v>
      </c>
      <c r="E139" s="36">
        <v>0.11834858248674</v>
      </c>
      <c r="F139" s="37">
        <v>2.29</v>
      </c>
      <c r="G139" s="37">
        <v>0</v>
      </c>
    </row>
    <row r="140" spans="1:7">
      <c r="A140" t="s">
        <v>37</v>
      </c>
      <c r="B140" s="34">
        <v>42156</v>
      </c>
      <c r="C140" s="35">
        <v>0</v>
      </c>
      <c r="D140" s="35">
        <v>0</v>
      </c>
      <c r="E140" s="36">
        <v>0.17926947193298801</v>
      </c>
      <c r="F140" s="37">
        <v>1.37</v>
      </c>
      <c r="G140" s="37">
        <v>0</v>
      </c>
    </row>
    <row r="141" spans="1:7">
      <c r="A141" t="s">
        <v>26</v>
      </c>
      <c r="B141" s="34">
        <v>42064</v>
      </c>
      <c r="C141" s="35">
        <v>39.482300000000002</v>
      </c>
      <c r="D141" s="35">
        <v>0</v>
      </c>
      <c r="E141" s="36">
        <v>0.20324079350067201</v>
      </c>
      <c r="F141" s="36">
        <v>4.32</v>
      </c>
      <c r="G141" s="36">
        <v>0</v>
      </c>
    </row>
    <row r="142" spans="1:7">
      <c r="A142" t="s">
        <v>26</v>
      </c>
      <c r="B142" s="34">
        <v>42095</v>
      </c>
      <c r="C142" s="35">
        <v>17.138100000000001</v>
      </c>
      <c r="D142" s="35">
        <v>0</v>
      </c>
      <c r="E142" s="36">
        <v>0.168899070331161</v>
      </c>
      <c r="F142" s="36">
        <v>5.8999999999999995</v>
      </c>
      <c r="G142" s="36">
        <v>0</v>
      </c>
    </row>
    <row r="143" spans="1:7">
      <c r="A143" t="s">
        <v>26</v>
      </c>
      <c r="B143" s="34">
        <v>42125</v>
      </c>
      <c r="C143" s="35">
        <v>15.325200000000001</v>
      </c>
      <c r="D143" s="35">
        <v>0</v>
      </c>
      <c r="E143" s="36">
        <v>0.19443009127071501</v>
      </c>
      <c r="F143" s="36">
        <v>7.26</v>
      </c>
      <c r="G143" s="36">
        <v>0</v>
      </c>
    </row>
    <row r="144" spans="1:7">
      <c r="A144" t="s">
        <v>26</v>
      </c>
      <c r="B144" s="34">
        <v>42156</v>
      </c>
      <c r="C144" s="35">
        <v>0</v>
      </c>
      <c r="D144" s="35">
        <v>0</v>
      </c>
      <c r="E144" s="36">
        <v>0.26498330954823002</v>
      </c>
      <c r="F144" s="37">
        <v>7.26</v>
      </c>
      <c r="G144" s="37">
        <v>0</v>
      </c>
    </row>
    <row r="145" spans="1:7">
      <c r="A145" t="s">
        <v>27</v>
      </c>
      <c r="B145" s="34">
        <v>42095</v>
      </c>
      <c r="C145" s="35">
        <v>12.428100000000001</v>
      </c>
      <c r="D145" s="35">
        <v>0</v>
      </c>
      <c r="E145" s="36">
        <v>0</v>
      </c>
      <c r="F145" s="36">
        <v>1.0699999999999998</v>
      </c>
      <c r="G145" s="36">
        <v>0</v>
      </c>
    </row>
    <row r="146" spans="1:7">
      <c r="A146" t="s">
        <v>27</v>
      </c>
      <c r="B146" s="34">
        <v>42125</v>
      </c>
      <c r="C146" s="35">
        <v>12.8009</v>
      </c>
      <c r="D146" s="35">
        <v>0</v>
      </c>
      <c r="E146" s="36">
        <v>0.10399318474289801</v>
      </c>
      <c r="F146" s="36">
        <v>2.17</v>
      </c>
      <c r="G146" s="36">
        <v>0</v>
      </c>
    </row>
    <row r="147" spans="1:7">
      <c r="A147" t="s">
        <v>27</v>
      </c>
      <c r="B147" s="34">
        <v>42156</v>
      </c>
      <c r="C147" s="35">
        <v>0</v>
      </c>
      <c r="D147" s="35">
        <v>0</v>
      </c>
      <c r="E147" s="36">
        <v>0.16668659441076</v>
      </c>
      <c r="F147" s="37">
        <v>2.17</v>
      </c>
      <c r="G147" s="37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55"/>
  <sheetViews>
    <sheetView topLeftCell="A4" workbookViewId="0">
      <selection activeCell="C61" sqref="C61"/>
    </sheetView>
  </sheetViews>
  <sheetFormatPr defaultRowHeight="15"/>
  <cols>
    <col min="1" max="1" width="11.140625" bestFit="1" customWidth="1"/>
    <col min="2" max="15" width="16.28515625" customWidth="1"/>
    <col min="16" max="16" width="11.28515625" customWidth="1"/>
    <col min="17" max="17" width="12" customWidth="1"/>
    <col min="18" max="29" width="22.7109375" bestFit="1" customWidth="1"/>
    <col min="30" max="30" width="25.7109375" bestFit="1" customWidth="1"/>
    <col min="31" max="31" width="27.7109375" bestFit="1" customWidth="1"/>
    <col min="32" max="32" width="22.7109375" customWidth="1"/>
    <col min="33" max="43" width="22.7109375" bestFit="1" customWidth="1"/>
    <col min="44" max="44" width="20.85546875" bestFit="1" customWidth="1"/>
    <col min="45" max="45" width="25.7109375" bestFit="1" customWidth="1"/>
    <col min="46" max="46" width="27.7109375" bestFit="1" customWidth="1"/>
  </cols>
  <sheetData>
    <row r="1" spans="1:29">
      <c r="A1" t="s">
        <v>30</v>
      </c>
      <c r="B1" s="40" t="s">
        <v>99</v>
      </c>
      <c r="C1" s="40" t="s">
        <v>100</v>
      </c>
      <c r="D1" s="40" t="s">
        <v>101</v>
      </c>
      <c r="E1" s="40" t="s">
        <v>102</v>
      </c>
      <c r="F1" s="35" t="s">
        <v>103</v>
      </c>
      <c r="G1" s="35" t="s">
        <v>104</v>
      </c>
      <c r="H1" s="41" t="s">
        <v>105</v>
      </c>
      <c r="I1" s="41" t="s">
        <v>106</v>
      </c>
      <c r="J1" s="41" t="s">
        <v>107</v>
      </c>
      <c r="K1" s="41" t="s">
        <v>108</v>
      </c>
      <c r="L1" s="41" t="s">
        <v>109</v>
      </c>
      <c r="M1" s="40" t="s">
        <v>110</v>
      </c>
      <c r="N1" s="33" t="s">
        <v>81</v>
      </c>
      <c r="O1" s="33" t="s">
        <v>83</v>
      </c>
      <c r="P1" s="33" t="s">
        <v>69</v>
      </c>
      <c r="Q1" s="33" t="s">
        <v>70</v>
      </c>
      <c r="R1" s="33" t="s">
        <v>71</v>
      </c>
      <c r="S1" s="33" t="s">
        <v>72</v>
      </c>
      <c r="T1" s="33" t="s">
        <v>73</v>
      </c>
      <c r="U1" s="33" t="s">
        <v>74</v>
      </c>
      <c r="V1" s="33" t="s">
        <v>75</v>
      </c>
      <c r="W1" s="33" t="s">
        <v>76</v>
      </c>
      <c r="X1" s="33" t="s">
        <v>77</v>
      </c>
      <c r="Y1" s="33" t="s">
        <v>78</v>
      </c>
      <c r="Z1" s="33" t="s">
        <v>79</v>
      </c>
      <c r="AA1" s="33" t="s">
        <v>80</v>
      </c>
      <c r="AB1" s="33" t="s">
        <v>82</v>
      </c>
      <c r="AC1" s="33" t="s">
        <v>84</v>
      </c>
    </row>
    <row r="2" spans="1:29">
      <c r="A2" t="s">
        <v>15</v>
      </c>
      <c r="B2" s="40">
        <v>84793</v>
      </c>
      <c r="C2" s="40">
        <v>18844871637.860001</v>
      </c>
      <c r="D2" s="40">
        <v>20248789000</v>
      </c>
      <c r="E2" s="40">
        <v>34.160833355208403</v>
      </c>
      <c r="F2" s="35">
        <v>3.8292562292607899</v>
      </c>
      <c r="G2" s="35">
        <v>3.8292601897346499</v>
      </c>
      <c r="H2" s="41">
        <v>74.826692598709997</v>
      </c>
      <c r="I2" s="41">
        <v>75.582367490546403</v>
      </c>
      <c r="J2" s="41">
        <v>60.618714100668697</v>
      </c>
      <c r="K2" s="41">
        <v>32.199716089737002</v>
      </c>
      <c r="L2" s="41">
        <v>766.69279975411803</v>
      </c>
      <c r="M2" s="40">
        <v>306098.61692109698</v>
      </c>
      <c r="N2" s="33">
        <v>0</v>
      </c>
      <c r="O2" s="33">
        <v>7.0286712970702506E-2</v>
      </c>
      <c r="P2" s="33">
        <v>0.105014142542322</v>
      </c>
      <c r="Q2" s="33">
        <v>0.63129471675833404</v>
      </c>
      <c r="R2" s="33">
        <v>2.3630007779695698E-2</v>
      </c>
      <c r="S2" s="33">
        <v>0.71571042737819401</v>
      </c>
      <c r="T2" s="33">
        <v>0.89395305003696202</v>
      </c>
      <c r="U2" s="33">
        <v>0.40084822924629898</v>
      </c>
      <c r="V2" s="33">
        <v>0.140747616088893</v>
      </c>
      <c r="W2" s="33">
        <v>0.99739476567293905</v>
      </c>
      <c r="X2" s="33">
        <v>2.6052343270604001E-3</v>
      </c>
      <c r="Y2" s="33">
        <v>0.97746113060718898</v>
      </c>
      <c r="Z2" s="33">
        <v>1.99336350657498E-2</v>
      </c>
      <c r="AA2" s="33">
        <v>2.33150770004339E-3</v>
      </c>
      <c r="AB2" s="33">
        <v>2.7372662701701298E-4</v>
      </c>
      <c r="AC2" s="33">
        <v>1.06326131507019E-4</v>
      </c>
    </row>
    <row r="3" spans="1:29">
      <c r="A3" t="s">
        <v>16</v>
      </c>
      <c r="B3" s="40">
        <v>132693</v>
      </c>
      <c r="C3" s="40">
        <v>30868963894.860001</v>
      </c>
      <c r="D3" s="40">
        <v>32744707000</v>
      </c>
      <c r="E3" s="40">
        <v>28.388378680159501</v>
      </c>
      <c r="F3" s="35">
        <v>3.5940966808970498</v>
      </c>
      <c r="G3" s="35">
        <v>3.59411456185369</v>
      </c>
      <c r="H3" s="41">
        <v>74.283992916362394</v>
      </c>
      <c r="I3" s="41">
        <v>75.279818992311107</v>
      </c>
      <c r="J3" s="41">
        <v>61.599118717611702</v>
      </c>
      <c r="K3" s="41">
        <v>32.138041426937498</v>
      </c>
      <c r="L3" s="41">
        <v>764.25690807350702</v>
      </c>
      <c r="M3" s="40">
        <v>313353.88862311898</v>
      </c>
      <c r="N3" s="33">
        <v>0</v>
      </c>
      <c r="O3" s="33">
        <v>9.3519772610854895E-2</v>
      </c>
      <c r="P3" s="33">
        <v>7.4736240114756297E-2</v>
      </c>
      <c r="Q3" s="33">
        <v>0.60931048166284096</v>
      </c>
      <c r="R3" s="33">
        <v>2.8841972311168099E-2</v>
      </c>
      <c r="S3" s="33">
        <v>0.67373260854385097</v>
      </c>
      <c r="T3" s="33">
        <v>0.88653955961789799</v>
      </c>
      <c r="U3" s="33">
        <v>0.26778516042439598</v>
      </c>
      <c r="V3" s="33">
        <v>0.122149590301858</v>
      </c>
      <c r="W3" s="33">
        <v>0.99676694991869697</v>
      </c>
      <c r="X3" s="33">
        <v>3.2330500813024599E-3</v>
      </c>
      <c r="Y3" s="33">
        <v>0.97970960481915303</v>
      </c>
      <c r="Z3" s="33">
        <v>1.7057345099544201E-2</v>
      </c>
      <c r="AA3" s="33">
        <v>2.9992835054440002E-3</v>
      </c>
      <c r="AB3" s="33">
        <v>2.3376657585846399E-4</v>
      </c>
      <c r="AC3" s="33">
        <v>1.14430765218789E-4</v>
      </c>
    </row>
    <row r="4" spans="1:29">
      <c r="A4" t="s">
        <v>17</v>
      </c>
      <c r="B4" s="40">
        <v>128194</v>
      </c>
      <c r="C4" s="40">
        <v>28730000635.919998</v>
      </c>
      <c r="D4" s="40">
        <v>30261960000</v>
      </c>
      <c r="E4" s="40">
        <v>25.215118808229001</v>
      </c>
      <c r="F4" s="35">
        <v>3.7159873508281001</v>
      </c>
      <c r="G4" s="35">
        <v>3.71599278627968</v>
      </c>
      <c r="H4" s="41">
        <v>74.8308152396678</v>
      </c>
      <c r="I4" s="41">
        <v>75.722337139684299</v>
      </c>
      <c r="J4" s="41">
        <v>63.536959983013503</v>
      </c>
      <c r="K4" s="41">
        <v>32.835626074592703</v>
      </c>
      <c r="L4" s="41">
        <v>761.35779383455997</v>
      </c>
      <c r="M4" s="40">
        <v>302441.392871955</v>
      </c>
      <c r="N4" s="33">
        <v>0</v>
      </c>
      <c r="O4" s="33">
        <v>8.0487457430783699E-2</v>
      </c>
      <c r="P4" s="33">
        <v>0.112468208129454</v>
      </c>
      <c r="Q4" s="33">
        <v>0.58662336641470403</v>
      </c>
      <c r="R4" s="33">
        <v>3.2283576632099797E-2</v>
      </c>
      <c r="S4" s="33">
        <v>0.657221934105096</v>
      </c>
      <c r="T4" s="33">
        <v>0.85746265877035599</v>
      </c>
      <c r="U4" s="33">
        <v>0.407853972339279</v>
      </c>
      <c r="V4" s="33">
        <v>0.12274786113477799</v>
      </c>
      <c r="W4" s="33">
        <v>0.99716946758858305</v>
      </c>
      <c r="X4" s="33">
        <v>2.8305324114169098E-3</v>
      </c>
      <c r="Y4" s="33">
        <v>0.98149129867803797</v>
      </c>
      <c r="Z4" s="33">
        <v>1.5678168910544299E-2</v>
      </c>
      <c r="AA4" s="33">
        <v>2.6510414515889202E-3</v>
      </c>
      <c r="AB4" s="33">
        <v>1.7949095982798801E-4</v>
      </c>
      <c r="AC4" s="33">
        <v>8.4162055568383701E-5</v>
      </c>
    </row>
    <row r="5" spans="1:29">
      <c r="A5" t="s">
        <v>18</v>
      </c>
      <c r="B5" s="40">
        <v>102690</v>
      </c>
      <c r="C5" s="40">
        <v>23516001945.110001</v>
      </c>
      <c r="D5" s="40">
        <v>24605428000</v>
      </c>
      <c r="E5" s="40">
        <v>22.542349212856799</v>
      </c>
      <c r="F5" s="35">
        <v>3.9738534854824601</v>
      </c>
      <c r="G5" s="35">
        <v>3.9738622374935502</v>
      </c>
      <c r="H5" s="41">
        <v>75.281709742869197</v>
      </c>
      <c r="I5" s="41">
        <v>76.339009535012707</v>
      </c>
      <c r="J5" s="41">
        <v>65.853191465945997</v>
      </c>
      <c r="K5" s="41">
        <v>33.067403096573102</v>
      </c>
      <c r="L5" s="41">
        <v>760.03980686218995</v>
      </c>
      <c r="M5" s="40">
        <v>303628.014954363</v>
      </c>
      <c r="N5" s="33">
        <v>0</v>
      </c>
      <c r="O5" s="33">
        <v>9.0462926605275398E-2</v>
      </c>
      <c r="P5" s="33">
        <v>0.15007943610303501</v>
      </c>
      <c r="Q5" s="33">
        <v>0.58850832344431703</v>
      </c>
      <c r="R5" s="33">
        <v>2.9315808846637401E-2</v>
      </c>
      <c r="S5" s="33">
        <v>0.636897315309774</v>
      </c>
      <c r="T5" s="33">
        <v>0.87896531170546699</v>
      </c>
      <c r="U5" s="33">
        <v>0.51999656120851701</v>
      </c>
      <c r="V5" s="33">
        <v>9.9023718611497405E-2</v>
      </c>
      <c r="W5" s="33">
        <v>0.99657111943568399</v>
      </c>
      <c r="X5" s="33">
        <v>3.4288805643157899E-3</v>
      </c>
      <c r="Y5" s="33">
        <v>0.98145424869508102</v>
      </c>
      <c r="Z5" s="33">
        <v>1.5116870740603101E-2</v>
      </c>
      <c r="AA5" s="33">
        <v>3.12590570121489E-3</v>
      </c>
      <c r="AB5" s="33">
        <v>3.0297486310089101E-4</v>
      </c>
      <c r="AC5" s="33">
        <v>7.4070098908211795E-5</v>
      </c>
    </row>
    <row r="6" spans="1:29">
      <c r="A6" t="s">
        <v>19</v>
      </c>
      <c r="B6" s="40">
        <v>71708</v>
      </c>
      <c r="C6" s="40">
        <v>14903591509.59</v>
      </c>
      <c r="D6" s="40">
        <v>15465048000</v>
      </c>
      <c r="E6" s="40">
        <v>19.160845104267398</v>
      </c>
      <c r="F6" s="35">
        <v>4.5363102345626301</v>
      </c>
      <c r="G6" s="35">
        <v>4.5363102345626301</v>
      </c>
      <c r="H6" s="41">
        <v>75.917112759675703</v>
      </c>
      <c r="I6" s="41">
        <v>76.686157591043695</v>
      </c>
      <c r="J6" s="41">
        <v>68.293092302147201</v>
      </c>
      <c r="K6" s="41">
        <v>34.478418486754101</v>
      </c>
      <c r="L6" s="41">
        <v>753.80486724772595</v>
      </c>
      <c r="M6" s="40">
        <v>280501.71368464403</v>
      </c>
      <c r="N6" s="33">
        <v>0</v>
      </c>
      <c r="O6" s="33">
        <v>6.2884593991115206E-2</v>
      </c>
      <c r="P6" s="33">
        <v>0.18928094221817501</v>
      </c>
      <c r="Q6" s="33">
        <v>0.55742381848390699</v>
      </c>
      <c r="R6" s="33">
        <v>3.4989357507178798E-2</v>
      </c>
      <c r="S6" s="33">
        <v>0.63150636996685305</v>
      </c>
      <c r="T6" s="33">
        <v>0.85486638953582605</v>
      </c>
      <c r="U6" s="33">
        <v>0.636277261282161</v>
      </c>
      <c r="V6" s="33">
        <v>0.12366351842937</v>
      </c>
      <c r="W6" s="33">
        <v>0.99467667261485604</v>
      </c>
      <c r="X6" s="33">
        <v>5.3233273851439897E-3</v>
      </c>
      <c r="Y6" s="33">
        <v>0.97980849253575097</v>
      </c>
      <c r="Z6" s="33">
        <v>1.48681800791047E-2</v>
      </c>
      <c r="AA6" s="33">
        <v>4.7958792002590397E-3</v>
      </c>
      <c r="AB6" s="33">
        <v>5.2744818488495004E-4</v>
      </c>
      <c r="AC6" s="33">
        <v>5.6965739396017199E-5</v>
      </c>
    </row>
    <row r="7" spans="1:29">
      <c r="A7" t="s">
        <v>20</v>
      </c>
      <c r="B7" s="40">
        <v>59082</v>
      </c>
      <c r="C7" s="40">
        <v>12356174994.129999</v>
      </c>
      <c r="D7" s="40">
        <v>12760098000</v>
      </c>
      <c r="E7" s="40">
        <v>16.3807543534034</v>
      </c>
      <c r="F7" s="35">
        <v>4.5668291499254297</v>
      </c>
      <c r="G7" s="35">
        <v>4.5668291499254297</v>
      </c>
      <c r="H7" s="41">
        <v>75.876078813017898</v>
      </c>
      <c r="I7" s="41">
        <v>76.700996994193105</v>
      </c>
      <c r="J7" s="41">
        <v>69.302217548040403</v>
      </c>
      <c r="K7" s="41">
        <v>34.776090603203301</v>
      </c>
      <c r="L7" s="41">
        <v>751.52818465194605</v>
      </c>
      <c r="M7" s="40">
        <v>280695.33743058302</v>
      </c>
      <c r="N7" s="33">
        <v>0</v>
      </c>
      <c r="O7" s="33">
        <v>6.7788188143006703E-2</v>
      </c>
      <c r="P7" s="33">
        <v>0.17352569864530001</v>
      </c>
      <c r="Q7" s="33">
        <v>0.54743106271183595</v>
      </c>
      <c r="R7" s="33">
        <v>3.6391874004990998E-2</v>
      </c>
      <c r="S7" s="33">
        <v>0.63295607042514701</v>
      </c>
      <c r="T7" s="33">
        <v>0.84416041759729199</v>
      </c>
      <c r="U7" s="33">
        <v>0.60963829247470003</v>
      </c>
      <c r="V7" s="33">
        <v>0.116810665398934</v>
      </c>
      <c r="W7" s="33">
        <v>0.99529690135680204</v>
      </c>
      <c r="X7" s="33">
        <v>4.7030986431971997E-3</v>
      </c>
      <c r="Y7" s="33">
        <v>0.98203506134418905</v>
      </c>
      <c r="Z7" s="33">
        <v>1.32618400126128E-2</v>
      </c>
      <c r="AA7" s="33">
        <v>4.2847106904160201E-3</v>
      </c>
      <c r="AB7" s="33">
        <v>4.1838795278117502E-4</v>
      </c>
      <c r="AC7" s="33">
        <v>0</v>
      </c>
    </row>
    <row r="8" spans="1:29">
      <c r="A8" t="s">
        <v>21</v>
      </c>
      <c r="B8" s="40">
        <v>37981</v>
      </c>
      <c r="C8" s="40">
        <v>7919678628.1700001</v>
      </c>
      <c r="D8" s="40">
        <v>8182812000</v>
      </c>
      <c r="E8" s="40">
        <v>19.223525697993999</v>
      </c>
      <c r="F8" s="35">
        <v>4.5516286331051203</v>
      </c>
      <c r="G8" s="35">
        <v>4.5515971531744999</v>
      </c>
      <c r="H8" s="41">
        <v>92.314133295397895</v>
      </c>
      <c r="I8" s="41">
        <v>92.3249810488919</v>
      </c>
      <c r="J8" s="41">
        <v>83.687363108517999</v>
      </c>
      <c r="K8" s="41">
        <v>34.722093165548202</v>
      </c>
      <c r="L8" s="41">
        <v>751.27795762989103</v>
      </c>
      <c r="M8" s="40">
        <v>257728.99219422101</v>
      </c>
      <c r="N8" s="33">
        <v>0.99801637525112097</v>
      </c>
      <c r="O8" s="33">
        <v>1.68610543014995E-3</v>
      </c>
      <c r="P8" s="33">
        <v>0.39643030257093398</v>
      </c>
      <c r="Q8" s="33">
        <v>0.54258630000532304</v>
      </c>
      <c r="R8" s="33">
        <v>0</v>
      </c>
      <c r="S8" s="33">
        <v>0.60735330321117498</v>
      </c>
      <c r="T8" s="33">
        <v>0.99548008661075205</v>
      </c>
      <c r="U8" s="33">
        <v>0.90576257158019802</v>
      </c>
      <c r="V8" s="33">
        <v>7.9505437242154198E-2</v>
      </c>
      <c r="W8" s="33">
        <v>0.99383550107874996</v>
      </c>
      <c r="X8" s="33">
        <v>6.1644989212499097E-3</v>
      </c>
      <c r="Y8" s="33">
        <v>0.98018477958665995</v>
      </c>
      <c r="Z8" s="33">
        <v>1.36507214920892E-2</v>
      </c>
      <c r="AA8" s="33">
        <v>5.4569332796255299E-3</v>
      </c>
      <c r="AB8" s="33">
        <v>7.0756564162437999E-4</v>
      </c>
      <c r="AC8" s="33">
        <v>8.9954897597229494E-5</v>
      </c>
    </row>
    <row r="9" spans="1:29">
      <c r="A9" t="s">
        <v>22</v>
      </c>
      <c r="B9" s="40">
        <v>135963</v>
      </c>
      <c r="C9" s="40">
        <v>29875609801.369999</v>
      </c>
      <c r="D9" s="40">
        <v>31361353000</v>
      </c>
      <c r="E9" s="40">
        <v>25.2121776592499</v>
      </c>
      <c r="F9" s="35">
        <v>3.79669684971442</v>
      </c>
      <c r="G9" s="35">
        <v>3.7966977189181401</v>
      </c>
      <c r="H9" s="41">
        <v>91.538060510031499</v>
      </c>
      <c r="I9" s="41">
        <v>91.562355822901694</v>
      </c>
      <c r="J9" s="41">
        <v>79.439633154000802</v>
      </c>
      <c r="K9" s="41">
        <v>33.148326786784601</v>
      </c>
      <c r="L9" s="41">
        <v>757.09097000118902</v>
      </c>
      <c r="M9" s="40">
        <v>274161.09979895299</v>
      </c>
      <c r="N9" s="33">
        <v>0.999304563393412</v>
      </c>
      <c r="O9" s="33">
        <v>3.9655796791323401E-3</v>
      </c>
      <c r="P9" s="33">
        <v>0.297197002461279</v>
      </c>
      <c r="Q9" s="33">
        <v>0.56621639503386001</v>
      </c>
      <c r="R9" s="33">
        <v>0</v>
      </c>
      <c r="S9" s="33">
        <v>0.62092425225440295</v>
      </c>
      <c r="T9" s="33">
        <v>0.99602556414347798</v>
      </c>
      <c r="U9" s="33">
        <v>0.71684535995606402</v>
      </c>
      <c r="V9" s="33">
        <v>7.7128833318218404E-2</v>
      </c>
      <c r="W9" s="33">
        <v>0.99623484288729502</v>
      </c>
      <c r="X9" s="33">
        <v>3.7651571127040799E-3</v>
      </c>
      <c r="Y9" s="33">
        <v>0.98681432852520601</v>
      </c>
      <c r="Z9" s="33">
        <v>9.4205143620898994E-3</v>
      </c>
      <c r="AA9" s="33">
        <v>3.2583719334001999E-3</v>
      </c>
      <c r="AB9" s="33">
        <v>5.06785179303878E-4</v>
      </c>
      <c r="AC9" s="33">
        <v>1.9732516387764699E-5</v>
      </c>
    </row>
    <row r="10" spans="1:29">
      <c r="A10" t="s">
        <v>23</v>
      </c>
      <c r="B10" s="40">
        <v>31630</v>
      </c>
      <c r="C10" s="40">
        <v>6632739546.4499998</v>
      </c>
      <c r="D10" s="40">
        <v>6823093000</v>
      </c>
      <c r="E10" s="40">
        <v>16.3784791544564</v>
      </c>
      <c r="F10" s="35">
        <v>4.5605805664145196</v>
      </c>
      <c r="G10" s="35">
        <v>4.5605126292845304</v>
      </c>
      <c r="H10" s="41">
        <v>92.369456020445</v>
      </c>
      <c r="I10" s="41">
        <v>92.378822957986401</v>
      </c>
      <c r="J10" s="41">
        <v>84.837973658007897</v>
      </c>
      <c r="K10" s="41">
        <v>34.914017671663998</v>
      </c>
      <c r="L10" s="41">
        <v>748.63164981732302</v>
      </c>
      <c r="M10" s="40">
        <v>258772.95562326</v>
      </c>
      <c r="N10" s="33">
        <v>0.99787556214572803</v>
      </c>
      <c r="O10" s="33">
        <v>1.4654595860321899E-3</v>
      </c>
      <c r="P10" s="33">
        <v>0.393983315768616</v>
      </c>
      <c r="Q10" s="33">
        <v>0.53975274066446899</v>
      </c>
      <c r="R10" s="33">
        <v>0</v>
      </c>
      <c r="S10" s="33">
        <v>0.59680719831953299</v>
      </c>
      <c r="T10" s="33">
        <v>0.995109091481307</v>
      </c>
      <c r="U10" s="33">
        <v>0.89881178197035905</v>
      </c>
      <c r="V10" s="33">
        <v>8.8609534730571995E-2</v>
      </c>
      <c r="W10" s="33">
        <v>0.99409544362691504</v>
      </c>
      <c r="X10" s="33">
        <v>5.9045563730843499E-3</v>
      </c>
      <c r="Y10" s="33">
        <v>0.98336518772562698</v>
      </c>
      <c r="Z10" s="33">
        <v>1.07302559012877E-2</v>
      </c>
      <c r="AA10" s="33">
        <v>5.0841820342619696E-3</v>
      </c>
      <c r="AB10" s="33">
        <v>8.2037433882238401E-4</v>
      </c>
      <c r="AC10" s="33">
        <v>6.0388559990174699E-5</v>
      </c>
    </row>
    <row r="11" spans="1:29">
      <c r="A11" t="s">
        <v>24</v>
      </c>
      <c r="B11" s="40">
        <v>107563</v>
      </c>
      <c r="C11" s="40">
        <v>23204440894.529999</v>
      </c>
      <c r="D11" s="40">
        <v>23801939000</v>
      </c>
      <c r="E11" s="40">
        <v>12.505718981802501</v>
      </c>
      <c r="F11" s="35">
        <v>4.51958030391304</v>
      </c>
      <c r="G11" s="35">
        <v>4.5195802139696903</v>
      </c>
      <c r="H11" s="41">
        <v>76.213677098987006</v>
      </c>
      <c r="I11" s="41">
        <v>77.015588711609695</v>
      </c>
      <c r="J11" s="41">
        <v>71.710370688618696</v>
      </c>
      <c r="K11" s="41">
        <v>34.480601611133302</v>
      </c>
      <c r="L11" s="41">
        <v>752.26310007983204</v>
      </c>
      <c r="M11" s="40">
        <v>284854.19919722702</v>
      </c>
      <c r="N11" s="33">
        <v>0</v>
      </c>
      <c r="O11" s="33">
        <v>6.4889682685478803E-2</v>
      </c>
      <c r="P11" s="33">
        <v>0.193494976380509</v>
      </c>
      <c r="Q11" s="33">
        <v>0.552612513181163</v>
      </c>
      <c r="R11" s="33">
        <v>3.4019637397774402E-2</v>
      </c>
      <c r="S11" s="33">
        <v>0.61989908816940498</v>
      </c>
      <c r="T11" s="33">
        <v>0.84966590518488505</v>
      </c>
      <c r="U11" s="33">
        <v>0.67181533554444794</v>
      </c>
      <c r="V11" s="33">
        <v>0.13026393858869201</v>
      </c>
      <c r="W11" s="33">
        <v>0.996450836103557</v>
      </c>
      <c r="X11" s="33">
        <v>3.5491638964424998E-3</v>
      </c>
      <c r="Y11" s="33">
        <v>0.98926828604007799</v>
      </c>
      <c r="Z11" s="33">
        <v>7.1825500634789497E-3</v>
      </c>
      <c r="AA11" s="33">
        <v>3.4281744029761099E-3</v>
      </c>
      <c r="AB11" s="33">
        <v>1.20989493466391E-4</v>
      </c>
      <c r="AC11" s="33">
        <v>0</v>
      </c>
    </row>
    <row r="12" spans="1:29">
      <c r="A12" t="s">
        <v>25</v>
      </c>
      <c r="B12" s="40">
        <v>132605</v>
      </c>
      <c r="C12" s="40">
        <v>30902656949.099998</v>
      </c>
      <c r="D12" s="40">
        <v>33002088000</v>
      </c>
      <c r="E12" s="40">
        <v>31.459982571827801</v>
      </c>
      <c r="F12" s="35">
        <v>3.6653300358472798</v>
      </c>
      <c r="G12" s="35">
        <v>3.66533024624965</v>
      </c>
      <c r="H12" s="41">
        <v>74.468186906887297</v>
      </c>
      <c r="I12" s="41">
        <v>75.489855449732801</v>
      </c>
      <c r="J12" s="41">
        <v>60.817591198192297</v>
      </c>
      <c r="K12" s="41">
        <v>31.9957291431604</v>
      </c>
      <c r="L12" s="41">
        <v>766.36911300325505</v>
      </c>
      <c r="M12" s="40">
        <v>314581.67473241698</v>
      </c>
      <c r="N12" s="33">
        <v>0</v>
      </c>
      <c r="O12" s="33">
        <v>9.5284311467456306E-2</v>
      </c>
      <c r="P12" s="33">
        <v>8.1393873836251296E-2</v>
      </c>
      <c r="Q12" s="33">
        <v>0.623578599544374</v>
      </c>
      <c r="R12" s="33">
        <v>2.5401029397339899E-2</v>
      </c>
      <c r="S12" s="33">
        <v>0.70198675552012002</v>
      </c>
      <c r="T12" s="33">
        <v>0.89209194671019598</v>
      </c>
      <c r="U12" s="33">
        <v>0.30733603070614202</v>
      </c>
      <c r="V12" s="33">
        <v>0.125649778648663</v>
      </c>
      <c r="W12" s="33">
        <v>0.99881651417513195</v>
      </c>
      <c r="X12" s="33">
        <v>1.1834858248674E-3</v>
      </c>
      <c r="Y12" s="33">
        <v>0.99783014810213699</v>
      </c>
      <c r="Z12" s="33">
        <v>9.8636607299514793E-4</v>
      </c>
      <c r="AA12" s="33">
        <v>1.1292800430551999E-3</v>
      </c>
      <c r="AB12" s="33">
        <v>5.4205781812194099E-5</v>
      </c>
      <c r="AC12" s="33">
        <v>0</v>
      </c>
    </row>
    <row r="13" spans="1:29">
      <c r="A13" t="s">
        <v>37</v>
      </c>
      <c r="B13" s="40">
        <v>141967</v>
      </c>
      <c r="C13" s="40">
        <v>31928168573.73</v>
      </c>
      <c r="D13" s="40">
        <v>32518882000</v>
      </c>
      <c r="E13" s="40">
        <v>8.7545979936163096</v>
      </c>
      <c r="F13" s="35">
        <v>4.37955953225784</v>
      </c>
      <c r="G13" s="35">
        <v>4.37955953225784</v>
      </c>
      <c r="H13" s="41">
        <v>75.9572137273572</v>
      </c>
      <c r="I13" s="41">
        <v>76.871091511166497</v>
      </c>
      <c r="J13" s="41">
        <v>73.487001855973404</v>
      </c>
      <c r="K13" s="41">
        <v>34.626370253664803</v>
      </c>
      <c r="L13" s="41">
        <v>751.69752539868705</v>
      </c>
      <c r="M13" s="40">
        <v>294182.62573164701</v>
      </c>
      <c r="N13" s="33">
        <v>0</v>
      </c>
      <c r="O13" s="33">
        <v>7.5041649686457199E-2</v>
      </c>
      <c r="P13" s="33">
        <v>0.17036935063997299</v>
      </c>
      <c r="Q13" s="33">
        <v>0.55562806941129494</v>
      </c>
      <c r="R13" s="33">
        <v>3.3118285136154502E-2</v>
      </c>
      <c r="S13" s="33">
        <v>0.62772848756475197</v>
      </c>
      <c r="T13" s="33">
        <v>0.85505301200809303</v>
      </c>
      <c r="U13" s="33">
        <v>0.61957617450367197</v>
      </c>
      <c r="V13" s="33">
        <v>0.121193763642733</v>
      </c>
      <c r="W13" s="33">
        <v>0.99820730528067003</v>
      </c>
      <c r="X13" s="33">
        <v>1.79269471932988E-3</v>
      </c>
      <c r="Y13" s="33">
        <v>0.99820730528067003</v>
      </c>
      <c r="Z13" s="33">
        <v>0</v>
      </c>
      <c r="AA13" s="33">
        <v>1.79269471932988E-3</v>
      </c>
      <c r="AB13" s="33">
        <v>0</v>
      </c>
      <c r="AC13" s="33">
        <v>0</v>
      </c>
    </row>
    <row r="14" spans="1:29">
      <c r="A14" t="s">
        <v>26</v>
      </c>
      <c r="B14" s="40">
        <v>71306</v>
      </c>
      <c r="C14" s="40">
        <v>15307704367.93</v>
      </c>
      <c r="D14" s="40">
        <v>15648312000</v>
      </c>
      <c r="E14" s="40">
        <v>12.4578112545452</v>
      </c>
      <c r="F14" s="35">
        <v>4.5402168157034204</v>
      </c>
      <c r="G14" s="35">
        <v>4.5402168157034204</v>
      </c>
      <c r="H14" s="41">
        <v>92.482191295939998</v>
      </c>
      <c r="I14" s="41">
        <v>92.489408970936495</v>
      </c>
      <c r="J14" s="41">
        <v>87.411302845692205</v>
      </c>
      <c r="K14" s="41">
        <v>34.741520116496403</v>
      </c>
      <c r="L14" s="41">
        <v>748.17364565155799</v>
      </c>
      <c r="M14" s="40">
        <v>261492.37113095701</v>
      </c>
      <c r="N14" s="33">
        <v>0.99829433543773505</v>
      </c>
      <c r="O14" s="33">
        <v>1.16631951734081E-3</v>
      </c>
      <c r="P14" s="33">
        <v>0.405933977118626</v>
      </c>
      <c r="Q14" s="33">
        <v>0.54599575686868296</v>
      </c>
      <c r="R14" s="33">
        <v>0</v>
      </c>
      <c r="S14" s="33">
        <v>0.59745977775482295</v>
      </c>
      <c r="T14" s="33">
        <v>0.99488595389952705</v>
      </c>
      <c r="U14" s="33">
        <v>0.92472485564954598</v>
      </c>
      <c r="V14" s="33">
        <v>0.10252488746503099</v>
      </c>
      <c r="W14" s="33">
        <v>0.99735016690451705</v>
      </c>
      <c r="X14" s="33">
        <v>2.6498330954822999E-3</v>
      </c>
      <c r="Y14" s="33">
        <v>0.99352357934951296</v>
      </c>
      <c r="Z14" s="33">
        <v>3.8265875550039098E-3</v>
      </c>
      <c r="AA14" s="33">
        <v>2.5400054061311701E-3</v>
      </c>
      <c r="AB14" s="33">
        <v>1.09827689351133E-4</v>
      </c>
      <c r="AC14" s="33">
        <v>0</v>
      </c>
    </row>
    <row r="15" spans="1:29">
      <c r="A15" t="s">
        <v>27</v>
      </c>
      <c r="B15" s="40">
        <v>134396</v>
      </c>
      <c r="C15" s="40">
        <v>29531552788.639999</v>
      </c>
      <c r="D15" s="40">
        <v>31002448000</v>
      </c>
      <c r="E15" s="40">
        <v>25.214556203141999</v>
      </c>
      <c r="F15" s="35">
        <v>3.7955551703555699</v>
      </c>
      <c r="G15" s="35">
        <v>3.7955551703555699</v>
      </c>
      <c r="H15" s="41">
        <v>91.535120058433805</v>
      </c>
      <c r="I15" s="41">
        <v>91.560280840275496</v>
      </c>
      <c r="J15" s="41">
        <v>79.431489742485397</v>
      </c>
      <c r="K15" s="41">
        <v>33.120655391504499</v>
      </c>
      <c r="L15" s="41">
        <v>757.39548421027405</v>
      </c>
      <c r="M15" s="40">
        <v>274143.878702202</v>
      </c>
      <c r="N15" s="33">
        <v>0.99931025504362103</v>
      </c>
      <c r="O15" s="33">
        <v>4.0987360788749799E-3</v>
      </c>
      <c r="P15" s="33">
        <v>0.29779204123505798</v>
      </c>
      <c r="Q15" s="33">
        <v>0.56770692301486902</v>
      </c>
      <c r="R15" s="33">
        <v>0</v>
      </c>
      <c r="S15" s="33">
        <v>0.62065396964668296</v>
      </c>
      <c r="T15" s="33">
        <v>0.99606576875447195</v>
      </c>
      <c r="U15" s="33">
        <v>0.71654250149351795</v>
      </c>
      <c r="V15" s="33">
        <v>7.6888101069763196E-2</v>
      </c>
      <c r="W15" s="33">
        <v>0.99833313405589197</v>
      </c>
      <c r="X15" s="33">
        <v>1.6668659441076001E-3</v>
      </c>
      <c r="Y15" s="33">
        <v>0.99761597253913803</v>
      </c>
      <c r="Z15" s="33">
        <v>7.1716151675393599E-4</v>
      </c>
      <c r="AA15" s="33">
        <v>1.6668659441076001E-3</v>
      </c>
      <c r="AB15" s="33">
        <v>0</v>
      </c>
      <c r="AC15" s="33">
        <v>0</v>
      </c>
    </row>
    <row r="27" spans="2:16">
      <c r="B27" t="s">
        <v>30</v>
      </c>
      <c r="C27" t="s">
        <v>15</v>
      </c>
      <c r="D27" t="s">
        <v>16</v>
      </c>
      <c r="E27" t="s">
        <v>17</v>
      </c>
      <c r="F27" t="s">
        <v>18</v>
      </c>
      <c r="G27" t="s">
        <v>19</v>
      </c>
      <c r="H27" t="s">
        <v>20</v>
      </c>
      <c r="I27" t="s">
        <v>21</v>
      </c>
      <c r="J27" t="s">
        <v>22</v>
      </c>
      <c r="K27" t="s">
        <v>23</v>
      </c>
      <c r="L27" t="s">
        <v>24</v>
      </c>
      <c r="M27" t="s">
        <v>25</v>
      </c>
      <c r="N27" t="s">
        <v>37</v>
      </c>
      <c r="O27" t="s">
        <v>26</v>
      </c>
      <c r="P27" t="s">
        <v>27</v>
      </c>
    </row>
    <row r="28" spans="2:16">
      <c r="B28" s="40" t="s">
        <v>99</v>
      </c>
      <c r="C28" s="40">
        <v>84793</v>
      </c>
      <c r="D28" s="40">
        <v>132693</v>
      </c>
      <c r="E28" s="40">
        <v>128194</v>
      </c>
      <c r="F28" s="40">
        <v>102690</v>
      </c>
      <c r="G28" s="40">
        <v>71708</v>
      </c>
      <c r="H28" s="40">
        <v>59082</v>
      </c>
      <c r="I28" s="40">
        <v>37981</v>
      </c>
      <c r="J28" s="40">
        <v>135963</v>
      </c>
      <c r="K28" s="40">
        <v>31630</v>
      </c>
      <c r="L28" s="40">
        <v>107563</v>
      </c>
      <c r="M28" s="40">
        <v>132605</v>
      </c>
      <c r="N28" s="40">
        <v>141967</v>
      </c>
      <c r="O28" s="40">
        <v>71306</v>
      </c>
      <c r="P28" s="40">
        <v>134396</v>
      </c>
    </row>
    <row r="29" spans="2:16">
      <c r="B29" s="40" t="s">
        <v>100</v>
      </c>
      <c r="C29" s="40">
        <v>18844871637.860001</v>
      </c>
      <c r="D29" s="40">
        <v>30868963894.860001</v>
      </c>
      <c r="E29" s="40">
        <v>28730000635.919998</v>
      </c>
      <c r="F29" s="40">
        <v>23516001945.110001</v>
      </c>
      <c r="G29" s="40">
        <v>14903591509.59</v>
      </c>
      <c r="H29" s="40">
        <v>12356174994.129999</v>
      </c>
      <c r="I29" s="40">
        <v>7919678628.1700001</v>
      </c>
      <c r="J29" s="40">
        <v>29875609801.369999</v>
      </c>
      <c r="K29" s="40">
        <v>6632739546.4499998</v>
      </c>
      <c r="L29" s="40">
        <v>23204440894.529999</v>
      </c>
      <c r="M29" s="40">
        <v>30902656949.099998</v>
      </c>
      <c r="N29" s="40">
        <v>31928168573.73</v>
      </c>
      <c r="O29" s="40">
        <v>15307704367.93</v>
      </c>
      <c r="P29" s="40">
        <v>29531552788.639999</v>
      </c>
    </row>
    <row r="30" spans="2:16">
      <c r="B30" s="40" t="s">
        <v>101</v>
      </c>
      <c r="C30" s="40">
        <v>20248789000</v>
      </c>
      <c r="D30" s="40">
        <v>32744707000</v>
      </c>
      <c r="E30" s="40">
        <v>30261960000</v>
      </c>
      <c r="F30" s="40">
        <v>24605428000</v>
      </c>
      <c r="G30" s="40">
        <v>15465048000</v>
      </c>
      <c r="H30" s="40">
        <v>12760098000</v>
      </c>
      <c r="I30" s="40">
        <v>8182812000</v>
      </c>
      <c r="J30" s="40">
        <v>31361353000</v>
      </c>
      <c r="K30" s="40">
        <v>6823093000</v>
      </c>
      <c r="L30" s="40">
        <v>23801939000</v>
      </c>
      <c r="M30" s="40">
        <v>33002088000</v>
      </c>
      <c r="N30" s="40">
        <v>32518882000</v>
      </c>
      <c r="O30" s="40">
        <v>15648312000</v>
      </c>
      <c r="P30" s="40">
        <v>31002448000</v>
      </c>
    </row>
    <row r="31" spans="2:16">
      <c r="B31" s="40" t="s">
        <v>102</v>
      </c>
      <c r="C31" s="40">
        <v>34.160833355208403</v>
      </c>
      <c r="D31" s="40">
        <v>28.388378680159501</v>
      </c>
      <c r="E31" s="40">
        <v>25.215118808229001</v>
      </c>
      <c r="F31" s="40">
        <v>22.542349212856799</v>
      </c>
      <c r="G31" s="40">
        <v>19.160845104267398</v>
      </c>
      <c r="H31" s="40">
        <v>16.3807543534034</v>
      </c>
      <c r="I31" s="40">
        <v>19.223525697993999</v>
      </c>
      <c r="J31" s="40">
        <v>25.2121776592499</v>
      </c>
      <c r="K31" s="40">
        <v>16.3784791544564</v>
      </c>
      <c r="L31" s="40">
        <v>12.505718981802501</v>
      </c>
      <c r="M31" s="40">
        <v>31.459982571827801</v>
      </c>
      <c r="N31" s="40">
        <v>8.7545979936163096</v>
      </c>
      <c r="O31" s="40">
        <v>12.4578112545452</v>
      </c>
      <c r="P31" s="40">
        <v>25.214556203141999</v>
      </c>
    </row>
    <row r="32" spans="2:16">
      <c r="B32" s="35" t="s">
        <v>103</v>
      </c>
      <c r="C32" s="35">
        <v>3.8292562292607899</v>
      </c>
      <c r="D32" s="35">
        <v>3.5940966808970498</v>
      </c>
      <c r="E32" s="35">
        <v>3.7159873508281001</v>
      </c>
      <c r="F32" s="35">
        <v>3.9738534854824601</v>
      </c>
      <c r="G32" s="35">
        <v>4.5363102345626301</v>
      </c>
      <c r="H32" s="35">
        <v>4.5668291499254297</v>
      </c>
      <c r="I32" s="35">
        <v>4.5516286331051203</v>
      </c>
      <c r="J32" s="35">
        <v>3.79669684971442</v>
      </c>
      <c r="K32" s="35">
        <v>4.5605805664145196</v>
      </c>
      <c r="L32" s="35">
        <v>4.51958030391304</v>
      </c>
      <c r="M32" s="35">
        <v>3.6653300358472798</v>
      </c>
      <c r="N32" s="35">
        <v>4.37955953225784</v>
      </c>
      <c r="O32" s="35">
        <v>4.5402168157034204</v>
      </c>
      <c r="P32" s="35">
        <v>3.7955551703555699</v>
      </c>
    </row>
    <row r="33" spans="2:16">
      <c r="B33" s="35" t="s">
        <v>104</v>
      </c>
      <c r="C33" s="35">
        <v>3.8292601897346499</v>
      </c>
      <c r="D33" s="35">
        <v>3.59411456185369</v>
      </c>
      <c r="E33" s="35">
        <v>3.71599278627968</v>
      </c>
      <c r="F33" s="35">
        <v>3.9738622374935502</v>
      </c>
      <c r="G33" s="35">
        <v>4.5363102345626301</v>
      </c>
      <c r="H33" s="35">
        <v>4.5668291499254297</v>
      </c>
      <c r="I33" s="35">
        <v>4.5515971531744999</v>
      </c>
      <c r="J33" s="35">
        <v>3.7966977189181401</v>
      </c>
      <c r="K33" s="35">
        <v>4.5605126292845304</v>
      </c>
      <c r="L33" s="35">
        <v>4.5195802139696903</v>
      </c>
      <c r="M33" s="35">
        <v>3.66533024624965</v>
      </c>
      <c r="N33" s="35">
        <v>4.37955953225784</v>
      </c>
      <c r="O33" s="35">
        <v>4.5402168157034204</v>
      </c>
      <c r="P33" s="35">
        <v>3.7955551703555699</v>
      </c>
    </row>
    <row r="34" spans="2:16">
      <c r="B34" s="41" t="s">
        <v>105</v>
      </c>
      <c r="C34" s="41">
        <v>74.826692598709997</v>
      </c>
      <c r="D34" s="41">
        <v>74.283992916362394</v>
      </c>
      <c r="E34" s="41">
        <v>74.8308152396678</v>
      </c>
      <c r="F34" s="41">
        <v>75.281709742869197</v>
      </c>
      <c r="G34" s="41">
        <v>75.917112759675703</v>
      </c>
      <c r="H34" s="41">
        <v>75.876078813017898</v>
      </c>
      <c r="I34" s="41">
        <v>92.314133295397895</v>
      </c>
      <c r="J34" s="41">
        <v>91.538060510031499</v>
      </c>
      <c r="K34" s="41">
        <v>92.369456020445</v>
      </c>
      <c r="L34" s="41">
        <v>76.213677098987006</v>
      </c>
      <c r="M34" s="41">
        <v>74.468186906887297</v>
      </c>
      <c r="N34" s="41">
        <v>75.9572137273572</v>
      </c>
      <c r="O34" s="41">
        <v>92.482191295939998</v>
      </c>
      <c r="P34" s="41">
        <v>91.535120058433805</v>
      </c>
    </row>
    <row r="35" spans="2:16">
      <c r="B35" s="41" t="s">
        <v>106</v>
      </c>
      <c r="C35" s="41">
        <v>75.582367490546403</v>
      </c>
      <c r="D35" s="41">
        <v>75.279818992311107</v>
      </c>
      <c r="E35" s="41">
        <v>75.722337139684299</v>
      </c>
      <c r="F35" s="41">
        <v>76.339009535012707</v>
      </c>
      <c r="G35" s="41">
        <v>76.686157591043695</v>
      </c>
      <c r="H35" s="41">
        <v>76.700996994193105</v>
      </c>
      <c r="I35" s="41">
        <v>92.3249810488919</v>
      </c>
      <c r="J35" s="41">
        <v>91.562355822901694</v>
      </c>
      <c r="K35" s="41">
        <v>92.378822957986401</v>
      </c>
      <c r="L35" s="41">
        <v>77.015588711609695</v>
      </c>
      <c r="M35" s="41">
        <v>75.489855449732801</v>
      </c>
      <c r="N35" s="41">
        <v>76.871091511166497</v>
      </c>
      <c r="O35" s="41">
        <v>92.489408970936495</v>
      </c>
      <c r="P35" s="41">
        <v>91.560280840275496</v>
      </c>
    </row>
    <row r="36" spans="2:16">
      <c r="B36" s="41" t="s">
        <v>107</v>
      </c>
      <c r="C36" s="41">
        <v>60.618714100668697</v>
      </c>
      <c r="D36" s="41">
        <v>61.599118717611702</v>
      </c>
      <c r="E36" s="41">
        <v>63.536959983013503</v>
      </c>
      <c r="F36" s="41">
        <v>65.853191465945997</v>
      </c>
      <c r="G36" s="41">
        <v>68.293092302147201</v>
      </c>
      <c r="H36" s="41">
        <v>69.302217548040403</v>
      </c>
      <c r="I36" s="41">
        <v>83.687363108517999</v>
      </c>
      <c r="J36" s="41">
        <v>79.439633154000802</v>
      </c>
      <c r="K36" s="41">
        <v>84.837973658007897</v>
      </c>
      <c r="L36" s="41">
        <v>71.710370688618696</v>
      </c>
      <c r="M36" s="41">
        <v>60.817591198192297</v>
      </c>
      <c r="N36" s="41">
        <v>73.487001855973404</v>
      </c>
      <c r="O36" s="41">
        <v>87.411302845692205</v>
      </c>
      <c r="P36" s="41">
        <v>79.431489742485397</v>
      </c>
    </row>
    <row r="37" spans="2:16">
      <c r="B37" s="41" t="s">
        <v>108</v>
      </c>
      <c r="C37" s="41">
        <v>32.199716089737002</v>
      </c>
      <c r="D37" s="41">
        <v>32.138041426937498</v>
      </c>
      <c r="E37" s="41">
        <v>32.835626074592703</v>
      </c>
      <c r="F37" s="41">
        <v>33.067403096573102</v>
      </c>
      <c r="G37" s="41">
        <v>34.478418486754101</v>
      </c>
      <c r="H37" s="41">
        <v>34.776090603203301</v>
      </c>
      <c r="I37" s="41">
        <v>34.722093165548202</v>
      </c>
      <c r="J37" s="41">
        <v>33.148326786784601</v>
      </c>
      <c r="K37" s="41">
        <v>34.914017671663998</v>
      </c>
      <c r="L37" s="41">
        <v>34.480601611133302</v>
      </c>
      <c r="M37" s="41">
        <v>31.9957291431604</v>
      </c>
      <c r="N37" s="41">
        <v>34.626370253664803</v>
      </c>
      <c r="O37" s="41">
        <v>34.741520116496403</v>
      </c>
      <c r="P37" s="41">
        <v>33.120655391504499</v>
      </c>
    </row>
    <row r="38" spans="2:16">
      <c r="B38" s="41" t="s">
        <v>109</v>
      </c>
      <c r="C38" s="41">
        <v>766.69279975411803</v>
      </c>
      <c r="D38" s="41">
        <v>764.25690807350702</v>
      </c>
      <c r="E38" s="41">
        <v>761.35779383455997</v>
      </c>
      <c r="F38" s="41">
        <v>760.03980686218995</v>
      </c>
      <c r="G38" s="41">
        <v>753.80486724772595</v>
      </c>
      <c r="H38" s="41">
        <v>751.52818465194605</v>
      </c>
      <c r="I38" s="41">
        <v>751.27795762989103</v>
      </c>
      <c r="J38" s="41">
        <v>757.09097000118902</v>
      </c>
      <c r="K38" s="41">
        <v>748.63164981732302</v>
      </c>
      <c r="L38" s="41">
        <v>752.26310007983204</v>
      </c>
      <c r="M38" s="41">
        <v>766.36911300325505</v>
      </c>
      <c r="N38" s="41">
        <v>751.69752539868705</v>
      </c>
      <c r="O38" s="41">
        <v>748.17364565155799</v>
      </c>
      <c r="P38" s="41">
        <v>757.39548421027405</v>
      </c>
    </row>
    <row r="39" spans="2:16">
      <c r="B39" s="40" t="s">
        <v>110</v>
      </c>
      <c r="C39" s="40">
        <v>306098.61692109698</v>
      </c>
      <c r="D39" s="40">
        <v>313353.88862311898</v>
      </c>
      <c r="E39" s="40">
        <v>302441.392871955</v>
      </c>
      <c r="F39" s="40">
        <v>303628.014954363</v>
      </c>
      <c r="G39" s="40">
        <v>280501.71368464403</v>
      </c>
      <c r="H39" s="40">
        <v>280695.33743058302</v>
      </c>
      <c r="I39" s="40">
        <v>257728.99219422101</v>
      </c>
      <c r="J39" s="40">
        <v>274161.09979895299</v>
      </c>
      <c r="K39" s="40">
        <v>258772.95562326</v>
      </c>
      <c r="L39" s="40">
        <v>284854.19919722702</v>
      </c>
      <c r="M39" s="40">
        <v>314581.67473241698</v>
      </c>
      <c r="N39" s="40">
        <v>294182.62573164701</v>
      </c>
      <c r="O39" s="40">
        <v>261492.37113095701</v>
      </c>
      <c r="P39" s="40">
        <v>274143.878702202</v>
      </c>
    </row>
    <row r="40" spans="2:16">
      <c r="B40" s="33" t="s">
        <v>81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0.99801637525112097</v>
      </c>
      <c r="J40" s="33">
        <v>0.999304563393412</v>
      </c>
      <c r="K40" s="33">
        <v>0.99787556214572803</v>
      </c>
      <c r="L40" s="33">
        <v>0</v>
      </c>
      <c r="M40" s="33">
        <v>0</v>
      </c>
      <c r="N40" s="33">
        <v>0</v>
      </c>
      <c r="O40" s="33">
        <v>0.99829433543773505</v>
      </c>
      <c r="P40" s="33">
        <v>0.99931025504362103</v>
      </c>
    </row>
    <row r="41" spans="2:16">
      <c r="B41" s="33" t="s">
        <v>83</v>
      </c>
      <c r="C41" s="33">
        <v>7.0286712970702506E-2</v>
      </c>
      <c r="D41" s="33">
        <v>9.3519772610854895E-2</v>
      </c>
      <c r="E41" s="33">
        <v>8.0487457430783699E-2</v>
      </c>
      <c r="F41" s="33">
        <v>9.0462926605275398E-2</v>
      </c>
      <c r="G41" s="33">
        <v>6.2884593991115206E-2</v>
      </c>
      <c r="H41" s="33">
        <v>6.7788188143006703E-2</v>
      </c>
      <c r="I41" s="33">
        <v>1.68610543014995E-3</v>
      </c>
      <c r="J41" s="33">
        <v>3.9655796791323401E-3</v>
      </c>
      <c r="K41" s="33">
        <v>1.4654595860321899E-3</v>
      </c>
      <c r="L41" s="33">
        <v>6.4889682685478803E-2</v>
      </c>
      <c r="M41" s="33">
        <v>9.5284311467456306E-2</v>
      </c>
      <c r="N41" s="33">
        <v>7.5041649686457199E-2</v>
      </c>
      <c r="O41" s="33">
        <v>1.16631951734081E-3</v>
      </c>
      <c r="P41" s="33">
        <v>4.0987360788749799E-3</v>
      </c>
    </row>
    <row r="42" spans="2:16">
      <c r="B42" s="33" t="s">
        <v>69</v>
      </c>
      <c r="C42" s="33">
        <v>0.105014142542322</v>
      </c>
      <c r="D42" s="33">
        <v>7.4736240114756297E-2</v>
      </c>
      <c r="E42" s="33">
        <v>0.112468208129454</v>
      </c>
      <c r="F42" s="33">
        <v>0.15007943610303501</v>
      </c>
      <c r="G42" s="33">
        <v>0.18928094221817501</v>
      </c>
      <c r="H42" s="33">
        <v>0.17352569864530001</v>
      </c>
      <c r="I42" s="33">
        <v>0.39643030257093398</v>
      </c>
      <c r="J42" s="33">
        <v>0.297197002461279</v>
      </c>
      <c r="K42" s="33">
        <v>0.393983315768616</v>
      </c>
      <c r="L42" s="33">
        <v>0.193494976380509</v>
      </c>
      <c r="M42" s="33">
        <v>8.1393873836251296E-2</v>
      </c>
      <c r="N42" s="33">
        <v>0.17036935063997299</v>
      </c>
      <c r="O42" s="33">
        <v>0.405933977118626</v>
      </c>
      <c r="P42" s="33">
        <v>0.29779204123505798</v>
      </c>
    </row>
    <row r="43" spans="2:16">
      <c r="B43" s="33" t="s">
        <v>70</v>
      </c>
      <c r="C43" s="33">
        <v>0.63129471675833404</v>
      </c>
      <c r="D43" s="33">
        <v>0.60931048166284096</v>
      </c>
      <c r="E43" s="33">
        <v>0.58662336641470403</v>
      </c>
      <c r="F43" s="33">
        <v>0.58850832344431703</v>
      </c>
      <c r="G43" s="33">
        <v>0.55742381848390699</v>
      </c>
      <c r="H43" s="33">
        <v>0.54743106271183595</v>
      </c>
      <c r="I43" s="33">
        <v>0.54258630000532304</v>
      </c>
      <c r="J43" s="33">
        <v>0.56621639503386001</v>
      </c>
      <c r="K43" s="33">
        <v>0.53975274066446899</v>
      </c>
      <c r="L43" s="33">
        <v>0.552612513181163</v>
      </c>
      <c r="M43" s="33">
        <v>0.623578599544374</v>
      </c>
      <c r="N43" s="33">
        <v>0.55562806941129494</v>
      </c>
      <c r="O43" s="33">
        <v>0.54599575686868296</v>
      </c>
      <c r="P43" s="33">
        <v>0.56770692301486902</v>
      </c>
    </row>
    <row r="44" spans="2:16">
      <c r="B44" s="33" t="s">
        <v>71</v>
      </c>
      <c r="C44" s="33">
        <v>2.3630007779695698E-2</v>
      </c>
      <c r="D44" s="33">
        <v>2.8841972311168099E-2</v>
      </c>
      <c r="E44" s="33">
        <v>3.2283576632099797E-2</v>
      </c>
      <c r="F44" s="33">
        <v>2.9315808846637401E-2</v>
      </c>
      <c r="G44" s="33">
        <v>3.4989357507178798E-2</v>
      </c>
      <c r="H44" s="33">
        <v>3.6391874004990998E-2</v>
      </c>
      <c r="I44" s="33">
        <v>0</v>
      </c>
      <c r="J44" s="33">
        <v>0</v>
      </c>
      <c r="K44" s="33">
        <v>0</v>
      </c>
      <c r="L44" s="33">
        <v>3.4019637397774402E-2</v>
      </c>
      <c r="M44" s="33">
        <v>2.5401029397339899E-2</v>
      </c>
      <c r="N44" s="33">
        <v>3.3118285136154502E-2</v>
      </c>
      <c r="O44" s="33">
        <v>0</v>
      </c>
      <c r="P44" s="33">
        <v>0</v>
      </c>
    </row>
    <row r="45" spans="2:16">
      <c r="B45" s="33" t="s">
        <v>72</v>
      </c>
      <c r="C45" s="33">
        <v>0.71571042737819401</v>
      </c>
      <c r="D45" s="33">
        <v>0.67373260854385097</v>
      </c>
      <c r="E45" s="33">
        <v>0.657221934105096</v>
      </c>
      <c r="F45" s="33">
        <v>0.636897315309774</v>
      </c>
      <c r="G45" s="33">
        <v>0.63150636996685305</v>
      </c>
      <c r="H45" s="33">
        <v>0.63295607042514701</v>
      </c>
      <c r="I45" s="33">
        <v>0.60735330321117498</v>
      </c>
      <c r="J45" s="33">
        <v>0.62092425225440295</v>
      </c>
      <c r="K45" s="33">
        <v>0.59680719831953299</v>
      </c>
      <c r="L45" s="33">
        <v>0.61989908816940498</v>
      </c>
      <c r="M45" s="33">
        <v>0.70198675552012002</v>
      </c>
      <c r="N45" s="33">
        <v>0.62772848756475197</v>
      </c>
      <c r="O45" s="33">
        <v>0.59745977775482295</v>
      </c>
      <c r="P45" s="33">
        <v>0.62065396964668296</v>
      </c>
    </row>
    <row r="46" spans="2:16">
      <c r="B46" s="33" t="s">
        <v>73</v>
      </c>
      <c r="C46" s="33">
        <v>0.89395305003696202</v>
      </c>
      <c r="D46" s="33">
        <v>0.88653955961789799</v>
      </c>
      <c r="E46" s="33">
        <v>0.85746265877035599</v>
      </c>
      <c r="F46" s="33">
        <v>0.87896531170546699</v>
      </c>
      <c r="G46" s="33">
        <v>0.85486638953582605</v>
      </c>
      <c r="H46" s="33">
        <v>0.84416041759729199</v>
      </c>
      <c r="I46" s="33">
        <v>0.99548008661075205</v>
      </c>
      <c r="J46" s="33">
        <v>0.99602556414347798</v>
      </c>
      <c r="K46" s="33">
        <v>0.995109091481307</v>
      </c>
      <c r="L46" s="33">
        <v>0.84966590518488505</v>
      </c>
      <c r="M46" s="33">
        <v>0.89209194671019598</v>
      </c>
      <c r="N46" s="33">
        <v>0.85505301200809303</v>
      </c>
      <c r="O46" s="33">
        <v>0.99488595389952705</v>
      </c>
      <c r="P46" s="33">
        <v>0.99606576875447195</v>
      </c>
    </row>
    <row r="47" spans="2:16">
      <c r="B47" s="33" t="s">
        <v>74</v>
      </c>
      <c r="C47" s="33">
        <v>0.40084822924629898</v>
      </c>
      <c r="D47" s="33">
        <v>0.26778516042439598</v>
      </c>
      <c r="E47" s="33">
        <v>0.407853972339279</v>
      </c>
      <c r="F47" s="33">
        <v>0.51999656120851701</v>
      </c>
      <c r="G47" s="33">
        <v>0.636277261282161</v>
      </c>
      <c r="H47" s="33">
        <v>0.60963829247470003</v>
      </c>
      <c r="I47" s="33">
        <v>0.90576257158019802</v>
      </c>
      <c r="J47" s="33">
        <v>0.71684535995606402</v>
      </c>
      <c r="K47" s="33">
        <v>0.89881178197035905</v>
      </c>
      <c r="L47" s="33">
        <v>0.67181533554444794</v>
      </c>
      <c r="M47" s="33">
        <v>0.30733603070614202</v>
      </c>
      <c r="N47" s="33">
        <v>0.61957617450367197</v>
      </c>
      <c r="O47" s="33">
        <v>0.92472485564954598</v>
      </c>
      <c r="P47" s="33">
        <v>0.71654250149351795</v>
      </c>
    </row>
    <row r="48" spans="2:16">
      <c r="B48" s="33" t="s">
        <v>75</v>
      </c>
      <c r="C48" s="33">
        <v>0.140747616088893</v>
      </c>
      <c r="D48" s="33">
        <v>0.122149590301858</v>
      </c>
      <c r="E48" s="33">
        <v>0.12274786113477799</v>
      </c>
      <c r="F48" s="33">
        <v>9.9023718611497405E-2</v>
      </c>
      <c r="G48" s="33">
        <v>0.12366351842937</v>
      </c>
      <c r="H48" s="33">
        <v>0.116810665398934</v>
      </c>
      <c r="I48" s="33">
        <v>7.9505437242154198E-2</v>
      </c>
      <c r="J48" s="33">
        <v>7.7128833318218404E-2</v>
      </c>
      <c r="K48" s="33">
        <v>8.8609534730571995E-2</v>
      </c>
      <c r="L48" s="33">
        <v>0.13026393858869201</v>
      </c>
      <c r="M48" s="33">
        <v>0.125649778648663</v>
      </c>
      <c r="N48" s="33">
        <v>0.121193763642733</v>
      </c>
      <c r="O48" s="33">
        <v>0.10252488746503099</v>
      </c>
      <c r="P48" s="33">
        <v>7.6888101069763196E-2</v>
      </c>
    </row>
    <row r="49" spans="2:16">
      <c r="B49" s="33" t="s">
        <v>76</v>
      </c>
      <c r="C49" s="33">
        <v>0.99739476567293905</v>
      </c>
      <c r="D49" s="33">
        <v>0.99676694991869697</v>
      </c>
      <c r="E49" s="33">
        <v>0.99716946758858305</v>
      </c>
      <c r="F49" s="33">
        <v>0.99657111943568399</v>
      </c>
      <c r="G49" s="33">
        <v>0.99467667261485604</v>
      </c>
      <c r="H49" s="33">
        <v>0.99529690135680204</v>
      </c>
      <c r="I49" s="33">
        <v>0.99383550107874996</v>
      </c>
      <c r="J49" s="33">
        <v>0.99623484288729502</v>
      </c>
      <c r="K49" s="33">
        <v>0.99409544362691504</v>
      </c>
      <c r="L49" s="33">
        <v>0.996450836103557</v>
      </c>
      <c r="M49" s="33">
        <v>0.99881651417513195</v>
      </c>
      <c r="N49" s="33">
        <v>0.99820730528067003</v>
      </c>
      <c r="O49" s="33">
        <v>0.99735016690451705</v>
      </c>
      <c r="P49" s="33">
        <v>0.99833313405589197</v>
      </c>
    </row>
    <row r="50" spans="2:16">
      <c r="B50" s="33" t="s">
        <v>77</v>
      </c>
      <c r="C50" s="33">
        <v>2.6052343270604001E-3</v>
      </c>
      <c r="D50" s="33">
        <v>3.2330500813024599E-3</v>
      </c>
      <c r="E50" s="33">
        <v>2.8305324114169098E-3</v>
      </c>
      <c r="F50" s="33">
        <v>3.4288805643157899E-3</v>
      </c>
      <c r="G50" s="33">
        <v>5.3233273851439897E-3</v>
      </c>
      <c r="H50" s="33">
        <v>4.7030986431971997E-3</v>
      </c>
      <c r="I50" s="33">
        <v>6.1644989212499097E-3</v>
      </c>
      <c r="J50" s="33">
        <v>3.7651571127040799E-3</v>
      </c>
      <c r="K50" s="33">
        <v>5.9045563730843499E-3</v>
      </c>
      <c r="L50" s="33">
        <v>3.5491638964424998E-3</v>
      </c>
      <c r="M50" s="33">
        <v>1.1834858248674E-3</v>
      </c>
      <c r="N50" s="33">
        <v>1.79269471932988E-3</v>
      </c>
      <c r="O50" s="33">
        <v>2.6498330954822999E-3</v>
      </c>
      <c r="P50" s="33">
        <v>1.6668659441076001E-3</v>
      </c>
    </row>
    <row r="51" spans="2:16">
      <c r="B51" s="33" t="s">
        <v>78</v>
      </c>
      <c r="C51" s="33">
        <v>0.97746113060718898</v>
      </c>
      <c r="D51" s="33">
        <v>0.97970960481915303</v>
      </c>
      <c r="E51" s="33">
        <v>0.98149129867803797</v>
      </c>
      <c r="F51" s="33">
        <v>0.98145424869508102</v>
      </c>
      <c r="G51" s="33">
        <v>0.97980849253575097</v>
      </c>
      <c r="H51" s="33">
        <v>0.98203506134418905</v>
      </c>
      <c r="I51" s="33">
        <v>0.98018477958665995</v>
      </c>
      <c r="J51" s="33">
        <v>0.98681432852520601</v>
      </c>
      <c r="K51" s="33">
        <v>0.98336518772562698</v>
      </c>
      <c r="L51" s="33">
        <v>0.98926828604007799</v>
      </c>
      <c r="M51" s="33">
        <v>0.99783014810213699</v>
      </c>
      <c r="N51" s="33">
        <v>0.99820730528067003</v>
      </c>
      <c r="O51" s="33">
        <v>0.99352357934951296</v>
      </c>
      <c r="P51" s="33">
        <v>0.99761597253913803</v>
      </c>
    </row>
    <row r="52" spans="2:16">
      <c r="B52" s="33" t="s">
        <v>79</v>
      </c>
      <c r="C52" s="33">
        <v>1.99336350657498E-2</v>
      </c>
      <c r="D52" s="33">
        <v>1.7057345099544201E-2</v>
      </c>
      <c r="E52" s="33">
        <v>1.5678168910544299E-2</v>
      </c>
      <c r="F52" s="33">
        <v>1.5116870740603101E-2</v>
      </c>
      <c r="G52" s="33">
        <v>1.48681800791047E-2</v>
      </c>
      <c r="H52" s="33">
        <v>1.32618400126128E-2</v>
      </c>
      <c r="I52" s="33">
        <v>1.36507214920892E-2</v>
      </c>
      <c r="J52" s="33">
        <v>9.4205143620898994E-3</v>
      </c>
      <c r="K52" s="33">
        <v>1.07302559012877E-2</v>
      </c>
      <c r="L52" s="33">
        <v>7.1825500634789497E-3</v>
      </c>
      <c r="M52" s="33">
        <v>9.8636607299514793E-4</v>
      </c>
      <c r="N52" s="33">
        <v>0</v>
      </c>
      <c r="O52" s="33">
        <v>3.8265875550039098E-3</v>
      </c>
      <c r="P52" s="33">
        <v>7.1716151675393599E-4</v>
      </c>
    </row>
    <row r="53" spans="2:16">
      <c r="B53" s="33" t="s">
        <v>80</v>
      </c>
      <c r="C53" s="33">
        <v>2.33150770004339E-3</v>
      </c>
      <c r="D53" s="33">
        <v>2.9992835054440002E-3</v>
      </c>
      <c r="E53" s="33">
        <v>2.6510414515889202E-3</v>
      </c>
      <c r="F53" s="33">
        <v>3.12590570121489E-3</v>
      </c>
      <c r="G53" s="33">
        <v>4.7958792002590397E-3</v>
      </c>
      <c r="H53" s="33">
        <v>4.2847106904160201E-3</v>
      </c>
      <c r="I53" s="33">
        <v>5.4569332796255299E-3</v>
      </c>
      <c r="J53" s="33">
        <v>3.2583719334001999E-3</v>
      </c>
      <c r="K53" s="33">
        <v>5.0841820342619696E-3</v>
      </c>
      <c r="L53" s="33">
        <v>3.4281744029761099E-3</v>
      </c>
      <c r="M53" s="33">
        <v>1.1292800430551999E-3</v>
      </c>
      <c r="N53" s="33">
        <v>1.79269471932988E-3</v>
      </c>
      <c r="O53" s="33">
        <v>2.5400054061311701E-3</v>
      </c>
      <c r="P53" s="33">
        <v>1.6668659441076001E-3</v>
      </c>
    </row>
    <row r="54" spans="2:16">
      <c r="B54" s="33" t="s">
        <v>82</v>
      </c>
      <c r="C54" s="33">
        <v>2.7372662701701298E-4</v>
      </c>
      <c r="D54" s="33">
        <v>2.3376657585846399E-4</v>
      </c>
      <c r="E54" s="33">
        <v>1.7949095982798801E-4</v>
      </c>
      <c r="F54" s="33">
        <v>3.0297486310089101E-4</v>
      </c>
      <c r="G54" s="33">
        <v>5.2744818488495004E-4</v>
      </c>
      <c r="H54" s="33">
        <v>4.1838795278117502E-4</v>
      </c>
      <c r="I54" s="33">
        <v>7.0756564162437999E-4</v>
      </c>
      <c r="J54" s="33">
        <v>5.06785179303878E-4</v>
      </c>
      <c r="K54" s="33">
        <v>8.2037433882238401E-4</v>
      </c>
      <c r="L54" s="33">
        <v>1.20989493466391E-4</v>
      </c>
      <c r="M54" s="33">
        <v>5.4205781812194099E-5</v>
      </c>
      <c r="N54" s="33">
        <v>0</v>
      </c>
      <c r="O54" s="33">
        <v>1.09827689351133E-4</v>
      </c>
      <c r="P54" s="33">
        <v>0</v>
      </c>
    </row>
    <row r="55" spans="2:16">
      <c r="B55" s="33" t="s">
        <v>84</v>
      </c>
      <c r="C55" s="33">
        <v>1.06326131507019E-4</v>
      </c>
      <c r="D55" s="33">
        <v>1.14430765218789E-4</v>
      </c>
      <c r="E55" s="33">
        <v>8.4162055568383701E-5</v>
      </c>
      <c r="F55" s="33">
        <v>7.4070098908211795E-5</v>
      </c>
      <c r="G55" s="33">
        <v>5.6965739396017199E-5</v>
      </c>
      <c r="H55" s="33">
        <v>0</v>
      </c>
      <c r="I55" s="33">
        <v>8.9954897597229494E-5</v>
      </c>
      <c r="J55" s="33">
        <v>1.9732516387764699E-5</v>
      </c>
      <c r="K55" s="33">
        <v>6.0388559990174699E-5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AY25"/>
  <sheetViews>
    <sheetView topLeftCell="C1" workbookViewId="0">
      <selection activeCell="D3" sqref="D3"/>
    </sheetView>
  </sheetViews>
  <sheetFormatPr defaultRowHeight="15"/>
  <cols>
    <col min="3" max="3" width="23.5703125" bestFit="1" customWidth="1"/>
    <col min="4" max="4" width="15.28515625" bestFit="1" customWidth="1"/>
    <col min="5" max="5" width="5" customWidth="1"/>
    <col min="6" max="6" width="23.5703125" bestFit="1" customWidth="1"/>
    <col min="12" max="12" width="10.85546875" bestFit="1" customWidth="1"/>
    <col min="13" max="13" width="10.140625" bestFit="1" customWidth="1"/>
    <col min="14" max="14" width="11.5703125" customWidth="1"/>
    <col min="15" max="15" width="15.85546875" customWidth="1"/>
    <col min="16" max="16" width="20.42578125" hidden="1" customWidth="1"/>
    <col min="17" max="17" width="7" bestFit="1" customWidth="1"/>
    <col min="18" max="18" width="18.28515625" hidden="1" customWidth="1"/>
    <col min="19" max="19" width="11.42578125" customWidth="1"/>
    <col min="20" max="20" width="15.85546875" hidden="1" customWidth="1"/>
    <col min="21" max="21" width="6" bestFit="1" customWidth="1"/>
    <col min="22" max="22" width="13.7109375" hidden="1" customWidth="1"/>
    <col min="23" max="23" width="11.28515625" bestFit="1" customWidth="1"/>
    <col min="24" max="24" width="7" bestFit="1" customWidth="1"/>
    <col min="27" max="27" width="15.7109375" customWidth="1"/>
  </cols>
  <sheetData>
    <row r="1" spans="3:51">
      <c r="L1" t="s">
        <v>30</v>
      </c>
      <c r="M1" t="s">
        <v>31</v>
      </c>
      <c r="N1" s="42" t="s">
        <v>43</v>
      </c>
      <c r="O1" s="42" t="s">
        <v>44</v>
      </c>
      <c r="P1" s="43" t="s">
        <v>45</v>
      </c>
      <c r="Q1" s="44" t="s">
        <v>32</v>
      </c>
      <c r="R1" s="43" t="s">
        <v>47</v>
      </c>
      <c r="S1" s="45" t="s">
        <v>49</v>
      </c>
      <c r="T1" s="46" t="s">
        <v>46</v>
      </c>
      <c r="U1" s="47" t="s">
        <v>33</v>
      </c>
      <c r="V1" s="46" t="s">
        <v>48</v>
      </c>
      <c r="W1" s="48" t="s">
        <v>50</v>
      </c>
      <c r="X1" s="33" t="s">
        <v>39</v>
      </c>
    </row>
    <row r="2" spans="3:51">
      <c r="L2" t="s">
        <v>15</v>
      </c>
      <c r="M2" s="34">
        <v>41426</v>
      </c>
      <c r="N2" s="40">
        <v>96389</v>
      </c>
      <c r="O2" s="40">
        <v>22584361082.810001</v>
      </c>
      <c r="P2" s="40">
        <v>139983562.75</v>
      </c>
      <c r="Q2" s="35">
        <v>7.1894999999999998</v>
      </c>
      <c r="R2" s="40">
        <v>139983562.75</v>
      </c>
      <c r="S2" s="36">
        <v>0.69</v>
      </c>
      <c r="T2" s="40">
        <v>0</v>
      </c>
      <c r="U2" s="35">
        <v>0</v>
      </c>
      <c r="V2" s="40">
        <v>0</v>
      </c>
      <c r="W2" s="36">
        <v>0</v>
      </c>
      <c r="X2" s="36">
        <v>0</v>
      </c>
      <c r="AA2" t="s">
        <v>31</v>
      </c>
      <c r="AB2" s="34">
        <v>41426</v>
      </c>
      <c r="AC2" s="34">
        <v>41456</v>
      </c>
      <c r="AD2" s="34">
        <v>41487</v>
      </c>
      <c r="AE2" s="34">
        <v>41518</v>
      </c>
      <c r="AF2" s="34">
        <v>41548</v>
      </c>
      <c r="AG2" s="34">
        <v>41579</v>
      </c>
      <c r="AH2" s="34">
        <v>41609</v>
      </c>
      <c r="AI2" s="34">
        <v>41640</v>
      </c>
      <c r="AJ2" s="34">
        <v>41671</v>
      </c>
      <c r="AK2" s="34">
        <v>41699</v>
      </c>
      <c r="AL2" s="34">
        <v>41730</v>
      </c>
      <c r="AM2" s="34">
        <v>41760</v>
      </c>
      <c r="AN2" s="34">
        <v>41791</v>
      </c>
      <c r="AO2" s="34">
        <v>41821</v>
      </c>
      <c r="AP2" s="34">
        <v>41852</v>
      </c>
      <c r="AQ2" s="34">
        <v>41883</v>
      </c>
      <c r="AR2" s="34">
        <v>41913</v>
      </c>
      <c r="AS2" s="34">
        <v>41944</v>
      </c>
      <c r="AT2" s="34">
        <v>41974</v>
      </c>
      <c r="AU2" s="34">
        <v>42005</v>
      </c>
      <c r="AV2" s="34">
        <v>42036</v>
      </c>
      <c r="AW2" s="34">
        <v>42064</v>
      </c>
      <c r="AX2" s="34">
        <v>42095</v>
      </c>
      <c r="AY2" s="34">
        <v>42125</v>
      </c>
    </row>
    <row r="3" spans="3:51">
      <c r="C3" t="s">
        <v>30</v>
      </c>
      <c r="D3" t="s">
        <v>15</v>
      </c>
      <c r="L3" t="s">
        <v>15</v>
      </c>
      <c r="M3" s="34">
        <v>41456</v>
      </c>
      <c r="N3" s="40">
        <v>95815</v>
      </c>
      <c r="O3" s="40">
        <v>22391372156.549999</v>
      </c>
      <c r="P3" s="40">
        <v>101319553.18000001</v>
      </c>
      <c r="Q3" s="35">
        <v>5.2968000000000002</v>
      </c>
      <c r="R3" s="40">
        <v>241303115.93000001</v>
      </c>
      <c r="S3" s="36">
        <v>1.1900000000000002</v>
      </c>
      <c r="T3" s="40">
        <v>0</v>
      </c>
      <c r="U3" s="35">
        <v>0</v>
      </c>
      <c r="V3" s="40">
        <v>0</v>
      </c>
      <c r="W3" s="36">
        <v>0</v>
      </c>
      <c r="X3" s="36">
        <v>0.12667221826199199</v>
      </c>
      <c r="AA3" s="44" t="s">
        <v>32</v>
      </c>
      <c r="AB3" s="35">
        <v>7.1894999999999998</v>
      </c>
      <c r="AC3" s="35">
        <v>5.2968000000000002</v>
      </c>
      <c r="AD3" s="35">
        <v>3.7195999999999998</v>
      </c>
      <c r="AE3" s="35">
        <v>3.9026999999999998</v>
      </c>
      <c r="AF3" s="35">
        <v>3.5990000000000002</v>
      </c>
      <c r="AG3" s="35">
        <v>3.7277999999999998</v>
      </c>
      <c r="AH3" s="35">
        <v>3.1396999999999999</v>
      </c>
      <c r="AI3" s="35">
        <v>2.976</v>
      </c>
      <c r="AJ3" s="35">
        <v>3.8313999999999999</v>
      </c>
      <c r="AK3" s="35">
        <v>3.9773000000000001</v>
      </c>
      <c r="AL3" s="35">
        <v>5.8136999999999999</v>
      </c>
      <c r="AM3" s="35">
        <v>7.3971999999999998</v>
      </c>
      <c r="AN3" s="35">
        <v>6.9165999999999999</v>
      </c>
      <c r="AO3" s="35">
        <v>6.4720000000000004</v>
      </c>
      <c r="AP3" s="35">
        <v>5.0166000000000004</v>
      </c>
      <c r="AQ3" s="35">
        <v>6.4724000000000004</v>
      </c>
      <c r="AR3" s="35">
        <v>5.2816000000000001</v>
      </c>
      <c r="AS3" s="35">
        <v>6.0025000000000004</v>
      </c>
      <c r="AT3" s="35">
        <v>5.2076000000000002</v>
      </c>
      <c r="AU3" s="35">
        <v>7.9896000000000003</v>
      </c>
      <c r="AV3" s="35">
        <v>11.042299999999999</v>
      </c>
      <c r="AW3" s="35">
        <v>9.9810999999999996</v>
      </c>
      <c r="AX3" s="35">
        <v>9.9797999999999991</v>
      </c>
      <c r="AY3" s="35">
        <v>11.419499999999999</v>
      </c>
    </row>
    <row r="4" spans="3:51">
      <c r="C4" s="40" t="s">
        <v>40</v>
      </c>
      <c r="D4" s="40">
        <v>84793</v>
      </c>
      <c r="E4" s="40"/>
      <c r="F4" s="33" t="s">
        <v>69</v>
      </c>
      <c r="G4" s="33">
        <v>0.105</v>
      </c>
      <c r="L4" t="s">
        <v>15</v>
      </c>
      <c r="M4" s="34">
        <v>41487</v>
      </c>
      <c r="N4" s="40">
        <v>95391</v>
      </c>
      <c r="O4" s="40">
        <v>22242256898.849998</v>
      </c>
      <c r="P4" s="40">
        <v>70147957.719999999</v>
      </c>
      <c r="Q4" s="35">
        <v>3.7195999999999998</v>
      </c>
      <c r="R4" s="40">
        <v>311451073.64999998</v>
      </c>
      <c r="S4" s="36">
        <v>1.53</v>
      </c>
      <c r="T4" s="40">
        <v>0</v>
      </c>
      <c r="U4" s="35">
        <v>0</v>
      </c>
      <c r="V4" s="40">
        <v>0</v>
      </c>
      <c r="W4" s="36">
        <v>0</v>
      </c>
      <c r="X4" s="36">
        <v>0.10356345223757799</v>
      </c>
      <c r="AA4" s="45" t="s">
        <v>49</v>
      </c>
      <c r="AB4" s="36">
        <v>0.69</v>
      </c>
      <c r="AC4" s="36">
        <v>1.1900000000000002</v>
      </c>
      <c r="AD4" s="36">
        <v>1.53</v>
      </c>
      <c r="AE4" s="36">
        <v>1.9</v>
      </c>
      <c r="AF4" s="36">
        <v>2.23</v>
      </c>
      <c r="AG4" s="36">
        <v>2.5700000000000003</v>
      </c>
      <c r="AH4" s="36">
        <v>2.85</v>
      </c>
      <c r="AI4" s="36">
        <v>3.1199999999999997</v>
      </c>
      <c r="AJ4" s="36">
        <v>3.47</v>
      </c>
      <c r="AK4" s="36">
        <v>3.83</v>
      </c>
      <c r="AL4" s="36">
        <v>4.3499999999999996</v>
      </c>
      <c r="AM4" s="36">
        <v>5.0200000000000005</v>
      </c>
      <c r="AN4" s="36">
        <v>5.64</v>
      </c>
      <c r="AO4" s="36">
        <v>6.21</v>
      </c>
      <c r="AP4" s="36">
        <v>6.65</v>
      </c>
      <c r="AQ4" s="36">
        <v>7.21</v>
      </c>
      <c r="AR4" s="36">
        <v>7.66</v>
      </c>
      <c r="AS4" s="36">
        <v>8.18</v>
      </c>
      <c r="AT4" s="36">
        <v>8.6199999999999992</v>
      </c>
      <c r="AU4" s="36">
        <v>9.3000000000000007</v>
      </c>
      <c r="AV4" s="36">
        <v>10.24</v>
      </c>
      <c r="AW4" s="36">
        <v>11.09</v>
      </c>
      <c r="AX4" s="36">
        <v>11.92</v>
      </c>
      <c r="AY4" s="36">
        <v>12.86</v>
      </c>
    </row>
    <row r="5" spans="3:51">
      <c r="C5" s="40" t="s">
        <v>41</v>
      </c>
      <c r="D5" s="40">
        <v>18844871638</v>
      </c>
      <c r="E5" s="40"/>
      <c r="F5" s="33" t="s">
        <v>70</v>
      </c>
      <c r="G5" s="33">
        <v>0.63129999999999997</v>
      </c>
      <c r="L5" t="s">
        <v>15</v>
      </c>
      <c r="M5" s="34">
        <v>41518</v>
      </c>
      <c r="N5" s="40">
        <v>95074</v>
      </c>
      <c r="O5" s="40">
        <v>22126259871.459999</v>
      </c>
      <c r="P5" s="40">
        <v>73281124.489999995</v>
      </c>
      <c r="Q5" s="35">
        <v>3.9026999999999998</v>
      </c>
      <c r="R5" s="40">
        <v>384732198.13999999</v>
      </c>
      <c r="S5" s="36">
        <v>1.9</v>
      </c>
      <c r="T5" s="40">
        <v>0</v>
      </c>
      <c r="U5" s="35">
        <v>0</v>
      </c>
      <c r="V5" s="40">
        <v>0</v>
      </c>
      <c r="W5" s="36">
        <v>0</v>
      </c>
      <c r="X5" s="36">
        <v>0.137402924202362</v>
      </c>
      <c r="AA5" s="47" t="s">
        <v>33</v>
      </c>
      <c r="AB5" s="35">
        <v>0</v>
      </c>
      <c r="AC5" s="35">
        <v>0</v>
      </c>
      <c r="AD5" s="35">
        <v>0</v>
      </c>
      <c r="AE5" s="35">
        <v>0</v>
      </c>
      <c r="AF5" s="35">
        <v>0</v>
      </c>
      <c r="AG5" s="35">
        <v>5.4000000000000003E-3</v>
      </c>
      <c r="AH5" s="35">
        <v>1.66E-2</v>
      </c>
      <c r="AI5" s="35">
        <v>0.03</v>
      </c>
      <c r="AJ5" s="35">
        <v>1.9E-2</v>
      </c>
      <c r="AK5" s="35">
        <v>8.3900000000000002E-2</v>
      </c>
      <c r="AL5" s="35">
        <v>5.5599999999999997E-2</v>
      </c>
      <c r="AM5" s="35">
        <v>5.04E-2</v>
      </c>
      <c r="AN5" s="35">
        <v>3.8899999999999997E-2</v>
      </c>
      <c r="AO5" s="35">
        <v>3.9800000000000002E-2</v>
      </c>
      <c r="AP5" s="35">
        <v>3.09E-2</v>
      </c>
      <c r="AQ5" s="35">
        <v>5.0900000000000001E-2</v>
      </c>
      <c r="AR5" s="35">
        <v>5.8500000000000003E-2</v>
      </c>
      <c r="AS5" s="35">
        <v>2.3800000000000002E-2</v>
      </c>
      <c r="AT5" s="35">
        <v>9.3100000000000002E-2</v>
      </c>
      <c r="AU5" s="35">
        <v>3.1E-2</v>
      </c>
      <c r="AV5" s="35">
        <v>5.7599999999999998E-2</v>
      </c>
      <c r="AW5" s="35">
        <v>7.2300000000000003E-2</v>
      </c>
      <c r="AX5" s="35">
        <v>5.2200000000000003E-2</v>
      </c>
      <c r="AY5" s="35">
        <v>0.12759999999999999</v>
      </c>
    </row>
    <row r="6" spans="3:51">
      <c r="C6" s="40" t="s">
        <v>42</v>
      </c>
      <c r="D6" s="40">
        <v>20248789000</v>
      </c>
      <c r="E6" s="40"/>
      <c r="F6" s="33" t="s">
        <v>71</v>
      </c>
      <c r="G6" s="33">
        <v>2.3599999999999999E-2</v>
      </c>
      <c r="L6" t="s">
        <v>15</v>
      </c>
      <c r="M6" s="34">
        <v>41548</v>
      </c>
      <c r="N6" s="40">
        <v>94744</v>
      </c>
      <c r="O6" s="40">
        <v>22004407481.799999</v>
      </c>
      <c r="P6" s="40">
        <v>67109639.599999994</v>
      </c>
      <c r="Q6" s="35">
        <v>3.5990000000000002</v>
      </c>
      <c r="R6" s="40">
        <v>451841837.74000001</v>
      </c>
      <c r="S6" s="36">
        <v>2.23</v>
      </c>
      <c r="T6" s="40">
        <v>0</v>
      </c>
      <c r="U6" s="35">
        <v>0</v>
      </c>
      <c r="V6" s="40">
        <v>0</v>
      </c>
      <c r="W6" s="36">
        <v>0</v>
      </c>
      <c r="X6" s="36">
        <v>0.15484221430720702</v>
      </c>
      <c r="AA6" s="48" t="s">
        <v>50</v>
      </c>
      <c r="AB6" s="36">
        <v>0</v>
      </c>
      <c r="AC6" s="36">
        <v>0</v>
      </c>
      <c r="AD6" s="36">
        <v>0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0.01</v>
      </c>
      <c r="AL6" s="36">
        <v>0.01</v>
      </c>
      <c r="AM6" s="36">
        <v>0.02</v>
      </c>
      <c r="AN6" s="36">
        <v>0.02</v>
      </c>
      <c r="AO6" s="36">
        <v>0.02</v>
      </c>
      <c r="AP6" s="36">
        <v>0.03</v>
      </c>
      <c r="AQ6" s="36">
        <v>0.03</v>
      </c>
      <c r="AR6" s="36">
        <v>0.04</v>
      </c>
      <c r="AS6" s="36">
        <v>0.04</v>
      </c>
      <c r="AT6" s="36">
        <v>0.05</v>
      </c>
      <c r="AU6" s="36">
        <v>0.05</v>
      </c>
      <c r="AV6" s="36">
        <v>0.05</v>
      </c>
      <c r="AW6" s="36">
        <v>0.06</v>
      </c>
      <c r="AX6" s="36">
        <v>0.06</v>
      </c>
      <c r="AY6" s="36">
        <v>6.9999999999999993E-2</v>
      </c>
    </row>
    <row r="7" spans="3:51">
      <c r="C7" s="40" t="s">
        <v>85</v>
      </c>
      <c r="D7" s="40">
        <v>34</v>
      </c>
      <c r="E7" s="40"/>
      <c r="F7" s="33" t="s">
        <v>72</v>
      </c>
      <c r="G7" s="33">
        <v>0.7157</v>
      </c>
      <c r="L7" t="s">
        <v>15</v>
      </c>
      <c r="M7" s="34">
        <v>41579</v>
      </c>
      <c r="N7" s="40">
        <v>94439</v>
      </c>
      <c r="O7" s="40">
        <v>21889515190.82</v>
      </c>
      <c r="P7" s="40">
        <v>69191334.689999998</v>
      </c>
      <c r="Q7" s="35">
        <v>3.7277999999999998</v>
      </c>
      <c r="R7" s="40">
        <v>521033172.43000001</v>
      </c>
      <c r="S7" s="36">
        <v>2.5700000000000003</v>
      </c>
      <c r="T7" s="40">
        <v>99020.6</v>
      </c>
      <c r="U7" s="35">
        <v>5.4000000000000003E-3</v>
      </c>
      <c r="V7" s="40">
        <v>99020.6</v>
      </c>
      <c r="W7" s="36">
        <v>0</v>
      </c>
      <c r="X7" s="36">
        <v>0.15094332223427401</v>
      </c>
      <c r="AA7" s="33" t="s">
        <v>39</v>
      </c>
      <c r="AB7" s="36">
        <v>0</v>
      </c>
      <c r="AC7" s="36">
        <v>0.12667221826199199</v>
      </c>
      <c r="AD7" s="36">
        <v>0.10356345223757799</v>
      </c>
      <c r="AE7" s="36">
        <v>0.137402924202362</v>
      </c>
      <c r="AF7" s="36">
        <v>0.15484221430720702</v>
      </c>
      <c r="AG7" s="36">
        <v>0.15094332223427401</v>
      </c>
      <c r="AH7" s="36">
        <v>0.21700490437786399</v>
      </c>
      <c r="AI7" s="36">
        <v>0.21894667321964001</v>
      </c>
      <c r="AJ7" s="36">
        <v>0.23021683029496001</v>
      </c>
      <c r="AK7" s="36">
        <v>0.28763854780915599</v>
      </c>
      <c r="AL7" s="36">
        <v>0.17641106928362399</v>
      </c>
      <c r="AM7" s="36">
        <v>0.17421491729425201</v>
      </c>
      <c r="AN7" s="36">
        <v>0.18080148243312499</v>
      </c>
      <c r="AO7" s="36">
        <v>0.22194793062559801</v>
      </c>
      <c r="AP7" s="36">
        <v>0.21691470665304502</v>
      </c>
      <c r="AQ7" s="36">
        <v>0.25668689206130602</v>
      </c>
      <c r="AR7" s="36">
        <v>0.24419934930955201</v>
      </c>
      <c r="AS7" s="36">
        <v>0.226047138543922</v>
      </c>
      <c r="AT7" s="36">
        <v>0.319782975405623</v>
      </c>
      <c r="AU7" s="36">
        <v>0.25090365666056302</v>
      </c>
      <c r="AV7" s="36">
        <v>0.25015041079039801</v>
      </c>
      <c r="AW7" s="36">
        <v>0.30000390932597404</v>
      </c>
      <c r="AX7" s="36">
        <v>0.221292653406198</v>
      </c>
      <c r="AY7" s="36">
        <v>0.22937126205111899</v>
      </c>
    </row>
    <row r="8" spans="3:51">
      <c r="C8" s="35" t="s">
        <v>86</v>
      </c>
      <c r="D8" s="35">
        <v>3.83</v>
      </c>
      <c r="E8" s="35"/>
      <c r="F8" s="33" t="s">
        <v>73</v>
      </c>
      <c r="G8" s="33">
        <v>0.89400000000000002</v>
      </c>
      <c r="L8" t="s">
        <v>15</v>
      </c>
      <c r="M8" s="34">
        <v>41609</v>
      </c>
      <c r="N8" s="40">
        <v>94127</v>
      </c>
      <c r="O8" s="40">
        <v>21778303317.84</v>
      </c>
      <c r="P8" s="40">
        <v>57817994.990000002</v>
      </c>
      <c r="Q8" s="35">
        <v>3.1396999999999999</v>
      </c>
      <c r="R8" s="40">
        <v>578851167.41999996</v>
      </c>
      <c r="S8" s="36">
        <v>2.85</v>
      </c>
      <c r="T8" s="40">
        <v>302877.99</v>
      </c>
      <c r="U8" s="35">
        <v>1.66E-2</v>
      </c>
      <c r="V8" s="40">
        <v>401898.59</v>
      </c>
      <c r="W8" s="36">
        <v>0</v>
      </c>
      <c r="X8" s="36">
        <v>0.21700490437786399</v>
      </c>
    </row>
    <row r="9" spans="3:51">
      <c r="C9" s="35" t="s">
        <v>87</v>
      </c>
      <c r="D9" s="35">
        <v>3.83</v>
      </c>
      <c r="E9" s="35"/>
      <c r="F9" s="33" t="s">
        <v>74</v>
      </c>
      <c r="G9" s="33">
        <v>0.40079999999999999</v>
      </c>
      <c r="L9" t="s">
        <v>15</v>
      </c>
      <c r="M9" s="34">
        <v>41640</v>
      </c>
      <c r="N9" s="40">
        <v>93864</v>
      </c>
      <c r="O9" s="40">
        <v>21671804564.209999</v>
      </c>
      <c r="P9" s="40">
        <v>54493693.359999999</v>
      </c>
      <c r="Q9" s="35">
        <v>2.976</v>
      </c>
      <c r="R9" s="40">
        <v>633344860.77999997</v>
      </c>
      <c r="S9" s="36">
        <v>3.1199999999999997</v>
      </c>
      <c r="T9" s="40">
        <v>543640.77</v>
      </c>
      <c r="U9" s="35">
        <v>0.03</v>
      </c>
      <c r="V9" s="40">
        <v>945539.36</v>
      </c>
      <c r="W9" s="36">
        <v>0</v>
      </c>
      <c r="X9" s="36">
        <v>0.21894667321964001</v>
      </c>
    </row>
    <row r="10" spans="3:51">
      <c r="C10" s="41" t="s">
        <v>88</v>
      </c>
      <c r="D10" s="41">
        <v>74.8</v>
      </c>
      <c r="E10" s="41"/>
      <c r="F10" s="33" t="s">
        <v>75</v>
      </c>
      <c r="G10" s="33">
        <v>0.14069999999999999</v>
      </c>
      <c r="L10" t="s">
        <v>15</v>
      </c>
      <c r="M10" s="34">
        <v>41671</v>
      </c>
      <c r="N10" s="40">
        <v>93598</v>
      </c>
      <c r="O10" s="40">
        <v>21571139506.34</v>
      </c>
      <c r="P10" s="40">
        <v>70113723.829999998</v>
      </c>
      <c r="Q10" s="35">
        <v>3.8313999999999999</v>
      </c>
      <c r="R10" s="40">
        <v>703458584.61000001</v>
      </c>
      <c r="S10" s="36">
        <v>3.47</v>
      </c>
      <c r="T10" s="40">
        <v>342970.55</v>
      </c>
      <c r="U10" s="35">
        <v>1.9E-2</v>
      </c>
      <c r="V10" s="40">
        <v>1288509.9099999999</v>
      </c>
      <c r="W10" s="36">
        <v>0</v>
      </c>
      <c r="X10" s="36">
        <v>0.23021683029496001</v>
      </c>
    </row>
    <row r="11" spans="3:51">
      <c r="C11" s="41" t="s">
        <v>89</v>
      </c>
      <c r="D11" s="41">
        <v>75.599999999999994</v>
      </c>
      <c r="E11" s="41"/>
      <c r="F11" s="33" t="s">
        <v>76</v>
      </c>
      <c r="G11" s="33">
        <v>0.99739999999999995</v>
      </c>
      <c r="L11" t="s">
        <v>15</v>
      </c>
      <c r="M11" s="34">
        <v>41699</v>
      </c>
      <c r="N11" s="40">
        <v>93266</v>
      </c>
      <c r="O11" s="40">
        <v>21453636186.810001</v>
      </c>
      <c r="P11" s="40">
        <v>72437890.239999995</v>
      </c>
      <c r="Q11" s="35">
        <v>3.9773000000000001</v>
      </c>
      <c r="R11" s="40">
        <v>775896474.85000002</v>
      </c>
      <c r="S11" s="36">
        <v>3.83</v>
      </c>
      <c r="T11" s="40">
        <v>1500559.89</v>
      </c>
      <c r="U11" s="35">
        <v>8.3900000000000002E-2</v>
      </c>
      <c r="V11" s="40">
        <v>2789069.8</v>
      </c>
      <c r="W11" s="36">
        <v>0.01</v>
      </c>
      <c r="X11" s="36">
        <v>0.28763854780915599</v>
      </c>
    </row>
    <row r="12" spans="3:51">
      <c r="C12" s="41" t="s">
        <v>90</v>
      </c>
      <c r="D12" s="41">
        <v>60.6</v>
      </c>
      <c r="E12" s="41"/>
      <c r="F12" s="33" t="s">
        <v>77</v>
      </c>
      <c r="G12" s="33">
        <v>2.5999999999999999E-3</v>
      </c>
      <c r="L12" t="s">
        <v>15</v>
      </c>
      <c r="M12" s="34">
        <v>41730</v>
      </c>
      <c r="N12" s="40">
        <v>92915</v>
      </c>
      <c r="O12" s="40">
        <v>21332337955.220001</v>
      </c>
      <c r="P12" s="40">
        <v>106211677.5</v>
      </c>
      <c r="Q12" s="35">
        <v>5.8136999999999999</v>
      </c>
      <c r="R12" s="40">
        <v>882108152.35000002</v>
      </c>
      <c r="S12" s="36">
        <v>4.3499999999999996</v>
      </c>
      <c r="T12" s="40">
        <v>989919.88</v>
      </c>
      <c r="U12" s="35">
        <v>5.5599999999999997E-2</v>
      </c>
      <c r="V12" s="40">
        <v>3778989.68</v>
      </c>
      <c r="W12" s="36">
        <v>0.01</v>
      </c>
      <c r="X12" s="36">
        <v>0.17641106928362399</v>
      </c>
    </row>
    <row r="13" spans="3:51">
      <c r="C13" s="41" t="s">
        <v>91</v>
      </c>
      <c r="D13" s="41">
        <v>32.200000000000003</v>
      </c>
      <c r="E13" s="41"/>
      <c r="F13" s="33" t="s">
        <v>78</v>
      </c>
      <c r="G13" s="33">
        <v>0.97750000000000004</v>
      </c>
      <c r="L13" t="s">
        <v>15</v>
      </c>
      <c r="M13" s="34">
        <v>41760</v>
      </c>
      <c r="N13" s="40">
        <v>92428</v>
      </c>
      <c r="O13" s="40">
        <v>21177637181.139999</v>
      </c>
      <c r="P13" s="40">
        <v>135194224.16</v>
      </c>
      <c r="Q13" s="35">
        <v>7.3971999999999998</v>
      </c>
      <c r="R13" s="40">
        <v>1017302376.51</v>
      </c>
      <c r="S13" s="36">
        <v>5.0200000000000005</v>
      </c>
      <c r="T13" s="40">
        <v>890745.91</v>
      </c>
      <c r="U13" s="35">
        <v>5.04E-2</v>
      </c>
      <c r="V13" s="40">
        <v>4669735.59</v>
      </c>
      <c r="W13" s="36">
        <v>0.02</v>
      </c>
      <c r="X13" s="36">
        <v>0.17421491729425201</v>
      </c>
    </row>
    <row r="14" spans="3:51">
      <c r="C14" s="41" t="s">
        <v>92</v>
      </c>
      <c r="D14" s="41">
        <v>766.7</v>
      </c>
      <c r="E14" s="41"/>
      <c r="F14" s="33" t="s">
        <v>79</v>
      </c>
      <c r="G14" s="33">
        <v>1.9900000000000001E-2</v>
      </c>
      <c r="L14" t="s">
        <v>15</v>
      </c>
      <c r="M14" s="34">
        <v>41791</v>
      </c>
      <c r="N14" s="40">
        <v>91814</v>
      </c>
      <c r="O14" s="40">
        <v>20996596520.740002</v>
      </c>
      <c r="P14" s="40">
        <v>125037203.51000001</v>
      </c>
      <c r="Q14" s="35">
        <v>6.9165999999999999</v>
      </c>
      <c r="R14" s="40">
        <v>1142339580.02</v>
      </c>
      <c r="S14" s="36">
        <v>5.64</v>
      </c>
      <c r="T14" s="40">
        <v>680997.81</v>
      </c>
      <c r="U14" s="35">
        <v>3.8899999999999997E-2</v>
      </c>
      <c r="V14" s="40">
        <v>5350733.4000000004</v>
      </c>
      <c r="W14" s="36">
        <v>0.02</v>
      </c>
      <c r="X14" s="36">
        <v>0.18080148243312499</v>
      </c>
    </row>
    <row r="15" spans="3:51">
      <c r="C15" s="40" t="s">
        <v>93</v>
      </c>
      <c r="D15" s="40">
        <v>306099</v>
      </c>
      <c r="E15" s="40"/>
      <c r="F15" s="33" t="s">
        <v>80</v>
      </c>
      <c r="G15" s="33">
        <v>2.3E-3</v>
      </c>
      <c r="L15" t="s">
        <v>15</v>
      </c>
      <c r="M15" s="34">
        <v>41821</v>
      </c>
      <c r="N15" s="40">
        <v>91234</v>
      </c>
      <c r="O15" s="40">
        <v>20823941241.41</v>
      </c>
      <c r="P15" s="40">
        <v>115787279.48999999</v>
      </c>
      <c r="Q15" s="35">
        <v>6.4720000000000004</v>
      </c>
      <c r="R15" s="40">
        <v>1258126859.51</v>
      </c>
      <c r="S15" s="36">
        <v>6.21</v>
      </c>
      <c r="T15" s="40">
        <v>690804.79</v>
      </c>
      <c r="U15" s="35">
        <v>3.9800000000000002E-2</v>
      </c>
      <c r="V15" s="40">
        <v>6041538.1900000004</v>
      </c>
      <c r="W15" s="36">
        <v>0.02</v>
      </c>
      <c r="X15" s="36">
        <v>0.22194793062559801</v>
      </c>
    </row>
    <row r="16" spans="3:51">
      <c r="C16" s="33" t="s">
        <v>81</v>
      </c>
      <c r="D16" s="33">
        <v>0</v>
      </c>
      <c r="E16" s="33"/>
      <c r="F16" s="33" t="s">
        <v>82</v>
      </c>
      <c r="G16" s="33">
        <v>2.9999999999999997E-4</v>
      </c>
      <c r="L16" t="s">
        <v>15</v>
      </c>
      <c r="M16" s="34">
        <v>41852</v>
      </c>
      <c r="N16" s="40">
        <v>90712</v>
      </c>
      <c r="O16" s="40">
        <v>20661068570</v>
      </c>
      <c r="P16" s="40">
        <v>88425641.75</v>
      </c>
      <c r="Q16" s="35">
        <v>5.0166000000000004</v>
      </c>
      <c r="R16" s="40">
        <v>1346552501.26</v>
      </c>
      <c r="S16" s="36">
        <v>6.65</v>
      </c>
      <c r="T16" s="40">
        <v>532919.80000000005</v>
      </c>
      <c r="U16" s="35">
        <v>3.09E-2</v>
      </c>
      <c r="V16" s="40">
        <v>6574457.9900000002</v>
      </c>
      <c r="W16" s="36">
        <v>0.03</v>
      </c>
      <c r="X16" s="36">
        <v>0.21691470665304502</v>
      </c>
    </row>
    <row r="17" spans="3:24">
      <c r="C17" s="33" t="s">
        <v>83</v>
      </c>
      <c r="D17" s="33">
        <v>7.0300000000000001E-2</v>
      </c>
      <c r="E17" s="33"/>
      <c r="F17" s="33" t="s">
        <v>84</v>
      </c>
      <c r="G17" s="33">
        <v>1E-4</v>
      </c>
      <c r="L17" t="s">
        <v>15</v>
      </c>
      <c r="M17" s="34">
        <v>41883</v>
      </c>
      <c r="N17" s="40">
        <v>90301</v>
      </c>
      <c r="O17" s="40">
        <v>20526568204.119999</v>
      </c>
      <c r="P17" s="40">
        <v>114141076.26000001</v>
      </c>
      <c r="Q17" s="35">
        <v>6.4724000000000004</v>
      </c>
      <c r="R17" s="40">
        <v>1460693577.52</v>
      </c>
      <c r="S17" s="36">
        <v>7.21</v>
      </c>
      <c r="T17" s="40">
        <v>872088.56</v>
      </c>
      <c r="U17" s="35">
        <v>5.0900000000000001E-2</v>
      </c>
      <c r="V17" s="40">
        <v>7446546.5499999998</v>
      </c>
      <c r="W17" s="36">
        <v>0.03</v>
      </c>
      <c r="X17" s="36">
        <v>0.25668689206130602</v>
      </c>
    </row>
    <row r="18" spans="3:24">
      <c r="L18" t="s">
        <v>15</v>
      </c>
      <c r="M18" s="34">
        <v>41913</v>
      </c>
      <c r="N18" s="40">
        <v>89760</v>
      </c>
      <c r="O18" s="40">
        <v>20365001794.889999</v>
      </c>
      <c r="P18" s="40">
        <v>91879899.010000005</v>
      </c>
      <c r="Q18" s="35">
        <v>5.2816000000000001</v>
      </c>
      <c r="R18" s="40">
        <v>1552573476.53</v>
      </c>
      <c r="S18" s="36">
        <v>7.66</v>
      </c>
      <c r="T18" s="40">
        <v>994425.34</v>
      </c>
      <c r="U18" s="35">
        <v>5.8500000000000003E-2</v>
      </c>
      <c r="V18" s="40">
        <v>8440971.8900000006</v>
      </c>
      <c r="W18" s="36">
        <v>0.04</v>
      </c>
      <c r="X18" s="36">
        <v>0.24419934930955201</v>
      </c>
    </row>
    <row r="19" spans="3:24">
      <c r="L19" t="s">
        <v>15</v>
      </c>
      <c r="M19" s="34">
        <v>41944</v>
      </c>
      <c r="N19" s="40">
        <v>89344</v>
      </c>
      <c r="O19" s="40">
        <v>20227022657.540001</v>
      </c>
      <c r="P19" s="40">
        <v>104073902.45999999</v>
      </c>
      <c r="Q19" s="35">
        <v>6.0025000000000004</v>
      </c>
      <c r="R19" s="40">
        <v>1656647378.99</v>
      </c>
      <c r="S19" s="36">
        <v>8.18</v>
      </c>
      <c r="T19" s="40">
        <v>401834.35</v>
      </c>
      <c r="U19" s="35">
        <v>2.3800000000000002E-2</v>
      </c>
      <c r="V19" s="40">
        <v>8842806.2400000002</v>
      </c>
      <c r="W19" s="36">
        <v>0.04</v>
      </c>
      <c r="X19" s="36">
        <v>0.226047138543922</v>
      </c>
    </row>
    <row r="20" spans="3:24">
      <c r="L20" t="s">
        <v>15</v>
      </c>
      <c r="M20" s="34">
        <v>41974</v>
      </c>
      <c r="N20" s="40">
        <v>88878</v>
      </c>
      <c r="O20" s="40">
        <v>20076676930.209999</v>
      </c>
      <c r="P20" s="40">
        <v>89278153.099999994</v>
      </c>
      <c r="Q20" s="35">
        <v>5.2076000000000002</v>
      </c>
      <c r="R20" s="40">
        <v>1745925532.0899999</v>
      </c>
      <c r="S20" s="36">
        <v>8.6199999999999992</v>
      </c>
      <c r="T20" s="40">
        <v>1559635.07</v>
      </c>
      <c r="U20" s="35">
        <v>9.3100000000000002E-2</v>
      </c>
      <c r="V20" s="40">
        <v>10402441.310000001</v>
      </c>
      <c r="W20" s="36">
        <v>0.05</v>
      </c>
      <c r="X20" s="36">
        <v>0.319782975405623</v>
      </c>
    </row>
    <row r="21" spans="3:24">
      <c r="L21" t="s">
        <v>15</v>
      </c>
      <c r="M21" s="34">
        <v>42005</v>
      </c>
      <c r="N21" s="40">
        <v>88484</v>
      </c>
      <c r="O21" s="40">
        <v>19939199442.470001</v>
      </c>
      <c r="P21" s="40">
        <v>137881693.41</v>
      </c>
      <c r="Q21" s="35">
        <v>7.9896000000000003</v>
      </c>
      <c r="R21" s="40">
        <v>1883807225.5</v>
      </c>
      <c r="S21" s="36">
        <v>9.3000000000000007</v>
      </c>
      <c r="T21" s="40">
        <v>515352.31</v>
      </c>
      <c r="U21" s="35">
        <v>3.1E-2</v>
      </c>
      <c r="V21" s="40">
        <v>10917793.619999999</v>
      </c>
      <c r="W21" s="36">
        <v>0.05</v>
      </c>
      <c r="X21" s="36">
        <v>0.25090365666056302</v>
      </c>
    </row>
    <row r="22" spans="3:24">
      <c r="L22" t="s">
        <v>15</v>
      </c>
      <c r="M22" s="34">
        <v>42036</v>
      </c>
      <c r="N22" s="40">
        <v>87925</v>
      </c>
      <c r="O22" s="40">
        <v>19755112263.799999</v>
      </c>
      <c r="P22" s="40">
        <v>191691686.44</v>
      </c>
      <c r="Q22" s="35">
        <v>11.042299999999999</v>
      </c>
      <c r="R22" s="40">
        <v>2075498911.9400001</v>
      </c>
      <c r="S22" s="36">
        <v>10.24</v>
      </c>
      <c r="T22" s="40">
        <v>949391.26</v>
      </c>
      <c r="U22" s="35">
        <v>5.7599999999999998E-2</v>
      </c>
      <c r="V22" s="40">
        <v>11867184.880000001</v>
      </c>
      <c r="W22" s="36">
        <v>0.05</v>
      </c>
      <c r="X22" s="36">
        <v>0.25015041079039801</v>
      </c>
    </row>
    <row r="23" spans="3:24">
      <c r="L23" t="s">
        <v>15</v>
      </c>
      <c r="M23" s="34">
        <v>42064</v>
      </c>
      <c r="N23" s="40">
        <v>87132</v>
      </c>
      <c r="O23" s="40">
        <v>19517918050.32</v>
      </c>
      <c r="P23" s="40">
        <v>170280413.18000001</v>
      </c>
      <c r="Q23" s="35">
        <v>9.9810999999999996</v>
      </c>
      <c r="R23" s="40">
        <v>2245779325.1199999</v>
      </c>
      <c r="S23" s="36">
        <v>11.09</v>
      </c>
      <c r="T23" s="40">
        <v>1177926.43</v>
      </c>
      <c r="U23" s="35">
        <v>7.2300000000000003E-2</v>
      </c>
      <c r="V23" s="40">
        <v>13045111.310000001</v>
      </c>
      <c r="W23" s="36">
        <v>0.06</v>
      </c>
      <c r="X23" s="36">
        <v>0.30000390932597404</v>
      </c>
    </row>
    <row r="24" spans="3:24">
      <c r="L24" t="s">
        <v>15</v>
      </c>
      <c r="M24" s="34">
        <v>42095</v>
      </c>
      <c r="N24" s="40">
        <v>86371</v>
      </c>
      <c r="O24" s="40">
        <v>19298303853.59</v>
      </c>
      <c r="P24" s="40">
        <v>168340551.69</v>
      </c>
      <c r="Q24" s="35">
        <v>9.9797999999999991</v>
      </c>
      <c r="R24" s="40">
        <v>2414119876.8099999</v>
      </c>
      <c r="S24" s="36">
        <v>11.92</v>
      </c>
      <c r="T24" s="40">
        <v>840844.9</v>
      </c>
      <c r="U24" s="35">
        <v>5.2200000000000003E-2</v>
      </c>
      <c r="V24" s="40">
        <v>13885956.210000001</v>
      </c>
      <c r="W24" s="36">
        <v>0.06</v>
      </c>
      <c r="X24" s="36">
        <v>0.221292653406198</v>
      </c>
    </row>
    <row r="25" spans="3:24">
      <c r="L25" t="s">
        <v>15</v>
      </c>
      <c r="M25" s="34">
        <v>42125</v>
      </c>
      <c r="N25" s="40">
        <v>85631</v>
      </c>
      <c r="O25" s="40">
        <v>19082907230.220001</v>
      </c>
      <c r="P25" s="40">
        <v>191859748.56</v>
      </c>
      <c r="Q25" s="35">
        <v>11.419499999999999</v>
      </c>
      <c r="R25" s="40">
        <v>2605979625.3699999</v>
      </c>
      <c r="S25" s="36">
        <v>12.86</v>
      </c>
      <c r="T25" s="40">
        <v>2030630.68</v>
      </c>
      <c r="U25" s="35">
        <v>0.12759999999999999</v>
      </c>
      <c r="V25" s="40">
        <v>15916586.890000001</v>
      </c>
      <c r="W25" s="36">
        <v>6.9999999999999993E-2</v>
      </c>
      <c r="X25" s="36">
        <v>0.22937126205111899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433"/>
  <sheetViews>
    <sheetView topLeftCell="A25" workbookViewId="0">
      <selection activeCell="Q9" sqref="Q9"/>
    </sheetView>
  </sheetViews>
  <sheetFormatPr defaultRowHeight="15"/>
  <cols>
    <col min="8" max="8" width="31.42578125" customWidth="1"/>
    <col min="13" max="13" width="17.85546875" customWidth="1"/>
    <col min="14" max="14" width="22.42578125" bestFit="1" customWidth="1"/>
    <col min="15" max="17" width="12" customWidth="1"/>
    <col min="20" max="20" width="17.85546875" customWidth="1"/>
    <col min="21" max="21" width="24" bestFit="1" customWidth="1"/>
    <col min="22" max="24" width="12" customWidth="1"/>
  </cols>
  <sheetData>
    <row r="1" spans="1:24"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95</v>
      </c>
      <c r="M1" s="50" t="s">
        <v>55</v>
      </c>
      <c r="N1" t="s">
        <v>65</v>
      </c>
      <c r="T1" s="50" t="s">
        <v>55</v>
      </c>
      <c r="U1" t="s">
        <v>62</v>
      </c>
    </row>
    <row r="2" spans="1:24">
      <c r="A2">
        <v>1</v>
      </c>
      <c r="B2" t="s">
        <v>59</v>
      </c>
      <c r="C2" s="34">
        <v>42186</v>
      </c>
      <c r="D2" t="s">
        <v>60</v>
      </c>
      <c r="E2" t="s">
        <v>61</v>
      </c>
      <c r="F2" t="s">
        <v>62</v>
      </c>
      <c r="G2">
        <v>1.35972619061464E-2</v>
      </c>
      <c r="H2" t="s">
        <v>63</v>
      </c>
      <c r="I2" t="s">
        <v>64</v>
      </c>
      <c r="J2">
        <f>100*(1-(1-G2)^12)</f>
        <v>15.15012058688473</v>
      </c>
    </row>
    <row r="3" spans="1:24">
      <c r="A3">
        <v>2</v>
      </c>
      <c r="B3" t="s">
        <v>59</v>
      </c>
      <c r="C3" s="34">
        <v>42217</v>
      </c>
      <c r="D3" t="s">
        <v>60</v>
      </c>
      <c r="E3" t="s">
        <v>61</v>
      </c>
      <c r="F3" t="s">
        <v>62</v>
      </c>
      <c r="G3">
        <v>1.2859493432500899E-2</v>
      </c>
      <c r="H3" t="s">
        <v>63</v>
      </c>
      <c r="I3" t="s">
        <v>64</v>
      </c>
      <c r="J3">
        <f t="shared" ref="J3:J66" si="0">100*(1-(1-G3)^12)</f>
        <v>14.385430221458318</v>
      </c>
      <c r="M3" s="50" t="s">
        <v>96</v>
      </c>
      <c r="N3" s="50" t="s">
        <v>13</v>
      </c>
      <c r="T3" s="50" t="s">
        <v>96</v>
      </c>
      <c r="U3" s="50" t="s">
        <v>13</v>
      </c>
    </row>
    <row r="4" spans="1:24">
      <c r="A4">
        <v>3</v>
      </c>
      <c r="B4" t="s">
        <v>59</v>
      </c>
      <c r="C4" s="34">
        <v>42248</v>
      </c>
      <c r="D4" t="s">
        <v>60</v>
      </c>
      <c r="E4" t="s">
        <v>61</v>
      </c>
      <c r="F4" t="s">
        <v>62</v>
      </c>
      <c r="G4">
        <v>1.27331499902656E-2</v>
      </c>
      <c r="H4" t="s">
        <v>63</v>
      </c>
      <c r="I4" t="s">
        <v>64</v>
      </c>
      <c r="J4">
        <f t="shared" si="0"/>
        <v>14.253844611729495</v>
      </c>
      <c r="M4" s="50" t="s">
        <v>14</v>
      </c>
      <c r="N4" t="s">
        <v>67</v>
      </c>
      <c r="O4" t="s">
        <v>66</v>
      </c>
      <c r="P4" t="s">
        <v>64</v>
      </c>
      <c r="Q4" t="s">
        <v>68</v>
      </c>
      <c r="T4" s="50" t="s">
        <v>14</v>
      </c>
      <c r="U4" t="s">
        <v>67</v>
      </c>
      <c r="V4" t="s">
        <v>66</v>
      </c>
      <c r="W4" t="s">
        <v>64</v>
      </c>
      <c r="X4" t="s">
        <v>68</v>
      </c>
    </row>
    <row r="5" spans="1:24">
      <c r="A5">
        <v>4</v>
      </c>
      <c r="B5" t="s">
        <v>59</v>
      </c>
      <c r="C5" s="34">
        <v>42278</v>
      </c>
      <c r="D5" t="s">
        <v>60</v>
      </c>
      <c r="E5" t="s">
        <v>61</v>
      </c>
      <c r="F5" t="s">
        <v>62</v>
      </c>
      <c r="G5">
        <v>1.3204783020481999E-2</v>
      </c>
      <c r="H5" t="s">
        <v>63</v>
      </c>
      <c r="I5" t="s">
        <v>64</v>
      </c>
      <c r="J5">
        <f t="shared" si="0"/>
        <v>14.744102733884922</v>
      </c>
      <c r="M5" s="51">
        <v>42186</v>
      </c>
      <c r="N5" s="52">
        <v>6.8455766249975181E-2</v>
      </c>
      <c r="O5" s="52">
        <v>6.8477772982200591E-2</v>
      </c>
      <c r="P5" s="52">
        <v>6.8574147761568671E-2</v>
      </c>
      <c r="Q5" s="52">
        <v>0.20550768699374444</v>
      </c>
      <c r="T5" s="51">
        <v>42186</v>
      </c>
      <c r="U5" s="52">
        <v>15.30459218543907</v>
      </c>
      <c r="V5" s="52">
        <v>15.275835800818315</v>
      </c>
      <c r="W5" s="52">
        <v>15.15012058688473</v>
      </c>
      <c r="X5" s="52">
        <v>45.730548573142116</v>
      </c>
    </row>
    <row r="6" spans="1:24">
      <c r="A6">
        <v>5</v>
      </c>
      <c r="B6" t="s">
        <v>59</v>
      </c>
      <c r="C6" s="34">
        <v>42309</v>
      </c>
      <c r="D6" t="s">
        <v>60</v>
      </c>
      <c r="E6" t="s">
        <v>61</v>
      </c>
      <c r="F6" t="s">
        <v>62</v>
      </c>
      <c r="G6">
        <v>1.18807410323356E-2</v>
      </c>
      <c r="H6" t="s">
        <v>63</v>
      </c>
      <c r="I6" t="s">
        <v>64</v>
      </c>
      <c r="J6">
        <f t="shared" si="0"/>
        <v>13.361212037017767</v>
      </c>
      <c r="M6" s="51">
        <v>42217</v>
      </c>
      <c r="N6" s="52">
        <v>7.6800785957120699E-2</v>
      </c>
      <c r="O6" s="52">
        <v>7.692463223158974E-2</v>
      </c>
      <c r="P6" s="52">
        <v>7.747167281973999E-2</v>
      </c>
      <c r="Q6" s="52">
        <v>0.23119709100845043</v>
      </c>
      <c r="T6" s="51">
        <v>42217</v>
      </c>
      <c r="U6" s="52">
        <v>14.684126188442637</v>
      </c>
      <c r="V6" s="52">
        <v>14.628919144950514</v>
      </c>
      <c r="W6" s="52">
        <v>14.385430221458318</v>
      </c>
      <c r="X6" s="52">
        <v>43.69847555485147</v>
      </c>
    </row>
    <row r="7" spans="1:24">
      <c r="A7">
        <v>6</v>
      </c>
      <c r="B7" t="s">
        <v>59</v>
      </c>
      <c r="C7" s="34">
        <v>42339</v>
      </c>
      <c r="D7" t="s">
        <v>60</v>
      </c>
      <c r="E7" t="s">
        <v>61</v>
      </c>
      <c r="F7" t="s">
        <v>62</v>
      </c>
      <c r="G7">
        <v>1.2931767910293801E-2</v>
      </c>
      <c r="H7" t="s">
        <v>63</v>
      </c>
      <c r="I7" t="s">
        <v>64</v>
      </c>
      <c r="J7">
        <f t="shared" si="0"/>
        <v>14.460620213040688</v>
      </c>
      <c r="M7" s="51">
        <v>42248</v>
      </c>
      <c r="N7" s="52">
        <v>9.7557646391455144E-2</v>
      </c>
      <c r="O7" s="52">
        <v>9.7952809085466441E-2</v>
      </c>
      <c r="P7" s="52">
        <v>9.9721987422607405E-2</v>
      </c>
      <c r="Q7" s="52">
        <v>0.29523244289952899</v>
      </c>
      <c r="T7" s="51">
        <v>42248</v>
      </c>
      <c r="U7" s="52">
        <v>14.704151011869959</v>
      </c>
      <c r="V7" s="52">
        <v>14.621525155158698</v>
      </c>
      <c r="W7" s="52">
        <v>14.253844611729495</v>
      </c>
      <c r="X7" s="52">
        <v>43.579520778758152</v>
      </c>
    </row>
    <row r="8" spans="1:24">
      <c r="A8">
        <v>7</v>
      </c>
      <c r="B8" t="s">
        <v>59</v>
      </c>
      <c r="C8" s="34">
        <v>42370</v>
      </c>
      <c r="D8" t="s">
        <v>60</v>
      </c>
      <c r="E8" t="s">
        <v>61</v>
      </c>
      <c r="F8" t="s">
        <v>62</v>
      </c>
      <c r="G8">
        <v>1.10490136294649E-2</v>
      </c>
      <c r="H8" t="s">
        <v>63</v>
      </c>
      <c r="I8" t="s">
        <v>64</v>
      </c>
      <c r="J8">
        <f t="shared" si="0"/>
        <v>12.482034032850219</v>
      </c>
      <c r="M8" s="51">
        <v>42278</v>
      </c>
      <c r="N8" s="52">
        <v>0.13478088123276555</v>
      </c>
      <c r="O8" s="52">
        <v>0.13586525970529229</v>
      </c>
      <c r="P8" s="52">
        <v>0.14081549341448119</v>
      </c>
      <c r="Q8" s="52">
        <v>0.41146163435253902</v>
      </c>
      <c r="T8" s="51">
        <v>42278</v>
      </c>
      <c r="U8" s="52">
        <v>15.371901378995556</v>
      </c>
      <c r="V8" s="52">
        <v>15.257562417900971</v>
      </c>
      <c r="W8" s="52">
        <v>14.744102733884922</v>
      </c>
      <c r="X8" s="52">
        <v>45.373566530781446</v>
      </c>
    </row>
    <row r="9" spans="1:24">
      <c r="A9">
        <v>8</v>
      </c>
      <c r="B9" t="s">
        <v>59</v>
      </c>
      <c r="C9" s="34">
        <v>42401</v>
      </c>
      <c r="D9" t="s">
        <v>60</v>
      </c>
      <c r="E9" t="s">
        <v>61</v>
      </c>
      <c r="F9" t="s">
        <v>62</v>
      </c>
      <c r="G9">
        <v>1.1503814637333199E-2</v>
      </c>
      <c r="H9" t="s">
        <v>63</v>
      </c>
      <c r="I9" t="s">
        <v>64</v>
      </c>
      <c r="J9">
        <f t="shared" si="0"/>
        <v>12.96378980087206</v>
      </c>
      <c r="M9" s="51">
        <v>42309</v>
      </c>
      <c r="N9" s="52">
        <v>0.15334988374516856</v>
      </c>
      <c r="O9" s="52">
        <v>0.15531456709010349</v>
      </c>
      <c r="P9" s="52">
        <v>0.16447879200210958</v>
      </c>
      <c r="Q9" s="52">
        <v>0.47314324283738163</v>
      </c>
      <c r="T9" s="51">
        <v>42309</v>
      </c>
      <c r="U9" s="52">
        <v>14.088020495169641</v>
      </c>
      <c r="V9" s="52">
        <v>13.956583112023313</v>
      </c>
      <c r="W9" s="52">
        <v>13.361212037017767</v>
      </c>
      <c r="X9" s="52">
        <v>41.405815644210719</v>
      </c>
    </row>
    <row r="10" spans="1:24">
      <c r="A10">
        <v>9</v>
      </c>
      <c r="B10" t="s">
        <v>59</v>
      </c>
      <c r="C10" s="34">
        <v>42430</v>
      </c>
      <c r="D10" t="s">
        <v>60</v>
      </c>
      <c r="E10" t="s">
        <v>61</v>
      </c>
      <c r="F10" t="s">
        <v>62</v>
      </c>
      <c r="G10">
        <v>1.25134697374899E-2</v>
      </c>
      <c r="H10" t="s">
        <v>63</v>
      </c>
      <c r="I10" t="s">
        <v>64</v>
      </c>
      <c r="J10">
        <f t="shared" si="0"/>
        <v>14.024608023164053</v>
      </c>
      <c r="M10" s="51">
        <v>42339</v>
      </c>
      <c r="N10" s="52">
        <v>0.19834404458559662</v>
      </c>
      <c r="O10" s="52">
        <v>0.20191692874439449</v>
      </c>
      <c r="P10" s="52">
        <v>0.21897137777078246</v>
      </c>
      <c r="Q10" s="52">
        <v>0.61923235110077357</v>
      </c>
      <c r="T10" s="51">
        <v>42339</v>
      </c>
      <c r="U10" s="52">
        <v>15.411783756492303</v>
      </c>
      <c r="V10" s="52">
        <v>15.241105523025167</v>
      </c>
      <c r="W10" s="52">
        <v>14.460620213040688</v>
      </c>
      <c r="X10" s="52">
        <v>45.113509492558158</v>
      </c>
    </row>
    <row r="11" spans="1:24">
      <c r="A11">
        <v>10</v>
      </c>
      <c r="B11" t="s">
        <v>59</v>
      </c>
      <c r="C11" s="34">
        <v>42461</v>
      </c>
      <c r="D11" t="s">
        <v>60</v>
      </c>
      <c r="E11" t="s">
        <v>61</v>
      </c>
      <c r="F11" t="s">
        <v>62</v>
      </c>
      <c r="G11">
        <v>1.18089923237484E-2</v>
      </c>
      <c r="H11" t="s">
        <v>63</v>
      </c>
      <c r="I11" t="s">
        <v>64</v>
      </c>
      <c r="J11">
        <f t="shared" si="0"/>
        <v>13.285690331869748</v>
      </c>
      <c r="M11" s="51">
        <v>42370</v>
      </c>
      <c r="N11" s="52">
        <v>0.19178008225922971</v>
      </c>
      <c r="O11" s="52">
        <v>0.19629924541419985</v>
      </c>
      <c r="P11" s="52">
        <v>0.21840592125506042</v>
      </c>
      <c r="Q11" s="52">
        <v>0.60648524892848998</v>
      </c>
      <c r="T11" s="51">
        <v>42370</v>
      </c>
      <c r="U11" s="52">
        <v>13.464949023854867</v>
      </c>
      <c r="V11" s="52">
        <v>13.289772584464854</v>
      </c>
      <c r="W11" s="52">
        <v>12.482034032850219</v>
      </c>
      <c r="X11" s="52">
        <v>39.236755641169935</v>
      </c>
    </row>
    <row r="12" spans="1:24">
      <c r="A12">
        <v>11</v>
      </c>
      <c r="B12" t="s">
        <v>59</v>
      </c>
      <c r="C12" s="34">
        <v>42491</v>
      </c>
      <c r="D12" t="s">
        <v>60</v>
      </c>
      <c r="E12" t="s">
        <v>61</v>
      </c>
      <c r="F12" t="s">
        <v>62</v>
      </c>
      <c r="G12">
        <v>1.16718831372463E-2</v>
      </c>
      <c r="H12" t="s">
        <v>63</v>
      </c>
      <c r="I12" t="s">
        <v>64</v>
      </c>
      <c r="J12">
        <f t="shared" si="0"/>
        <v>13.141203218116459</v>
      </c>
      <c r="M12" s="51">
        <v>42401</v>
      </c>
      <c r="N12" s="52">
        <v>0.21816514836252576</v>
      </c>
      <c r="O12" s="52">
        <v>0.22458343566111871</v>
      </c>
      <c r="P12" s="52">
        <v>0.25680294525248781</v>
      </c>
      <c r="Q12" s="52">
        <v>0.69955152927613229</v>
      </c>
      <c r="T12" s="51">
        <v>42401</v>
      </c>
      <c r="U12" s="52">
        <v>14.14418258849912</v>
      </c>
      <c r="V12" s="52">
        <v>13.935429214012206</v>
      </c>
      <c r="W12" s="52">
        <v>12.96378980087206</v>
      </c>
      <c r="X12" s="52">
        <v>41.043401603383387</v>
      </c>
    </row>
    <row r="13" spans="1:24">
      <c r="A13">
        <v>12</v>
      </c>
      <c r="B13" t="s">
        <v>59</v>
      </c>
      <c r="C13" s="34">
        <v>42522</v>
      </c>
      <c r="D13" t="s">
        <v>60</v>
      </c>
      <c r="E13" t="s">
        <v>61</v>
      </c>
      <c r="F13" t="s">
        <v>62</v>
      </c>
      <c r="G13">
        <v>1.2082487471288501E-2</v>
      </c>
      <c r="H13" t="s">
        <v>63</v>
      </c>
      <c r="I13" t="s">
        <v>64</v>
      </c>
      <c r="J13">
        <f t="shared" si="0"/>
        <v>13.573244567430221</v>
      </c>
      <c r="M13" s="51">
        <v>42430</v>
      </c>
      <c r="N13" s="52">
        <v>0.25312175216204436</v>
      </c>
      <c r="O13" s="52">
        <v>0.26212009202315478</v>
      </c>
      <c r="P13" s="52">
        <v>0.30853486188883172</v>
      </c>
      <c r="Q13" s="52">
        <v>0.82377670607403086</v>
      </c>
      <c r="T13" s="51">
        <v>42430</v>
      </c>
      <c r="U13" s="52">
        <v>15.473186483387169</v>
      </c>
      <c r="V13" s="52">
        <v>15.219081616006868</v>
      </c>
      <c r="W13" s="52">
        <v>14.024608023164053</v>
      </c>
      <c r="X13" s="52">
        <v>44.716876122558091</v>
      </c>
    </row>
    <row r="14" spans="1:24">
      <c r="A14">
        <v>13</v>
      </c>
      <c r="B14" t="s">
        <v>59</v>
      </c>
      <c r="C14" s="34">
        <v>42552</v>
      </c>
      <c r="D14" t="s">
        <v>60</v>
      </c>
      <c r="E14" t="s">
        <v>61</v>
      </c>
      <c r="F14" t="s">
        <v>62</v>
      </c>
      <c r="G14">
        <v>1.10334997519885E-2</v>
      </c>
      <c r="H14" t="s">
        <v>63</v>
      </c>
      <c r="I14" t="s">
        <v>64</v>
      </c>
      <c r="J14">
        <f t="shared" si="0"/>
        <v>12.465557663387216</v>
      </c>
      <c r="M14" s="51">
        <v>42461</v>
      </c>
      <c r="N14" s="52">
        <v>0.25072662933561807</v>
      </c>
      <c r="O14" s="52">
        <v>0.26123935595782077</v>
      </c>
      <c r="P14" s="52">
        <v>0.31702822951593657</v>
      </c>
      <c r="Q14" s="52">
        <v>0.82899421480937541</v>
      </c>
      <c r="T14" s="51">
        <v>42461</v>
      </c>
      <c r="U14" s="52">
        <v>14.840250113201602</v>
      </c>
      <c r="V14" s="52">
        <v>14.569548276797562</v>
      </c>
      <c r="W14" s="52">
        <v>13.285690331869748</v>
      </c>
      <c r="X14" s="52">
        <v>42.695488721868912</v>
      </c>
    </row>
    <row r="15" spans="1:24">
      <c r="A15">
        <v>14</v>
      </c>
      <c r="B15" t="s">
        <v>59</v>
      </c>
      <c r="C15" s="34">
        <v>42583</v>
      </c>
      <c r="D15" t="s">
        <v>60</v>
      </c>
      <c r="E15" t="s">
        <v>61</v>
      </c>
      <c r="F15" t="s">
        <v>62</v>
      </c>
      <c r="G15">
        <v>1.25341103295784E-2</v>
      </c>
      <c r="H15" t="s">
        <v>63</v>
      </c>
      <c r="I15" t="s">
        <v>64</v>
      </c>
      <c r="J15">
        <f t="shared" si="0"/>
        <v>14.046170391208278</v>
      </c>
      <c r="M15" s="51">
        <v>42491</v>
      </c>
      <c r="N15" s="52">
        <v>0.25730275178916795</v>
      </c>
      <c r="O15" s="52">
        <v>0.26978573058155098</v>
      </c>
      <c r="P15" s="52">
        <v>0.33801571954741316</v>
      </c>
      <c r="Q15" s="52">
        <v>0.86510420191813209</v>
      </c>
      <c r="T15" s="51">
        <v>42491</v>
      </c>
      <c r="U15" s="52">
        <v>14.859971457524612</v>
      </c>
      <c r="V15" s="52">
        <v>14.5629668515041</v>
      </c>
      <c r="W15" s="52">
        <v>13.141203218116459</v>
      </c>
      <c r="X15" s="52">
        <v>42.564141527145168</v>
      </c>
    </row>
    <row r="16" spans="1:24">
      <c r="A16">
        <v>15</v>
      </c>
      <c r="B16" t="s">
        <v>59</v>
      </c>
      <c r="C16" s="34">
        <v>42614</v>
      </c>
      <c r="D16" t="s">
        <v>60</v>
      </c>
      <c r="E16" t="s">
        <v>61</v>
      </c>
      <c r="F16" t="s">
        <v>62</v>
      </c>
      <c r="G16">
        <v>1.14448808148273E-2</v>
      </c>
      <c r="H16" t="s">
        <v>63</v>
      </c>
      <c r="I16" t="s">
        <v>64</v>
      </c>
      <c r="J16">
        <f t="shared" si="0"/>
        <v>12.901500530299492</v>
      </c>
      <c r="M16" s="51">
        <v>42522</v>
      </c>
      <c r="N16" s="52">
        <v>0.27456666485733416</v>
      </c>
      <c r="O16" s="52">
        <v>0.28974181203964555</v>
      </c>
      <c r="P16" s="52">
        <v>0.37526014771728233</v>
      </c>
      <c r="Q16" s="52">
        <v>0.93956862461426205</v>
      </c>
      <c r="T16" s="51">
        <v>42522</v>
      </c>
      <c r="U16" s="52">
        <v>15.534684902191742</v>
      </c>
      <c r="V16" s="52">
        <v>15.198493807915082</v>
      </c>
      <c r="W16" s="52">
        <v>13.573244567430221</v>
      </c>
      <c r="X16" s="52">
        <v>44.306423277537043</v>
      </c>
    </row>
    <row r="17" spans="1:24">
      <c r="A17">
        <v>16</v>
      </c>
      <c r="B17" t="s">
        <v>59</v>
      </c>
      <c r="C17" s="34">
        <v>42644</v>
      </c>
      <c r="D17" t="s">
        <v>60</v>
      </c>
      <c r="E17" t="s">
        <v>61</v>
      </c>
      <c r="F17" t="s">
        <v>62</v>
      </c>
      <c r="G17">
        <v>1.14550079797719E-2</v>
      </c>
      <c r="H17" t="s">
        <v>63</v>
      </c>
      <c r="I17" t="s">
        <v>64</v>
      </c>
      <c r="J17">
        <f t="shared" si="0"/>
        <v>12.9122072009473</v>
      </c>
      <c r="M17" s="51">
        <v>42552</v>
      </c>
      <c r="N17" s="52">
        <v>0.25303093819286637</v>
      </c>
      <c r="O17" s="52">
        <v>0.268762983173787</v>
      </c>
      <c r="P17" s="52">
        <v>0.36026471801112736</v>
      </c>
      <c r="Q17" s="52">
        <v>0.88205863937778073</v>
      </c>
      <c r="T17" s="51">
        <v>42552</v>
      </c>
      <c r="U17" s="52">
        <v>14.238474651171828</v>
      </c>
      <c r="V17" s="52">
        <v>13.903591356329216</v>
      </c>
      <c r="W17" s="52">
        <v>12.465557663387216</v>
      </c>
      <c r="X17" s="52">
        <v>40.607623670888259</v>
      </c>
    </row>
    <row r="18" spans="1:24">
      <c r="A18">
        <v>17</v>
      </c>
      <c r="B18" t="s">
        <v>59</v>
      </c>
      <c r="C18" s="34">
        <v>42675</v>
      </c>
      <c r="D18" t="s">
        <v>60</v>
      </c>
      <c r="E18" t="s">
        <v>61</v>
      </c>
      <c r="F18" t="s">
        <v>62</v>
      </c>
      <c r="G18">
        <v>1.14610629232297E-2</v>
      </c>
      <c r="H18" t="s">
        <v>63</v>
      </c>
      <c r="I18" t="s">
        <v>64</v>
      </c>
      <c r="J18">
        <f t="shared" si="0"/>
        <v>12.918608049488379</v>
      </c>
      <c r="M18" s="51">
        <v>42583</v>
      </c>
      <c r="N18" s="52">
        <v>0.29219406590851316</v>
      </c>
      <c r="O18" s="52">
        <v>0.3124371680660265</v>
      </c>
      <c r="P18" s="52">
        <v>0.43419033565986753</v>
      </c>
      <c r="Q18" s="52">
        <v>1.0388215696344072</v>
      </c>
      <c r="T18" s="51">
        <v>42583</v>
      </c>
      <c r="U18" s="52">
        <v>16.062232618610384</v>
      </c>
      <c r="V18" s="52">
        <v>15.660613668708534</v>
      </c>
      <c r="W18" s="52">
        <v>14.046170391208278</v>
      </c>
      <c r="X18" s="52">
        <v>45.769016678527194</v>
      </c>
    </row>
    <row r="19" spans="1:24">
      <c r="A19">
        <v>18</v>
      </c>
      <c r="B19" t="s">
        <v>59</v>
      </c>
      <c r="C19" s="34">
        <v>42705</v>
      </c>
      <c r="D19" t="s">
        <v>60</v>
      </c>
      <c r="E19" t="s">
        <v>61</v>
      </c>
      <c r="F19" t="s">
        <v>62</v>
      </c>
      <c r="G19">
        <v>1.1462767968079299E-2</v>
      </c>
      <c r="H19" t="s">
        <v>63</v>
      </c>
      <c r="I19" t="s">
        <v>64</v>
      </c>
      <c r="J19">
        <f t="shared" si="0"/>
        <v>12.920410421835172</v>
      </c>
      <c r="M19" s="51">
        <v>42614</v>
      </c>
      <c r="N19" s="52">
        <v>0.26071599379409172</v>
      </c>
      <c r="O19" s="52">
        <v>0.28055884134289277</v>
      </c>
      <c r="P19" s="52">
        <v>0.40399842252869522</v>
      </c>
      <c r="Q19" s="52">
        <v>0.94527325766567971</v>
      </c>
      <c r="T19" s="51">
        <v>42614</v>
      </c>
      <c r="U19" s="52">
        <v>14.769687534672315</v>
      </c>
      <c r="V19" s="52">
        <v>14.37286999096038</v>
      </c>
      <c r="W19" s="52">
        <v>12.901500530299492</v>
      </c>
      <c r="X19" s="52">
        <v>42.04405805593219</v>
      </c>
    </row>
    <row r="20" spans="1:24">
      <c r="A20">
        <v>19</v>
      </c>
      <c r="B20" t="s">
        <v>59</v>
      </c>
      <c r="C20" s="34">
        <v>42736</v>
      </c>
      <c r="D20" t="s">
        <v>60</v>
      </c>
      <c r="E20" t="s">
        <v>61</v>
      </c>
      <c r="F20" t="s">
        <v>62</v>
      </c>
      <c r="G20">
        <v>1.09142268820568E-2</v>
      </c>
      <c r="H20" t="s">
        <v>63</v>
      </c>
      <c r="I20" t="s">
        <v>64</v>
      </c>
      <c r="J20">
        <f t="shared" si="0"/>
        <v>12.338790024873425</v>
      </c>
      <c r="M20" s="51">
        <v>42644</v>
      </c>
      <c r="N20" s="52">
        <v>0.25717096732228439</v>
      </c>
      <c r="O20" s="52">
        <v>0.27863028583489102</v>
      </c>
      <c r="P20" s="52">
        <v>0.4172316060212955</v>
      </c>
      <c r="Q20" s="52">
        <v>0.95303285917847091</v>
      </c>
      <c r="T20" s="51">
        <v>42644</v>
      </c>
      <c r="U20" s="52">
        <v>14.78813260608135</v>
      </c>
      <c r="V20" s="52">
        <v>14.366103175909439</v>
      </c>
      <c r="W20" s="52">
        <v>12.9122072009473</v>
      </c>
      <c r="X20" s="52">
        <v>42.066442982938085</v>
      </c>
    </row>
    <row r="21" spans="1:24">
      <c r="A21">
        <v>20</v>
      </c>
      <c r="B21" t="s">
        <v>59</v>
      </c>
      <c r="C21" s="34">
        <v>42767</v>
      </c>
      <c r="D21" t="s">
        <v>60</v>
      </c>
      <c r="E21" t="s">
        <v>61</v>
      </c>
      <c r="F21" t="s">
        <v>62</v>
      </c>
      <c r="G21">
        <v>1.0361715596993899E-2</v>
      </c>
      <c r="H21" t="s">
        <v>63</v>
      </c>
      <c r="I21" t="s">
        <v>64</v>
      </c>
      <c r="J21">
        <f t="shared" si="0"/>
        <v>11.74936218930921</v>
      </c>
      <c r="M21" s="51">
        <v>42675</v>
      </c>
      <c r="N21" s="52">
        <v>0.25222167021793362</v>
      </c>
      <c r="O21" s="52">
        <v>0.27516840473549298</v>
      </c>
      <c r="P21" s="52">
        <v>0.42917768637715792</v>
      </c>
      <c r="Q21" s="52">
        <v>0.95656776133058452</v>
      </c>
      <c r="T21" s="51">
        <v>42675</v>
      </c>
      <c r="U21" s="52">
        <v>14.806492379838643</v>
      </c>
      <c r="V21" s="52">
        <v>14.359376545522029</v>
      </c>
      <c r="W21" s="52">
        <v>12.918608049488379</v>
      </c>
      <c r="X21" s="52">
        <v>42.084476974849046</v>
      </c>
    </row>
    <row r="22" spans="1:24">
      <c r="A22">
        <v>21</v>
      </c>
      <c r="B22" t="s">
        <v>59</v>
      </c>
      <c r="C22" s="34">
        <v>42795</v>
      </c>
      <c r="D22" t="s">
        <v>60</v>
      </c>
      <c r="E22" t="s">
        <v>61</v>
      </c>
      <c r="F22" t="s">
        <v>62</v>
      </c>
      <c r="G22">
        <v>1.25296051675976E-2</v>
      </c>
      <c r="H22" t="s">
        <v>63</v>
      </c>
      <c r="I22" t="s">
        <v>64</v>
      </c>
      <c r="J22">
        <f t="shared" si="0"/>
        <v>14.041464458825203</v>
      </c>
      <c r="M22" s="51">
        <v>42705</v>
      </c>
      <c r="N22" s="52">
        <v>0.24651580451199306</v>
      </c>
      <c r="O22" s="52">
        <v>0.27083046441778169</v>
      </c>
      <c r="P22" s="52">
        <v>0.44057285216574371</v>
      </c>
      <c r="Q22" s="52">
        <v>0.95791912109551847</v>
      </c>
      <c r="T22" s="51">
        <v>42705</v>
      </c>
      <c r="U22" s="52">
        <v>14.824569474791272</v>
      </c>
      <c r="V22" s="52">
        <v>14.352505965719221</v>
      </c>
      <c r="W22" s="52">
        <v>12.920410421835172</v>
      </c>
      <c r="X22" s="52">
        <v>42.097485862345664</v>
      </c>
    </row>
    <row r="23" spans="1:24">
      <c r="A23">
        <v>22</v>
      </c>
      <c r="B23" t="s">
        <v>59</v>
      </c>
      <c r="C23" s="34">
        <v>42826</v>
      </c>
      <c r="D23" t="s">
        <v>60</v>
      </c>
      <c r="E23" t="s">
        <v>61</v>
      </c>
      <c r="F23" t="s">
        <v>62</v>
      </c>
      <c r="G23">
        <v>1.0334861308898E-2</v>
      </c>
      <c r="H23" t="s">
        <v>63</v>
      </c>
      <c r="I23" t="s">
        <v>64</v>
      </c>
      <c r="J23">
        <f t="shared" si="0"/>
        <v>11.720621242414941</v>
      </c>
      <c r="M23" s="51">
        <v>42736</v>
      </c>
      <c r="N23" s="52">
        <v>0.22979008461142536</v>
      </c>
      <c r="O23" s="52">
        <v>0.25423511845485969</v>
      </c>
      <c r="P23" s="52">
        <v>0.43196161402666577</v>
      </c>
      <c r="Q23" s="52">
        <v>0.91598681709295082</v>
      </c>
      <c r="T23" s="51">
        <v>42736</v>
      </c>
      <c r="U23" s="52">
        <v>14.184109169720783</v>
      </c>
      <c r="V23" s="52">
        <v>13.707609495045126</v>
      </c>
      <c r="W23" s="52">
        <v>12.338790024873425</v>
      </c>
      <c r="X23" s="52">
        <v>40.230508689639336</v>
      </c>
    </row>
    <row r="24" spans="1:24">
      <c r="A24">
        <v>23</v>
      </c>
      <c r="B24" t="s">
        <v>59</v>
      </c>
      <c r="C24" s="34">
        <v>42856</v>
      </c>
      <c r="D24" t="s">
        <v>60</v>
      </c>
      <c r="E24" t="s">
        <v>61</v>
      </c>
      <c r="F24" t="s">
        <v>62</v>
      </c>
      <c r="G24">
        <v>1.19431323920392E-2</v>
      </c>
      <c r="H24" t="s">
        <v>63</v>
      </c>
      <c r="I24" t="s">
        <v>64</v>
      </c>
      <c r="J24">
        <f t="shared" si="0"/>
        <v>13.426835309665286</v>
      </c>
      <c r="M24" s="51">
        <v>42767</v>
      </c>
      <c r="N24" s="52">
        <v>0.21447463230929165</v>
      </c>
      <c r="O24" s="52">
        <v>0.23896358425179454</v>
      </c>
      <c r="P24" s="52">
        <v>0.42460170901726935</v>
      </c>
      <c r="Q24" s="52">
        <v>0.87803992557835553</v>
      </c>
      <c r="T24" s="51">
        <v>42767</v>
      </c>
      <c r="U24" s="52">
        <v>13.537251114966386</v>
      </c>
      <c r="V24" s="52">
        <v>13.058801964033728</v>
      </c>
      <c r="W24" s="52">
        <v>11.74936218930921</v>
      </c>
      <c r="X24" s="52">
        <v>38.345415268309324</v>
      </c>
    </row>
    <row r="25" spans="1:24">
      <c r="A25">
        <v>24</v>
      </c>
      <c r="B25" t="s">
        <v>59</v>
      </c>
      <c r="C25" s="34">
        <v>42887</v>
      </c>
      <c r="D25" t="s">
        <v>60</v>
      </c>
      <c r="E25" t="s">
        <v>61</v>
      </c>
      <c r="F25" t="s">
        <v>62</v>
      </c>
      <c r="G25">
        <v>1.19140133225003E-2</v>
      </c>
      <c r="H25" t="s">
        <v>63</v>
      </c>
      <c r="I25" t="s">
        <v>64</v>
      </c>
      <c r="J25">
        <f t="shared" si="0"/>
        <v>13.39621352569641</v>
      </c>
      <c r="M25" s="51">
        <v>42795</v>
      </c>
      <c r="N25" s="52">
        <v>0.25611690506034401</v>
      </c>
      <c r="O25" s="52">
        <v>0.28735618552808706</v>
      </c>
      <c r="P25" s="52">
        <v>0.53442917913749666</v>
      </c>
      <c r="Q25" s="52">
        <v>1.0779022697259277</v>
      </c>
      <c r="T25" s="51">
        <v>42795</v>
      </c>
      <c r="U25" s="52">
        <v>16.182330685429324</v>
      </c>
      <c r="V25" s="52">
        <v>15.592516009017899</v>
      </c>
      <c r="W25" s="52">
        <v>14.041464458825203</v>
      </c>
      <c r="X25" s="52">
        <v>45.816311153272423</v>
      </c>
    </row>
    <row r="26" spans="1:24">
      <c r="A26">
        <v>25</v>
      </c>
      <c r="B26" t="s">
        <v>59</v>
      </c>
      <c r="C26" s="34">
        <v>42917</v>
      </c>
      <c r="D26" t="s">
        <v>60</v>
      </c>
      <c r="E26" t="s">
        <v>61</v>
      </c>
      <c r="F26" t="s">
        <v>62</v>
      </c>
      <c r="G26">
        <v>1.09764105107825E-2</v>
      </c>
      <c r="H26" t="s">
        <v>63</v>
      </c>
      <c r="I26" t="s">
        <v>64</v>
      </c>
      <c r="J26">
        <f t="shared" si="0"/>
        <v>12.404902078381131</v>
      </c>
      <c r="M26" s="51">
        <v>42826</v>
      </c>
      <c r="N26" s="52">
        <v>0.20961575376159391</v>
      </c>
      <c r="O26" s="52">
        <v>0.23682867806651409</v>
      </c>
      <c r="P26" s="52">
        <v>0.46165762136742838</v>
      </c>
      <c r="Q26" s="52">
        <v>0.90810205319553639</v>
      </c>
      <c r="T26" s="51">
        <v>42826</v>
      </c>
      <c r="U26" s="52">
        <v>13.568575744295874</v>
      </c>
      <c r="V26" s="52">
        <v>13.045262386868306</v>
      </c>
      <c r="W26" s="52">
        <v>11.720621242414941</v>
      </c>
      <c r="X26" s="52">
        <v>38.334459373579122</v>
      </c>
    </row>
    <row r="27" spans="1:24">
      <c r="A27">
        <v>26</v>
      </c>
      <c r="B27" t="s">
        <v>59</v>
      </c>
      <c r="C27" s="34">
        <v>42948</v>
      </c>
      <c r="D27" t="s">
        <v>60</v>
      </c>
      <c r="E27" t="s">
        <v>61</v>
      </c>
      <c r="F27" t="s">
        <v>62</v>
      </c>
      <c r="G27">
        <v>1.2792502759526401E-2</v>
      </c>
      <c r="H27" t="s">
        <v>63</v>
      </c>
      <c r="I27" t="s">
        <v>64</v>
      </c>
      <c r="J27">
        <f t="shared" si="0"/>
        <v>14.315683082366204</v>
      </c>
      <c r="M27" s="51">
        <v>42856</v>
      </c>
      <c r="N27" s="52">
        <v>0.24113748093192999</v>
      </c>
      <c r="O27" s="52">
        <v>0.27432063640341342</v>
      </c>
      <c r="P27" s="52">
        <v>0.56076938874475291</v>
      </c>
      <c r="Q27" s="52">
        <v>1.0762275060800963</v>
      </c>
      <c r="T27" s="51">
        <v>42856</v>
      </c>
      <c r="U27" s="52">
        <v>15.566985954214797</v>
      </c>
      <c r="V27" s="52">
        <v>14.948313695915981</v>
      </c>
      <c r="W27" s="52">
        <v>13.426835309665286</v>
      </c>
      <c r="X27" s="52">
        <v>43.942134959796064</v>
      </c>
    </row>
    <row r="28" spans="1:24">
      <c r="A28">
        <v>27</v>
      </c>
      <c r="B28" t="s">
        <v>59</v>
      </c>
      <c r="C28" s="34">
        <v>42979</v>
      </c>
      <c r="D28" t="s">
        <v>60</v>
      </c>
      <c r="E28" t="s">
        <v>61</v>
      </c>
      <c r="F28" t="s">
        <v>62</v>
      </c>
      <c r="G28">
        <v>1.1273434562103699E-2</v>
      </c>
      <c r="H28" t="s">
        <v>63</v>
      </c>
      <c r="I28" t="s">
        <v>64</v>
      </c>
      <c r="J28">
        <f t="shared" si="0"/>
        <v>12.720060408026546</v>
      </c>
      <c r="M28" s="51">
        <v>42887</v>
      </c>
      <c r="N28" s="52">
        <v>0.24017860829588233</v>
      </c>
      <c r="O28" s="52">
        <v>0.27510184680796801</v>
      </c>
      <c r="P28" s="52">
        <v>0.59033853837989758</v>
      </c>
      <c r="Q28" s="52">
        <v>1.1056189934837479</v>
      </c>
      <c r="T28" s="51">
        <v>42887</v>
      </c>
      <c r="U28" s="52">
        <v>15.584157780222707</v>
      </c>
      <c r="V28" s="52">
        <v>14.940425041901895</v>
      </c>
      <c r="W28" s="52">
        <v>13.39621352569641</v>
      </c>
      <c r="X28" s="52">
        <v>43.92079634782101</v>
      </c>
    </row>
    <row r="29" spans="1:24">
      <c r="A29">
        <v>28</v>
      </c>
      <c r="B29" t="s">
        <v>59</v>
      </c>
      <c r="C29" s="34">
        <v>43009</v>
      </c>
      <c r="D29" t="s">
        <v>60</v>
      </c>
      <c r="E29" t="s">
        <v>61</v>
      </c>
      <c r="F29" t="s">
        <v>62</v>
      </c>
      <c r="G29">
        <v>1.25674338961151E-2</v>
      </c>
      <c r="H29" t="s">
        <v>63</v>
      </c>
      <c r="I29" t="s">
        <v>64</v>
      </c>
      <c r="J29">
        <f t="shared" si="0"/>
        <v>14.080971673407605</v>
      </c>
      <c r="M29" s="51">
        <v>42917</v>
      </c>
      <c r="N29" s="52">
        <v>0.21787235557304552</v>
      </c>
      <c r="O29" s="52">
        <v>0.25125060460053916</v>
      </c>
      <c r="P29" s="52">
        <v>0.5652926624689858</v>
      </c>
      <c r="Q29" s="52">
        <v>1.0344156226425705</v>
      </c>
      <c r="T29" s="51">
        <v>42917</v>
      </c>
      <c r="U29" s="52">
        <v>14.281111430774917</v>
      </c>
      <c r="V29" s="52">
        <v>13.66475083619777</v>
      </c>
      <c r="W29" s="52">
        <v>12.404902078381131</v>
      </c>
      <c r="X29" s="52">
        <v>40.350764345353824</v>
      </c>
    </row>
    <row r="30" spans="1:24">
      <c r="A30">
        <v>29</v>
      </c>
      <c r="B30" t="s">
        <v>59</v>
      </c>
      <c r="C30" s="34">
        <v>43040</v>
      </c>
      <c r="D30" t="s">
        <v>60</v>
      </c>
      <c r="E30" t="s">
        <v>61</v>
      </c>
      <c r="F30" t="s">
        <v>62</v>
      </c>
      <c r="G30">
        <v>1.21573098517737E-2</v>
      </c>
      <c r="H30" t="s">
        <v>63</v>
      </c>
      <c r="I30" t="s">
        <v>64</v>
      </c>
      <c r="J30">
        <f t="shared" si="0"/>
        <v>13.651760789103019</v>
      </c>
      <c r="M30" s="51">
        <v>42948</v>
      </c>
      <c r="N30" s="52">
        <v>0.25025187376317426</v>
      </c>
      <c r="O30" s="52">
        <v>0.29052689772337548</v>
      </c>
      <c r="P30" s="52">
        <v>0.68231819558526308</v>
      </c>
      <c r="Q30" s="52">
        <v>1.2230969670718128</v>
      </c>
      <c r="T30" s="51">
        <v>42948</v>
      </c>
      <c r="U30" s="52">
        <v>16.271517874240615</v>
      </c>
      <c r="V30" s="52">
        <v>15.551621495579138</v>
      </c>
      <c r="W30" s="52">
        <v>14.315683082366204</v>
      </c>
      <c r="X30" s="52">
        <v>46.138822452185956</v>
      </c>
    </row>
    <row r="31" spans="1:24">
      <c r="A31">
        <v>30</v>
      </c>
      <c r="B31" t="s">
        <v>59</v>
      </c>
      <c r="C31" s="34">
        <v>43070</v>
      </c>
      <c r="D31" t="s">
        <v>60</v>
      </c>
      <c r="E31" t="s">
        <v>61</v>
      </c>
      <c r="F31" t="s">
        <v>62</v>
      </c>
      <c r="G31">
        <v>1.1733745425573899E-2</v>
      </c>
      <c r="H31" t="s">
        <v>63</v>
      </c>
      <c r="I31" t="s">
        <v>64</v>
      </c>
      <c r="J31">
        <f t="shared" si="0"/>
        <v>13.206421654145107</v>
      </c>
      <c r="M31" s="51">
        <v>42979</v>
      </c>
      <c r="N31" s="52">
        <v>0.21759428522735158</v>
      </c>
      <c r="O31" s="52">
        <v>0.25430687909144822</v>
      </c>
      <c r="P31" s="52">
        <v>0.6204486612536364</v>
      </c>
      <c r="Q31" s="52">
        <v>1.0923498255724362</v>
      </c>
      <c r="T31" s="51">
        <v>42979</v>
      </c>
      <c r="U31" s="52">
        <v>14.311851134778198</v>
      </c>
      <c r="V31" s="52">
        <v>13.649976732441937</v>
      </c>
      <c r="W31" s="52">
        <v>12.720060408026546</v>
      </c>
      <c r="X31" s="52">
        <v>40.681888275246685</v>
      </c>
    </row>
    <row r="32" spans="1:24">
      <c r="A32">
        <v>31</v>
      </c>
      <c r="B32" t="s">
        <v>59</v>
      </c>
      <c r="C32" s="34">
        <v>43101</v>
      </c>
      <c r="D32" t="s">
        <v>60</v>
      </c>
      <c r="E32" t="s">
        <v>61</v>
      </c>
      <c r="F32" t="s">
        <v>62</v>
      </c>
      <c r="G32">
        <v>1.2485520909614E-2</v>
      </c>
      <c r="H32" t="s">
        <v>63</v>
      </c>
      <c r="I32" t="s">
        <v>64</v>
      </c>
      <c r="J32">
        <f t="shared" si="0"/>
        <v>13.995403142534268</v>
      </c>
      <c r="M32" s="51">
        <v>43009</v>
      </c>
      <c r="N32" s="52">
        <v>0.23940974327915088</v>
      </c>
      <c r="O32" s="52">
        <v>0.28165283633938554</v>
      </c>
      <c r="P32" s="52">
        <v>0.70857965290022085</v>
      </c>
      <c r="Q32" s="52">
        <v>1.2296422325187573</v>
      </c>
      <c r="T32" s="51">
        <v>43009</v>
      </c>
      <c r="U32" s="52">
        <v>15.650833218815963</v>
      </c>
      <c r="V32" s="52">
        <v>14.908369509841435</v>
      </c>
      <c r="W32" s="52">
        <v>14.080971673407605</v>
      </c>
      <c r="X32" s="52">
        <v>44.640174402065</v>
      </c>
    </row>
    <row r="33" spans="1:24">
      <c r="A33">
        <v>32</v>
      </c>
      <c r="B33" t="s">
        <v>59</v>
      </c>
      <c r="C33" s="34">
        <v>43132</v>
      </c>
      <c r="D33" t="s">
        <v>60</v>
      </c>
      <c r="E33" t="s">
        <v>61</v>
      </c>
      <c r="F33" t="s">
        <v>62</v>
      </c>
      <c r="G33">
        <v>1.14475450456317E-2</v>
      </c>
      <c r="H33" t="s">
        <v>63</v>
      </c>
      <c r="I33" t="s">
        <v>64</v>
      </c>
      <c r="J33">
        <f t="shared" si="0"/>
        <v>12.904317333059446</v>
      </c>
      <c r="M33" s="51">
        <v>43040</v>
      </c>
      <c r="N33" s="52">
        <v>0.22869873231274873</v>
      </c>
      <c r="O33" s="52">
        <v>0.27082495751054037</v>
      </c>
      <c r="P33" s="52">
        <v>0.69795480567251822</v>
      </c>
      <c r="Q33" s="52">
        <v>1.1974784954958073</v>
      </c>
      <c r="T33" s="51">
        <v>43040</v>
      </c>
      <c r="U33" s="52">
        <v>15.006805222953645</v>
      </c>
      <c r="V33" s="52">
        <v>14.269796869781704</v>
      </c>
      <c r="W33" s="52">
        <v>13.651760789103019</v>
      </c>
      <c r="X33" s="52">
        <v>42.928362881838368</v>
      </c>
    </row>
    <row r="34" spans="1:24">
      <c r="A34">
        <v>33</v>
      </c>
      <c r="B34" t="s">
        <v>59</v>
      </c>
      <c r="C34" s="34">
        <v>43160</v>
      </c>
      <c r="D34" t="s">
        <v>60</v>
      </c>
      <c r="E34" t="s">
        <v>61</v>
      </c>
      <c r="F34" t="s">
        <v>62</v>
      </c>
      <c r="G34">
        <v>1.2821503760642399E-2</v>
      </c>
      <c r="H34" t="s">
        <v>63</v>
      </c>
      <c r="I34" t="s">
        <v>64</v>
      </c>
      <c r="J34">
        <f t="shared" si="0"/>
        <v>14.345883779024193</v>
      </c>
      <c r="M34" s="51">
        <v>43070</v>
      </c>
      <c r="N34" s="52">
        <v>0.21802215045217954</v>
      </c>
      <c r="O34" s="52">
        <v>0.25987188339753331</v>
      </c>
      <c r="P34" s="52">
        <v>0.68213631699720612</v>
      </c>
      <c r="Q34" s="52">
        <v>1.160030350846919</v>
      </c>
      <c r="T34" s="51">
        <v>43070</v>
      </c>
      <c r="U34" s="52">
        <v>14.356614099623155</v>
      </c>
      <c r="V34" s="52">
        <v>13.627550986820813</v>
      </c>
      <c r="W34" s="52">
        <v>13.206421654145107</v>
      </c>
      <c r="X34" s="52">
        <v>41.190586740589069</v>
      </c>
    </row>
    <row r="35" spans="1:24">
      <c r="A35">
        <v>34</v>
      </c>
      <c r="B35" t="s">
        <v>59</v>
      </c>
      <c r="C35" s="34">
        <v>43191</v>
      </c>
      <c r="D35" t="s">
        <v>60</v>
      </c>
      <c r="E35" t="s">
        <v>61</v>
      </c>
      <c r="F35" t="s">
        <v>62</v>
      </c>
      <c r="G35">
        <v>1.29923747680202E-2</v>
      </c>
      <c r="H35" t="s">
        <v>63</v>
      </c>
      <c r="I35" t="s">
        <v>64</v>
      </c>
      <c r="J35">
        <f t="shared" si="0"/>
        <v>14.52362525106896</v>
      </c>
      <c r="M35" s="51">
        <v>43101</v>
      </c>
      <c r="N35" s="52">
        <v>0.22915731014551133</v>
      </c>
      <c r="O35" s="52">
        <v>0.27491573053057827</v>
      </c>
      <c r="P35" s="52">
        <v>0.73160556065006155</v>
      </c>
      <c r="Q35" s="52">
        <v>1.2356786013261511</v>
      </c>
      <c r="T35" s="51">
        <v>43101</v>
      </c>
      <c r="U35" s="52">
        <v>15.037376044801842</v>
      </c>
      <c r="V35" s="52">
        <v>14.254106309036318</v>
      </c>
      <c r="W35" s="52">
        <v>13.995403142534268</v>
      </c>
      <c r="X35" s="52">
        <v>43.286885496372435</v>
      </c>
    </row>
    <row r="36" spans="1:24">
      <c r="A36">
        <v>35</v>
      </c>
      <c r="B36" t="s">
        <v>59</v>
      </c>
      <c r="C36" s="34">
        <v>43221</v>
      </c>
      <c r="D36" t="s">
        <v>60</v>
      </c>
      <c r="E36" t="s">
        <v>61</v>
      </c>
      <c r="F36" t="s">
        <v>62</v>
      </c>
      <c r="G36">
        <v>1.37920729165102E-2</v>
      </c>
      <c r="H36" t="s">
        <v>63</v>
      </c>
      <c r="I36" t="s">
        <v>64</v>
      </c>
      <c r="J36">
        <f t="shared" si="0"/>
        <v>15.350992869944957</v>
      </c>
      <c r="M36" s="51">
        <v>43132</v>
      </c>
      <c r="N36" s="52">
        <v>0.20759221795718652</v>
      </c>
      <c r="O36" s="52">
        <v>0.25065708460707548</v>
      </c>
      <c r="P36" s="52">
        <v>0.67428044605013504</v>
      </c>
      <c r="Q36" s="52">
        <v>1.132529748614397</v>
      </c>
      <c r="T36" s="51">
        <v>43132</v>
      </c>
      <c r="U36" s="52">
        <v>13.714011478070686</v>
      </c>
      <c r="V36" s="52">
        <v>12.974387878974781</v>
      </c>
      <c r="W36" s="52">
        <v>12.904317333059446</v>
      </c>
      <c r="X36" s="52">
        <v>39.592716690104915</v>
      </c>
    </row>
    <row r="37" spans="1:24">
      <c r="A37">
        <v>36</v>
      </c>
      <c r="B37" t="s">
        <v>59</v>
      </c>
      <c r="C37" s="34">
        <v>43252</v>
      </c>
      <c r="D37" t="s">
        <v>60</v>
      </c>
      <c r="E37" t="s">
        <v>61</v>
      </c>
      <c r="F37" t="s">
        <v>62</v>
      </c>
      <c r="G37">
        <v>1.3339862924846501E-2</v>
      </c>
      <c r="H37" t="s">
        <v>63</v>
      </c>
      <c r="I37" t="s">
        <v>64</v>
      </c>
      <c r="J37">
        <f t="shared" si="0"/>
        <v>14.88404291710701</v>
      </c>
      <c r="M37" s="51">
        <v>43160</v>
      </c>
      <c r="N37" s="52">
        <v>0.22969334023426047</v>
      </c>
      <c r="O37" s="52">
        <v>0.27911658767649783</v>
      </c>
      <c r="P37" s="52">
        <v>0.75690821752015802</v>
      </c>
      <c r="Q37" s="52">
        <v>1.2657181454309163</v>
      </c>
      <c r="T37" s="51">
        <v>43160</v>
      </c>
      <c r="U37" s="52">
        <v>15.067249078550137</v>
      </c>
      <c r="V37" s="52">
        <v>14.238292858306167</v>
      </c>
      <c r="W37" s="52">
        <v>14.345883779024193</v>
      </c>
      <c r="X37" s="52">
        <v>43.651425715880499</v>
      </c>
    </row>
    <row r="38" spans="1:24">
      <c r="A38">
        <v>37</v>
      </c>
      <c r="B38" t="s">
        <v>59</v>
      </c>
      <c r="C38" s="34">
        <v>43282</v>
      </c>
      <c r="D38" t="s">
        <v>60</v>
      </c>
      <c r="E38" t="s">
        <v>61</v>
      </c>
      <c r="F38" t="s">
        <v>62</v>
      </c>
      <c r="G38">
        <v>1.33304336227683E-2</v>
      </c>
      <c r="H38" t="s">
        <v>63</v>
      </c>
      <c r="I38" t="s">
        <v>64</v>
      </c>
      <c r="J38">
        <f t="shared" si="0"/>
        <v>14.874281181799521</v>
      </c>
      <c r="M38" s="51">
        <v>43191</v>
      </c>
      <c r="N38" s="52">
        <v>0.22996771653088777</v>
      </c>
      <c r="O38" s="52">
        <v>0.28123247269224994</v>
      </c>
      <c r="P38" s="52">
        <v>0.76772331772515523</v>
      </c>
      <c r="Q38" s="52">
        <v>1.2789235069482929</v>
      </c>
      <c r="T38" s="51">
        <v>43191</v>
      </c>
      <c r="U38" s="52">
        <v>15.081925935334784</v>
      </c>
      <c r="V38" s="52">
        <v>14.230341452029627</v>
      </c>
      <c r="W38" s="52">
        <v>14.52362525106896</v>
      </c>
      <c r="X38" s="52">
        <v>43.835892638433371</v>
      </c>
    </row>
    <row r="39" spans="1:24">
      <c r="A39">
        <v>38</v>
      </c>
      <c r="B39" t="s">
        <v>59</v>
      </c>
      <c r="C39" s="34">
        <v>43313</v>
      </c>
      <c r="D39" t="s">
        <v>60</v>
      </c>
      <c r="E39" t="s">
        <v>61</v>
      </c>
      <c r="F39" t="s">
        <v>62</v>
      </c>
      <c r="G39">
        <v>1.4589699679981701E-2</v>
      </c>
      <c r="H39" t="s">
        <v>63</v>
      </c>
      <c r="I39" t="s">
        <v>64</v>
      </c>
      <c r="J39">
        <f t="shared" si="0"/>
        <v>16.168898851388946</v>
      </c>
      <c r="M39" s="51">
        <v>43221</v>
      </c>
      <c r="N39" s="52">
        <v>0.24119147655810025</v>
      </c>
      <c r="O39" s="52">
        <v>0.29682558849589702</v>
      </c>
      <c r="P39" s="52">
        <v>0.81468660226983181</v>
      </c>
      <c r="Q39" s="52">
        <v>1.3527036673238291</v>
      </c>
      <c r="T39" s="51">
        <v>43221</v>
      </c>
      <c r="U39" s="52">
        <v>15.760229971055018</v>
      </c>
      <c r="V39" s="52">
        <v>14.850896050867169</v>
      </c>
      <c r="W39" s="52">
        <v>15.350992869944957</v>
      </c>
      <c r="X39" s="52">
        <v>45.962118891867149</v>
      </c>
    </row>
    <row r="40" spans="1:24">
      <c r="A40">
        <v>39</v>
      </c>
      <c r="B40" t="s">
        <v>59</v>
      </c>
      <c r="C40" s="34">
        <v>43344</v>
      </c>
      <c r="D40" t="s">
        <v>60</v>
      </c>
      <c r="E40" t="s">
        <v>61</v>
      </c>
      <c r="F40" t="s">
        <v>62</v>
      </c>
      <c r="G40">
        <v>1.20438670636368E-2</v>
      </c>
      <c r="H40" t="s">
        <v>63</v>
      </c>
      <c r="I40" t="s">
        <v>64</v>
      </c>
      <c r="J40">
        <f t="shared" si="0"/>
        <v>13.532691939342556</v>
      </c>
      <c r="M40" s="51">
        <v>43252</v>
      </c>
      <c r="N40" s="52">
        <v>0.23050699266135011</v>
      </c>
      <c r="O40" s="52">
        <v>0.28546886097372548</v>
      </c>
      <c r="P40" s="52">
        <v>0.78734094169045088</v>
      </c>
      <c r="Q40" s="52">
        <v>1.3033167953255265</v>
      </c>
      <c r="T40" s="51">
        <v>43252</v>
      </c>
      <c r="U40" s="52">
        <v>15.110620729033764</v>
      </c>
      <c r="V40" s="52">
        <v>14.214350715913749</v>
      </c>
      <c r="W40" s="52">
        <v>14.88404291710701</v>
      </c>
      <c r="X40" s="52">
        <v>44.209014362054525</v>
      </c>
    </row>
    <row r="41" spans="1:24">
      <c r="A41">
        <v>40</v>
      </c>
      <c r="B41" t="s">
        <v>59</v>
      </c>
      <c r="C41" s="34">
        <v>43374</v>
      </c>
      <c r="D41" t="s">
        <v>60</v>
      </c>
      <c r="E41" t="s">
        <v>61</v>
      </c>
      <c r="F41" t="s">
        <v>62</v>
      </c>
      <c r="G41">
        <v>1.45691454450987E-2</v>
      </c>
      <c r="H41" t="s">
        <v>63</v>
      </c>
      <c r="I41" t="s">
        <v>64</v>
      </c>
      <c r="J41">
        <f t="shared" si="0"/>
        <v>16.147913296448724</v>
      </c>
      <c r="M41" s="51">
        <v>43282</v>
      </c>
      <c r="N41" s="52">
        <v>0.23076803288314407</v>
      </c>
      <c r="O41" s="52">
        <v>0.28758351860762588</v>
      </c>
      <c r="P41" s="52">
        <v>0.79655393188233781</v>
      </c>
      <c r="Q41" s="52">
        <v>1.3149054833731078</v>
      </c>
      <c r="T41" s="51">
        <v>43282</v>
      </c>
      <c r="U41" s="52">
        <v>15.124591324962056</v>
      </c>
      <c r="V41" s="52">
        <v>14.206311713466846</v>
      </c>
      <c r="W41" s="52">
        <v>14.874281181799521</v>
      </c>
      <c r="X41" s="52">
        <v>44.205184220228418</v>
      </c>
    </row>
    <row r="42" spans="1:24">
      <c r="A42">
        <v>41</v>
      </c>
      <c r="B42" t="s">
        <v>59</v>
      </c>
      <c r="C42" s="34">
        <v>43405</v>
      </c>
      <c r="D42" t="s">
        <v>60</v>
      </c>
      <c r="E42" t="s">
        <v>61</v>
      </c>
      <c r="F42" t="s">
        <v>62</v>
      </c>
      <c r="G42">
        <v>1.32928853951551E-2</v>
      </c>
      <c r="H42" t="s">
        <v>63</v>
      </c>
      <c r="I42" t="s">
        <v>64</v>
      </c>
      <c r="J42">
        <f t="shared" si="0"/>
        <v>14.835398997935389</v>
      </c>
      <c r="M42" s="51">
        <v>43313</v>
      </c>
      <c r="N42" s="52">
        <v>0.25299880633103955</v>
      </c>
      <c r="O42" s="52">
        <v>0.31724310946029677</v>
      </c>
      <c r="P42" s="52">
        <v>0.88177975907884898</v>
      </c>
      <c r="Q42" s="52">
        <v>1.4520216748701853</v>
      </c>
      <c r="T42" s="51">
        <v>43313</v>
      </c>
      <c r="U42" s="52">
        <v>16.464564278779847</v>
      </c>
      <c r="V42" s="52">
        <v>15.449146829586313</v>
      </c>
      <c r="W42" s="52">
        <v>16.168898851388946</v>
      </c>
      <c r="X42" s="52">
        <v>48.082609959755104</v>
      </c>
    </row>
    <row r="43" spans="1:24">
      <c r="A43">
        <v>42</v>
      </c>
      <c r="B43" t="s">
        <v>59</v>
      </c>
      <c r="C43" s="34">
        <v>43435</v>
      </c>
      <c r="D43" t="s">
        <v>60</v>
      </c>
      <c r="E43" t="s">
        <v>61</v>
      </c>
      <c r="F43" t="s">
        <v>62</v>
      </c>
      <c r="G43">
        <v>1.2650955444390301E-2</v>
      </c>
      <c r="H43" t="s">
        <v>63</v>
      </c>
      <c r="I43" t="s">
        <v>64</v>
      </c>
      <c r="J43">
        <f t="shared" si="0"/>
        <v>14.168140191450096</v>
      </c>
      <c r="M43" s="51">
        <v>43344</v>
      </c>
      <c r="N43" s="52">
        <v>0.20926476711402575</v>
      </c>
      <c r="O43" s="52">
        <v>0.26404090254381618</v>
      </c>
      <c r="P43" s="52">
        <v>0.73665210761491018</v>
      </c>
      <c r="Q43" s="52">
        <v>1.2099577772727521</v>
      </c>
      <c r="T43" s="51">
        <v>43344</v>
      </c>
      <c r="U43" s="52">
        <v>13.805440204539254</v>
      </c>
      <c r="V43" s="52">
        <v>12.922972225314922</v>
      </c>
      <c r="W43" s="52">
        <v>13.532691939342556</v>
      </c>
      <c r="X43" s="52">
        <v>40.26110436919673</v>
      </c>
    </row>
    <row r="44" spans="1:24">
      <c r="A44">
        <v>43</v>
      </c>
      <c r="B44" t="s">
        <v>59</v>
      </c>
      <c r="C44" s="34">
        <v>43466</v>
      </c>
      <c r="D44" t="s">
        <v>60</v>
      </c>
      <c r="E44" t="s">
        <v>61</v>
      </c>
      <c r="F44" t="s">
        <v>62</v>
      </c>
      <c r="G44">
        <v>1.3274112043945199E-2</v>
      </c>
      <c r="H44" t="s">
        <v>63</v>
      </c>
      <c r="I44" t="s">
        <v>64</v>
      </c>
      <c r="J44">
        <f t="shared" si="0"/>
        <v>14.815952591677151</v>
      </c>
      <c r="M44" s="51">
        <v>43374</v>
      </c>
      <c r="N44" s="52">
        <v>0.25353168146140526</v>
      </c>
      <c r="O44" s="52">
        <v>0.32184359220377434</v>
      </c>
      <c r="P44" s="52">
        <v>0.90003392709135932</v>
      </c>
      <c r="Q44" s="52">
        <v>1.4754092007565389</v>
      </c>
      <c r="T44" s="51">
        <v>43374</v>
      </c>
      <c r="U44" s="52">
        <v>16.493745248534498</v>
      </c>
      <c r="V44" s="52">
        <v>15.431616779495204</v>
      </c>
      <c r="W44" s="52">
        <v>16.147913296448724</v>
      </c>
      <c r="X44" s="52">
        <v>48.073275324478431</v>
      </c>
    </row>
    <row r="45" spans="1:24">
      <c r="A45">
        <v>44</v>
      </c>
      <c r="B45" t="s">
        <v>59</v>
      </c>
      <c r="C45" s="34">
        <v>43497</v>
      </c>
      <c r="D45" t="s">
        <v>60</v>
      </c>
      <c r="E45" t="s">
        <v>61</v>
      </c>
      <c r="F45" t="s">
        <v>62</v>
      </c>
      <c r="G45">
        <v>1.20014027752142E-2</v>
      </c>
      <c r="H45" t="s">
        <v>63</v>
      </c>
      <c r="I45" t="s">
        <v>64</v>
      </c>
      <c r="J45">
        <f t="shared" si="0"/>
        <v>13.488082984911099</v>
      </c>
      <c r="M45" s="51">
        <v>43405</v>
      </c>
      <c r="N45" s="52">
        <v>0.2317408723447989</v>
      </c>
      <c r="O45" s="52">
        <v>0.29598529656480466</v>
      </c>
      <c r="P45" s="52">
        <v>0.82987848402611419</v>
      </c>
      <c r="Q45" s="52">
        <v>1.3576046529357177</v>
      </c>
      <c r="T45" s="51">
        <v>43405</v>
      </c>
      <c r="U45" s="52">
        <v>15.178556320007242</v>
      </c>
      <c r="V45" s="52">
        <v>14.173866814816027</v>
      </c>
      <c r="W45" s="52">
        <v>14.835398997935389</v>
      </c>
      <c r="X45" s="52">
        <v>44.187822132758654</v>
      </c>
    </row>
    <row r="46" spans="1:24">
      <c r="A46">
        <v>45</v>
      </c>
      <c r="B46" t="s">
        <v>59</v>
      </c>
      <c r="C46" s="34">
        <v>43525</v>
      </c>
      <c r="D46" t="s">
        <v>60</v>
      </c>
      <c r="E46" t="s">
        <v>61</v>
      </c>
      <c r="F46" t="s">
        <v>62</v>
      </c>
      <c r="G46">
        <v>1.3255289461863501E-2</v>
      </c>
      <c r="H46" t="s">
        <v>63</v>
      </c>
      <c r="I46" t="s">
        <v>64</v>
      </c>
      <c r="J46">
        <f t="shared" si="0"/>
        <v>14.796451103249408</v>
      </c>
      <c r="M46" s="51">
        <v>43435</v>
      </c>
      <c r="N46" s="52">
        <v>0.2209306578889958</v>
      </c>
      <c r="O46" s="52">
        <v>0.2838929841144755</v>
      </c>
      <c r="P46" s="52">
        <v>0.79765564273571732</v>
      </c>
      <c r="Q46" s="52">
        <v>1.3024792847391886</v>
      </c>
      <c r="T46" s="51">
        <v>43435</v>
      </c>
      <c r="U46" s="52">
        <v>14.519050470616312</v>
      </c>
      <c r="V46" s="52">
        <v>13.535232683517151</v>
      </c>
      <c r="W46" s="52">
        <v>14.168140191450096</v>
      </c>
      <c r="X46" s="52">
        <v>42.222423345583564</v>
      </c>
    </row>
    <row r="47" spans="1:24">
      <c r="A47">
        <v>46</v>
      </c>
      <c r="B47" t="s">
        <v>59</v>
      </c>
      <c r="C47" s="34">
        <v>43556</v>
      </c>
      <c r="D47" t="s">
        <v>60</v>
      </c>
      <c r="E47" t="s">
        <v>61</v>
      </c>
      <c r="F47" t="s">
        <v>62</v>
      </c>
      <c r="G47">
        <v>1.3245853554633299E-2</v>
      </c>
      <c r="H47" t="s">
        <v>63</v>
      </c>
      <c r="I47" t="s">
        <v>64</v>
      </c>
      <c r="J47">
        <f t="shared" si="0"/>
        <v>14.786673315006915</v>
      </c>
      <c r="M47" s="51">
        <v>43466</v>
      </c>
      <c r="N47" s="52">
        <v>0.23218271301979065</v>
      </c>
      <c r="O47" s="52">
        <v>0.30014347385867168</v>
      </c>
      <c r="P47" s="52">
        <v>0.84463969747265999</v>
      </c>
      <c r="Q47" s="52">
        <v>1.3769658843511223</v>
      </c>
      <c r="T47" s="51">
        <v>43466</v>
      </c>
      <c r="U47" s="52">
        <v>15.204291850996011</v>
      </c>
      <c r="V47" s="52">
        <v>14.157471669419364</v>
      </c>
      <c r="W47" s="52">
        <v>14.815952591677151</v>
      </c>
      <c r="X47" s="52">
        <v>44.177716112092526</v>
      </c>
    </row>
    <row r="48" spans="1:24">
      <c r="A48">
        <v>47</v>
      </c>
      <c r="B48" t="s">
        <v>59</v>
      </c>
      <c r="C48" s="34">
        <v>43586</v>
      </c>
      <c r="D48" t="s">
        <v>60</v>
      </c>
      <c r="E48" t="s">
        <v>61</v>
      </c>
      <c r="F48" t="s">
        <v>62</v>
      </c>
      <c r="G48">
        <v>1.3866704000889501E-2</v>
      </c>
      <c r="H48" t="s">
        <v>63</v>
      </c>
      <c r="I48" t="s">
        <v>64</v>
      </c>
      <c r="J48">
        <f t="shared" si="0"/>
        <v>15.42783044088779</v>
      </c>
      <c r="M48" s="51">
        <v>43497</v>
      </c>
      <c r="N48" s="52">
        <v>0.2102815881673159</v>
      </c>
      <c r="O48" s="52">
        <v>0.27346501982755678</v>
      </c>
      <c r="P48" s="52">
        <v>0.77086822126125609</v>
      </c>
      <c r="Q48" s="52">
        <v>1.2546148292561288</v>
      </c>
      <c r="T48" s="51">
        <v>43497</v>
      </c>
      <c r="U48" s="52">
        <v>13.864984615082355</v>
      </c>
      <c r="V48" s="52">
        <v>12.88545305999701</v>
      </c>
      <c r="W48" s="52">
        <v>13.488082984911099</v>
      </c>
      <c r="X48" s="52">
        <v>40.238520659990463</v>
      </c>
    </row>
    <row r="49" spans="1:24">
      <c r="A49">
        <v>48</v>
      </c>
      <c r="B49" t="s">
        <v>59</v>
      </c>
      <c r="C49" s="34">
        <v>43617</v>
      </c>
      <c r="D49" t="s">
        <v>60</v>
      </c>
      <c r="E49" t="s">
        <v>61</v>
      </c>
      <c r="F49" t="s">
        <v>62</v>
      </c>
      <c r="G49">
        <v>1.25970720789381E-2</v>
      </c>
      <c r="H49" t="s">
        <v>63</v>
      </c>
      <c r="I49" t="s">
        <v>64</v>
      </c>
      <c r="J49">
        <f t="shared" si="0"/>
        <v>14.111913292472543</v>
      </c>
      <c r="M49" s="51">
        <v>43525</v>
      </c>
      <c r="N49" s="52">
        <v>0.23259610216547211</v>
      </c>
      <c r="O49" s="52">
        <v>0.30427038577364174</v>
      </c>
      <c r="P49" s="52">
        <v>0.85859253373301581</v>
      </c>
      <c r="Q49" s="52">
        <v>1.3954590216721297</v>
      </c>
      <c r="T49" s="51">
        <v>43525</v>
      </c>
      <c r="U49" s="52">
        <v>15.229254038078665</v>
      </c>
      <c r="V49" s="52">
        <v>14.140961709760379</v>
      </c>
      <c r="W49" s="52">
        <v>14.796451103249408</v>
      </c>
      <c r="X49" s="52">
        <v>44.166666851088451</v>
      </c>
    </row>
    <row r="50" spans="1:24">
      <c r="A50">
        <v>49</v>
      </c>
      <c r="B50" t="s">
        <v>59</v>
      </c>
      <c r="C50" s="34">
        <v>43647</v>
      </c>
      <c r="D50" t="s">
        <v>60</v>
      </c>
      <c r="E50" t="s">
        <v>61</v>
      </c>
      <c r="F50" t="s">
        <v>62</v>
      </c>
      <c r="G50">
        <v>1.38468336624562E-2</v>
      </c>
      <c r="H50" t="s">
        <v>63</v>
      </c>
      <c r="I50" t="s">
        <v>64</v>
      </c>
      <c r="J50">
        <f t="shared" si="0"/>
        <v>15.40737887856306</v>
      </c>
      <c r="M50" s="51">
        <v>43556</v>
      </c>
      <c r="N50" s="52">
        <v>0.23279237308462264</v>
      </c>
      <c r="O50" s="52">
        <v>0.30632186572846498</v>
      </c>
      <c r="P50" s="52">
        <v>0.86536706633491001</v>
      </c>
      <c r="Q50" s="52">
        <v>1.4044813051479976</v>
      </c>
      <c r="T50" s="51">
        <v>43556</v>
      </c>
      <c r="U50" s="52">
        <v>15.241455013764217</v>
      </c>
      <c r="V50" s="52">
        <v>14.13266373490516</v>
      </c>
      <c r="W50" s="52">
        <v>14.786673315006915</v>
      </c>
      <c r="X50" s="52">
        <v>44.16079206367629</v>
      </c>
    </row>
    <row r="51" spans="1:24">
      <c r="A51">
        <v>50</v>
      </c>
      <c r="B51" t="s">
        <v>59</v>
      </c>
      <c r="C51" s="34">
        <v>43678</v>
      </c>
      <c r="D51" t="s">
        <v>60</v>
      </c>
      <c r="E51" t="s">
        <v>61</v>
      </c>
      <c r="F51" t="s">
        <v>62</v>
      </c>
      <c r="G51">
        <v>1.3836866657847899E-2</v>
      </c>
      <c r="H51" t="s">
        <v>63</v>
      </c>
      <c r="I51" t="s">
        <v>64</v>
      </c>
      <c r="J51">
        <f t="shared" si="0"/>
        <v>15.39711862354417</v>
      </c>
      <c r="M51" s="51">
        <v>43586</v>
      </c>
      <c r="N51" s="52">
        <v>0.24406364551629034</v>
      </c>
      <c r="O51" s="52">
        <v>0.3230275848842612</v>
      </c>
      <c r="P51" s="52">
        <v>0.91339453345284927</v>
      </c>
      <c r="Q51" s="52">
        <v>1.4804857638534008</v>
      </c>
      <c r="T51" s="51">
        <v>43586</v>
      </c>
      <c r="U51" s="52">
        <v>15.923563604085212</v>
      </c>
      <c r="V51" s="52">
        <v>14.748892116173806</v>
      </c>
      <c r="W51" s="52">
        <v>15.42783044088779</v>
      </c>
      <c r="X51" s="52">
        <v>46.100286161146805</v>
      </c>
    </row>
    <row r="52" spans="1:24">
      <c r="A52">
        <v>51</v>
      </c>
      <c r="B52" t="s">
        <v>59</v>
      </c>
      <c r="C52" s="34">
        <v>43709</v>
      </c>
      <c r="D52" t="s">
        <v>60</v>
      </c>
      <c r="E52" t="s">
        <v>61</v>
      </c>
      <c r="F52" t="s">
        <v>62</v>
      </c>
      <c r="G52">
        <v>1.25698890464166E-2</v>
      </c>
      <c r="H52" t="s">
        <v>63</v>
      </c>
      <c r="I52" t="s">
        <v>64</v>
      </c>
      <c r="J52">
        <f t="shared" si="0"/>
        <v>14.083535185094787</v>
      </c>
      <c r="M52" s="51">
        <v>43617</v>
      </c>
      <c r="N52" s="52">
        <v>0.22207239282292512</v>
      </c>
      <c r="O52" s="52">
        <v>0.29563969021384473</v>
      </c>
      <c r="P52" s="52">
        <v>0.83695972586714795</v>
      </c>
      <c r="Q52" s="52">
        <v>1.3546718089039178</v>
      </c>
      <c r="T52" s="51">
        <v>43617</v>
      </c>
      <c r="U52" s="52">
        <v>14.589843801701052</v>
      </c>
      <c r="V52" s="52">
        <v>13.48757974448761</v>
      </c>
      <c r="W52" s="52">
        <v>14.111913292472543</v>
      </c>
      <c r="X52" s="52">
        <v>42.189336838661205</v>
      </c>
    </row>
    <row r="53" spans="1:24">
      <c r="A53">
        <v>52</v>
      </c>
      <c r="B53" t="s">
        <v>59</v>
      </c>
      <c r="C53" s="34">
        <v>43739</v>
      </c>
      <c r="D53" t="s">
        <v>60</v>
      </c>
      <c r="E53" t="s">
        <v>61</v>
      </c>
      <c r="F53" t="s">
        <v>62</v>
      </c>
      <c r="G53">
        <v>1.4444906747050099E-2</v>
      </c>
      <c r="H53" t="s">
        <v>63</v>
      </c>
      <c r="I53" t="s">
        <v>64</v>
      </c>
      <c r="J53">
        <f t="shared" si="0"/>
        <v>16.020964956921556</v>
      </c>
      <c r="M53" s="51">
        <v>43647</v>
      </c>
      <c r="N53" s="52">
        <v>0.24443862023849627</v>
      </c>
      <c r="O53" s="52">
        <v>0.32728301626395728</v>
      </c>
      <c r="P53" s="52">
        <v>0.9271378157784782</v>
      </c>
      <c r="Q53" s="52">
        <v>1.4988594522809318</v>
      </c>
      <c r="T53" s="51">
        <v>43647</v>
      </c>
      <c r="U53" s="52">
        <v>15.948000999429702</v>
      </c>
      <c r="V53" s="52">
        <v>14.73147287963088</v>
      </c>
      <c r="W53" s="52">
        <v>15.40737887856306</v>
      </c>
      <c r="X53" s="52">
        <v>46.086852757623639</v>
      </c>
    </row>
    <row r="54" spans="1:24">
      <c r="A54">
        <v>53</v>
      </c>
      <c r="B54" t="s">
        <v>59</v>
      </c>
      <c r="C54" s="34">
        <v>43770</v>
      </c>
      <c r="D54" t="s">
        <v>60</v>
      </c>
      <c r="E54" t="s">
        <v>61</v>
      </c>
      <c r="F54" t="s">
        <v>62</v>
      </c>
      <c r="G54">
        <v>1.2551667843052399E-2</v>
      </c>
      <c r="H54" t="s">
        <v>63</v>
      </c>
      <c r="I54" t="s">
        <v>64</v>
      </c>
      <c r="J54">
        <f t="shared" si="0"/>
        <v>14.064508093375682</v>
      </c>
      <c r="M54" s="51">
        <v>43678</v>
      </c>
      <c r="N54" s="52">
        <v>0.24461529786081737</v>
      </c>
      <c r="O54" s="52">
        <v>0.32939796762184725</v>
      </c>
      <c r="P54" s="52">
        <v>0.93391290146502826</v>
      </c>
      <c r="Q54" s="52">
        <v>1.5079261669476929</v>
      </c>
      <c r="T54" s="51">
        <v>43678</v>
      </c>
      <c r="U54" s="52">
        <v>15.959919456130844</v>
      </c>
      <c r="V54" s="52">
        <v>14.722718616832775</v>
      </c>
      <c r="W54" s="52">
        <v>15.39711862354417</v>
      </c>
      <c r="X54" s="52">
        <v>46.079756696507786</v>
      </c>
    </row>
    <row r="55" spans="1:24">
      <c r="A55">
        <v>54</v>
      </c>
      <c r="B55" t="s">
        <v>59</v>
      </c>
      <c r="C55" s="34">
        <v>43800</v>
      </c>
      <c r="D55" t="s">
        <v>60</v>
      </c>
      <c r="E55" t="s">
        <v>61</v>
      </c>
      <c r="F55" t="s">
        <v>62</v>
      </c>
      <c r="G55">
        <v>1.31696534130889E-2</v>
      </c>
      <c r="H55" t="s">
        <v>63</v>
      </c>
      <c r="I55" t="s">
        <v>64</v>
      </c>
      <c r="J55">
        <f t="shared" si="0"/>
        <v>14.707674596000341</v>
      </c>
      <c r="M55" s="51">
        <v>43709</v>
      </c>
      <c r="N55" s="52">
        <v>0.22255456596008694</v>
      </c>
      <c r="O55" s="52">
        <v>0.30140931109612357</v>
      </c>
      <c r="P55" s="52">
        <v>0.85545771879766974</v>
      </c>
      <c r="Q55" s="52">
        <v>1.3794215958538802</v>
      </c>
      <c r="T55" s="51">
        <v>43709</v>
      </c>
      <c r="U55" s="52">
        <v>14.622816690439445</v>
      </c>
      <c r="V55" s="52">
        <v>13.46338347936722</v>
      </c>
      <c r="W55" s="52">
        <v>14.083535185094787</v>
      </c>
      <c r="X55" s="52">
        <v>42.169735354901455</v>
      </c>
    </row>
    <row r="56" spans="1:24">
      <c r="A56">
        <v>55</v>
      </c>
      <c r="B56" t="s">
        <v>59</v>
      </c>
      <c r="C56" s="34">
        <v>43831</v>
      </c>
      <c r="D56" t="s">
        <v>60</v>
      </c>
      <c r="E56" t="s">
        <v>61</v>
      </c>
      <c r="F56" t="s">
        <v>62</v>
      </c>
      <c r="G56">
        <v>1.31600343734976E-2</v>
      </c>
      <c r="H56" t="s">
        <v>63</v>
      </c>
      <c r="I56" t="s">
        <v>64</v>
      </c>
      <c r="J56">
        <f t="shared" si="0"/>
        <v>14.697697510357788</v>
      </c>
      <c r="M56" s="51">
        <v>43739</v>
      </c>
      <c r="N56" s="52">
        <v>0.25606901975420149</v>
      </c>
      <c r="O56" s="52">
        <v>0.34874176057975159</v>
      </c>
      <c r="P56" s="52">
        <v>0.99016740126296465</v>
      </c>
      <c r="Q56" s="52">
        <v>1.5949781815969177</v>
      </c>
      <c r="T56" s="51">
        <v>43739</v>
      </c>
      <c r="U56" s="52">
        <v>16.650620856904386</v>
      </c>
      <c r="V56" s="52">
        <v>15.323824933759688</v>
      </c>
      <c r="W56" s="52">
        <v>16.020964956921556</v>
      </c>
      <c r="X56" s="52">
        <v>47.99541074758563</v>
      </c>
    </row>
    <row r="57" spans="1:24">
      <c r="A57">
        <v>56</v>
      </c>
      <c r="B57" t="s">
        <v>59</v>
      </c>
      <c r="C57" s="34">
        <v>43862</v>
      </c>
      <c r="D57" t="s">
        <v>60</v>
      </c>
      <c r="E57" t="s">
        <v>61</v>
      </c>
      <c r="F57" t="s">
        <v>62</v>
      </c>
      <c r="G57">
        <v>1.1897975596242401E-2</v>
      </c>
      <c r="H57" t="s">
        <v>63</v>
      </c>
      <c r="I57" t="s">
        <v>64</v>
      </c>
      <c r="J57">
        <f t="shared" si="0"/>
        <v>13.379343919161556</v>
      </c>
      <c r="M57" s="51">
        <v>43770</v>
      </c>
      <c r="N57" s="52">
        <v>0.22284522019783148</v>
      </c>
      <c r="O57" s="52">
        <v>0.30521696353194017</v>
      </c>
      <c r="P57" s="52">
        <v>0.86755357703600655</v>
      </c>
      <c r="Q57" s="52">
        <v>1.3956157607657782</v>
      </c>
      <c r="T57" s="51">
        <v>43770</v>
      </c>
      <c r="U57" s="52">
        <v>14.643890014757154</v>
      </c>
      <c r="V57" s="52">
        <v>13.447116148895455</v>
      </c>
      <c r="W57" s="52">
        <v>14.064508093375682</v>
      </c>
      <c r="X57" s="52">
        <v>42.155514257028287</v>
      </c>
    </row>
    <row r="58" spans="1:24">
      <c r="A58">
        <v>57</v>
      </c>
      <c r="B58" t="s">
        <v>59</v>
      </c>
      <c r="C58" s="34">
        <v>43891</v>
      </c>
      <c r="D58" t="s">
        <v>60</v>
      </c>
      <c r="E58" t="s">
        <v>61</v>
      </c>
      <c r="F58" t="s">
        <v>62</v>
      </c>
      <c r="G58">
        <v>1.37664816801173E-2</v>
      </c>
      <c r="H58" t="s">
        <v>63</v>
      </c>
      <c r="I58" t="s">
        <v>64</v>
      </c>
      <c r="J58">
        <f t="shared" si="0"/>
        <v>15.324630291952646</v>
      </c>
      <c r="M58" s="51">
        <v>43800</v>
      </c>
      <c r="N58" s="52">
        <v>0.2341191475189297</v>
      </c>
      <c r="O58" s="52">
        <v>0.32244188604377833</v>
      </c>
      <c r="P58" s="52">
        <v>0.91703287194061511</v>
      </c>
      <c r="Q58" s="52">
        <v>1.4735939055033231</v>
      </c>
      <c r="T58" s="51">
        <v>43800</v>
      </c>
      <c r="U58" s="52">
        <v>15.332317561181164</v>
      </c>
      <c r="V58" s="52">
        <v>14.065251376617615</v>
      </c>
      <c r="W58" s="52">
        <v>14.707674596000341</v>
      </c>
      <c r="X58" s="52">
        <v>44.105243533799126</v>
      </c>
    </row>
    <row r="59" spans="1:24">
      <c r="A59">
        <v>58</v>
      </c>
      <c r="B59" t="s">
        <v>59</v>
      </c>
      <c r="C59" s="34">
        <v>43922</v>
      </c>
      <c r="D59" t="s">
        <v>60</v>
      </c>
      <c r="E59" t="s">
        <v>61</v>
      </c>
      <c r="F59" t="s">
        <v>62</v>
      </c>
      <c r="G59">
        <v>1.31310496636916E-2</v>
      </c>
      <c r="H59" t="s">
        <v>63</v>
      </c>
      <c r="I59" t="s">
        <v>64</v>
      </c>
      <c r="J59">
        <f t="shared" si="0"/>
        <v>14.667627444109321</v>
      </c>
      <c r="M59" s="51">
        <v>43831</v>
      </c>
      <c r="N59" s="52">
        <v>0.23425720265136674</v>
      </c>
      <c r="O59" s="52">
        <v>0.32442024720259477</v>
      </c>
      <c r="P59" s="52">
        <v>0.92327535936211902</v>
      </c>
      <c r="Q59" s="52">
        <v>1.4819528092160805</v>
      </c>
      <c r="T59" s="51">
        <v>43831</v>
      </c>
      <c r="U59" s="52">
        <v>15.342809647376832</v>
      </c>
      <c r="V59" s="52">
        <v>14.056696687807602</v>
      </c>
      <c r="W59" s="52">
        <v>14.697697510357788</v>
      </c>
      <c r="X59" s="52">
        <v>44.097203845542225</v>
      </c>
    </row>
    <row r="60" spans="1:24">
      <c r="A60">
        <v>59</v>
      </c>
      <c r="B60" t="s">
        <v>59</v>
      </c>
      <c r="C60" s="34">
        <v>43952</v>
      </c>
      <c r="D60" t="s">
        <v>60</v>
      </c>
      <c r="E60" t="s">
        <v>61</v>
      </c>
      <c r="F60" t="s">
        <v>62</v>
      </c>
      <c r="G60">
        <v>1.2496519555284901E-2</v>
      </c>
      <c r="H60" t="s">
        <v>63</v>
      </c>
      <c r="I60" t="s">
        <v>64</v>
      </c>
      <c r="J60">
        <f t="shared" si="0"/>
        <v>14.006897165116882</v>
      </c>
      <c r="M60" s="51">
        <v>43862</v>
      </c>
      <c r="N60" s="52">
        <v>0.21208868214971366</v>
      </c>
      <c r="O60" s="52">
        <v>0.29534777504568455</v>
      </c>
      <c r="P60" s="52">
        <v>0.84129884021461043</v>
      </c>
      <c r="Q60" s="52">
        <v>1.3487352974100086</v>
      </c>
      <c r="T60" s="51">
        <v>43862</v>
      </c>
      <c r="U60" s="52">
        <v>13.990063743713987</v>
      </c>
      <c r="V60" s="52">
        <v>12.792736942127437</v>
      </c>
      <c r="W60" s="52">
        <v>13.379343919161556</v>
      </c>
      <c r="X60" s="52">
        <v>40.162144605002979</v>
      </c>
    </row>
    <row r="61" spans="1:24">
      <c r="A61">
        <v>60</v>
      </c>
      <c r="B61" t="s">
        <v>59</v>
      </c>
      <c r="C61" s="34">
        <v>43983</v>
      </c>
      <c r="D61" t="s">
        <v>60</v>
      </c>
      <c r="E61" t="s">
        <v>61</v>
      </c>
      <c r="F61" t="s">
        <v>62</v>
      </c>
      <c r="G61">
        <v>1.37359829909831E-2</v>
      </c>
      <c r="H61" t="s">
        <v>63</v>
      </c>
      <c r="I61" t="s">
        <v>64</v>
      </c>
      <c r="J61">
        <f t="shared" si="0"/>
        <v>15.293202517302673</v>
      </c>
      <c r="M61" s="51">
        <v>43891</v>
      </c>
      <c r="N61" s="52">
        <v>0.24567204778955798</v>
      </c>
      <c r="O61" s="52">
        <v>0.34396365954645347</v>
      </c>
      <c r="P61" s="52">
        <v>0.97999552456747852</v>
      </c>
      <c r="Q61" s="52">
        <v>1.56963123190349</v>
      </c>
      <c r="T61" s="51">
        <v>43891</v>
      </c>
      <c r="U61" s="52">
        <v>16.037735582640302</v>
      </c>
      <c r="V61" s="52">
        <v>14.660608224151916</v>
      </c>
      <c r="W61" s="52">
        <v>15.324630291952646</v>
      </c>
      <c r="X61" s="52">
        <v>46.022974098744861</v>
      </c>
    </row>
    <row r="62" spans="1:24">
      <c r="A62">
        <v>61</v>
      </c>
      <c r="B62" t="s">
        <v>59</v>
      </c>
      <c r="C62" s="34">
        <v>44013</v>
      </c>
      <c r="D62" t="s">
        <v>60</v>
      </c>
      <c r="E62" t="s">
        <v>61</v>
      </c>
      <c r="F62" t="s">
        <v>62</v>
      </c>
      <c r="G62">
        <v>1.37257721957579E-2</v>
      </c>
      <c r="H62" t="s">
        <v>63</v>
      </c>
      <c r="I62" t="s">
        <v>64</v>
      </c>
      <c r="J62">
        <f t="shared" si="0"/>
        <v>15.282678280382722</v>
      </c>
      <c r="M62" s="51">
        <v>43922</v>
      </c>
      <c r="N62" s="52">
        <v>0.23463928154201508</v>
      </c>
      <c r="O62" s="52">
        <v>0.33030640171347603</v>
      </c>
      <c r="P62" s="52">
        <v>0.9417673958819206</v>
      </c>
      <c r="Q62" s="52">
        <v>1.5067130791374117</v>
      </c>
      <c r="T62" s="51">
        <v>43922</v>
      </c>
      <c r="U62" s="52">
        <v>15.373205263829991</v>
      </c>
      <c r="V62" s="52">
        <v>14.030862553610246</v>
      </c>
      <c r="W62" s="52">
        <v>14.667627444109321</v>
      </c>
      <c r="X62" s="52">
        <v>44.071695261549557</v>
      </c>
    </row>
    <row r="63" spans="1:24">
      <c r="A63">
        <v>62</v>
      </c>
      <c r="B63" t="s">
        <v>59</v>
      </c>
      <c r="C63" s="34">
        <v>44044</v>
      </c>
      <c r="D63" t="s">
        <v>60</v>
      </c>
      <c r="E63" t="s">
        <v>61</v>
      </c>
      <c r="F63" t="s">
        <v>62</v>
      </c>
      <c r="G63">
        <v>1.3092105544236799E-2</v>
      </c>
      <c r="H63" t="s">
        <v>63</v>
      </c>
      <c r="I63" t="s">
        <v>64</v>
      </c>
      <c r="J63">
        <f t="shared" si="0"/>
        <v>14.627209731356583</v>
      </c>
      <c r="M63" s="51">
        <v>43952</v>
      </c>
      <c r="N63" s="52">
        <v>0.22358875178487558</v>
      </c>
      <c r="O63" s="52">
        <v>0.31645358544751812</v>
      </c>
      <c r="P63" s="52">
        <v>0.90290630889090506</v>
      </c>
      <c r="Q63" s="52">
        <v>1.4429486461232988</v>
      </c>
      <c r="T63" s="51">
        <v>43952</v>
      </c>
      <c r="U63" s="52">
        <v>14.702729250880243</v>
      </c>
      <c r="V63" s="52">
        <v>13.397661765962955</v>
      </c>
      <c r="W63" s="52">
        <v>14.006897165116882</v>
      </c>
      <c r="X63" s="52">
        <v>42.107288181960079</v>
      </c>
    </row>
    <row r="64" spans="1:24">
      <c r="A64">
        <v>63</v>
      </c>
      <c r="B64" t="s">
        <v>59</v>
      </c>
      <c r="C64" s="34">
        <v>44075</v>
      </c>
      <c r="D64" t="s">
        <v>60</v>
      </c>
      <c r="E64" t="s">
        <v>61</v>
      </c>
      <c r="F64" t="s">
        <v>62</v>
      </c>
      <c r="G64">
        <v>1.3082316400645499E-2</v>
      </c>
      <c r="H64" t="s">
        <v>63</v>
      </c>
      <c r="I64" t="s">
        <v>64</v>
      </c>
      <c r="J64">
        <f t="shared" si="0"/>
        <v>14.617047420142848</v>
      </c>
      <c r="M64" s="51">
        <v>43983</v>
      </c>
      <c r="N64" s="52">
        <v>0.2460392436252512</v>
      </c>
      <c r="O64" s="52">
        <v>0.3500779549343247</v>
      </c>
      <c r="P64" s="52">
        <v>0.99911988262491036</v>
      </c>
      <c r="Q64" s="52">
        <v>1.5952370811844863</v>
      </c>
      <c r="T64" s="51">
        <v>43983</v>
      </c>
      <c r="U64" s="52">
        <v>16.068220565599166</v>
      </c>
      <c r="V64" s="52">
        <v>14.633546475273606</v>
      </c>
      <c r="W64" s="52">
        <v>15.293202517302673</v>
      </c>
      <c r="X64" s="52">
        <v>45.994969558175448</v>
      </c>
    </row>
    <row r="65" spans="1:24">
      <c r="A65">
        <v>64</v>
      </c>
      <c r="B65" t="s">
        <v>59</v>
      </c>
      <c r="C65" s="34">
        <v>44105</v>
      </c>
      <c r="D65" t="s">
        <v>60</v>
      </c>
      <c r="E65" t="s">
        <v>61</v>
      </c>
      <c r="F65" t="s">
        <v>62</v>
      </c>
      <c r="G65">
        <v>1.3695006338659801E-2</v>
      </c>
      <c r="H65" t="s">
        <v>63</v>
      </c>
      <c r="I65" t="s">
        <v>64</v>
      </c>
      <c r="J65">
        <f t="shared" si="0"/>
        <v>15.250960754046384</v>
      </c>
      <c r="M65" s="51">
        <v>44013</v>
      </c>
      <c r="N65" s="52">
        <v>0.24615042429423362</v>
      </c>
      <c r="O65" s="52">
        <v>0.35209896191892298</v>
      </c>
      <c r="P65" s="52">
        <v>1.0054158590551587</v>
      </c>
      <c r="Q65" s="52">
        <v>1.6036652452683153</v>
      </c>
      <c r="T65" s="51">
        <v>44013</v>
      </c>
      <c r="U65" s="52">
        <v>16.0780091887178</v>
      </c>
      <c r="V65" s="52">
        <v>14.624467117877526</v>
      </c>
      <c r="W65" s="52">
        <v>15.282678280382722</v>
      </c>
      <c r="X65" s="52">
        <v>45.985154586978048</v>
      </c>
    </row>
    <row r="66" spans="1:24">
      <c r="A66">
        <v>65</v>
      </c>
      <c r="B66" t="s">
        <v>59</v>
      </c>
      <c r="C66" s="34">
        <v>44136</v>
      </c>
      <c r="D66" t="s">
        <v>60</v>
      </c>
      <c r="E66" t="s">
        <v>61</v>
      </c>
      <c r="F66" t="s">
        <v>62</v>
      </c>
      <c r="G66">
        <v>1.2440642398213299E-2</v>
      </c>
      <c r="H66" t="s">
        <v>63</v>
      </c>
      <c r="I66" t="s">
        <v>64</v>
      </c>
      <c r="J66">
        <f t="shared" si="0"/>
        <v>13.94848871324611</v>
      </c>
      <c r="M66" s="51">
        <v>44044</v>
      </c>
      <c r="N66" s="52">
        <v>0.23507454588064247</v>
      </c>
      <c r="O66" s="52">
        <v>0.33804041832595777</v>
      </c>
      <c r="P66" s="52">
        <v>0.96589199050018948</v>
      </c>
      <c r="Q66" s="52">
        <v>1.5390069547067897</v>
      </c>
      <c r="T66" s="51">
        <v>44044</v>
      </c>
      <c r="U66" s="52">
        <v>15.411212992368784</v>
      </c>
      <c r="V66" s="52">
        <v>13.996021680332937</v>
      </c>
      <c r="W66" s="52">
        <v>14.627209731356583</v>
      </c>
      <c r="X66" s="52">
        <v>44.034444404058306</v>
      </c>
    </row>
    <row r="67" spans="1:24">
      <c r="A67">
        <v>66</v>
      </c>
      <c r="B67" t="s">
        <v>59</v>
      </c>
      <c r="C67" s="34">
        <v>44166</v>
      </c>
      <c r="D67" t="s">
        <v>60</v>
      </c>
      <c r="E67" t="s">
        <v>61</v>
      </c>
      <c r="F67" t="s">
        <v>62</v>
      </c>
      <c r="G67">
        <v>1.3674384774168101E-2</v>
      </c>
      <c r="H67" t="s">
        <v>63</v>
      </c>
      <c r="I67" t="s">
        <v>64</v>
      </c>
      <c r="J67">
        <f t="shared" ref="J67:J130" si="1">100*(1-(1-G67)^12)</f>
        <v>15.229695217245753</v>
      </c>
      <c r="M67" s="51">
        <v>44075</v>
      </c>
      <c r="N67" s="52">
        <v>0.23516986287175357</v>
      </c>
      <c r="O67" s="52">
        <v>0.33995352876025065</v>
      </c>
      <c r="P67" s="52">
        <v>0.97182996953041334</v>
      </c>
      <c r="Q67" s="52">
        <v>1.5469533611624176</v>
      </c>
      <c r="T67" s="51">
        <v>44075</v>
      </c>
      <c r="U67" s="52">
        <v>15.4202675375131</v>
      </c>
      <c r="V67" s="52">
        <v>13.987241148050867</v>
      </c>
      <c r="W67" s="52">
        <v>14.617047420142848</v>
      </c>
      <c r="X67" s="52">
        <v>44.024556105706814</v>
      </c>
    </row>
    <row r="68" spans="1:24">
      <c r="A68">
        <v>67</v>
      </c>
      <c r="B68" t="s">
        <v>59</v>
      </c>
      <c r="C68" s="34">
        <v>44197</v>
      </c>
      <c r="D68" t="s">
        <v>60</v>
      </c>
      <c r="E68" t="s">
        <v>61</v>
      </c>
      <c r="F68" t="s">
        <v>62</v>
      </c>
      <c r="G68">
        <v>1.180076248928E-2</v>
      </c>
      <c r="H68" t="s">
        <v>63</v>
      </c>
      <c r="I68" t="s">
        <v>64</v>
      </c>
      <c r="J68">
        <f t="shared" si="1"/>
        <v>13.277023864373517</v>
      </c>
      <c r="M68" s="51">
        <v>44105</v>
      </c>
      <c r="N68" s="52">
        <v>0.2464499862996683</v>
      </c>
      <c r="O68" s="52">
        <v>0.35811070298320535</v>
      </c>
      <c r="P68" s="52">
        <v>1.0240702906837873</v>
      </c>
      <c r="Q68" s="52">
        <v>1.628630979966661</v>
      </c>
      <c r="T68" s="51">
        <v>44105</v>
      </c>
      <c r="U68" s="52">
        <v>16.10625772926889</v>
      </c>
      <c r="V68" s="52">
        <v>14.597053366917645</v>
      </c>
      <c r="W68" s="52">
        <v>15.250960754046384</v>
      </c>
      <c r="X68" s="52">
        <v>45.954271850232921</v>
      </c>
    </row>
    <row r="69" spans="1:24">
      <c r="A69">
        <v>68</v>
      </c>
      <c r="B69" t="s">
        <v>59</v>
      </c>
      <c r="C69" s="34">
        <v>44228</v>
      </c>
      <c r="D69" t="s">
        <v>60</v>
      </c>
      <c r="E69" t="s">
        <v>61</v>
      </c>
      <c r="F69" t="s">
        <v>62</v>
      </c>
      <c r="G69">
        <v>1.17918099499434E-2</v>
      </c>
      <c r="H69" t="s">
        <v>63</v>
      </c>
      <c r="I69" t="s">
        <v>64</v>
      </c>
      <c r="J69">
        <f t="shared" si="1"/>
        <v>13.267595447364567</v>
      </c>
      <c r="M69" s="51">
        <v>44136</v>
      </c>
      <c r="N69" s="52">
        <v>0.22414905269915186</v>
      </c>
      <c r="O69" s="52">
        <v>0.32741056954694869</v>
      </c>
      <c r="P69" s="52">
        <v>0.93695916720434314</v>
      </c>
      <c r="Q69" s="52">
        <v>1.4885187894504437</v>
      </c>
      <c r="T69" s="51">
        <v>44136</v>
      </c>
      <c r="U69" s="52">
        <v>14.755367941121522</v>
      </c>
      <c r="V69" s="52">
        <v>13.347235112978485</v>
      </c>
      <c r="W69" s="52">
        <v>13.94848871324611</v>
      </c>
      <c r="X69" s="52">
        <v>42.051091767346122</v>
      </c>
    </row>
    <row r="70" spans="1:24">
      <c r="A70">
        <v>69</v>
      </c>
      <c r="B70" t="s">
        <v>59</v>
      </c>
      <c r="C70" s="34">
        <v>44256</v>
      </c>
      <c r="D70" t="s">
        <v>60</v>
      </c>
      <c r="E70" t="s">
        <v>61</v>
      </c>
      <c r="F70" t="s">
        <v>62</v>
      </c>
      <c r="G70">
        <v>1.42634359009113E-2</v>
      </c>
      <c r="H70" t="s">
        <v>63</v>
      </c>
      <c r="I70" t="s">
        <v>64</v>
      </c>
      <c r="J70">
        <f t="shared" si="1"/>
        <v>15.835219607548067</v>
      </c>
      <c r="M70" s="51">
        <v>44166</v>
      </c>
      <c r="N70" s="52">
        <v>0.2466219346382581</v>
      </c>
      <c r="O70" s="52">
        <v>0.36207579266425149</v>
      </c>
      <c r="P70" s="52">
        <v>1.0363134251845096</v>
      </c>
      <c r="Q70" s="52">
        <v>1.6450111524870192</v>
      </c>
      <c r="T70" s="51">
        <v>44166</v>
      </c>
      <c r="U70" s="52">
        <v>16.12402373911722</v>
      </c>
      <c r="V70" s="52">
        <v>14.578631634592387</v>
      </c>
      <c r="W70" s="52">
        <v>15.229695217245753</v>
      </c>
      <c r="X70" s="52">
        <v>45.932350590955359</v>
      </c>
    </row>
    <row r="71" spans="1:24">
      <c r="A71">
        <v>70</v>
      </c>
      <c r="B71" t="s">
        <v>59</v>
      </c>
      <c r="C71" s="34">
        <v>44287</v>
      </c>
      <c r="D71" t="s">
        <v>60</v>
      </c>
      <c r="E71" t="s">
        <v>61</v>
      </c>
      <c r="F71" t="s">
        <v>62</v>
      </c>
      <c r="G71">
        <v>1.30132001222383E-2</v>
      </c>
      <c r="H71" t="s">
        <v>63</v>
      </c>
      <c r="I71" t="s">
        <v>64</v>
      </c>
      <c r="J71">
        <f t="shared" si="1"/>
        <v>14.545264831283111</v>
      </c>
      <c r="M71" s="51">
        <v>44197</v>
      </c>
      <c r="N71" s="52">
        <v>0.21309419035479005</v>
      </c>
      <c r="O71" s="52">
        <v>0.3144745841889951</v>
      </c>
      <c r="P71" s="52">
        <v>0.90082397356073818</v>
      </c>
      <c r="Q71" s="52">
        <v>1.4283927481045233</v>
      </c>
      <c r="T71" s="51">
        <v>44197</v>
      </c>
      <c r="U71" s="52">
        <v>14.081966701758796</v>
      </c>
      <c r="V71" s="52">
        <v>12.704470373148292</v>
      </c>
      <c r="W71" s="52">
        <v>13.277023864373517</v>
      </c>
      <c r="X71" s="52">
        <v>40.063460939280603</v>
      </c>
    </row>
    <row r="72" spans="1:24">
      <c r="A72">
        <v>71</v>
      </c>
      <c r="B72" t="s">
        <v>59</v>
      </c>
      <c r="C72" s="34">
        <v>44317</v>
      </c>
      <c r="D72" t="s">
        <v>60</v>
      </c>
      <c r="E72" t="s">
        <v>61</v>
      </c>
      <c r="F72" t="s">
        <v>62</v>
      </c>
      <c r="G72">
        <v>1.2384040119268899E-2</v>
      </c>
      <c r="H72" t="s">
        <v>63</v>
      </c>
      <c r="I72" t="s">
        <v>64</v>
      </c>
      <c r="J72">
        <f t="shared" si="1"/>
        <v>13.889285215453839</v>
      </c>
      <c r="M72" s="51">
        <v>44228</v>
      </c>
      <c r="N72" s="52">
        <v>0.2131639695323706</v>
      </c>
      <c r="O72" s="52">
        <v>0.31616909867849818</v>
      </c>
      <c r="P72" s="52">
        <v>0.90603485251693483</v>
      </c>
      <c r="Q72" s="52">
        <v>1.4353679207278036</v>
      </c>
      <c r="T72" s="51">
        <v>44228</v>
      </c>
      <c r="U72" s="52">
        <v>14.088248636864819</v>
      </c>
      <c r="V72" s="52">
        <v>12.696292594632686</v>
      </c>
      <c r="W72" s="52">
        <v>13.267595447364567</v>
      </c>
      <c r="X72" s="52">
        <v>40.05213667886207</v>
      </c>
    </row>
    <row r="73" spans="1:24">
      <c r="A73">
        <v>72</v>
      </c>
      <c r="B73" t="s">
        <v>59</v>
      </c>
      <c r="C73" s="34">
        <v>44348</v>
      </c>
      <c r="D73" t="s">
        <v>60</v>
      </c>
      <c r="E73" t="s">
        <v>61</v>
      </c>
      <c r="F73" t="s">
        <v>62</v>
      </c>
      <c r="G73">
        <v>1.36119899924284E-2</v>
      </c>
      <c r="H73" t="s">
        <v>63</v>
      </c>
      <c r="I73" t="s">
        <v>64</v>
      </c>
      <c r="J73">
        <f t="shared" si="1"/>
        <v>15.16532217151626</v>
      </c>
      <c r="M73" s="51">
        <v>44256</v>
      </c>
      <c r="N73" s="52">
        <v>0.25807368353570892</v>
      </c>
      <c r="O73" s="52">
        <v>0.38465520586280499</v>
      </c>
      <c r="P73" s="52">
        <v>1.1020745177807489</v>
      </c>
      <c r="Q73" s="52">
        <v>1.7448034071792629</v>
      </c>
      <c r="T73" s="51">
        <v>44256</v>
      </c>
      <c r="U73" s="52">
        <v>16.818985068251113</v>
      </c>
      <c r="V73" s="52">
        <v>15.163536912490084</v>
      </c>
      <c r="W73" s="52">
        <v>15.835219607548067</v>
      </c>
      <c r="X73" s="52">
        <v>47.817741588289266</v>
      </c>
    </row>
    <row r="74" spans="1:24">
      <c r="A74">
        <v>73</v>
      </c>
      <c r="B74" t="s">
        <v>59</v>
      </c>
      <c r="C74" s="34">
        <v>42186</v>
      </c>
      <c r="D74" t="s">
        <v>60</v>
      </c>
      <c r="E74" t="s">
        <v>61</v>
      </c>
      <c r="F74" t="s">
        <v>65</v>
      </c>
      <c r="G74" s="49">
        <v>5.7163091615371602E-5</v>
      </c>
      <c r="H74" t="s">
        <v>63</v>
      </c>
      <c r="I74" t="s">
        <v>64</v>
      </c>
      <c r="J74">
        <f t="shared" si="1"/>
        <v>6.8574147761568671E-2</v>
      </c>
      <c r="M74" s="51">
        <v>44287</v>
      </c>
      <c r="N74" s="52">
        <v>0.23574041319152084</v>
      </c>
      <c r="O74" s="52">
        <v>0.35311683948878736</v>
      </c>
      <c r="P74" s="52">
        <v>1.0123674172025421</v>
      </c>
      <c r="Q74" s="52">
        <v>1.6012246698828503</v>
      </c>
      <c r="T74" s="51">
        <v>44287</v>
      </c>
      <c r="U74" s="52">
        <v>15.472017160355534</v>
      </c>
      <c r="V74" s="52">
        <v>13.924995435798305</v>
      </c>
      <c r="W74" s="52">
        <v>14.545264831283111</v>
      </c>
      <c r="X74" s="52">
        <v>43.942277427436949</v>
      </c>
    </row>
    <row r="75" spans="1:24">
      <c r="A75">
        <v>74</v>
      </c>
      <c r="B75" t="s">
        <v>59</v>
      </c>
      <c r="C75" s="34">
        <v>42217</v>
      </c>
      <c r="D75" t="s">
        <v>60</v>
      </c>
      <c r="E75" t="s">
        <v>61</v>
      </c>
      <c r="F75" t="s">
        <v>65</v>
      </c>
      <c r="G75" s="49">
        <v>6.4582662473640099E-5</v>
      </c>
      <c r="H75" t="s">
        <v>63</v>
      </c>
      <c r="I75" t="s">
        <v>64</v>
      </c>
      <c r="J75">
        <f t="shared" si="1"/>
        <v>7.747167281973999E-2</v>
      </c>
      <c r="M75" s="51">
        <v>44317</v>
      </c>
      <c r="N75" s="52">
        <v>0.22461522979846382</v>
      </c>
      <c r="O75" s="52">
        <v>0.33808781368330765</v>
      </c>
      <c r="P75" s="52">
        <v>0.96975222908756153</v>
      </c>
      <c r="Q75" s="52">
        <v>1.532455272569333</v>
      </c>
      <c r="T75" s="51">
        <v>44317</v>
      </c>
      <c r="U75" s="52">
        <v>14.791902847550309</v>
      </c>
      <c r="V75" s="52">
        <v>13.295846052863391</v>
      </c>
      <c r="W75" s="52">
        <v>13.889285215453839</v>
      </c>
      <c r="X75" s="52">
        <v>41.977034115867539</v>
      </c>
    </row>
    <row r="76" spans="1:24">
      <c r="A76">
        <v>75</v>
      </c>
      <c r="B76" t="s">
        <v>59</v>
      </c>
      <c r="C76" s="34">
        <v>42248</v>
      </c>
      <c r="D76" t="s">
        <v>60</v>
      </c>
      <c r="E76" t="s">
        <v>61</v>
      </c>
      <c r="F76" t="s">
        <v>65</v>
      </c>
      <c r="G76" s="49">
        <v>8.31396627710693E-5</v>
      </c>
      <c r="H76" t="s">
        <v>63</v>
      </c>
      <c r="I76" t="s">
        <v>64</v>
      </c>
      <c r="J76">
        <f t="shared" si="1"/>
        <v>9.9721987422607405E-2</v>
      </c>
      <c r="M76" s="51">
        <v>44348</v>
      </c>
      <c r="N76" s="52">
        <v>0.24716324405946732</v>
      </c>
      <c r="O76" s="52">
        <v>0.37376587021543672</v>
      </c>
      <c r="P76" s="52">
        <v>1.0721254812349534</v>
      </c>
      <c r="Q76" s="52">
        <v>1.6930545955098575</v>
      </c>
      <c r="T76" s="51">
        <v>44348</v>
      </c>
      <c r="U76" s="52">
        <v>16.158811447782785</v>
      </c>
      <c r="V76" s="52">
        <v>14.522671018099176</v>
      </c>
      <c r="W76" s="52">
        <v>15.16532217151626</v>
      </c>
      <c r="X76" s="52">
        <v>45.846804637398222</v>
      </c>
    </row>
    <row r="77" spans="1:24">
      <c r="A77">
        <v>76</v>
      </c>
      <c r="B77" t="s">
        <v>59</v>
      </c>
      <c r="C77" s="34">
        <v>42278</v>
      </c>
      <c r="D77" t="s">
        <v>60</v>
      </c>
      <c r="E77" t="s">
        <v>61</v>
      </c>
      <c r="F77" t="s">
        <v>65</v>
      </c>
      <c r="G77">
        <v>1.17422048494203E-4</v>
      </c>
      <c r="H77" t="s">
        <v>63</v>
      </c>
      <c r="I77" t="s">
        <v>64</v>
      </c>
      <c r="J77">
        <f t="shared" si="1"/>
        <v>0.14081549341448119</v>
      </c>
      <c r="M77" s="51" t="s">
        <v>68</v>
      </c>
      <c r="N77" s="52">
        <v>16.287690387570098</v>
      </c>
      <c r="O77" s="52">
        <v>20.396543561364947</v>
      </c>
      <c r="P77" s="52">
        <v>49.578210750505036</v>
      </c>
      <c r="Q77" s="52">
        <v>86.262444699440081</v>
      </c>
      <c r="T77" s="51" t="s">
        <v>68</v>
      </c>
      <c r="U77" s="52">
        <v>1087.2636869118173</v>
      </c>
      <c r="V77" s="52">
        <v>1024.5357661090593</v>
      </c>
      <c r="W77" s="52">
        <v>1016.1883049864678</v>
      </c>
      <c r="X77" s="52">
        <v>3127.987758007343</v>
      </c>
    </row>
    <row r="78" spans="1:24">
      <c r="A78">
        <v>77</v>
      </c>
      <c r="B78" t="s">
        <v>59</v>
      </c>
      <c r="C78" s="34">
        <v>42309</v>
      </c>
      <c r="D78" t="s">
        <v>60</v>
      </c>
      <c r="E78" t="s">
        <v>61</v>
      </c>
      <c r="F78" t="s">
        <v>65</v>
      </c>
      <c r="G78">
        <v>1.3716909718688601E-4</v>
      </c>
      <c r="H78" t="s">
        <v>63</v>
      </c>
      <c r="I78" t="s">
        <v>64</v>
      </c>
      <c r="J78">
        <f t="shared" si="1"/>
        <v>0.16447879200210958</v>
      </c>
    </row>
    <row r="79" spans="1:24">
      <c r="A79">
        <v>78</v>
      </c>
      <c r="B79" t="s">
        <v>59</v>
      </c>
      <c r="C79" s="34">
        <v>42339</v>
      </c>
      <c r="D79" t="s">
        <v>60</v>
      </c>
      <c r="E79" t="s">
        <v>61</v>
      </c>
      <c r="F79" t="s">
        <v>65</v>
      </c>
      <c r="G79">
        <v>1.82659541252636E-4</v>
      </c>
      <c r="H79" t="s">
        <v>63</v>
      </c>
      <c r="I79" t="s">
        <v>64</v>
      </c>
      <c r="J79">
        <f t="shared" si="1"/>
        <v>0.21897137777078246</v>
      </c>
    </row>
    <row r="80" spans="1:24">
      <c r="A80">
        <v>79</v>
      </c>
      <c r="B80" t="s">
        <v>59</v>
      </c>
      <c r="C80" s="34">
        <v>42370</v>
      </c>
      <c r="D80" t="s">
        <v>60</v>
      </c>
      <c r="E80" t="s">
        <v>61</v>
      </c>
      <c r="F80" t="s">
        <v>65</v>
      </c>
      <c r="G80">
        <v>1.8218738088879299E-4</v>
      </c>
      <c r="H80" t="s">
        <v>63</v>
      </c>
      <c r="I80" t="s">
        <v>64</v>
      </c>
      <c r="J80">
        <f t="shared" si="1"/>
        <v>0.21840592125506042</v>
      </c>
    </row>
    <row r="81" spans="1:10">
      <c r="A81">
        <v>80</v>
      </c>
      <c r="B81" t="s">
        <v>59</v>
      </c>
      <c r="C81" s="34">
        <v>42401</v>
      </c>
      <c r="D81" t="s">
        <v>60</v>
      </c>
      <c r="E81" t="s">
        <v>61</v>
      </c>
      <c r="F81" t="s">
        <v>65</v>
      </c>
      <c r="G81">
        <v>2.14254752192218E-4</v>
      </c>
      <c r="H81" t="s">
        <v>63</v>
      </c>
      <c r="I81" t="s">
        <v>64</v>
      </c>
      <c r="J81">
        <f t="shared" si="1"/>
        <v>0.25680294525248781</v>
      </c>
    </row>
    <row r="82" spans="1:10">
      <c r="A82">
        <v>81</v>
      </c>
      <c r="B82" t="s">
        <v>59</v>
      </c>
      <c r="C82" s="34">
        <v>42430</v>
      </c>
      <c r="D82" t="s">
        <v>60</v>
      </c>
      <c r="E82" t="s">
        <v>61</v>
      </c>
      <c r="F82" t="s">
        <v>65</v>
      </c>
      <c r="G82">
        <v>2.5747669050664099E-4</v>
      </c>
      <c r="H82" t="s">
        <v>63</v>
      </c>
      <c r="I82" t="s">
        <v>64</v>
      </c>
      <c r="J82">
        <f t="shared" si="1"/>
        <v>0.30853486188883172</v>
      </c>
    </row>
    <row r="83" spans="1:10">
      <c r="A83">
        <v>82</v>
      </c>
      <c r="B83" t="s">
        <v>59</v>
      </c>
      <c r="C83" s="34">
        <v>42461</v>
      </c>
      <c r="D83" t="s">
        <v>60</v>
      </c>
      <c r="E83" t="s">
        <v>61</v>
      </c>
      <c r="F83" t="s">
        <v>65</v>
      </c>
      <c r="G83">
        <v>2.6457485111342101E-4</v>
      </c>
      <c r="H83" t="s">
        <v>63</v>
      </c>
      <c r="I83" t="s">
        <v>64</v>
      </c>
      <c r="J83">
        <f t="shared" si="1"/>
        <v>0.31702822951593657</v>
      </c>
    </row>
    <row r="84" spans="1:10">
      <c r="A84">
        <v>83</v>
      </c>
      <c r="B84" t="s">
        <v>59</v>
      </c>
      <c r="C84" s="34">
        <v>42491</v>
      </c>
      <c r="D84" t="s">
        <v>60</v>
      </c>
      <c r="E84" t="s">
        <v>61</v>
      </c>
      <c r="F84" t="s">
        <v>65</v>
      </c>
      <c r="G84">
        <v>2.8211710021947602E-4</v>
      </c>
      <c r="H84" t="s">
        <v>63</v>
      </c>
      <c r="I84" t="s">
        <v>64</v>
      </c>
      <c r="J84">
        <f t="shared" si="1"/>
        <v>0.33801571954741316</v>
      </c>
    </row>
    <row r="85" spans="1:10">
      <c r="A85">
        <v>84</v>
      </c>
      <c r="B85" t="s">
        <v>59</v>
      </c>
      <c r="C85" s="34">
        <v>42522</v>
      </c>
      <c r="D85" t="s">
        <v>60</v>
      </c>
      <c r="E85" t="s">
        <v>61</v>
      </c>
      <c r="F85" t="s">
        <v>65</v>
      </c>
      <c r="G85">
        <v>3.1325593765608903E-4</v>
      </c>
      <c r="H85" t="s">
        <v>63</v>
      </c>
      <c r="I85" t="s">
        <v>64</v>
      </c>
      <c r="J85">
        <f t="shared" si="1"/>
        <v>0.37526014771728233</v>
      </c>
    </row>
    <row r="86" spans="1:10">
      <c r="A86">
        <v>85</v>
      </c>
      <c r="B86" t="s">
        <v>59</v>
      </c>
      <c r="C86" s="34">
        <v>42552</v>
      </c>
      <c r="D86" t="s">
        <v>60</v>
      </c>
      <c r="E86" t="s">
        <v>61</v>
      </c>
      <c r="F86" t="s">
        <v>65</v>
      </c>
      <c r="G86">
        <v>3.0071747060400503E-4</v>
      </c>
      <c r="H86" t="s">
        <v>63</v>
      </c>
      <c r="I86" t="s">
        <v>64</v>
      </c>
      <c r="J86">
        <f t="shared" si="1"/>
        <v>0.36026471801112736</v>
      </c>
    </row>
    <row r="87" spans="1:10">
      <c r="A87">
        <v>86</v>
      </c>
      <c r="B87" t="s">
        <v>59</v>
      </c>
      <c r="C87" s="34">
        <v>42583</v>
      </c>
      <c r="D87" t="s">
        <v>60</v>
      </c>
      <c r="E87" t="s">
        <v>61</v>
      </c>
      <c r="F87" t="s">
        <v>65</v>
      </c>
      <c r="G87">
        <v>3.6254732989795402E-4</v>
      </c>
      <c r="H87" t="s">
        <v>63</v>
      </c>
      <c r="I87" t="s">
        <v>64</v>
      </c>
      <c r="J87">
        <f t="shared" si="1"/>
        <v>0.43419033565986753</v>
      </c>
    </row>
    <row r="88" spans="1:10">
      <c r="A88">
        <v>87</v>
      </c>
      <c r="B88" t="s">
        <v>59</v>
      </c>
      <c r="C88" s="34">
        <v>42614</v>
      </c>
      <c r="D88" t="s">
        <v>60</v>
      </c>
      <c r="E88" t="s">
        <v>61</v>
      </c>
      <c r="F88" t="s">
        <v>65</v>
      </c>
      <c r="G88">
        <v>3.3729035546988401E-4</v>
      </c>
      <c r="H88" t="s">
        <v>63</v>
      </c>
      <c r="I88" t="s">
        <v>64</v>
      </c>
      <c r="J88">
        <f t="shared" si="1"/>
        <v>0.40399842252869522</v>
      </c>
    </row>
    <row r="89" spans="1:10">
      <c r="A89">
        <v>88</v>
      </c>
      <c r="B89" t="s">
        <v>59</v>
      </c>
      <c r="C89" s="34">
        <v>42644</v>
      </c>
      <c r="D89" t="s">
        <v>60</v>
      </c>
      <c r="E89" t="s">
        <v>61</v>
      </c>
      <c r="F89" t="s">
        <v>65</v>
      </c>
      <c r="G89">
        <v>3.4835968015029802E-4</v>
      </c>
      <c r="H89" t="s">
        <v>63</v>
      </c>
      <c r="I89" t="s">
        <v>64</v>
      </c>
      <c r="J89">
        <f t="shared" si="1"/>
        <v>0.4172316060212955</v>
      </c>
    </row>
    <row r="90" spans="1:10">
      <c r="A90">
        <v>89</v>
      </c>
      <c r="B90" t="s">
        <v>59</v>
      </c>
      <c r="C90" s="34">
        <v>42675</v>
      </c>
      <c r="D90" t="s">
        <v>60</v>
      </c>
      <c r="E90" t="s">
        <v>61</v>
      </c>
      <c r="F90" t="s">
        <v>65</v>
      </c>
      <c r="G90">
        <v>3.5835352384766197E-4</v>
      </c>
      <c r="H90" t="s">
        <v>63</v>
      </c>
      <c r="I90" t="s">
        <v>64</v>
      </c>
      <c r="J90">
        <f t="shared" si="1"/>
        <v>0.42917768637715792</v>
      </c>
    </row>
    <row r="91" spans="1:10">
      <c r="A91">
        <v>90</v>
      </c>
      <c r="B91" t="s">
        <v>59</v>
      </c>
      <c r="C91" s="34">
        <v>42705</v>
      </c>
      <c r="D91" t="s">
        <v>60</v>
      </c>
      <c r="E91" t="s">
        <v>61</v>
      </c>
      <c r="F91" t="s">
        <v>65</v>
      </c>
      <c r="G91">
        <v>3.67887508105973E-4</v>
      </c>
      <c r="H91" t="s">
        <v>63</v>
      </c>
      <c r="I91" t="s">
        <v>64</v>
      </c>
      <c r="J91">
        <f t="shared" si="1"/>
        <v>0.44057285216574371</v>
      </c>
    </row>
    <row r="92" spans="1:10">
      <c r="A92">
        <v>91</v>
      </c>
      <c r="B92" t="s">
        <v>59</v>
      </c>
      <c r="C92" s="34">
        <v>42736</v>
      </c>
      <c r="D92" t="s">
        <v>60</v>
      </c>
      <c r="E92" t="s">
        <v>61</v>
      </c>
      <c r="F92" t="s">
        <v>65</v>
      </c>
      <c r="G92">
        <v>3.6068265804038902E-4</v>
      </c>
      <c r="H92" t="s">
        <v>63</v>
      </c>
      <c r="I92" t="s">
        <v>64</v>
      </c>
      <c r="J92">
        <f t="shared" si="1"/>
        <v>0.43196161402666577</v>
      </c>
    </row>
    <row r="93" spans="1:10">
      <c r="A93">
        <v>92</v>
      </c>
      <c r="B93" t="s">
        <v>59</v>
      </c>
      <c r="C93" s="34">
        <v>42767</v>
      </c>
      <c r="D93" t="s">
        <v>60</v>
      </c>
      <c r="E93" t="s">
        <v>61</v>
      </c>
      <c r="F93" t="s">
        <v>65</v>
      </c>
      <c r="G93">
        <v>3.5452522598662802E-4</v>
      </c>
      <c r="H93" t="s">
        <v>63</v>
      </c>
      <c r="I93" t="s">
        <v>64</v>
      </c>
      <c r="J93">
        <f t="shared" si="1"/>
        <v>0.42460170901726935</v>
      </c>
    </row>
    <row r="94" spans="1:10">
      <c r="A94">
        <v>93</v>
      </c>
      <c r="B94" t="s">
        <v>59</v>
      </c>
      <c r="C94" s="34">
        <v>42795</v>
      </c>
      <c r="D94" t="s">
        <v>60</v>
      </c>
      <c r="E94" t="s">
        <v>61</v>
      </c>
      <c r="F94" t="s">
        <v>65</v>
      </c>
      <c r="G94">
        <v>4.4645227749436599E-4</v>
      </c>
      <c r="H94" t="s">
        <v>63</v>
      </c>
      <c r="I94" t="s">
        <v>64</v>
      </c>
      <c r="J94">
        <f t="shared" si="1"/>
        <v>0.53442917913749666</v>
      </c>
    </row>
    <row r="95" spans="1:10">
      <c r="A95">
        <v>94</v>
      </c>
      <c r="B95" t="s">
        <v>59</v>
      </c>
      <c r="C95" s="34">
        <v>42826</v>
      </c>
      <c r="D95" t="s">
        <v>60</v>
      </c>
      <c r="E95" t="s">
        <v>61</v>
      </c>
      <c r="F95" t="s">
        <v>65</v>
      </c>
      <c r="G95">
        <v>3.8553112318440202E-4</v>
      </c>
      <c r="H95" t="s">
        <v>63</v>
      </c>
      <c r="I95" t="s">
        <v>64</v>
      </c>
      <c r="J95">
        <f t="shared" si="1"/>
        <v>0.46165762136742838</v>
      </c>
    </row>
    <row r="96" spans="1:10">
      <c r="A96">
        <v>95</v>
      </c>
      <c r="B96" t="s">
        <v>59</v>
      </c>
      <c r="C96" s="34">
        <v>42856</v>
      </c>
      <c r="D96" t="s">
        <v>60</v>
      </c>
      <c r="E96" t="s">
        <v>61</v>
      </c>
      <c r="F96" t="s">
        <v>65</v>
      </c>
      <c r="G96">
        <v>4.6851321600961898E-4</v>
      </c>
      <c r="H96" t="s">
        <v>63</v>
      </c>
      <c r="I96" t="s">
        <v>64</v>
      </c>
      <c r="J96">
        <f t="shared" si="1"/>
        <v>0.56076938874475291</v>
      </c>
    </row>
    <row r="97" spans="1:10">
      <c r="A97">
        <v>96</v>
      </c>
      <c r="B97" t="s">
        <v>59</v>
      </c>
      <c r="C97" s="34">
        <v>42887</v>
      </c>
      <c r="D97" t="s">
        <v>60</v>
      </c>
      <c r="E97" t="s">
        <v>61</v>
      </c>
      <c r="F97" t="s">
        <v>65</v>
      </c>
      <c r="G97">
        <v>4.9328489880788996E-4</v>
      </c>
      <c r="H97" t="s">
        <v>63</v>
      </c>
      <c r="I97" t="s">
        <v>64</v>
      </c>
      <c r="J97">
        <f t="shared" si="1"/>
        <v>0.59033853837989758</v>
      </c>
    </row>
    <row r="98" spans="1:10">
      <c r="A98">
        <v>97</v>
      </c>
      <c r="B98" t="s">
        <v>59</v>
      </c>
      <c r="C98" s="34">
        <v>42917</v>
      </c>
      <c r="D98" t="s">
        <v>60</v>
      </c>
      <c r="E98" t="s">
        <v>61</v>
      </c>
      <c r="F98" t="s">
        <v>65</v>
      </c>
      <c r="G98">
        <v>4.7230217061814002E-4</v>
      </c>
      <c r="H98" t="s">
        <v>63</v>
      </c>
      <c r="I98" t="s">
        <v>64</v>
      </c>
      <c r="J98">
        <f t="shared" si="1"/>
        <v>0.5652926624689858</v>
      </c>
    </row>
    <row r="99" spans="1:10">
      <c r="A99">
        <v>98</v>
      </c>
      <c r="B99" t="s">
        <v>59</v>
      </c>
      <c r="C99" s="34">
        <v>42948</v>
      </c>
      <c r="D99" t="s">
        <v>60</v>
      </c>
      <c r="E99" t="s">
        <v>61</v>
      </c>
      <c r="F99" t="s">
        <v>65</v>
      </c>
      <c r="G99">
        <v>5.7038445998043705E-4</v>
      </c>
      <c r="H99" t="s">
        <v>63</v>
      </c>
      <c r="I99" t="s">
        <v>64</v>
      </c>
      <c r="J99">
        <f t="shared" si="1"/>
        <v>0.68231819558526308</v>
      </c>
    </row>
    <row r="100" spans="1:10">
      <c r="A100">
        <v>99</v>
      </c>
      <c r="B100" t="s">
        <v>59</v>
      </c>
      <c r="C100" s="34">
        <v>42979</v>
      </c>
      <c r="D100" t="s">
        <v>60</v>
      </c>
      <c r="E100" t="s">
        <v>61</v>
      </c>
      <c r="F100" t="s">
        <v>65</v>
      </c>
      <c r="G100">
        <v>5.18516725980263E-4</v>
      </c>
      <c r="H100" t="s">
        <v>63</v>
      </c>
      <c r="I100" t="s">
        <v>64</v>
      </c>
      <c r="J100">
        <f t="shared" si="1"/>
        <v>0.6204486612536364</v>
      </c>
    </row>
    <row r="101" spans="1:10">
      <c r="A101">
        <v>100</v>
      </c>
      <c r="B101" t="s">
        <v>59</v>
      </c>
      <c r="C101" s="34">
        <v>43009</v>
      </c>
      <c r="D101" t="s">
        <v>60</v>
      </c>
      <c r="E101" t="s">
        <v>61</v>
      </c>
      <c r="F101" t="s">
        <v>65</v>
      </c>
      <c r="G101">
        <v>5.9240945686389905E-4</v>
      </c>
      <c r="H101" t="s">
        <v>63</v>
      </c>
      <c r="I101" t="s">
        <v>64</v>
      </c>
      <c r="J101">
        <f t="shared" si="1"/>
        <v>0.70857965290022085</v>
      </c>
    </row>
    <row r="102" spans="1:10">
      <c r="A102">
        <v>101</v>
      </c>
      <c r="B102" t="s">
        <v>59</v>
      </c>
      <c r="C102" s="34">
        <v>43040</v>
      </c>
      <c r="D102" t="s">
        <v>60</v>
      </c>
      <c r="E102" t="s">
        <v>61</v>
      </c>
      <c r="F102" t="s">
        <v>65</v>
      </c>
      <c r="G102">
        <v>5.8349795156793696E-4</v>
      </c>
      <c r="H102" t="s">
        <v>63</v>
      </c>
      <c r="I102" t="s">
        <v>64</v>
      </c>
      <c r="J102">
        <f t="shared" si="1"/>
        <v>0.69795480567251822</v>
      </c>
    </row>
    <row r="103" spans="1:10">
      <c r="A103">
        <v>102</v>
      </c>
      <c r="B103" t="s">
        <v>59</v>
      </c>
      <c r="C103" s="34">
        <v>43070</v>
      </c>
      <c r="D103" t="s">
        <v>60</v>
      </c>
      <c r="E103" t="s">
        <v>61</v>
      </c>
      <c r="F103" t="s">
        <v>65</v>
      </c>
      <c r="G103">
        <v>5.7023194039925102E-4</v>
      </c>
      <c r="H103" t="s">
        <v>63</v>
      </c>
      <c r="I103" t="s">
        <v>64</v>
      </c>
      <c r="J103">
        <f t="shared" si="1"/>
        <v>0.68213631699720612</v>
      </c>
    </row>
    <row r="104" spans="1:10">
      <c r="A104">
        <v>103</v>
      </c>
      <c r="B104" t="s">
        <v>59</v>
      </c>
      <c r="C104" s="34">
        <v>43101</v>
      </c>
      <c r="D104" t="s">
        <v>60</v>
      </c>
      <c r="E104" t="s">
        <v>61</v>
      </c>
      <c r="F104" t="s">
        <v>65</v>
      </c>
      <c r="G104">
        <v>6.1172525240029004E-4</v>
      </c>
      <c r="H104" t="s">
        <v>63</v>
      </c>
      <c r="I104" t="s">
        <v>64</v>
      </c>
      <c r="J104">
        <f t="shared" si="1"/>
        <v>0.73160556065006155</v>
      </c>
    </row>
    <row r="105" spans="1:10">
      <c r="A105">
        <v>104</v>
      </c>
      <c r="B105" t="s">
        <v>59</v>
      </c>
      <c r="C105" s="34">
        <v>43132</v>
      </c>
      <c r="D105" t="s">
        <v>60</v>
      </c>
      <c r="E105" t="s">
        <v>61</v>
      </c>
      <c r="F105" t="s">
        <v>65</v>
      </c>
      <c r="G105">
        <v>5.6364441562256498E-4</v>
      </c>
      <c r="H105" t="s">
        <v>63</v>
      </c>
      <c r="I105" t="s">
        <v>64</v>
      </c>
      <c r="J105">
        <f t="shared" si="1"/>
        <v>0.67428044605013504</v>
      </c>
    </row>
    <row r="106" spans="1:10">
      <c r="A106">
        <v>105</v>
      </c>
      <c r="B106" t="s">
        <v>59</v>
      </c>
      <c r="C106" s="34">
        <v>43160</v>
      </c>
      <c r="D106" t="s">
        <v>60</v>
      </c>
      <c r="E106" t="s">
        <v>61</v>
      </c>
      <c r="F106" t="s">
        <v>65</v>
      </c>
      <c r="G106">
        <v>6.3295568648408598E-4</v>
      </c>
      <c r="H106" t="s">
        <v>63</v>
      </c>
      <c r="I106" t="s">
        <v>64</v>
      </c>
      <c r="J106">
        <f t="shared" si="1"/>
        <v>0.75690821752015802</v>
      </c>
    </row>
    <row r="107" spans="1:10">
      <c r="A107">
        <v>106</v>
      </c>
      <c r="B107" t="s">
        <v>59</v>
      </c>
      <c r="C107" s="34">
        <v>43191</v>
      </c>
      <c r="D107" t="s">
        <v>60</v>
      </c>
      <c r="E107" t="s">
        <v>61</v>
      </c>
      <c r="F107" t="s">
        <v>65</v>
      </c>
      <c r="G107">
        <v>6.4203171250947302E-4</v>
      </c>
      <c r="H107" t="s">
        <v>63</v>
      </c>
      <c r="I107" t="s">
        <v>64</v>
      </c>
      <c r="J107">
        <f t="shared" si="1"/>
        <v>0.76772331772515523</v>
      </c>
    </row>
    <row r="108" spans="1:10">
      <c r="A108">
        <v>107</v>
      </c>
      <c r="B108" t="s">
        <v>59</v>
      </c>
      <c r="C108" s="34">
        <v>43221</v>
      </c>
      <c r="D108" t="s">
        <v>60</v>
      </c>
      <c r="E108" t="s">
        <v>61</v>
      </c>
      <c r="F108" t="s">
        <v>65</v>
      </c>
      <c r="G108">
        <v>6.8145379515075302E-4</v>
      </c>
      <c r="H108" t="s">
        <v>63</v>
      </c>
      <c r="I108" t="s">
        <v>64</v>
      </c>
      <c r="J108">
        <f t="shared" si="1"/>
        <v>0.81468660226983181</v>
      </c>
    </row>
    <row r="109" spans="1:10">
      <c r="A109">
        <v>108</v>
      </c>
      <c r="B109" t="s">
        <v>59</v>
      </c>
      <c r="C109" s="34">
        <v>43252</v>
      </c>
      <c r="D109" t="s">
        <v>60</v>
      </c>
      <c r="E109" t="s">
        <v>61</v>
      </c>
      <c r="F109" t="s">
        <v>65</v>
      </c>
      <c r="G109">
        <v>6.5849712587679398E-4</v>
      </c>
      <c r="H109" t="s">
        <v>63</v>
      </c>
      <c r="I109" t="s">
        <v>64</v>
      </c>
      <c r="J109">
        <f t="shared" si="1"/>
        <v>0.78734094169045088</v>
      </c>
    </row>
    <row r="110" spans="1:10">
      <c r="A110">
        <v>109</v>
      </c>
      <c r="B110" t="s">
        <v>59</v>
      </c>
      <c r="C110" s="34">
        <v>43282</v>
      </c>
      <c r="D110" t="s">
        <v>60</v>
      </c>
      <c r="E110" t="s">
        <v>61</v>
      </c>
      <c r="F110" t="s">
        <v>65</v>
      </c>
      <c r="G110">
        <v>6.6623077888181698E-4</v>
      </c>
      <c r="H110" t="s">
        <v>63</v>
      </c>
      <c r="I110" t="s">
        <v>64</v>
      </c>
      <c r="J110">
        <f t="shared" si="1"/>
        <v>0.79655393188233781</v>
      </c>
    </row>
    <row r="111" spans="1:10">
      <c r="A111">
        <v>110</v>
      </c>
      <c r="B111" t="s">
        <v>59</v>
      </c>
      <c r="C111" s="34">
        <v>43313</v>
      </c>
      <c r="D111" t="s">
        <v>60</v>
      </c>
      <c r="E111" t="s">
        <v>61</v>
      </c>
      <c r="F111" t="s">
        <v>65</v>
      </c>
      <c r="G111">
        <v>7.3780305841401395E-4</v>
      </c>
      <c r="H111" t="s">
        <v>63</v>
      </c>
      <c r="I111" t="s">
        <v>64</v>
      </c>
      <c r="J111">
        <f t="shared" si="1"/>
        <v>0.88177975907884898</v>
      </c>
    </row>
    <row r="112" spans="1:10">
      <c r="A112">
        <v>111</v>
      </c>
      <c r="B112" t="s">
        <v>59</v>
      </c>
      <c r="C112" s="34">
        <v>43344</v>
      </c>
      <c r="D112" t="s">
        <v>60</v>
      </c>
      <c r="E112" t="s">
        <v>61</v>
      </c>
      <c r="F112" t="s">
        <v>65</v>
      </c>
      <c r="G112">
        <v>6.1595920941819298E-4</v>
      </c>
      <c r="H112" t="s">
        <v>63</v>
      </c>
      <c r="I112" t="s">
        <v>64</v>
      </c>
      <c r="J112">
        <f t="shared" si="1"/>
        <v>0.73665210761491018</v>
      </c>
    </row>
    <row r="113" spans="1:10">
      <c r="A113">
        <v>112</v>
      </c>
      <c r="B113" t="s">
        <v>59</v>
      </c>
      <c r="C113" s="34">
        <v>43374</v>
      </c>
      <c r="D113" t="s">
        <v>60</v>
      </c>
      <c r="E113" t="s">
        <v>61</v>
      </c>
      <c r="F113" t="s">
        <v>65</v>
      </c>
      <c r="G113">
        <v>7.5314016449126199E-4</v>
      </c>
      <c r="H113" t="s">
        <v>63</v>
      </c>
      <c r="I113" t="s">
        <v>64</v>
      </c>
      <c r="J113">
        <f t="shared" si="1"/>
        <v>0.90003392709135932</v>
      </c>
    </row>
    <row r="114" spans="1:10">
      <c r="A114">
        <v>113</v>
      </c>
      <c r="B114" t="s">
        <v>59</v>
      </c>
      <c r="C114" s="34">
        <v>43405</v>
      </c>
      <c r="D114" t="s">
        <v>60</v>
      </c>
      <c r="E114" t="s">
        <v>61</v>
      </c>
      <c r="F114" t="s">
        <v>65</v>
      </c>
      <c r="G114">
        <v>6.9420987981292303E-4</v>
      </c>
      <c r="H114" t="s">
        <v>63</v>
      </c>
      <c r="I114" t="s">
        <v>64</v>
      </c>
      <c r="J114">
        <f t="shared" si="1"/>
        <v>0.82987848402611419</v>
      </c>
    </row>
    <row r="115" spans="1:10">
      <c r="A115">
        <v>114</v>
      </c>
      <c r="B115" t="s">
        <v>59</v>
      </c>
      <c r="C115" s="34">
        <v>43435</v>
      </c>
      <c r="D115" t="s">
        <v>60</v>
      </c>
      <c r="E115" t="s">
        <v>61</v>
      </c>
      <c r="F115" t="s">
        <v>65</v>
      </c>
      <c r="G115">
        <v>6.6715563121583796E-4</v>
      </c>
      <c r="H115" t="s">
        <v>63</v>
      </c>
      <c r="I115" t="s">
        <v>64</v>
      </c>
      <c r="J115">
        <f t="shared" si="1"/>
        <v>0.79765564273571732</v>
      </c>
    </row>
    <row r="116" spans="1:10">
      <c r="A116">
        <v>115</v>
      </c>
      <c r="B116" t="s">
        <v>59</v>
      </c>
      <c r="C116" s="34">
        <v>43466</v>
      </c>
      <c r="D116" t="s">
        <v>60</v>
      </c>
      <c r="E116" t="s">
        <v>61</v>
      </c>
      <c r="F116" t="s">
        <v>65</v>
      </c>
      <c r="G116">
        <v>7.0660606348939997E-4</v>
      </c>
      <c r="H116" t="s">
        <v>63</v>
      </c>
      <c r="I116" t="s">
        <v>64</v>
      </c>
      <c r="J116">
        <f t="shared" si="1"/>
        <v>0.84463969747265999</v>
      </c>
    </row>
    <row r="117" spans="1:10">
      <c r="A117">
        <v>116</v>
      </c>
      <c r="B117" t="s">
        <v>59</v>
      </c>
      <c r="C117" s="34">
        <v>43497</v>
      </c>
      <c r="D117" t="s">
        <v>60</v>
      </c>
      <c r="E117" t="s">
        <v>61</v>
      </c>
      <c r="F117" t="s">
        <v>65</v>
      </c>
      <c r="G117">
        <v>6.4467108396431899E-4</v>
      </c>
      <c r="H117" t="s">
        <v>63</v>
      </c>
      <c r="I117" t="s">
        <v>64</v>
      </c>
      <c r="J117">
        <f t="shared" si="1"/>
        <v>0.77086822126125609</v>
      </c>
    </row>
    <row r="118" spans="1:10">
      <c r="A118">
        <v>117</v>
      </c>
      <c r="B118" t="s">
        <v>59</v>
      </c>
      <c r="C118" s="34">
        <v>43525</v>
      </c>
      <c r="D118" t="s">
        <v>60</v>
      </c>
      <c r="E118" t="s">
        <v>61</v>
      </c>
      <c r="F118" t="s">
        <v>65</v>
      </c>
      <c r="G118">
        <v>7.1832494282826002E-4</v>
      </c>
      <c r="H118" t="s">
        <v>63</v>
      </c>
      <c r="I118" t="s">
        <v>64</v>
      </c>
      <c r="J118">
        <f t="shared" si="1"/>
        <v>0.85859253373301581</v>
      </c>
    </row>
    <row r="119" spans="1:10">
      <c r="A119">
        <v>118</v>
      </c>
      <c r="B119" t="s">
        <v>59</v>
      </c>
      <c r="C119" s="34">
        <v>43556</v>
      </c>
      <c r="D119" t="s">
        <v>60</v>
      </c>
      <c r="E119" t="s">
        <v>61</v>
      </c>
      <c r="F119" t="s">
        <v>65</v>
      </c>
      <c r="G119">
        <v>7.2401536563495498E-4</v>
      </c>
      <c r="H119" t="s">
        <v>63</v>
      </c>
      <c r="I119" t="s">
        <v>64</v>
      </c>
      <c r="J119">
        <f t="shared" si="1"/>
        <v>0.86536706633491001</v>
      </c>
    </row>
    <row r="120" spans="1:10">
      <c r="A120">
        <v>119</v>
      </c>
      <c r="B120" t="s">
        <v>59</v>
      </c>
      <c r="C120" s="34">
        <v>43586</v>
      </c>
      <c r="D120" t="s">
        <v>60</v>
      </c>
      <c r="E120" t="s">
        <v>61</v>
      </c>
      <c r="F120" t="s">
        <v>65</v>
      </c>
      <c r="G120">
        <v>7.6436735382398103E-4</v>
      </c>
      <c r="H120" t="s">
        <v>63</v>
      </c>
      <c r="I120" t="s">
        <v>64</v>
      </c>
      <c r="J120">
        <f t="shared" si="1"/>
        <v>0.91339453345284927</v>
      </c>
    </row>
    <row r="121" spans="1:10">
      <c r="A121">
        <v>120</v>
      </c>
      <c r="B121" t="s">
        <v>59</v>
      </c>
      <c r="C121" s="34">
        <v>43617</v>
      </c>
      <c r="D121" t="s">
        <v>60</v>
      </c>
      <c r="E121" t="s">
        <v>61</v>
      </c>
      <c r="F121" t="s">
        <v>65</v>
      </c>
      <c r="G121">
        <v>7.0015635968037301E-4</v>
      </c>
      <c r="H121" t="s">
        <v>63</v>
      </c>
      <c r="I121" t="s">
        <v>64</v>
      </c>
      <c r="J121">
        <f t="shared" si="1"/>
        <v>0.83695972586714795</v>
      </c>
    </row>
    <row r="122" spans="1:10">
      <c r="A122">
        <v>121</v>
      </c>
      <c r="B122" t="s">
        <v>59</v>
      </c>
      <c r="C122" s="34">
        <v>43647</v>
      </c>
      <c r="D122" t="s">
        <v>60</v>
      </c>
      <c r="E122" t="s">
        <v>61</v>
      </c>
      <c r="F122" t="s">
        <v>65</v>
      </c>
      <c r="G122">
        <v>7.7591756153054102E-4</v>
      </c>
      <c r="H122" t="s">
        <v>63</v>
      </c>
      <c r="I122" t="s">
        <v>64</v>
      </c>
      <c r="J122">
        <f t="shared" si="1"/>
        <v>0.9271378157784782</v>
      </c>
    </row>
    <row r="123" spans="1:10">
      <c r="A123">
        <v>122</v>
      </c>
      <c r="B123" t="s">
        <v>59</v>
      </c>
      <c r="C123" s="34">
        <v>43678</v>
      </c>
      <c r="D123" t="s">
        <v>60</v>
      </c>
      <c r="E123" t="s">
        <v>61</v>
      </c>
      <c r="F123" t="s">
        <v>65</v>
      </c>
      <c r="G123">
        <v>7.8161205817489296E-4</v>
      </c>
      <c r="H123" t="s">
        <v>63</v>
      </c>
      <c r="I123" t="s">
        <v>64</v>
      </c>
      <c r="J123">
        <f t="shared" si="1"/>
        <v>0.93391290146502826</v>
      </c>
    </row>
    <row r="124" spans="1:10">
      <c r="A124">
        <v>123</v>
      </c>
      <c r="B124" t="s">
        <v>59</v>
      </c>
      <c r="C124" s="34">
        <v>43709</v>
      </c>
      <c r="D124" t="s">
        <v>60</v>
      </c>
      <c r="E124" t="s">
        <v>61</v>
      </c>
      <c r="F124" t="s">
        <v>65</v>
      </c>
      <c r="G124">
        <v>7.1569190432101398E-4</v>
      </c>
      <c r="H124" t="s">
        <v>63</v>
      </c>
      <c r="I124" t="s">
        <v>64</v>
      </c>
      <c r="J124">
        <f t="shared" si="1"/>
        <v>0.85545771879766974</v>
      </c>
    </row>
    <row r="125" spans="1:10">
      <c r="A125">
        <v>124</v>
      </c>
      <c r="B125" t="s">
        <v>59</v>
      </c>
      <c r="C125" s="34">
        <v>43739</v>
      </c>
      <c r="D125" t="s">
        <v>60</v>
      </c>
      <c r="E125" t="s">
        <v>61</v>
      </c>
      <c r="F125" t="s">
        <v>65</v>
      </c>
      <c r="G125">
        <v>8.2890806625987405E-4</v>
      </c>
      <c r="H125" t="s">
        <v>63</v>
      </c>
      <c r="I125" t="s">
        <v>64</v>
      </c>
      <c r="J125">
        <f t="shared" si="1"/>
        <v>0.99016740126296465</v>
      </c>
    </row>
    <row r="126" spans="1:10">
      <c r="A126">
        <v>125</v>
      </c>
      <c r="B126" t="s">
        <v>59</v>
      </c>
      <c r="C126" s="34">
        <v>43770</v>
      </c>
      <c r="D126" t="s">
        <v>60</v>
      </c>
      <c r="E126" t="s">
        <v>61</v>
      </c>
      <c r="F126" t="s">
        <v>65</v>
      </c>
      <c r="G126">
        <v>7.2585205114098698E-4</v>
      </c>
      <c r="H126" t="s">
        <v>63</v>
      </c>
      <c r="I126" t="s">
        <v>64</v>
      </c>
      <c r="J126">
        <f t="shared" si="1"/>
        <v>0.86755357703600655</v>
      </c>
    </row>
    <row r="127" spans="1:10">
      <c r="A127">
        <v>126</v>
      </c>
      <c r="B127" t="s">
        <v>59</v>
      </c>
      <c r="C127" s="34">
        <v>43800</v>
      </c>
      <c r="D127" t="s">
        <v>60</v>
      </c>
      <c r="E127" t="s">
        <v>61</v>
      </c>
      <c r="F127" t="s">
        <v>65</v>
      </c>
      <c r="G127">
        <v>7.6742496407428097E-4</v>
      </c>
      <c r="H127" t="s">
        <v>63</v>
      </c>
      <c r="I127" t="s">
        <v>64</v>
      </c>
      <c r="J127">
        <f t="shared" si="1"/>
        <v>0.91703287194061511</v>
      </c>
    </row>
    <row r="128" spans="1:10">
      <c r="A128">
        <v>127</v>
      </c>
      <c r="B128" t="s">
        <v>59</v>
      </c>
      <c r="C128" s="34">
        <v>43831</v>
      </c>
      <c r="D128" t="s">
        <v>60</v>
      </c>
      <c r="E128" t="s">
        <v>61</v>
      </c>
      <c r="F128" t="s">
        <v>65</v>
      </c>
      <c r="G128">
        <v>7.7267130550723697E-4</v>
      </c>
      <c r="H128" t="s">
        <v>63</v>
      </c>
      <c r="I128" t="s">
        <v>64</v>
      </c>
      <c r="J128">
        <f t="shared" si="1"/>
        <v>0.92327535936211902</v>
      </c>
    </row>
    <row r="129" spans="1:10">
      <c r="A129">
        <v>128</v>
      </c>
      <c r="B129" t="s">
        <v>59</v>
      </c>
      <c r="C129" s="34">
        <v>43862</v>
      </c>
      <c r="D129" t="s">
        <v>60</v>
      </c>
      <c r="E129" t="s">
        <v>61</v>
      </c>
      <c r="F129" t="s">
        <v>65</v>
      </c>
      <c r="G129">
        <v>7.0380032760208801E-4</v>
      </c>
      <c r="H129" t="s">
        <v>63</v>
      </c>
      <c r="I129" t="s">
        <v>64</v>
      </c>
      <c r="J129">
        <f t="shared" si="1"/>
        <v>0.84129884021461043</v>
      </c>
    </row>
    <row r="130" spans="1:10">
      <c r="A130">
        <v>129</v>
      </c>
      <c r="B130" t="s">
        <v>59</v>
      </c>
      <c r="C130" s="34">
        <v>43891</v>
      </c>
      <c r="D130" t="s">
        <v>60</v>
      </c>
      <c r="E130" t="s">
        <v>61</v>
      </c>
      <c r="F130" t="s">
        <v>65</v>
      </c>
      <c r="G130">
        <v>8.20354230124079E-4</v>
      </c>
      <c r="H130" t="s">
        <v>63</v>
      </c>
      <c r="I130" t="s">
        <v>64</v>
      </c>
      <c r="J130">
        <f t="shared" si="1"/>
        <v>0.97999552456747852</v>
      </c>
    </row>
    <row r="131" spans="1:10">
      <c r="A131">
        <v>130</v>
      </c>
      <c r="B131" t="s">
        <v>59</v>
      </c>
      <c r="C131" s="34">
        <v>43922</v>
      </c>
      <c r="D131" t="s">
        <v>60</v>
      </c>
      <c r="E131" t="s">
        <v>61</v>
      </c>
      <c r="F131" t="s">
        <v>65</v>
      </c>
      <c r="G131">
        <v>7.8821425062379805E-4</v>
      </c>
      <c r="H131" t="s">
        <v>63</v>
      </c>
      <c r="I131" t="s">
        <v>64</v>
      </c>
      <c r="J131">
        <f t="shared" ref="J131:J194" si="2">100*(1-(1-G131)^12)</f>
        <v>0.9417673958819206</v>
      </c>
    </row>
    <row r="132" spans="1:10">
      <c r="A132">
        <v>131</v>
      </c>
      <c r="B132" t="s">
        <v>59</v>
      </c>
      <c r="C132" s="34">
        <v>43952</v>
      </c>
      <c r="D132" t="s">
        <v>60</v>
      </c>
      <c r="E132" t="s">
        <v>61</v>
      </c>
      <c r="F132" t="s">
        <v>65</v>
      </c>
      <c r="G132">
        <v>7.5555376826404695E-4</v>
      </c>
      <c r="H132" t="s">
        <v>63</v>
      </c>
      <c r="I132" t="s">
        <v>64</v>
      </c>
      <c r="J132">
        <f t="shared" si="2"/>
        <v>0.90290630889090506</v>
      </c>
    </row>
    <row r="133" spans="1:10">
      <c r="A133">
        <v>132</v>
      </c>
      <c r="B133" t="s">
        <v>59</v>
      </c>
      <c r="C133" s="34">
        <v>43983</v>
      </c>
      <c r="D133" t="s">
        <v>60</v>
      </c>
      <c r="E133" t="s">
        <v>61</v>
      </c>
      <c r="F133" t="s">
        <v>65</v>
      </c>
      <c r="G133">
        <v>8.3643714280944698E-4</v>
      </c>
      <c r="H133" t="s">
        <v>63</v>
      </c>
      <c r="I133" t="s">
        <v>64</v>
      </c>
      <c r="J133">
        <f t="shared" si="2"/>
        <v>0.99911988262491036</v>
      </c>
    </row>
    <row r="134" spans="1:10">
      <c r="A134">
        <v>133</v>
      </c>
      <c r="B134" t="s">
        <v>59</v>
      </c>
      <c r="C134" s="34">
        <v>44013</v>
      </c>
      <c r="D134" t="s">
        <v>60</v>
      </c>
      <c r="E134" t="s">
        <v>61</v>
      </c>
      <c r="F134" t="s">
        <v>65</v>
      </c>
      <c r="G134">
        <v>8.4173246072473298E-4</v>
      </c>
      <c r="H134" t="s">
        <v>63</v>
      </c>
      <c r="I134" t="s">
        <v>64</v>
      </c>
      <c r="J134">
        <f t="shared" si="2"/>
        <v>1.0054158590551587</v>
      </c>
    </row>
    <row r="135" spans="1:10">
      <c r="A135">
        <v>134</v>
      </c>
      <c r="B135" t="s">
        <v>59</v>
      </c>
      <c r="C135" s="34">
        <v>44044</v>
      </c>
      <c r="D135" t="s">
        <v>60</v>
      </c>
      <c r="E135" t="s">
        <v>61</v>
      </c>
      <c r="F135" t="s">
        <v>65</v>
      </c>
      <c r="G135">
        <v>8.0849547794979802E-4</v>
      </c>
      <c r="H135" t="s">
        <v>63</v>
      </c>
      <c r="I135" t="s">
        <v>64</v>
      </c>
      <c r="J135">
        <f t="shared" si="2"/>
        <v>0.96589199050018948</v>
      </c>
    </row>
    <row r="136" spans="1:10">
      <c r="A136">
        <v>135</v>
      </c>
      <c r="B136" t="s">
        <v>59</v>
      </c>
      <c r="C136" s="34">
        <v>44075</v>
      </c>
      <c r="D136" t="s">
        <v>60</v>
      </c>
      <c r="E136" t="s">
        <v>61</v>
      </c>
      <c r="F136" t="s">
        <v>65</v>
      </c>
      <c r="G136">
        <v>8.1348815284509499E-4</v>
      </c>
      <c r="H136" t="s">
        <v>63</v>
      </c>
      <c r="I136" t="s">
        <v>64</v>
      </c>
      <c r="J136">
        <f t="shared" si="2"/>
        <v>0.97182996953041334</v>
      </c>
    </row>
    <row r="137" spans="1:10">
      <c r="A137">
        <v>136</v>
      </c>
      <c r="B137" t="s">
        <v>59</v>
      </c>
      <c r="C137" s="34">
        <v>44105</v>
      </c>
      <c r="D137" t="s">
        <v>60</v>
      </c>
      <c r="E137" t="s">
        <v>61</v>
      </c>
      <c r="F137" t="s">
        <v>65</v>
      </c>
      <c r="G137">
        <v>8.5742384065414998E-4</v>
      </c>
      <c r="H137" t="s">
        <v>63</v>
      </c>
      <c r="I137" t="s">
        <v>64</v>
      </c>
      <c r="J137">
        <f t="shared" si="2"/>
        <v>1.0240702906837873</v>
      </c>
    </row>
    <row r="138" spans="1:10">
      <c r="A138">
        <v>137</v>
      </c>
      <c r="B138" t="s">
        <v>59</v>
      </c>
      <c r="C138" s="34">
        <v>44136</v>
      </c>
      <c r="D138" t="s">
        <v>60</v>
      </c>
      <c r="E138" t="s">
        <v>61</v>
      </c>
      <c r="F138" t="s">
        <v>65</v>
      </c>
      <c r="G138">
        <v>7.8417257756376502E-4</v>
      </c>
      <c r="H138" t="s">
        <v>63</v>
      </c>
      <c r="I138" t="s">
        <v>64</v>
      </c>
      <c r="J138">
        <f t="shared" si="2"/>
        <v>0.93695916720434314</v>
      </c>
    </row>
    <row r="139" spans="1:10">
      <c r="A139">
        <v>138</v>
      </c>
      <c r="B139" t="s">
        <v>59</v>
      </c>
      <c r="C139" s="34">
        <v>44166</v>
      </c>
      <c r="D139" t="s">
        <v>60</v>
      </c>
      <c r="E139" t="s">
        <v>61</v>
      </c>
      <c r="F139" t="s">
        <v>65</v>
      </c>
      <c r="G139">
        <v>8.6772376118787503E-4</v>
      </c>
      <c r="H139" t="s">
        <v>63</v>
      </c>
      <c r="I139" t="s">
        <v>64</v>
      </c>
      <c r="J139">
        <f t="shared" si="2"/>
        <v>1.0363134251845096</v>
      </c>
    </row>
    <row r="140" spans="1:10">
      <c r="A140">
        <v>139</v>
      </c>
      <c r="B140" t="s">
        <v>59</v>
      </c>
      <c r="C140" s="34">
        <v>44197</v>
      </c>
      <c r="D140" t="s">
        <v>60</v>
      </c>
      <c r="E140" t="s">
        <v>61</v>
      </c>
      <c r="F140" t="s">
        <v>65</v>
      </c>
      <c r="G140">
        <v>7.5380401801343304E-4</v>
      </c>
      <c r="H140" t="s">
        <v>63</v>
      </c>
      <c r="I140" t="s">
        <v>64</v>
      </c>
      <c r="J140">
        <f t="shared" si="2"/>
        <v>0.90082397356073818</v>
      </c>
    </row>
    <row r="141" spans="1:10">
      <c r="A141">
        <v>140</v>
      </c>
      <c r="B141" t="s">
        <v>59</v>
      </c>
      <c r="C141" s="34">
        <v>44228</v>
      </c>
      <c r="D141" t="s">
        <v>60</v>
      </c>
      <c r="E141" t="s">
        <v>61</v>
      </c>
      <c r="F141" t="s">
        <v>65</v>
      </c>
      <c r="G141">
        <v>7.5818269255331996E-4</v>
      </c>
      <c r="H141" t="s">
        <v>63</v>
      </c>
      <c r="I141" t="s">
        <v>64</v>
      </c>
      <c r="J141">
        <f t="shared" si="2"/>
        <v>0.90603485251693483</v>
      </c>
    </row>
    <row r="142" spans="1:10">
      <c r="A142">
        <v>141</v>
      </c>
      <c r="B142" t="s">
        <v>59</v>
      </c>
      <c r="C142" s="34">
        <v>44256</v>
      </c>
      <c r="D142" t="s">
        <v>60</v>
      </c>
      <c r="E142" t="s">
        <v>61</v>
      </c>
      <c r="F142" t="s">
        <v>65</v>
      </c>
      <c r="G142">
        <v>9.2306733535399302E-4</v>
      </c>
      <c r="H142" t="s">
        <v>63</v>
      </c>
      <c r="I142" t="s">
        <v>64</v>
      </c>
      <c r="J142">
        <f t="shared" si="2"/>
        <v>1.1020745177807489</v>
      </c>
    </row>
    <row r="143" spans="1:10">
      <c r="A143">
        <v>142</v>
      </c>
      <c r="B143" t="s">
        <v>59</v>
      </c>
      <c r="C143" s="34">
        <v>44287</v>
      </c>
      <c r="D143" t="s">
        <v>60</v>
      </c>
      <c r="E143" t="s">
        <v>61</v>
      </c>
      <c r="F143" t="s">
        <v>65</v>
      </c>
      <c r="G143">
        <v>8.4757952331269504E-4</v>
      </c>
      <c r="H143" t="s">
        <v>63</v>
      </c>
      <c r="I143" t="s">
        <v>64</v>
      </c>
      <c r="J143">
        <f t="shared" si="2"/>
        <v>1.0123674172025421</v>
      </c>
    </row>
    <row r="144" spans="1:10">
      <c r="A144">
        <v>143</v>
      </c>
      <c r="B144" t="s">
        <v>59</v>
      </c>
      <c r="C144" s="34">
        <v>44317</v>
      </c>
      <c r="D144" t="s">
        <v>60</v>
      </c>
      <c r="E144" t="s">
        <v>61</v>
      </c>
      <c r="F144" t="s">
        <v>65</v>
      </c>
      <c r="G144">
        <v>8.1174114972713699E-4</v>
      </c>
      <c r="H144" t="s">
        <v>63</v>
      </c>
      <c r="I144" t="s">
        <v>64</v>
      </c>
      <c r="J144">
        <f t="shared" si="2"/>
        <v>0.96975222908756153</v>
      </c>
    </row>
    <row r="145" spans="1:10">
      <c r="A145">
        <v>144</v>
      </c>
      <c r="B145" t="s">
        <v>59</v>
      </c>
      <c r="C145" s="34">
        <v>44348</v>
      </c>
      <c r="D145" t="s">
        <v>60</v>
      </c>
      <c r="E145" t="s">
        <v>61</v>
      </c>
      <c r="F145" t="s">
        <v>65</v>
      </c>
      <c r="G145">
        <v>8.9785848217299497E-4</v>
      </c>
      <c r="H145" t="s">
        <v>63</v>
      </c>
      <c r="I145" t="s">
        <v>64</v>
      </c>
      <c r="J145">
        <f t="shared" si="2"/>
        <v>1.0721254812349534</v>
      </c>
    </row>
    <row r="146" spans="1:10">
      <c r="A146">
        <v>145</v>
      </c>
      <c r="B146" t="s">
        <v>59</v>
      </c>
      <c r="C146" s="34">
        <v>42186</v>
      </c>
      <c r="D146" t="s">
        <v>60</v>
      </c>
      <c r="E146" t="s">
        <v>61</v>
      </c>
      <c r="F146" t="s">
        <v>62</v>
      </c>
      <c r="G146">
        <v>1.37191341284175E-2</v>
      </c>
      <c r="H146" t="s">
        <v>63</v>
      </c>
      <c r="I146" t="s">
        <v>66</v>
      </c>
      <c r="J146">
        <f t="shared" si="2"/>
        <v>15.275835800818315</v>
      </c>
    </row>
    <row r="147" spans="1:10">
      <c r="A147">
        <v>146</v>
      </c>
      <c r="B147" t="s">
        <v>59</v>
      </c>
      <c r="C147" s="34">
        <v>42217</v>
      </c>
      <c r="D147" t="s">
        <v>60</v>
      </c>
      <c r="E147" t="s">
        <v>61</v>
      </c>
      <c r="F147" t="s">
        <v>62</v>
      </c>
      <c r="G147">
        <v>1.3093752291840101E-2</v>
      </c>
      <c r="H147" t="s">
        <v>63</v>
      </c>
      <c r="I147" t="s">
        <v>66</v>
      </c>
      <c r="J147">
        <f t="shared" si="2"/>
        <v>14.628919144950514</v>
      </c>
    </row>
    <row r="148" spans="1:10">
      <c r="A148">
        <v>147</v>
      </c>
      <c r="B148" t="s">
        <v>59</v>
      </c>
      <c r="C148" s="34">
        <v>42248</v>
      </c>
      <c r="D148" t="s">
        <v>60</v>
      </c>
      <c r="E148" t="s">
        <v>61</v>
      </c>
      <c r="F148" t="s">
        <v>62</v>
      </c>
      <c r="G148">
        <v>1.30866295782764E-2</v>
      </c>
      <c r="H148" t="s">
        <v>63</v>
      </c>
      <c r="I148" t="s">
        <v>66</v>
      </c>
      <c r="J148">
        <f t="shared" si="2"/>
        <v>14.621525155158698</v>
      </c>
    </row>
    <row r="149" spans="1:10">
      <c r="A149">
        <v>148</v>
      </c>
      <c r="B149" t="s">
        <v>59</v>
      </c>
      <c r="C149" s="34">
        <v>42278</v>
      </c>
      <c r="D149" t="s">
        <v>60</v>
      </c>
      <c r="E149" t="s">
        <v>61</v>
      </c>
      <c r="F149" t="s">
        <v>62</v>
      </c>
      <c r="G149">
        <v>1.37014090528426E-2</v>
      </c>
      <c r="H149" t="s">
        <v>63</v>
      </c>
      <c r="I149" t="s">
        <v>66</v>
      </c>
      <c r="J149">
        <f t="shared" si="2"/>
        <v>15.257562417900971</v>
      </c>
    </row>
    <row r="150" spans="1:10">
      <c r="A150">
        <v>149</v>
      </c>
      <c r="B150" t="s">
        <v>59</v>
      </c>
      <c r="C150" s="34">
        <v>42309</v>
      </c>
      <c r="D150" t="s">
        <v>60</v>
      </c>
      <c r="E150" t="s">
        <v>61</v>
      </c>
      <c r="F150" t="s">
        <v>62</v>
      </c>
      <c r="G150">
        <v>1.24483839278599E-2</v>
      </c>
      <c r="H150" t="s">
        <v>63</v>
      </c>
      <c r="I150" t="s">
        <v>66</v>
      </c>
      <c r="J150">
        <f t="shared" si="2"/>
        <v>13.956583112023313</v>
      </c>
    </row>
    <row r="151" spans="1:10">
      <c r="A151">
        <v>150</v>
      </c>
      <c r="B151" t="s">
        <v>59</v>
      </c>
      <c r="C151" s="34">
        <v>42339</v>
      </c>
      <c r="D151" t="s">
        <v>60</v>
      </c>
      <c r="E151" t="s">
        <v>61</v>
      </c>
      <c r="F151" t="s">
        <v>62</v>
      </c>
      <c r="G151">
        <v>1.3685448958401999E-2</v>
      </c>
      <c r="H151" t="s">
        <v>63</v>
      </c>
      <c r="I151" t="s">
        <v>66</v>
      </c>
      <c r="J151">
        <f t="shared" si="2"/>
        <v>15.241105523025167</v>
      </c>
    </row>
    <row r="152" spans="1:10">
      <c r="A152">
        <v>151</v>
      </c>
      <c r="B152" t="s">
        <v>59</v>
      </c>
      <c r="C152" s="34">
        <v>42370</v>
      </c>
      <c r="D152" t="s">
        <v>60</v>
      </c>
      <c r="E152" t="s">
        <v>61</v>
      </c>
      <c r="F152" t="s">
        <v>62</v>
      </c>
      <c r="G152">
        <v>1.18128691659579E-2</v>
      </c>
      <c r="H152" t="s">
        <v>63</v>
      </c>
      <c r="I152" t="s">
        <v>66</v>
      </c>
      <c r="J152">
        <f t="shared" si="2"/>
        <v>13.289772584464854</v>
      </c>
    </row>
    <row r="153" spans="1:10">
      <c r="A153">
        <v>152</v>
      </c>
      <c r="B153" t="s">
        <v>59</v>
      </c>
      <c r="C153" s="34">
        <v>42401</v>
      </c>
      <c r="D153" t="s">
        <v>60</v>
      </c>
      <c r="E153" t="s">
        <v>61</v>
      </c>
      <c r="F153" t="s">
        <v>62</v>
      </c>
      <c r="G153">
        <v>1.2428153625043599E-2</v>
      </c>
      <c r="H153" t="s">
        <v>63</v>
      </c>
      <c r="I153" t="s">
        <v>66</v>
      </c>
      <c r="J153">
        <f t="shared" si="2"/>
        <v>13.935429214012206</v>
      </c>
    </row>
    <row r="154" spans="1:10">
      <c r="A154">
        <v>153</v>
      </c>
      <c r="B154" t="s">
        <v>59</v>
      </c>
      <c r="C154" s="34">
        <v>42430</v>
      </c>
      <c r="D154" t="s">
        <v>60</v>
      </c>
      <c r="E154" t="s">
        <v>61</v>
      </c>
      <c r="F154" t="s">
        <v>62</v>
      </c>
      <c r="G154">
        <v>1.36640943525883E-2</v>
      </c>
      <c r="H154" t="s">
        <v>63</v>
      </c>
      <c r="I154" t="s">
        <v>66</v>
      </c>
      <c r="J154">
        <f t="shared" si="2"/>
        <v>15.219081616006868</v>
      </c>
    </row>
    <row r="155" spans="1:10">
      <c r="A155">
        <v>154</v>
      </c>
      <c r="B155" t="s">
        <v>59</v>
      </c>
      <c r="C155" s="34">
        <v>42461</v>
      </c>
      <c r="D155" t="s">
        <v>60</v>
      </c>
      <c r="E155" t="s">
        <v>61</v>
      </c>
      <c r="F155" t="s">
        <v>62</v>
      </c>
      <c r="G155">
        <v>1.30365756187296E-2</v>
      </c>
      <c r="H155" t="s">
        <v>63</v>
      </c>
      <c r="I155" t="s">
        <v>66</v>
      </c>
      <c r="J155">
        <f t="shared" si="2"/>
        <v>14.569548276797562</v>
      </c>
    </row>
    <row r="156" spans="1:10">
      <c r="A156">
        <v>155</v>
      </c>
      <c r="B156" t="s">
        <v>59</v>
      </c>
      <c r="C156" s="34">
        <v>42491</v>
      </c>
      <c r="D156" t="s">
        <v>60</v>
      </c>
      <c r="E156" t="s">
        <v>61</v>
      </c>
      <c r="F156" t="s">
        <v>62</v>
      </c>
      <c r="G156">
        <v>1.3030239668872699E-2</v>
      </c>
      <c r="H156" t="s">
        <v>63</v>
      </c>
      <c r="I156" t="s">
        <v>66</v>
      </c>
      <c r="J156">
        <f t="shared" si="2"/>
        <v>14.5629668515041</v>
      </c>
    </row>
    <row r="157" spans="1:10">
      <c r="A157">
        <v>156</v>
      </c>
      <c r="B157" t="s">
        <v>59</v>
      </c>
      <c r="C157" s="34">
        <v>42522</v>
      </c>
      <c r="D157" t="s">
        <v>60</v>
      </c>
      <c r="E157" t="s">
        <v>61</v>
      </c>
      <c r="F157" t="s">
        <v>62</v>
      </c>
      <c r="G157">
        <v>1.36441368010413E-2</v>
      </c>
      <c r="H157" t="s">
        <v>63</v>
      </c>
      <c r="I157" t="s">
        <v>66</v>
      </c>
      <c r="J157">
        <f t="shared" si="2"/>
        <v>15.198493807915082</v>
      </c>
    </row>
    <row r="158" spans="1:10">
      <c r="A158">
        <v>157</v>
      </c>
      <c r="B158" t="s">
        <v>59</v>
      </c>
      <c r="C158" s="34">
        <v>42552</v>
      </c>
      <c r="D158" t="s">
        <v>60</v>
      </c>
      <c r="E158" t="s">
        <v>61</v>
      </c>
      <c r="F158" t="s">
        <v>62</v>
      </c>
      <c r="G158">
        <v>1.23977144232026E-2</v>
      </c>
      <c r="H158" t="s">
        <v>63</v>
      </c>
      <c r="I158" t="s">
        <v>66</v>
      </c>
      <c r="J158">
        <f t="shared" si="2"/>
        <v>13.903591356329216</v>
      </c>
    </row>
    <row r="159" spans="1:10">
      <c r="A159">
        <v>158</v>
      </c>
      <c r="B159" t="s">
        <v>59</v>
      </c>
      <c r="C159" s="34">
        <v>42583</v>
      </c>
      <c r="D159" t="s">
        <v>60</v>
      </c>
      <c r="E159" t="s">
        <v>61</v>
      </c>
      <c r="F159" t="s">
        <v>62</v>
      </c>
      <c r="G159">
        <v>1.4093182561017201E-2</v>
      </c>
      <c r="H159" t="s">
        <v>63</v>
      </c>
      <c r="I159" t="s">
        <v>66</v>
      </c>
      <c r="J159">
        <f t="shared" si="2"/>
        <v>15.660613668708534</v>
      </c>
    </row>
    <row r="160" spans="1:10">
      <c r="A160">
        <v>159</v>
      </c>
      <c r="B160" t="s">
        <v>59</v>
      </c>
      <c r="C160" s="34">
        <v>42614</v>
      </c>
      <c r="D160" t="s">
        <v>60</v>
      </c>
      <c r="E160" t="s">
        <v>61</v>
      </c>
      <c r="F160" t="s">
        <v>62</v>
      </c>
      <c r="G160">
        <v>1.28474259005472E-2</v>
      </c>
      <c r="H160" t="s">
        <v>63</v>
      </c>
      <c r="I160" t="s">
        <v>66</v>
      </c>
      <c r="J160">
        <f t="shared" si="2"/>
        <v>14.37286999096038</v>
      </c>
    </row>
    <row r="161" spans="1:10">
      <c r="A161">
        <v>160</v>
      </c>
      <c r="B161" t="s">
        <v>59</v>
      </c>
      <c r="C161" s="34">
        <v>42644</v>
      </c>
      <c r="D161" t="s">
        <v>60</v>
      </c>
      <c r="E161" t="s">
        <v>61</v>
      </c>
      <c r="F161" t="s">
        <v>62</v>
      </c>
      <c r="G161">
        <v>1.2840925199037701E-2</v>
      </c>
      <c r="H161" t="s">
        <v>63</v>
      </c>
      <c r="I161" t="s">
        <v>66</v>
      </c>
      <c r="J161">
        <f t="shared" si="2"/>
        <v>14.366103175909439</v>
      </c>
    </row>
    <row r="162" spans="1:10">
      <c r="A162">
        <v>161</v>
      </c>
      <c r="B162" t="s">
        <v>59</v>
      </c>
      <c r="C162" s="34">
        <v>42675</v>
      </c>
      <c r="D162" t="s">
        <v>60</v>
      </c>
      <c r="E162" t="s">
        <v>61</v>
      </c>
      <c r="F162" t="s">
        <v>62</v>
      </c>
      <c r="G162">
        <v>1.2834463568556101E-2</v>
      </c>
      <c r="H162" t="s">
        <v>63</v>
      </c>
      <c r="I162" t="s">
        <v>66</v>
      </c>
      <c r="J162">
        <f t="shared" si="2"/>
        <v>14.359376545522029</v>
      </c>
    </row>
    <row r="163" spans="1:10">
      <c r="A163">
        <v>162</v>
      </c>
      <c r="B163" t="s">
        <v>59</v>
      </c>
      <c r="C163" s="34">
        <v>42705</v>
      </c>
      <c r="D163" t="s">
        <v>60</v>
      </c>
      <c r="E163" t="s">
        <v>61</v>
      </c>
      <c r="F163" t="s">
        <v>62</v>
      </c>
      <c r="G163">
        <v>1.2827864139895E-2</v>
      </c>
      <c r="H163" t="s">
        <v>63</v>
      </c>
      <c r="I163" t="s">
        <v>66</v>
      </c>
      <c r="J163">
        <f t="shared" si="2"/>
        <v>14.352505965719221</v>
      </c>
    </row>
    <row r="164" spans="1:10">
      <c r="A164">
        <v>163</v>
      </c>
      <c r="B164" t="s">
        <v>59</v>
      </c>
      <c r="C164" s="34">
        <v>42736</v>
      </c>
      <c r="D164" t="s">
        <v>60</v>
      </c>
      <c r="E164" t="s">
        <v>61</v>
      </c>
      <c r="F164" t="s">
        <v>62</v>
      </c>
      <c r="G164">
        <v>1.2210569090045399E-2</v>
      </c>
      <c r="H164" t="s">
        <v>63</v>
      </c>
      <c r="I164" t="s">
        <v>66</v>
      </c>
      <c r="J164">
        <f t="shared" si="2"/>
        <v>13.707609495045126</v>
      </c>
    </row>
    <row r="165" spans="1:10">
      <c r="A165">
        <v>164</v>
      </c>
      <c r="B165" t="s">
        <v>59</v>
      </c>
      <c r="C165" s="34">
        <v>42767</v>
      </c>
      <c r="D165" t="s">
        <v>60</v>
      </c>
      <c r="E165" t="s">
        <v>61</v>
      </c>
      <c r="F165" t="s">
        <v>62</v>
      </c>
      <c r="G165">
        <v>1.15937831156382E-2</v>
      </c>
      <c r="H165" t="s">
        <v>63</v>
      </c>
      <c r="I165" t="s">
        <v>66</v>
      </c>
      <c r="J165">
        <f t="shared" si="2"/>
        <v>13.058801964033728</v>
      </c>
    </row>
    <row r="166" spans="1:10">
      <c r="A166">
        <v>165</v>
      </c>
      <c r="B166" t="s">
        <v>59</v>
      </c>
      <c r="C166" s="34">
        <v>42795</v>
      </c>
      <c r="D166" t="s">
        <v>60</v>
      </c>
      <c r="E166" t="s">
        <v>61</v>
      </c>
      <c r="F166" t="s">
        <v>62</v>
      </c>
      <c r="G166">
        <v>1.40268700142063E-2</v>
      </c>
      <c r="H166" t="s">
        <v>63</v>
      </c>
      <c r="I166" t="s">
        <v>66</v>
      </c>
      <c r="J166">
        <f t="shared" si="2"/>
        <v>15.592516009017899</v>
      </c>
    </row>
    <row r="167" spans="1:10">
      <c r="A167">
        <v>166</v>
      </c>
      <c r="B167" t="s">
        <v>59</v>
      </c>
      <c r="C167" s="34">
        <v>42826</v>
      </c>
      <c r="D167" t="s">
        <v>60</v>
      </c>
      <c r="E167" t="s">
        <v>61</v>
      </c>
      <c r="F167" t="s">
        <v>62</v>
      </c>
      <c r="G167">
        <v>1.1580956776854201E-2</v>
      </c>
      <c r="H167" t="s">
        <v>63</v>
      </c>
      <c r="I167" t="s">
        <v>66</v>
      </c>
      <c r="J167">
        <f t="shared" si="2"/>
        <v>13.045262386868306</v>
      </c>
    </row>
    <row r="168" spans="1:10">
      <c r="A168">
        <v>167</v>
      </c>
      <c r="B168" t="s">
        <v>59</v>
      </c>
      <c r="C168" s="34">
        <v>42856</v>
      </c>
      <c r="D168" t="s">
        <v>60</v>
      </c>
      <c r="E168" t="s">
        <v>61</v>
      </c>
      <c r="F168" t="s">
        <v>62</v>
      </c>
      <c r="G168">
        <v>1.34019697403521E-2</v>
      </c>
      <c r="H168" t="s">
        <v>63</v>
      </c>
      <c r="I168" t="s">
        <v>66</v>
      </c>
      <c r="J168">
        <f t="shared" si="2"/>
        <v>14.948313695915981</v>
      </c>
    </row>
    <row r="169" spans="1:10">
      <c r="A169">
        <v>168</v>
      </c>
      <c r="B169" t="s">
        <v>59</v>
      </c>
      <c r="C169" s="34">
        <v>42887</v>
      </c>
      <c r="D169" t="s">
        <v>60</v>
      </c>
      <c r="E169" t="s">
        <v>61</v>
      </c>
      <c r="F169" t="s">
        <v>62</v>
      </c>
      <c r="G169">
        <v>1.3394344377460799E-2</v>
      </c>
      <c r="H169" t="s">
        <v>63</v>
      </c>
      <c r="I169" t="s">
        <v>66</v>
      </c>
      <c r="J169">
        <f t="shared" si="2"/>
        <v>14.940425041901895</v>
      </c>
    </row>
    <row r="170" spans="1:10">
      <c r="A170">
        <v>169</v>
      </c>
      <c r="B170" t="s">
        <v>59</v>
      </c>
      <c r="C170" s="34">
        <v>42917</v>
      </c>
      <c r="D170" t="s">
        <v>60</v>
      </c>
      <c r="E170" t="s">
        <v>61</v>
      </c>
      <c r="F170" t="s">
        <v>62</v>
      </c>
      <c r="G170">
        <v>1.21696947867508E-2</v>
      </c>
      <c r="H170" t="s">
        <v>63</v>
      </c>
      <c r="I170" t="s">
        <v>66</v>
      </c>
      <c r="J170">
        <f t="shared" si="2"/>
        <v>13.66475083619777</v>
      </c>
    </row>
    <row r="171" spans="1:10">
      <c r="A171">
        <v>170</v>
      </c>
      <c r="B171" t="s">
        <v>59</v>
      </c>
      <c r="C171" s="34">
        <v>42948</v>
      </c>
      <c r="D171" t="s">
        <v>60</v>
      </c>
      <c r="E171" t="s">
        <v>61</v>
      </c>
      <c r="F171" t="s">
        <v>62</v>
      </c>
      <c r="G171">
        <v>1.39870710742697E-2</v>
      </c>
      <c r="H171" t="s">
        <v>63</v>
      </c>
      <c r="I171" t="s">
        <v>66</v>
      </c>
      <c r="J171">
        <f t="shared" si="2"/>
        <v>15.551621495579138</v>
      </c>
    </row>
    <row r="172" spans="1:10">
      <c r="A172">
        <v>171</v>
      </c>
      <c r="B172" t="s">
        <v>59</v>
      </c>
      <c r="C172" s="34">
        <v>42979</v>
      </c>
      <c r="D172" t="s">
        <v>60</v>
      </c>
      <c r="E172" t="s">
        <v>61</v>
      </c>
      <c r="F172" t="s">
        <v>62</v>
      </c>
      <c r="G172">
        <v>1.21556090347693E-2</v>
      </c>
      <c r="H172" t="s">
        <v>63</v>
      </c>
      <c r="I172" t="s">
        <v>66</v>
      </c>
      <c r="J172">
        <f t="shared" si="2"/>
        <v>13.649976732441937</v>
      </c>
    </row>
    <row r="173" spans="1:10">
      <c r="A173">
        <v>172</v>
      </c>
      <c r="B173" t="s">
        <v>59</v>
      </c>
      <c r="C173" s="34">
        <v>43009</v>
      </c>
      <c r="D173" t="s">
        <v>60</v>
      </c>
      <c r="E173" t="s">
        <v>61</v>
      </c>
      <c r="F173" t="s">
        <v>62</v>
      </c>
      <c r="G173">
        <v>1.3363365396111999E-2</v>
      </c>
      <c r="H173" t="s">
        <v>63</v>
      </c>
      <c r="I173" t="s">
        <v>66</v>
      </c>
      <c r="J173">
        <f t="shared" si="2"/>
        <v>14.908369509841435</v>
      </c>
    </row>
    <row r="174" spans="1:10">
      <c r="A174">
        <v>173</v>
      </c>
      <c r="B174" t="s">
        <v>59</v>
      </c>
      <c r="C174" s="34">
        <v>43040</v>
      </c>
      <c r="D174" t="s">
        <v>60</v>
      </c>
      <c r="E174" t="s">
        <v>61</v>
      </c>
      <c r="F174" t="s">
        <v>62</v>
      </c>
      <c r="G174">
        <v>1.27484572641528E-2</v>
      </c>
      <c r="H174" t="s">
        <v>63</v>
      </c>
      <c r="I174" t="s">
        <v>66</v>
      </c>
      <c r="J174">
        <f t="shared" si="2"/>
        <v>14.269796869781704</v>
      </c>
    </row>
    <row r="175" spans="1:10">
      <c r="A175">
        <v>174</v>
      </c>
      <c r="B175" t="s">
        <v>59</v>
      </c>
      <c r="C175" s="34">
        <v>43070</v>
      </c>
      <c r="D175" t="s">
        <v>60</v>
      </c>
      <c r="E175" t="s">
        <v>61</v>
      </c>
      <c r="F175" t="s">
        <v>62</v>
      </c>
      <c r="G175">
        <v>1.21342323656441E-2</v>
      </c>
      <c r="H175" t="s">
        <v>63</v>
      </c>
      <c r="I175" t="s">
        <v>66</v>
      </c>
      <c r="J175">
        <f t="shared" si="2"/>
        <v>13.627550986820813</v>
      </c>
    </row>
    <row r="176" spans="1:10">
      <c r="A176">
        <v>175</v>
      </c>
      <c r="B176" t="s">
        <v>59</v>
      </c>
      <c r="C176" s="34">
        <v>43101</v>
      </c>
      <c r="D176" t="s">
        <v>60</v>
      </c>
      <c r="E176" t="s">
        <v>61</v>
      </c>
      <c r="F176" t="s">
        <v>62</v>
      </c>
      <c r="G176">
        <v>1.27334010855247E-2</v>
      </c>
      <c r="H176" t="s">
        <v>63</v>
      </c>
      <c r="I176" t="s">
        <v>66</v>
      </c>
      <c r="J176">
        <f t="shared" si="2"/>
        <v>14.254106309036318</v>
      </c>
    </row>
    <row r="177" spans="1:10">
      <c r="A177">
        <v>176</v>
      </c>
      <c r="B177" t="s">
        <v>59</v>
      </c>
      <c r="C177" s="34">
        <v>43132</v>
      </c>
      <c r="D177" t="s">
        <v>60</v>
      </c>
      <c r="E177" t="s">
        <v>61</v>
      </c>
      <c r="F177" t="s">
        <v>62</v>
      </c>
      <c r="G177">
        <v>1.15138456582038E-2</v>
      </c>
      <c r="H177" t="s">
        <v>63</v>
      </c>
      <c r="I177" t="s">
        <v>66</v>
      </c>
      <c r="J177">
        <f t="shared" si="2"/>
        <v>12.974387878974781</v>
      </c>
    </row>
    <row r="178" spans="1:10">
      <c r="A178">
        <v>177</v>
      </c>
      <c r="B178" t="s">
        <v>59</v>
      </c>
      <c r="C178" s="34">
        <v>43160</v>
      </c>
      <c r="D178" t="s">
        <v>60</v>
      </c>
      <c r="E178" t="s">
        <v>61</v>
      </c>
      <c r="F178" t="s">
        <v>62</v>
      </c>
      <c r="G178">
        <v>1.27182295405077E-2</v>
      </c>
      <c r="H178" t="s">
        <v>63</v>
      </c>
      <c r="I178" t="s">
        <v>66</v>
      </c>
      <c r="J178">
        <f t="shared" si="2"/>
        <v>14.238292858306167</v>
      </c>
    </row>
    <row r="179" spans="1:10">
      <c r="A179">
        <v>178</v>
      </c>
      <c r="B179" t="s">
        <v>59</v>
      </c>
      <c r="C179" s="34">
        <v>43191</v>
      </c>
      <c r="D179" t="s">
        <v>60</v>
      </c>
      <c r="E179" t="s">
        <v>61</v>
      </c>
      <c r="F179" t="s">
        <v>62</v>
      </c>
      <c r="G179">
        <v>1.27106018696483E-2</v>
      </c>
      <c r="H179" t="s">
        <v>63</v>
      </c>
      <c r="I179" t="s">
        <v>66</v>
      </c>
      <c r="J179">
        <f t="shared" si="2"/>
        <v>14.230341452029627</v>
      </c>
    </row>
    <row r="180" spans="1:10">
      <c r="A180">
        <v>179</v>
      </c>
      <c r="B180" t="s">
        <v>59</v>
      </c>
      <c r="C180" s="34">
        <v>43221</v>
      </c>
      <c r="D180" t="s">
        <v>60</v>
      </c>
      <c r="E180" t="s">
        <v>61</v>
      </c>
      <c r="F180" t="s">
        <v>62</v>
      </c>
      <c r="G180">
        <v>1.33078488968537E-2</v>
      </c>
      <c r="H180" t="s">
        <v>63</v>
      </c>
      <c r="I180" t="s">
        <v>66</v>
      </c>
      <c r="J180">
        <f t="shared" si="2"/>
        <v>14.850896050867169</v>
      </c>
    </row>
    <row r="181" spans="1:10">
      <c r="A181">
        <v>180</v>
      </c>
      <c r="B181" t="s">
        <v>59</v>
      </c>
      <c r="C181" s="34">
        <v>43252</v>
      </c>
      <c r="D181" t="s">
        <v>60</v>
      </c>
      <c r="E181" t="s">
        <v>61</v>
      </c>
      <c r="F181" t="s">
        <v>62</v>
      </c>
      <c r="G181">
        <v>1.26952641464857E-2</v>
      </c>
      <c r="H181" t="s">
        <v>63</v>
      </c>
      <c r="I181" t="s">
        <v>66</v>
      </c>
      <c r="J181">
        <f t="shared" si="2"/>
        <v>14.214350715913749</v>
      </c>
    </row>
    <row r="182" spans="1:10">
      <c r="A182">
        <v>181</v>
      </c>
      <c r="B182" t="s">
        <v>59</v>
      </c>
      <c r="C182" s="34">
        <v>43282</v>
      </c>
      <c r="D182" t="s">
        <v>60</v>
      </c>
      <c r="E182" t="s">
        <v>61</v>
      </c>
      <c r="F182" t="s">
        <v>62</v>
      </c>
      <c r="G182">
        <v>1.2687554422328599E-2</v>
      </c>
      <c r="H182" t="s">
        <v>63</v>
      </c>
      <c r="I182" t="s">
        <v>66</v>
      </c>
      <c r="J182">
        <f t="shared" si="2"/>
        <v>14.206311713466846</v>
      </c>
    </row>
    <row r="183" spans="1:10">
      <c r="A183">
        <v>182</v>
      </c>
      <c r="B183" t="s">
        <v>59</v>
      </c>
      <c r="C183" s="34">
        <v>43313</v>
      </c>
      <c r="D183" t="s">
        <v>60</v>
      </c>
      <c r="E183" t="s">
        <v>61</v>
      </c>
      <c r="F183" t="s">
        <v>62</v>
      </c>
      <c r="G183">
        <v>1.38874192763045E-2</v>
      </c>
      <c r="H183" t="s">
        <v>63</v>
      </c>
      <c r="I183" t="s">
        <v>66</v>
      </c>
      <c r="J183">
        <f t="shared" si="2"/>
        <v>15.449146829586313</v>
      </c>
    </row>
    <row r="184" spans="1:10">
      <c r="A184">
        <v>183</v>
      </c>
      <c r="B184" t="s">
        <v>59</v>
      </c>
      <c r="C184" s="34">
        <v>43344</v>
      </c>
      <c r="D184" t="s">
        <v>60</v>
      </c>
      <c r="E184" t="s">
        <v>61</v>
      </c>
      <c r="F184" t="s">
        <v>62</v>
      </c>
      <c r="G184">
        <v>1.14651914907063E-2</v>
      </c>
      <c r="H184" t="s">
        <v>63</v>
      </c>
      <c r="I184" t="s">
        <v>66</v>
      </c>
      <c r="J184">
        <f t="shared" si="2"/>
        <v>12.922972225314922</v>
      </c>
    </row>
    <row r="185" spans="1:10">
      <c r="A185">
        <v>184</v>
      </c>
      <c r="B185" t="s">
        <v>59</v>
      </c>
      <c r="C185" s="34">
        <v>43374</v>
      </c>
      <c r="D185" t="s">
        <v>60</v>
      </c>
      <c r="E185" t="s">
        <v>61</v>
      </c>
      <c r="F185" t="s">
        <v>62</v>
      </c>
      <c r="G185">
        <v>1.38703832167296E-2</v>
      </c>
      <c r="H185" t="s">
        <v>63</v>
      </c>
      <c r="I185" t="s">
        <v>66</v>
      </c>
      <c r="J185">
        <f t="shared" si="2"/>
        <v>15.431616779495204</v>
      </c>
    </row>
    <row r="186" spans="1:10">
      <c r="A186">
        <v>185</v>
      </c>
      <c r="B186" t="s">
        <v>59</v>
      </c>
      <c r="C186" s="34">
        <v>43405</v>
      </c>
      <c r="D186" t="s">
        <v>60</v>
      </c>
      <c r="E186" t="s">
        <v>61</v>
      </c>
      <c r="F186" t="s">
        <v>62</v>
      </c>
      <c r="G186">
        <v>1.26564451978758E-2</v>
      </c>
      <c r="H186" t="s">
        <v>63</v>
      </c>
      <c r="I186" t="s">
        <v>66</v>
      </c>
      <c r="J186">
        <f t="shared" si="2"/>
        <v>14.173866814816027</v>
      </c>
    </row>
    <row r="187" spans="1:10">
      <c r="A187">
        <v>186</v>
      </c>
      <c r="B187" t="s">
        <v>59</v>
      </c>
      <c r="C187" s="34">
        <v>43435</v>
      </c>
      <c r="D187" t="s">
        <v>60</v>
      </c>
      <c r="E187" t="s">
        <v>61</v>
      </c>
      <c r="F187" t="s">
        <v>62</v>
      </c>
      <c r="G187">
        <v>1.2046286260799399E-2</v>
      </c>
      <c r="H187" t="s">
        <v>63</v>
      </c>
      <c r="I187" t="s">
        <v>66</v>
      </c>
      <c r="J187">
        <f t="shared" si="2"/>
        <v>13.535232683517151</v>
      </c>
    </row>
    <row r="188" spans="1:10">
      <c r="A188">
        <v>187</v>
      </c>
      <c r="B188" t="s">
        <v>59</v>
      </c>
      <c r="C188" s="34">
        <v>43466</v>
      </c>
      <c r="D188" t="s">
        <v>60</v>
      </c>
      <c r="E188" t="s">
        <v>61</v>
      </c>
      <c r="F188" t="s">
        <v>62</v>
      </c>
      <c r="G188">
        <v>1.2640729098931399E-2</v>
      </c>
      <c r="H188" t="s">
        <v>63</v>
      </c>
      <c r="I188" t="s">
        <v>66</v>
      </c>
      <c r="J188">
        <f t="shared" si="2"/>
        <v>14.157471669419364</v>
      </c>
    </row>
    <row r="189" spans="1:10">
      <c r="A189">
        <v>188</v>
      </c>
      <c r="B189" t="s">
        <v>59</v>
      </c>
      <c r="C189" s="34">
        <v>43497</v>
      </c>
      <c r="D189" t="s">
        <v>60</v>
      </c>
      <c r="E189" t="s">
        <v>61</v>
      </c>
      <c r="F189" t="s">
        <v>62</v>
      </c>
      <c r="G189">
        <v>1.1429704061360599E-2</v>
      </c>
      <c r="H189" t="s">
        <v>63</v>
      </c>
      <c r="I189" t="s">
        <v>66</v>
      </c>
      <c r="J189">
        <f t="shared" si="2"/>
        <v>12.88545305999701</v>
      </c>
    </row>
    <row r="190" spans="1:10">
      <c r="A190">
        <v>189</v>
      </c>
      <c r="B190" t="s">
        <v>59</v>
      </c>
      <c r="C190" s="34">
        <v>43525</v>
      </c>
      <c r="D190" t="s">
        <v>60</v>
      </c>
      <c r="E190" t="s">
        <v>61</v>
      </c>
      <c r="F190" t="s">
        <v>62</v>
      </c>
      <c r="G190">
        <v>1.2624905721269199E-2</v>
      </c>
      <c r="H190" t="s">
        <v>63</v>
      </c>
      <c r="I190" t="s">
        <v>66</v>
      </c>
      <c r="J190">
        <f t="shared" si="2"/>
        <v>14.140961709760379</v>
      </c>
    </row>
    <row r="191" spans="1:10">
      <c r="A191">
        <v>190</v>
      </c>
      <c r="B191" t="s">
        <v>59</v>
      </c>
      <c r="C191" s="34">
        <v>43556</v>
      </c>
      <c r="D191" t="s">
        <v>60</v>
      </c>
      <c r="E191" t="s">
        <v>61</v>
      </c>
      <c r="F191" t="s">
        <v>62</v>
      </c>
      <c r="G191">
        <v>1.26169538785731E-2</v>
      </c>
      <c r="H191" t="s">
        <v>63</v>
      </c>
      <c r="I191" t="s">
        <v>66</v>
      </c>
      <c r="J191">
        <f t="shared" si="2"/>
        <v>14.13266373490516</v>
      </c>
    </row>
    <row r="192" spans="1:10">
      <c r="A192">
        <v>191</v>
      </c>
      <c r="B192" t="s">
        <v>59</v>
      </c>
      <c r="C192" s="34">
        <v>43586</v>
      </c>
      <c r="D192" t="s">
        <v>60</v>
      </c>
      <c r="E192" t="s">
        <v>61</v>
      </c>
      <c r="F192" t="s">
        <v>62</v>
      </c>
      <c r="G192">
        <v>1.32094027021087E-2</v>
      </c>
      <c r="H192" t="s">
        <v>63</v>
      </c>
      <c r="I192" t="s">
        <v>66</v>
      </c>
      <c r="J192">
        <f t="shared" si="2"/>
        <v>14.748892116173806</v>
      </c>
    </row>
    <row r="193" spans="1:10">
      <c r="A193">
        <v>192</v>
      </c>
      <c r="B193" t="s">
        <v>59</v>
      </c>
      <c r="C193" s="34">
        <v>43617</v>
      </c>
      <c r="D193" t="s">
        <v>60</v>
      </c>
      <c r="E193" t="s">
        <v>61</v>
      </c>
      <c r="F193" t="s">
        <v>62</v>
      </c>
      <c r="G193">
        <v>1.2000923843598001E-2</v>
      </c>
      <c r="H193" t="s">
        <v>63</v>
      </c>
      <c r="I193" t="s">
        <v>66</v>
      </c>
      <c r="J193">
        <f t="shared" si="2"/>
        <v>13.48757974448761</v>
      </c>
    </row>
    <row r="194" spans="1:10">
      <c r="A194">
        <v>193</v>
      </c>
      <c r="B194" t="s">
        <v>59</v>
      </c>
      <c r="C194" s="34">
        <v>43647</v>
      </c>
      <c r="D194" t="s">
        <v>60</v>
      </c>
      <c r="E194" t="s">
        <v>61</v>
      </c>
      <c r="F194" t="s">
        <v>62</v>
      </c>
      <c r="G194">
        <v>1.31926018165676E-2</v>
      </c>
      <c r="H194" t="s">
        <v>63</v>
      </c>
      <c r="I194" t="s">
        <v>66</v>
      </c>
      <c r="J194">
        <f t="shared" si="2"/>
        <v>14.73147287963088</v>
      </c>
    </row>
    <row r="195" spans="1:10">
      <c r="A195">
        <v>194</v>
      </c>
      <c r="B195" t="s">
        <v>59</v>
      </c>
      <c r="C195" s="34">
        <v>43678</v>
      </c>
      <c r="D195" t="s">
        <v>60</v>
      </c>
      <c r="E195" t="s">
        <v>61</v>
      </c>
      <c r="F195" t="s">
        <v>62</v>
      </c>
      <c r="G195">
        <v>1.3184159501927599E-2</v>
      </c>
      <c r="H195" t="s">
        <v>63</v>
      </c>
      <c r="I195" t="s">
        <v>66</v>
      </c>
      <c r="J195">
        <f t="shared" ref="J195:J258" si="3">100*(1-(1-G195)^12)</f>
        <v>14.722718616832775</v>
      </c>
    </row>
    <row r="196" spans="1:10">
      <c r="A196">
        <v>195</v>
      </c>
      <c r="B196" t="s">
        <v>59</v>
      </c>
      <c r="C196" s="34">
        <v>43709</v>
      </c>
      <c r="D196" t="s">
        <v>60</v>
      </c>
      <c r="E196" t="s">
        <v>61</v>
      </c>
      <c r="F196" t="s">
        <v>62</v>
      </c>
      <c r="G196">
        <v>1.1977899381150301E-2</v>
      </c>
      <c r="H196" t="s">
        <v>63</v>
      </c>
      <c r="I196" t="s">
        <v>66</v>
      </c>
      <c r="J196">
        <f t="shared" si="3"/>
        <v>13.46338347936722</v>
      </c>
    </row>
    <row r="197" spans="1:10">
      <c r="A197">
        <v>196</v>
      </c>
      <c r="B197" t="s">
        <v>59</v>
      </c>
      <c r="C197" s="34">
        <v>43739</v>
      </c>
      <c r="D197" t="s">
        <v>60</v>
      </c>
      <c r="E197" t="s">
        <v>61</v>
      </c>
      <c r="F197" t="s">
        <v>62</v>
      </c>
      <c r="G197">
        <v>1.37657000008399E-2</v>
      </c>
      <c r="H197" t="s">
        <v>63</v>
      </c>
      <c r="I197" t="s">
        <v>66</v>
      </c>
      <c r="J197">
        <f t="shared" si="3"/>
        <v>15.323824933759688</v>
      </c>
    </row>
    <row r="198" spans="1:10">
      <c r="A198">
        <v>197</v>
      </c>
      <c r="B198" t="s">
        <v>59</v>
      </c>
      <c r="C198" s="34">
        <v>43770</v>
      </c>
      <c r="D198" t="s">
        <v>60</v>
      </c>
      <c r="E198" t="s">
        <v>61</v>
      </c>
      <c r="F198" t="s">
        <v>62</v>
      </c>
      <c r="G198">
        <v>1.1962423179614099E-2</v>
      </c>
      <c r="H198" t="s">
        <v>63</v>
      </c>
      <c r="I198" t="s">
        <v>66</v>
      </c>
      <c r="J198">
        <f t="shared" si="3"/>
        <v>13.447116148895455</v>
      </c>
    </row>
    <row r="199" spans="1:10">
      <c r="A199">
        <v>198</v>
      </c>
      <c r="B199" t="s">
        <v>59</v>
      </c>
      <c r="C199" s="34">
        <v>43800</v>
      </c>
      <c r="D199" t="s">
        <v>60</v>
      </c>
      <c r="E199" t="s">
        <v>61</v>
      </c>
      <c r="F199" t="s">
        <v>62</v>
      </c>
      <c r="G199">
        <v>1.2552379575278201E-2</v>
      </c>
      <c r="H199" t="s">
        <v>63</v>
      </c>
      <c r="I199" t="s">
        <v>66</v>
      </c>
      <c r="J199">
        <f t="shared" si="3"/>
        <v>14.065251376617615</v>
      </c>
    </row>
    <row r="200" spans="1:10">
      <c r="A200">
        <v>199</v>
      </c>
      <c r="B200" t="s">
        <v>59</v>
      </c>
      <c r="C200" s="34">
        <v>43831</v>
      </c>
      <c r="D200" t="s">
        <v>60</v>
      </c>
      <c r="E200" t="s">
        <v>61</v>
      </c>
      <c r="F200" t="s">
        <v>62</v>
      </c>
      <c r="G200">
        <v>1.2544188358639999E-2</v>
      </c>
      <c r="H200" t="s">
        <v>63</v>
      </c>
      <c r="I200" t="s">
        <v>66</v>
      </c>
      <c r="J200">
        <f t="shared" si="3"/>
        <v>14.056696687807602</v>
      </c>
    </row>
    <row r="201" spans="1:10">
      <c r="A201">
        <v>200</v>
      </c>
      <c r="B201" t="s">
        <v>59</v>
      </c>
      <c r="C201" s="34">
        <v>43862</v>
      </c>
      <c r="D201" t="s">
        <v>60</v>
      </c>
      <c r="E201" t="s">
        <v>61</v>
      </c>
      <c r="F201" t="s">
        <v>62</v>
      </c>
      <c r="G201">
        <v>1.1342068755076999E-2</v>
      </c>
      <c r="H201" t="s">
        <v>63</v>
      </c>
      <c r="I201" t="s">
        <v>66</v>
      </c>
      <c r="J201">
        <f t="shared" si="3"/>
        <v>12.792736942127437</v>
      </c>
    </row>
    <row r="202" spans="1:10">
      <c r="A202">
        <v>201</v>
      </c>
      <c r="B202" t="s">
        <v>59</v>
      </c>
      <c r="C202" s="34">
        <v>43891</v>
      </c>
      <c r="D202" t="s">
        <v>60</v>
      </c>
      <c r="E202" t="s">
        <v>61</v>
      </c>
      <c r="F202" t="s">
        <v>62</v>
      </c>
      <c r="G202">
        <v>1.3124285145062E-2</v>
      </c>
      <c r="H202" t="s">
        <v>63</v>
      </c>
      <c r="I202" t="s">
        <v>66</v>
      </c>
      <c r="J202">
        <f t="shared" si="3"/>
        <v>14.660608224151916</v>
      </c>
    </row>
    <row r="203" spans="1:10">
      <c r="A203">
        <v>202</v>
      </c>
      <c r="B203" t="s">
        <v>59</v>
      </c>
      <c r="C203" s="34">
        <v>43922</v>
      </c>
      <c r="D203" t="s">
        <v>60</v>
      </c>
      <c r="E203" t="s">
        <v>61</v>
      </c>
      <c r="F203" t="s">
        <v>62</v>
      </c>
      <c r="G203">
        <v>1.25194564025598E-2</v>
      </c>
      <c r="H203" t="s">
        <v>63</v>
      </c>
      <c r="I203" t="s">
        <v>66</v>
      </c>
      <c r="J203">
        <f t="shared" si="3"/>
        <v>14.030862553610246</v>
      </c>
    </row>
    <row r="204" spans="1:10">
      <c r="A204">
        <v>203</v>
      </c>
      <c r="B204" t="s">
        <v>59</v>
      </c>
      <c r="C204" s="34">
        <v>43952</v>
      </c>
      <c r="D204" t="s">
        <v>60</v>
      </c>
      <c r="E204" t="s">
        <v>61</v>
      </c>
      <c r="F204" t="s">
        <v>62</v>
      </c>
      <c r="G204">
        <v>1.1915390280078099E-2</v>
      </c>
      <c r="H204" t="s">
        <v>63</v>
      </c>
      <c r="I204" t="s">
        <v>66</v>
      </c>
      <c r="J204">
        <f t="shared" si="3"/>
        <v>13.397661765962955</v>
      </c>
    </row>
    <row r="205" spans="1:10">
      <c r="A205">
        <v>204</v>
      </c>
      <c r="B205" t="s">
        <v>59</v>
      </c>
      <c r="C205" s="34">
        <v>43983</v>
      </c>
      <c r="D205" t="s">
        <v>60</v>
      </c>
      <c r="E205" t="s">
        <v>61</v>
      </c>
      <c r="F205" t="s">
        <v>62</v>
      </c>
      <c r="G205">
        <v>1.3098210138899301E-2</v>
      </c>
      <c r="H205" t="s">
        <v>63</v>
      </c>
      <c r="I205" t="s">
        <v>66</v>
      </c>
      <c r="J205">
        <f t="shared" si="3"/>
        <v>14.633546475273606</v>
      </c>
    </row>
    <row r="206" spans="1:10">
      <c r="A206">
        <v>205</v>
      </c>
      <c r="B206" t="s">
        <v>59</v>
      </c>
      <c r="C206" s="34">
        <v>44013</v>
      </c>
      <c r="D206" t="s">
        <v>60</v>
      </c>
      <c r="E206" t="s">
        <v>61</v>
      </c>
      <c r="F206" t="s">
        <v>62</v>
      </c>
      <c r="G206">
        <v>1.3089463536331799E-2</v>
      </c>
      <c r="H206" t="s">
        <v>63</v>
      </c>
      <c r="I206" t="s">
        <v>66</v>
      </c>
      <c r="J206">
        <f t="shared" si="3"/>
        <v>14.624467117877526</v>
      </c>
    </row>
    <row r="207" spans="1:10">
      <c r="A207">
        <v>206</v>
      </c>
      <c r="B207" t="s">
        <v>59</v>
      </c>
      <c r="C207" s="34">
        <v>44044</v>
      </c>
      <c r="D207" t="s">
        <v>60</v>
      </c>
      <c r="E207" t="s">
        <v>61</v>
      </c>
      <c r="F207" t="s">
        <v>62</v>
      </c>
      <c r="G207">
        <v>1.2486112754960799E-2</v>
      </c>
      <c r="H207" t="s">
        <v>63</v>
      </c>
      <c r="I207" t="s">
        <v>66</v>
      </c>
      <c r="J207">
        <f t="shared" si="3"/>
        <v>13.996021680332937</v>
      </c>
    </row>
    <row r="208" spans="1:10">
      <c r="A208">
        <v>207</v>
      </c>
      <c r="B208" t="s">
        <v>59</v>
      </c>
      <c r="C208" s="34">
        <v>44075</v>
      </c>
      <c r="D208" t="s">
        <v>60</v>
      </c>
      <c r="E208" t="s">
        <v>61</v>
      </c>
      <c r="F208" t="s">
        <v>62</v>
      </c>
      <c r="G208">
        <v>1.24777115042068E-2</v>
      </c>
      <c r="H208" t="s">
        <v>63</v>
      </c>
      <c r="I208" t="s">
        <v>66</v>
      </c>
      <c r="J208">
        <f t="shared" si="3"/>
        <v>13.987241148050867</v>
      </c>
    </row>
    <row r="209" spans="1:10">
      <c r="A209">
        <v>208</v>
      </c>
      <c r="B209" t="s">
        <v>59</v>
      </c>
      <c r="C209" s="34">
        <v>44105</v>
      </c>
      <c r="D209" t="s">
        <v>60</v>
      </c>
      <c r="E209" t="s">
        <v>61</v>
      </c>
      <c r="F209" t="s">
        <v>62</v>
      </c>
      <c r="G209">
        <v>1.3063059661276299E-2</v>
      </c>
      <c r="H209" t="s">
        <v>63</v>
      </c>
      <c r="I209" t="s">
        <v>66</v>
      </c>
      <c r="J209">
        <f t="shared" si="3"/>
        <v>14.597053366917645</v>
      </c>
    </row>
    <row r="210" spans="1:10">
      <c r="A210">
        <v>209</v>
      </c>
      <c r="B210" t="s">
        <v>59</v>
      </c>
      <c r="C210" s="34">
        <v>44136</v>
      </c>
      <c r="D210" t="s">
        <v>60</v>
      </c>
      <c r="E210" t="s">
        <v>61</v>
      </c>
      <c r="F210" t="s">
        <v>62</v>
      </c>
      <c r="G210">
        <v>1.1867458060705299E-2</v>
      </c>
      <c r="H210" t="s">
        <v>63</v>
      </c>
      <c r="I210" t="s">
        <v>66</v>
      </c>
      <c r="J210">
        <f t="shared" si="3"/>
        <v>13.347235112978485</v>
      </c>
    </row>
    <row r="211" spans="1:10">
      <c r="A211">
        <v>210</v>
      </c>
      <c r="B211" t="s">
        <v>59</v>
      </c>
      <c r="C211" s="34">
        <v>44166</v>
      </c>
      <c r="D211" t="s">
        <v>60</v>
      </c>
      <c r="E211" t="s">
        <v>61</v>
      </c>
      <c r="F211" t="s">
        <v>62</v>
      </c>
      <c r="G211">
        <v>1.3045320918408499E-2</v>
      </c>
      <c r="H211" t="s">
        <v>63</v>
      </c>
      <c r="I211" t="s">
        <v>66</v>
      </c>
      <c r="J211">
        <f t="shared" si="3"/>
        <v>14.578631634592387</v>
      </c>
    </row>
    <row r="212" spans="1:10">
      <c r="A212">
        <v>211</v>
      </c>
      <c r="B212" t="s">
        <v>59</v>
      </c>
      <c r="C212" s="34">
        <v>44197</v>
      </c>
      <c r="D212" t="s">
        <v>60</v>
      </c>
      <c r="E212" t="s">
        <v>61</v>
      </c>
      <c r="F212" t="s">
        <v>62</v>
      </c>
      <c r="G212">
        <v>1.1258718484999699E-2</v>
      </c>
      <c r="H212" t="s">
        <v>63</v>
      </c>
      <c r="I212" t="s">
        <v>66</v>
      </c>
      <c r="J212">
        <f t="shared" si="3"/>
        <v>12.704470373148292</v>
      </c>
    </row>
    <row r="213" spans="1:10">
      <c r="A213">
        <v>212</v>
      </c>
      <c r="B213" t="s">
        <v>59</v>
      </c>
      <c r="C213" s="34">
        <v>44228</v>
      </c>
      <c r="D213" t="s">
        <v>60</v>
      </c>
      <c r="E213" t="s">
        <v>61</v>
      </c>
      <c r="F213" t="s">
        <v>62</v>
      </c>
      <c r="G213">
        <v>1.12510001057441E-2</v>
      </c>
      <c r="H213" t="s">
        <v>63</v>
      </c>
      <c r="I213" t="s">
        <v>66</v>
      </c>
      <c r="J213">
        <f t="shared" si="3"/>
        <v>12.696292594632686</v>
      </c>
    </row>
    <row r="214" spans="1:10">
      <c r="A214">
        <v>213</v>
      </c>
      <c r="B214" t="s">
        <v>59</v>
      </c>
      <c r="C214" s="34">
        <v>44256</v>
      </c>
      <c r="D214" t="s">
        <v>60</v>
      </c>
      <c r="E214" t="s">
        <v>61</v>
      </c>
      <c r="F214" t="s">
        <v>62</v>
      </c>
      <c r="G214">
        <v>1.3610260215212701E-2</v>
      </c>
      <c r="H214" t="s">
        <v>63</v>
      </c>
      <c r="I214" t="s">
        <v>66</v>
      </c>
      <c r="J214">
        <f t="shared" si="3"/>
        <v>15.163536912490084</v>
      </c>
    </row>
    <row r="215" spans="1:10">
      <c r="A215">
        <v>214</v>
      </c>
      <c r="B215" t="s">
        <v>59</v>
      </c>
      <c r="C215" s="34">
        <v>44287</v>
      </c>
      <c r="D215" t="s">
        <v>60</v>
      </c>
      <c r="E215" t="s">
        <v>61</v>
      </c>
      <c r="F215" t="s">
        <v>62</v>
      </c>
      <c r="G215">
        <v>1.2418177071953401E-2</v>
      </c>
      <c r="H215" t="s">
        <v>63</v>
      </c>
      <c r="I215" t="s">
        <v>66</v>
      </c>
      <c r="J215">
        <f t="shared" si="3"/>
        <v>13.924995435798305</v>
      </c>
    </row>
    <row r="216" spans="1:10">
      <c r="A216">
        <v>215</v>
      </c>
      <c r="B216" t="s">
        <v>59</v>
      </c>
      <c r="C216" s="34">
        <v>44317</v>
      </c>
      <c r="D216" t="s">
        <v>60</v>
      </c>
      <c r="E216" t="s">
        <v>61</v>
      </c>
      <c r="F216" t="s">
        <v>62</v>
      </c>
      <c r="G216">
        <v>1.1818637339806299E-2</v>
      </c>
      <c r="H216" t="s">
        <v>63</v>
      </c>
      <c r="I216" t="s">
        <v>66</v>
      </c>
      <c r="J216">
        <f t="shared" si="3"/>
        <v>13.295846052863391</v>
      </c>
    </row>
    <row r="217" spans="1:10">
      <c r="A217">
        <v>216</v>
      </c>
      <c r="B217" t="s">
        <v>59</v>
      </c>
      <c r="C217" s="34">
        <v>44348</v>
      </c>
      <c r="D217" t="s">
        <v>60</v>
      </c>
      <c r="E217" t="s">
        <v>61</v>
      </c>
      <c r="F217" t="s">
        <v>62</v>
      </c>
      <c r="G217">
        <v>1.2991456550948299E-2</v>
      </c>
      <c r="H217" t="s">
        <v>63</v>
      </c>
      <c r="I217" t="s">
        <v>66</v>
      </c>
      <c r="J217">
        <f t="shared" si="3"/>
        <v>14.522671018099176</v>
      </c>
    </row>
    <row r="218" spans="1:10">
      <c r="A218">
        <v>217</v>
      </c>
      <c r="B218" t="s">
        <v>59</v>
      </c>
      <c r="C218" s="34">
        <v>42186</v>
      </c>
      <c r="D218" t="s">
        <v>60</v>
      </c>
      <c r="E218" t="s">
        <v>61</v>
      </c>
      <c r="F218" t="s">
        <v>65</v>
      </c>
      <c r="G218" s="49">
        <v>5.7082728817530598E-5</v>
      </c>
      <c r="H218" t="s">
        <v>63</v>
      </c>
      <c r="I218" t="s">
        <v>66</v>
      </c>
      <c r="J218">
        <f t="shared" si="3"/>
        <v>6.8477772982200591E-2</v>
      </c>
    </row>
    <row r="219" spans="1:10">
      <c r="A219">
        <v>218</v>
      </c>
      <c r="B219" t="s">
        <v>59</v>
      </c>
      <c r="C219" s="34">
        <v>42217</v>
      </c>
      <c r="D219" t="s">
        <v>60</v>
      </c>
      <c r="E219" t="s">
        <v>61</v>
      </c>
      <c r="F219" t="s">
        <v>65</v>
      </c>
      <c r="G219" s="49">
        <v>6.4126472483795404E-5</v>
      </c>
      <c r="H219" t="s">
        <v>63</v>
      </c>
      <c r="I219" t="s">
        <v>66</v>
      </c>
      <c r="J219">
        <f t="shared" si="3"/>
        <v>7.692463223158974E-2</v>
      </c>
    </row>
    <row r="220" spans="1:10">
      <c r="A220">
        <v>219</v>
      </c>
      <c r="B220" t="s">
        <v>59</v>
      </c>
      <c r="C220" s="34">
        <v>42248</v>
      </c>
      <c r="D220" t="s">
        <v>60</v>
      </c>
      <c r="E220" t="s">
        <v>61</v>
      </c>
      <c r="F220" t="s">
        <v>65</v>
      </c>
      <c r="G220" s="49">
        <v>8.1664010480083296E-5</v>
      </c>
      <c r="H220" t="s">
        <v>63</v>
      </c>
      <c r="I220" t="s">
        <v>66</v>
      </c>
      <c r="J220">
        <f t="shared" si="3"/>
        <v>9.7952809085466441E-2</v>
      </c>
    </row>
    <row r="221" spans="1:10">
      <c r="A221">
        <v>220</v>
      </c>
      <c r="B221" t="s">
        <v>59</v>
      </c>
      <c r="C221" s="34">
        <v>42278</v>
      </c>
      <c r="D221" t="s">
        <v>60</v>
      </c>
      <c r="E221" t="s">
        <v>61</v>
      </c>
      <c r="F221" t="s">
        <v>65</v>
      </c>
      <c r="G221">
        <v>1.1329161554857799E-4</v>
      </c>
      <c r="H221" t="s">
        <v>63</v>
      </c>
      <c r="I221" t="s">
        <v>66</v>
      </c>
      <c r="J221">
        <f t="shared" si="3"/>
        <v>0.13586525970529229</v>
      </c>
    </row>
    <row r="222" spans="1:10">
      <c r="A222">
        <v>221</v>
      </c>
      <c r="B222" t="s">
        <v>59</v>
      </c>
      <c r="C222" s="34">
        <v>42309</v>
      </c>
      <c r="D222" t="s">
        <v>60</v>
      </c>
      <c r="E222" t="s">
        <v>61</v>
      </c>
      <c r="F222" t="s">
        <v>65</v>
      </c>
      <c r="G222">
        <v>1.2952103242337801E-4</v>
      </c>
      <c r="H222" t="s">
        <v>63</v>
      </c>
      <c r="I222" t="s">
        <v>66</v>
      </c>
      <c r="J222">
        <f t="shared" si="3"/>
        <v>0.15531456709010349</v>
      </c>
    </row>
    <row r="223" spans="1:10">
      <c r="A223">
        <v>222</v>
      </c>
      <c r="B223" t="s">
        <v>59</v>
      </c>
      <c r="C223" s="34">
        <v>42339</v>
      </c>
      <c r="D223" t="s">
        <v>60</v>
      </c>
      <c r="E223" t="s">
        <v>61</v>
      </c>
      <c r="F223" t="s">
        <v>65</v>
      </c>
      <c r="G223">
        <v>1.6842002892032099E-4</v>
      </c>
      <c r="H223" t="s">
        <v>63</v>
      </c>
      <c r="I223" t="s">
        <v>66</v>
      </c>
      <c r="J223">
        <f t="shared" si="3"/>
        <v>0.20191692874439449</v>
      </c>
    </row>
    <row r="224" spans="1:10">
      <c r="A224">
        <v>223</v>
      </c>
      <c r="B224" t="s">
        <v>59</v>
      </c>
      <c r="C224" s="34">
        <v>42370</v>
      </c>
      <c r="D224" t="s">
        <v>60</v>
      </c>
      <c r="E224" t="s">
        <v>61</v>
      </c>
      <c r="F224" t="s">
        <v>65</v>
      </c>
      <c r="G224">
        <v>1.6373006551169501E-4</v>
      </c>
      <c r="H224" t="s">
        <v>63</v>
      </c>
      <c r="I224" t="s">
        <v>66</v>
      </c>
      <c r="J224">
        <f t="shared" si="3"/>
        <v>0.19629924541419985</v>
      </c>
    </row>
    <row r="225" spans="1:10">
      <c r="A225">
        <v>224</v>
      </c>
      <c r="B225" t="s">
        <v>59</v>
      </c>
      <c r="C225" s="34">
        <v>42401</v>
      </c>
      <c r="D225" t="s">
        <v>60</v>
      </c>
      <c r="E225" t="s">
        <v>61</v>
      </c>
      <c r="F225" t="s">
        <v>65</v>
      </c>
      <c r="G225">
        <v>1.87345783985368E-4</v>
      </c>
      <c r="H225" t="s">
        <v>63</v>
      </c>
      <c r="I225" t="s">
        <v>66</v>
      </c>
      <c r="J225">
        <f t="shared" si="3"/>
        <v>0.22458343566111871</v>
      </c>
    </row>
    <row r="226" spans="1:10">
      <c r="A226">
        <v>225</v>
      </c>
      <c r="B226" t="s">
        <v>59</v>
      </c>
      <c r="C226" s="34">
        <v>42430</v>
      </c>
      <c r="D226" t="s">
        <v>60</v>
      </c>
      <c r="E226" t="s">
        <v>61</v>
      </c>
      <c r="F226" t="s">
        <v>65</v>
      </c>
      <c r="G226">
        <v>2.1869627267860999E-4</v>
      </c>
      <c r="H226" t="s">
        <v>63</v>
      </c>
      <c r="I226" t="s">
        <v>66</v>
      </c>
      <c r="J226">
        <f t="shared" si="3"/>
        <v>0.26212009202315478</v>
      </c>
    </row>
    <row r="227" spans="1:10">
      <c r="A227">
        <v>226</v>
      </c>
      <c r="B227" t="s">
        <v>59</v>
      </c>
      <c r="C227" s="34">
        <v>42461</v>
      </c>
      <c r="D227" t="s">
        <v>60</v>
      </c>
      <c r="E227" t="s">
        <v>61</v>
      </c>
      <c r="F227" t="s">
        <v>65</v>
      </c>
      <c r="G227">
        <v>2.1796056099058499E-4</v>
      </c>
      <c r="H227" t="s">
        <v>63</v>
      </c>
      <c r="I227" t="s">
        <v>66</v>
      </c>
      <c r="J227">
        <f t="shared" si="3"/>
        <v>0.26123935595782077</v>
      </c>
    </row>
    <row r="228" spans="1:10">
      <c r="A228">
        <v>227</v>
      </c>
      <c r="B228" t="s">
        <v>59</v>
      </c>
      <c r="C228" s="34">
        <v>42491</v>
      </c>
      <c r="D228" t="s">
        <v>60</v>
      </c>
      <c r="E228" t="s">
        <v>61</v>
      </c>
      <c r="F228" t="s">
        <v>65</v>
      </c>
      <c r="G228">
        <v>2.2509991800268901E-4</v>
      </c>
      <c r="H228" t="s">
        <v>63</v>
      </c>
      <c r="I228" t="s">
        <v>66</v>
      </c>
      <c r="J228">
        <f t="shared" si="3"/>
        <v>0.26978573058155098</v>
      </c>
    </row>
    <row r="229" spans="1:10">
      <c r="A229">
        <v>228</v>
      </c>
      <c r="B229" t="s">
        <v>59</v>
      </c>
      <c r="C229" s="34">
        <v>42522</v>
      </c>
      <c r="D229" t="s">
        <v>60</v>
      </c>
      <c r="E229" t="s">
        <v>61</v>
      </c>
      <c r="F229" t="s">
        <v>65</v>
      </c>
      <c r="G229">
        <v>2.41772748416591E-4</v>
      </c>
      <c r="H229" t="s">
        <v>63</v>
      </c>
      <c r="I229" t="s">
        <v>66</v>
      </c>
      <c r="J229">
        <f t="shared" si="3"/>
        <v>0.28974181203964555</v>
      </c>
    </row>
    <row r="230" spans="1:10">
      <c r="A230">
        <v>229</v>
      </c>
      <c r="B230" t="s">
        <v>59</v>
      </c>
      <c r="C230" s="34">
        <v>42552</v>
      </c>
      <c r="D230" t="s">
        <v>60</v>
      </c>
      <c r="E230" t="s">
        <v>61</v>
      </c>
      <c r="F230" t="s">
        <v>65</v>
      </c>
      <c r="G230">
        <v>2.2424551930579599E-4</v>
      </c>
      <c r="H230" t="s">
        <v>63</v>
      </c>
      <c r="I230" t="s">
        <v>66</v>
      </c>
      <c r="J230">
        <f t="shared" si="3"/>
        <v>0.268762983173787</v>
      </c>
    </row>
    <row r="231" spans="1:10">
      <c r="A231">
        <v>230</v>
      </c>
      <c r="B231" t="s">
        <v>59</v>
      </c>
      <c r="C231" s="34">
        <v>42583</v>
      </c>
      <c r="D231" t="s">
        <v>60</v>
      </c>
      <c r="E231" t="s">
        <v>61</v>
      </c>
      <c r="F231" t="s">
        <v>65</v>
      </c>
      <c r="G231">
        <v>2.6073789530951802E-4</v>
      </c>
      <c r="H231" t="s">
        <v>63</v>
      </c>
      <c r="I231" t="s">
        <v>66</v>
      </c>
      <c r="J231">
        <f t="shared" si="3"/>
        <v>0.3124371680660265</v>
      </c>
    </row>
    <row r="232" spans="1:10">
      <c r="A232">
        <v>231</v>
      </c>
      <c r="B232" t="s">
        <v>59</v>
      </c>
      <c r="C232" s="34">
        <v>42614</v>
      </c>
      <c r="D232" t="s">
        <v>60</v>
      </c>
      <c r="E232" t="s">
        <v>61</v>
      </c>
      <c r="F232" t="s">
        <v>65</v>
      </c>
      <c r="G232">
        <v>2.34100215380687E-4</v>
      </c>
      <c r="H232" t="s">
        <v>63</v>
      </c>
      <c r="I232" t="s">
        <v>66</v>
      </c>
      <c r="J232">
        <f t="shared" si="3"/>
        <v>0.28055884134289277</v>
      </c>
    </row>
    <row r="233" spans="1:10">
      <c r="A233">
        <v>232</v>
      </c>
      <c r="B233" t="s">
        <v>59</v>
      </c>
      <c r="C233" s="34">
        <v>42644</v>
      </c>
      <c r="D233" t="s">
        <v>60</v>
      </c>
      <c r="E233" t="s">
        <v>61</v>
      </c>
      <c r="F233" t="s">
        <v>65</v>
      </c>
      <c r="G233">
        <v>2.32488955730954E-4</v>
      </c>
      <c r="H233" t="s">
        <v>63</v>
      </c>
      <c r="I233" t="s">
        <v>66</v>
      </c>
      <c r="J233">
        <f t="shared" si="3"/>
        <v>0.27863028583489102</v>
      </c>
    </row>
    <row r="234" spans="1:10">
      <c r="A234">
        <v>233</v>
      </c>
      <c r="B234" t="s">
        <v>59</v>
      </c>
      <c r="C234" s="34">
        <v>42675</v>
      </c>
      <c r="D234" t="s">
        <v>60</v>
      </c>
      <c r="E234" t="s">
        <v>61</v>
      </c>
      <c r="F234" t="s">
        <v>65</v>
      </c>
      <c r="G234">
        <v>2.2959671274824201E-4</v>
      </c>
      <c r="H234" t="s">
        <v>63</v>
      </c>
      <c r="I234" t="s">
        <v>66</v>
      </c>
      <c r="J234">
        <f t="shared" si="3"/>
        <v>0.27516840473549298</v>
      </c>
    </row>
    <row r="235" spans="1:10">
      <c r="A235">
        <v>234</v>
      </c>
      <c r="B235" t="s">
        <v>59</v>
      </c>
      <c r="C235" s="34">
        <v>42705</v>
      </c>
      <c r="D235" t="s">
        <v>60</v>
      </c>
      <c r="E235" t="s">
        <v>61</v>
      </c>
      <c r="F235" t="s">
        <v>65</v>
      </c>
      <c r="G235">
        <v>2.2597269235813001E-4</v>
      </c>
      <c r="H235" t="s">
        <v>63</v>
      </c>
      <c r="I235" t="s">
        <v>66</v>
      </c>
      <c r="J235">
        <f t="shared" si="3"/>
        <v>0.27083046441778169</v>
      </c>
    </row>
    <row r="236" spans="1:10">
      <c r="A236">
        <v>235</v>
      </c>
      <c r="B236" t="s">
        <v>59</v>
      </c>
      <c r="C236" s="34">
        <v>42736</v>
      </c>
      <c r="D236" t="s">
        <v>60</v>
      </c>
      <c r="E236" t="s">
        <v>61</v>
      </c>
      <c r="F236" t="s">
        <v>65</v>
      </c>
      <c r="G236">
        <v>2.12109872129913E-4</v>
      </c>
      <c r="H236" t="s">
        <v>63</v>
      </c>
      <c r="I236" t="s">
        <v>66</v>
      </c>
      <c r="J236">
        <f t="shared" si="3"/>
        <v>0.25423511845485969</v>
      </c>
    </row>
    <row r="237" spans="1:10">
      <c r="A237">
        <v>236</v>
      </c>
      <c r="B237" t="s">
        <v>59</v>
      </c>
      <c r="C237" s="34">
        <v>42767</v>
      </c>
      <c r="D237" t="s">
        <v>60</v>
      </c>
      <c r="E237" t="s">
        <v>61</v>
      </c>
      <c r="F237" t="s">
        <v>65</v>
      </c>
      <c r="G237">
        <v>1.9935475778021599E-4</v>
      </c>
      <c r="H237" t="s">
        <v>63</v>
      </c>
      <c r="I237" t="s">
        <v>66</v>
      </c>
      <c r="J237">
        <f t="shared" si="3"/>
        <v>0.23896358425179454</v>
      </c>
    </row>
    <row r="238" spans="1:10">
      <c r="A238">
        <v>237</v>
      </c>
      <c r="B238" t="s">
        <v>59</v>
      </c>
      <c r="C238" s="34">
        <v>42795</v>
      </c>
      <c r="D238" t="s">
        <v>60</v>
      </c>
      <c r="E238" t="s">
        <v>61</v>
      </c>
      <c r="F238" t="s">
        <v>65</v>
      </c>
      <c r="G238">
        <v>2.3977945335880801E-4</v>
      </c>
      <c r="H238" t="s">
        <v>63</v>
      </c>
      <c r="I238" t="s">
        <v>66</v>
      </c>
      <c r="J238">
        <f t="shared" si="3"/>
        <v>0.28735618552808706</v>
      </c>
    </row>
    <row r="239" spans="1:10">
      <c r="A239">
        <v>238</v>
      </c>
      <c r="B239" t="s">
        <v>59</v>
      </c>
      <c r="C239" s="34">
        <v>42826</v>
      </c>
      <c r="D239" t="s">
        <v>60</v>
      </c>
      <c r="E239" t="s">
        <v>61</v>
      </c>
      <c r="F239" t="s">
        <v>65</v>
      </c>
      <c r="G239">
        <v>1.9757178074281099E-4</v>
      </c>
      <c r="H239" t="s">
        <v>63</v>
      </c>
      <c r="I239" t="s">
        <v>66</v>
      </c>
      <c r="J239">
        <f t="shared" si="3"/>
        <v>0.23682867806651409</v>
      </c>
    </row>
    <row r="240" spans="1:10">
      <c r="A240">
        <v>239</v>
      </c>
      <c r="B240" t="s">
        <v>59</v>
      </c>
      <c r="C240" s="34">
        <v>42856</v>
      </c>
      <c r="D240" t="s">
        <v>60</v>
      </c>
      <c r="E240" t="s">
        <v>61</v>
      </c>
      <c r="F240" t="s">
        <v>65</v>
      </c>
      <c r="G240">
        <v>2.28888455193169E-4</v>
      </c>
      <c r="H240" t="s">
        <v>63</v>
      </c>
      <c r="I240" t="s">
        <v>66</v>
      </c>
      <c r="J240">
        <f t="shared" si="3"/>
        <v>0.27432063640341342</v>
      </c>
    </row>
    <row r="241" spans="1:10">
      <c r="A241">
        <v>240</v>
      </c>
      <c r="B241" t="s">
        <v>59</v>
      </c>
      <c r="C241" s="34">
        <v>42887</v>
      </c>
      <c r="D241" t="s">
        <v>60</v>
      </c>
      <c r="E241" t="s">
        <v>61</v>
      </c>
      <c r="F241" t="s">
        <v>65</v>
      </c>
      <c r="G241">
        <v>2.2954110755223501E-4</v>
      </c>
      <c r="H241" t="s">
        <v>63</v>
      </c>
      <c r="I241" t="s">
        <v>66</v>
      </c>
      <c r="J241">
        <f t="shared" si="3"/>
        <v>0.27510184680796801</v>
      </c>
    </row>
    <row r="242" spans="1:10">
      <c r="A242">
        <v>241</v>
      </c>
      <c r="B242" t="s">
        <v>59</v>
      </c>
      <c r="C242" s="34">
        <v>42917</v>
      </c>
      <c r="D242" t="s">
        <v>60</v>
      </c>
      <c r="E242" t="s">
        <v>61</v>
      </c>
      <c r="F242" t="s">
        <v>65</v>
      </c>
      <c r="G242">
        <v>2.09617001135068E-4</v>
      </c>
      <c r="H242" t="s">
        <v>63</v>
      </c>
      <c r="I242" t="s">
        <v>66</v>
      </c>
      <c r="J242">
        <f t="shared" si="3"/>
        <v>0.25125060460053916</v>
      </c>
    </row>
    <row r="243" spans="1:10">
      <c r="A243">
        <v>242</v>
      </c>
      <c r="B243" t="s">
        <v>59</v>
      </c>
      <c r="C243" s="34">
        <v>42948</v>
      </c>
      <c r="D243" t="s">
        <v>60</v>
      </c>
      <c r="E243" t="s">
        <v>61</v>
      </c>
      <c r="F243" t="s">
        <v>65</v>
      </c>
      <c r="G243">
        <v>2.42428731326677E-4</v>
      </c>
      <c r="H243" t="s">
        <v>63</v>
      </c>
      <c r="I243" t="s">
        <v>66</v>
      </c>
      <c r="J243">
        <f t="shared" si="3"/>
        <v>0.29052689772337548</v>
      </c>
    </row>
    <row r="244" spans="1:10">
      <c r="A244">
        <v>243</v>
      </c>
      <c r="B244" t="s">
        <v>59</v>
      </c>
      <c r="C244" s="34">
        <v>42979</v>
      </c>
      <c r="D244" t="s">
        <v>60</v>
      </c>
      <c r="E244" t="s">
        <v>61</v>
      </c>
      <c r="F244" t="s">
        <v>65</v>
      </c>
      <c r="G244">
        <v>2.1216981238505499E-4</v>
      </c>
      <c r="H244" t="s">
        <v>63</v>
      </c>
      <c r="I244" t="s">
        <v>66</v>
      </c>
      <c r="J244">
        <f t="shared" si="3"/>
        <v>0.25430687909144822</v>
      </c>
    </row>
    <row r="245" spans="1:10">
      <c r="A245">
        <v>244</v>
      </c>
      <c r="B245" t="s">
        <v>59</v>
      </c>
      <c r="C245" s="34">
        <v>43009</v>
      </c>
      <c r="D245" t="s">
        <v>60</v>
      </c>
      <c r="E245" t="s">
        <v>61</v>
      </c>
      <c r="F245" t="s">
        <v>65</v>
      </c>
      <c r="G245">
        <v>2.3501423339874401E-4</v>
      </c>
      <c r="H245" t="s">
        <v>63</v>
      </c>
      <c r="I245" t="s">
        <v>66</v>
      </c>
      <c r="J245">
        <f t="shared" si="3"/>
        <v>0.28165283633938554</v>
      </c>
    </row>
    <row r="246" spans="1:10">
      <c r="A246">
        <v>245</v>
      </c>
      <c r="B246" t="s">
        <v>59</v>
      </c>
      <c r="C246" s="34">
        <v>43040</v>
      </c>
      <c r="D246" t="s">
        <v>60</v>
      </c>
      <c r="E246" t="s">
        <v>61</v>
      </c>
      <c r="F246" t="s">
        <v>65</v>
      </c>
      <c r="G246">
        <v>2.25968091846239E-4</v>
      </c>
      <c r="H246" t="s">
        <v>63</v>
      </c>
      <c r="I246" t="s">
        <v>66</v>
      </c>
      <c r="J246">
        <f t="shared" si="3"/>
        <v>0.27082495751054037</v>
      </c>
    </row>
    <row r="247" spans="1:10">
      <c r="A247">
        <v>246</v>
      </c>
      <c r="B247" t="s">
        <v>59</v>
      </c>
      <c r="C247" s="34">
        <v>43070</v>
      </c>
      <c r="D247" t="s">
        <v>60</v>
      </c>
      <c r="E247" t="s">
        <v>61</v>
      </c>
      <c r="F247" t="s">
        <v>65</v>
      </c>
      <c r="G247">
        <v>2.16818271953793E-4</v>
      </c>
      <c r="H247" t="s">
        <v>63</v>
      </c>
      <c r="I247" t="s">
        <v>66</v>
      </c>
      <c r="J247">
        <f t="shared" si="3"/>
        <v>0.25987188339753331</v>
      </c>
    </row>
    <row r="248" spans="1:10">
      <c r="A248">
        <v>247</v>
      </c>
      <c r="B248" t="s">
        <v>59</v>
      </c>
      <c r="C248" s="34">
        <v>43101</v>
      </c>
      <c r="D248" t="s">
        <v>60</v>
      </c>
      <c r="E248" t="s">
        <v>61</v>
      </c>
      <c r="F248" t="s">
        <v>65</v>
      </c>
      <c r="G248">
        <v>2.2938561863523099E-4</v>
      </c>
      <c r="H248" t="s">
        <v>63</v>
      </c>
      <c r="I248" t="s">
        <v>66</v>
      </c>
      <c r="J248">
        <f t="shared" si="3"/>
        <v>0.27491573053057827</v>
      </c>
    </row>
    <row r="249" spans="1:10">
      <c r="A249">
        <v>248</v>
      </c>
      <c r="B249" t="s">
        <v>59</v>
      </c>
      <c r="C249" s="34">
        <v>43132</v>
      </c>
      <c r="D249" t="s">
        <v>60</v>
      </c>
      <c r="E249" t="s">
        <v>61</v>
      </c>
      <c r="F249" t="s">
        <v>65</v>
      </c>
      <c r="G249">
        <v>2.0912126061453101E-4</v>
      </c>
      <c r="H249" t="s">
        <v>63</v>
      </c>
      <c r="I249" t="s">
        <v>66</v>
      </c>
      <c r="J249">
        <f t="shared" si="3"/>
        <v>0.25065708460707548</v>
      </c>
    </row>
    <row r="250" spans="1:10">
      <c r="A250">
        <v>249</v>
      </c>
      <c r="B250" t="s">
        <v>59</v>
      </c>
      <c r="C250" s="34">
        <v>43160</v>
      </c>
      <c r="D250" t="s">
        <v>60</v>
      </c>
      <c r="E250" t="s">
        <v>61</v>
      </c>
      <c r="F250" t="s">
        <v>65</v>
      </c>
      <c r="G250">
        <v>2.3289524600228901E-4</v>
      </c>
      <c r="H250" t="s">
        <v>63</v>
      </c>
      <c r="I250" t="s">
        <v>66</v>
      </c>
      <c r="J250">
        <f t="shared" si="3"/>
        <v>0.27911658767649783</v>
      </c>
    </row>
    <row r="251" spans="1:10">
      <c r="A251">
        <v>250</v>
      </c>
      <c r="B251" t="s">
        <v>59</v>
      </c>
      <c r="C251" s="34">
        <v>43191</v>
      </c>
      <c r="D251" t="s">
        <v>60</v>
      </c>
      <c r="E251" t="s">
        <v>61</v>
      </c>
      <c r="F251" t="s">
        <v>65</v>
      </c>
      <c r="G251">
        <v>2.34663024171658E-4</v>
      </c>
      <c r="H251" t="s">
        <v>63</v>
      </c>
      <c r="I251" t="s">
        <v>66</v>
      </c>
      <c r="J251">
        <f t="shared" si="3"/>
        <v>0.28123247269224994</v>
      </c>
    </row>
    <row r="252" spans="1:10">
      <c r="A252">
        <v>251</v>
      </c>
      <c r="B252" t="s">
        <v>59</v>
      </c>
      <c r="C252" s="34">
        <v>43221</v>
      </c>
      <c r="D252" t="s">
        <v>60</v>
      </c>
      <c r="E252" t="s">
        <v>61</v>
      </c>
      <c r="F252" t="s">
        <v>65</v>
      </c>
      <c r="G252">
        <v>2.4769181041936998E-4</v>
      </c>
      <c r="H252" t="s">
        <v>63</v>
      </c>
      <c r="I252" t="s">
        <v>66</v>
      </c>
      <c r="J252">
        <f t="shared" si="3"/>
        <v>0.29682558849589702</v>
      </c>
    </row>
    <row r="253" spans="1:10">
      <c r="A253">
        <v>252</v>
      </c>
      <c r="B253" t="s">
        <v>59</v>
      </c>
      <c r="C253" s="34">
        <v>43252</v>
      </c>
      <c r="D253" t="s">
        <v>60</v>
      </c>
      <c r="E253" t="s">
        <v>61</v>
      </c>
      <c r="F253" t="s">
        <v>65</v>
      </c>
      <c r="G253">
        <v>2.3820254230395E-4</v>
      </c>
      <c r="H253" t="s">
        <v>63</v>
      </c>
      <c r="I253" t="s">
        <v>66</v>
      </c>
      <c r="J253">
        <f t="shared" si="3"/>
        <v>0.28546886097372548</v>
      </c>
    </row>
    <row r="254" spans="1:10">
      <c r="A254">
        <v>253</v>
      </c>
      <c r="B254" t="s">
        <v>59</v>
      </c>
      <c r="C254" s="34">
        <v>43282</v>
      </c>
      <c r="D254" t="s">
        <v>60</v>
      </c>
      <c r="E254" t="s">
        <v>61</v>
      </c>
      <c r="F254" t="s">
        <v>65</v>
      </c>
      <c r="G254">
        <v>2.39969398183074E-4</v>
      </c>
      <c r="H254" t="s">
        <v>63</v>
      </c>
      <c r="I254" t="s">
        <v>66</v>
      </c>
      <c r="J254">
        <f t="shared" si="3"/>
        <v>0.28758351860762588</v>
      </c>
    </row>
    <row r="255" spans="1:10">
      <c r="A255">
        <v>254</v>
      </c>
      <c r="B255" t="s">
        <v>59</v>
      </c>
      <c r="C255" s="34">
        <v>43313</v>
      </c>
      <c r="D255" t="s">
        <v>60</v>
      </c>
      <c r="E255" t="s">
        <v>61</v>
      </c>
      <c r="F255" t="s">
        <v>65</v>
      </c>
      <c r="G255">
        <v>2.6475443988114802E-4</v>
      </c>
      <c r="H255" t="s">
        <v>63</v>
      </c>
      <c r="I255" t="s">
        <v>66</v>
      </c>
      <c r="J255">
        <f t="shared" si="3"/>
        <v>0.31724310946029677</v>
      </c>
    </row>
    <row r="256" spans="1:10">
      <c r="A256">
        <v>255</v>
      </c>
      <c r="B256" t="s">
        <v>59</v>
      </c>
      <c r="C256" s="34">
        <v>43344</v>
      </c>
      <c r="D256" t="s">
        <v>60</v>
      </c>
      <c r="E256" t="s">
        <v>61</v>
      </c>
      <c r="F256" t="s">
        <v>65</v>
      </c>
      <c r="G256">
        <v>2.2030081801240501E-4</v>
      </c>
      <c r="H256" t="s">
        <v>63</v>
      </c>
      <c r="I256" t="s">
        <v>66</v>
      </c>
      <c r="J256">
        <f t="shared" si="3"/>
        <v>0.26404090254381618</v>
      </c>
    </row>
    <row r="257" spans="1:10">
      <c r="A257">
        <v>256</v>
      </c>
      <c r="B257" t="s">
        <v>59</v>
      </c>
      <c r="C257" s="34">
        <v>43374</v>
      </c>
      <c r="D257" t="s">
        <v>60</v>
      </c>
      <c r="E257" t="s">
        <v>61</v>
      </c>
      <c r="F257" t="s">
        <v>65</v>
      </c>
      <c r="G257">
        <v>2.6859943957338801E-4</v>
      </c>
      <c r="H257" t="s">
        <v>63</v>
      </c>
      <c r="I257" t="s">
        <v>66</v>
      </c>
      <c r="J257">
        <f t="shared" si="3"/>
        <v>0.32184359220377434</v>
      </c>
    </row>
    <row r="258" spans="1:10">
      <c r="A258">
        <v>257</v>
      </c>
      <c r="B258" t="s">
        <v>59</v>
      </c>
      <c r="C258" s="34">
        <v>43405</v>
      </c>
      <c r="D258" t="s">
        <v>60</v>
      </c>
      <c r="E258" t="s">
        <v>61</v>
      </c>
      <c r="F258" t="s">
        <v>65</v>
      </c>
      <c r="G258">
        <v>2.46989659127527E-4</v>
      </c>
      <c r="H258" t="s">
        <v>63</v>
      </c>
      <c r="I258" t="s">
        <v>66</v>
      </c>
      <c r="J258">
        <f t="shared" si="3"/>
        <v>0.29598529656480466</v>
      </c>
    </row>
    <row r="259" spans="1:10">
      <c r="A259">
        <v>258</v>
      </c>
      <c r="B259" t="s">
        <v>59</v>
      </c>
      <c r="C259" s="34">
        <v>43435</v>
      </c>
      <c r="D259" t="s">
        <v>60</v>
      </c>
      <c r="E259" t="s">
        <v>61</v>
      </c>
      <c r="F259" t="s">
        <v>65</v>
      </c>
      <c r="G259">
        <v>2.36885875238428E-4</v>
      </c>
      <c r="H259" t="s">
        <v>63</v>
      </c>
      <c r="I259" t="s">
        <v>66</v>
      </c>
      <c r="J259">
        <f t="shared" ref="J259:J322" si="4">100*(1-(1-G259)^12)</f>
        <v>0.2838929841144755</v>
      </c>
    </row>
    <row r="260" spans="1:10">
      <c r="A260">
        <v>259</v>
      </c>
      <c r="B260" t="s">
        <v>59</v>
      </c>
      <c r="C260" s="34">
        <v>43466</v>
      </c>
      <c r="D260" t="s">
        <v>60</v>
      </c>
      <c r="E260" t="s">
        <v>61</v>
      </c>
      <c r="F260" t="s">
        <v>65</v>
      </c>
      <c r="G260">
        <v>2.5046430166910001E-4</v>
      </c>
      <c r="H260" t="s">
        <v>63</v>
      </c>
      <c r="I260" t="s">
        <v>66</v>
      </c>
      <c r="J260">
        <f t="shared" si="4"/>
        <v>0.30014347385867168</v>
      </c>
    </row>
    <row r="261" spans="1:10">
      <c r="A261">
        <v>260</v>
      </c>
      <c r="B261" t="s">
        <v>59</v>
      </c>
      <c r="C261" s="34">
        <v>43497</v>
      </c>
      <c r="D261" t="s">
        <v>60</v>
      </c>
      <c r="E261" t="s">
        <v>61</v>
      </c>
      <c r="F261" t="s">
        <v>65</v>
      </c>
      <c r="G261">
        <v>2.28173646516039E-4</v>
      </c>
      <c r="H261" t="s">
        <v>63</v>
      </c>
      <c r="I261" t="s">
        <v>66</v>
      </c>
      <c r="J261">
        <f t="shared" si="4"/>
        <v>0.27346501982755678</v>
      </c>
    </row>
    <row r="262" spans="1:10">
      <c r="A262">
        <v>261</v>
      </c>
      <c r="B262" t="s">
        <v>59</v>
      </c>
      <c r="C262" s="34">
        <v>43525</v>
      </c>
      <c r="D262" t="s">
        <v>60</v>
      </c>
      <c r="E262" t="s">
        <v>61</v>
      </c>
      <c r="F262" t="s">
        <v>65</v>
      </c>
      <c r="G262">
        <v>2.5391294968514901E-4</v>
      </c>
      <c r="H262" t="s">
        <v>63</v>
      </c>
      <c r="I262" t="s">
        <v>66</v>
      </c>
      <c r="J262">
        <f t="shared" si="4"/>
        <v>0.30427038577364174</v>
      </c>
    </row>
    <row r="263" spans="1:10">
      <c r="A263">
        <v>262</v>
      </c>
      <c r="B263" t="s">
        <v>59</v>
      </c>
      <c r="C263" s="34">
        <v>43556</v>
      </c>
      <c r="D263" t="s">
        <v>60</v>
      </c>
      <c r="E263" t="s">
        <v>61</v>
      </c>
      <c r="F263" t="s">
        <v>65</v>
      </c>
      <c r="G263">
        <v>2.5562731465750998E-4</v>
      </c>
      <c r="H263" t="s">
        <v>63</v>
      </c>
      <c r="I263" t="s">
        <v>66</v>
      </c>
      <c r="J263">
        <f t="shared" si="4"/>
        <v>0.30632186572846498</v>
      </c>
    </row>
    <row r="264" spans="1:10">
      <c r="A264">
        <v>263</v>
      </c>
      <c r="B264" t="s">
        <v>59</v>
      </c>
      <c r="C264" s="34">
        <v>43586</v>
      </c>
      <c r="D264" t="s">
        <v>60</v>
      </c>
      <c r="E264" t="s">
        <v>61</v>
      </c>
      <c r="F264" t="s">
        <v>65</v>
      </c>
      <c r="G264">
        <v>2.6958902541277798E-4</v>
      </c>
      <c r="H264" t="s">
        <v>63</v>
      </c>
      <c r="I264" t="s">
        <v>66</v>
      </c>
      <c r="J264">
        <f t="shared" si="4"/>
        <v>0.3230275848842612</v>
      </c>
    </row>
    <row r="265" spans="1:10">
      <c r="A265">
        <v>264</v>
      </c>
      <c r="B265" t="s">
        <v>59</v>
      </c>
      <c r="C265" s="34">
        <v>43617</v>
      </c>
      <c r="D265" t="s">
        <v>60</v>
      </c>
      <c r="E265" t="s">
        <v>61</v>
      </c>
      <c r="F265" t="s">
        <v>65</v>
      </c>
      <c r="G265">
        <v>2.4670087065534901E-4</v>
      </c>
      <c r="H265" t="s">
        <v>63</v>
      </c>
      <c r="I265" t="s">
        <v>66</v>
      </c>
      <c r="J265">
        <f t="shared" si="4"/>
        <v>0.29563969021384473</v>
      </c>
    </row>
    <row r="266" spans="1:10">
      <c r="A266">
        <v>265</v>
      </c>
      <c r="B266" t="s">
        <v>59</v>
      </c>
      <c r="C266" s="34">
        <v>43647</v>
      </c>
      <c r="D266" t="s">
        <v>60</v>
      </c>
      <c r="E266" t="s">
        <v>61</v>
      </c>
      <c r="F266" t="s">
        <v>65</v>
      </c>
      <c r="G266">
        <v>2.7314582101788402E-4</v>
      </c>
      <c r="H266" t="s">
        <v>63</v>
      </c>
      <c r="I266" t="s">
        <v>66</v>
      </c>
      <c r="J266">
        <f t="shared" si="4"/>
        <v>0.32728301626395728</v>
      </c>
    </row>
    <row r="267" spans="1:10">
      <c r="A267">
        <v>266</v>
      </c>
      <c r="B267" t="s">
        <v>59</v>
      </c>
      <c r="C267" s="34">
        <v>43678</v>
      </c>
      <c r="D267" t="s">
        <v>60</v>
      </c>
      <c r="E267" t="s">
        <v>61</v>
      </c>
      <c r="F267" t="s">
        <v>65</v>
      </c>
      <c r="G267">
        <v>2.7491360185695701E-4</v>
      </c>
      <c r="H267" t="s">
        <v>63</v>
      </c>
      <c r="I267" t="s">
        <v>66</v>
      </c>
      <c r="J267">
        <f t="shared" si="4"/>
        <v>0.32939796762184725</v>
      </c>
    </row>
    <row r="268" spans="1:10">
      <c r="A268">
        <v>267</v>
      </c>
      <c r="B268" t="s">
        <v>59</v>
      </c>
      <c r="C268" s="34">
        <v>43709</v>
      </c>
      <c r="D268" t="s">
        <v>60</v>
      </c>
      <c r="E268" t="s">
        <v>61</v>
      </c>
      <c r="F268" t="s">
        <v>65</v>
      </c>
      <c r="G268">
        <v>2.5152208282591302E-4</v>
      </c>
      <c r="H268" t="s">
        <v>63</v>
      </c>
      <c r="I268" t="s">
        <v>66</v>
      </c>
      <c r="J268">
        <f t="shared" si="4"/>
        <v>0.30140931109612357</v>
      </c>
    </row>
    <row r="269" spans="1:10">
      <c r="A269">
        <v>268</v>
      </c>
      <c r="B269" t="s">
        <v>59</v>
      </c>
      <c r="C269" s="34">
        <v>43739</v>
      </c>
      <c r="D269" t="s">
        <v>60</v>
      </c>
      <c r="E269" t="s">
        <v>61</v>
      </c>
      <c r="F269" t="s">
        <v>65</v>
      </c>
      <c r="G269">
        <v>2.9108369539684599E-4</v>
      </c>
      <c r="H269" t="s">
        <v>63</v>
      </c>
      <c r="I269" t="s">
        <v>66</v>
      </c>
      <c r="J269">
        <f t="shared" si="4"/>
        <v>0.34874176057975159</v>
      </c>
    </row>
    <row r="270" spans="1:10">
      <c r="A270">
        <v>269</v>
      </c>
      <c r="B270" t="s">
        <v>59</v>
      </c>
      <c r="C270" s="34">
        <v>43770</v>
      </c>
      <c r="D270" t="s">
        <v>60</v>
      </c>
      <c r="E270" t="s">
        <v>61</v>
      </c>
      <c r="F270" t="s">
        <v>65</v>
      </c>
      <c r="G270">
        <v>2.5470397447948599E-4</v>
      </c>
      <c r="H270" t="s">
        <v>63</v>
      </c>
      <c r="I270" t="s">
        <v>66</v>
      </c>
      <c r="J270">
        <f t="shared" si="4"/>
        <v>0.30521696353194017</v>
      </c>
    </row>
    <row r="271" spans="1:10">
      <c r="A271">
        <v>270</v>
      </c>
      <c r="B271" t="s">
        <v>59</v>
      </c>
      <c r="C271" s="34">
        <v>43800</v>
      </c>
      <c r="D271" t="s">
        <v>60</v>
      </c>
      <c r="E271" t="s">
        <v>61</v>
      </c>
      <c r="F271" t="s">
        <v>65</v>
      </c>
      <c r="G271">
        <v>2.6909949462193702E-4</v>
      </c>
      <c r="H271" t="s">
        <v>63</v>
      </c>
      <c r="I271" t="s">
        <v>66</v>
      </c>
      <c r="J271">
        <f t="shared" si="4"/>
        <v>0.32244188604377833</v>
      </c>
    </row>
    <row r="272" spans="1:10">
      <c r="A272">
        <v>271</v>
      </c>
      <c r="B272" t="s">
        <v>59</v>
      </c>
      <c r="C272" s="34">
        <v>43831</v>
      </c>
      <c r="D272" t="s">
        <v>60</v>
      </c>
      <c r="E272" t="s">
        <v>61</v>
      </c>
      <c r="F272" t="s">
        <v>65</v>
      </c>
      <c r="G272">
        <v>2.7075303196478199E-4</v>
      </c>
      <c r="H272" t="s">
        <v>63</v>
      </c>
      <c r="I272" t="s">
        <v>66</v>
      </c>
      <c r="J272">
        <f t="shared" si="4"/>
        <v>0.32442024720259477</v>
      </c>
    </row>
    <row r="273" spans="1:10">
      <c r="A273">
        <v>272</v>
      </c>
      <c r="B273" t="s">
        <v>59</v>
      </c>
      <c r="C273" s="34">
        <v>43862</v>
      </c>
      <c r="D273" t="s">
        <v>60</v>
      </c>
      <c r="E273" t="s">
        <v>61</v>
      </c>
      <c r="F273" t="s">
        <v>65</v>
      </c>
      <c r="G273">
        <v>2.46456947220249E-4</v>
      </c>
      <c r="H273" t="s">
        <v>63</v>
      </c>
      <c r="I273" t="s">
        <v>66</v>
      </c>
      <c r="J273">
        <f t="shared" si="4"/>
        <v>0.29534777504568455</v>
      </c>
    </row>
    <row r="274" spans="1:10">
      <c r="A274">
        <v>273</v>
      </c>
      <c r="B274" t="s">
        <v>59</v>
      </c>
      <c r="C274" s="34">
        <v>43891</v>
      </c>
      <c r="D274" t="s">
        <v>60</v>
      </c>
      <c r="E274" t="s">
        <v>61</v>
      </c>
      <c r="F274" t="s">
        <v>65</v>
      </c>
      <c r="G274">
        <v>2.87089260772819E-4</v>
      </c>
      <c r="H274" t="s">
        <v>63</v>
      </c>
      <c r="I274" t="s">
        <v>66</v>
      </c>
      <c r="J274">
        <f t="shared" si="4"/>
        <v>0.34396365954645347</v>
      </c>
    </row>
    <row r="275" spans="1:10">
      <c r="A275">
        <v>274</v>
      </c>
      <c r="B275" t="s">
        <v>59</v>
      </c>
      <c r="C275" s="34">
        <v>43922</v>
      </c>
      <c r="D275" t="s">
        <v>60</v>
      </c>
      <c r="E275" t="s">
        <v>61</v>
      </c>
      <c r="F275" t="s">
        <v>65</v>
      </c>
      <c r="G275">
        <v>2.7567292651073697E-4</v>
      </c>
      <c r="H275" t="s">
        <v>63</v>
      </c>
      <c r="I275" t="s">
        <v>66</v>
      </c>
      <c r="J275">
        <f t="shared" si="4"/>
        <v>0.33030640171347603</v>
      </c>
    </row>
    <row r="276" spans="1:10">
      <c r="A276">
        <v>275</v>
      </c>
      <c r="B276" t="s">
        <v>59</v>
      </c>
      <c r="C276" s="34">
        <v>43952</v>
      </c>
      <c r="D276" t="s">
        <v>60</v>
      </c>
      <c r="E276" t="s">
        <v>61</v>
      </c>
      <c r="F276" t="s">
        <v>65</v>
      </c>
      <c r="G276">
        <v>2.64094586443725E-4</v>
      </c>
      <c r="H276" t="s">
        <v>63</v>
      </c>
      <c r="I276" t="s">
        <v>66</v>
      </c>
      <c r="J276">
        <f t="shared" si="4"/>
        <v>0.31645358544751812</v>
      </c>
    </row>
    <row r="277" spans="1:10">
      <c r="A277">
        <v>276</v>
      </c>
      <c r="B277" t="s">
        <v>59</v>
      </c>
      <c r="C277" s="34">
        <v>43983</v>
      </c>
      <c r="D277" t="s">
        <v>60</v>
      </c>
      <c r="E277" t="s">
        <v>61</v>
      </c>
      <c r="F277" t="s">
        <v>65</v>
      </c>
      <c r="G277">
        <v>2.9220076911584599E-4</v>
      </c>
      <c r="H277" t="s">
        <v>63</v>
      </c>
      <c r="I277" t="s">
        <v>66</v>
      </c>
      <c r="J277">
        <f t="shared" si="4"/>
        <v>0.3500779549343247</v>
      </c>
    </row>
    <row r="278" spans="1:10">
      <c r="A278">
        <v>277</v>
      </c>
      <c r="B278" t="s">
        <v>59</v>
      </c>
      <c r="C278" s="34">
        <v>44013</v>
      </c>
      <c r="D278" t="s">
        <v>60</v>
      </c>
      <c r="E278" t="s">
        <v>61</v>
      </c>
      <c r="F278" t="s">
        <v>65</v>
      </c>
      <c r="G278">
        <v>2.9389038009286402E-4</v>
      </c>
      <c r="H278" t="s">
        <v>63</v>
      </c>
      <c r="I278" t="s">
        <v>66</v>
      </c>
      <c r="J278">
        <f t="shared" si="4"/>
        <v>0.35209896191892298</v>
      </c>
    </row>
    <row r="279" spans="1:10">
      <c r="A279">
        <v>278</v>
      </c>
      <c r="B279" t="s">
        <v>59</v>
      </c>
      <c r="C279" s="34">
        <v>44044</v>
      </c>
      <c r="D279" t="s">
        <v>60</v>
      </c>
      <c r="E279" t="s">
        <v>61</v>
      </c>
      <c r="F279" t="s">
        <v>65</v>
      </c>
      <c r="G279">
        <v>2.8213774651841199E-4</v>
      </c>
      <c r="H279" t="s">
        <v>63</v>
      </c>
      <c r="I279" t="s">
        <v>66</v>
      </c>
      <c r="J279">
        <f t="shared" si="4"/>
        <v>0.33804041832595777</v>
      </c>
    </row>
    <row r="280" spans="1:10">
      <c r="A280">
        <v>279</v>
      </c>
      <c r="B280" t="s">
        <v>59</v>
      </c>
      <c r="C280" s="34">
        <v>44075</v>
      </c>
      <c r="D280" t="s">
        <v>60</v>
      </c>
      <c r="E280" t="s">
        <v>61</v>
      </c>
      <c r="F280" t="s">
        <v>65</v>
      </c>
      <c r="G280">
        <v>2.8373697547608601E-4</v>
      </c>
      <c r="H280" t="s">
        <v>63</v>
      </c>
      <c r="I280" t="s">
        <v>66</v>
      </c>
      <c r="J280">
        <f t="shared" si="4"/>
        <v>0.33995352876025065</v>
      </c>
    </row>
    <row r="281" spans="1:10">
      <c r="A281">
        <v>280</v>
      </c>
      <c r="B281" t="s">
        <v>59</v>
      </c>
      <c r="C281" s="34">
        <v>44105</v>
      </c>
      <c r="D281" t="s">
        <v>60</v>
      </c>
      <c r="E281" t="s">
        <v>61</v>
      </c>
      <c r="F281" t="s">
        <v>65</v>
      </c>
      <c r="G281">
        <v>2.98916527489573E-4</v>
      </c>
      <c r="H281" t="s">
        <v>63</v>
      </c>
      <c r="I281" t="s">
        <v>66</v>
      </c>
      <c r="J281">
        <f t="shared" si="4"/>
        <v>0.35811070298320535</v>
      </c>
    </row>
    <row r="282" spans="1:10">
      <c r="A282">
        <v>281</v>
      </c>
      <c r="B282" t="s">
        <v>59</v>
      </c>
      <c r="C282" s="34">
        <v>44136</v>
      </c>
      <c r="D282" t="s">
        <v>60</v>
      </c>
      <c r="E282" t="s">
        <v>61</v>
      </c>
      <c r="F282" t="s">
        <v>65</v>
      </c>
      <c r="G282">
        <v>2.73252435379572E-4</v>
      </c>
      <c r="H282" t="s">
        <v>63</v>
      </c>
      <c r="I282" t="s">
        <v>66</v>
      </c>
      <c r="J282">
        <f t="shared" si="4"/>
        <v>0.32741056954694869</v>
      </c>
    </row>
    <row r="283" spans="1:10">
      <c r="A283">
        <v>282</v>
      </c>
      <c r="B283" t="s">
        <v>59</v>
      </c>
      <c r="C283" s="34">
        <v>44166</v>
      </c>
      <c r="D283" t="s">
        <v>60</v>
      </c>
      <c r="E283" t="s">
        <v>61</v>
      </c>
      <c r="F283" t="s">
        <v>65</v>
      </c>
      <c r="G283">
        <v>3.0223171348226798E-4</v>
      </c>
      <c r="H283" t="s">
        <v>63</v>
      </c>
      <c r="I283" t="s">
        <v>66</v>
      </c>
      <c r="J283">
        <f t="shared" si="4"/>
        <v>0.36207579266425149</v>
      </c>
    </row>
    <row r="284" spans="1:10">
      <c r="A284">
        <v>283</v>
      </c>
      <c r="B284" t="s">
        <v>59</v>
      </c>
      <c r="C284" s="34">
        <v>44197</v>
      </c>
      <c r="D284" t="s">
        <v>60</v>
      </c>
      <c r="E284" t="s">
        <v>61</v>
      </c>
      <c r="F284" t="s">
        <v>65</v>
      </c>
      <c r="G284">
        <v>2.6244063527885802E-4</v>
      </c>
      <c r="H284" t="s">
        <v>63</v>
      </c>
      <c r="I284" t="s">
        <v>66</v>
      </c>
      <c r="J284">
        <f t="shared" si="4"/>
        <v>0.3144745841889951</v>
      </c>
    </row>
    <row r="285" spans="1:10">
      <c r="A285">
        <v>284</v>
      </c>
      <c r="B285" t="s">
        <v>59</v>
      </c>
      <c r="C285" s="34">
        <v>44228</v>
      </c>
      <c r="D285" t="s">
        <v>60</v>
      </c>
      <c r="E285" t="s">
        <v>61</v>
      </c>
      <c r="F285" t="s">
        <v>65</v>
      </c>
      <c r="G285">
        <v>2.6385682465002701E-4</v>
      </c>
      <c r="H285" t="s">
        <v>63</v>
      </c>
      <c r="I285" t="s">
        <v>66</v>
      </c>
      <c r="J285">
        <f t="shared" si="4"/>
        <v>0.31616909867849818</v>
      </c>
    </row>
    <row r="286" spans="1:10">
      <c r="A286">
        <v>285</v>
      </c>
      <c r="B286" t="s">
        <v>59</v>
      </c>
      <c r="C286" s="34">
        <v>44256</v>
      </c>
      <c r="D286" t="s">
        <v>60</v>
      </c>
      <c r="E286" t="s">
        <v>61</v>
      </c>
      <c r="F286" t="s">
        <v>65</v>
      </c>
      <c r="G286">
        <v>3.2111252117175801E-4</v>
      </c>
      <c r="H286" t="s">
        <v>63</v>
      </c>
      <c r="I286" t="s">
        <v>66</v>
      </c>
      <c r="J286">
        <f t="shared" si="4"/>
        <v>0.38465520586280499</v>
      </c>
    </row>
    <row r="287" spans="1:10">
      <c r="A287">
        <v>286</v>
      </c>
      <c r="B287" t="s">
        <v>59</v>
      </c>
      <c r="C287" s="34">
        <v>44287</v>
      </c>
      <c r="D287" t="s">
        <v>60</v>
      </c>
      <c r="E287" t="s">
        <v>61</v>
      </c>
      <c r="F287" t="s">
        <v>65</v>
      </c>
      <c r="G287">
        <v>2.9474136238393498E-4</v>
      </c>
      <c r="H287" t="s">
        <v>63</v>
      </c>
      <c r="I287" t="s">
        <v>66</v>
      </c>
      <c r="J287">
        <f t="shared" si="4"/>
        <v>0.35311683948878736</v>
      </c>
    </row>
    <row r="288" spans="1:10">
      <c r="A288">
        <v>287</v>
      </c>
      <c r="B288" t="s">
        <v>59</v>
      </c>
      <c r="C288" s="34">
        <v>44317</v>
      </c>
      <c r="D288" t="s">
        <v>60</v>
      </c>
      <c r="E288" t="s">
        <v>61</v>
      </c>
      <c r="F288" t="s">
        <v>65</v>
      </c>
      <c r="G288">
        <v>2.8217736544272799E-4</v>
      </c>
      <c r="H288" t="s">
        <v>63</v>
      </c>
      <c r="I288" t="s">
        <v>66</v>
      </c>
      <c r="J288">
        <f t="shared" si="4"/>
        <v>0.33808781368330765</v>
      </c>
    </row>
    <row r="289" spans="1:10">
      <c r="A289">
        <v>288</v>
      </c>
      <c r="B289" t="s">
        <v>59</v>
      </c>
      <c r="C289" s="34">
        <v>44348</v>
      </c>
      <c r="D289" t="s">
        <v>60</v>
      </c>
      <c r="E289" t="s">
        <v>61</v>
      </c>
      <c r="F289" t="s">
        <v>65</v>
      </c>
      <c r="G289">
        <v>3.1200641608174901E-4</v>
      </c>
      <c r="H289" t="s">
        <v>63</v>
      </c>
      <c r="I289" t="s">
        <v>66</v>
      </c>
      <c r="J289">
        <f t="shared" si="4"/>
        <v>0.37376587021543672</v>
      </c>
    </row>
    <row r="290" spans="1:10">
      <c r="A290">
        <v>289</v>
      </c>
      <c r="B290" t="s">
        <v>59</v>
      </c>
      <c r="C290" s="34">
        <v>42186</v>
      </c>
      <c r="D290" t="s">
        <v>60</v>
      </c>
      <c r="E290" t="s">
        <v>61</v>
      </c>
      <c r="F290" t="s">
        <v>62</v>
      </c>
      <c r="G290">
        <v>1.37470347527825E-2</v>
      </c>
      <c r="H290" t="s">
        <v>63</v>
      </c>
      <c r="I290" t="s">
        <v>67</v>
      </c>
      <c r="J290">
        <f t="shared" si="4"/>
        <v>15.30459218543907</v>
      </c>
    </row>
    <row r="291" spans="1:10">
      <c r="A291">
        <v>290</v>
      </c>
      <c r="B291" t="s">
        <v>59</v>
      </c>
      <c r="C291" s="34">
        <v>42217</v>
      </c>
      <c r="D291" t="s">
        <v>60</v>
      </c>
      <c r="E291" t="s">
        <v>61</v>
      </c>
      <c r="F291" t="s">
        <v>62</v>
      </c>
      <c r="G291">
        <v>1.31469517387855E-2</v>
      </c>
      <c r="H291" t="s">
        <v>63</v>
      </c>
      <c r="I291" t="s">
        <v>67</v>
      </c>
      <c r="J291">
        <f t="shared" si="4"/>
        <v>14.684126188442637</v>
      </c>
    </row>
    <row r="292" spans="1:10">
      <c r="A292">
        <v>291</v>
      </c>
      <c r="B292" t="s">
        <v>59</v>
      </c>
      <c r="C292" s="34">
        <v>42248</v>
      </c>
      <c r="D292" t="s">
        <v>60</v>
      </c>
      <c r="E292" t="s">
        <v>61</v>
      </c>
      <c r="F292" t="s">
        <v>62</v>
      </c>
      <c r="G292">
        <v>1.3166256161446E-2</v>
      </c>
      <c r="H292" t="s">
        <v>63</v>
      </c>
      <c r="I292" t="s">
        <v>67</v>
      </c>
      <c r="J292">
        <f t="shared" si="4"/>
        <v>14.704151011869959</v>
      </c>
    </row>
    <row r="293" spans="1:10">
      <c r="A293">
        <v>292</v>
      </c>
      <c r="B293" t="s">
        <v>59</v>
      </c>
      <c r="C293" s="34">
        <v>42278</v>
      </c>
      <c r="D293" t="s">
        <v>60</v>
      </c>
      <c r="E293" t="s">
        <v>61</v>
      </c>
      <c r="F293" t="s">
        <v>62</v>
      </c>
      <c r="G293">
        <v>1.3812374859824001E-2</v>
      </c>
      <c r="H293" t="s">
        <v>63</v>
      </c>
      <c r="I293" t="s">
        <v>67</v>
      </c>
      <c r="J293">
        <f t="shared" si="4"/>
        <v>15.371901378995556</v>
      </c>
    </row>
    <row r="294" spans="1:10">
      <c r="A294">
        <v>293</v>
      </c>
      <c r="B294" t="s">
        <v>59</v>
      </c>
      <c r="C294" s="34">
        <v>42309</v>
      </c>
      <c r="D294" t="s">
        <v>60</v>
      </c>
      <c r="E294" t="s">
        <v>61</v>
      </c>
      <c r="F294" t="s">
        <v>62</v>
      </c>
      <c r="G294">
        <v>1.25741849209145E-2</v>
      </c>
      <c r="H294" t="s">
        <v>63</v>
      </c>
      <c r="I294" t="s">
        <v>67</v>
      </c>
      <c r="J294">
        <f t="shared" si="4"/>
        <v>14.088020495169641</v>
      </c>
    </row>
    <row r="295" spans="1:10">
      <c r="A295">
        <v>294</v>
      </c>
      <c r="B295" t="s">
        <v>59</v>
      </c>
      <c r="C295" s="34">
        <v>42339</v>
      </c>
      <c r="D295" t="s">
        <v>60</v>
      </c>
      <c r="E295" t="s">
        <v>61</v>
      </c>
      <c r="F295" t="s">
        <v>62</v>
      </c>
      <c r="G295">
        <v>1.38511129836852E-2</v>
      </c>
      <c r="H295" t="s">
        <v>63</v>
      </c>
      <c r="I295" t="s">
        <v>67</v>
      </c>
      <c r="J295">
        <f t="shared" si="4"/>
        <v>15.411783756492303</v>
      </c>
    </row>
    <row r="296" spans="1:10">
      <c r="A296">
        <v>295</v>
      </c>
      <c r="B296" t="s">
        <v>59</v>
      </c>
      <c r="C296" s="34">
        <v>42370</v>
      </c>
      <c r="D296" t="s">
        <v>60</v>
      </c>
      <c r="E296" t="s">
        <v>61</v>
      </c>
      <c r="F296" t="s">
        <v>62</v>
      </c>
      <c r="G296">
        <v>1.19793889291988E-2</v>
      </c>
      <c r="H296" t="s">
        <v>63</v>
      </c>
      <c r="I296" t="s">
        <v>67</v>
      </c>
      <c r="J296">
        <f t="shared" si="4"/>
        <v>13.464949023854867</v>
      </c>
    </row>
    <row r="297" spans="1:10">
      <c r="A297">
        <v>296</v>
      </c>
      <c r="B297" t="s">
        <v>59</v>
      </c>
      <c r="C297" s="34">
        <v>42401</v>
      </c>
      <c r="D297" t="s">
        <v>60</v>
      </c>
      <c r="E297" t="s">
        <v>61</v>
      </c>
      <c r="F297" t="s">
        <v>62</v>
      </c>
      <c r="G297">
        <v>1.26279924377764E-2</v>
      </c>
      <c r="H297" t="s">
        <v>63</v>
      </c>
      <c r="I297" t="s">
        <v>67</v>
      </c>
      <c r="J297">
        <f t="shared" si="4"/>
        <v>14.14418258849912</v>
      </c>
    </row>
    <row r="298" spans="1:10">
      <c r="A298">
        <v>297</v>
      </c>
      <c r="B298" t="s">
        <v>59</v>
      </c>
      <c r="C298" s="34">
        <v>42430</v>
      </c>
      <c r="D298" t="s">
        <v>60</v>
      </c>
      <c r="E298" t="s">
        <v>61</v>
      </c>
      <c r="F298" t="s">
        <v>62</v>
      </c>
      <c r="G298">
        <v>1.39107867665229E-2</v>
      </c>
      <c r="H298" t="s">
        <v>63</v>
      </c>
      <c r="I298" t="s">
        <v>67</v>
      </c>
      <c r="J298">
        <f t="shared" si="4"/>
        <v>15.473186483387169</v>
      </c>
    </row>
    <row r="299" spans="1:10">
      <c r="A299">
        <v>298</v>
      </c>
      <c r="B299" t="s">
        <v>59</v>
      </c>
      <c r="C299" s="34">
        <v>42461</v>
      </c>
      <c r="D299" t="s">
        <v>60</v>
      </c>
      <c r="E299" t="s">
        <v>61</v>
      </c>
      <c r="F299" t="s">
        <v>62</v>
      </c>
      <c r="G299">
        <v>1.3297569221985399E-2</v>
      </c>
      <c r="H299" t="s">
        <v>63</v>
      </c>
      <c r="I299" t="s">
        <v>67</v>
      </c>
      <c r="J299">
        <f t="shared" si="4"/>
        <v>14.840250113201602</v>
      </c>
    </row>
    <row r="300" spans="1:10">
      <c r="A300">
        <v>299</v>
      </c>
      <c r="B300" t="s">
        <v>59</v>
      </c>
      <c r="C300" s="34">
        <v>42491</v>
      </c>
      <c r="D300" t="s">
        <v>60</v>
      </c>
      <c r="E300" t="s">
        <v>61</v>
      </c>
      <c r="F300" t="s">
        <v>62</v>
      </c>
      <c r="G300">
        <v>1.33166130035483E-2</v>
      </c>
      <c r="H300" t="s">
        <v>63</v>
      </c>
      <c r="I300" t="s">
        <v>67</v>
      </c>
      <c r="J300">
        <f t="shared" si="4"/>
        <v>14.859971457524612</v>
      </c>
    </row>
    <row r="301" spans="1:10">
      <c r="A301">
        <v>300</v>
      </c>
      <c r="B301" t="s">
        <v>59</v>
      </c>
      <c r="C301" s="34">
        <v>42522</v>
      </c>
      <c r="D301" t="s">
        <v>60</v>
      </c>
      <c r="E301" t="s">
        <v>61</v>
      </c>
      <c r="F301" t="s">
        <v>62</v>
      </c>
      <c r="G301">
        <v>1.39705933894342E-2</v>
      </c>
      <c r="H301" t="s">
        <v>63</v>
      </c>
      <c r="I301" t="s">
        <v>67</v>
      </c>
      <c r="J301">
        <f t="shared" si="4"/>
        <v>15.534684902191742</v>
      </c>
    </row>
    <row r="302" spans="1:10">
      <c r="A302">
        <v>301</v>
      </c>
      <c r="B302" t="s">
        <v>59</v>
      </c>
      <c r="C302" s="34">
        <v>42552</v>
      </c>
      <c r="D302" t="s">
        <v>60</v>
      </c>
      <c r="E302" t="s">
        <v>61</v>
      </c>
      <c r="F302" t="s">
        <v>62</v>
      </c>
      <c r="G302">
        <v>1.27184039393961E-2</v>
      </c>
      <c r="H302" t="s">
        <v>63</v>
      </c>
      <c r="I302" t="s">
        <v>67</v>
      </c>
      <c r="J302">
        <f t="shared" si="4"/>
        <v>14.238474651171828</v>
      </c>
    </row>
    <row r="303" spans="1:10">
      <c r="A303">
        <v>302</v>
      </c>
      <c r="B303" t="s">
        <v>59</v>
      </c>
      <c r="C303" s="34">
        <v>42583</v>
      </c>
      <c r="D303" t="s">
        <v>60</v>
      </c>
      <c r="E303" t="s">
        <v>61</v>
      </c>
      <c r="F303" t="s">
        <v>62</v>
      </c>
      <c r="G303">
        <v>1.44852746767281E-2</v>
      </c>
      <c r="H303" t="s">
        <v>63</v>
      </c>
      <c r="I303" t="s">
        <v>67</v>
      </c>
      <c r="J303">
        <f t="shared" si="4"/>
        <v>16.062232618610384</v>
      </c>
    </row>
    <row r="304" spans="1:10">
      <c r="A304">
        <v>303</v>
      </c>
      <c r="B304" t="s">
        <v>59</v>
      </c>
      <c r="C304" s="34">
        <v>42614</v>
      </c>
      <c r="D304" t="s">
        <v>60</v>
      </c>
      <c r="E304" t="s">
        <v>61</v>
      </c>
      <c r="F304" t="s">
        <v>62</v>
      </c>
      <c r="G304">
        <v>1.3229464042623399E-2</v>
      </c>
      <c r="H304" t="s">
        <v>63</v>
      </c>
      <c r="I304" t="s">
        <v>67</v>
      </c>
      <c r="J304">
        <f t="shared" si="4"/>
        <v>14.769687534672315</v>
      </c>
    </row>
    <row r="305" spans="1:10">
      <c r="A305">
        <v>304</v>
      </c>
      <c r="B305" t="s">
        <v>59</v>
      </c>
      <c r="C305" s="34">
        <v>42644</v>
      </c>
      <c r="D305" t="s">
        <v>60</v>
      </c>
      <c r="E305" t="s">
        <v>61</v>
      </c>
      <c r="F305" t="s">
        <v>62</v>
      </c>
      <c r="G305">
        <v>1.3247261758487699E-2</v>
      </c>
      <c r="H305" t="s">
        <v>63</v>
      </c>
      <c r="I305" t="s">
        <v>67</v>
      </c>
      <c r="J305">
        <f t="shared" si="4"/>
        <v>14.78813260608135</v>
      </c>
    </row>
    <row r="306" spans="1:10">
      <c r="A306">
        <v>305</v>
      </c>
      <c r="B306" t="s">
        <v>59</v>
      </c>
      <c r="C306" s="34">
        <v>42675</v>
      </c>
      <c r="D306" t="s">
        <v>60</v>
      </c>
      <c r="E306" t="s">
        <v>61</v>
      </c>
      <c r="F306" t="s">
        <v>62</v>
      </c>
      <c r="G306">
        <v>1.3264980677701099E-2</v>
      </c>
      <c r="H306" t="s">
        <v>63</v>
      </c>
      <c r="I306" t="s">
        <v>67</v>
      </c>
      <c r="J306">
        <f t="shared" si="4"/>
        <v>14.806492379838643</v>
      </c>
    </row>
    <row r="307" spans="1:10">
      <c r="A307">
        <v>306</v>
      </c>
      <c r="B307" t="s">
        <v>59</v>
      </c>
      <c r="C307" s="34">
        <v>42705</v>
      </c>
      <c r="D307" t="s">
        <v>60</v>
      </c>
      <c r="E307" t="s">
        <v>61</v>
      </c>
      <c r="F307" t="s">
        <v>62</v>
      </c>
      <c r="G307">
        <v>1.3282430205355199E-2</v>
      </c>
      <c r="H307" t="s">
        <v>63</v>
      </c>
      <c r="I307" t="s">
        <v>67</v>
      </c>
      <c r="J307">
        <f t="shared" si="4"/>
        <v>14.824569474791272</v>
      </c>
    </row>
    <row r="308" spans="1:10">
      <c r="A308">
        <v>307</v>
      </c>
      <c r="B308" t="s">
        <v>59</v>
      </c>
      <c r="C308" s="34">
        <v>42736</v>
      </c>
      <c r="D308" t="s">
        <v>60</v>
      </c>
      <c r="E308" t="s">
        <v>61</v>
      </c>
      <c r="F308" t="s">
        <v>62</v>
      </c>
      <c r="G308">
        <v>1.26662647364217E-2</v>
      </c>
      <c r="H308" t="s">
        <v>63</v>
      </c>
      <c r="I308" t="s">
        <v>67</v>
      </c>
      <c r="J308">
        <f t="shared" si="4"/>
        <v>14.184109169720783</v>
      </c>
    </row>
    <row r="309" spans="1:10">
      <c r="A309">
        <v>308</v>
      </c>
      <c r="B309" t="s">
        <v>59</v>
      </c>
      <c r="C309" s="34">
        <v>42767</v>
      </c>
      <c r="D309" t="s">
        <v>60</v>
      </c>
      <c r="E309" t="s">
        <v>61</v>
      </c>
      <c r="F309" t="s">
        <v>62</v>
      </c>
      <c r="G309">
        <v>1.20482081786742E-2</v>
      </c>
      <c r="H309" t="s">
        <v>63</v>
      </c>
      <c r="I309" t="s">
        <v>67</v>
      </c>
      <c r="J309">
        <f t="shared" si="4"/>
        <v>13.537251114966386</v>
      </c>
    </row>
    <row r="310" spans="1:10">
      <c r="A310">
        <v>309</v>
      </c>
      <c r="B310" t="s">
        <v>59</v>
      </c>
      <c r="C310" s="34">
        <v>42795</v>
      </c>
      <c r="D310" t="s">
        <v>60</v>
      </c>
      <c r="E310" t="s">
        <v>61</v>
      </c>
      <c r="F310" t="s">
        <v>62</v>
      </c>
      <c r="G310">
        <v>1.4602857922695001E-2</v>
      </c>
      <c r="H310" t="s">
        <v>63</v>
      </c>
      <c r="I310" t="s">
        <v>67</v>
      </c>
      <c r="J310">
        <f t="shared" si="4"/>
        <v>16.182330685429324</v>
      </c>
    </row>
    <row r="311" spans="1:10">
      <c r="A311">
        <v>310</v>
      </c>
      <c r="B311" t="s">
        <v>59</v>
      </c>
      <c r="C311" s="34">
        <v>42826</v>
      </c>
      <c r="D311" t="s">
        <v>60</v>
      </c>
      <c r="E311" t="s">
        <v>61</v>
      </c>
      <c r="F311" t="s">
        <v>62</v>
      </c>
      <c r="G311">
        <v>1.20780402586194E-2</v>
      </c>
      <c r="H311" t="s">
        <v>63</v>
      </c>
      <c r="I311" t="s">
        <v>67</v>
      </c>
      <c r="J311">
        <f t="shared" si="4"/>
        <v>13.568575744295874</v>
      </c>
    </row>
    <row r="312" spans="1:10">
      <c r="A312">
        <v>311</v>
      </c>
      <c r="B312" t="s">
        <v>59</v>
      </c>
      <c r="C312" s="34">
        <v>42856</v>
      </c>
      <c r="D312" t="s">
        <v>60</v>
      </c>
      <c r="E312" t="s">
        <v>61</v>
      </c>
      <c r="F312" t="s">
        <v>62</v>
      </c>
      <c r="G312">
        <v>1.4002021843187201E-2</v>
      </c>
      <c r="H312" t="s">
        <v>63</v>
      </c>
      <c r="I312" t="s">
        <v>67</v>
      </c>
      <c r="J312">
        <f t="shared" si="4"/>
        <v>15.566985954214797</v>
      </c>
    </row>
    <row r="313" spans="1:10">
      <c r="A313">
        <v>312</v>
      </c>
      <c r="B313" t="s">
        <v>59</v>
      </c>
      <c r="C313" s="34">
        <v>42887</v>
      </c>
      <c r="D313" t="s">
        <v>60</v>
      </c>
      <c r="E313" t="s">
        <v>61</v>
      </c>
      <c r="F313" t="s">
        <v>62</v>
      </c>
      <c r="G313">
        <v>1.4018734267408999E-2</v>
      </c>
      <c r="H313" t="s">
        <v>63</v>
      </c>
      <c r="I313" t="s">
        <v>67</v>
      </c>
      <c r="J313">
        <f t="shared" si="4"/>
        <v>15.584157780222707</v>
      </c>
    </row>
    <row r="314" spans="1:10">
      <c r="A314">
        <v>313</v>
      </c>
      <c r="B314" t="s">
        <v>59</v>
      </c>
      <c r="C314" s="34">
        <v>42917</v>
      </c>
      <c r="D314" t="s">
        <v>60</v>
      </c>
      <c r="E314" t="s">
        <v>61</v>
      </c>
      <c r="F314" t="s">
        <v>62</v>
      </c>
      <c r="G314">
        <v>1.2759315935834599E-2</v>
      </c>
      <c r="H314" t="s">
        <v>63</v>
      </c>
      <c r="I314" t="s">
        <v>67</v>
      </c>
      <c r="J314">
        <f t="shared" si="4"/>
        <v>14.281111430774917</v>
      </c>
    </row>
    <row r="315" spans="1:10">
      <c r="A315">
        <v>314</v>
      </c>
      <c r="B315" t="s">
        <v>59</v>
      </c>
      <c r="C315" s="34">
        <v>42948</v>
      </c>
      <c r="D315" t="s">
        <v>60</v>
      </c>
      <c r="E315" t="s">
        <v>61</v>
      </c>
      <c r="F315" t="s">
        <v>62</v>
      </c>
      <c r="G315">
        <v>1.46902775282759E-2</v>
      </c>
      <c r="H315" t="s">
        <v>63</v>
      </c>
      <c r="I315" t="s">
        <v>67</v>
      </c>
      <c r="J315">
        <f t="shared" si="4"/>
        <v>16.271517874240615</v>
      </c>
    </row>
    <row r="316" spans="1:10">
      <c r="A316">
        <v>315</v>
      </c>
      <c r="B316" t="s">
        <v>59</v>
      </c>
      <c r="C316" s="34">
        <v>42979</v>
      </c>
      <c r="D316" t="s">
        <v>60</v>
      </c>
      <c r="E316" t="s">
        <v>61</v>
      </c>
      <c r="F316" t="s">
        <v>62</v>
      </c>
      <c r="G316">
        <v>1.2788823702508501E-2</v>
      </c>
      <c r="H316" t="s">
        <v>63</v>
      </c>
      <c r="I316" t="s">
        <v>67</v>
      </c>
      <c r="J316">
        <f t="shared" si="4"/>
        <v>14.311851134778198</v>
      </c>
    </row>
    <row r="317" spans="1:10">
      <c r="A317">
        <v>316</v>
      </c>
      <c r="B317" t="s">
        <v>59</v>
      </c>
      <c r="C317" s="34">
        <v>43009</v>
      </c>
      <c r="D317" t="s">
        <v>60</v>
      </c>
      <c r="E317" t="s">
        <v>61</v>
      </c>
      <c r="F317" t="s">
        <v>62</v>
      </c>
      <c r="G317">
        <v>1.40836554782671E-2</v>
      </c>
      <c r="H317" t="s">
        <v>63</v>
      </c>
      <c r="I317" t="s">
        <v>67</v>
      </c>
      <c r="J317">
        <f t="shared" si="4"/>
        <v>15.650833218815963</v>
      </c>
    </row>
    <row r="318" spans="1:10">
      <c r="A318">
        <v>317</v>
      </c>
      <c r="B318" t="s">
        <v>59</v>
      </c>
      <c r="C318" s="34">
        <v>43040</v>
      </c>
      <c r="D318" t="s">
        <v>60</v>
      </c>
      <c r="E318" t="s">
        <v>61</v>
      </c>
      <c r="F318" t="s">
        <v>62</v>
      </c>
      <c r="G318">
        <v>1.34585292920895E-2</v>
      </c>
      <c r="H318" t="s">
        <v>63</v>
      </c>
      <c r="I318" t="s">
        <v>67</v>
      </c>
      <c r="J318">
        <f t="shared" si="4"/>
        <v>15.006805222953645</v>
      </c>
    </row>
    <row r="319" spans="1:10">
      <c r="A319">
        <v>318</v>
      </c>
      <c r="B319" t="s">
        <v>59</v>
      </c>
      <c r="C319" s="34">
        <v>43070</v>
      </c>
      <c r="D319" t="s">
        <v>60</v>
      </c>
      <c r="E319" t="s">
        <v>61</v>
      </c>
      <c r="F319" t="s">
        <v>62</v>
      </c>
      <c r="G319">
        <v>1.28318100857401E-2</v>
      </c>
      <c r="H319" t="s">
        <v>63</v>
      </c>
      <c r="I319" t="s">
        <v>67</v>
      </c>
      <c r="J319">
        <f t="shared" si="4"/>
        <v>14.356614099623155</v>
      </c>
    </row>
    <row r="320" spans="1:10">
      <c r="A320">
        <v>319</v>
      </c>
      <c r="B320" t="s">
        <v>59</v>
      </c>
      <c r="C320" s="34">
        <v>43101</v>
      </c>
      <c r="D320" t="s">
        <v>60</v>
      </c>
      <c r="E320" t="s">
        <v>61</v>
      </c>
      <c r="F320" t="s">
        <v>62</v>
      </c>
      <c r="G320">
        <v>1.34881045585957E-2</v>
      </c>
      <c r="H320" t="s">
        <v>63</v>
      </c>
      <c r="I320" t="s">
        <v>67</v>
      </c>
      <c r="J320">
        <f t="shared" si="4"/>
        <v>15.037376044801842</v>
      </c>
    </row>
    <row r="321" spans="1:10">
      <c r="A321">
        <v>320</v>
      </c>
      <c r="B321" t="s">
        <v>59</v>
      </c>
      <c r="C321" s="34">
        <v>43132</v>
      </c>
      <c r="D321" t="s">
        <v>60</v>
      </c>
      <c r="E321" t="s">
        <v>61</v>
      </c>
      <c r="F321" t="s">
        <v>62</v>
      </c>
      <c r="G321">
        <v>1.22166762587215E-2</v>
      </c>
      <c r="H321" t="s">
        <v>63</v>
      </c>
      <c r="I321" t="s">
        <v>67</v>
      </c>
      <c r="J321">
        <f t="shared" si="4"/>
        <v>13.714011478070686</v>
      </c>
    </row>
    <row r="322" spans="1:10">
      <c r="A322">
        <v>321</v>
      </c>
      <c r="B322" t="s">
        <v>59</v>
      </c>
      <c r="C322" s="34">
        <v>43160</v>
      </c>
      <c r="D322" t="s">
        <v>60</v>
      </c>
      <c r="E322" t="s">
        <v>61</v>
      </c>
      <c r="F322" t="s">
        <v>62</v>
      </c>
      <c r="G322">
        <v>1.35170141857309E-2</v>
      </c>
      <c r="H322" t="s">
        <v>63</v>
      </c>
      <c r="I322" t="s">
        <v>67</v>
      </c>
      <c r="J322">
        <f t="shared" si="4"/>
        <v>15.067249078550137</v>
      </c>
    </row>
    <row r="323" spans="1:10">
      <c r="A323">
        <v>322</v>
      </c>
      <c r="B323" t="s">
        <v>59</v>
      </c>
      <c r="C323" s="34">
        <v>43191</v>
      </c>
      <c r="D323" t="s">
        <v>60</v>
      </c>
      <c r="E323" t="s">
        <v>61</v>
      </c>
      <c r="F323" t="s">
        <v>62</v>
      </c>
      <c r="G323">
        <v>1.35312211280911E-2</v>
      </c>
      <c r="H323" t="s">
        <v>63</v>
      </c>
      <c r="I323" t="s">
        <v>67</v>
      </c>
      <c r="J323">
        <f t="shared" ref="J323:J386" si="5">100*(1-(1-G323)^12)</f>
        <v>15.081925935334784</v>
      </c>
    </row>
    <row r="324" spans="1:10">
      <c r="A324">
        <v>323</v>
      </c>
      <c r="B324" t="s">
        <v>59</v>
      </c>
      <c r="C324" s="34">
        <v>43221</v>
      </c>
      <c r="D324" t="s">
        <v>60</v>
      </c>
      <c r="E324" t="s">
        <v>61</v>
      </c>
      <c r="F324" t="s">
        <v>62</v>
      </c>
      <c r="G324">
        <v>1.4190275986878401E-2</v>
      </c>
      <c r="H324" t="s">
        <v>63</v>
      </c>
      <c r="I324" t="s">
        <v>67</v>
      </c>
      <c r="J324">
        <f t="shared" si="5"/>
        <v>15.760229971055018</v>
      </c>
    </row>
    <row r="325" spans="1:10">
      <c r="A325">
        <v>324</v>
      </c>
      <c r="B325" t="s">
        <v>59</v>
      </c>
      <c r="C325" s="34">
        <v>43252</v>
      </c>
      <c r="D325" t="s">
        <v>60</v>
      </c>
      <c r="E325" t="s">
        <v>61</v>
      </c>
      <c r="F325" t="s">
        <v>62</v>
      </c>
      <c r="G325">
        <v>1.3559003693190901E-2</v>
      </c>
      <c r="H325" t="s">
        <v>63</v>
      </c>
      <c r="I325" t="s">
        <v>67</v>
      </c>
      <c r="J325">
        <f t="shared" si="5"/>
        <v>15.110620729033764</v>
      </c>
    </row>
    <row r="326" spans="1:10">
      <c r="A326">
        <v>325</v>
      </c>
      <c r="B326" t="s">
        <v>59</v>
      </c>
      <c r="C326" s="34">
        <v>43282</v>
      </c>
      <c r="D326" t="s">
        <v>60</v>
      </c>
      <c r="E326" t="s">
        <v>61</v>
      </c>
      <c r="F326" t="s">
        <v>62</v>
      </c>
      <c r="G326">
        <v>1.3572533269667401E-2</v>
      </c>
      <c r="H326" t="s">
        <v>63</v>
      </c>
      <c r="I326" t="s">
        <v>67</v>
      </c>
      <c r="J326">
        <f t="shared" si="5"/>
        <v>15.124591324962056</v>
      </c>
    </row>
    <row r="327" spans="1:10">
      <c r="A327">
        <v>326</v>
      </c>
      <c r="B327" t="s">
        <v>59</v>
      </c>
      <c r="C327" s="34">
        <v>43313</v>
      </c>
      <c r="D327" t="s">
        <v>60</v>
      </c>
      <c r="E327" t="s">
        <v>61</v>
      </c>
      <c r="F327" t="s">
        <v>62</v>
      </c>
      <c r="G327">
        <v>1.4879790697217499E-2</v>
      </c>
      <c r="H327" t="s">
        <v>63</v>
      </c>
      <c r="I327" t="s">
        <v>67</v>
      </c>
      <c r="J327">
        <f t="shared" si="5"/>
        <v>16.464564278779847</v>
      </c>
    </row>
    <row r="328" spans="1:10">
      <c r="A328">
        <v>327</v>
      </c>
      <c r="B328" t="s">
        <v>59</v>
      </c>
      <c r="C328" s="34">
        <v>43344</v>
      </c>
      <c r="D328" t="s">
        <v>60</v>
      </c>
      <c r="E328" t="s">
        <v>61</v>
      </c>
      <c r="F328" t="s">
        <v>62</v>
      </c>
      <c r="G328">
        <v>1.23039400027502E-2</v>
      </c>
      <c r="H328" t="s">
        <v>63</v>
      </c>
      <c r="I328" t="s">
        <v>67</v>
      </c>
      <c r="J328">
        <f t="shared" si="5"/>
        <v>13.805440204539254</v>
      </c>
    </row>
    <row r="329" spans="1:10">
      <c r="A329">
        <v>328</v>
      </c>
      <c r="B329" t="s">
        <v>59</v>
      </c>
      <c r="C329" s="34">
        <v>43374</v>
      </c>
      <c r="D329" t="s">
        <v>60</v>
      </c>
      <c r="E329" t="s">
        <v>61</v>
      </c>
      <c r="F329" t="s">
        <v>62</v>
      </c>
      <c r="G329">
        <v>1.4908472503896901E-2</v>
      </c>
      <c r="H329" t="s">
        <v>63</v>
      </c>
      <c r="I329" t="s">
        <v>67</v>
      </c>
      <c r="J329">
        <f t="shared" si="5"/>
        <v>16.493745248534498</v>
      </c>
    </row>
    <row r="330" spans="1:10">
      <c r="A330">
        <v>329</v>
      </c>
      <c r="B330" t="s">
        <v>59</v>
      </c>
      <c r="C330" s="34">
        <v>43405</v>
      </c>
      <c r="D330" t="s">
        <v>60</v>
      </c>
      <c r="E330" t="s">
        <v>61</v>
      </c>
      <c r="F330" t="s">
        <v>62</v>
      </c>
      <c r="G330">
        <v>1.3624813894141699E-2</v>
      </c>
      <c r="H330" t="s">
        <v>63</v>
      </c>
      <c r="I330" t="s">
        <v>67</v>
      </c>
      <c r="J330">
        <f t="shared" si="5"/>
        <v>15.178556320007242</v>
      </c>
    </row>
    <row r="331" spans="1:10">
      <c r="A331">
        <v>330</v>
      </c>
      <c r="B331" t="s">
        <v>59</v>
      </c>
      <c r="C331" s="34">
        <v>43435</v>
      </c>
      <c r="D331" t="s">
        <v>60</v>
      </c>
      <c r="E331" t="s">
        <v>61</v>
      </c>
      <c r="F331" t="s">
        <v>62</v>
      </c>
      <c r="G331">
        <v>1.29879727403214E-2</v>
      </c>
      <c r="H331" t="s">
        <v>63</v>
      </c>
      <c r="I331" t="s">
        <v>67</v>
      </c>
      <c r="J331">
        <f t="shared" si="5"/>
        <v>14.519050470616312</v>
      </c>
    </row>
    <row r="332" spans="1:10">
      <c r="A332">
        <v>331</v>
      </c>
      <c r="B332" t="s">
        <v>59</v>
      </c>
      <c r="C332" s="34">
        <v>43466</v>
      </c>
      <c r="D332" t="s">
        <v>60</v>
      </c>
      <c r="E332" t="s">
        <v>61</v>
      </c>
      <c r="F332" t="s">
        <v>62</v>
      </c>
      <c r="G332">
        <v>1.3649756898752899E-2</v>
      </c>
      <c r="H332" t="s">
        <v>63</v>
      </c>
      <c r="I332" t="s">
        <v>67</v>
      </c>
      <c r="J332">
        <f t="shared" si="5"/>
        <v>15.204291850996011</v>
      </c>
    </row>
    <row r="333" spans="1:10">
      <c r="A333">
        <v>332</v>
      </c>
      <c r="B333" t="s">
        <v>59</v>
      </c>
      <c r="C333" s="34">
        <v>43497</v>
      </c>
      <c r="D333" t="s">
        <v>60</v>
      </c>
      <c r="E333" t="s">
        <v>61</v>
      </c>
      <c r="F333" t="s">
        <v>62</v>
      </c>
      <c r="G333">
        <v>1.23608175377304E-2</v>
      </c>
      <c r="H333" t="s">
        <v>63</v>
      </c>
      <c r="I333" t="s">
        <v>67</v>
      </c>
      <c r="J333">
        <f t="shared" si="5"/>
        <v>13.864984615082355</v>
      </c>
    </row>
    <row r="334" spans="1:10">
      <c r="A334">
        <v>333</v>
      </c>
      <c r="B334" t="s">
        <v>59</v>
      </c>
      <c r="C334" s="34">
        <v>43525</v>
      </c>
      <c r="D334" t="s">
        <v>60</v>
      </c>
      <c r="E334" t="s">
        <v>61</v>
      </c>
      <c r="F334" t="s">
        <v>62</v>
      </c>
      <c r="G334">
        <v>1.36739570051942E-2</v>
      </c>
      <c r="H334" t="s">
        <v>63</v>
      </c>
      <c r="I334" t="s">
        <v>67</v>
      </c>
      <c r="J334">
        <f t="shared" si="5"/>
        <v>15.229254038078665</v>
      </c>
    </row>
    <row r="335" spans="1:10">
      <c r="A335">
        <v>334</v>
      </c>
      <c r="B335" t="s">
        <v>59</v>
      </c>
      <c r="C335" s="34">
        <v>43556</v>
      </c>
      <c r="D335" t="s">
        <v>60</v>
      </c>
      <c r="E335" t="s">
        <v>61</v>
      </c>
      <c r="F335" t="s">
        <v>62</v>
      </c>
      <c r="G335">
        <v>1.36857878691981E-2</v>
      </c>
      <c r="H335" t="s">
        <v>63</v>
      </c>
      <c r="I335" t="s">
        <v>67</v>
      </c>
      <c r="J335">
        <f t="shared" si="5"/>
        <v>15.241455013764217</v>
      </c>
    </row>
    <row r="336" spans="1:10">
      <c r="A336">
        <v>335</v>
      </c>
      <c r="B336" t="s">
        <v>59</v>
      </c>
      <c r="C336" s="34">
        <v>43586</v>
      </c>
      <c r="D336" t="s">
        <v>60</v>
      </c>
      <c r="E336" t="s">
        <v>61</v>
      </c>
      <c r="F336" t="s">
        <v>62</v>
      </c>
      <c r="G336">
        <v>1.4349701033312999E-2</v>
      </c>
      <c r="H336" t="s">
        <v>63</v>
      </c>
      <c r="I336" t="s">
        <v>67</v>
      </c>
      <c r="J336">
        <f t="shared" si="5"/>
        <v>15.923563604085212</v>
      </c>
    </row>
    <row r="337" spans="1:10">
      <c r="A337">
        <v>336</v>
      </c>
      <c r="B337" t="s">
        <v>59</v>
      </c>
      <c r="C337" s="34">
        <v>43617</v>
      </c>
      <c r="D337" t="s">
        <v>60</v>
      </c>
      <c r="E337" t="s">
        <v>61</v>
      </c>
      <c r="F337" t="s">
        <v>62</v>
      </c>
      <c r="G337">
        <v>1.30561169744555E-2</v>
      </c>
      <c r="H337" t="s">
        <v>63</v>
      </c>
      <c r="I337" t="s">
        <v>67</v>
      </c>
      <c r="J337">
        <f t="shared" si="5"/>
        <v>14.589843801701052</v>
      </c>
    </row>
    <row r="338" spans="1:10">
      <c r="A338">
        <v>337</v>
      </c>
      <c r="B338" t="s">
        <v>59</v>
      </c>
      <c r="C338" s="34">
        <v>43647</v>
      </c>
      <c r="D338" t="s">
        <v>60</v>
      </c>
      <c r="E338" t="s">
        <v>61</v>
      </c>
      <c r="F338" t="s">
        <v>62</v>
      </c>
      <c r="G338">
        <v>1.4373578051689701E-2</v>
      </c>
      <c r="H338" t="s">
        <v>63</v>
      </c>
      <c r="I338" t="s">
        <v>67</v>
      </c>
      <c r="J338">
        <f t="shared" si="5"/>
        <v>15.948000999429702</v>
      </c>
    </row>
    <row r="339" spans="1:10">
      <c r="A339">
        <v>338</v>
      </c>
      <c r="B339" t="s">
        <v>59</v>
      </c>
      <c r="C339" s="34">
        <v>43678</v>
      </c>
      <c r="D339" t="s">
        <v>60</v>
      </c>
      <c r="E339" t="s">
        <v>61</v>
      </c>
      <c r="F339" t="s">
        <v>62</v>
      </c>
      <c r="G339">
        <v>1.43852255134806E-2</v>
      </c>
      <c r="H339" t="s">
        <v>63</v>
      </c>
      <c r="I339" t="s">
        <v>67</v>
      </c>
      <c r="J339">
        <f t="shared" si="5"/>
        <v>15.959919456130844</v>
      </c>
    </row>
    <row r="340" spans="1:10">
      <c r="A340">
        <v>339</v>
      </c>
      <c r="B340" t="s">
        <v>59</v>
      </c>
      <c r="C340" s="34">
        <v>43709</v>
      </c>
      <c r="D340" t="s">
        <v>60</v>
      </c>
      <c r="E340" t="s">
        <v>61</v>
      </c>
      <c r="F340" t="s">
        <v>62</v>
      </c>
      <c r="G340">
        <v>1.3087873687985901E-2</v>
      </c>
      <c r="H340" t="s">
        <v>63</v>
      </c>
      <c r="I340" t="s">
        <v>67</v>
      </c>
      <c r="J340">
        <f t="shared" si="5"/>
        <v>14.622816690439445</v>
      </c>
    </row>
    <row r="341" spans="1:10">
      <c r="A341">
        <v>340</v>
      </c>
      <c r="B341" t="s">
        <v>59</v>
      </c>
      <c r="C341" s="34">
        <v>43739</v>
      </c>
      <c r="D341" t="s">
        <v>60</v>
      </c>
      <c r="E341" t="s">
        <v>61</v>
      </c>
      <c r="F341" t="s">
        <v>62</v>
      </c>
      <c r="G341">
        <v>1.5062822272643101E-2</v>
      </c>
      <c r="H341" t="s">
        <v>63</v>
      </c>
      <c r="I341" t="s">
        <v>67</v>
      </c>
      <c r="J341">
        <f t="shared" si="5"/>
        <v>16.650620856904386</v>
      </c>
    </row>
    <row r="342" spans="1:10">
      <c r="A342">
        <v>341</v>
      </c>
      <c r="B342" t="s">
        <v>59</v>
      </c>
      <c r="C342" s="34">
        <v>43770</v>
      </c>
      <c r="D342" t="s">
        <v>60</v>
      </c>
      <c r="E342" t="s">
        <v>61</v>
      </c>
      <c r="F342" t="s">
        <v>62</v>
      </c>
      <c r="G342">
        <v>1.3108175630955701E-2</v>
      </c>
      <c r="H342" t="s">
        <v>63</v>
      </c>
      <c r="I342" t="s">
        <v>67</v>
      </c>
      <c r="J342">
        <f t="shared" si="5"/>
        <v>14.643890014757154</v>
      </c>
    </row>
    <row r="343" spans="1:10">
      <c r="A343">
        <v>342</v>
      </c>
      <c r="B343" t="s">
        <v>59</v>
      </c>
      <c r="C343" s="34">
        <v>43800</v>
      </c>
      <c r="D343" t="s">
        <v>60</v>
      </c>
      <c r="E343" t="s">
        <v>61</v>
      </c>
      <c r="F343" t="s">
        <v>62</v>
      </c>
      <c r="G343">
        <v>1.37739432734205E-2</v>
      </c>
      <c r="H343" t="s">
        <v>63</v>
      </c>
      <c r="I343" t="s">
        <v>67</v>
      </c>
      <c r="J343">
        <f t="shared" si="5"/>
        <v>15.332317561181164</v>
      </c>
    </row>
    <row r="344" spans="1:10">
      <c r="A344">
        <v>343</v>
      </c>
      <c r="B344" t="s">
        <v>59</v>
      </c>
      <c r="C344" s="34">
        <v>43831</v>
      </c>
      <c r="D344" t="s">
        <v>60</v>
      </c>
      <c r="E344" t="s">
        <v>61</v>
      </c>
      <c r="F344" t="s">
        <v>62</v>
      </c>
      <c r="G344">
        <v>1.3784128344685001E-2</v>
      </c>
      <c r="H344" t="s">
        <v>63</v>
      </c>
      <c r="I344" t="s">
        <v>67</v>
      </c>
      <c r="J344">
        <f t="shared" si="5"/>
        <v>15.342809647376832</v>
      </c>
    </row>
    <row r="345" spans="1:10">
      <c r="A345">
        <v>344</v>
      </c>
      <c r="B345" t="s">
        <v>59</v>
      </c>
      <c r="C345" s="34">
        <v>43862</v>
      </c>
      <c r="D345" t="s">
        <v>60</v>
      </c>
      <c r="E345" t="s">
        <v>61</v>
      </c>
      <c r="F345" t="s">
        <v>62</v>
      </c>
      <c r="G345">
        <v>1.2480412090037399E-2</v>
      </c>
      <c r="H345" t="s">
        <v>63</v>
      </c>
      <c r="I345" t="s">
        <v>67</v>
      </c>
      <c r="J345">
        <f t="shared" si="5"/>
        <v>13.990063743713987</v>
      </c>
    </row>
    <row r="346" spans="1:10">
      <c r="A346">
        <v>345</v>
      </c>
      <c r="B346" t="s">
        <v>59</v>
      </c>
      <c r="C346" s="34">
        <v>43891</v>
      </c>
      <c r="D346" t="s">
        <v>60</v>
      </c>
      <c r="E346" t="s">
        <v>61</v>
      </c>
      <c r="F346" t="s">
        <v>62</v>
      </c>
      <c r="G346">
        <v>1.446130953993E-2</v>
      </c>
      <c r="H346" t="s">
        <v>63</v>
      </c>
      <c r="I346" t="s">
        <v>67</v>
      </c>
      <c r="J346">
        <f t="shared" si="5"/>
        <v>16.037735582640302</v>
      </c>
    </row>
    <row r="347" spans="1:10">
      <c r="A347">
        <v>346</v>
      </c>
      <c r="B347" t="s">
        <v>59</v>
      </c>
      <c r="C347" s="34">
        <v>43922</v>
      </c>
      <c r="D347" t="s">
        <v>60</v>
      </c>
      <c r="E347" t="s">
        <v>61</v>
      </c>
      <c r="F347" t="s">
        <v>62</v>
      </c>
      <c r="G347">
        <v>1.3813641070643E-2</v>
      </c>
      <c r="H347" t="s">
        <v>63</v>
      </c>
      <c r="I347" t="s">
        <v>67</v>
      </c>
      <c r="J347">
        <f t="shared" si="5"/>
        <v>15.373205263829991</v>
      </c>
    </row>
    <row r="348" spans="1:10">
      <c r="A348">
        <v>347</v>
      </c>
      <c r="B348" t="s">
        <v>59</v>
      </c>
      <c r="C348" s="34">
        <v>43952</v>
      </c>
      <c r="D348" t="s">
        <v>60</v>
      </c>
      <c r="E348" t="s">
        <v>61</v>
      </c>
      <c r="F348" t="s">
        <v>62</v>
      </c>
      <c r="G348">
        <v>1.31648854118548E-2</v>
      </c>
      <c r="H348" t="s">
        <v>63</v>
      </c>
      <c r="I348" t="s">
        <v>67</v>
      </c>
      <c r="J348">
        <f t="shared" si="5"/>
        <v>14.702729250880243</v>
      </c>
    </row>
    <row r="349" spans="1:10">
      <c r="A349">
        <v>348</v>
      </c>
      <c r="B349" t="s">
        <v>59</v>
      </c>
      <c r="C349" s="34">
        <v>43983</v>
      </c>
      <c r="D349" t="s">
        <v>60</v>
      </c>
      <c r="E349" t="s">
        <v>61</v>
      </c>
      <c r="F349" t="s">
        <v>62</v>
      </c>
      <c r="G349">
        <v>1.4491133583743401E-2</v>
      </c>
      <c r="H349" t="s">
        <v>63</v>
      </c>
      <c r="I349" t="s">
        <v>67</v>
      </c>
      <c r="J349">
        <f t="shared" si="5"/>
        <v>16.068220565599166</v>
      </c>
    </row>
    <row r="350" spans="1:10">
      <c r="A350">
        <v>349</v>
      </c>
      <c r="B350" t="s">
        <v>59</v>
      </c>
      <c r="C350" s="34">
        <v>44013</v>
      </c>
      <c r="D350" t="s">
        <v>60</v>
      </c>
      <c r="E350" t="s">
        <v>61</v>
      </c>
      <c r="F350" t="s">
        <v>62</v>
      </c>
      <c r="G350">
        <v>1.45007120876897E-2</v>
      </c>
      <c r="H350" t="s">
        <v>63</v>
      </c>
      <c r="I350" t="s">
        <v>67</v>
      </c>
      <c r="J350">
        <f t="shared" si="5"/>
        <v>16.0780091887178</v>
      </c>
    </row>
    <row r="351" spans="1:10">
      <c r="A351">
        <v>350</v>
      </c>
      <c r="B351" t="s">
        <v>59</v>
      </c>
      <c r="C351" s="34">
        <v>44044</v>
      </c>
      <c r="D351" t="s">
        <v>60</v>
      </c>
      <c r="E351" t="s">
        <v>61</v>
      </c>
      <c r="F351" t="s">
        <v>62</v>
      </c>
      <c r="G351">
        <v>1.3850558477110701E-2</v>
      </c>
      <c r="H351" t="s">
        <v>63</v>
      </c>
      <c r="I351" t="s">
        <v>67</v>
      </c>
      <c r="J351">
        <f t="shared" si="5"/>
        <v>15.411212992368784</v>
      </c>
    </row>
    <row r="352" spans="1:10">
      <c r="A352">
        <v>351</v>
      </c>
      <c r="B352" t="s">
        <v>59</v>
      </c>
      <c r="C352" s="34">
        <v>44075</v>
      </c>
      <c r="D352" t="s">
        <v>60</v>
      </c>
      <c r="E352" t="s">
        <v>61</v>
      </c>
      <c r="F352" t="s">
        <v>62</v>
      </c>
      <c r="G352">
        <v>1.3859355518513699E-2</v>
      </c>
      <c r="H352" t="s">
        <v>63</v>
      </c>
      <c r="I352" t="s">
        <v>67</v>
      </c>
      <c r="J352">
        <f t="shared" si="5"/>
        <v>15.4202675375131</v>
      </c>
    </row>
    <row r="353" spans="1:10">
      <c r="A353">
        <v>352</v>
      </c>
      <c r="B353" t="s">
        <v>59</v>
      </c>
      <c r="C353" s="34">
        <v>44105</v>
      </c>
      <c r="D353" t="s">
        <v>60</v>
      </c>
      <c r="E353" t="s">
        <v>61</v>
      </c>
      <c r="F353" t="s">
        <v>62</v>
      </c>
      <c r="G353">
        <v>1.4528359998328501E-2</v>
      </c>
      <c r="H353" t="s">
        <v>63</v>
      </c>
      <c r="I353" t="s">
        <v>67</v>
      </c>
      <c r="J353">
        <f t="shared" si="5"/>
        <v>16.10625772926889</v>
      </c>
    </row>
    <row r="354" spans="1:10">
      <c r="A354">
        <v>353</v>
      </c>
      <c r="B354" t="s">
        <v>59</v>
      </c>
      <c r="C354" s="34">
        <v>44136</v>
      </c>
      <c r="D354" t="s">
        <v>60</v>
      </c>
      <c r="E354" t="s">
        <v>61</v>
      </c>
      <c r="F354" t="s">
        <v>62</v>
      </c>
      <c r="G354">
        <v>1.32156494495318E-2</v>
      </c>
      <c r="H354" t="s">
        <v>63</v>
      </c>
      <c r="I354" t="s">
        <v>67</v>
      </c>
      <c r="J354">
        <f t="shared" si="5"/>
        <v>14.755367941121522</v>
      </c>
    </row>
    <row r="355" spans="1:10">
      <c r="A355">
        <v>354</v>
      </c>
      <c r="B355" t="s">
        <v>59</v>
      </c>
      <c r="C355" s="34">
        <v>44166</v>
      </c>
      <c r="D355" t="s">
        <v>60</v>
      </c>
      <c r="E355" t="s">
        <v>61</v>
      </c>
      <c r="F355" t="s">
        <v>62</v>
      </c>
      <c r="G355">
        <v>1.4545752632888201E-2</v>
      </c>
      <c r="H355" t="s">
        <v>63</v>
      </c>
      <c r="I355" t="s">
        <v>67</v>
      </c>
      <c r="J355">
        <f t="shared" si="5"/>
        <v>16.12402373911722</v>
      </c>
    </row>
    <row r="356" spans="1:10">
      <c r="A356">
        <v>355</v>
      </c>
      <c r="B356" t="s">
        <v>59</v>
      </c>
      <c r="C356" s="34">
        <v>44197</v>
      </c>
      <c r="D356" t="s">
        <v>60</v>
      </c>
      <c r="E356" t="s">
        <v>61</v>
      </c>
      <c r="F356" t="s">
        <v>62</v>
      </c>
      <c r="G356">
        <v>1.25683868559663E-2</v>
      </c>
      <c r="H356" t="s">
        <v>63</v>
      </c>
      <c r="I356" t="s">
        <v>67</v>
      </c>
      <c r="J356">
        <f t="shared" si="5"/>
        <v>14.081966701758796</v>
      </c>
    </row>
    <row r="357" spans="1:10">
      <c r="A357">
        <v>356</v>
      </c>
      <c r="B357" t="s">
        <v>59</v>
      </c>
      <c r="C357" s="34">
        <v>44228</v>
      </c>
      <c r="D357" t="s">
        <v>60</v>
      </c>
      <c r="E357" t="s">
        <v>61</v>
      </c>
      <c r="F357" t="s">
        <v>62</v>
      </c>
      <c r="G357">
        <v>1.2574403432615599E-2</v>
      </c>
      <c r="H357" t="s">
        <v>63</v>
      </c>
      <c r="I357" t="s">
        <v>67</v>
      </c>
      <c r="J357">
        <f t="shared" si="5"/>
        <v>14.088248636864819</v>
      </c>
    </row>
    <row r="358" spans="1:10">
      <c r="A358">
        <v>357</v>
      </c>
      <c r="B358" t="s">
        <v>59</v>
      </c>
      <c r="C358" s="34">
        <v>44256</v>
      </c>
      <c r="D358" t="s">
        <v>60</v>
      </c>
      <c r="E358" t="s">
        <v>61</v>
      </c>
      <c r="F358" t="s">
        <v>62</v>
      </c>
      <c r="G358">
        <v>1.52287722164584E-2</v>
      </c>
      <c r="H358" t="s">
        <v>63</v>
      </c>
      <c r="I358" t="s">
        <v>67</v>
      </c>
      <c r="J358">
        <f t="shared" si="5"/>
        <v>16.818985068251113</v>
      </c>
    </row>
    <row r="359" spans="1:10">
      <c r="A359">
        <v>358</v>
      </c>
      <c r="B359" t="s">
        <v>59</v>
      </c>
      <c r="C359" s="34">
        <v>44287</v>
      </c>
      <c r="D359" t="s">
        <v>60</v>
      </c>
      <c r="E359" t="s">
        <v>61</v>
      </c>
      <c r="F359" t="s">
        <v>62</v>
      </c>
      <c r="G359">
        <v>1.3909649997540499E-2</v>
      </c>
      <c r="H359" t="s">
        <v>63</v>
      </c>
      <c r="I359" t="s">
        <v>67</v>
      </c>
      <c r="J359">
        <f t="shared" si="5"/>
        <v>15.472017160355534</v>
      </c>
    </row>
    <row r="360" spans="1:10">
      <c r="A360">
        <v>359</v>
      </c>
      <c r="B360" t="s">
        <v>59</v>
      </c>
      <c r="C360" s="34">
        <v>44317</v>
      </c>
      <c r="D360" t="s">
        <v>60</v>
      </c>
      <c r="E360" t="s">
        <v>61</v>
      </c>
      <c r="F360" t="s">
        <v>62</v>
      </c>
      <c r="G360">
        <v>1.3250900112758699E-2</v>
      </c>
      <c r="H360" t="s">
        <v>63</v>
      </c>
      <c r="I360" t="s">
        <v>67</v>
      </c>
      <c r="J360">
        <f t="shared" si="5"/>
        <v>14.791902847550309</v>
      </c>
    </row>
    <row r="361" spans="1:10">
      <c r="A361">
        <v>360</v>
      </c>
      <c r="B361" t="s">
        <v>59</v>
      </c>
      <c r="C361" s="34">
        <v>44348</v>
      </c>
      <c r="D361" t="s">
        <v>60</v>
      </c>
      <c r="E361" t="s">
        <v>61</v>
      </c>
      <c r="F361" t="s">
        <v>62</v>
      </c>
      <c r="G361">
        <v>1.4579819016057099E-2</v>
      </c>
      <c r="H361" t="s">
        <v>63</v>
      </c>
      <c r="I361" t="s">
        <v>67</v>
      </c>
      <c r="J361">
        <f t="shared" si="5"/>
        <v>16.158811447782785</v>
      </c>
    </row>
    <row r="362" spans="1:10">
      <c r="A362">
        <v>361</v>
      </c>
      <c r="B362" t="s">
        <v>59</v>
      </c>
      <c r="C362" s="34">
        <v>42186</v>
      </c>
      <c r="D362" t="s">
        <v>60</v>
      </c>
      <c r="E362" t="s">
        <v>61</v>
      </c>
      <c r="F362" t="s">
        <v>65</v>
      </c>
      <c r="G362" s="49">
        <v>5.7064378356679999E-5</v>
      </c>
      <c r="H362" t="s">
        <v>63</v>
      </c>
      <c r="I362" t="s">
        <v>67</v>
      </c>
      <c r="J362">
        <f t="shared" si="5"/>
        <v>6.8455766249975181E-2</v>
      </c>
    </row>
    <row r="363" spans="1:10">
      <c r="A363">
        <v>362</v>
      </c>
      <c r="B363" t="s">
        <v>59</v>
      </c>
      <c r="C363" s="34">
        <v>42217</v>
      </c>
      <c r="D363" t="s">
        <v>60</v>
      </c>
      <c r="E363" t="s">
        <v>61</v>
      </c>
      <c r="F363" t="s">
        <v>65</v>
      </c>
      <c r="G363" s="49">
        <v>6.4023194485644705E-5</v>
      </c>
      <c r="H363" t="s">
        <v>63</v>
      </c>
      <c r="I363" t="s">
        <v>67</v>
      </c>
      <c r="J363">
        <f t="shared" si="5"/>
        <v>7.6800785957120699E-2</v>
      </c>
    </row>
    <row r="364" spans="1:10">
      <c r="A364">
        <v>363</v>
      </c>
      <c r="B364" t="s">
        <v>59</v>
      </c>
      <c r="C364" s="34">
        <v>42248</v>
      </c>
      <c r="D364" t="s">
        <v>60</v>
      </c>
      <c r="E364" t="s">
        <v>61</v>
      </c>
      <c r="F364" t="s">
        <v>65</v>
      </c>
      <c r="G364" s="49">
        <v>8.1334412874016E-5</v>
      </c>
      <c r="H364" t="s">
        <v>63</v>
      </c>
      <c r="I364" t="s">
        <v>67</v>
      </c>
      <c r="J364">
        <f t="shared" si="5"/>
        <v>9.7557646391455144E-2</v>
      </c>
    </row>
    <row r="365" spans="1:10">
      <c r="A365">
        <v>364</v>
      </c>
      <c r="B365" t="s">
        <v>59</v>
      </c>
      <c r="C365" s="34">
        <v>42278</v>
      </c>
      <c r="D365" t="s">
        <v>60</v>
      </c>
      <c r="E365" t="s">
        <v>61</v>
      </c>
      <c r="F365" t="s">
        <v>65</v>
      </c>
      <c r="G365">
        <v>1.12386844424534E-4</v>
      </c>
      <c r="H365" t="s">
        <v>63</v>
      </c>
      <c r="I365" t="s">
        <v>67</v>
      </c>
      <c r="J365">
        <f t="shared" si="5"/>
        <v>0.13478088123276555</v>
      </c>
    </row>
    <row r="366" spans="1:10">
      <c r="A366">
        <v>365</v>
      </c>
      <c r="B366" t="s">
        <v>59</v>
      </c>
      <c r="C366" s="34">
        <v>42309</v>
      </c>
      <c r="D366" t="s">
        <v>60</v>
      </c>
      <c r="E366" t="s">
        <v>61</v>
      </c>
      <c r="F366" t="s">
        <v>65</v>
      </c>
      <c r="G366">
        <v>1.2788147665398399E-4</v>
      </c>
      <c r="H366" t="s">
        <v>63</v>
      </c>
      <c r="I366" t="s">
        <v>67</v>
      </c>
      <c r="J366">
        <f t="shared" si="5"/>
        <v>0.15334988374516856</v>
      </c>
    </row>
    <row r="367" spans="1:10">
      <c r="A367">
        <v>366</v>
      </c>
      <c r="B367" t="s">
        <v>59</v>
      </c>
      <c r="C367" s="34">
        <v>42339</v>
      </c>
      <c r="D367" t="s">
        <v>60</v>
      </c>
      <c r="E367" t="s">
        <v>61</v>
      </c>
      <c r="F367" t="s">
        <v>65</v>
      </c>
      <c r="G367">
        <v>1.65437152823643E-4</v>
      </c>
      <c r="H367" t="s">
        <v>63</v>
      </c>
      <c r="I367" t="s">
        <v>67</v>
      </c>
      <c r="J367">
        <f t="shared" si="5"/>
        <v>0.19834404458559662</v>
      </c>
    </row>
    <row r="368" spans="1:10">
      <c r="A368">
        <v>367</v>
      </c>
      <c r="B368" t="s">
        <v>59</v>
      </c>
      <c r="C368" s="34">
        <v>42370</v>
      </c>
      <c r="D368" t="s">
        <v>60</v>
      </c>
      <c r="E368" t="s">
        <v>61</v>
      </c>
      <c r="F368" t="s">
        <v>65</v>
      </c>
      <c r="G368">
        <v>1.5995738521772199E-4</v>
      </c>
      <c r="H368" t="s">
        <v>63</v>
      </c>
      <c r="I368" t="s">
        <v>67</v>
      </c>
      <c r="J368">
        <f t="shared" si="5"/>
        <v>0.19178008225922971</v>
      </c>
    </row>
    <row r="369" spans="1:10">
      <c r="A369">
        <v>368</v>
      </c>
      <c r="B369" t="s">
        <v>59</v>
      </c>
      <c r="C369" s="34">
        <v>42401</v>
      </c>
      <c r="D369" t="s">
        <v>60</v>
      </c>
      <c r="E369" t="s">
        <v>61</v>
      </c>
      <c r="F369" t="s">
        <v>65</v>
      </c>
      <c r="G369">
        <v>1.8198633449115301E-4</v>
      </c>
      <c r="H369" t="s">
        <v>63</v>
      </c>
      <c r="I369" t="s">
        <v>67</v>
      </c>
      <c r="J369">
        <f t="shared" si="5"/>
        <v>0.21816514836252576</v>
      </c>
    </row>
    <row r="370" spans="1:10">
      <c r="A370">
        <v>369</v>
      </c>
      <c r="B370" t="s">
        <v>59</v>
      </c>
      <c r="C370" s="34">
        <v>42430</v>
      </c>
      <c r="D370" t="s">
        <v>60</v>
      </c>
      <c r="E370" t="s">
        <v>61</v>
      </c>
      <c r="F370" t="s">
        <v>65</v>
      </c>
      <c r="G370">
        <v>2.11179904122888E-4</v>
      </c>
      <c r="H370" t="s">
        <v>63</v>
      </c>
      <c r="I370" t="s">
        <v>67</v>
      </c>
      <c r="J370">
        <f t="shared" si="5"/>
        <v>0.25312175216204436</v>
      </c>
    </row>
    <row r="371" spans="1:10">
      <c r="A371">
        <v>370</v>
      </c>
      <c r="B371" t="s">
        <v>59</v>
      </c>
      <c r="C371" s="34">
        <v>42461</v>
      </c>
      <c r="D371" t="s">
        <v>60</v>
      </c>
      <c r="E371" t="s">
        <v>61</v>
      </c>
      <c r="F371" t="s">
        <v>65</v>
      </c>
      <c r="G371">
        <v>2.0917934805440299E-4</v>
      </c>
      <c r="H371" t="s">
        <v>63</v>
      </c>
      <c r="I371" t="s">
        <v>67</v>
      </c>
      <c r="J371">
        <f t="shared" si="5"/>
        <v>0.25072662933561807</v>
      </c>
    </row>
    <row r="372" spans="1:10">
      <c r="A372">
        <v>371</v>
      </c>
      <c r="B372" t="s">
        <v>59</v>
      </c>
      <c r="C372" s="34">
        <v>42491</v>
      </c>
      <c r="D372" t="s">
        <v>60</v>
      </c>
      <c r="E372" t="s">
        <v>61</v>
      </c>
      <c r="F372" t="s">
        <v>65</v>
      </c>
      <c r="G372">
        <v>2.14672241482268E-4</v>
      </c>
      <c r="H372" t="s">
        <v>63</v>
      </c>
      <c r="I372" t="s">
        <v>67</v>
      </c>
      <c r="J372">
        <f t="shared" si="5"/>
        <v>0.25730275178916795</v>
      </c>
    </row>
    <row r="373" spans="1:10">
      <c r="A373">
        <v>372</v>
      </c>
      <c r="B373" t="s">
        <v>59</v>
      </c>
      <c r="C373" s="34">
        <v>42522</v>
      </c>
      <c r="D373" t="s">
        <v>60</v>
      </c>
      <c r="E373" t="s">
        <v>61</v>
      </c>
      <c r="F373" t="s">
        <v>65</v>
      </c>
      <c r="G373">
        <v>2.2909399604995899E-4</v>
      </c>
      <c r="H373" t="s">
        <v>63</v>
      </c>
      <c r="I373" t="s">
        <v>67</v>
      </c>
      <c r="J373">
        <f t="shared" si="5"/>
        <v>0.27456666485733416</v>
      </c>
    </row>
    <row r="374" spans="1:10">
      <c r="A374">
        <v>373</v>
      </c>
      <c r="B374" t="s">
        <v>59</v>
      </c>
      <c r="C374" s="34">
        <v>42552</v>
      </c>
      <c r="D374" t="s">
        <v>60</v>
      </c>
      <c r="E374" t="s">
        <v>61</v>
      </c>
      <c r="F374" t="s">
        <v>65</v>
      </c>
      <c r="G374">
        <v>2.1110404982486899E-4</v>
      </c>
      <c r="H374" t="s">
        <v>63</v>
      </c>
      <c r="I374" t="s">
        <v>67</v>
      </c>
      <c r="J374">
        <f t="shared" si="5"/>
        <v>0.25303093819286637</v>
      </c>
    </row>
    <row r="375" spans="1:10">
      <c r="A375">
        <v>374</v>
      </c>
      <c r="B375" t="s">
        <v>59</v>
      </c>
      <c r="C375" s="34">
        <v>42583</v>
      </c>
      <c r="D375" t="s">
        <v>60</v>
      </c>
      <c r="E375" t="s">
        <v>61</v>
      </c>
      <c r="F375" t="s">
        <v>65</v>
      </c>
      <c r="G375">
        <v>2.4382175910452099E-4</v>
      </c>
      <c r="H375" t="s">
        <v>63</v>
      </c>
      <c r="I375" t="s">
        <v>67</v>
      </c>
      <c r="J375">
        <f t="shared" si="5"/>
        <v>0.29219406590851316</v>
      </c>
    </row>
    <row r="376" spans="1:10">
      <c r="A376">
        <v>375</v>
      </c>
      <c r="B376" t="s">
        <v>59</v>
      </c>
      <c r="C376" s="34">
        <v>42614</v>
      </c>
      <c r="D376" t="s">
        <v>60</v>
      </c>
      <c r="E376" t="s">
        <v>61</v>
      </c>
      <c r="F376" t="s">
        <v>65</v>
      </c>
      <c r="G376">
        <v>2.17523379873944E-4</v>
      </c>
      <c r="H376" t="s">
        <v>63</v>
      </c>
      <c r="I376" t="s">
        <v>67</v>
      </c>
      <c r="J376">
        <f t="shared" si="5"/>
        <v>0.26071599379409172</v>
      </c>
    </row>
    <row r="377" spans="1:10">
      <c r="A377">
        <v>376</v>
      </c>
      <c r="B377" t="s">
        <v>59</v>
      </c>
      <c r="C377" s="34">
        <v>42644</v>
      </c>
      <c r="D377" t="s">
        <v>60</v>
      </c>
      <c r="E377" t="s">
        <v>61</v>
      </c>
      <c r="F377" t="s">
        <v>65</v>
      </c>
      <c r="G377">
        <v>2.14562161496305E-4</v>
      </c>
      <c r="H377" t="s">
        <v>63</v>
      </c>
      <c r="I377" t="s">
        <v>67</v>
      </c>
      <c r="J377">
        <f t="shared" si="5"/>
        <v>0.25717096732228439</v>
      </c>
    </row>
    <row r="378" spans="1:10">
      <c r="A378">
        <v>377</v>
      </c>
      <c r="B378" t="s">
        <v>59</v>
      </c>
      <c r="C378" s="34">
        <v>42675</v>
      </c>
      <c r="D378" t="s">
        <v>60</v>
      </c>
      <c r="E378" t="s">
        <v>61</v>
      </c>
      <c r="F378" t="s">
        <v>65</v>
      </c>
      <c r="G378">
        <v>2.1042809434290499E-4</v>
      </c>
      <c r="H378" t="s">
        <v>63</v>
      </c>
      <c r="I378" t="s">
        <v>67</v>
      </c>
      <c r="J378">
        <f t="shared" si="5"/>
        <v>0.25222167021793362</v>
      </c>
    </row>
    <row r="379" spans="1:10">
      <c r="A379">
        <v>378</v>
      </c>
      <c r="B379" t="s">
        <v>59</v>
      </c>
      <c r="C379" s="34">
        <v>42705</v>
      </c>
      <c r="D379" t="s">
        <v>60</v>
      </c>
      <c r="E379" t="s">
        <v>61</v>
      </c>
      <c r="F379" t="s">
        <v>65</v>
      </c>
      <c r="G379">
        <v>2.0566231111152799E-4</v>
      </c>
      <c r="H379" t="s">
        <v>63</v>
      </c>
      <c r="I379" t="s">
        <v>67</v>
      </c>
      <c r="J379">
        <f t="shared" si="5"/>
        <v>0.24651580451199306</v>
      </c>
    </row>
    <row r="380" spans="1:10">
      <c r="A380">
        <v>379</v>
      </c>
      <c r="B380" t="s">
        <v>59</v>
      </c>
      <c r="C380" s="34">
        <v>42736</v>
      </c>
      <c r="D380" t="s">
        <v>60</v>
      </c>
      <c r="E380" t="s">
        <v>61</v>
      </c>
      <c r="F380" t="s">
        <v>65</v>
      </c>
      <c r="G380">
        <v>1.9169371372995E-4</v>
      </c>
      <c r="H380" t="s">
        <v>63</v>
      </c>
      <c r="I380" t="s">
        <v>67</v>
      </c>
      <c r="J380">
        <f t="shared" si="5"/>
        <v>0.22979008461142536</v>
      </c>
    </row>
    <row r="381" spans="1:10">
      <c r="A381">
        <v>380</v>
      </c>
      <c r="B381" t="s">
        <v>59</v>
      </c>
      <c r="C381" s="34">
        <v>42767</v>
      </c>
      <c r="D381" t="s">
        <v>60</v>
      </c>
      <c r="E381" t="s">
        <v>61</v>
      </c>
      <c r="F381" t="s">
        <v>65</v>
      </c>
      <c r="G381">
        <v>1.7890479340790301E-4</v>
      </c>
      <c r="H381" t="s">
        <v>63</v>
      </c>
      <c r="I381" t="s">
        <v>67</v>
      </c>
      <c r="J381">
        <f t="shared" si="5"/>
        <v>0.21447463230929165</v>
      </c>
    </row>
    <row r="382" spans="1:10">
      <c r="A382">
        <v>381</v>
      </c>
      <c r="B382" t="s">
        <v>59</v>
      </c>
      <c r="C382" s="34">
        <v>42795</v>
      </c>
      <c r="D382" t="s">
        <v>60</v>
      </c>
      <c r="E382" t="s">
        <v>61</v>
      </c>
      <c r="F382" t="s">
        <v>65</v>
      </c>
      <c r="G382">
        <v>2.13681704720531E-4</v>
      </c>
      <c r="H382" t="s">
        <v>63</v>
      </c>
      <c r="I382" t="s">
        <v>67</v>
      </c>
      <c r="J382">
        <f t="shared" si="5"/>
        <v>0.25611690506034401</v>
      </c>
    </row>
    <row r="383" spans="1:10">
      <c r="A383">
        <v>382</v>
      </c>
      <c r="B383" t="s">
        <v>59</v>
      </c>
      <c r="C383" s="34">
        <v>42826</v>
      </c>
      <c r="D383" t="s">
        <v>60</v>
      </c>
      <c r="E383" t="s">
        <v>61</v>
      </c>
      <c r="F383" t="s">
        <v>65</v>
      </c>
      <c r="G383">
        <v>1.7484784156311699E-4</v>
      </c>
      <c r="H383" t="s">
        <v>63</v>
      </c>
      <c r="I383" t="s">
        <v>67</v>
      </c>
      <c r="J383">
        <f t="shared" si="5"/>
        <v>0.20961575376159391</v>
      </c>
    </row>
    <row r="384" spans="1:10">
      <c r="A384">
        <v>383</v>
      </c>
      <c r="B384" t="s">
        <v>59</v>
      </c>
      <c r="C384" s="34">
        <v>42856</v>
      </c>
      <c r="D384" t="s">
        <v>60</v>
      </c>
      <c r="E384" t="s">
        <v>61</v>
      </c>
      <c r="F384" t="s">
        <v>65</v>
      </c>
      <c r="G384">
        <v>2.0117033385538201E-4</v>
      </c>
      <c r="H384" t="s">
        <v>63</v>
      </c>
      <c r="I384" t="s">
        <v>67</v>
      </c>
      <c r="J384">
        <f t="shared" si="5"/>
        <v>0.24113748093192999</v>
      </c>
    </row>
    <row r="385" spans="1:10">
      <c r="A385">
        <v>384</v>
      </c>
      <c r="B385" t="s">
        <v>59</v>
      </c>
      <c r="C385" s="34">
        <v>42887</v>
      </c>
      <c r="D385" t="s">
        <v>60</v>
      </c>
      <c r="E385" t="s">
        <v>61</v>
      </c>
      <c r="F385" t="s">
        <v>65</v>
      </c>
      <c r="G385">
        <v>2.00369506497116E-4</v>
      </c>
      <c r="H385" t="s">
        <v>63</v>
      </c>
      <c r="I385" t="s">
        <v>67</v>
      </c>
      <c r="J385">
        <f t="shared" si="5"/>
        <v>0.24017860829588233</v>
      </c>
    </row>
    <row r="386" spans="1:10">
      <c r="A386">
        <v>385</v>
      </c>
      <c r="B386" t="s">
        <v>59</v>
      </c>
      <c r="C386" s="34">
        <v>42917</v>
      </c>
      <c r="D386" t="s">
        <v>60</v>
      </c>
      <c r="E386" t="s">
        <v>61</v>
      </c>
      <c r="F386" t="s">
        <v>65</v>
      </c>
      <c r="G386">
        <v>1.8174185185566001E-4</v>
      </c>
      <c r="H386" t="s">
        <v>63</v>
      </c>
      <c r="I386" t="s">
        <v>67</v>
      </c>
      <c r="J386">
        <f t="shared" si="5"/>
        <v>0.21787235557304552</v>
      </c>
    </row>
    <row r="387" spans="1:10">
      <c r="A387">
        <v>386</v>
      </c>
      <c r="B387" t="s">
        <v>59</v>
      </c>
      <c r="C387" s="34">
        <v>42948</v>
      </c>
      <c r="D387" t="s">
        <v>60</v>
      </c>
      <c r="E387" t="s">
        <v>61</v>
      </c>
      <c r="F387" t="s">
        <v>65</v>
      </c>
      <c r="G387">
        <v>2.08782807799135E-4</v>
      </c>
      <c r="H387" t="s">
        <v>63</v>
      </c>
      <c r="I387" t="s">
        <v>67</v>
      </c>
      <c r="J387">
        <f t="shared" ref="J387:J433" si="6">100*(1-(1-G387)^12)</f>
        <v>0.25025187376317426</v>
      </c>
    </row>
    <row r="388" spans="1:10">
      <c r="A388">
        <v>387</v>
      </c>
      <c r="B388" t="s">
        <v>59</v>
      </c>
      <c r="C388" s="34">
        <v>42979</v>
      </c>
      <c r="D388" t="s">
        <v>60</v>
      </c>
      <c r="E388" t="s">
        <v>61</v>
      </c>
      <c r="F388" t="s">
        <v>65</v>
      </c>
      <c r="G388">
        <v>1.8150966310260801E-4</v>
      </c>
      <c r="H388" t="s">
        <v>63</v>
      </c>
      <c r="I388" t="s">
        <v>67</v>
      </c>
      <c r="J388">
        <f t="shared" si="6"/>
        <v>0.21759428522735158</v>
      </c>
    </row>
    <row r="389" spans="1:10">
      <c r="A389">
        <v>388</v>
      </c>
      <c r="B389" t="s">
        <v>59</v>
      </c>
      <c r="C389" s="34">
        <v>43009</v>
      </c>
      <c r="D389" t="s">
        <v>60</v>
      </c>
      <c r="E389" t="s">
        <v>61</v>
      </c>
      <c r="F389" t="s">
        <v>65</v>
      </c>
      <c r="G389">
        <v>1.9972737402889401E-4</v>
      </c>
      <c r="H389" t="s">
        <v>63</v>
      </c>
      <c r="I389" t="s">
        <v>67</v>
      </c>
      <c r="J389">
        <f t="shared" si="6"/>
        <v>0.23940974327915088</v>
      </c>
    </row>
    <row r="390" spans="1:10">
      <c r="A390">
        <v>389</v>
      </c>
      <c r="B390" t="s">
        <v>59</v>
      </c>
      <c r="C390" s="34">
        <v>43040</v>
      </c>
      <c r="D390" t="s">
        <v>60</v>
      </c>
      <c r="E390" t="s">
        <v>61</v>
      </c>
      <c r="F390" t="s">
        <v>65</v>
      </c>
      <c r="G390">
        <v>1.9078233812682501E-4</v>
      </c>
      <c r="H390" t="s">
        <v>63</v>
      </c>
      <c r="I390" t="s">
        <v>67</v>
      </c>
      <c r="J390">
        <f t="shared" si="6"/>
        <v>0.22869873231274873</v>
      </c>
    </row>
    <row r="391" spans="1:10">
      <c r="A391">
        <v>390</v>
      </c>
      <c r="B391" t="s">
        <v>59</v>
      </c>
      <c r="C391" s="34">
        <v>43070</v>
      </c>
      <c r="D391" t="s">
        <v>60</v>
      </c>
      <c r="E391" t="s">
        <v>61</v>
      </c>
      <c r="F391" t="s">
        <v>65</v>
      </c>
      <c r="G391">
        <v>1.8186693083338399E-4</v>
      </c>
      <c r="H391" t="s">
        <v>63</v>
      </c>
      <c r="I391" t="s">
        <v>67</v>
      </c>
      <c r="J391">
        <f t="shared" si="6"/>
        <v>0.21802215045217954</v>
      </c>
    </row>
    <row r="392" spans="1:10">
      <c r="A392">
        <v>391</v>
      </c>
      <c r="B392" t="s">
        <v>59</v>
      </c>
      <c r="C392" s="34">
        <v>43101</v>
      </c>
      <c r="D392" t="s">
        <v>60</v>
      </c>
      <c r="E392" t="s">
        <v>61</v>
      </c>
      <c r="F392" t="s">
        <v>65</v>
      </c>
      <c r="G392">
        <v>1.9116529002476801E-4</v>
      </c>
      <c r="H392" t="s">
        <v>63</v>
      </c>
      <c r="I392" t="s">
        <v>67</v>
      </c>
      <c r="J392">
        <f t="shared" si="6"/>
        <v>0.22915731014551133</v>
      </c>
    </row>
    <row r="393" spans="1:10">
      <c r="A393">
        <v>392</v>
      </c>
      <c r="B393" t="s">
        <v>59</v>
      </c>
      <c r="C393" s="34">
        <v>43132</v>
      </c>
      <c r="D393" t="s">
        <v>60</v>
      </c>
      <c r="E393" t="s">
        <v>61</v>
      </c>
      <c r="F393" t="s">
        <v>65</v>
      </c>
      <c r="G393">
        <v>1.7315833075698801E-4</v>
      </c>
      <c r="H393" t="s">
        <v>63</v>
      </c>
      <c r="I393" t="s">
        <v>67</v>
      </c>
      <c r="J393">
        <f t="shared" si="6"/>
        <v>0.20759221795718652</v>
      </c>
    </row>
    <row r="394" spans="1:10">
      <c r="A394">
        <v>393</v>
      </c>
      <c r="B394" t="s">
        <v>59</v>
      </c>
      <c r="C394" s="34">
        <v>43160</v>
      </c>
      <c r="D394" t="s">
        <v>60</v>
      </c>
      <c r="E394" t="s">
        <v>61</v>
      </c>
      <c r="F394" t="s">
        <v>65</v>
      </c>
      <c r="G394">
        <v>1.91612923257401E-4</v>
      </c>
      <c r="H394" t="s">
        <v>63</v>
      </c>
      <c r="I394" t="s">
        <v>67</v>
      </c>
      <c r="J394">
        <f t="shared" si="6"/>
        <v>0.22969334023426047</v>
      </c>
    </row>
    <row r="395" spans="1:10">
      <c r="A395">
        <v>394</v>
      </c>
      <c r="B395" t="s">
        <v>59</v>
      </c>
      <c r="C395" s="34">
        <v>43191</v>
      </c>
      <c r="D395" t="s">
        <v>60</v>
      </c>
      <c r="E395" t="s">
        <v>61</v>
      </c>
      <c r="F395" t="s">
        <v>65</v>
      </c>
      <c r="G395">
        <v>1.9184205294334899E-4</v>
      </c>
      <c r="H395" t="s">
        <v>63</v>
      </c>
      <c r="I395" t="s">
        <v>67</v>
      </c>
      <c r="J395">
        <f t="shared" si="6"/>
        <v>0.22996771653088777</v>
      </c>
    </row>
    <row r="396" spans="1:10">
      <c r="A396">
        <v>395</v>
      </c>
      <c r="B396" t="s">
        <v>59</v>
      </c>
      <c r="C396" s="34">
        <v>43221</v>
      </c>
      <c r="D396" t="s">
        <v>60</v>
      </c>
      <c r="E396" t="s">
        <v>61</v>
      </c>
      <c r="F396" t="s">
        <v>65</v>
      </c>
      <c r="G396">
        <v>2.0121542991325601E-4</v>
      </c>
      <c r="H396" t="s">
        <v>63</v>
      </c>
      <c r="I396" t="s">
        <v>67</v>
      </c>
      <c r="J396">
        <f t="shared" si="6"/>
        <v>0.24119147655810025</v>
      </c>
    </row>
    <row r="397" spans="1:10">
      <c r="A397">
        <v>396</v>
      </c>
      <c r="B397" t="s">
        <v>59</v>
      </c>
      <c r="C397" s="34">
        <v>43252</v>
      </c>
      <c r="D397" t="s">
        <v>60</v>
      </c>
      <c r="E397" t="s">
        <v>61</v>
      </c>
      <c r="F397" t="s">
        <v>65</v>
      </c>
      <c r="G397">
        <v>1.92292400272036E-4</v>
      </c>
      <c r="H397" t="s">
        <v>63</v>
      </c>
      <c r="I397" t="s">
        <v>67</v>
      </c>
      <c r="J397">
        <f t="shared" si="6"/>
        <v>0.23050699266135011</v>
      </c>
    </row>
    <row r="398" spans="1:10">
      <c r="A398">
        <v>397</v>
      </c>
      <c r="B398" t="s">
        <v>59</v>
      </c>
      <c r="C398" s="34">
        <v>43282</v>
      </c>
      <c r="D398" t="s">
        <v>60</v>
      </c>
      <c r="E398" t="s">
        <v>61</v>
      </c>
      <c r="F398" t="s">
        <v>65</v>
      </c>
      <c r="G398">
        <v>1.9251039471341401E-4</v>
      </c>
      <c r="H398" t="s">
        <v>63</v>
      </c>
      <c r="I398" t="s">
        <v>67</v>
      </c>
      <c r="J398">
        <f t="shared" si="6"/>
        <v>0.23076803288314407</v>
      </c>
    </row>
    <row r="399" spans="1:10">
      <c r="A399">
        <v>398</v>
      </c>
      <c r="B399" t="s">
        <v>59</v>
      </c>
      <c r="C399" s="34">
        <v>43313</v>
      </c>
      <c r="D399" t="s">
        <v>60</v>
      </c>
      <c r="E399" t="s">
        <v>61</v>
      </c>
      <c r="F399" t="s">
        <v>65</v>
      </c>
      <c r="G399">
        <v>2.1107721101945099E-4</v>
      </c>
      <c r="H399" t="s">
        <v>63</v>
      </c>
      <c r="I399" t="s">
        <v>67</v>
      </c>
      <c r="J399">
        <f t="shared" si="6"/>
        <v>0.25299880633103955</v>
      </c>
    </row>
    <row r="400" spans="1:10">
      <c r="A400">
        <v>399</v>
      </c>
      <c r="B400" t="s">
        <v>59</v>
      </c>
      <c r="C400" s="34">
        <v>43344</v>
      </c>
      <c r="D400" t="s">
        <v>60</v>
      </c>
      <c r="E400" t="s">
        <v>61</v>
      </c>
      <c r="F400" t="s">
        <v>65</v>
      </c>
      <c r="G400">
        <v>1.7455479002032999E-4</v>
      </c>
      <c r="H400" t="s">
        <v>63</v>
      </c>
      <c r="I400" t="s">
        <v>67</v>
      </c>
      <c r="J400">
        <f t="shared" si="6"/>
        <v>0.20926476711402575</v>
      </c>
    </row>
    <row r="401" spans="1:10">
      <c r="A401">
        <v>400</v>
      </c>
      <c r="B401" t="s">
        <v>59</v>
      </c>
      <c r="C401" s="34">
        <v>43374</v>
      </c>
      <c r="D401" t="s">
        <v>60</v>
      </c>
      <c r="E401" t="s">
        <v>61</v>
      </c>
      <c r="F401" t="s">
        <v>65</v>
      </c>
      <c r="G401">
        <v>2.1152230707128199E-4</v>
      </c>
      <c r="H401" t="s">
        <v>63</v>
      </c>
      <c r="I401" t="s">
        <v>67</v>
      </c>
      <c r="J401">
        <f t="shared" si="6"/>
        <v>0.25353168146140526</v>
      </c>
    </row>
    <row r="402" spans="1:10">
      <c r="A402">
        <v>401</v>
      </c>
      <c r="B402" t="s">
        <v>59</v>
      </c>
      <c r="C402" s="34">
        <v>43405</v>
      </c>
      <c r="D402" t="s">
        <v>60</v>
      </c>
      <c r="E402" t="s">
        <v>61</v>
      </c>
      <c r="F402" t="s">
        <v>65</v>
      </c>
      <c r="G402">
        <v>1.93322816629312E-4</v>
      </c>
      <c r="H402" t="s">
        <v>63</v>
      </c>
      <c r="I402" t="s">
        <v>67</v>
      </c>
      <c r="J402">
        <f t="shared" si="6"/>
        <v>0.2317408723447989</v>
      </c>
    </row>
    <row r="403" spans="1:10">
      <c r="A403">
        <v>402</v>
      </c>
      <c r="B403" t="s">
        <v>59</v>
      </c>
      <c r="C403" s="34">
        <v>43435</v>
      </c>
      <c r="D403" t="s">
        <v>60</v>
      </c>
      <c r="E403" t="s">
        <v>61</v>
      </c>
      <c r="F403" t="s">
        <v>65</v>
      </c>
      <c r="G403">
        <v>1.8429557358432699E-4</v>
      </c>
      <c r="H403" t="s">
        <v>63</v>
      </c>
      <c r="I403" t="s">
        <v>67</v>
      </c>
      <c r="J403">
        <f t="shared" si="6"/>
        <v>0.2209306578889958</v>
      </c>
    </row>
    <row r="404" spans="1:10">
      <c r="A404">
        <v>403</v>
      </c>
      <c r="B404" t="s">
        <v>59</v>
      </c>
      <c r="C404" s="34">
        <v>43466</v>
      </c>
      <c r="D404" t="s">
        <v>60</v>
      </c>
      <c r="E404" t="s">
        <v>61</v>
      </c>
      <c r="F404" t="s">
        <v>65</v>
      </c>
      <c r="G404">
        <v>1.93691801847019E-4</v>
      </c>
      <c r="H404" t="s">
        <v>63</v>
      </c>
      <c r="I404" t="s">
        <v>67</v>
      </c>
      <c r="J404">
        <f t="shared" si="6"/>
        <v>0.23218271301979065</v>
      </c>
    </row>
    <row r="405" spans="1:10">
      <c r="A405">
        <v>404</v>
      </c>
      <c r="B405" t="s">
        <v>59</v>
      </c>
      <c r="C405" s="34">
        <v>43497</v>
      </c>
      <c r="D405" t="s">
        <v>60</v>
      </c>
      <c r="E405" t="s">
        <v>61</v>
      </c>
      <c r="F405" t="s">
        <v>65</v>
      </c>
      <c r="G405">
        <v>1.7540377356904199E-4</v>
      </c>
      <c r="H405" t="s">
        <v>63</v>
      </c>
      <c r="I405" t="s">
        <v>67</v>
      </c>
      <c r="J405">
        <f t="shared" si="6"/>
        <v>0.2102815881673159</v>
      </c>
    </row>
    <row r="406" spans="1:10">
      <c r="A406">
        <v>405</v>
      </c>
      <c r="B406" t="s">
        <v>59</v>
      </c>
      <c r="C406" s="34">
        <v>43525</v>
      </c>
      <c r="D406" t="s">
        <v>60</v>
      </c>
      <c r="E406" t="s">
        <v>61</v>
      </c>
      <c r="F406" t="s">
        <v>65</v>
      </c>
      <c r="G406">
        <v>1.9403702828692501E-4</v>
      </c>
      <c r="H406" t="s">
        <v>63</v>
      </c>
      <c r="I406" t="s">
        <v>67</v>
      </c>
      <c r="J406">
        <f t="shared" si="6"/>
        <v>0.23259610216547211</v>
      </c>
    </row>
    <row r="407" spans="1:10">
      <c r="A407">
        <v>406</v>
      </c>
      <c r="B407" t="s">
        <v>59</v>
      </c>
      <c r="C407" s="34">
        <v>43556</v>
      </c>
      <c r="D407" t="s">
        <v>60</v>
      </c>
      <c r="E407" t="s">
        <v>61</v>
      </c>
      <c r="F407" t="s">
        <v>65</v>
      </c>
      <c r="G407">
        <v>1.94200937042521E-4</v>
      </c>
      <c r="H407" t="s">
        <v>63</v>
      </c>
      <c r="I407" t="s">
        <v>67</v>
      </c>
      <c r="J407">
        <f t="shared" si="6"/>
        <v>0.23279237308462264</v>
      </c>
    </row>
    <row r="408" spans="1:10">
      <c r="A408">
        <v>407</v>
      </c>
      <c r="B408" t="s">
        <v>59</v>
      </c>
      <c r="C408" s="34">
        <v>43586</v>
      </c>
      <c r="D408" t="s">
        <v>60</v>
      </c>
      <c r="E408" t="s">
        <v>61</v>
      </c>
      <c r="F408" t="s">
        <v>65</v>
      </c>
      <c r="G408">
        <v>2.03614239744325E-4</v>
      </c>
      <c r="H408" t="s">
        <v>63</v>
      </c>
      <c r="I408" t="s">
        <v>67</v>
      </c>
      <c r="J408">
        <f t="shared" si="6"/>
        <v>0.24406364551629034</v>
      </c>
    </row>
    <row r="409" spans="1:10">
      <c r="A409">
        <v>408</v>
      </c>
      <c r="B409" t="s">
        <v>59</v>
      </c>
      <c r="C409" s="34">
        <v>43617</v>
      </c>
      <c r="D409" t="s">
        <v>60</v>
      </c>
      <c r="E409" t="s">
        <v>61</v>
      </c>
      <c r="F409" t="s">
        <v>65</v>
      </c>
      <c r="G409">
        <v>1.8524895531692799E-4</v>
      </c>
      <c r="H409" t="s">
        <v>63</v>
      </c>
      <c r="I409" t="s">
        <v>67</v>
      </c>
      <c r="J409">
        <f t="shared" si="6"/>
        <v>0.22207239282292512</v>
      </c>
    </row>
    <row r="410" spans="1:10">
      <c r="A410">
        <v>409</v>
      </c>
      <c r="B410" t="s">
        <v>59</v>
      </c>
      <c r="C410" s="34">
        <v>43647</v>
      </c>
      <c r="D410" t="s">
        <v>60</v>
      </c>
      <c r="E410" t="s">
        <v>61</v>
      </c>
      <c r="F410" t="s">
        <v>65</v>
      </c>
      <c r="G410">
        <v>2.03927419951642E-4</v>
      </c>
      <c r="H410" t="s">
        <v>63</v>
      </c>
      <c r="I410" t="s">
        <v>67</v>
      </c>
      <c r="J410">
        <f t="shared" si="6"/>
        <v>0.24443862023849627</v>
      </c>
    </row>
    <row r="411" spans="1:10">
      <c r="A411">
        <v>410</v>
      </c>
      <c r="B411" t="s">
        <v>59</v>
      </c>
      <c r="C411" s="34">
        <v>43678</v>
      </c>
      <c r="D411" t="s">
        <v>60</v>
      </c>
      <c r="E411" t="s">
        <v>61</v>
      </c>
      <c r="F411" t="s">
        <v>65</v>
      </c>
      <c r="G411">
        <v>2.0407498209739399E-4</v>
      </c>
      <c r="H411" t="s">
        <v>63</v>
      </c>
      <c r="I411" t="s">
        <v>67</v>
      </c>
      <c r="J411">
        <f t="shared" si="6"/>
        <v>0.24461529786081737</v>
      </c>
    </row>
    <row r="412" spans="1:10">
      <c r="A412">
        <v>411</v>
      </c>
      <c r="B412" t="s">
        <v>59</v>
      </c>
      <c r="C412" s="34">
        <v>43709</v>
      </c>
      <c r="D412" t="s">
        <v>60</v>
      </c>
      <c r="E412" t="s">
        <v>61</v>
      </c>
      <c r="F412" t="s">
        <v>65</v>
      </c>
      <c r="G412">
        <v>1.85651586852743E-4</v>
      </c>
      <c r="H412" t="s">
        <v>63</v>
      </c>
      <c r="I412" t="s">
        <v>67</v>
      </c>
      <c r="J412">
        <f t="shared" si="6"/>
        <v>0.22255456596008694</v>
      </c>
    </row>
    <row r="413" spans="1:10">
      <c r="A413">
        <v>412</v>
      </c>
      <c r="B413" t="s">
        <v>59</v>
      </c>
      <c r="C413" s="34">
        <v>43739</v>
      </c>
      <c r="D413" t="s">
        <v>60</v>
      </c>
      <c r="E413" t="s">
        <v>61</v>
      </c>
      <c r="F413" t="s">
        <v>65</v>
      </c>
      <c r="G413">
        <v>2.13641706391907E-4</v>
      </c>
      <c r="H413" t="s">
        <v>63</v>
      </c>
      <c r="I413" t="s">
        <v>67</v>
      </c>
      <c r="J413">
        <f t="shared" si="6"/>
        <v>0.25606901975420149</v>
      </c>
    </row>
    <row r="414" spans="1:10">
      <c r="A414">
        <v>413</v>
      </c>
      <c r="B414" t="s">
        <v>59</v>
      </c>
      <c r="C414" s="34">
        <v>43770</v>
      </c>
      <c r="D414" t="s">
        <v>60</v>
      </c>
      <c r="E414" t="s">
        <v>61</v>
      </c>
      <c r="F414" t="s">
        <v>65</v>
      </c>
      <c r="G414">
        <v>1.8589429423016701E-4</v>
      </c>
      <c r="H414" t="s">
        <v>63</v>
      </c>
      <c r="I414" t="s">
        <v>67</v>
      </c>
      <c r="J414">
        <f t="shared" si="6"/>
        <v>0.22284522019783148</v>
      </c>
    </row>
    <row r="415" spans="1:10">
      <c r="A415">
        <v>414</v>
      </c>
      <c r="B415" t="s">
        <v>59</v>
      </c>
      <c r="C415" s="34">
        <v>43800</v>
      </c>
      <c r="D415" t="s">
        <v>60</v>
      </c>
      <c r="E415" t="s">
        <v>61</v>
      </c>
      <c r="F415" t="s">
        <v>65</v>
      </c>
      <c r="G415">
        <v>1.9530895380348801E-4</v>
      </c>
      <c r="H415" t="s">
        <v>63</v>
      </c>
      <c r="I415" t="s">
        <v>67</v>
      </c>
      <c r="J415">
        <f t="shared" si="6"/>
        <v>0.2341191475189297</v>
      </c>
    </row>
    <row r="416" spans="1:10">
      <c r="A416">
        <v>415</v>
      </c>
      <c r="B416" t="s">
        <v>59</v>
      </c>
      <c r="C416" s="34">
        <v>43831</v>
      </c>
      <c r="D416" t="s">
        <v>60</v>
      </c>
      <c r="E416" t="s">
        <v>61</v>
      </c>
      <c r="F416" t="s">
        <v>65</v>
      </c>
      <c r="G416">
        <v>1.9542424727474401E-4</v>
      </c>
      <c r="H416" t="s">
        <v>63</v>
      </c>
      <c r="I416" t="s">
        <v>67</v>
      </c>
      <c r="J416">
        <f t="shared" si="6"/>
        <v>0.23425720265136674</v>
      </c>
    </row>
    <row r="417" spans="1:10">
      <c r="A417">
        <v>416</v>
      </c>
      <c r="B417" t="s">
        <v>59</v>
      </c>
      <c r="C417" s="34">
        <v>43862</v>
      </c>
      <c r="D417" t="s">
        <v>60</v>
      </c>
      <c r="E417" t="s">
        <v>61</v>
      </c>
      <c r="F417" t="s">
        <v>65</v>
      </c>
      <c r="G417">
        <v>1.7691260637303399E-4</v>
      </c>
      <c r="H417" t="s">
        <v>63</v>
      </c>
      <c r="I417" t="s">
        <v>67</v>
      </c>
      <c r="J417">
        <f t="shared" si="6"/>
        <v>0.21208868214971366</v>
      </c>
    </row>
    <row r="418" spans="1:10">
      <c r="A418">
        <v>417</v>
      </c>
      <c r="B418" t="s">
        <v>59</v>
      </c>
      <c r="C418" s="34">
        <v>43891</v>
      </c>
      <c r="D418" t="s">
        <v>60</v>
      </c>
      <c r="E418" t="s">
        <v>61</v>
      </c>
      <c r="F418" t="s">
        <v>65</v>
      </c>
      <c r="G418">
        <v>2.0495759059478499E-4</v>
      </c>
      <c r="H418" t="s">
        <v>63</v>
      </c>
      <c r="I418" t="s">
        <v>67</v>
      </c>
      <c r="J418">
        <f t="shared" si="6"/>
        <v>0.24567204778955798</v>
      </c>
    </row>
    <row r="419" spans="1:10">
      <c r="A419">
        <v>418</v>
      </c>
      <c r="B419" t="s">
        <v>59</v>
      </c>
      <c r="C419" s="34">
        <v>43922</v>
      </c>
      <c r="D419" t="s">
        <v>60</v>
      </c>
      <c r="E419" t="s">
        <v>61</v>
      </c>
      <c r="F419" t="s">
        <v>65</v>
      </c>
      <c r="G419">
        <v>1.95743332165443E-4</v>
      </c>
      <c r="H419" t="s">
        <v>63</v>
      </c>
      <c r="I419" t="s">
        <v>67</v>
      </c>
      <c r="J419">
        <f t="shared" si="6"/>
        <v>0.23463928154201508</v>
      </c>
    </row>
    <row r="420" spans="1:10">
      <c r="A420">
        <v>419</v>
      </c>
      <c r="B420" t="s">
        <v>59</v>
      </c>
      <c r="C420" s="34">
        <v>43952</v>
      </c>
      <c r="D420" t="s">
        <v>60</v>
      </c>
      <c r="E420" t="s">
        <v>61</v>
      </c>
      <c r="F420" t="s">
        <v>65</v>
      </c>
      <c r="G420">
        <v>1.8651517442191999E-4</v>
      </c>
      <c r="H420" t="s">
        <v>63</v>
      </c>
      <c r="I420" t="s">
        <v>67</v>
      </c>
      <c r="J420">
        <f t="shared" si="6"/>
        <v>0.22358875178487558</v>
      </c>
    </row>
    <row r="421" spans="1:10">
      <c r="A421">
        <v>420</v>
      </c>
      <c r="B421" t="s">
        <v>59</v>
      </c>
      <c r="C421" s="34">
        <v>43983</v>
      </c>
      <c r="D421" t="s">
        <v>60</v>
      </c>
      <c r="E421" t="s">
        <v>61</v>
      </c>
      <c r="F421" t="s">
        <v>65</v>
      </c>
      <c r="G421">
        <v>2.05264278370557E-4</v>
      </c>
      <c r="H421" t="s">
        <v>63</v>
      </c>
      <c r="I421" t="s">
        <v>67</v>
      </c>
      <c r="J421">
        <f t="shared" si="6"/>
        <v>0.2460392436252512</v>
      </c>
    </row>
    <row r="422" spans="1:10">
      <c r="A422">
        <v>421</v>
      </c>
      <c r="B422" t="s">
        <v>59</v>
      </c>
      <c r="C422" s="34">
        <v>44013</v>
      </c>
      <c r="D422" t="s">
        <v>60</v>
      </c>
      <c r="E422" t="s">
        <v>61</v>
      </c>
      <c r="F422" t="s">
        <v>65</v>
      </c>
      <c r="G422">
        <v>2.0535713842964999E-4</v>
      </c>
      <c r="H422" t="s">
        <v>63</v>
      </c>
      <c r="I422" t="s">
        <v>67</v>
      </c>
      <c r="J422">
        <f t="shared" si="6"/>
        <v>0.24615042429423362</v>
      </c>
    </row>
    <row r="423" spans="1:10">
      <c r="A423">
        <v>422</v>
      </c>
      <c r="B423" t="s">
        <v>59</v>
      </c>
      <c r="C423" s="34">
        <v>44044</v>
      </c>
      <c r="D423" t="s">
        <v>60</v>
      </c>
      <c r="E423" t="s">
        <v>61</v>
      </c>
      <c r="F423" t="s">
        <v>65</v>
      </c>
      <c r="G423">
        <v>1.9610683509337101E-4</v>
      </c>
      <c r="H423" t="s">
        <v>63</v>
      </c>
      <c r="I423" t="s">
        <v>67</v>
      </c>
      <c r="J423">
        <f t="shared" si="6"/>
        <v>0.23507454588064247</v>
      </c>
    </row>
    <row r="424" spans="1:10">
      <c r="A424">
        <v>423</v>
      </c>
      <c r="B424" t="s">
        <v>59</v>
      </c>
      <c r="C424" s="34">
        <v>44075</v>
      </c>
      <c r="D424" t="s">
        <v>60</v>
      </c>
      <c r="E424" t="s">
        <v>61</v>
      </c>
      <c r="F424" t="s">
        <v>65</v>
      </c>
      <c r="G424">
        <v>1.9618643750218999E-4</v>
      </c>
      <c r="H424" t="s">
        <v>63</v>
      </c>
      <c r="I424" t="s">
        <v>67</v>
      </c>
      <c r="J424">
        <f t="shared" si="6"/>
        <v>0.23516986287175357</v>
      </c>
    </row>
    <row r="425" spans="1:10">
      <c r="A425">
        <v>424</v>
      </c>
      <c r="B425" t="s">
        <v>59</v>
      </c>
      <c r="C425" s="34">
        <v>44105</v>
      </c>
      <c r="D425" t="s">
        <v>60</v>
      </c>
      <c r="E425" t="s">
        <v>61</v>
      </c>
      <c r="F425" t="s">
        <v>65</v>
      </c>
      <c r="G425">
        <v>2.0560733838163501E-4</v>
      </c>
      <c r="H425" t="s">
        <v>63</v>
      </c>
      <c r="I425" t="s">
        <v>67</v>
      </c>
      <c r="J425">
        <f t="shared" si="6"/>
        <v>0.2464499862996683</v>
      </c>
    </row>
    <row r="426" spans="1:10">
      <c r="A426">
        <v>425</v>
      </c>
      <c r="B426" t="s">
        <v>59</v>
      </c>
      <c r="C426" s="34">
        <v>44136</v>
      </c>
      <c r="D426" t="s">
        <v>60</v>
      </c>
      <c r="E426" t="s">
        <v>61</v>
      </c>
      <c r="F426" t="s">
        <v>65</v>
      </c>
      <c r="G426">
        <v>1.86983052086692E-4</v>
      </c>
      <c r="H426" t="s">
        <v>63</v>
      </c>
      <c r="I426" t="s">
        <v>67</v>
      </c>
      <c r="J426">
        <f t="shared" si="6"/>
        <v>0.22414905269915186</v>
      </c>
    </row>
    <row r="427" spans="1:10">
      <c r="A427">
        <v>426</v>
      </c>
      <c r="B427" t="s">
        <v>59</v>
      </c>
      <c r="C427" s="34">
        <v>44166</v>
      </c>
      <c r="D427" t="s">
        <v>60</v>
      </c>
      <c r="E427" t="s">
        <v>61</v>
      </c>
      <c r="F427" t="s">
        <v>65</v>
      </c>
      <c r="G427">
        <v>2.05750953254261E-4</v>
      </c>
      <c r="H427" t="s">
        <v>63</v>
      </c>
      <c r="I427" t="s">
        <v>67</v>
      </c>
      <c r="J427">
        <f t="shared" si="6"/>
        <v>0.2466219346382581</v>
      </c>
    </row>
    <row r="428" spans="1:10">
      <c r="A428">
        <v>427</v>
      </c>
      <c r="B428" t="s">
        <v>59</v>
      </c>
      <c r="C428" s="34">
        <v>44197</v>
      </c>
      <c r="D428" t="s">
        <v>60</v>
      </c>
      <c r="E428" t="s">
        <v>61</v>
      </c>
      <c r="F428" t="s">
        <v>65</v>
      </c>
      <c r="G428">
        <v>1.77752166118351E-4</v>
      </c>
      <c r="H428" t="s">
        <v>63</v>
      </c>
      <c r="I428" t="s">
        <v>67</v>
      </c>
      <c r="J428">
        <f t="shared" si="6"/>
        <v>0.21309419035479005</v>
      </c>
    </row>
    <row r="429" spans="1:10">
      <c r="A429">
        <v>428</v>
      </c>
      <c r="B429" t="s">
        <v>59</v>
      </c>
      <c r="C429" s="34">
        <v>44228</v>
      </c>
      <c r="D429" t="s">
        <v>60</v>
      </c>
      <c r="E429" t="s">
        <v>61</v>
      </c>
      <c r="F429" t="s">
        <v>65</v>
      </c>
      <c r="G429">
        <v>1.7781042927089E-4</v>
      </c>
      <c r="H429" t="s">
        <v>63</v>
      </c>
      <c r="I429" t="s">
        <v>67</v>
      </c>
      <c r="J429">
        <f t="shared" si="6"/>
        <v>0.2131639695323706</v>
      </c>
    </row>
    <row r="430" spans="1:10">
      <c r="A430">
        <v>429</v>
      </c>
      <c r="B430" t="s">
        <v>59</v>
      </c>
      <c r="C430" s="34">
        <v>44256</v>
      </c>
      <c r="D430" t="s">
        <v>60</v>
      </c>
      <c r="E430" t="s">
        <v>61</v>
      </c>
      <c r="F430" t="s">
        <v>65</v>
      </c>
      <c r="G430">
        <v>2.1531620590329901E-4</v>
      </c>
      <c r="H430" t="s">
        <v>63</v>
      </c>
      <c r="I430" t="s">
        <v>67</v>
      </c>
      <c r="J430">
        <f t="shared" si="6"/>
        <v>0.25807368353570892</v>
      </c>
    </row>
    <row r="431" spans="1:10">
      <c r="A431">
        <v>430</v>
      </c>
      <c r="B431" t="s">
        <v>59</v>
      </c>
      <c r="C431" s="34">
        <v>44287</v>
      </c>
      <c r="D431" t="s">
        <v>60</v>
      </c>
      <c r="E431" t="s">
        <v>61</v>
      </c>
      <c r="F431" t="s">
        <v>65</v>
      </c>
      <c r="G431">
        <v>1.9666292462359699E-4</v>
      </c>
      <c r="H431" t="s">
        <v>63</v>
      </c>
      <c r="I431" t="s">
        <v>67</v>
      </c>
      <c r="J431">
        <f t="shared" si="6"/>
        <v>0.23574041319152084</v>
      </c>
    </row>
    <row r="432" spans="1:10">
      <c r="A432">
        <v>431</v>
      </c>
      <c r="B432" t="s">
        <v>59</v>
      </c>
      <c r="C432" s="34">
        <v>44317</v>
      </c>
      <c r="D432" t="s">
        <v>60</v>
      </c>
      <c r="E432" t="s">
        <v>61</v>
      </c>
      <c r="F432" t="s">
        <v>65</v>
      </c>
      <c r="G432">
        <v>1.8737233376632599E-4</v>
      </c>
      <c r="H432" t="s">
        <v>63</v>
      </c>
      <c r="I432" t="s">
        <v>67</v>
      </c>
      <c r="J432">
        <f t="shared" si="6"/>
        <v>0.22461522979846382</v>
      </c>
    </row>
    <row r="433" spans="1:10">
      <c r="A433">
        <v>432</v>
      </c>
      <c r="B433" t="s">
        <v>59</v>
      </c>
      <c r="C433" s="34">
        <v>44348</v>
      </c>
      <c r="D433" t="s">
        <v>60</v>
      </c>
      <c r="E433" t="s">
        <v>61</v>
      </c>
      <c r="F433" t="s">
        <v>65</v>
      </c>
      <c r="G433">
        <v>2.0620306776144499E-4</v>
      </c>
      <c r="H433" t="s">
        <v>63</v>
      </c>
      <c r="I433" t="s">
        <v>67</v>
      </c>
      <c r="J433">
        <f t="shared" si="6"/>
        <v>0.24716324405946732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Report</vt:lpstr>
      <vt:lpstr>Report (3)</vt:lpstr>
      <vt:lpstr>Report (2)</vt:lpstr>
      <vt:lpstr>Performance</vt:lpstr>
      <vt:lpstr>Origination</vt:lpstr>
      <vt:lpstr>Deal Detail</vt:lpstr>
      <vt:lpstr>Projection</vt:lpstr>
      <vt:lpstr>Report!CurrentCloseDate</vt:lpstr>
      <vt:lpstr>Report!DatabaseEnv</vt:lpstr>
      <vt:lpstr>Report!PDFReportDir</vt:lpstr>
      <vt:lpstr>Report!PDFReportName</vt:lpstr>
      <vt:lpstr>Report!Print_Area</vt:lpstr>
      <vt:lpstr>'Report (2)'!Print_Area</vt:lpstr>
      <vt:lpstr>'Report (3)'!Print_Area</vt:lpstr>
      <vt:lpstr>Report!SaveRatesToDB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2015-08-07T17:31:00Z</cp:lastPrinted>
  <dcterms:created xsi:type="dcterms:W3CDTF">2015-03-12T13:39:23Z</dcterms:created>
  <dcterms:modified xsi:type="dcterms:W3CDTF">2015-08-10T22:41:09Z</dcterms:modified>
</cp:coreProperties>
</file>