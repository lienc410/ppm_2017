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 activeTab="1"/>
  </bookViews>
  <sheets>
    <sheet name="Collateral Report" sheetId="14" r:id="rId1"/>
    <sheet name="Performance Report" sheetId="17" r:id="rId2"/>
    <sheet name="Performance Pivot" sheetId="7" state="hidden" r:id="rId3"/>
    <sheet name="Colleteral Data" sheetId="15" state="hidden" r:id="rId4"/>
    <sheet name="Performance Data" sheetId="16" state="hidden" r:id="rId5"/>
    <sheet name="Deal Pool Mapping" sheetId="18" state="hidden" r:id="rId6"/>
  </sheets>
  <functionGroups builtInGroupCount="17"/>
  <definedNames>
    <definedName name="CurrentCloseDate" localSheetId="2">'Performance Pivot'!$AK$2</definedName>
    <definedName name="CurrentCloseDate" localSheetId="1">'Performance Report'!$AJ$2</definedName>
    <definedName name="DatabaseEnv" localSheetId="2">'Performance Pivot'!$AK$1</definedName>
    <definedName name="DatabaseEnv" localSheetId="1">'Performance Report'!$AJ$1</definedName>
    <definedName name="LatestUpdateDate">'Performance Report'!$AK$12</definedName>
    <definedName name="PDFReportDir" localSheetId="2">'Performance Pivot'!$AK$3</definedName>
    <definedName name="PDFReportDir" localSheetId="1">'Performance Report'!$AJ$3</definedName>
    <definedName name="PDFReportName" localSheetId="2">'Performance Pivot'!$AK$4</definedName>
    <definedName name="PDFReportName" localSheetId="1">'Performance Report'!$AJ$4</definedName>
    <definedName name="_xlnm.Print_Area" localSheetId="0">'Collateral Report'!$B$1:$Q$51</definedName>
    <definedName name="_xlnm.Print_Area" localSheetId="2">'Performance Pivot'!$C$1:$AF$74</definedName>
    <definedName name="_xlnm.Print_Area" localSheetId="1">'Performance Report'!$C$1:$AF$70</definedName>
    <definedName name="Query_from_Agency_11" localSheetId="3" hidden="1">'Colleteral Data'!$B$3:$AR$17</definedName>
    <definedName name="Query_from_Agency_11" localSheetId="5" hidden="1">'Deal Pool Mapping'!$B$3:$H$31</definedName>
    <definedName name="Query_from_Agency_11" localSheetId="4" hidden="1">'Performance Data'!$C$3:$R$158</definedName>
    <definedName name="SaveRatesToDB" localSheetId="2">'Performance Pivot'!$AM$1</definedName>
    <definedName name="SaveRatesToDB" localSheetId="1">'Performance Report'!$AL$1</definedName>
  </definedNames>
  <calcPr calcId="145621"/>
  <pivotCaches>
    <pivotCache cacheId="811" r:id="rId7"/>
  </pivotCaches>
</workbook>
</file>

<file path=xl/calcChain.xml><?xml version="1.0" encoding="utf-8"?>
<calcChain xmlns="http://schemas.openxmlformats.org/spreadsheetml/2006/main">
  <c r="I4" i="18" l="1"/>
  <c r="I5" i="18"/>
  <c r="I6" i="18"/>
  <c r="I7" i="18"/>
  <c r="I8" i="18"/>
  <c r="I9" i="18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28" i="18"/>
  <c r="I29" i="18"/>
  <c r="I30" i="18"/>
  <c r="I31" i="18"/>
  <c r="S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S136" i="16"/>
  <c r="S137" i="16"/>
  <c r="S138" i="16"/>
  <c r="S139" i="16"/>
  <c r="S140" i="16"/>
  <c r="S141" i="16"/>
  <c r="S142" i="16"/>
  <c r="S143" i="16"/>
  <c r="S144" i="16"/>
  <c r="S145" i="16"/>
  <c r="S146" i="16"/>
  <c r="S147" i="16"/>
  <c r="S148" i="16"/>
  <c r="S149" i="16"/>
  <c r="S150" i="16"/>
  <c r="S151" i="16"/>
  <c r="S152" i="16"/>
  <c r="S153" i="16"/>
  <c r="S154" i="16"/>
  <c r="S155" i="16"/>
  <c r="S156" i="16"/>
  <c r="S157" i="16"/>
  <c r="S158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AJ4" i="17" l="1"/>
  <c r="Q9" i="14" l="1"/>
  <c r="P9" i="14"/>
  <c r="O9" i="14"/>
  <c r="N9" i="14"/>
  <c r="M9" i="14"/>
  <c r="L9" i="14"/>
  <c r="K9" i="14"/>
  <c r="J9" i="14"/>
  <c r="I9" i="14"/>
  <c r="H9" i="14"/>
  <c r="G9" i="14"/>
  <c r="F9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Q14" i="14" l="1"/>
  <c r="P14" i="14"/>
  <c r="O14" i="14"/>
  <c r="N14" i="14"/>
  <c r="M14" i="14"/>
  <c r="L14" i="14"/>
  <c r="K14" i="14"/>
  <c r="J14" i="14"/>
  <c r="I14" i="14"/>
  <c r="H14" i="14"/>
  <c r="G14" i="14"/>
  <c r="F14" i="14"/>
  <c r="Q16" i="14" l="1"/>
  <c r="P16" i="14"/>
  <c r="O16" i="14"/>
  <c r="N16" i="14"/>
  <c r="M16" i="14"/>
  <c r="L16" i="14"/>
  <c r="K16" i="14"/>
  <c r="J16" i="14"/>
  <c r="I16" i="14"/>
  <c r="H16" i="14"/>
  <c r="G16" i="14"/>
  <c r="F16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C19" i="17" l="1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AK12" i="17" s="1"/>
  <c r="C47" i="17" l="1"/>
  <c r="S47" i="17"/>
  <c r="S18" i="17"/>
  <c r="AF47" i="17"/>
  <c r="E18" i="17"/>
  <c r="F18" i="17"/>
  <c r="G18" i="17"/>
  <c r="H18" i="17"/>
  <c r="I18" i="17"/>
  <c r="J18" i="17"/>
  <c r="K18" i="17"/>
  <c r="L18" i="17"/>
  <c r="M18" i="17"/>
  <c r="N18" i="17"/>
  <c r="O18" i="17"/>
  <c r="D18" i="17"/>
  <c r="T18" i="17" l="1"/>
  <c r="D17" i="17"/>
  <c r="D16" i="17" s="1"/>
  <c r="G47" i="17"/>
  <c r="G70" i="17" s="1"/>
  <c r="G17" i="17"/>
  <c r="G16" i="17" s="1"/>
  <c r="V47" i="17"/>
  <c r="F17" i="17"/>
  <c r="F16" i="17" s="1"/>
  <c r="AB47" i="17"/>
  <c r="L17" i="17"/>
  <c r="L16" i="17" s="1"/>
  <c r="AA47" i="17"/>
  <c r="K17" i="17"/>
  <c r="K16" i="17" s="1"/>
  <c r="O47" i="17"/>
  <c r="O70" i="17" s="1"/>
  <c r="O17" i="17"/>
  <c r="O16" i="17" s="1"/>
  <c r="M47" i="17"/>
  <c r="M70" i="17" s="1"/>
  <c r="M17" i="17"/>
  <c r="M16" i="17" s="1"/>
  <c r="Z18" i="17"/>
  <c r="J17" i="17"/>
  <c r="J16" i="17" s="1"/>
  <c r="X18" i="17"/>
  <c r="H17" i="17"/>
  <c r="H16" i="17" s="1"/>
  <c r="N47" i="17"/>
  <c r="N70" i="17" s="1"/>
  <c r="N17" i="17"/>
  <c r="N16" i="17" s="1"/>
  <c r="E47" i="17"/>
  <c r="E70" i="17" s="1"/>
  <c r="E17" i="17"/>
  <c r="E16" i="17" s="1"/>
  <c r="Y18" i="17"/>
  <c r="I17" i="17"/>
  <c r="I16" i="17" s="1"/>
  <c r="W18" i="17"/>
  <c r="U18" i="17"/>
  <c r="L47" i="17"/>
  <c r="L70" i="17" s="1"/>
  <c r="K47" i="17"/>
  <c r="K70" i="17" s="1"/>
  <c r="AA18" i="17"/>
  <c r="AE18" i="17"/>
  <c r="H47" i="17"/>
  <c r="H70" i="17" s="1"/>
  <c r="AC18" i="17"/>
  <c r="T47" i="17"/>
  <c r="Y47" i="17"/>
  <c r="V18" i="17"/>
  <c r="J47" i="17"/>
  <c r="J70" i="17" s="1"/>
  <c r="X47" i="17"/>
  <c r="Z47" i="17"/>
  <c r="AD18" i="17"/>
  <c r="AB18" i="17"/>
  <c r="D47" i="17"/>
  <c r="D70" i="17" s="1"/>
  <c r="I47" i="17"/>
  <c r="I70" i="17" s="1"/>
  <c r="AE47" i="17"/>
  <c r="W47" i="17"/>
  <c r="AC47" i="17"/>
  <c r="U47" i="17"/>
  <c r="AD47" i="17"/>
  <c r="F47" i="17"/>
  <c r="F70" i="17" s="1"/>
  <c r="AF40" i="17"/>
  <c r="T69" i="17"/>
  <c r="U69" i="17"/>
  <c r="V69" i="17"/>
  <c r="W69" i="17"/>
  <c r="X69" i="17"/>
  <c r="Y69" i="17"/>
  <c r="Z69" i="17"/>
  <c r="AA69" i="17"/>
  <c r="AB69" i="17"/>
  <c r="AC69" i="17"/>
  <c r="AD69" i="17"/>
  <c r="AF69" i="17"/>
  <c r="U40" i="17"/>
  <c r="V40" i="17"/>
  <c r="W40" i="17"/>
  <c r="X40" i="17"/>
  <c r="Y40" i="17"/>
  <c r="Z40" i="17"/>
  <c r="AA40" i="17"/>
  <c r="AB40" i="17"/>
  <c r="AC40" i="17"/>
  <c r="AD40" i="17"/>
  <c r="T40" i="17"/>
  <c r="D40" i="17"/>
  <c r="E40" i="17"/>
  <c r="F40" i="17"/>
  <c r="G40" i="17"/>
  <c r="H40" i="17"/>
  <c r="I40" i="17"/>
  <c r="J40" i="17"/>
  <c r="K40" i="17"/>
  <c r="L40" i="17"/>
  <c r="M40" i="17"/>
  <c r="N40" i="17"/>
  <c r="P40" i="17"/>
  <c r="J38" i="17"/>
  <c r="N36" i="17"/>
  <c r="E35" i="17"/>
  <c r="P34" i="17"/>
  <c r="G32" i="17"/>
  <c r="C60" i="17"/>
  <c r="M60" i="17" s="1"/>
  <c r="J30" i="17"/>
  <c r="C58" i="17"/>
  <c r="H58" i="17" s="1"/>
  <c r="N28" i="17"/>
  <c r="K27" i="17"/>
  <c r="D26" i="17"/>
  <c r="M24" i="17"/>
  <c r="L23" i="17"/>
  <c r="J22" i="17"/>
  <c r="C50" i="17"/>
  <c r="G50" i="17" s="1"/>
  <c r="S20" i="17"/>
  <c r="AF20" i="17" s="1"/>
  <c r="M19" i="17"/>
  <c r="U16" i="17" l="1"/>
  <c r="U45" i="17"/>
  <c r="E45" i="17"/>
  <c r="Z16" i="17"/>
  <c r="Z45" i="17"/>
  <c r="J45" i="17"/>
  <c r="V17" i="17"/>
  <c r="V46" i="17"/>
  <c r="F46" i="17"/>
  <c r="Z17" i="17"/>
  <c r="Z46" i="17"/>
  <c r="J46" i="17"/>
  <c r="AA17" i="17"/>
  <c r="AA46" i="17"/>
  <c r="K46" i="17"/>
  <c r="AD16" i="17"/>
  <c r="AD45" i="17"/>
  <c r="N45" i="17"/>
  <c r="AA16" i="17"/>
  <c r="AA45" i="17"/>
  <c r="K45" i="17"/>
  <c r="W16" i="17"/>
  <c r="W45" i="17"/>
  <c r="G45" i="17"/>
  <c r="AD17" i="17"/>
  <c r="AD46" i="17"/>
  <c r="N46" i="17"/>
  <c r="AC17" i="17"/>
  <c r="AC46" i="17"/>
  <c r="M46" i="17"/>
  <c r="W17" i="17"/>
  <c r="W46" i="17"/>
  <c r="G46" i="17"/>
  <c r="Y17" i="17"/>
  <c r="Y46" i="17"/>
  <c r="I46" i="17"/>
  <c r="AC16" i="17"/>
  <c r="AC45" i="17"/>
  <c r="M45" i="17"/>
  <c r="AB16" i="17"/>
  <c r="AB45" i="17"/>
  <c r="L45" i="17"/>
  <c r="Y16" i="17"/>
  <c r="Y45" i="17"/>
  <c r="I45" i="17"/>
  <c r="X16" i="17"/>
  <c r="X45" i="17"/>
  <c r="H45" i="17"/>
  <c r="AB17" i="17"/>
  <c r="AB46" i="17"/>
  <c r="L46" i="17"/>
  <c r="T16" i="17"/>
  <c r="T45" i="17"/>
  <c r="D45" i="17"/>
  <c r="X17" i="17"/>
  <c r="X46" i="17"/>
  <c r="H46" i="17"/>
  <c r="AE16" i="17"/>
  <c r="AE45" i="17"/>
  <c r="O45" i="17"/>
  <c r="T17" i="17"/>
  <c r="T46" i="17"/>
  <c r="D46" i="17"/>
  <c r="U17" i="17"/>
  <c r="U46" i="17"/>
  <c r="E46" i="17"/>
  <c r="AE17" i="17"/>
  <c r="AE46" i="17"/>
  <c r="O46" i="17"/>
  <c r="V16" i="17"/>
  <c r="V45" i="17"/>
  <c r="F45" i="17"/>
  <c r="D39" i="17"/>
  <c r="F43" i="14" s="1"/>
  <c r="P29" i="17"/>
  <c r="D30" i="17"/>
  <c r="I30" i="17"/>
  <c r="K34" i="17"/>
  <c r="O21" i="17"/>
  <c r="D38" i="17"/>
  <c r="E23" i="17"/>
  <c r="K38" i="17"/>
  <c r="O25" i="17"/>
  <c r="P25" i="17"/>
  <c r="M36" i="17"/>
  <c r="F23" i="17"/>
  <c r="K23" i="17"/>
  <c r="K31" i="17"/>
  <c r="I38" i="17"/>
  <c r="M31" i="17"/>
  <c r="E20" i="17"/>
  <c r="L26" i="17"/>
  <c r="P33" i="17"/>
  <c r="P60" i="17"/>
  <c r="N31" i="17"/>
  <c r="J21" i="17"/>
  <c r="H28" i="17"/>
  <c r="I34" i="17"/>
  <c r="P21" i="17"/>
  <c r="M20" i="17"/>
  <c r="D22" i="17"/>
  <c r="M23" i="17"/>
  <c r="P26" i="17"/>
  <c r="K30" i="17"/>
  <c r="O32" i="17"/>
  <c r="L34" i="17"/>
  <c r="G37" i="17"/>
  <c r="L38" i="17"/>
  <c r="G20" i="17"/>
  <c r="M28" i="17"/>
  <c r="O36" i="17"/>
  <c r="H39" i="17"/>
  <c r="J43" i="14" s="1"/>
  <c r="E19" i="17"/>
  <c r="O20" i="17"/>
  <c r="I22" i="17"/>
  <c r="N23" i="17"/>
  <c r="E27" i="17"/>
  <c r="G29" i="17"/>
  <c r="L30" i="17"/>
  <c r="G33" i="17"/>
  <c r="N35" i="17"/>
  <c r="I37" i="17"/>
  <c r="P38" i="17"/>
  <c r="O28" i="17"/>
  <c r="N39" i="17"/>
  <c r="P43" i="14" s="1"/>
  <c r="F19" i="17"/>
  <c r="K22" i="17"/>
  <c r="G25" i="17"/>
  <c r="F27" i="17"/>
  <c r="I29" i="17"/>
  <c r="P30" i="17"/>
  <c r="I33" i="17"/>
  <c r="E36" i="17"/>
  <c r="J37" i="17"/>
  <c r="AE20" i="17"/>
  <c r="H20" i="17"/>
  <c r="K19" i="17"/>
  <c r="G21" i="17"/>
  <c r="L22" i="17"/>
  <c r="I25" i="17"/>
  <c r="E28" i="17"/>
  <c r="J29" i="17"/>
  <c r="E31" i="17"/>
  <c r="J33" i="17"/>
  <c r="G36" i="17"/>
  <c r="O37" i="17"/>
  <c r="I21" i="17"/>
  <c r="P22" i="17"/>
  <c r="J25" i="17"/>
  <c r="G28" i="17"/>
  <c r="O29" i="17"/>
  <c r="F31" i="17"/>
  <c r="O33" i="17"/>
  <c r="H36" i="17"/>
  <c r="P37" i="17"/>
  <c r="E24" i="17"/>
  <c r="H24" i="17"/>
  <c r="E32" i="17"/>
  <c r="G24" i="17"/>
  <c r="S19" i="17"/>
  <c r="W19" i="17" s="1"/>
  <c r="L19" i="17"/>
  <c r="D19" i="17"/>
  <c r="J19" i="17"/>
  <c r="P19" i="17"/>
  <c r="I19" i="17"/>
  <c r="H19" i="17"/>
  <c r="O19" i="17"/>
  <c r="G19" i="17"/>
  <c r="L27" i="17"/>
  <c r="D27" i="17"/>
  <c r="J27" i="17"/>
  <c r="P27" i="17"/>
  <c r="I27" i="17"/>
  <c r="H27" i="17"/>
  <c r="O27" i="17"/>
  <c r="G27" i="17"/>
  <c r="L35" i="17"/>
  <c r="D35" i="17"/>
  <c r="J35" i="17"/>
  <c r="P35" i="17"/>
  <c r="I35" i="17"/>
  <c r="H35" i="17"/>
  <c r="O35" i="17"/>
  <c r="G35" i="17"/>
  <c r="N19" i="17"/>
  <c r="M27" i="17"/>
  <c r="F35" i="17"/>
  <c r="S53" i="17"/>
  <c r="AD53" i="17" s="1"/>
  <c r="N24" i="17"/>
  <c r="F24" i="17"/>
  <c r="L24" i="17"/>
  <c r="D24" i="17"/>
  <c r="K24" i="17"/>
  <c r="J24" i="17"/>
  <c r="P24" i="17"/>
  <c r="I24" i="17"/>
  <c r="N32" i="17"/>
  <c r="F32" i="17"/>
  <c r="L32" i="17"/>
  <c r="D32" i="17"/>
  <c r="K32" i="17"/>
  <c r="J32" i="17"/>
  <c r="P32" i="17"/>
  <c r="I32" i="17"/>
  <c r="C55" i="17"/>
  <c r="P55" i="17" s="1"/>
  <c r="J26" i="17"/>
  <c r="H26" i="17"/>
  <c r="O26" i="17"/>
  <c r="G26" i="17"/>
  <c r="N26" i="17"/>
  <c r="F26" i="17"/>
  <c r="M26" i="17"/>
  <c r="E26" i="17"/>
  <c r="O24" i="17"/>
  <c r="I26" i="17"/>
  <c r="N27" i="17"/>
  <c r="H32" i="17"/>
  <c r="K35" i="17"/>
  <c r="J34" i="17"/>
  <c r="H34" i="17"/>
  <c r="O34" i="17"/>
  <c r="G34" i="17"/>
  <c r="N34" i="17"/>
  <c r="F34" i="17"/>
  <c r="M34" i="17"/>
  <c r="E34" i="17"/>
  <c r="K26" i="17"/>
  <c r="M32" i="17"/>
  <c r="D34" i="17"/>
  <c r="M35" i="17"/>
  <c r="E39" i="17"/>
  <c r="G43" i="14" s="1"/>
  <c r="I20" i="17"/>
  <c r="P20" i="17"/>
  <c r="K21" i="17"/>
  <c r="E22" i="17"/>
  <c r="M22" i="17"/>
  <c r="G23" i="17"/>
  <c r="O23" i="17"/>
  <c r="K25" i="17"/>
  <c r="I28" i="17"/>
  <c r="P28" i="17"/>
  <c r="K29" i="17"/>
  <c r="E30" i="17"/>
  <c r="M30" i="17"/>
  <c r="G31" i="17"/>
  <c r="O31" i="17"/>
  <c r="K33" i="17"/>
  <c r="I36" i="17"/>
  <c r="P36" i="17"/>
  <c r="K37" i="17"/>
  <c r="E38" i="17"/>
  <c r="M38" i="17"/>
  <c r="P39" i="17"/>
  <c r="J20" i="17"/>
  <c r="D21" i="17"/>
  <c r="L21" i="17"/>
  <c r="F22" i="17"/>
  <c r="N22" i="17"/>
  <c r="H23" i="17"/>
  <c r="D25" i="17"/>
  <c r="L25" i="17"/>
  <c r="J28" i="17"/>
  <c r="D29" i="17"/>
  <c r="L29" i="17"/>
  <c r="F30" i="17"/>
  <c r="N30" i="17"/>
  <c r="H31" i="17"/>
  <c r="D33" i="17"/>
  <c r="L33" i="17"/>
  <c r="J36" i="17"/>
  <c r="D37" i="17"/>
  <c r="L37" i="17"/>
  <c r="F38" i="17"/>
  <c r="N38" i="17"/>
  <c r="K20" i="17"/>
  <c r="E21" i="17"/>
  <c r="M21" i="17"/>
  <c r="G22" i="17"/>
  <c r="O22" i="17"/>
  <c r="I23" i="17"/>
  <c r="P23" i="17"/>
  <c r="E25" i="17"/>
  <c r="M25" i="17"/>
  <c r="K28" i="17"/>
  <c r="E29" i="17"/>
  <c r="M29" i="17"/>
  <c r="G30" i="17"/>
  <c r="O30" i="17"/>
  <c r="I31" i="17"/>
  <c r="P31" i="17"/>
  <c r="E33" i="17"/>
  <c r="M33" i="17"/>
  <c r="K36" i="17"/>
  <c r="E37" i="17"/>
  <c r="M37" i="17"/>
  <c r="G38" i="17"/>
  <c r="O38" i="17"/>
  <c r="F39" i="17"/>
  <c r="H43" i="14" s="1"/>
  <c r="D20" i="17"/>
  <c r="L20" i="17"/>
  <c r="F21" i="17"/>
  <c r="N21" i="17"/>
  <c r="H22" i="17"/>
  <c r="J23" i="17"/>
  <c r="F25" i="17"/>
  <c r="N25" i="17"/>
  <c r="D28" i="17"/>
  <c r="L28" i="17"/>
  <c r="F29" i="17"/>
  <c r="N29" i="17"/>
  <c r="H30" i="17"/>
  <c r="J31" i="17"/>
  <c r="F33" i="17"/>
  <c r="N33" i="17"/>
  <c r="D36" i="17"/>
  <c r="L36" i="17"/>
  <c r="F37" i="17"/>
  <c r="N37" i="17"/>
  <c r="H38" i="17"/>
  <c r="M39" i="17"/>
  <c r="O43" i="14" s="1"/>
  <c r="F20" i="17"/>
  <c r="N20" i="17"/>
  <c r="H21" i="17"/>
  <c r="D23" i="17"/>
  <c r="H25" i="17"/>
  <c r="F28" i="17"/>
  <c r="H29" i="17"/>
  <c r="D31" i="17"/>
  <c r="L31" i="17"/>
  <c r="H33" i="17"/>
  <c r="F36" i="17"/>
  <c r="H37" i="17"/>
  <c r="P50" i="17"/>
  <c r="P58" i="17"/>
  <c r="K50" i="17"/>
  <c r="K39" i="17"/>
  <c r="M43" i="14" s="1"/>
  <c r="J39" i="17"/>
  <c r="L43" i="14" s="1"/>
  <c r="L39" i="17"/>
  <c r="N43" i="14" s="1"/>
  <c r="G39" i="17"/>
  <c r="I43" i="14" s="1"/>
  <c r="O39" i="17"/>
  <c r="I39" i="17"/>
  <c r="K43" i="14" s="1"/>
  <c r="S35" i="17"/>
  <c r="Y35" i="17" s="1"/>
  <c r="C64" i="17"/>
  <c r="M64" i="17" s="1"/>
  <c r="S21" i="17"/>
  <c r="S36" i="17"/>
  <c r="S29" i="17"/>
  <c r="S65" i="17"/>
  <c r="S28" i="17"/>
  <c r="S61" i="17"/>
  <c r="S32" i="17"/>
  <c r="S24" i="17"/>
  <c r="S49" i="17"/>
  <c r="S37" i="17"/>
  <c r="S54" i="17"/>
  <c r="S25" i="17"/>
  <c r="S62" i="17"/>
  <c r="S33" i="17"/>
  <c r="C48" i="17"/>
  <c r="P48" i="17" s="1"/>
  <c r="S55" i="17"/>
  <c r="S26" i="17"/>
  <c r="C56" i="17"/>
  <c r="P56" i="17" s="1"/>
  <c r="S56" i="17"/>
  <c r="S27" i="17"/>
  <c r="C62" i="17"/>
  <c r="P62" i="17" s="1"/>
  <c r="S48" i="17"/>
  <c r="J58" i="17"/>
  <c r="D58" i="17"/>
  <c r="L58" i="17"/>
  <c r="E58" i="17"/>
  <c r="M58" i="17"/>
  <c r="F58" i="17"/>
  <c r="N58" i="17"/>
  <c r="I58" i="17"/>
  <c r="K58" i="17"/>
  <c r="C54" i="17"/>
  <c r="P54" i="17" s="1"/>
  <c r="N60" i="17"/>
  <c r="S63" i="17"/>
  <c r="S34" i="17"/>
  <c r="C63" i="17"/>
  <c r="P63" i="17" s="1"/>
  <c r="S51" i="17"/>
  <c r="S22" i="17"/>
  <c r="S59" i="17"/>
  <c r="S30" i="17"/>
  <c r="C59" i="17"/>
  <c r="P59" i="17" s="1"/>
  <c r="S67" i="17"/>
  <c r="C67" i="17"/>
  <c r="S38" i="17"/>
  <c r="V20" i="17"/>
  <c r="AD20" i="17"/>
  <c r="Y20" i="17"/>
  <c r="Z20" i="17"/>
  <c r="U20" i="17"/>
  <c r="W20" i="17"/>
  <c r="AA20" i="17"/>
  <c r="AB20" i="17"/>
  <c r="T20" i="17"/>
  <c r="X20" i="17"/>
  <c r="AC20" i="17"/>
  <c r="C51" i="17"/>
  <c r="P51" i="17" s="1"/>
  <c r="H60" i="17"/>
  <c r="J60" i="17"/>
  <c r="K60" i="17"/>
  <c r="D60" i="17"/>
  <c r="L60" i="17"/>
  <c r="F60" i="17"/>
  <c r="G60" i="17"/>
  <c r="E60" i="17"/>
  <c r="I60" i="17"/>
  <c r="S64" i="17"/>
  <c r="G58" i="17"/>
  <c r="C49" i="17"/>
  <c r="P49" i="17" s="1"/>
  <c r="C57" i="17"/>
  <c r="P57" i="17" s="1"/>
  <c r="C61" i="17"/>
  <c r="P61" i="17" s="1"/>
  <c r="S58" i="17"/>
  <c r="J50" i="17"/>
  <c r="D50" i="17"/>
  <c r="L50" i="17"/>
  <c r="E50" i="17"/>
  <c r="M50" i="17"/>
  <c r="F50" i="17"/>
  <c r="N50" i="17"/>
  <c r="H50" i="17"/>
  <c r="I50" i="17"/>
  <c r="S57" i="17"/>
  <c r="S52" i="17"/>
  <c r="C52" i="17"/>
  <c r="P52" i="17" s="1"/>
  <c r="S60" i="17"/>
  <c r="S68" i="17"/>
  <c r="C68" i="17"/>
  <c r="S39" i="17"/>
  <c r="S31" i="17"/>
  <c r="S23" i="17"/>
  <c r="C66" i="17"/>
  <c r="C53" i="17"/>
  <c r="P53" i="17" s="1"/>
  <c r="C65" i="17"/>
  <c r="S66" i="17"/>
  <c r="S50" i="17"/>
  <c r="F42" i="14"/>
  <c r="F64" i="17" l="1"/>
  <c r="T19" i="17"/>
  <c r="Z19" i="17"/>
  <c r="AD19" i="17"/>
  <c r="V19" i="17"/>
  <c r="T35" i="17"/>
  <c r="N64" i="17"/>
  <c r="AC19" i="17"/>
  <c r="AB19" i="17"/>
  <c r="U19" i="17"/>
  <c r="AA19" i="17"/>
  <c r="Y19" i="17"/>
  <c r="V35" i="17"/>
  <c r="U35" i="17"/>
  <c r="Z35" i="17"/>
  <c r="W35" i="17"/>
  <c r="H64" i="17"/>
  <c r="AA53" i="17"/>
  <c r="F55" i="17"/>
  <c r="Y53" i="17"/>
  <c r="H55" i="17"/>
  <c r="T53" i="17"/>
  <c r="G55" i="17"/>
  <c r="X53" i="17"/>
  <c r="I55" i="17"/>
  <c r="U53" i="17"/>
  <c r="AE54" i="17"/>
  <c r="AF54" i="17"/>
  <c r="AF58" i="17"/>
  <c r="AE58" i="17"/>
  <c r="X36" i="17"/>
  <c r="AF36" i="17"/>
  <c r="AE36" i="17"/>
  <c r="AE68" i="17"/>
  <c r="AF68" i="17"/>
  <c r="AE30" i="17"/>
  <c r="AF30" i="17"/>
  <c r="AE48" i="17"/>
  <c r="AF48" i="17"/>
  <c r="T49" i="17"/>
  <c r="AF49" i="17"/>
  <c r="AE49" i="17"/>
  <c r="AE22" i="17"/>
  <c r="AF22" i="17"/>
  <c r="AF27" i="17"/>
  <c r="AE27" i="17"/>
  <c r="AF32" i="17"/>
  <c r="AE32" i="17"/>
  <c r="P66" i="17"/>
  <c r="O66" i="17"/>
  <c r="AE52" i="17"/>
  <c r="AF52" i="17"/>
  <c r="Z53" i="17"/>
  <c r="W53" i="17"/>
  <c r="AF51" i="17"/>
  <c r="AE51" i="17"/>
  <c r="AE56" i="17"/>
  <c r="AF56" i="17"/>
  <c r="N55" i="17"/>
  <c r="L55" i="17"/>
  <c r="AB61" i="17"/>
  <c r="AF61" i="17"/>
  <c r="AE61" i="17"/>
  <c r="G64" i="17"/>
  <c r="P64" i="17"/>
  <c r="AF50" i="17"/>
  <c r="AE50" i="17"/>
  <c r="AE55" i="17"/>
  <c r="AF55" i="17"/>
  <c r="AE25" i="17"/>
  <c r="AF25" i="17"/>
  <c r="AF66" i="17"/>
  <c r="AE66" i="17"/>
  <c r="O68" i="17"/>
  <c r="P68" i="17"/>
  <c r="AE63" i="17"/>
  <c r="AF63" i="17"/>
  <c r="AB37" i="17"/>
  <c r="AF37" i="17"/>
  <c r="AE37" i="17"/>
  <c r="P65" i="17"/>
  <c r="O65" i="17"/>
  <c r="AE60" i="17"/>
  <c r="AF60" i="17"/>
  <c r="AF59" i="17"/>
  <c r="AE59" i="17"/>
  <c r="E55" i="17"/>
  <c r="AE23" i="17"/>
  <c r="AF23" i="17"/>
  <c r="AF57" i="17"/>
  <c r="AE57" i="17"/>
  <c r="AE38" i="17"/>
  <c r="AF38" i="17"/>
  <c r="W49" i="17"/>
  <c r="AE33" i="17"/>
  <c r="AF33" i="17"/>
  <c r="D55" i="17"/>
  <c r="AF28" i="17"/>
  <c r="AE28" i="17"/>
  <c r="X19" i="17"/>
  <c r="AF19" i="17"/>
  <c r="AE19" i="17"/>
  <c r="AE39" i="17"/>
  <c r="AF39" i="17"/>
  <c r="AF67" i="17"/>
  <c r="AE67" i="17"/>
  <c r="AF34" i="17"/>
  <c r="AE34" i="17"/>
  <c r="AA29" i="17"/>
  <c r="AF29" i="17"/>
  <c r="AE29" i="17"/>
  <c r="M55" i="17"/>
  <c r="AF24" i="17"/>
  <c r="AE24" i="17"/>
  <c r="Y21" i="17"/>
  <c r="AF21" i="17"/>
  <c r="AE21" i="17"/>
  <c r="AB53" i="17"/>
  <c r="AE53" i="17"/>
  <c r="AF53" i="17"/>
  <c r="AC53" i="17"/>
  <c r="AE31" i="17"/>
  <c r="AF31" i="17"/>
  <c r="AE64" i="17"/>
  <c r="AF64" i="17"/>
  <c r="V53" i="17"/>
  <c r="P67" i="17"/>
  <c r="O67" i="17"/>
  <c r="AC21" i="17"/>
  <c r="AF26" i="17"/>
  <c r="AE26" i="17"/>
  <c r="AE62" i="17"/>
  <c r="AF62" i="17"/>
  <c r="J55" i="17"/>
  <c r="K55" i="17"/>
  <c r="X65" i="17"/>
  <c r="AF65" i="17"/>
  <c r="AE65" i="17"/>
  <c r="AD35" i="17"/>
  <c r="AF35" i="17"/>
  <c r="AE35" i="17"/>
  <c r="AA35" i="17"/>
  <c r="L64" i="17"/>
  <c r="T36" i="17"/>
  <c r="AC35" i="17"/>
  <c r="I64" i="17"/>
  <c r="U49" i="17"/>
  <c r="AB35" i="17"/>
  <c r="X35" i="17"/>
  <c r="E64" i="17"/>
  <c r="AC28" i="17"/>
  <c r="Z28" i="17"/>
  <c r="AD49" i="17"/>
  <c r="Y24" i="17"/>
  <c r="AC24" i="17"/>
  <c r="V49" i="17"/>
  <c r="W24" i="17"/>
  <c r="AA49" i="17"/>
  <c r="Z49" i="17"/>
  <c r="Y61" i="17"/>
  <c r="Y49" i="17"/>
  <c r="AB28" i="17"/>
  <c r="V21" i="17"/>
  <c r="K64" i="17"/>
  <c r="D64" i="17"/>
  <c r="W28" i="17"/>
  <c r="W21" i="17"/>
  <c r="V32" i="17"/>
  <c r="Z61" i="17"/>
  <c r="AB49" i="17"/>
  <c r="AA28" i="17"/>
  <c r="U21" i="17"/>
  <c r="AB21" i="17"/>
  <c r="T32" i="17"/>
  <c r="AB32" i="17"/>
  <c r="AC49" i="17"/>
  <c r="AD21" i="17"/>
  <c r="W61" i="17"/>
  <c r="T28" i="17"/>
  <c r="X49" i="17"/>
  <c r="T21" i="17"/>
  <c r="J64" i="17"/>
  <c r="AD61" i="17"/>
  <c r="AD24" i="17"/>
  <c r="V37" i="17"/>
  <c r="AB36" i="17"/>
  <c r="T24" i="17"/>
  <c r="AD65" i="17"/>
  <c r="AA21" i="17"/>
  <c r="AD37" i="17"/>
  <c r="V61" i="17"/>
  <c r="V24" i="17"/>
  <c r="AB24" i="17"/>
  <c r="Z21" i="17"/>
  <c r="W37" i="17"/>
  <c r="X61" i="17"/>
  <c r="Z29" i="17"/>
  <c r="AA24" i="17"/>
  <c r="Z24" i="17"/>
  <c r="X21" i="17"/>
  <c r="T61" i="17"/>
  <c r="AC61" i="17"/>
  <c r="W65" i="17"/>
  <c r="T37" i="17"/>
  <c r="AC36" i="17"/>
  <c r="AC37" i="17"/>
  <c r="Y65" i="17"/>
  <c r="X29" i="17"/>
  <c r="Y32" i="17"/>
  <c r="AA32" i="17"/>
  <c r="V29" i="17"/>
  <c r="T65" i="17"/>
  <c r="Y36" i="17"/>
  <c r="Y28" i="17"/>
  <c r="AA37" i="17"/>
  <c r="U61" i="17"/>
  <c r="AA61" i="17"/>
  <c r="AA36" i="17"/>
  <c r="Y37" i="17"/>
  <c r="AC32" i="17"/>
  <c r="U36" i="17"/>
  <c r="AC65" i="17"/>
  <c r="Z37" i="17"/>
  <c r="U29" i="17"/>
  <c r="W29" i="17"/>
  <c r="Z36" i="17"/>
  <c r="W36" i="17"/>
  <c r="AD29" i="17"/>
  <c r="Z32" i="17"/>
  <c r="U32" i="17"/>
  <c r="X32" i="17"/>
  <c r="U28" i="17"/>
  <c r="X28" i="17"/>
  <c r="W32" i="17"/>
  <c r="T29" i="17"/>
  <c r="AA65" i="17"/>
  <c r="AD36" i="17"/>
  <c r="AD28" i="17"/>
  <c r="X37" i="17"/>
  <c r="AC29" i="17"/>
  <c r="U65" i="17"/>
  <c r="Y29" i="17"/>
  <c r="AB65" i="17"/>
  <c r="AD32" i="17"/>
  <c r="V65" i="17"/>
  <c r="Z65" i="17"/>
  <c r="AB29" i="17"/>
  <c r="V36" i="17"/>
  <c r="V28" i="17"/>
  <c r="U37" i="17"/>
  <c r="U24" i="17"/>
  <c r="X24" i="17"/>
  <c r="G65" i="17"/>
  <c r="I65" i="17"/>
  <c r="J65" i="17"/>
  <c r="K65" i="17"/>
  <c r="N65" i="17"/>
  <c r="E65" i="17"/>
  <c r="F65" i="17"/>
  <c r="D65" i="17"/>
  <c r="H65" i="17"/>
  <c r="M65" i="17"/>
  <c r="L65" i="17"/>
  <c r="F62" i="17"/>
  <c r="N62" i="17"/>
  <c r="H62" i="17"/>
  <c r="I62" i="17"/>
  <c r="J62" i="17"/>
  <c r="E62" i="17"/>
  <c r="G62" i="17"/>
  <c r="L62" i="17"/>
  <c r="M62" i="17"/>
  <c r="D62" i="17"/>
  <c r="K62" i="17"/>
  <c r="T56" i="17"/>
  <c r="AB56" i="17"/>
  <c r="W56" i="17"/>
  <c r="X56" i="17"/>
  <c r="AC56" i="17"/>
  <c r="AD56" i="17"/>
  <c r="U56" i="17"/>
  <c r="V56" i="17"/>
  <c r="Y56" i="17"/>
  <c r="Z56" i="17"/>
  <c r="AA56" i="17"/>
  <c r="W27" i="17"/>
  <c r="X27" i="17"/>
  <c r="Z27" i="17"/>
  <c r="AA27" i="17"/>
  <c r="T27" i="17"/>
  <c r="U27" i="17"/>
  <c r="V27" i="17"/>
  <c r="Y27" i="17"/>
  <c r="AB27" i="17"/>
  <c r="AC27" i="17"/>
  <c r="AD27" i="17"/>
  <c r="D56" i="17"/>
  <c r="L56" i="17"/>
  <c r="F56" i="17"/>
  <c r="N56" i="17"/>
  <c r="G56" i="17"/>
  <c r="H56" i="17"/>
  <c r="E56" i="17"/>
  <c r="J56" i="17"/>
  <c r="K56" i="17"/>
  <c r="I56" i="17"/>
  <c r="M56" i="17"/>
  <c r="W31" i="17"/>
  <c r="T31" i="17"/>
  <c r="X31" i="17"/>
  <c r="Z31" i="17"/>
  <c r="AA31" i="17"/>
  <c r="U31" i="17"/>
  <c r="V31" i="17"/>
  <c r="Y31" i="17"/>
  <c r="AB31" i="17"/>
  <c r="AC31" i="17"/>
  <c r="AD31" i="17"/>
  <c r="K53" i="17"/>
  <c r="E53" i="17"/>
  <c r="M53" i="17"/>
  <c r="F53" i="17"/>
  <c r="N53" i="17"/>
  <c r="G53" i="17"/>
  <c r="J53" i="17"/>
  <c r="L53" i="17"/>
  <c r="D53" i="17"/>
  <c r="I53" i="17"/>
  <c r="H53" i="17"/>
  <c r="W39" i="17"/>
  <c r="I44" i="14" s="1"/>
  <c r="T39" i="17"/>
  <c r="F44" i="14" s="1"/>
  <c r="X39" i="17"/>
  <c r="J44" i="14" s="1"/>
  <c r="Z39" i="17"/>
  <c r="L44" i="14" s="1"/>
  <c r="AA39" i="17"/>
  <c r="M44" i="14" s="1"/>
  <c r="U39" i="17"/>
  <c r="G44" i="14" s="1"/>
  <c r="Y39" i="17"/>
  <c r="K44" i="14" s="1"/>
  <c r="V39" i="17"/>
  <c r="H44" i="14" s="1"/>
  <c r="AB39" i="17"/>
  <c r="N44" i="14" s="1"/>
  <c r="AC39" i="17"/>
  <c r="O44" i="14" s="1"/>
  <c r="AD39" i="17"/>
  <c r="P44" i="14" s="1"/>
  <c r="X52" i="17"/>
  <c r="AA52" i="17"/>
  <c r="T52" i="17"/>
  <c r="AB52" i="17"/>
  <c r="AD52" i="17"/>
  <c r="V52" i="17"/>
  <c r="W52" i="17"/>
  <c r="U52" i="17"/>
  <c r="Y52" i="17"/>
  <c r="Z52" i="17"/>
  <c r="AC52" i="17"/>
  <c r="K61" i="17"/>
  <c r="E61" i="17"/>
  <c r="M61" i="17"/>
  <c r="F61" i="17"/>
  <c r="N61" i="17"/>
  <c r="G61" i="17"/>
  <c r="D61" i="17"/>
  <c r="I61" i="17"/>
  <c r="J61" i="17"/>
  <c r="H61" i="17"/>
  <c r="L61" i="17"/>
  <c r="E51" i="17"/>
  <c r="M51" i="17"/>
  <c r="G51" i="17"/>
  <c r="H51" i="17"/>
  <c r="I51" i="17"/>
  <c r="D51" i="17"/>
  <c r="F51" i="17"/>
  <c r="K51" i="17"/>
  <c r="L51" i="17"/>
  <c r="J51" i="17"/>
  <c r="N51" i="17"/>
  <c r="AA22" i="17"/>
  <c r="AB22" i="17"/>
  <c r="V22" i="17"/>
  <c r="AD22" i="17"/>
  <c r="W22" i="17"/>
  <c r="U22" i="17"/>
  <c r="X22" i="17"/>
  <c r="T22" i="17"/>
  <c r="Y22" i="17"/>
  <c r="Z22" i="17"/>
  <c r="AC22" i="17"/>
  <c r="AA26" i="17"/>
  <c r="AB26" i="17"/>
  <c r="V26" i="17"/>
  <c r="AD26" i="17"/>
  <c r="T26" i="17"/>
  <c r="W26" i="17"/>
  <c r="U26" i="17"/>
  <c r="X26" i="17"/>
  <c r="Y26" i="17"/>
  <c r="Z26" i="17"/>
  <c r="AC26" i="17"/>
  <c r="W33" i="17"/>
  <c r="X33" i="17"/>
  <c r="Z33" i="17"/>
  <c r="AA33" i="17"/>
  <c r="AC33" i="17"/>
  <c r="T33" i="17"/>
  <c r="AD33" i="17"/>
  <c r="U33" i="17"/>
  <c r="V33" i="17"/>
  <c r="Y33" i="17"/>
  <c r="AB33" i="17"/>
  <c r="V54" i="17"/>
  <c r="AD54" i="17"/>
  <c r="Y54" i="17"/>
  <c r="Z54" i="17"/>
  <c r="AC54" i="17"/>
  <c r="U54" i="17"/>
  <c r="W54" i="17"/>
  <c r="T54" i="17"/>
  <c r="X54" i="17"/>
  <c r="AA54" i="17"/>
  <c r="AB54" i="17"/>
  <c r="W23" i="17"/>
  <c r="T23" i="17"/>
  <c r="X23" i="17"/>
  <c r="Z23" i="17"/>
  <c r="AA23" i="17"/>
  <c r="U23" i="17"/>
  <c r="V23" i="17"/>
  <c r="Y23" i="17"/>
  <c r="AB23" i="17"/>
  <c r="AC23" i="17"/>
  <c r="AD23" i="17"/>
  <c r="H52" i="17"/>
  <c r="J52" i="17"/>
  <c r="K52" i="17"/>
  <c r="D52" i="17"/>
  <c r="L52" i="17"/>
  <c r="G52" i="17"/>
  <c r="I52" i="17"/>
  <c r="N52" i="17"/>
  <c r="E52" i="17"/>
  <c r="F52" i="17"/>
  <c r="M52" i="17"/>
  <c r="U67" i="17"/>
  <c r="AC67" i="17"/>
  <c r="X67" i="17"/>
  <c r="Y67" i="17"/>
  <c r="AA67" i="17"/>
  <c r="AB67" i="17"/>
  <c r="T67" i="17"/>
  <c r="AD67" i="17"/>
  <c r="V67" i="17"/>
  <c r="Z67" i="17"/>
  <c r="W67" i="17"/>
  <c r="E59" i="17"/>
  <c r="M59" i="17"/>
  <c r="G59" i="17"/>
  <c r="H59" i="17"/>
  <c r="I59" i="17"/>
  <c r="L59" i="17"/>
  <c r="N59" i="17"/>
  <c r="D59" i="17"/>
  <c r="J59" i="17"/>
  <c r="F59" i="17"/>
  <c r="K59" i="17"/>
  <c r="U51" i="17"/>
  <c r="AC51" i="17"/>
  <c r="W51" i="17"/>
  <c r="X51" i="17"/>
  <c r="Y51" i="17"/>
  <c r="AB51" i="17"/>
  <c r="AD51" i="17"/>
  <c r="T51" i="17"/>
  <c r="V51" i="17"/>
  <c r="Z51" i="17"/>
  <c r="AA51" i="17"/>
  <c r="Y55" i="17"/>
  <c r="T55" i="17"/>
  <c r="AB55" i="17"/>
  <c r="U55" i="17"/>
  <c r="AC55" i="17"/>
  <c r="AD55" i="17"/>
  <c r="V55" i="17"/>
  <c r="W55" i="17"/>
  <c r="X55" i="17"/>
  <c r="Z55" i="17"/>
  <c r="AA55" i="17"/>
  <c r="T64" i="17"/>
  <c r="AB64" i="17"/>
  <c r="W64" i="17"/>
  <c r="X64" i="17"/>
  <c r="AA64" i="17"/>
  <c r="AC64" i="17"/>
  <c r="U64" i="17"/>
  <c r="V64" i="17"/>
  <c r="Y64" i="17"/>
  <c r="Z64" i="17"/>
  <c r="AD64" i="17"/>
  <c r="AA38" i="17"/>
  <c r="AB38" i="17"/>
  <c r="V38" i="17"/>
  <c r="AD38" i="17"/>
  <c r="W38" i="17"/>
  <c r="U38" i="17"/>
  <c r="X38" i="17"/>
  <c r="T38" i="17"/>
  <c r="Y38" i="17"/>
  <c r="Z38" i="17"/>
  <c r="AC38" i="17"/>
  <c r="U59" i="17"/>
  <c r="AC59" i="17"/>
  <c r="X59" i="17"/>
  <c r="Y59" i="17"/>
  <c r="AB59" i="17"/>
  <c r="AD59" i="17"/>
  <c r="T59" i="17"/>
  <c r="V59" i="17"/>
  <c r="W59" i="17"/>
  <c r="Z59" i="17"/>
  <c r="AA59" i="17"/>
  <c r="W25" i="17"/>
  <c r="X25" i="17"/>
  <c r="Z25" i="17"/>
  <c r="AA25" i="17"/>
  <c r="AC25" i="17"/>
  <c r="AD25" i="17"/>
  <c r="U25" i="17"/>
  <c r="T25" i="17"/>
  <c r="Y25" i="17"/>
  <c r="AB25" i="17"/>
  <c r="V25" i="17"/>
  <c r="E67" i="17"/>
  <c r="M67" i="17"/>
  <c r="G67" i="17"/>
  <c r="H67" i="17"/>
  <c r="I67" i="17"/>
  <c r="D67" i="17"/>
  <c r="F67" i="17"/>
  <c r="K67" i="17"/>
  <c r="L67" i="17"/>
  <c r="J67" i="17"/>
  <c r="N67" i="17"/>
  <c r="I63" i="17"/>
  <c r="K63" i="17"/>
  <c r="D63" i="17"/>
  <c r="L63" i="17"/>
  <c r="E63" i="17"/>
  <c r="M63" i="17"/>
  <c r="H63" i="17"/>
  <c r="J63" i="17"/>
  <c r="N63" i="17"/>
  <c r="F63" i="17"/>
  <c r="G63" i="17"/>
  <c r="Z58" i="17"/>
  <c r="U58" i="17"/>
  <c r="AC58" i="17"/>
  <c r="V58" i="17"/>
  <c r="AD58" i="17"/>
  <c r="AB58" i="17"/>
  <c r="T58" i="17"/>
  <c r="W58" i="17"/>
  <c r="X58" i="17"/>
  <c r="Y58" i="17"/>
  <c r="AA58" i="17"/>
  <c r="H68" i="17"/>
  <c r="J45" i="14" s="1"/>
  <c r="J68" i="17"/>
  <c r="L45" i="14" s="1"/>
  <c r="K68" i="17"/>
  <c r="M45" i="14" s="1"/>
  <c r="D68" i="17"/>
  <c r="F45" i="14" s="1"/>
  <c r="L68" i="17"/>
  <c r="N45" i="14" s="1"/>
  <c r="G68" i="17"/>
  <c r="I45" i="14" s="1"/>
  <c r="I68" i="17"/>
  <c r="K45" i="14" s="1"/>
  <c r="N68" i="17"/>
  <c r="P45" i="14" s="1"/>
  <c r="M68" i="17"/>
  <c r="O45" i="14" s="1"/>
  <c r="E68" i="17"/>
  <c r="G45" i="14" s="1"/>
  <c r="F68" i="17"/>
  <c r="H45" i="14" s="1"/>
  <c r="G57" i="17"/>
  <c r="I57" i="17"/>
  <c r="J57" i="17"/>
  <c r="K57" i="17"/>
  <c r="F57" i="17"/>
  <c r="H57" i="17"/>
  <c r="M57" i="17"/>
  <c r="N57" i="17"/>
  <c r="D57" i="17"/>
  <c r="E57" i="17"/>
  <c r="L57" i="17"/>
  <c r="F54" i="17"/>
  <c r="N54" i="17"/>
  <c r="H54" i="17"/>
  <c r="I54" i="17"/>
  <c r="J54" i="17"/>
  <c r="M54" i="17"/>
  <c r="D54" i="17"/>
  <c r="E54" i="17"/>
  <c r="G54" i="17"/>
  <c r="K54" i="17"/>
  <c r="L54" i="17"/>
  <c r="V62" i="17"/>
  <c r="AD62" i="17"/>
  <c r="Y62" i="17"/>
  <c r="Z62" i="17"/>
  <c r="AB62" i="17"/>
  <c r="AC62" i="17"/>
  <c r="T62" i="17"/>
  <c r="U62" i="17"/>
  <c r="W62" i="17"/>
  <c r="X62" i="17"/>
  <c r="AA62" i="17"/>
  <c r="J66" i="17"/>
  <c r="D66" i="17"/>
  <c r="L66" i="17"/>
  <c r="E66" i="17"/>
  <c r="M66" i="17"/>
  <c r="F66" i="17"/>
  <c r="N66" i="17"/>
  <c r="H66" i="17"/>
  <c r="I66" i="17"/>
  <c r="G66" i="17"/>
  <c r="K66" i="17"/>
  <c r="X60" i="17"/>
  <c r="AA60" i="17"/>
  <c r="T60" i="17"/>
  <c r="AB60" i="17"/>
  <c r="AC60" i="17"/>
  <c r="AD60" i="17"/>
  <c r="U60" i="17"/>
  <c r="V60" i="17"/>
  <c r="W60" i="17"/>
  <c r="Y60" i="17"/>
  <c r="Z60" i="17"/>
  <c r="Z50" i="17"/>
  <c r="T50" i="17"/>
  <c r="AB50" i="17"/>
  <c r="U50" i="17"/>
  <c r="AC50" i="17"/>
  <c r="V50" i="17"/>
  <c r="AD50" i="17"/>
  <c r="Y50" i="17"/>
  <c r="AA50" i="17"/>
  <c r="W50" i="17"/>
  <c r="X50" i="17"/>
  <c r="X68" i="17"/>
  <c r="AA68" i="17"/>
  <c r="T68" i="17"/>
  <c r="AB68" i="17"/>
  <c r="Z68" i="17"/>
  <c r="AC68" i="17"/>
  <c r="U68" i="17"/>
  <c r="V68" i="17"/>
  <c r="W68" i="17"/>
  <c r="Y68" i="17"/>
  <c r="AD68" i="17"/>
  <c r="AA34" i="17"/>
  <c r="AB34" i="17"/>
  <c r="V34" i="17"/>
  <c r="AD34" i="17"/>
  <c r="T34" i="17"/>
  <c r="W34" i="17"/>
  <c r="U34" i="17"/>
  <c r="X34" i="17"/>
  <c r="Y34" i="17"/>
  <c r="AC34" i="17"/>
  <c r="Z34" i="17"/>
  <c r="D48" i="17"/>
  <c r="L48" i="17"/>
  <c r="F48" i="17"/>
  <c r="N48" i="17"/>
  <c r="G48" i="17"/>
  <c r="H48" i="17"/>
  <c r="K48" i="17"/>
  <c r="M48" i="17"/>
  <c r="E48" i="17"/>
  <c r="J48" i="17"/>
  <c r="I48" i="17"/>
  <c r="Z66" i="17"/>
  <c r="U66" i="17"/>
  <c r="AC66" i="17"/>
  <c r="V66" i="17"/>
  <c r="AD66" i="17"/>
  <c r="AA66" i="17"/>
  <c r="AB66" i="17"/>
  <c r="T66" i="17"/>
  <c r="W66" i="17"/>
  <c r="X66" i="17"/>
  <c r="Y66" i="17"/>
  <c r="W57" i="17"/>
  <c r="Z57" i="17"/>
  <c r="AA57" i="17"/>
  <c r="AC57" i="17"/>
  <c r="AD57" i="17"/>
  <c r="U57" i="17"/>
  <c r="V57" i="17"/>
  <c r="T57" i="17"/>
  <c r="X57" i="17"/>
  <c r="Y57" i="17"/>
  <c r="AB57" i="17"/>
  <c r="G49" i="17"/>
  <c r="I49" i="17"/>
  <c r="J49" i="17"/>
  <c r="K49" i="17"/>
  <c r="N49" i="17"/>
  <c r="E49" i="17"/>
  <c r="F49" i="17"/>
  <c r="D49" i="17"/>
  <c r="H49" i="17"/>
  <c r="L49" i="17"/>
  <c r="M49" i="17"/>
  <c r="AA30" i="17"/>
  <c r="AB30" i="17"/>
  <c r="V30" i="17"/>
  <c r="AD30" i="17"/>
  <c r="W30" i="17"/>
  <c r="U30" i="17"/>
  <c r="X30" i="17"/>
  <c r="Y30" i="17"/>
  <c r="T30" i="17"/>
  <c r="Z30" i="17"/>
  <c r="AC30" i="17"/>
  <c r="Y63" i="17"/>
  <c r="T63" i="17"/>
  <c r="AB63" i="17"/>
  <c r="U63" i="17"/>
  <c r="AC63" i="17"/>
  <c r="AA63" i="17"/>
  <c r="AD63" i="17"/>
  <c r="V63" i="17"/>
  <c r="W63" i="17"/>
  <c r="X63" i="17"/>
  <c r="Z63" i="17"/>
  <c r="T48" i="17"/>
  <c r="AB48" i="17"/>
  <c r="V48" i="17"/>
  <c r="AD48" i="17"/>
  <c r="W48" i="17"/>
  <c r="X48" i="17"/>
  <c r="U48" i="17"/>
  <c r="Z48" i="17"/>
  <c r="AA48" i="17"/>
  <c r="Y48" i="17"/>
  <c r="AC48" i="17"/>
  <c r="Q45" i="14" l="1"/>
</calcChain>
</file>

<file path=xl/connections.xml><?xml version="1.0" encoding="utf-8"?>
<connections xmlns="http://schemas.openxmlformats.org/spreadsheetml/2006/main">
  <connection id="1" name="LoanLevelQuery" type="1" refreshedVersion="4" savePassword="1" saveData="1">
    <dbPr connection="DSN=Agency" command="exec CRT_SurveillanceReports_CollateralSummary_FNMA"/>
  </connection>
  <connection id="2" name="LoanLevelQuery1" type="1" refreshedVersion="4" savePassword="1" saveData="1">
    <dbPr connection="DSN=Agency" command="exec CRT_SurveillanceReports_PerformanceSummary_FNMA"/>
  </connection>
  <connection id="3" name="LoanLevelQuery2" type="1" refreshedVersion="4" savePassword="1" saveData="1">
    <dbPr connection="DSN=Agency" command="select BloombergDealName,BloombergBondName,YBName,Cusip,PricingDate,RefPoolId, groupID FROM fnm.Cello_CRTDealPoolMapping"/>
  </connection>
</connections>
</file>

<file path=xl/sharedStrings.xml><?xml version="1.0" encoding="utf-8"?>
<sst xmlns="http://schemas.openxmlformats.org/spreadsheetml/2006/main" count="714" uniqueCount="232">
  <si>
    <t>Database Env</t>
  </si>
  <si>
    <t>Save Data to DB</t>
  </si>
  <si>
    <t>As of Date</t>
  </si>
  <si>
    <t>Report Name</t>
  </si>
  <si>
    <t>No</t>
  </si>
  <si>
    <t>Report Folder</t>
  </si>
  <si>
    <t>PROD</t>
  </si>
  <si>
    <t>CPR %</t>
  </si>
  <si>
    <t>CDR %</t>
  </si>
  <si>
    <t>Sum of CPR</t>
  </si>
  <si>
    <t>Column Labels</t>
  </si>
  <si>
    <t>Row Labels</t>
  </si>
  <si>
    <t>DealID</t>
  </si>
  <si>
    <t>beginDate</t>
  </si>
  <si>
    <t>CPR</t>
  </si>
  <si>
    <t>CDR</t>
  </si>
  <si>
    <t>pct_dq</t>
  </si>
  <si>
    <t>cum_pp_pct</t>
  </si>
  <si>
    <t>cum_df_pct</t>
  </si>
  <si>
    <t>Cumulative Default Rate %</t>
  </si>
  <si>
    <t>Delinquency %</t>
  </si>
  <si>
    <t>CurrentLoanCount</t>
  </si>
  <si>
    <t>CurrentBalance</t>
  </si>
  <si>
    <t>OriginalBalance</t>
  </si>
  <si>
    <t>loanCount</t>
  </si>
  <si>
    <t>currentBalance</t>
  </si>
  <si>
    <t>prepaymentBalance</t>
  </si>
  <si>
    <t>defaultBalance</t>
  </si>
  <si>
    <t>cum_prepayment</t>
  </si>
  <si>
    <t>cum_default</t>
  </si>
  <si>
    <t>lateNPL</t>
  </si>
  <si>
    <t xml:space="preserve"> CurrentLoanCount </t>
  </si>
  <si>
    <t>DealName</t>
  </si>
  <si>
    <t>RefPoolId</t>
  </si>
  <si>
    <t>wavg_loanAge</t>
  </si>
  <si>
    <t>wavg_origNoteRate</t>
  </si>
  <si>
    <t>wavg_currentNoteRate</t>
  </si>
  <si>
    <t>wavg_origLTV</t>
  </si>
  <si>
    <t>wavg_origCLTV</t>
  </si>
  <si>
    <t>wavg_currentLTV</t>
  </si>
  <si>
    <t>wavg_origDTI</t>
  </si>
  <si>
    <t>wavg_origFICO</t>
  </si>
  <si>
    <t>wavg_origLoanSize</t>
  </si>
  <si>
    <t>pct_mi</t>
  </si>
  <si>
    <t>pct_2nd</t>
  </si>
  <si>
    <t>pct_firstTimeHomeBuyer</t>
  </si>
  <si>
    <t>pct_multiple_borrowers</t>
  </si>
  <si>
    <t>pct_multiple_units</t>
  </si>
  <si>
    <t>pct_sfr</t>
  </si>
  <si>
    <t>pct_owner</t>
  </si>
  <si>
    <t>pct_purchase</t>
  </si>
  <si>
    <t>pct_broker</t>
  </si>
  <si>
    <t>pct_current</t>
  </si>
  <si>
    <t>pct_delinquent</t>
  </si>
  <si>
    <t>pct_APL</t>
  </si>
  <si>
    <t>pct_RPL</t>
  </si>
  <si>
    <t>pct_earlyNPL</t>
  </si>
  <si>
    <t>pct_lateNPL</t>
  </si>
  <si>
    <t>pct_modified</t>
  </si>
  <si>
    <t>STACR 2015-HQ2</t>
  </si>
  <si>
    <t>smm</t>
  </si>
  <si>
    <t>mdr</t>
  </si>
  <si>
    <t>Current Balance (M)</t>
  </si>
  <si>
    <t>Original Balance (M)</t>
  </si>
  <si>
    <t xml:space="preserve">Loan Age </t>
  </si>
  <si>
    <t xml:space="preserve">Orig Note Rate </t>
  </si>
  <si>
    <t xml:space="preserve">Current Note Rate </t>
  </si>
  <si>
    <t xml:space="preserve">Orig LTV </t>
  </si>
  <si>
    <t xml:space="preserve">Current LTV </t>
  </si>
  <si>
    <t xml:space="preserve">Orig DTI </t>
  </si>
  <si>
    <t xml:space="preserve">Orig FICO </t>
  </si>
  <si>
    <t xml:space="preserve">Orig Loan Size </t>
  </si>
  <si>
    <t>First Time Home Buyer</t>
  </si>
  <si>
    <t>Multiple Borrowers</t>
  </si>
  <si>
    <t>Multiple Units</t>
  </si>
  <si>
    <t>Single Family Residence</t>
  </si>
  <si>
    <t>Owner</t>
  </si>
  <si>
    <t>Purchase</t>
  </si>
  <si>
    <t>Broker</t>
  </si>
  <si>
    <t>Current</t>
  </si>
  <si>
    <t>Delinquent</t>
  </si>
  <si>
    <t>Current Month</t>
  </si>
  <si>
    <t>Cum_DF100</t>
  </si>
  <si>
    <t>DLQ100</t>
  </si>
  <si>
    <t>Sum of DLQ100</t>
  </si>
  <si>
    <t>Sum of Cum_DF100</t>
  </si>
  <si>
    <t>Cumulative Default</t>
  </si>
  <si>
    <t>Close Date:</t>
  </si>
  <si>
    <t>S:\IT\Production\Monthly Reports\CRT Surveillance Report\tmp</t>
  </si>
  <si>
    <t>Date</t>
  </si>
  <si>
    <t>Loan Characteristics</t>
  </si>
  <si>
    <t>Borrower Characteristics</t>
  </si>
  <si>
    <t>Property Characteristics</t>
  </si>
  <si>
    <t>Performance</t>
  </si>
  <si>
    <t>Mortgage Insurance</t>
  </si>
  <si>
    <t>Re-Performing Loan</t>
  </si>
  <si>
    <t>Early Non-Performing Loan</t>
  </si>
  <si>
    <t>1m CPR</t>
  </si>
  <si>
    <t>1m CDR</t>
  </si>
  <si>
    <t>* Always Performing Loan: Never missed a payment</t>
  </si>
  <si>
    <t xml:space="preserve">   Re-Performing Loan: Current, but has missed one or more payments in the past</t>
  </si>
  <si>
    <t xml:space="preserve">   Early Non-Performing Loan: Delinquent by one or two payments</t>
  </si>
  <si>
    <t>Always Performing Loan*</t>
  </si>
  <si>
    <t>2nd Lien Present</t>
  </si>
  <si>
    <t>BloombergDealName</t>
  </si>
  <si>
    <t>BloombergBondName</t>
  </si>
  <si>
    <t>YBName</t>
  </si>
  <si>
    <t>Cusip</t>
  </si>
  <si>
    <t>PricingDate</t>
  </si>
  <si>
    <t>Pricing Date</t>
  </si>
  <si>
    <t>groupID</t>
  </si>
  <si>
    <t>CAS 2013-C01</t>
  </si>
  <si>
    <t>CAS 2013-C01 M1</t>
  </si>
  <si>
    <t>CAS13.C01(M1)</t>
  </si>
  <si>
    <t>30711XAA2</t>
  </si>
  <si>
    <t>1372</t>
  </si>
  <si>
    <t>CAS 2013-C01 M2</t>
  </si>
  <si>
    <t>CAS13.C01(M2)</t>
  </si>
  <si>
    <t>30711XAB0</t>
  </si>
  <si>
    <t>CAS 2014-C01</t>
  </si>
  <si>
    <t>CAS 2014-C01 M1</t>
  </si>
  <si>
    <t>CAS14.C01(M1)</t>
  </si>
  <si>
    <t>30711XAC8</t>
  </si>
  <si>
    <t>1378</t>
  </si>
  <si>
    <t>CAS 2014-C01 M2</t>
  </si>
  <si>
    <t>CAS14.C01(M2)</t>
  </si>
  <si>
    <t>30711XAD6</t>
  </si>
  <si>
    <t>CAS 2014-C02</t>
  </si>
  <si>
    <t>CAS 2014-C02 1M1</t>
  </si>
  <si>
    <t>CAS14.C02(IM1)</t>
  </si>
  <si>
    <t>30711XAE4</t>
  </si>
  <si>
    <t>1383</t>
  </si>
  <si>
    <t>CAS 2014-C02 1M2</t>
  </si>
  <si>
    <t>CAS14.C02(IM2)</t>
  </si>
  <si>
    <t>30711XAF1</t>
  </si>
  <si>
    <t>CAS 2014-C02 2M1</t>
  </si>
  <si>
    <t>CAS14.C02(IIM1)</t>
  </si>
  <si>
    <t>30711XAG9</t>
  </si>
  <si>
    <t>1384</t>
  </si>
  <si>
    <t>CAS 2014-C02 2M2</t>
  </si>
  <si>
    <t>CAS14.C02(IIM2)</t>
  </si>
  <si>
    <t>30711XAH7</t>
  </si>
  <si>
    <t>CAS 2014-C03</t>
  </si>
  <si>
    <t>CAS 2014-C03 1M1</t>
  </si>
  <si>
    <t>CAS14.C03(IM1)</t>
  </si>
  <si>
    <t>30711XAJ3</t>
  </si>
  <si>
    <t>1387</t>
  </si>
  <si>
    <t>CAS 2014-C03 1M2</t>
  </si>
  <si>
    <t>CAS14.C03(IM2)</t>
  </si>
  <si>
    <t>30711XAK0</t>
  </si>
  <si>
    <t>CAS 2014-C03 2M1</t>
  </si>
  <si>
    <t>CAS14.C03(IIM1)</t>
  </si>
  <si>
    <t>30711XAL8</t>
  </si>
  <si>
    <t>1388</t>
  </si>
  <si>
    <t>CAS 2014-C03 2M2</t>
  </si>
  <si>
    <t>CAS14.C03(IIM2)</t>
  </si>
  <si>
    <t>30711XAM6</t>
  </si>
  <si>
    <t>CAS 2014-C04</t>
  </si>
  <si>
    <t>CAS 2014-C04 1M1</t>
  </si>
  <si>
    <t>CAS14.C04(IM1)</t>
  </si>
  <si>
    <t>30711XAN4</t>
  </si>
  <si>
    <t>1392</t>
  </si>
  <si>
    <t>CAS 2014-C04 1M2</t>
  </si>
  <si>
    <t>CAS14.C04(IM2)</t>
  </si>
  <si>
    <t>30711XAP9</t>
  </si>
  <si>
    <t>CAS 2014-C04 2M1</t>
  </si>
  <si>
    <t>CAS14.C04(IIM1)</t>
  </si>
  <si>
    <t>30711XAQ7</t>
  </si>
  <si>
    <t>1393</t>
  </si>
  <si>
    <t>CAS 2014-C04 2M2</t>
  </si>
  <si>
    <t>CAS14.C04(IIM2)</t>
  </si>
  <si>
    <t>30711XAR5</t>
  </si>
  <si>
    <t>CAS 2015-C01</t>
  </si>
  <si>
    <t>CAS 2015-C01 1M1</t>
  </si>
  <si>
    <t>CAS15.C01(IM1)</t>
  </si>
  <si>
    <t>30711XAS3</t>
  </si>
  <si>
    <t>1397</t>
  </si>
  <si>
    <t>CAS 2015-C01 1M2</t>
  </si>
  <si>
    <t>CAS15.C01(IM2)</t>
  </si>
  <si>
    <t>30711XAT1</t>
  </si>
  <si>
    <t>CAS 2015-C01 2M1</t>
  </si>
  <si>
    <t>CAS15.C01(IIM1)</t>
  </si>
  <si>
    <t>30711XAU8</t>
  </si>
  <si>
    <t>1398</t>
  </si>
  <si>
    <t>CAS 2015-C01 2M2</t>
  </si>
  <si>
    <t>CAS15.C01(IIM2)</t>
  </si>
  <si>
    <t>30711XAV6</t>
  </si>
  <si>
    <t>CAS 2015-C02</t>
  </si>
  <si>
    <t>CAS 2015-C02 1M1</t>
  </si>
  <si>
    <t>CAS15.C02(IM1)</t>
  </si>
  <si>
    <t>30711XAW4</t>
  </si>
  <si>
    <t>1399</t>
  </si>
  <si>
    <t>CAS 2015-C02 1M2</t>
  </si>
  <si>
    <t>CAS15.C02(IM2)</t>
  </si>
  <si>
    <t>30711XAX2</t>
  </si>
  <si>
    <t>CAS 2015-C02 2M1</t>
  </si>
  <si>
    <t>CAS15.C02(IIM1)</t>
  </si>
  <si>
    <t>30711XAY0</t>
  </si>
  <si>
    <t>1400</t>
  </si>
  <si>
    <t>CAS 2015-C02 2M2</t>
  </si>
  <si>
    <t>CAS15.C02(IIM2)</t>
  </si>
  <si>
    <t>30711XAZ7</t>
  </si>
  <si>
    <t>CAS 2015-C03</t>
  </si>
  <si>
    <t>CAS 2015-C03 1M1</t>
  </si>
  <si>
    <t>CAS15.C03(IM1)</t>
  </si>
  <si>
    <t>30711XBA1</t>
  </si>
  <si>
    <t>CAS 2015-C03 1M2</t>
  </si>
  <si>
    <t>CAS15.C03(IM2)</t>
  </si>
  <si>
    <t>30711XBB9</t>
  </si>
  <si>
    <t>CAS 2015-C03 2M1</t>
  </si>
  <si>
    <t>CAS15.C03(IIM1)</t>
  </si>
  <si>
    <t>30711XBC7</t>
  </si>
  <si>
    <t>CAS 2015-C03 2M2</t>
  </si>
  <si>
    <t>CAS15.C03(IIM2)</t>
  </si>
  <si>
    <t>30711XBD5</t>
  </si>
  <si>
    <t>BloombergDealName2</t>
  </si>
  <si>
    <t>Group Number</t>
  </si>
  <si>
    <t>GroupId</t>
  </si>
  <si>
    <t>factorDate</t>
  </si>
  <si>
    <t>wavg_currLoanSize</t>
  </si>
  <si>
    <t>pct_second</t>
  </si>
  <si>
    <t>pct_pud</t>
  </si>
  <si>
    <t>pct_condo</t>
  </si>
  <si>
    <t>pct_mh</t>
  </si>
  <si>
    <t>pct_coop</t>
  </si>
  <si>
    <t>pct_inv</t>
  </si>
  <si>
    <t>pct_refi_nco</t>
  </si>
  <si>
    <t>pct_refi_co</t>
  </si>
  <si>
    <t>pct_retail</t>
  </si>
  <si>
    <t>pct_corres</t>
  </si>
  <si>
    <t>1404</t>
  </si>
  <si>
    <t>1405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</si>
</sst>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  <numFmt numFmtId="195" formatCode="_(* #,##0.0_);_(* \(#,##0.0\);_(* &quot;-&quot;??_);_(@_)"/>
    <numFmt numFmtId="196" formatCode="0.0%"/>
    <numFmt numFmtId="197" formatCode="m/yyyy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2E398A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ACEEE"/>
        <bgColor indexed="64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4" tint="0.39997558519241921"/>
      </bottom>
      <diagonal/>
    </border>
  </borders>
  <cellStyleXfs count="527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165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0" fillId="9" borderId="0" applyNumberFormat="0" applyBorder="0" applyAlignment="0" applyProtection="0"/>
    <xf numFmtId="0" fontId="11" fillId="9" borderId="0" applyNumberFormat="0" applyBorder="0" applyAlignment="0" applyProtection="0"/>
    <xf numFmtId="0" fontId="12" fillId="10" borderId="0" applyNumberFormat="0" applyBorder="0" applyAlignment="0" applyProtection="0"/>
    <xf numFmtId="0" fontId="10" fillId="11" borderId="0" applyNumberFormat="0" applyBorder="0" applyAlignment="0" applyProtection="0"/>
    <xf numFmtId="0" fontId="11" fillId="10" borderId="0" applyNumberFormat="0" applyBorder="0" applyAlignment="0" applyProtection="0"/>
    <xf numFmtId="0" fontId="12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4" borderId="0" applyNumberFormat="0" applyBorder="0" applyAlignment="0" applyProtection="0"/>
    <xf numFmtId="0" fontId="12" fillId="13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0" fillId="15" borderId="0" applyNumberFormat="0" applyBorder="0" applyAlignment="0" applyProtection="0"/>
    <xf numFmtId="0" fontId="11" fillId="16" borderId="0" applyNumberFormat="0" applyBorder="0" applyAlignment="0" applyProtection="0"/>
    <xf numFmtId="0" fontId="12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0" fillId="9" borderId="0" applyNumberFormat="0" applyBorder="0" applyAlignment="0" applyProtection="0"/>
    <xf numFmtId="0" fontId="11" fillId="12" borderId="0" applyNumberFormat="0" applyBorder="0" applyAlignment="0" applyProtection="0"/>
    <xf numFmtId="0" fontId="12" fillId="19" borderId="0" applyNumberFormat="0" applyBorder="0" applyAlignment="0" applyProtection="0"/>
    <xf numFmtId="0" fontId="10" fillId="15" borderId="0" applyNumberFormat="0" applyBorder="0" applyAlignment="0" applyProtection="0"/>
    <xf numFmtId="0" fontId="11" fillId="20" borderId="0" applyNumberFormat="0" applyBorder="0" applyAlignment="0" applyProtection="0"/>
    <xf numFmtId="0" fontId="12" fillId="12" borderId="0" applyNumberFormat="0" applyBorder="0" applyAlignment="0" applyProtection="0"/>
    <xf numFmtId="0" fontId="10" fillId="17" borderId="0" applyNumberFormat="0" applyBorder="0" applyAlignment="0" applyProtection="0"/>
    <xf numFmtId="0" fontId="11" fillId="14" borderId="0" applyNumberFormat="0" applyBorder="0" applyAlignment="0" applyProtection="0"/>
    <xf numFmtId="0" fontId="12" fillId="17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21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3" fillId="18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3" fillId="9" borderId="0" applyNumberFormat="0" applyBorder="0" applyAlignment="0" applyProtection="0"/>
    <xf numFmtId="0" fontId="14" fillId="12" borderId="0" applyNumberFormat="0" applyBorder="0" applyAlignment="0" applyProtection="0"/>
    <xf numFmtId="0" fontId="15" fillId="19" borderId="0" applyNumberFormat="0" applyBorder="0" applyAlignment="0" applyProtection="0"/>
    <xf numFmtId="0" fontId="13" fillId="15" borderId="0" applyNumberFormat="0" applyBorder="0" applyAlignment="0" applyProtection="0"/>
    <xf numFmtId="0" fontId="14" fillId="25" borderId="0" applyNumberFormat="0" applyBorder="0" applyAlignment="0" applyProtection="0"/>
    <xf numFmtId="0" fontId="15" fillId="26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2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27" borderId="0" applyNumberFormat="0" applyBorder="0" applyAlignment="0" applyProtection="0"/>
    <xf numFmtId="0" fontId="13" fillId="22" borderId="0" applyNumberFormat="0" applyBorder="0" applyAlignment="0" applyProtection="0"/>
    <xf numFmtId="0" fontId="14" fillId="28" borderId="0" applyNumberFormat="0" applyBorder="0" applyAlignment="0" applyProtection="0"/>
    <xf numFmtId="0" fontId="15" fillId="29" borderId="0" applyNumberFormat="0" applyBorder="0" applyAlignment="0" applyProtection="0"/>
    <xf numFmtId="0" fontId="13" fillId="30" borderId="0" applyNumberFormat="0" applyBorder="0" applyAlignment="0" applyProtection="0"/>
    <xf numFmtId="0" fontId="14" fillId="31" borderId="0" applyNumberFormat="0" applyBorder="0" applyAlignment="0" applyProtection="0"/>
    <xf numFmtId="0" fontId="15" fillId="30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5" fillId="32" borderId="0" applyNumberFormat="0" applyBorder="0" applyAlignment="0" applyProtection="0"/>
    <xf numFmtId="0" fontId="13" fillId="28" borderId="0" applyNumberFormat="0" applyBorder="0" applyAlignment="0" applyProtection="0"/>
    <xf numFmtId="0" fontId="14" fillId="28" borderId="0" applyNumberFormat="0" applyBorder="0" applyAlignment="0" applyProtection="0"/>
    <xf numFmtId="0" fontId="15" fillId="26" borderId="0" applyNumberFormat="0" applyBorder="0" applyAlignment="0" applyProtection="0"/>
    <xf numFmtId="0" fontId="13" fillId="22" borderId="0" applyNumberFormat="0" applyBorder="0" applyAlignment="0" applyProtection="0"/>
    <xf numFmtId="0" fontId="14" fillId="32" borderId="0" applyNumberFormat="0" applyBorder="0" applyAlignment="0" applyProtection="0"/>
    <xf numFmtId="0" fontId="15" fillId="22" borderId="0" applyNumberFormat="0" applyBorder="0" applyAlignment="0" applyProtection="0"/>
    <xf numFmtId="0" fontId="13" fillId="33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8" fillId="0" borderId="0"/>
    <xf numFmtId="17" fontId="8" fillId="0" borderId="0" applyFont="0" applyFill="0" applyBorder="0" applyProtection="0">
      <alignment horizontal="left"/>
    </xf>
    <xf numFmtId="0" fontId="8" fillId="0" borderId="0" applyFont="0" applyFill="0" applyBorder="0" applyProtection="0">
      <alignment horizontal="left"/>
    </xf>
    <xf numFmtId="0" fontId="16" fillId="8" borderId="0" applyNumberFormat="0" applyBorder="0" applyAlignment="0" applyProtection="0"/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38" fontId="19" fillId="11" borderId="0"/>
    <xf numFmtId="0" fontId="20" fillId="0" borderId="0" applyNumberFormat="0" applyFill="0" applyBorder="0" applyAlignment="0" applyProtection="0"/>
    <xf numFmtId="0" fontId="21" fillId="34" borderId="0">
      <alignment horizontal="left"/>
    </xf>
    <xf numFmtId="2" fontId="22" fillId="35" borderId="6" applyProtection="0">
      <alignment horizontal="left"/>
      <protection locked="0"/>
    </xf>
    <xf numFmtId="0" fontId="23" fillId="0" borderId="0" applyNumberFormat="0" applyFill="0" applyBorder="0" applyAlignment="0" applyProtection="0"/>
    <xf numFmtId="0" fontId="24" fillId="0" borderId="5" applyNumberFormat="0" applyFill="0" applyAlignment="0" applyProtection="0"/>
    <xf numFmtId="0" fontId="8" fillId="36" borderId="0"/>
    <xf numFmtId="167" fontId="9" fillId="0" borderId="0" applyFont="0" applyFill="0" applyBorder="0" applyAlignment="0" applyProtection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8" fillId="0" borderId="0" applyFill="0" applyBorder="0" applyAlignment="0"/>
    <xf numFmtId="170" fontId="8" fillId="0" borderId="0" applyFill="0" applyBorder="0" applyAlignment="0"/>
    <xf numFmtId="0" fontId="8" fillId="0" borderId="0" applyFill="0" applyBorder="0" applyAlignment="0"/>
    <xf numFmtId="168" fontId="26" fillId="0" borderId="0" applyFill="0" applyBorder="0" applyAlignment="0"/>
    <xf numFmtId="0" fontId="8" fillId="0" borderId="0" applyFill="0" applyBorder="0" applyAlignment="0"/>
    <xf numFmtId="171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7" fillId="11" borderId="7" applyNumberFormat="0" applyAlignment="0" applyProtection="0"/>
    <xf numFmtId="0" fontId="28" fillId="13" borderId="7" applyNumberFormat="0" applyAlignment="0" applyProtection="0"/>
    <xf numFmtId="0" fontId="29" fillId="15" borderId="7" applyNumberFormat="0" applyAlignment="0" applyProtection="0"/>
    <xf numFmtId="0" fontId="30" fillId="37" borderId="8" applyNumberFormat="0"/>
    <xf numFmtId="0" fontId="31" fillId="38" borderId="9" applyBorder="0">
      <alignment horizontal="center" wrapText="1"/>
    </xf>
    <xf numFmtId="0" fontId="31" fillId="39" borderId="9" applyBorder="0">
      <alignment horizontal="center" wrapText="1"/>
    </xf>
    <xf numFmtId="0" fontId="32" fillId="40" borderId="8" applyNumberFormat="0"/>
    <xf numFmtId="0" fontId="33" fillId="41" borderId="8" applyNumberFormat="0"/>
    <xf numFmtId="0" fontId="3" fillId="41" borderId="8" applyNumberFormat="0"/>
    <xf numFmtId="0" fontId="32" fillId="40" borderId="8" applyNumberFormat="0"/>
    <xf numFmtId="0" fontId="33" fillId="40" borderId="8" applyNumberFormat="0"/>
    <xf numFmtId="0" fontId="32" fillId="37" borderId="8" applyNumberFormat="0"/>
    <xf numFmtId="0" fontId="30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4" fillId="40" borderId="10" applyNumberFormat="0" applyAlignment="0"/>
    <xf numFmtId="14" fontId="34" fillId="41" borderId="10" applyNumberFormat="0" applyAlignment="0"/>
    <xf numFmtId="14" fontId="35" fillId="41" borderId="10" applyNumberFormat="0" applyAlignment="0"/>
    <xf numFmtId="0" fontId="36" fillId="42" borderId="11" applyNumberFormat="0" applyAlignment="0" applyProtection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0" borderId="0" applyNumberFormat="0" applyFill="0" applyBorder="0" applyAlignment="0" applyProtection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0" fontId="25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3" fontId="8" fillId="0" borderId="0" applyFill="0" applyBorder="0" applyAlignment="0" applyProtection="0"/>
    <xf numFmtId="0" fontId="42" fillId="0" borderId="0"/>
    <xf numFmtId="0" fontId="43" fillId="0" borderId="0" applyNumberFormat="0" applyAlignment="0">
      <alignment horizontal="left"/>
    </xf>
    <xf numFmtId="0" fontId="44" fillId="0" borderId="0">
      <alignment horizontal="center"/>
    </xf>
    <xf numFmtId="0" fontId="42" fillId="0" borderId="0"/>
    <xf numFmtId="0" fontId="25" fillId="0" borderId="0" applyFont="0" applyFill="0" applyBorder="0" applyAlignment="0" applyProtection="0"/>
    <xf numFmtId="169" fontId="8" fillId="0" borderId="0" applyFont="0" applyFill="0" applyBorder="0" applyAlignment="0" applyProtection="0"/>
    <xf numFmtId="8" fontId="45" fillId="0" borderId="12">
      <protection locked="0"/>
    </xf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5" fontId="8" fillId="0" borderId="0" applyFill="0" applyBorder="0" applyAlignment="0" applyProtection="0"/>
    <xf numFmtId="173" fontId="9" fillId="0" borderId="0" applyFont="0" applyFill="0" applyBorder="0" applyAlignment="0" applyProtection="0"/>
    <xf numFmtId="10" fontId="8" fillId="0" borderId="0" applyFont="0" applyFill="0" applyBorder="0" applyProtection="0">
      <alignment horizontal="center"/>
    </xf>
    <xf numFmtId="174" fontId="8" fillId="0" borderId="0" applyFont="0" applyFill="0" applyBorder="0" applyProtection="0"/>
    <xf numFmtId="175" fontId="8" fillId="0" borderId="0" applyFont="0" applyFill="0" applyBorder="0" applyProtection="0"/>
    <xf numFmtId="15" fontId="46" fillId="0" borderId="0" applyFont="0" applyFill="0" applyBorder="0" applyAlignment="0" applyProtection="0"/>
    <xf numFmtId="0" fontId="42" fillId="0" borderId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5" fontId="11" fillId="11" borderId="0"/>
    <xf numFmtId="14" fontId="11" fillId="0" borderId="0" applyFill="0" applyBorder="0" applyAlignment="0"/>
    <xf numFmtId="0" fontId="44" fillId="35" borderId="0">
      <alignment horizontal="left"/>
    </xf>
    <xf numFmtId="176" fontId="8" fillId="0" borderId="0" applyFill="0" applyBorder="0" applyAlignment="0" applyProtection="0"/>
    <xf numFmtId="14" fontId="8" fillId="0" borderId="0"/>
    <xf numFmtId="0" fontId="47" fillId="18" borderId="0">
      <alignment horizontal="left"/>
    </xf>
    <xf numFmtId="0" fontId="48" fillId="0" borderId="0">
      <alignment horizontal="left"/>
    </xf>
    <xf numFmtId="38" fontId="49" fillId="0" borderId="13">
      <alignment vertical="center"/>
    </xf>
    <xf numFmtId="177" fontId="8" fillId="0" borderId="0">
      <alignment horizontal="right"/>
    </xf>
    <xf numFmtId="1" fontId="8" fillId="0" borderId="0">
      <alignment horizontal="right"/>
    </xf>
    <xf numFmtId="1" fontId="8" fillId="0" borderId="0">
      <alignment horizontal="right"/>
    </xf>
    <xf numFmtId="178" fontId="8" fillId="0" borderId="0">
      <alignment horizontal="right"/>
    </xf>
    <xf numFmtId="49" fontId="8" fillId="0" borderId="0">
      <alignment horizontal="left"/>
    </xf>
    <xf numFmtId="49" fontId="8" fillId="0" borderId="0">
      <alignment horizontal="left"/>
    </xf>
    <xf numFmtId="49" fontId="8" fillId="0" borderId="0">
      <alignment horizontal="right"/>
    </xf>
    <xf numFmtId="14" fontId="8" fillId="0" borderId="0">
      <alignment horizontal="left"/>
    </xf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50" fillId="0" borderId="0" applyNumberFormat="0" applyAlignment="0">
      <alignment horizontal="left"/>
    </xf>
    <xf numFmtId="9" fontId="51" fillId="0" borderId="3" applyNumberFormat="0" applyBorder="0" applyAlignment="0">
      <protection locked="0"/>
    </xf>
    <xf numFmtId="179" fontId="8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2" fontId="8" fillId="0" borderId="0" applyFill="0" applyBorder="0" applyAlignment="0" applyProtection="0"/>
    <xf numFmtId="180" fontId="8" fillId="0" borderId="0" applyFont="0" applyFill="0" applyBorder="0" applyAlignment="0" applyProtection="0"/>
    <xf numFmtId="0" fontId="11" fillId="11" borderId="0"/>
    <xf numFmtId="0" fontId="55" fillId="10" borderId="0" applyNumberFormat="0" applyBorder="0" applyAlignment="0" applyProtection="0"/>
    <xf numFmtId="0" fontId="56" fillId="14" borderId="0" applyNumberFormat="0" applyBorder="0" applyAlignment="0" applyProtection="0"/>
    <xf numFmtId="0" fontId="57" fillId="10" borderId="0" applyNumberFormat="0" applyBorder="0" applyAlignment="0" applyProtection="0"/>
    <xf numFmtId="2" fontId="58" fillId="35" borderId="6" applyProtection="0">
      <alignment horizontal="left"/>
      <protection locked="0"/>
    </xf>
    <xf numFmtId="38" fontId="39" fillId="43" borderId="0" applyNumberFormat="0" applyBorder="0" applyAlignment="0" applyProtection="0"/>
    <xf numFmtId="0" fontId="59" fillId="0" borderId="14" applyNumberFormat="0" applyAlignment="0" applyProtection="0">
      <alignment horizontal="left" vertical="center"/>
    </xf>
    <xf numFmtId="0" fontId="59" fillId="0" borderId="15">
      <alignment horizontal="left" vertical="center"/>
    </xf>
    <xf numFmtId="0" fontId="60" fillId="15" borderId="3">
      <alignment horizontal="centerContinuous"/>
    </xf>
    <xf numFmtId="0" fontId="61" fillId="0" borderId="16" applyNumberFormat="0" applyFill="0" applyAlignment="0" applyProtection="0"/>
    <xf numFmtId="0" fontId="62" fillId="0" borderId="17" applyNumberFormat="0" applyFill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18" applyNumberFormat="0" applyFill="0" applyAlignment="0" applyProtection="0"/>
    <xf numFmtId="0" fontId="66" fillId="0" borderId="19" applyNumberFormat="0" applyFill="0" applyAlignment="0" applyProtection="0"/>
    <xf numFmtId="0" fontId="67" fillId="0" borderId="20" applyNumberFormat="0" applyFill="0" applyAlignment="0" applyProtection="0"/>
    <xf numFmtId="0" fontId="4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8" fillId="0" borderId="19" applyNumberFormat="0" applyFill="0" applyAlignment="0" applyProtection="0"/>
    <xf numFmtId="0" fontId="69" fillId="0" borderId="21" applyNumberFormat="0" applyFill="0" applyAlignment="0" applyProtection="0"/>
    <xf numFmtId="0" fontId="70" fillId="0" borderId="22" applyNumberFormat="0" applyFill="0" applyAlignment="0" applyProtection="0"/>
    <xf numFmtId="0" fontId="71" fillId="0" borderId="23" applyNumberFormat="0" applyFill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11" borderId="0"/>
    <xf numFmtId="0" fontId="64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73" fillId="0" borderId="0" applyNumberFormat="0" applyFill="0" applyBorder="0" applyAlignment="0" applyProtection="0">
      <alignment vertical="top"/>
      <protection locked="0"/>
    </xf>
    <xf numFmtId="10" fontId="39" fillId="44" borderId="3" applyNumberFormat="0" applyBorder="0" applyAlignment="0" applyProtection="0"/>
    <xf numFmtId="2" fontId="74" fillId="0" borderId="24" applyNumberFormat="0" applyFill="0" applyBorder="0" applyAlignment="0">
      <alignment horizontal="center"/>
      <protection locked="0"/>
    </xf>
    <xf numFmtId="2" fontId="74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5" fillId="7" borderId="7" applyNumberFormat="0" applyAlignment="0" applyProtection="0"/>
    <xf numFmtId="0" fontId="75" fillId="7" borderId="7" applyNumberFormat="0" applyAlignment="0" applyProtection="0"/>
    <xf numFmtId="0" fontId="75" fillId="7" borderId="7" applyNumberFormat="0" applyAlignment="0" applyProtection="0"/>
    <xf numFmtId="0" fontId="75" fillId="7" borderId="7" applyNumberFormat="0" applyAlignment="0" applyProtection="0"/>
    <xf numFmtId="37" fontId="76" fillId="0" borderId="0" applyNumberFormat="0" applyAlignment="0">
      <protection locked="0"/>
    </xf>
    <xf numFmtId="0" fontId="77" fillId="0" borderId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78" fillId="0" borderId="25" applyNumberFormat="0" applyFill="0" applyAlignment="0" applyProtection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" fillId="43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38" fontId="11" fillId="11" borderId="0"/>
    <xf numFmtId="0" fontId="81" fillId="7" borderId="0" applyNumberFormat="0" applyBorder="0" applyAlignment="0" applyProtection="0"/>
    <xf numFmtId="0" fontId="82" fillId="12" borderId="0" applyNumberFormat="0" applyBorder="0" applyAlignment="0" applyProtection="0"/>
    <xf numFmtId="0" fontId="83" fillId="36" borderId="0" applyNumberFormat="0" applyBorder="0" applyAlignment="0" applyProtection="0"/>
    <xf numFmtId="37" fontId="84" fillId="0" borderId="0"/>
    <xf numFmtId="0" fontId="47" fillId="11" borderId="0" applyNumberFormat="0" applyFont="0" applyFill="0" applyBorder="0" applyAlignment="0"/>
    <xf numFmtId="10" fontId="11" fillId="11" borderId="0"/>
    <xf numFmtId="181" fontId="85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0" borderId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41" borderId="0"/>
    <xf numFmtId="0" fontId="8" fillId="41" borderId="0"/>
    <xf numFmtId="0" fontId="8" fillId="0" borderId="0"/>
    <xf numFmtId="0" fontId="8" fillId="0" borderId="0"/>
    <xf numFmtId="0" fontId="32" fillId="40" borderId="0"/>
    <xf numFmtId="0" fontId="32" fillId="40" borderId="0"/>
    <xf numFmtId="0" fontId="32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0" borderId="0"/>
    <xf numFmtId="0" fontId="8" fillId="0" borderId="0"/>
    <xf numFmtId="0" fontId="8" fillId="0" borderId="0"/>
    <xf numFmtId="0" fontId="32" fillId="40" borderId="0"/>
    <xf numFmtId="0" fontId="1" fillId="0" borderId="0"/>
    <xf numFmtId="0" fontId="1" fillId="0" borderId="0"/>
    <xf numFmtId="0" fontId="8" fillId="0" borderId="0">
      <alignment vertical="top"/>
    </xf>
    <xf numFmtId="0" fontId="8" fillId="0" borderId="0">
      <alignment vertical="top"/>
    </xf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6" fillId="0" borderId="0"/>
    <xf numFmtId="0" fontId="8" fillId="0" borderId="0"/>
    <xf numFmtId="0" fontId="8" fillId="0" borderId="0"/>
    <xf numFmtId="0" fontId="32" fillId="3" borderId="2" applyNumberFormat="0" applyFont="0" applyAlignment="0" applyProtection="0"/>
    <xf numFmtId="0" fontId="11" fillId="9" borderId="26" applyNumberFormat="0" applyFont="0" applyAlignment="0" applyProtection="0"/>
    <xf numFmtId="0" fontId="87" fillId="9" borderId="26" applyNumberFormat="0" applyFont="0" applyAlignment="0" applyProtection="0"/>
    <xf numFmtId="0" fontId="32" fillId="3" borderId="2" applyNumberFormat="0" applyFont="0" applyAlignment="0" applyProtection="0"/>
    <xf numFmtId="0" fontId="88" fillId="0" borderId="0"/>
    <xf numFmtId="0" fontId="12" fillId="9" borderId="26" applyNumberFormat="0" applyFont="0" applyAlignment="0" applyProtection="0"/>
    <xf numFmtId="0" fontId="32" fillId="3" borderId="2" applyNumberFormat="0" applyFont="0" applyAlignment="0" applyProtection="0"/>
    <xf numFmtId="0" fontId="32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5" fillId="0" borderId="0">
      <alignment horizontal="center"/>
    </xf>
    <xf numFmtId="37" fontId="8" fillId="0" borderId="0"/>
    <xf numFmtId="183" fontId="39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84" fontId="89" fillId="0" borderId="0" applyNumberFormat="0" applyFill="0" applyBorder="0" applyAlignment="0" applyProtection="0"/>
    <xf numFmtId="164" fontId="25" fillId="0" borderId="0">
      <alignment horizontal="center"/>
    </xf>
    <xf numFmtId="0" fontId="32" fillId="6" borderId="0" applyNumberFormat="0" applyFont="0" applyBorder="0" applyAlignment="0" applyProtection="0"/>
    <xf numFmtId="0" fontId="89" fillId="0" borderId="27"/>
    <xf numFmtId="2" fontId="90" fillId="35" borderId="6">
      <alignment horizontal="left"/>
    </xf>
    <xf numFmtId="0" fontId="91" fillId="11" borderId="28" applyNumberFormat="0" applyAlignment="0" applyProtection="0"/>
    <xf numFmtId="0" fontId="92" fillId="13" borderId="28" applyNumberFormat="0" applyAlignment="0" applyProtection="0"/>
    <xf numFmtId="0" fontId="93" fillId="15" borderId="28" applyNumberFormat="0" applyAlignment="0" applyProtection="0"/>
    <xf numFmtId="40" fontId="11" fillId="35" borderId="0">
      <alignment horizontal="right"/>
    </xf>
    <xf numFmtId="0" fontId="94" fillId="44" borderId="0">
      <alignment horizontal="center"/>
    </xf>
    <xf numFmtId="0" fontId="37" fillId="45" borderId="6"/>
    <xf numFmtId="0" fontId="95" fillId="0" borderId="0" applyBorder="0">
      <alignment horizontal="centerContinuous"/>
    </xf>
    <xf numFmtId="0" fontId="96" fillId="0" borderId="0" applyBorder="0">
      <alignment horizontal="centerContinuous"/>
    </xf>
    <xf numFmtId="0" fontId="59" fillId="0" borderId="0"/>
    <xf numFmtId="0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0" fontId="97" fillId="0" borderId="0" applyFont="0" applyFill="0" applyBorder="0" applyAlignment="0" applyProtection="0"/>
    <xf numFmtId="185" fontId="26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9" fillId="0" borderId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186" fontId="25" fillId="0" borderId="0">
      <alignment horizontal="center"/>
    </xf>
    <xf numFmtId="187" fontId="25" fillId="0" borderId="3">
      <alignment horizontal="center"/>
    </xf>
    <xf numFmtId="0" fontId="98" fillId="0" borderId="29" applyAlignment="0">
      <alignment horizontal="center"/>
    </xf>
    <xf numFmtId="0" fontId="99" fillId="43" borderId="0"/>
    <xf numFmtId="0" fontId="49" fillId="0" borderId="0" applyNumberFormat="0" applyFont="0" applyFill="0" applyBorder="0" applyAlignment="0" applyProtection="0">
      <alignment horizontal="left"/>
    </xf>
    <xf numFmtId="0" fontId="100" fillId="0" borderId="30">
      <alignment horizontal="center"/>
    </xf>
    <xf numFmtId="0" fontId="46" fillId="0" borderId="0">
      <alignment vertical="top"/>
    </xf>
    <xf numFmtId="188" fontId="46" fillId="0" borderId="0">
      <alignment vertical="top"/>
    </xf>
    <xf numFmtId="0" fontId="98" fillId="0" borderId="0">
      <alignment horizontal="left"/>
    </xf>
    <xf numFmtId="0" fontId="98" fillId="0" borderId="0">
      <alignment horizontal="right"/>
    </xf>
    <xf numFmtId="0" fontId="11" fillId="0" borderId="6" applyNumberFormat="0" applyBorder="0" applyAlignment="0"/>
    <xf numFmtId="189" fontId="101" fillId="0" borderId="0" applyNumberFormat="0" applyFill="0" applyBorder="0" applyAlignment="0" applyProtection="0">
      <alignment horizontal="left"/>
    </xf>
    <xf numFmtId="0" fontId="47" fillId="32" borderId="0">
      <alignment horizontal="left"/>
    </xf>
    <xf numFmtId="0" fontId="102" fillId="0" borderId="31"/>
    <xf numFmtId="187" fontId="22" fillId="9" borderId="0">
      <alignment horizontal="center"/>
    </xf>
    <xf numFmtId="187" fontId="103" fillId="9" borderId="0">
      <alignment horizontal="center"/>
    </xf>
    <xf numFmtId="187" fontId="22" fillId="10" borderId="0">
      <alignment horizontal="center"/>
    </xf>
    <xf numFmtId="0" fontId="22" fillId="9" borderId="0">
      <alignment horizontal="left"/>
    </xf>
    <xf numFmtId="0" fontId="104" fillId="0" borderId="0" applyFont="0" applyFill="0" applyBorder="0" applyAlignment="0" applyProtection="0"/>
    <xf numFmtId="190" fontId="26" fillId="0" borderId="0" applyFont="0" applyFill="0" applyBorder="0" applyAlignment="0" applyProtection="0"/>
    <xf numFmtId="191" fontId="8" fillId="0" borderId="0"/>
    <xf numFmtId="0" fontId="8" fillId="0" borderId="0"/>
    <xf numFmtId="0" fontId="8" fillId="0" borderId="0">
      <alignment horizontal="left" wrapText="1"/>
    </xf>
    <xf numFmtId="0" fontId="22" fillId="9" borderId="0">
      <alignment horizontal="center"/>
    </xf>
    <xf numFmtId="0" fontId="98" fillId="0" borderId="0"/>
    <xf numFmtId="0" fontId="105" fillId="0" borderId="0"/>
    <xf numFmtId="40" fontId="106" fillId="0" borderId="0" applyBorder="0">
      <alignment horizontal="right"/>
    </xf>
    <xf numFmtId="0" fontId="8" fillId="35" borderId="26"/>
    <xf numFmtId="0" fontId="25" fillId="0" borderId="0">
      <alignment horizontal="center"/>
    </xf>
    <xf numFmtId="15" fontId="25" fillId="0" borderId="0">
      <alignment horizontal="center"/>
    </xf>
    <xf numFmtId="0" fontId="107" fillId="0" borderId="0">
      <alignment horizontal="center"/>
    </xf>
    <xf numFmtId="3" fontId="25" fillId="0" borderId="0">
      <alignment horizontal="center"/>
    </xf>
    <xf numFmtId="192" fontId="25" fillId="0" borderId="0">
      <alignment horizontal="center"/>
    </xf>
    <xf numFmtId="187" fontId="25" fillId="0" borderId="0">
      <alignment horizontal="center"/>
    </xf>
    <xf numFmtId="0" fontId="108" fillId="46" borderId="0"/>
    <xf numFmtId="193" fontId="25" fillId="0" borderId="0">
      <alignment horizontal="center"/>
    </xf>
    <xf numFmtId="193" fontId="25" fillId="0" borderId="32">
      <alignment horizontal="center"/>
    </xf>
    <xf numFmtId="0" fontId="25" fillId="0" borderId="0">
      <alignment horizontal="left"/>
    </xf>
    <xf numFmtId="0" fontId="109" fillId="0" borderId="0">
      <alignment horizontal="center"/>
    </xf>
    <xf numFmtId="0" fontId="110" fillId="0" borderId="0" applyNumberFormat="0" applyFill="0" applyBorder="0"/>
    <xf numFmtId="0" fontId="11" fillId="11" borderId="0"/>
    <xf numFmtId="49" fontId="11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8" fillId="0" borderId="0" applyFill="0" applyBorder="0" applyAlignment="0"/>
    <xf numFmtId="171" fontId="8" fillId="0" borderId="0" applyFill="0" applyBorder="0" applyAlignment="0"/>
    <xf numFmtId="49" fontId="8" fillId="0" borderId="0"/>
    <xf numFmtId="0" fontId="111" fillId="0" borderId="0">
      <alignment horizontal="right"/>
    </xf>
    <xf numFmtId="0" fontId="112" fillId="0" borderId="0">
      <alignment horizontal="right"/>
      <protection locked="0"/>
    </xf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9" fillId="11" borderId="0"/>
    <xf numFmtId="0" fontId="32" fillId="47" borderId="33" applyBorder="0">
      <alignment horizontal="center" wrapText="1"/>
    </xf>
    <xf numFmtId="0" fontId="31" fillId="38" borderId="9" applyBorder="0">
      <alignment horizontal="center" wrapText="1"/>
    </xf>
    <xf numFmtId="0" fontId="32" fillId="48" borderId="9" applyBorder="0">
      <alignment horizontal="center" wrapText="1"/>
    </xf>
    <xf numFmtId="0" fontId="31" fillId="39" borderId="9" applyBorder="0">
      <alignment horizontal="center" wrapText="1"/>
    </xf>
    <xf numFmtId="0" fontId="7" fillId="49" borderId="9" applyBorder="0">
      <alignment horizontal="center" wrapText="1"/>
    </xf>
    <xf numFmtId="0" fontId="31" fillId="50" borderId="9" applyBorder="0">
      <alignment horizontal="center" wrapText="1"/>
    </xf>
    <xf numFmtId="0" fontId="31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8" fillId="0" borderId="0" applyNumberFormat="0" applyFill="0" applyBorder="0" applyAlignment="0" applyProtection="0"/>
    <xf numFmtId="0" fontId="116" fillId="0" borderId="34" applyNumberFormat="0" applyFill="0" applyAlignment="0" applyProtection="0"/>
    <xf numFmtId="0" fontId="19" fillId="0" borderId="35" applyNumberFormat="0" applyFill="0" applyAlignment="0" applyProtection="0"/>
    <xf numFmtId="0" fontId="8" fillId="0" borderId="36" applyNumberFormat="0" applyFill="0" applyAlignment="0" applyProtection="0"/>
    <xf numFmtId="0" fontId="117" fillId="0" borderId="37" applyNumberFormat="0" applyFill="0" applyAlignment="0" applyProtection="0"/>
    <xf numFmtId="0" fontId="118" fillId="11" borderId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1" fontId="122" fillId="40" borderId="10"/>
    <xf numFmtId="1" fontId="122" fillId="41" borderId="10"/>
    <xf numFmtId="2" fontId="123" fillId="41" borderId="10"/>
    <xf numFmtId="0" fontId="124" fillId="40" borderId="4" applyNumberFormat="0" applyAlignment="0"/>
    <xf numFmtId="0" fontId="125" fillId="41" borderId="4" applyNumberFormat="0" applyAlignment="0"/>
    <xf numFmtId="1" fontId="126" fillId="41" borderId="10" applyNumberFormat="0"/>
    <xf numFmtId="177" fontId="127" fillId="41" borderId="10" applyNumberFormat="0"/>
    <xf numFmtId="0" fontId="8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7" fillId="0" borderId="0" xfId="0" applyFont="1"/>
    <xf numFmtId="0" fontId="0" fillId="0" borderId="0" xfId="0" applyAlignment="1">
      <alignment horizontal="center"/>
    </xf>
    <xf numFmtId="14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/>
    <xf numFmtId="14" fontId="0" fillId="0" borderId="39" xfId="0" applyNumberFormat="1" applyFont="1" applyBorder="1" applyAlignment="1">
      <alignment horizontal="center"/>
    </xf>
    <xf numFmtId="164" fontId="0" fillId="0" borderId="39" xfId="0" applyNumberFormat="1" applyFont="1" applyBorder="1" applyAlignment="1">
      <alignment horizontal="center"/>
    </xf>
    <xf numFmtId="2" fontId="0" fillId="0" borderId="39" xfId="0" applyNumberFormat="1" applyFont="1" applyBorder="1" applyAlignment="1">
      <alignment horizontal="center"/>
    </xf>
    <xf numFmtId="14" fontId="0" fillId="0" borderId="40" xfId="0" applyNumberFormat="1" applyFont="1" applyBorder="1" applyAlignment="1">
      <alignment horizontal="center"/>
    </xf>
    <xf numFmtId="164" fontId="0" fillId="0" borderId="40" xfId="0" applyNumberFormat="1" applyFont="1" applyBorder="1" applyAlignment="1">
      <alignment horizontal="center"/>
    </xf>
    <xf numFmtId="2" fontId="0" fillId="0" borderId="40" xfId="0" applyNumberFormat="1" applyFont="1" applyBorder="1" applyAlignment="1">
      <alignment horizontal="center"/>
    </xf>
    <xf numFmtId="0" fontId="7" fillId="0" borderId="0" xfId="0" applyFont="1" applyAlignment="1"/>
    <xf numFmtId="0" fontId="7" fillId="0" borderId="38" xfId="0" pivotButton="1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0" fontId="0" fillId="58" borderId="0" xfId="0" applyFont="1" applyFill="1"/>
    <xf numFmtId="0" fontId="4" fillId="0" borderId="0" xfId="0" applyFont="1" applyAlignment="1">
      <alignment horizontal="right"/>
    </xf>
    <xf numFmtId="0" fontId="0" fillId="0" borderId="0" xfId="0" applyFill="1" applyAlignment="1"/>
    <xf numFmtId="0" fontId="7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Fill="1"/>
    <xf numFmtId="0" fontId="0" fillId="0" borderId="0" xfId="0" applyFill="1"/>
    <xf numFmtId="0" fontId="7" fillId="0" borderId="0" xfId="0" applyFont="1" applyFill="1"/>
    <xf numFmtId="0" fontId="129" fillId="60" borderId="3" xfId="0" applyFont="1" applyFill="1" applyBorder="1" applyAlignment="1">
      <alignment horizontal="center" vertical="center"/>
    </xf>
    <xf numFmtId="194" fontId="7" fillId="0" borderId="39" xfId="525" applyNumberFormat="1" applyFont="1" applyBorder="1" applyAlignment="1">
      <alignment horizontal="center" vertical="center"/>
    </xf>
    <xf numFmtId="194" fontId="7" fillId="0" borderId="39" xfId="525" applyNumberFormat="1" applyFont="1" applyBorder="1" applyAlignment="1">
      <alignment horizontal="left" vertical="center"/>
    </xf>
    <xf numFmtId="43" fontId="7" fillId="0" borderId="39" xfId="525" applyNumberFormat="1" applyFont="1" applyBorder="1" applyAlignment="1">
      <alignment horizontal="left" vertical="center"/>
    </xf>
    <xf numFmtId="195" fontId="7" fillId="0" borderId="39" xfId="525" applyNumberFormat="1" applyFont="1" applyBorder="1" applyAlignment="1">
      <alignment horizontal="left" vertical="center"/>
    </xf>
    <xf numFmtId="0" fontId="0" fillId="0" borderId="0" xfId="0" applyAlignment="1">
      <alignment horizontal="right"/>
    </xf>
    <xf numFmtId="194" fontId="7" fillId="0" borderId="39" xfId="525" applyNumberFormat="1" applyFont="1" applyBorder="1" applyAlignment="1">
      <alignment horizontal="right" vertical="center"/>
    </xf>
    <xf numFmtId="10" fontId="7" fillId="0" borderId="0" xfId="0" applyNumberFormat="1" applyFont="1" applyAlignment="1">
      <alignment horizontal="right"/>
    </xf>
    <xf numFmtId="195" fontId="7" fillId="0" borderId="39" xfId="525" applyNumberFormat="1" applyFont="1" applyBorder="1" applyAlignment="1">
      <alignment horizontal="right" vertical="center"/>
    </xf>
    <xf numFmtId="196" fontId="7" fillId="0" borderId="39" xfId="526" applyNumberFormat="1" applyFont="1" applyBorder="1" applyAlignment="1">
      <alignment horizontal="right" vertical="center"/>
    </xf>
    <xf numFmtId="196" fontId="7" fillId="0" borderId="40" xfId="526" applyNumberFormat="1" applyFont="1" applyBorder="1" applyAlignment="1">
      <alignment horizontal="right" vertical="center"/>
    </xf>
    <xf numFmtId="0" fontId="130" fillId="0" borderId="0" xfId="0" applyFont="1"/>
    <xf numFmtId="14" fontId="130" fillId="0" borderId="0" xfId="0" applyNumberFormat="1" applyFont="1"/>
    <xf numFmtId="0" fontId="129" fillId="60" borderId="3" xfId="0" applyFont="1" applyFill="1" applyBorder="1" applyAlignment="1">
      <alignment horizontal="center" vertical="center" wrapText="1"/>
    </xf>
    <xf numFmtId="9" fontId="7" fillId="0" borderId="39" xfId="526" applyFont="1" applyBorder="1" applyAlignment="1">
      <alignment horizontal="right" vertical="center"/>
    </xf>
    <xf numFmtId="9" fontId="7" fillId="0" borderId="39" xfId="526" applyNumberFormat="1" applyFont="1" applyBorder="1" applyAlignment="1">
      <alignment horizontal="right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7" fillId="52" borderId="39" xfId="0" applyFont="1" applyFill="1" applyBorder="1" applyAlignment="1">
      <alignment horizontal="center" vertical="center"/>
    </xf>
    <xf numFmtId="0" fontId="5" fillId="61" borderId="41" xfId="0" applyFont="1" applyFill="1" applyBorder="1" applyAlignment="1">
      <alignment horizontal="center" vertical="center" wrapText="1"/>
    </xf>
    <xf numFmtId="0" fontId="7" fillId="55" borderId="39" xfId="0" applyFont="1" applyFill="1" applyBorder="1" applyAlignment="1">
      <alignment horizontal="center" vertical="center"/>
    </xf>
    <xf numFmtId="0" fontId="7" fillId="56" borderId="39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55" borderId="41" xfId="0" applyFont="1" applyFill="1" applyBorder="1" applyAlignment="1">
      <alignment horizontal="center" vertical="center" wrapText="1"/>
    </xf>
    <xf numFmtId="0" fontId="5" fillId="52" borderId="41" xfId="0" applyFont="1" applyFill="1" applyBorder="1" applyAlignment="1">
      <alignment horizontal="center" vertical="center" wrapText="1"/>
    </xf>
    <xf numFmtId="0" fontId="32" fillId="0" borderId="39" xfId="0" applyFont="1" applyFill="1" applyBorder="1" applyAlignment="1">
      <alignment horizontal="center" vertical="center" wrapText="1"/>
    </xf>
    <xf numFmtId="0" fontId="5" fillId="59" borderId="40" xfId="0" applyFont="1" applyFill="1" applyBorder="1" applyAlignment="1">
      <alignment horizontal="center" vertical="center" wrapText="1"/>
    </xf>
    <xf numFmtId="0" fontId="5" fillId="52" borderId="40" xfId="0" applyFont="1" applyFill="1" applyBorder="1" applyAlignment="1">
      <alignment horizontal="center" vertical="center" wrapText="1"/>
    </xf>
    <xf numFmtId="0" fontId="5" fillId="55" borderId="40" xfId="0" applyFont="1" applyFill="1" applyBorder="1" applyAlignment="1">
      <alignment horizontal="center" vertical="center" wrapText="1"/>
    </xf>
    <xf numFmtId="0" fontId="131" fillId="61" borderId="40" xfId="0" applyFont="1" applyFill="1" applyBorder="1" applyAlignment="1">
      <alignment horizontal="center" vertical="center" wrapText="1"/>
    </xf>
    <xf numFmtId="0" fontId="5" fillId="61" borderId="40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vertical="center"/>
    </xf>
    <xf numFmtId="0" fontId="6" fillId="5" borderId="3" xfId="1" applyFont="1" applyBorder="1" applyAlignment="1">
      <alignment horizontal="left" vertical="center"/>
    </xf>
    <xf numFmtId="0" fontId="6" fillId="5" borderId="3" xfId="1" applyFont="1" applyBorder="1" applyAlignment="1">
      <alignment horizontal="center" vertical="center"/>
    </xf>
    <xf numFmtId="14" fontId="6" fillId="5" borderId="3" xfId="1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14" fontId="0" fillId="0" borderId="39" xfId="0" applyNumberFormat="1" applyFont="1" applyBorder="1" applyAlignment="1">
      <alignment horizontal="center" vertical="center"/>
    </xf>
    <xf numFmtId="164" fontId="0" fillId="0" borderId="39" xfId="0" applyNumberFormat="1" applyFont="1" applyBorder="1" applyAlignment="1">
      <alignment horizontal="center" vertical="center"/>
    </xf>
    <xf numFmtId="2" fontId="0" fillId="0" borderId="39" xfId="0" applyNumberFormat="1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14" fontId="0" fillId="0" borderId="40" xfId="0" applyNumberFormat="1" applyFont="1" applyBorder="1" applyAlignment="1">
      <alignment horizontal="center" vertical="center"/>
    </xf>
    <xf numFmtId="164" fontId="0" fillId="0" borderId="40" xfId="0" applyNumberFormat="1" applyFont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0" fontId="7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vertical="center"/>
    </xf>
    <xf numFmtId="0" fontId="7" fillId="0" borderId="0" xfId="0" applyNumberFormat="1" applyFont="1" applyAlignment="1">
      <alignment horizontal="center" vertical="center"/>
    </xf>
    <xf numFmtId="194" fontId="7" fillId="0" borderId="40" xfId="525" applyNumberFormat="1" applyFont="1" applyBorder="1" applyAlignment="1">
      <alignment horizontal="left" vertical="center"/>
    </xf>
    <xf numFmtId="194" fontId="7" fillId="0" borderId="40" xfId="525" applyNumberFormat="1" applyFont="1" applyBorder="1" applyAlignment="1">
      <alignment horizontal="right" vertical="center"/>
    </xf>
    <xf numFmtId="9" fontId="7" fillId="0" borderId="40" xfId="526" applyNumberFormat="1" applyFont="1" applyBorder="1" applyAlignment="1">
      <alignment horizontal="right" vertical="center"/>
    </xf>
    <xf numFmtId="43" fontId="7" fillId="0" borderId="40" xfId="525" applyNumberFormat="1" applyFont="1" applyBorder="1" applyAlignment="1">
      <alignment horizontal="left" vertical="center"/>
    </xf>
    <xf numFmtId="195" fontId="7" fillId="0" borderId="40" xfId="525" applyNumberFormat="1" applyFont="1" applyBorder="1" applyAlignment="1">
      <alignment horizontal="right" vertical="center"/>
    </xf>
    <xf numFmtId="194" fontId="132" fillId="0" borderId="39" xfId="525" applyNumberFormat="1" applyFont="1" applyBorder="1" applyAlignment="1">
      <alignment horizontal="left" vertical="center"/>
    </xf>
    <xf numFmtId="195" fontId="7" fillId="0" borderId="0" xfId="525" applyNumberFormat="1" applyFont="1" applyBorder="1" applyAlignment="1">
      <alignment horizontal="left" vertical="center"/>
    </xf>
    <xf numFmtId="197" fontId="0" fillId="0" borderId="39" xfId="0" applyNumberFormat="1" applyFont="1" applyBorder="1" applyAlignment="1">
      <alignment horizontal="center" vertical="center"/>
    </xf>
    <xf numFmtId="197" fontId="0" fillId="0" borderId="40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197" fontId="0" fillId="0" borderId="0" xfId="0" applyNumberFormat="1" applyFont="1" applyBorder="1" applyAlignment="1">
      <alignment horizontal="center" vertical="center"/>
    </xf>
    <xf numFmtId="0" fontId="0" fillId="0" borderId="0" xfId="0"/>
    <xf numFmtId="14" fontId="0" fillId="0" borderId="0" xfId="0" applyNumberFormat="1"/>
    <xf numFmtId="14" fontId="7" fillId="0" borderId="39" xfId="525" applyNumberFormat="1" applyFont="1" applyBorder="1" applyAlignment="1">
      <alignment horizontal="right" vertical="center"/>
    </xf>
    <xf numFmtId="0" fontId="7" fillId="0" borderId="0" xfId="0" applyNumberFormat="1" applyFont="1"/>
    <xf numFmtId="194" fontId="7" fillId="62" borderId="40" xfId="525" applyNumberFormat="1" applyFont="1" applyFill="1" applyBorder="1" applyAlignment="1">
      <alignment horizontal="center" vertical="center"/>
    </xf>
    <xf numFmtId="0" fontId="7" fillId="62" borderId="40" xfId="525" applyNumberFormat="1" applyFont="1" applyFill="1" applyBorder="1" applyAlignment="1">
      <alignment horizontal="center" vertical="center"/>
    </xf>
    <xf numFmtId="0" fontId="7" fillId="0" borderId="39" xfId="0" applyFont="1" applyBorder="1" applyAlignment="1">
      <alignment horizontal="center"/>
    </xf>
    <xf numFmtId="14" fontId="7" fillId="0" borderId="0" xfId="0" applyNumberFormat="1" applyFont="1"/>
    <xf numFmtId="0" fontId="128" fillId="57" borderId="38" xfId="0" applyFont="1" applyFill="1" applyBorder="1" applyAlignment="1">
      <alignment horizontal="center" vertical="center"/>
    </xf>
    <xf numFmtId="0" fontId="128" fillId="51" borderId="38" xfId="0" applyFont="1" applyFill="1" applyBorder="1" applyAlignment="1">
      <alignment horizontal="center" vertical="center"/>
    </xf>
    <xf numFmtId="0" fontId="128" fillId="53" borderId="38" xfId="0" applyFont="1" applyFill="1" applyBorder="1" applyAlignment="1">
      <alignment horizontal="center" vertical="center"/>
    </xf>
    <xf numFmtId="0" fontId="128" fillId="54" borderId="38" xfId="0" applyFont="1" applyFill="1" applyBorder="1" applyAlignment="1">
      <alignment horizontal="center" vertical="center"/>
    </xf>
  </cellXfs>
  <cellStyles count="527">
    <cellStyle name="_Bonds" xfId="2"/>
    <cellStyle name="_Bonds 2" xfId="3"/>
    <cellStyle name="_Offering" xfId="4"/>
    <cellStyle name="_Offering 2" xfId="5"/>
    <cellStyle name="£ BP" xfId="6"/>
    <cellStyle name="¥ JY" xfId="7"/>
    <cellStyle name="20% - Accent1 2" xfId="8"/>
    <cellStyle name="20% - Accent1 2 2" xfId="9"/>
    <cellStyle name="20% - Accent1 2 3" xfId="10"/>
    <cellStyle name="20% - Accent1 3" xfId="11"/>
    <cellStyle name="20% - Accent1 3 2" xfId="12"/>
    <cellStyle name="20% - Accent1 3 3" xfId="13"/>
    <cellStyle name="20% - Accent1 4" xfId="14"/>
    <cellStyle name="20% - Accent1 5" xfId="15"/>
    <cellStyle name="20% - Accent2 2" xfId="16"/>
    <cellStyle name="20% - Accent2 3" xfId="17"/>
    <cellStyle name="20% - Accent2 4" xfId="18"/>
    <cellStyle name="20% - Accent3 2" xfId="19"/>
    <cellStyle name="20% - Accent3 3" xfId="20"/>
    <cellStyle name="20% - Accent3 4" xfId="21"/>
    <cellStyle name="20% - Accent4 2" xfId="22"/>
    <cellStyle name="20% - Accent4 3" xfId="23"/>
    <cellStyle name="20% - Accent4 4" xfId="24"/>
    <cellStyle name="20% - Accent5 2" xfId="25"/>
    <cellStyle name="20% - Accent5 3" xfId="26"/>
    <cellStyle name="20% - Accent5 4" xfId="27"/>
    <cellStyle name="20% - Accent6 2" xfId="28"/>
    <cellStyle name="20% - Accent6 3" xfId="29"/>
    <cellStyle name="20% - Accent6 4" xfId="30"/>
    <cellStyle name="40% - Accent1 2" xfId="31"/>
    <cellStyle name="40% - Accent1 3" xfId="32"/>
    <cellStyle name="40% - Accent1 4" xfId="33"/>
    <cellStyle name="40% - Accent2 2" xfId="34"/>
    <cellStyle name="40% - Accent2 3" xfId="35"/>
    <cellStyle name="40% - Accent2 4" xfId="36"/>
    <cellStyle name="40% - Accent3 2" xfId="37"/>
    <cellStyle name="40% - Accent3 3" xfId="38"/>
    <cellStyle name="40% - Accent3 4" xfId="39"/>
    <cellStyle name="40% - Accent4 2" xfId="40"/>
    <cellStyle name="40% - Accent4 3" xfId="41"/>
    <cellStyle name="40% - Accent4 4" xfId="42"/>
    <cellStyle name="40% - Accent5 2" xfId="43"/>
    <cellStyle name="40% - Accent5 3" xfId="44"/>
    <cellStyle name="40% - Accent5 4" xfId="45"/>
    <cellStyle name="40% - Accent6 2" xfId="46"/>
    <cellStyle name="40% - Accent6 3" xfId="47"/>
    <cellStyle name="40% - Accent6 4" xfId="48"/>
    <cellStyle name="60% - Accent1 2" xfId="49"/>
    <cellStyle name="60% - Accent1 3" xfId="50"/>
    <cellStyle name="60% - Accent1 4" xfId="51"/>
    <cellStyle name="60% - Accent2 2" xfId="52"/>
    <cellStyle name="60% - Accent2 3" xfId="53"/>
    <cellStyle name="60% - Accent2 4" xfId="54"/>
    <cellStyle name="60% - Accent3 2" xfId="55"/>
    <cellStyle name="60% - Accent3 3" xfId="56"/>
    <cellStyle name="60% - Accent3 4" xfId="57"/>
    <cellStyle name="60% - Accent4 2" xfId="58"/>
    <cellStyle name="60% - Accent4 3" xfId="59"/>
    <cellStyle name="60% - Accent4 4" xfId="60"/>
    <cellStyle name="60% - Accent5 2" xfId="61"/>
    <cellStyle name="60% - Accent5 3" xfId="62"/>
    <cellStyle name="60% - Accent5 4" xfId="63"/>
    <cellStyle name="60% - Accent6 2" xfId="64"/>
    <cellStyle name="60% - Accent6 3" xfId="65"/>
    <cellStyle name="60% - Accent6 4" xfId="66"/>
    <cellStyle name="Accent1 2" xfId="67"/>
    <cellStyle name="Accent1 3" xfId="68"/>
    <cellStyle name="Accent1 4" xfId="69"/>
    <cellStyle name="Accent2 2" xfId="70"/>
    <cellStyle name="Accent2 3" xfId="71"/>
    <cellStyle name="Accent2 4" xfId="72"/>
    <cellStyle name="Accent3 2" xfId="73"/>
    <cellStyle name="Accent3 3" xfId="74"/>
    <cellStyle name="Accent3 4" xfId="75"/>
    <cellStyle name="Accent4 2" xfId="76"/>
    <cellStyle name="Accent4 3" xfId="77"/>
    <cellStyle name="Accent4 4" xfId="78"/>
    <cellStyle name="Accent5 2" xfId="79"/>
    <cellStyle name="Accent5 3" xfId="80"/>
    <cellStyle name="Accent5 4" xfId="81"/>
    <cellStyle name="Accent6 2" xfId="82"/>
    <cellStyle name="Accent6 3" xfId="83"/>
    <cellStyle name="Accent6 4" xfId="84"/>
    <cellStyle name="Auto_OpenAuto_CloseExtractD_Sheet1" xfId="85"/>
    <cellStyle name="Axis.EffectiveDate" xfId="86"/>
    <cellStyle name="Axis.Seasoning" xfId="87"/>
    <cellStyle name="Bad 2" xfId="88"/>
    <cellStyle name="Bad 3" xfId="89"/>
    <cellStyle name="Bad 4" xfId="90"/>
    <cellStyle name="Big Money" xfId="91"/>
    <cellStyle name="Blue" xfId="92"/>
    <cellStyle name="blue axis cells" xfId="93"/>
    <cellStyle name="blue text cells" xfId="94"/>
    <cellStyle name="Body" xfId="95"/>
    <cellStyle name="Bold/Border" xfId="96"/>
    <cellStyle name="Border" xfId="97"/>
    <cellStyle name="Bullet" xfId="98"/>
    <cellStyle name="Calc Currency (0)" xfId="99"/>
    <cellStyle name="Calc Currency (0) 2" xfId="100"/>
    <cellStyle name="Calc Currency (2)" xfId="101"/>
    <cellStyle name="Calc Currency (2) 2" xfId="102"/>
    <cellStyle name="Calc Percent (0)" xfId="103"/>
    <cellStyle name="Calc Percent (0) 2" xfId="104"/>
    <cellStyle name="Calc Percent (1)" xfId="105"/>
    <cellStyle name="Calc Percent (1) 2" xfId="106"/>
    <cellStyle name="Calc Percent (2)" xfId="107"/>
    <cellStyle name="Calc Percent (2) 2" xfId="108"/>
    <cellStyle name="Calc Units (0)" xfId="109"/>
    <cellStyle name="Calc Units (0) 2" xfId="110"/>
    <cellStyle name="Calc Units (1)" xfId="111"/>
    <cellStyle name="Calc Units (1) 2" xfId="112"/>
    <cellStyle name="Calc Units (2)" xfId="113"/>
    <cellStyle name="Calc Units (2) 2" xfId="114"/>
    <cellStyle name="Calculation 2" xfId="115"/>
    <cellStyle name="Calculation 3" xfId="116"/>
    <cellStyle name="Calculation 4" xfId="117"/>
    <cellStyle name="CCM Input" xfId="118"/>
    <cellStyle name="CCM Title Calculations" xfId="119"/>
    <cellStyle name="CCM Title Indicative" xfId="120"/>
    <cellStyle name="Cello Calculation" xfId="121"/>
    <cellStyle name="Cello Calculation 2" xfId="122"/>
    <cellStyle name="Cello Calculation 2 2" xfId="123"/>
    <cellStyle name="Cello Calculation 3" xfId="124"/>
    <cellStyle name="Cello Calculation 4" xfId="125"/>
    <cellStyle name="Cello Input" xfId="1"/>
    <cellStyle name="Cello Input 2" xfId="126"/>
    <cellStyle name="Cello Input 2 2" xfId="127"/>
    <cellStyle name="Cello Input 2 3" xfId="128"/>
    <cellStyle name="Cello Input 2 5" xfId="129"/>
    <cellStyle name="Cello Input 3" xfId="130"/>
    <cellStyle name="Cello Input 4" xfId="131"/>
    <cellStyle name="Cello Linked Cell" xfId="132"/>
    <cellStyle name="Cello Linked Cell 2" xfId="133"/>
    <cellStyle name="Cello Linked Cell 2 2" xfId="134"/>
    <cellStyle name="Check Cell 2" xfId="135"/>
    <cellStyle name="Check Cell 3" xfId="136"/>
    <cellStyle name="Check Cell 4" xfId="137"/>
    <cellStyle name="Co. Names" xfId="138"/>
    <cellStyle name="Comma" xfId="525" builtinId="3"/>
    <cellStyle name="Comma  - Style1" xfId="139"/>
    <cellStyle name="Comma  - Style1 2" xfId="140"/>
    <cellStyle name="Comma  - Style2" xfId="141"/>
    <cellStyle name="Comma  - Style2 2" xfId="142"/>
    <cellStyle name="Comma  - Style3" xfId="143"/>
    <cellStyle name="Comma  - Style3 2" xfId="144"/>
    <cellStyle name="Comma  - Style4" xfId="145"/>
    <cellStyle name="Comma  - Style4 2" xfId="146"/>
    <cellStyle name="Comma  - Style5" xfId="147"/>
    <cellStyle name="Comma  - Style5 2" xfId="148"/>
    <cellStyle name="Comma  - Style6" xfId="149"/>
    <cellStyle name="Comma  - Style6 2" xfId="150"/>
    <cellStyle name="Comma  - Style7" xfId="151"/>
    <cellStyle name="Comma  - Style7 2" xfId="152"/>
    <cellStyle name="Comma  - Style8" xfId="153"/>
    <cellStyle name="Comma  - Style8 2" xfId="154"/>
    <cellStyle name="Comma [00]" xfId="155"/>
    <cellStyle name="Comma [00] 2" xfId="156"/>
    <cellStyle name="Comma 10" xfId="157"/>
    <cellStyle name="Comma 11" xfId="158"/>
    <cellStyle name="Comma 12" xfId="159"/>
    <cellStyle name="Comma 13" xfId="160"/>
    <cellStyle name="Comma 14" xfId="161"/>
    <cellStyle name="Comma 15" xfId="162"/>
    <cellStyle name="Comma 16" xfId="163"/>
    <cellStyle name="Comma 16 2" xfId="164"/>
    <cellStyle name="Comma 17" xfId="165"/>
    <cellStyle name="Comma 18" xfId="166"/>
    <cellStyle name="Comma 19" xfId="167"/>
    <cellStyle name="Comma 2" xfId="168"/>
    <cellStyle name="Comma 20" xfId="169"/>
    <cellStyle name="Comma 21" xfId="170"/>
    <cellStyle name="Comma 22" xfId="171"/>
    <cellStyle name="Comma 23" xfId="172"/>
    <cellStyle name="Comma 24" xfId="173"/>
    <cellStyle name="Comma 25" xfId="174"/>
    <cellStyle name="Comma 26" xfId="175"/>
    <cellStyle name="Comma 27" xfId="176"/>
    <cellStyle name="Comma 28" xfId="177"/>
    <cellStyle name="Comma 29" xfId="178"/>
    <cellStyle name="Comma 29 2" xfId="179"/>
    <cellStyle name="Comma 3" xfId="180"/>
    <cellStyle name="Comma 30" xfId="181"/>
    <cellStyle name="Comma 4" xfId="182"/>
    <cellStyle name="Comma 4 2" xfId="183"/>
    <cellStyle name="Comma 5" xfId="184"/>
    <cellStyle name="Comma 6" xfId="185"/>
    <cellStyle name="Comma 7" xfId="186"/>
    <cellStyle name="Comma 8" xfId="187"/>
    <cellStyle name="Comma 9" xfId="188"/>
    <cellStyle name="Comma0" xfId="189"/>
    <cellStyle name="Comma1 - Style1" xfId="190"/>
    <cellStyle name="Copied" xfId="191"/>
    <cellStyle name="CTDSwitchAnalysisHeader" xfId="192"/>
    <cellStyle name="Curren - Style2" xfId="193"/>
    <cellStyle name="Currency [00]" xfId="194"/>
    <cellStyle name="Currency [00] 2" xfId="195"/>
    <cellStyle name="Currency [2]" xfId="196"/>
    <cellStyle name="Currency 10" xfId="197"/>
    <cellStyle name="Currency 11" xfId="198"/>
    <cellStyle name="Currency 12" xfId="199"/>
    <cellStyle name="Currency 13" xfId="200"/>
    <cellStyle name="Currency 14" xfId="201"/>
    <cellStyle name="Currency 15" xfId="202"/>
    <cellStyle name="Currency 2" xfId="203"/>
    <cellStyle name="Currency 3" xfId="204"/>
    <cellStyle name="Currency 4" xfId="205"/>
    <cellStyle name="Currency 5" xfId="206"/>
    <cellStyle name="Currency 6" xfId="207"/>
    <cellStyle name="Currency 7" xfId="208"/>
    <cellStyle name="Currency 8" xfId="209"/>
    <cellStyle name="Currency 9" xfId="210"/>
    <cellStyle name="Currency0" xfId="211"/>
    <cellStyle name="Dash" xfId="212"/>
    <cellStyle name="Data.LongPercent" xfId="213"/>
    <cellStyle name="Data.NumPercent" xfId="214"/>
    <cellStyle name="Data.NumShortPercent" xfId="215"/>
    <cellStyle name="date" xfId="216"/>
    <cellStyle name="Date - Style3" xfId="217"/>
    <cellStyle name="Date 2" xfId="218"/>
    <cellStyle name="Date 3" xfId="219"/>
    <cellStyle name="Date 4" xfId="220"/>
    <cellStyle name="Date 5" xfId="221"/>
    <cellStyle name="Date 6" xfId="222"/>
    <cellStyle name="Date 7" xfId="223"/>
    <cellStyle name="Date Short" xfId="224"/>
    <cellStyle name="date title" xfId="225"/>
    <cellStyle name="Date_DV01" xfId="226"/>
    <cellStyle name="DateFormat" xfId="227"/>
    <cellStyle name="DBAHandle" xfId="228"/>
    <cellStyle name="DBAParameter" xfId="229"/>
    <cellStyle name="DELTA" xfId="230"/>
    <cellStyle name="DS 0" xfId="231"/>
    <cellStyle name="DS 1" xfId="232"/>
    <cellStyle name="DS 2" xfId="233"/>
    <cellStyle name="DS 3" xfId="234"/>
    <cellStyle name="DS 4" xfId="235"/>
    <cellStyle name="DS 5" xfId="236"/>
    <cellStyle name="DS 5 2" xfId="237"/>
    <cellStyle name="DS 6" xfId="238"/>
    <cellStyle name="Enter Currency (0)" xfId="239"/>
    <cellStyle name="Enter Currency (0) 2" xfId="240"/>
    <cellStyle name="Enter Currency (2)" xfId="241"/>
    <cellStyle name="Enter Currency (2) 2" xfId="242"/>
    <cellStyle name="Enter Units (0)" xfId="243"/>
    <cellStyle name="Enter Units (0) 2" xfId="244"/>
    <cellStyle name="Enter Units (1)" xfId="245"/>
    <cellStyle name="Enter Units (1) 2" xfId="246"/>
    <cellStyle name="Enter Units (2)" xfId="247"/>
    <cellStyle name="Enter Units (2) 2" xfId="248"/>
    <cellStyle name="Entered" xfId="249"/>
    <cellStyle name="Entries" xfId="250"/>
    <cellStyle name="Euro" xfId="251"/>
    <cellStyle name="Explanatory Text 2" xfId="252"/>
    <cellStyle name="Explanatory Text 3" xfId="253"/>
    <cellStyle name="Explanatory Text 4" xfId="254"/>
    <cellStyle name="Fixed" xfId="255"/>
    <cellStyle name="FullTime" xfId="256"/>
    <cellStyle name="General" xfId="257"/>
    <cellStyle name="Good 2" xfId="258"/>
    <cellStyle name="Good 3" xfId="259"/>
    <cellStyle name="Good 4" xfId="260"/>
    <cellStyle name="gray text cells" xfId="261"/>
    <cellStyle name="Grey" xfId="262"/>
    <cellStyle name="Header1" xfId="263"/>
    <cellStyle name="Header2" xfId="264"/>
    <cellStyle name="Heading" xfId="265"/>
    <cellStyle name="Heading 1 2" xfId="266"/>
    <cellStyle name="Heading 1 2 2" xfId="267"/>
    <cellStyle name="Heading 1 3" xfId="268"/>
    <cellStyle name="Heading 1 4" xfId="269"/>
    <cellStyle name="Heading 1 5" xfId="270"/>
    <cellStyle name="Heading 2 2" xfId="271"/>
    <cellStyle name="Heading 2 2 2" xfId="272"/>
    <cellStyle name="Heading 2 3" xfId="273"/>
    <cellStyle name="Heading 2 4" xfId="274"/>
    <cellStyle name="Heading 2 5" xfId="275"/>
    <cellStyle name="Heading 3 2" xfId="276"/>
    <cellStyle name="Heading 3 3" xfId="277"/>
    <cellStyle name="Heading 3 4" xfId="278"/>
    <cellStyle name="Heading 4 2" xfId="279"/>
    <cellStyle name="Heading 4 3" xfId="280"/>
    <cellStyle name="Heading 4 4" xfId="281"/>
    <cellStyle name="Heading 5" xfId="282"/>
    <cellStyle name="HEADING1" xfId="283"/>
    <cellStyle name="HEADING2" xfId="284"/>
    <cellStyle name="Hyperlink 2" xfId="285"/>
    <cellStyle name="Input [yellow]" xfId="286"/>
    <cellStyle name="Input 2" xfId="287"/>
    <cellStyle name="Input 2 2" xfId="288"/>
    <cellStyle name="Input 2 3" xfId="289"/>
    <cellStyle name="Input 3" xfId="290"/>
    <cellStyle name="Input 4" xfId="291"/>
    <cellStyle name="Input 5" xfId="292"/>
    <cellStyle name="Input 6" xfId="293"/>
    <cellStyle name="Input 7" xfId="294"/>
    <cellStyle name="Item" xfId="295"/>
    <cellStyle name="Link Currency (0)" xfId="296"/>
    <cellStyle name="Link Currency (0) 2" xfId="297"/>
    <cellStyle name="Link Currency (2)" xfId="298"/>
    <cellStyle name="Link Currency (2) 2" xfId="299"/>
    <cellStyle name="Link Units (0)" xfId="300"/>
    <cellStyle name="Link Units (0) 2" xfId="301"/>
    <cellStyle name="Link Units (1)" xfId="302"/>
    <cellStyle name="Link Units (1) 2" xfId="303"/>
    <cellStyle name="Link Units (2)" xfId="304"/>
    <cellStyle name="Link Units (2) 2" xfId="305"/>
    <cellStyle name="Linked Cell 2" xfId="306"/>
    <cellStyle name="Linked Cell 3" xfId="307"/>
    <cellStyle name="Linked Cell 4" xfId="308"/>
    <cellStyle name="Lookup" xfId="309"/>
    <cellStyle name="Milliers [0]_Basis" xfId="310"/>
    <cellStyle name="Milliers_Basis" xfId="311"/>
    <cellStyle name="Monétaire [0]_Basis" xfId="312"/>
    <cellStyle name="Monétaire_Basis" xfId="313"/>
    <cellStyle name="Money" xfId="314"/>
    <cellStyle name="Neutral 2" xfId="315"/>
    <cellStyle name="Neutral 3" xfId="316"/>
    <cellStyle name="Neutral 4" xfId="317"/>
    <cellStyle name="no dec" xfId="318"/>
    <cellStyle name="NoChange" xfId="319"/>
    <cellStyle name="Non Zero" xfId="320"/>
    <cellStyle name="Normal" xfId="0" builtinId="0"/>
    <cellStyle name="Normal - Style1" xfId="321"/>
    <cellStyle name="Normal 10" xfId="322"/>
    <cellStyle name="Normal 10 2" xfId="323"/>
    <cellStyle name="Normal 107" xfId="324"/>
    <cellStyle name="Normal 11" xfId="325"/>
    <cellStyle name="Normal 11 2" xfId="326"/>
    <cellStyle name="Normal 12" xfId="327"/>
    <cellStyle name="Normal 13" xfId="328"/>
    <cellStyle name="Normal 14" xfId="329"/>
    <cellStyle name="Normal 15" xfId="330"/>
    <cellStyle name="Normal 16" xfId="331"/>
    <cellStyle name="Normal 17" xfId="332"/>
    <cellStyle name="Normal 18" xfId="333"/>
    <cellStyle name="Normal 19" xfId="334"/>
    <cellStyle name="Normal 2" xfId="335"/>
    <cellStyle name="Normal 2 2" xfId="336"/>
    <cellStyle name="Normal 2 2 2" xfId="337"/>
    <cellStyle name="Normal 2 3" xfId="338"/>
    <cellStyle name="Normal 2 3 2" xfId="339"/>
    <cellStyle name="Normal 2 3 2 2" xfId="340"/>
    <cellStyle name="Normal 2 3 3" xfId="341"/>
    <cellStyle name="Normal 2 4" xfId="342"/>
    <cellStyle name="Normal 2 4 2" xfId="343"/>
    <cellStyle name="Normal 2 4 2 2" xfId="344"/>
    <cellStyle name="Normal 2 4 3" xfId="345"/>
    <cellStyle name="Normal 2 5" xfId="346"/>
    <cellStyle name="Normal 2 5 2" xfId="347"/>
    <cellStyle name="Normal 2 6" xfId="348"/>
    <cellStyle name="Normal 2 7" xfId="349"/>
    <cellStyle name="Normal 20" xfId="350"/>
    <cellStyle name="Normal 21" xfId="351"/>
    <cellStyle name="Normal 22" xfId="352"/>
    <cellStyle name="Normal 23" xfId="353"/>
    <cellStyle name="Normal 24" xfId="354"/>
    <cellStyle name="Normal 25" xfId="355"/>
    <cellStyle name="Normal 26" xfId="356"/>
    <cellStyle name="Normal 27" xfId="357"/>
    <cellStyle name="Normal 28" xfId="358"/>
    <cellStyle name="Normal 28 2" xfId="359"/>
    <cellStyle name="Normal 29" xfId="360"/>
    <cellStyle name="Normal 3" xfId="361"/>
    <cellStyle name="Normal 3 2" xfId="362"/>
    <cellStyle name="Normal 30" xfId="363"/>
    <cellStyle name="Normal 31" xfId="364"/>
    <cellStyle name="Normal 32" xfId="365"/>
    <cellStyle name="Normal 33" xfId="366"/>
    <cellStyle name="Normal 34" xfId="367"/>
    <cellStyle name="Normal 35" xfId="368"/>
    <cellStyle name="Normal 36" xfId="369"/>
    <cellStyle name="Normal 37" xfId="370"/>
    <cellStyle name="Normal 38" xfId="371"/>
    <cellStyle name="Normal 38 2" xfId="372"/>
    <cellStyle name="Normal 38 2 2" xfId="373"/>
    <cellStyle name="Normal 38 3" xfId="374"/>
    <cellStyle name="Normal 39" xfId="375"/>
    <cellStyle name="Normal 4" xfId="376"/>
    <cellStyle name="Normal 4 2" xfId="377"/>
    <cellStyle name="Normal 4 3" xfId="378"/>
    <cellStyle name="Normal 4 4" xfId="379"/>
    <cellStyle name="Normal 40" xfId="380"/>
    <cellStyle name="Normal 41" xfId="381"/>
    <cellStyle name="Normal 42" xfId="382"/>
    <cellStyle name="Normal 42 2" xfId="383"/>
    <cellStyle name="Normal 5" xfId="384"/>
    <cellStyle name="Normal 6" xfId="385"/>
    <cellStyle name="Normal 6 2" xfId="386"/>
    <cellStyle name="Normal 7" xfId="387"/>
    <cellStyle name="Normal 7 2" xfId="388"/>
    <cellStyle name="Normal 8" xfId="389"/>
    <cellStyle name="Normal 88" xfId="390"/>
    <cellStyle name="Normal 9" xfId="391"/>
    <cellStyle name="Normal 9 2" xfId="392"/>
    <cellStyle name="Note 2" xfId="393"/>
    <cellStyle name="Note 2 2" xfId="394"/>
    <cellStyle name="Note 2 3" xfId="395"/>
    <cellStyle name="Note 2 4" xfId="396"/>
    <cellStyle name="Note 3" xfId="397"/>
    <cellStyle name="Note 4" xfId="398"/>
    <cellStyle name="Note 5" xfId="399"/>
    <cellStyle name="Note 6" xfId="400"/>
    <cellStyle name="Note 7" xfId="401"/>
    <cellStyle name="Note 7 2" xfId="402"/>
    <cellStyle name="Note 8" xfId="403"/>
    <cellStyle name="NumberAsPercent" xfId="404"/>
    <cellStyle name="NumberFormat" xfId="405"/>
    <cellStyle name="Numbers" xfId="406"/>
    <cellStyle name="Numbers - Bold" xfId="407"/>
    <cellStyle name="Numbers_increm pf" xfId="408"/>
    <cellStyle name="NumberTo1DecPlace" xfId="409"/>
    <cellStyle name="OffWhite" xfId="410"/>
    <cellStyle name="Option" xfId="411"/>
    <cellStyle name="orange text cell" xfId="412"/>
    <cellStyle name="Output 2" xfId="413"/>
    <cellStyle name="Output 3" xfId="414"/>
    <cellStyle name="Output 4" xfId="415"/>
    <cellStyle name="Output Amounts" xfId="416"/>
    <cellStyle name="Output Column Headings" xfId="417"/>
    <cellStyle name="Output Line Items" xfId="418"/>
    <cellStyle name="Output Report Heading" xfId="419"/>
    <cellStyle name="Output Report Title" xfId="420"/>
    <cellStyle name="Pageheading" xfId="421"/>
    <cellStyle name="Percent" xfId="526" builtinId="5"/>
    <cellStyle name="Percent [0]" xfId="422"/>
    <cellStyle name="Percent [0] 2" xfId="423"/>
    <cellStyle name="Percent [00]" xfId="424"/>
    <cellStyle name="Percent [00] 2" xfId="425"/>
    <cellStyle name="Percent [2]" xfId="426"/>
    <cellStyle name="Percent 2" xfId="427"/>
    <cellStyle name="Percent 2 2" xfId="428"/>
    <cellStyle name="Percent 3" xfId="429"/>
    <cellStyle name="Percentage" xfId="430"/>
    <cellStyle name="PrePop Currency (0)" xfId="431"/>
    <cellStyle name="PrePop Currency (0) 2" xfId="432"/>
    <cellStyle name="PrePop Currency (2)" xfId="433"/>
    <cellStyle name="PrePop Currency (2) 2" xfId="434"/>
    <cellStyle name="PrePop Units (0)" xfId="435"/>
    <cellStyle name="PrePop Units (0) 2" xfId="436"/>
    <cellStyle name="PrePop Units (1)" xfId="437"/>
    <cellStyle name="PrePop Units (1) 2" xfId="438"/>
    <cellStyle name="PrePop Units (2)" xfId="439"/>
    <cellStyle name="PrePop Units (2) 2" xfId="440"/>
    <cellStyle name="PriceTo3DecPlaces" xfId="441"/>
    <cellStyle name="PriceWithBorderAround" xfId="442"/>
    <cellStyle name="PRICING" xfId="443"/>
    <cellStyle name="Product Header" xfId="444"/>
    <cellStyle name="PSChar" xfId="445"/>
    <cellStyle name="PSHeading" xfId="446"/>
    <cellStyle name="r" xfId="447"/>
    <cellStyle name="r_pldt" xfId="448"/>
    <cellStyle name="ReportLeftHeader" xfId="449"/>
    <cellStyle name="ReportRightHeader" xfId="450"/>
    <cellStyle name="results" xfId="451"/>
    <cellStyle name="RevList" xfId="452"/>
    <cellStyle name="RVRQueryHandle" xfId="453"/>
    <cellStyle name="Section" xfId="454"/>
    <cellStyle name="SecuritiesPricingTable" xfId="455"/>
    <cellStyle name="SecuritiesPricingTableFinalData" xfId="456"/>
    <cellStyle name="SecuritiesPricingTableManualData" xfId="457"/>
    <cellStyle name="SecuritiesPricingTableText" xfId="458"/>
    <cellStyle name="Short $" xfId="459"/>
    <cellStyle name="Short $ 2" xfId="460"/>
    <cellStyle name="SIZE" xfId="461"/>
    <cellStyle name="Standard_Swaps-Bonds-Blending" xfId="462"/>
    <cellStyle name="Style 1" xfId="463"/>
    <cellStyle name="StyleSecuritiesPricingTableInteger" xfId="464"/>
    <cellStyle name="Subheading" xfId="465"/>
    <cellStyle name="subtitle" xfId="466"/>
    <cellStyle name="Subtotal" xfId="467"/>
    <cellStyle name="Table" xfId="468"/>
    <cellStyle name="Tablebody" xfId="469"/>
    <cellStyle name="TablebodyDate" xfId="470"/>
    <cellStyle name="TablebodyHeading" xfId="471"/>
    <cellStyle name="TablebodyOutstandingAmount" xfId="472"/>
    <cellStyle name="TablebodyPercent" xfId="473"/>
    <cellStyle name="TablebodyPrice" xfId="474"/>
    <cellStyle name="TablebodyReverse" xfId="475"/>
    <cellStyle name="TablebodySpread" xfId="476"/>
    <cellStyle name="TablebodySpreadBorder" xfId="477"/>
    <cellStyle name="TablebodyText" xfId="478"/>
    <cellStyle name="Tableheading" xfId="479"/>
    <cellStyle name="Text" xfId="480"/>
    <cellStyle name="Text 2" xfId="481"/>
    <cellStyle name="Text Indent A" xfId="482"/>
    <cellStyle name="Text Indent B" xfId="483"/>
    <cellStyle name="Text Indent B 2" xfId="484"/>
    <cellStyle name="Text Indent C" xfId="485"/>
    <cellStyle name="Text Indent C 2" xfId="486"/>
    <cellStyle name="TextStyle" xfId="487"/>
    <cellStyle name="tic display" xfId="488"/>
    <cellStyle name="tic input" xfId="489"/>
    <cellStyle name="Title - Underline" xfId="490"/>
    <cellStyle name="Title 2" xfId="491"/>
    <cellStyle name="Title 3" xfId="492"/>
    <cellStyle name="Title 4" xfId="493"/>
    <cellStyle name="Title 5" xfId="494"/>
    <cellStyle name="Title 6" xfId="495"/>
    <cellStyle name="Title 7" xfId="496"/>
    <cellStyle name="Title Calculations" xfId="497"/>
    <cellStyle name="Title Calculations 2" xfId="498"/>
    <cellStyle name="Title Indicative" xfId="499"/>
    <cellStyle name="Title Indicative 2" xfId="500"/>
    <cellStyle name="Title Pricing Assumptions" xfId="501"/>
    <cellStyle name="Title Pricing Assumptions 2" xfId="502"/>
    <cellStyle name="Title Pricing Assumptions 2 2" xfId="503"/>
    <cellStyle name="Title Pricing Assumptions 2 3" xfId="504"/>
    <cellStyle name="Title Pricing Assumptions 3" xfId="505"/>
    <cellStyle name="Title Pricing Assumptions 3 12 8" xfId="506"/>
    <cellStyle name="Title Pricing Assumptions 3 6 4 2 8" xfId="507"/>
    <cellStyle name="Titles - Other" xfId="508"/>
    <cellStyle name="Total 2" xfId="509"/>
    <cellStyle name="Total 2 2" xfId="510"/>
    <cellStyle name="Total 3" xfId="511"/>
    <cellStyle name="Total 4" xfId="512"/>
    <cellStyle name="Warning" xfId="513"/>
    <cellStyle name="Warning Text 2" xfId="514"/>
    <cellStyle name="Warning Text 3" xfId="515"/>
    <cellStyle name="Warning Text 4" xfId="516"/>
    <cellStyle name="YB Calculations" xfId="517"/>
    <cellStyle name="YB Calculations 2" xfId="518"/>
    <cellStyle name="YB Curve" xfId="519"/>
    <cellStyle name="YB Indicative" xfId="520"/>
    <cellStyle name="YBINDIC" xfId="521"/>
    <cellStyle name="YBIOPOBE" xfId="522"/>
    <cellStyle name="YBPRICE" xfId="523"/>
    <cellStyle name="一般_原始檔案" xfId="524"/>
  </cellStyles>
  <dxfs count="118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alignment vertical="center" readingOrder="0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9" tint="0.79998168889431442"/>
        </patternFill>
      </fill>
    </dxf>
    <dxf>
      <numFmt numFmtId="2" formatCode="0.00"/>
    </dxf>
    <dxf>
      <alignment vertical="center" readingOrder="0"/>
    </dxf>
    <dxf>
      <numFmt numFmtId="2" formatCode="0.00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alignment vertical="center" readingOrder="0"/>
    </dxf>
    <dxf>
      <numFmt numFmtId="2" formatCode="0.00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>
          <bgColor theme="7" tint="0.59999389629810485"/>
        </patternFill>
      </fill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font>
        <color auto="1"/>
      </font>
    </dxf>
    <dxf>
      <fill>
        <patternFill patternType="none">
          <fgColor indexed="64"/>
          <bgColor indexed="65"/>
        </patternFill>
      </fill>
      <alignment wrapText="1" readingOrder="0"/>
    </dxf>
    <dxf>
      <alignment vertical="center" readingOrder="0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font>
        <color theme="0"/>
      </font>
    </dxf>
    <dxf>
      <numFmt numFmtId="164" formatCode="0.0"/>
    </dxf>
    <dxf>
      <font>
        <color theme="0"/>
      </font>
    </dxf>
  </dxfs>
  <tableStyles count="0" defaultTableStyle="TableStyleMedium2" defaultPivotStyle="PivotStyleLight16"/>
  <colors>
    <mruColors>
      <color rgb="FFCACEEE"/>
      <color rgb="FF2E398A"/>
      <color rgb="FFC7732D"/>
      <color rgb="FFB3275C"/>
      <color rgb="FF1B7A76"/>
      <color rgb="FFFFFFFF"/>
      <color rgb="FFF6F4F0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291353</xdr:colOff>
      <xdr:row>5</xdr:row>
      <xdr:rowOff>28576</xdr:rowOff>
    </xdr:from>
    <xdr:to>
      <xdr:col>36</xdr:col>
      <xdr:colOff>0</xdr:colOff>
      <xdr:row>7</xdr:row>
      <xdr:rowOff>13336</xdr:rowOff>
    </xdr:to>
    <xdr:sp macro="[0]!SummaryReport" textlink="">
      <xdr:nvSpPr>
        <xdr:cNvPr id="2" name="Rounded Rectangle 1"/>
        <xdr:cNvSpPr/>
      </xdr:nvSpPr>
      <xdr:spPr>
        <a:xfrm>
          <a:off x="24787412" y="981076"/>
          <a:ext cx="1568823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36</xdr:col>
      <xdr:colOff>276226</xdr:colOff>
      <xdr:row>5</xdr:row>
      <xdr:rowOff>28576</xdr:rowOff>
    </xdr:from>
    <xdr:to>
      <xdr:col>38</xdr:col>
      <xdr:colOff>47626</xdr:colOff>
      <xdr:row>7</xdr:row>
      <xdr:rowOff>13336</xdr:rowOff>
    </xdr:to>
    <xdr:sp macro="[0]!CreatePDFReport" textlink="">
      <xdr:nvSpPr>
        <xdr:cNvPr id="3" name="Rounded Rectangle 2"/>
        <xdr:cNvSpPr/>
      </xdr:nvSpPr>
      <xdr:spPr>
        <a:xfrm>
          <a:off x="27451051" y="981076"/>
          <a:ext cx="16192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327.657581018517" createdVersion="4" refreshedVersion="4" minRefreshableVersion="3" recordCount="155">
  <cacheSource type="worksheet">
    <worksheetSource name="CurrentMtgRatesDataTable82523"/>
  </cacheSource>
  <cacheFields count="18">
    <cacheField name="DealName" numFmtId="0">
      <sharedItems/>
    </cacheField>
    <cacheField name="RefPoolId" numFmtId="0">
      <sharedItems count="14">
        <s v="1372"/>
        <s v="1378"/>
        <s v="1383"/>
        <s v="1384"/>
        <s v="1387"/>
        <s v="1388"/>
        <s v="1392"/>
        <s v="1393"/>
        <s v="1397"/>
        <s v="1398"/>
        <s v="1399"/>
        <s v="1400"/>
        <s v="1404"/>
        <s v="1405"/>
      </sharedItems>
    </cacheField>
    <cacheField name="currentBalance" numFmtId="0">
      <sharedItems containsSemiMixedTypes="0" containsString="0" containsNumber="1" minValue="136083939.11000001" maxValue="58821087273.290001"/>
    </cacheField>
    <cacheField name="beginDate" numFmtId="14">
      <sharedItems containsSemiMixedTypes="0" containsNonDate="0" containsDate="1" containsString="0" minDate="2013-06-01T00:00:00" maxDate="2015-08-02T00:00:00" count="27"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3-07-01T00:00:00" u="1"/>
        <d v="2013-06-01T00:00:00" u="1"/>
        <d v="2013-08-01T00:00:00" u="1"/>
      </sharedItems>
    </cacheField>
    <cacheField name="loanCount" numFmtId="0">
      <sharedItems containsSemiMixedTypes="0" containsString="0" containsNumber="1" containsInteger="1" minValue="522" maxValue="245289"/>
    </cacheField>
    <cacheField name="prepaymentBalance" numFmtId="0">
      <sharedItems containsSemiMixedTypes="0" containsString="0" containsNumber="1" minValue="854180.09" maxValue="1161068382.99"/>
    </cacheField>
    <cacheField name="defaultBalance" numFmtId="0">
      <sharedItems containsSemiMixedTypes="0" containsString="0" containsNumber="1" minValue="0" maxValue="6304522.9199999999"/>
    </cacheField>
    <cacheField name="smm" numFmtId="0">
      <sharedItems containsSemiMixedTypes="0" containsString="0" containsNumber="1" minValue="2.077797909391145E-3" maxValue="3.9163312390156232E-2"/>
    </cacheField>
    <cacheField name="mdr" numFmtId="0">
      <sharedItems containsSemiMixedTypes="0" containsString="0" containsNumber="1" minValue="0" maxValue="2.5824736332595474E-4"/>
    </cacheField>
    <cacheField name="CPR" numFmtId="0">
      <sharedItems containsSemiMixedTypes="0" containsString="0" containsNumber="1" minValue="2.4649999999999999" maxValue="38.085099999999997"/>
    </cacheField>
    <cacheField name="CDR" numFmtId="0">
      <sharedItems containsSemiMixedTypes="0" containsString="0" containsNumber="1" minValue="0" maxValue="0.30940000000000001"/>
    </cacheField>
    <cacheField name="pct_dq" numFmtId="0">
      <sharedItems containsSemiMixedTypes="0" containsString="0" containsNumber="1" minValue="1.1906152793376749E-3" maxValue="5.0766880622992389E-3"/>
    </cacheField>
    <cacheField name="cum_prepayment" numFmtId="0">
      <sharedItems containsSemiMixedTypes="0" containsString="0" containsNumber="1" minValue="56666823.07" maxValue="5540221219.8800001"/>
    </cacheField>
    <cacheField name="cum_default" numFmtId="0">
      <sharedItems containsSemiMixedTypes="0" containsString="0" containsNumber="1" minValue="0" maxValue="43418345.520000003"/>
    </cacheField>
    <cacheField name="cum_pp_pct" numFmtId="0">
      <sharedItems containsSemiMixedTypes="0" containsString="0" containsNumber="1" minValue="3.0000000000000001E-3" maxValue="0.20880000000000001"/>
    </cacheField>
    <cacheField name="cum_df_pct" numFmtId="0">
      <sharedItems containsSemiMixedTypes="0" containsString="0" containsNumber="1" minValue="0" maxValue="1.8E-3"/>
    </cacheField>
    <cacheField name="Cum_DF100" numFmtId="0">
      <sharedItems containsSemiMixedTypes="0" containsString="0" containsNumber="1" minValue="0" maxValue="0.18"/>
    </cacheField>
    <cacheField name="DLQ100" numFmtId="0">
      <sharedItems containsSemiMixedTypes="0" containsString="0" containsNumber="1" minValue="0.11906152793376748" maxValue="0.507668806229923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5">
  <r>
    <s v="CAS 2013-C01"/>
    <x v="0"/>
    <n v="26756375869.560001"/>
    <x v="0"/>
    <n v="112871"/>
    <n v="88199050.409999996"/>
    <n v="0"/>
    <n v="3.2963750711224554E-3"/>
    <n v="0"/>
    <n v="3.8847"/>
    <n v="0"/>
    <n v="1.1906152793376749E-3"/>
    <n v="88199050.409999996"/>
    <n v="0"/>
    <n v="3.7000000000000002E-3"/>
    <n v="0"/>
    <n v="0"/>
    <n v="0.11906152793376748"/>
  </r>
  <r>
    <s v="CAS 2013-C01"/>
    <x v="0"/>
    <n v="26615084296.130001"/>
    <x v="1"/>
    <n v="112464"/>
    <n v="104154885.76000001"/>
    <n v="0"/>
    <n v="3.9133780153063338E-3"/>
    <n v="0"/>
    <n v="4.5961999999999996"/>
    <n v="0"/>
    <n v="1.4121100647975355E-3"/>
    <n v="192353936.16999999"/>
    <n v="0"/>
    <n v="8.0000000000000002E-3"/>
    <n v="0"/>
    <n v="0"/>
    <n v="0.14121100647975354"/>
  </r>
  <r>
    <s v="CAS 2013-C01"/>
    <x v="0"/>
    <n v="26457457865.02"/>
    <x v="2"/>
    <n v="112005"/>
    <n v="90371495.25"/>
    <n v="0"/>
    <n v="3.4157285900654191E-3"/>
    <n v="0"/>
    <n v="4.0227000000000004"/>
    <n v="0"/>
    <n v="2.0171887598680167E-3"/>
    <n v="282725431.42000002"/>
    <n v="0"/>
    <n v="1.18E-2"/>
    <n v="0"/>
    <n v="0"/>
    <n v="0.20171887598680166"/>
  </r>
  <r>
    <s v="CAS 2013-C01"/>
    <x v="0"/>
    <n v="26312077411.34"/>
    <x v="3"/>
    <n v="111601"/>
    <n v="91876078.200000003"/>
    <n v="0"/>
    <n v="3.4917835168880727E-3"/>
    <n v="0"/>
    <n v="4.1105"/>
    <n v="0"/>
    <n v="1.8353268613137857E-3"/>
    <n v="374601509.62"/>
    <n v="0"/>
    <n v="1.5699999999999999E-2"/>
    <n v="0"/>
    <n v="0"/>
    <n v="0.18353268613137858"/>
  </r>
  <r>
    <s v="CAS 2013-C01"/>
    <x v="0"/>
    <n v="26161767480.869999"/>
    <x v="4"/>
    <n v="111178"/>
    <n v="68609285.680000007"/>
    <n v="0"/>
    <n v="2.6225019288229844E-3"/>
    <n v="0"/>
    <n v="3.1019999999999999"/>
    <n v="0"/>
    <n v="1.8425246220557345E-3"/>
    <n v="443210795.30000001"/>
    <n v="0"/>
    <n v="1.8599999999999998E-2"/>
    <n v="0"/>
    <n v="0"/>
    <n v="0.18425246220557345"/>
  </r>
  <r>
    <s v="CAS 2013-C01"/>
    <x v="0"/>
    <n v="26037568753.439999"/>
    <x v="5"/>
    <n v="110866"/>
    <n v="65888854.789999999"/>
    <n v="2046622.44"/>
    <n v="2.5305302278383797E-3"/>
    <n v="7.8602670601862808E-5"/>
    <n v="2.9946999999999999"/>
    <n v="9.4200000000000006E-2"/>
    <n v="2.6056904779574101E-3"/>
    <n v="509099650.08999997"/>
    <n v="2046622.44"/>
    <n v="2.1299999999999999E-2"/>
    <n v="0"/>
    <n v="0"/>
    <n v="0.26056904779574103"/>
  </r>
  <r>
    <s v="CAS 2013-C01"/>
    <x v="0"/>
    <n v="25917245814.150002"/>
    <x v="6"/>
    <n v="110555"/>
    <n v="91429386.430000007"/>
    <n v="1708022.36"/>
    <n v="3.5277431516308124E-3"/>
    <n v="6.5902927041247322E-5"/>
    <n v="4.1520999999999999"/>
    <n v="7.9000000000000001E-2"/>
    <n v="1.8181531455118249E-3"/>
    <n v="600529036.51999998"/>
    <n v="3754644.8"/>
    <n v="2.52E-2"/>
    <n v="1E-4"/>
    <n v="0.01"/>
    <n v="0.18181531455118249"/>
  </r>
  <r>
    <s v="CAS 2013-C01"/>
    <x v="0"/>
    <n v="25765809112.639999"/>
    <x v="7"/>
    <n v="110129"/>
    <n v="104346597.17"/>
    <n v="702953.28"/>
    <n v="4.0498086713997433E-3"/>
    <n v="2.7282406577139097E-5"/>
    <n v="4.7529000000000003"/>
    <n v="3.27E-2"/>
    <n v="2.2061384116252888E-3"/>
    <n v="704875633.69000006"/>
    <n v="4457598.08"/>
    <n v="2.9600000000000001E-2"/>
    <n v="1E-4"/>
    <n v="0.01"/>
    <n v="0.22061384116252888"/>
  </r>
  <r>
    <s v="CAS 2013-C01"/>
    <x v="0"/>
    <n v="25607096783.540001"/>
    <x v="8"/>
    <n v="109655"/>
    <n v="124529392.61"/>
    <n v="1305976.54"/>
    <n v="4.8630812646456006E-3"/>
    <n v="5.1000570312190539E-5"/>
    <n v="5.6821000000000002"/>
    <n v="6.1100000000000002E-2"/>
    <n v="2.1459917379358299E-3"/>
    <n v="829405026.29999995"/>
    <n v="5763574.6200000001"/>
    <n v="3.4799999999999998E-2"/>
    <n v="2.0000000000000001E-4"/>
    <n v="0.02"/>
    <n v="0.21459917379358298"/>
  </r>
  <r>
    <s v="CAS 2013-C01"/>
    <x v="0"/>
    <n v="25425549560.389999"/>
    <x v="9"/>
    <n v="109076"/>
    <n v="151885909.13"/>
    <n v="3114323.4"/>
    <n v="5.9737512760243451E-3"/>
    <n v="1.224879482979494E-4"/>
    <n v="6.9375999999999998"/>
    <n v="0.14680000000000001"/>
    <n v="2.6950207659129531E-3"/>
    <n v="981290935.42999995"/>
    <n v="8877898.0199999996"/>
    <n v="4.1200000000000001E-2"/>
    <n v="2.9999999999999997E-4"/>
    <n v="0.03"/>
    <n v="0.26950207659129533"/>
  </r>
  <r>
    <s v="CAS 2013-C01"/>
    <x v="0"/>
    <n v="25217710557.66"/>
    <x v="10"/>
    <n v="108391"/>
    <n v="162116066.22"/>
    <n v="2551918.08"/>
    <n v="6.4286591698847328E-3"/>
    <n v="1.01195470309054E-4"/>
    <n v="7.4473000000000003"/>
    <n v="0.12130000000000001"/>
    <n v="2.3430323611217901E-3"/>
    <n v="1143407001.6500001"/>
    <n v="11429816.1"/>
    <n v="4.8000000000000001E-2"/>
    <n v="4.0000000000000002E-4"/>
    <n v="0.04"/>
    <n v="0.23430323611217901"/>
  </r>
  <r>
    <s v="CAS 2013-C01"/>
    <x v="0"/>
    <n v="24997891481.099998"/>
    <x v="11"/>
    <n v="107670"/>
    <n v="135943341.05000001"/>
    <n v="1209511.06"/>
    <n v="5.4381923032501295E-3"/>
    <n v="4.8384523187264314E-5"/>
    <n v="6.3341000000000003"/>
    <n v="5.8000000000000003E-2"/>
    <n v="3.2157919259221709E-3"/>
    <n v="1279350342.7"/>
    <n v="12639327.16"/>
    <n v="5.3699999999999998E-2"/>
    <n v="5.0000000000000001E-4"/>
    <n v="0.05"/>
    <n v="0.32157919259221707"/>
  </r>
  <r>
    <s v="CAS 2013-C01"/>
    <x v="0"/>
    <n v="24803932211.459999"/>
    <x v="12"/>
    <n v="107044"/>
    <n v="126700830.09999999"/>
    <n v="2581019.2200000002"/>
    <n v="5.1080945158147638E-3"/>
    <n v="1.0405685671111085E-4"/>
    <n v="5.9603999999999999"/>
    <n v="0.12470000000000001"/>
    <n v="2.8278845427416725E-3"/>
    <n v="1406051172.8"/>
    <n v="15220346.380000001"/>
    <n v="5.8999999999999997E-2"/>
    <n v="5.9999999999999995E-4"/>
    <n v="0.06"/>
    <n v="0.28278845427416727"/>
  </r>
  <r>
    <s v="CAS 2013-C01"/>
    <x v="0"/>
    <n v="24621761296.279999"/>
    <x v="13"/>
    <n v="106434"/>
    <n v="129185094.20999999"/>
    <n v="2233232.02"/>
    <n v="5.2467852585963478E-3"/>
    <n v="9.070155433345907E-5"/>
    <n v="6.1174999999999997"/>
    <n v="0.1087"/>
    <n v="2.2772378590345333E-3"/>
    <n v="1535236267.01"/>
    <n v="17453578.399999999"/>
    <n v="6.4500000000000002E-2"/>
    <n v="6.9999999999999999E-4"/>
    <n v="6.9999999999999993E-2"/>
    <n v="0.22772378590345332"/>
  </r>
  <r>
    <s v="CAS 2013-C01"/>
    <x v="0"/>
    <n v="24446640448.889999"/>
    <x v="14"/>
    <n v="105881"/>
    <n v="118410766.45999999"/>
    <n v="2446511.1800000002"/>
    <n v="4.8436416736916685E-3"/>
    <n v="1.0007555783032281E-4"/>
    <n v="5.66"/>
    <n v="0.12"/>
    <n v="3.7744991817143404E-3"/>
    <n v="1653647033.47"/>
    <n v="19900089.579999998"/>
    <n v="6.9400000000000003E-2"/>
    <n v="8.0000000000000004E-4"/>
    <n v="0.08"/>
    <n v="0.37744991817143403"/>
  </r>
  <r>
    <s v="CAS 2013-C01"/>
    <x v="0"/>
    <n v="24251783624.860001"/>
    <x v="15"/>
    <n v="105257"/>
    <n v="148667416.90000001"/>
    <n v="2740161.88"/>
    <n v="6.1301642468723052E-3"/>
    <n v="1.1298805573999584E-4"/>
    <n v="7.1131000000000002"/>
    <n v="0.13550000000000001"/>
    <n v="2.9054556048310762E-3"/>
    <n v="1802314450.3699999"/>
    <n v="22640251.460000001"/>
    <n v="7.5700000000000003E-2"/>
    <n v="8.9999999999999998E-4"/>
    <n v="0.09"/>
    <n v="0.29054556048310765"/>
  </r>
  <r>
    <s v="CAS 2013-C01"/>
    <x v="0"/>
    <n v="24042945364.34"/>
    <x v="16"/>
    <n v="104606"/>
    <n v="108942534.83"/>
    <n v="4300651.96"/>
    <n v="4.5311642637420506E-3"/>
    <n v="1.7887375672277816E-4"/>
    <n v="5.3038999999999996"/>
    <n v="0.21440000000000001"/>
    <n v="3.0886506318040918E-3"/>
    <n v="1911256985.2"/>
    <n v="26940903.420000002"/>
    <n v="8.0299999999999996E-2"/>
    <n v="1.1000000000000001E-3"/>
    <n v="0.11"/>
    <n v="0.30886506318040918"/>
  </r>
  <r>
    <s v="CAS 2013-C01"/>
    <x v="0"/>
    <n v="23876871433.98"/>
    <x v="17"/>
    <n v="104114"/>
    <n v="175047012.88999999"/>
    <n v="1791391.9"/>
    <n v="7.331237401600469E-3"/>
    <n v="7.5026240558912101E-5"/>
    <n v="8.4512"/>
    <n v="8.9899999999999994E-2"/>
    <n v="3.7508383025653233E-3"/>
    <n v="2086303998.0899999"/>
    <n v="28732295.32"/>
    <n v="8.7599999999999997E-2"/>
    <n v="1.1999999999999999E-3"/>
    <n v="0.12"/>
    <n v="0.37508383025653236"/>
  </r>
  <r>
    <s v="CAS 2013-C01"/>
    <x v="0"/>
    <n v="23647481523.689999"/>
    <x v="18"/>
    <n v="103408"/>
    <n v="213494396.22999999"/>
    <n v="1048348.82"/>
    <n v="9.0282086071669723E-3"/>
    <n v="4.4332366596830456E-5"/>
    <n v="10.3117"/>
    <n v="5.3100000000000001E-2"/>
    <n v="2.4624190783980649E-3"/>
    <n v="2299798394.3200002"/>
    <n v="29780644.140000001"/>
    <n v="9.6600000000000005E-2"/>
    <n v="1.1999999999999999E-3"/>
    <n v="0.12"/>
    <n v="0.24624190783980648"/>
  </r>
  <r>
    <s v="CAS 2013-C01"/>
    <x v="0"/>
    <n v="23377540396.630001"/>
    <x v="19"/>
    <n v="102556"/>
    <n v="192801615.09999999"/>
    <n v="3972137"/>
    <n v="8.2473011201723082E-3"/>
    <n v="1.6991252854695548E-4"/>
    <n v="9.4598999999999993"/>
    <n v="0.20369999999999999"/>
    <n v="2.3931955980307095E-3"/>
    <n v="2492600009.4200001"/>
    <n v="33752781.140000001"/>
    <n v="0.1047"/>
    <n v="1.4E-3"/>
    <n v="0.13999999999999999"/>
    <n v="0.23931955980307096"/>
  </r>
  <r>
    <s v="CAS 2013-C01"/>
    <x v="0"/>
    <n v="23126993470.470001"/>
    <x v="20"/>
    <n v="101722"/>
    <n v="216427799.97999999"/>
    <n v="3058711.84"/>
    <n v="9.3582332807914965E-3"/>
    <n v="1.3225721898981618E-4"/>
    <n v="10.669499999999999"/>
    <n v="0.1585"/>
    <n v="2.9656464004962661E-3"/>
    <n v="2709027809.4000001"/>
    <n v="36811492.979999997"/>
    <n v="0.1138"/>
    <n v="1.5E-3"/>
    <n v="0.15"/>
    <n v="0.29656464004962663"/>
  </r>
  <r>
    <s v="CAS 2013-C01"/>
    <x v="0"/>
    <n v="22856811045.470001"/>
    <x v="21"/>
    <n v="100794"/>
    <n v="247420641.97"/>
    <n v="3928628.82"/>
    <n v="1.0824810227367058E-2"/>
    <n v="1.7188000601591429E-4"/>
    <n v="12.243600000000001"/>
    <n v="0.20599999999999999"/>
    <n v="3.0335928429413243E-3"/>
    <n v="2956448451.3699999"/>
    <n v="40740121.799999997"/>
    <n v="0.1242"/>
    <n v="1.6999999999999999E-3"/>
    <n v="0.16999999999999998"/>
    <n v="0.30335928429413245"/>
  </r>
  <r>
    <s v="CAS 2013-C01"/>
    <x v="0"/>
    <n v="22552166894.040001"/>
    <x v="22"/>
    <n v="99706"/>
    <n v="204301313.15000001"/>
    <n v="2548351.7200000002"/>
    <n v="9.0590546846295271E-3"/>
    <n v="1.1299808714494164E-4"/>
    <n v="10.3452"/>
    <n v="0.13550000000000001"/>
    <n v="2.5656643697192292E-3"/>
    <n v="3160749764.52"/>
    <n v="43288473.520000003"/>
    <n v="0.1328"/>
    <n v="1.8E-3"/>
    <n v="0.18"/>
    <n v="0.25656643697192294"/>
  </r>
  <r>
    <s v="CAS 2013-C01"/>
    <x v="0"/>
    <n v="22287317825.32"/>
    <x v="23"/>
    <n v="98782"/>
    <n v="185978867.69"/>
    <n v="129872"/>
    <n v="8.3446051762547484E-3"/>
    <n v="5.8271704571133294E-6"/>
    <n v="9.5663999999999998"/>
    <n v="6.8999999999999999E-3"/>
    <n v="3.0463382454602372E-3"/>
    <n v="3346728632.21"/>
    <n v="43418345.520000003"/>
    <n v="0.1406"/>
    <n v="1.8E-3"/>
    <n v="0.18"/>
    <n v="0.30463382454602372"/>
  </r>
  <r>
    <s v="CAS 2014-C01"/>
    <x v="1"/>
    <n v="29308718889.77"/>
    <x v="3"/>
    <n v="122291"/>
    <n v="81788706.739999995"/>
    <n v="0"/>
    <n v="2.7905930330017858E-3"/>
    <n v="0"/>
    <n v="3.2976999999999999"/>
    <n v="0"/>
    <n v="1.4466061276666303E-3"/>
    <n v="81788706.739999995"/>
    <n v="0"/>
    <n v="3.0000000000000001E-3"/>
    <n v="0"/>
    <n v="0"/>
    <n v="0.14466061276666303"/>
  </r>
  <r>
    <s v="CAS 2014-C01"/>
    <x v="1"/>
    <n v="29163882168.77"/>
    <x v="4"/>
    <n v="121923"/>
    <n v="60596653.399999999"/>
    <n v="0"/>
    <n v="2.077797909391145E-3"/>
    <n v="0"/>
    <n v="2.4649999999999999"/>
    <n v="0"/>
    <n v="1.6038141677889206E-3"/>
    <n v="142385360.13999999"/>
    <n v="0"/>
    <n v="5.1999999999999998E-3"/>
    <n v="0"/>
    <n v="0"/>
    <n v="0.16038141677889206"/>
  </r>
  <r>
    <s v="CAS 2014-C01"/>
    <x v="1"/>
    <n v="29040913330.150002"/>
    <x v="5"/>
    <n v="121654"/>
    <n v="66415459.869999997"/>
    <n v="0"/>
    <n v="2.2869618153864364E-3"/>
    <n v="0"/>
    <n v="2.71"/>
    <n v="0"/>
    <n v="2.6455428789919247E-3"/>
    <n v="208800820.00999999"/>
    <n v="0"/>
    <n v="7.7000000000000002E-3"/>
    <n v="0"/>
    <n v="0"/>
    <n v="0.26455428789919244"/>
  </r>
  <r>
    <s v="CAS 2014-C01"/>
    <x v="1"/>
    <n v="28914638991.330002"/>
    <x v="6"/>
    <n v="121357"/>
    <n v="89637199.939999998"/>
    <n v="0"/>
    <n v="3.1000629116233317E-3"/>
    <n v="0"/>
    <n v="3.6572"/>
    <n v="0"/>
    <n v="1.7458782720799926E-3"/>
    <n v="298438019.94999999"/>
    <n v="0"/>
    <n v="1.0999999999999999E-2"/>
    <n v="0"/>
    <n v="0"/>
    <n v="0.17458782720799926"/>
  </r>
  <r>
    <s v="CAS 2014-C01"/>
    <x v="1"/>
    <n v="28762301298.98"/>
    <x v="7"/>
    <n v="120935"/>
    <n v="103088744.77"/>
    <n v="0"/>
    <n v="3.5841619103564515E-3"/>
    <n v="0"/>
    <n v="4.2172000000000001"/>
    <n v="0"/>
    <n v="1.9816911841480963E-3"/>
    <n v="401526764.72000003"/>
    <n v="0"/>
    <n v="1.49E-2"/>
    <n v="0"/>
    <n v="0"/>
    <n v="0.19816911841480964"/>
  </r>
  <r>
    <s v="CAS 2014-C01"/>
    <x v="1"/>
    <n v="28596819827.349998"/>
    <x v="8"/>
    <n v="120462"/>
    <n v="118631691.34999999"/>
    <n v="1936445.1"/>
    <n v="4.1484225192250446E-3"/>
    <n v="6.7715400233000169E-5"/>
    <n v="4.8659999999999997"/>
    <n v="8.1199999999999994E-2"/>
    <n v="2.4657220126471022E-3"/>
    <n v="520158456.06999999"/>
    <n v="1936445.1"/>
    <n v="1.9300000000000001E-2"/>
    <n v="0"/>
    <n v="0"/>
    <n v="0.24657220126471022"/>
  </r>
  <r>
    <s v="CAS 2014-C01"/>
    <x v="1"/>
    <n v="28414328197.450001"/>
    <x v="9"/>
    <n v="119902"/>
    <n v="143548976.56999999"/>
    <n v="348611.28"/>
    <n v="5.0519926275393191E-3"/>
    <n v="1.2268855261244064E-5"/>
    <n v="5.8967000000000001"/>
    <n v="1.47E-2"/>
    <n v="2.5690822680281126E-3"/>
    <n v="663707432.63999999"/>
    <n v="2285056.38"/>
    <n v="2.46E-2"/>
    <n v="0"/>
    <n v="0"/>
    <n v="0.25690822680281128"/>
  </r>
  <r>
    <s v="CAS 2014-C01"/>
    <x v="1"/>
    <n v="28211301806.450001"/>
    <x v="10"/>
    <n v="119273"/>
    <n v="144073902.74000001"/>
    <n v="1506911.2"/>
    <n v="5.1069569113985419E-3"/>
    <n v="5.3415160007095887E-5"/>
    <n v="5.9591000000000003"/>
    <n v="6.4000000000000001E-2"/>
    <n v="2.1614929062244966E-3"/>
    <n v="807781335.38"/>
    <n v="3791967.58"/>
    <n v="2.9899999999999999E-2"/>
    <n v="1E-4"/>
    <n v="0.01"/>
    <n v="0.21614929062244967"/>
  </r>
  <r>
    <s v="CAS 2014-C01"/>
    <x v="1"/>
    <n v="28005174186.860001"/>
    <x v="11"/>
    <n v="118643"/>
    <n v="138027805.09"/>
    <n v="1301795.46"/>
    <n v="4.9286536898157382E-3"/>
    <n v="4.648410509122279E-5"/>
    <n v="5.7565999999999997"/>
    <n v="5.57E-2"/>
    <n v="2.5245635138085578E-3"/>
    <n v="945809140.47000003"/>
    <n v="5093763.04"/>
    <n v="3.5099999999999999E-2"/>
    <n v="1E-4"/>
    <n v="0.01"/>
    <n v="0.25245635138085576"/>
  </r>
  <r>
    <s v="CAS 2014-C01"/>
    <x v="1"/>
    <n v="27804665611.41"/>
    <x v="12"/>
    <n v="118028"/>
    <n v="136813172.68000001"/>
    <n v="926858.96"/>
    <n v="4.9205113484212144E-3"/>
    <n v="3.3334655879466918E-5"/>
    <n v="5.7473999999999998"/>
    <n v="3.9899999999999998E-2"/>
    <n v="2.3099968392945873E-3"/>
    <n v="1082622313.1500001"/>
    <n v="6020622"/>
    <n v="4.0099999999999997E-2"/>
    <n v="2.0000000000000001E-4"/>
    <n v="0.02"/>
    <n v="0.23099968392945874"/>
  </r>
  <r>
    <s v="CAS 2014-C01"/>
    <x v="1"/>
    <n v="27610198140.490002"/>
    <x v="13"/>
    <n v="117408"/>
    <n v="140168333.41999999"/>
    <n v="3130822.34"/>
    <n v="5.0766869801794337E-3"/>
    <n v="1.1339369330380463E-4"/>
    <n v="5.9246999999999996"/>
    <n v="0.13589999999999999"/>
    <n v="2.1630695718339418E-3"/>
    <n v="1222790646.5699999"/>
    <n v="9151444.3399999999"/>
    <n v="4.53E-2"/>
    <n v="2.9999999999999997E-4"/>
    <n v="0.03"/>
    <n v="0.21630695718339418"/>
  </r>
  <r>
    <s v="CAS 2014-C01"/>
    <x v="1"/>
    <n v="27412672010.02"/>
    <x v="14"/>
    <n v="116783"/>
    <n v="108389657.33"/>
    <n v="2263122.1800000002"/>
    <n v="3.9539982563677458E-3"/>
    <n v="8.2557518623969741E-5"/>
    <n v="4.6429"/>
    <n v="9.9000000000000005E-2"/>
    <n v="3.311392956761743E-3"/>
    <n v="1331180303.9000001"/>
    <n v="11414566.52"/>
    <n v="4.9399999999999999E-2"/>
    <n v="4.0000000000000002E-4"/>
    <n v="0.04"/>
    <n v="0.33113929567617428"/>
  </r>
  <r>
    <s v="CAS 2014-C01"/>
    <x v="1"/>
    <n v="27226909303.889999"/>
    <x v="15"/>
    <n v="116192"/>
    <n v="137519381.90000001"/>
    <n v="2911722.7"/>
    <n v="5.0508627463034207E-3"/>
    <n v="1.0694282878387494E-4"/>
    <n v="5.8954000000000004"/>
    <n v="0.12820000000000001"/>
    <n v="2.4962508847924795E-3"/>
    <n v="1468699685.8"/>
    <n v="14326289.220000001"/>
    <n v="5.45E-2"/>
    <n v="5.0000000000000001E-4"/>
    <n v="0.05"/>
    <n v="0.24962508847924794"/>
  </r>
  <r>
    <s v="CAS 2014-C01"/>
    <x v="1"/>
    <n v="27020671478.509998"/>
    <x v="16"/>
    <n v="115574"/>
    <n v="102937438.73999999"/>
    <n v="1709538.34"/>
    <n v="3.809581076542376E-3"/>
    <n v="6.3267796337319928E-5"/>
    <n v="4.4768999999999997"/>
    <n v="7.5800000000000006E-2"/>
    <n v="2.6892607497852974E-3"/>
    <n v="1571637124.54"/>
    <n v="16035827.560000001"/>
    <n v="5.8299999999999998E-2"/>
    <n v="5.0000000000000001E-4"/>
    <n v="0.05"/>
    <n v="0.26892607497852972"/>
  </r>
  <r>
    <s v="CAS 2014-C01"/>
    <x v="1"/>
    <n v="26855883843.48"/>
    <x v="17"/>
    <n v="115116"/>
    <n v="137839100.97"/>
    <n v="1677767.64"/>
    <n v="5.1325475554387387E-3"/>
    <n v="6.2473000321950823E-5"/>
    <n v="5.9881000000000002"/>
    <n v="7.4899999999999994E-2"/>
    <n v="3.3107999516309499E-3"/>
    <n v="1709476225.51"/>
    <n v="17713595.199999999"/>
    <n v="6.3399999999999998E-2"/>
    <n v="5.9999999999999995E-4"/>
    <n v="0.06"/>
    <n v="0.331079995163095"/>
  </r>
  <r>
    <s v="CAS 2014-C01"/>
    <x v="1"/>
    <n v="26659350321.040001"/>
    <x v="18"/>
    <n v="114538"/>
    <n v="185573312.34"/>
    <n v="3688502.64"/>
    <n v="6.960909028362273E-3"/>
    <n v="1.3835680898378731E-4"/>
    <n v="8.0404999999999998"/>
    <n v="0.16589999999999999"/>
    <n v="2.3502495250437797E-3"/>
    <n v="1895049537.8499999"/>
    <n v="21402097.84"/>
    <n v="7.0300000000000001E-2"/>
    <n v="6.9999999999999999E-4"/>
    <n v="6.9999999999999993E-2"/>
    <n v="0.23502495250437797"/>
  </r>
  <r>
    <s v="CAS 2014-C01"/>
    <x v="1"/>
    <n v="26407541267.279999"/>
    <x v="19"/>
    <n v="113774"/>
    <n v="182480570.16"/>
    <n v="2204783.42"/>
    <n v="6.9101688912667049E-3"/>
    <n v="8.3490674034534786E-5"/>
    <n v="7.9840999999999998"/>
    <n v="0.10009999999999999"/>
    <n v="2.4402783014807177E-3"/>
    <n v="2077530108.01"/>
    <n v="23606881.260000002"/>
    <n v="7.7100000000000002E-2"/>
    <n v="8.0000000000000004E-4"/>
    <n v="0.08"/>
    <n v="0.24402783014807178"/>
  </r>
  <r>
    <s v="CAS 2014-C01"/>
    <x v="1"/>
    <n v="26164219727.82"/>
    <x v="20"/>
    <n v="112990"/>
    <n v="195881338.02000001"/>
    <n v="2644253.58"/>
    <n v="7.4866111069890797E-3"/>
    <n v="1.0106372777432407E-4"/>
    <n v="8.6229999999999993"/>
    <n v="0.1212"/>
    <n v="3.0041318746618327E-3"/>
    <n v="2273411446.0300002"/>
    <n v="26251134.84"/>
    <n v="8.4400000000000003E-2"/>
    <n v="8.9999999999999998E-4"/>
    <n v="0.09"/>
    <n v="0.30041318746618328"/>
  </r>
  <r>
    <s v="CAS 2014-C01"/>
    <x v="1"/>
    <n v="25906805251.299999"/>
    <x v="21"/>
    <n v="112119"/>
    <n v="247454763.78"/>
    <n v="1821070.22"/>
    <n v="9.5517282574848848E-3"/>
    <n v="7.0293121916629176E-5"/>
    <n v="10.8786"/>
    <n v="8.43E-2"/>
    <n v="2.4920693842310142E-3"/>
    <n v="2520866209.8099999"/>
    <n v="28072205.059999999"/>
    <n v="9.35E-2"/>
    <n v="1E-3"/>
    <n v="0.1"/>
    <n v="0.2492069384231014"/>
  </r>
  <r>
    <s v="CAS 2014-C01"/>
    <x v="1"/>
    <n v="25596893189.029999"/>
    <x v="22"/>
    <n v="111028"/>
    <n v="195822688.66"/>
    <n v="975212.96"/>
    <n v="7.6502522088861651E-3"/>
    <n v="3.8098879922581569E-5"/>
    <n v="8.8036999999999992"/>
    <n v="4.5699999999999998E-2"/>
    <n v="2.3781053685096366E-3"/>
    <n v="2716688898.4699998"/>
    <n v="29047418.02"/>
    <n v="0.1008"/>
    <n v="1E-3"/>
    <n v="0.1"/>
    <n v="0.23781053685096365"/>
  </r>
  <r>
    <s v="CAS 2014-C01"/>
    <x v="1"/>
    <n v="25338102376.299999"/>
    <x v="23"/>
    <n v="110134"/>
    <n v="179967008.38999999"/>
    <n v="2255102.7599999998"/>
    <n v="7.1026237765276449E-3"/>
    <n v="8.9000459723033996E-5"/>
    <n v="8.1979000000000006"/>
    <n v="0.1067"/>
    <n v="2.6326349274045655E-3"/>
    <n v="2896655906.8600001"/>
    <n v="31302520.780000001"/>
    <n v="0.1075"/>
    <n v="1.1000000000000001E-3"/>
    <n v="0.11"/>
    <n v="0.26326349274045657"/>
  </r>
  <r>
    <s v="CAS 2014-C02"/>
    <x v="2"/>
    <n v="46843320654.029999"/>
    <x v="7"/>
    <n v="192365"/>
    <n v="165807316.66"/>
    <n v="0"/>
    <n v="3.5396149193734701E-3"/>
    <n v="0"/>
    <n v="4.1657999999999999"/>
    <n v="0"/>
    <n v="1.3427046482151752E-3"/>
    <n v="165807316.66"/>
    <n v="0"/>
    <n v="3.7000000000000002E-3"/>
    <n v="0"/>
    <n v="0"/>
    <n v="0.13427046482151753"/>
  </r>
  <r>
    <s v="CAS 2014-C02"/>
    <x v="2"/>
    <n v="46579971572.120003"/>
    <x v="8"/>
    <n v="191641"/>
    <n v="195256974.13"/>
    <n v="0"/>
    <n v="4.1918654636292048E-3"/>
    <n v="0"/>
    <n v="4.9157999999999999"/>
    <n v="0"/>
    <n v="1.8740335147015858E-3"/>
    <n v="361064290.79000002"/>
    <n v="0"/>
    <n v="8.2000000000000007E-3"/>
    <n v="0"/>
    <n v="0"/>
    <n v="0.18740335147015857"/>
  </r>
  <r>
    <s v="CAS 2014-C02"/>
    <x v="2"/>
    <n v="46283604208.870003"/>
    <x v="9"/>
    <n v="190795"/>
    <n v="238683649.77000001"/>
    <n v="0"/>
    <n v="5.1569806165669696E-3"/>
    <n v="0"/>
    <n v="6.0157999999999996"/>
    <n v="0"/>
    <n v="2.0110733018964366E-3"/>
    <n v="599747940.55999994"/>
    <n v="0"/>
    <n v="1.37E-2"/>
    <n v="0"/>
    <n v="0"/>
    <n v="0.20110733018964366"/>
  </r>
  <r>
    <s v="CAS 2014-C02"/>
    <x v="2"/>
    <n v="45948352311.720001"/>
    <x v="10"/>
    <n v="189785"/>
    <n v="228148991.03999999"/>
    <n v="0"/>
    <n v="4.9653356336306813E-3"/>
    <n v="0"/>
    <n v="5.7983000000000002"/>
    <n v="0"/>
    <n v="1.949034500790082E-3"/>
    <n v="827896931.60000002"/>
    <n v="0"/>
    <n v="1.89E-2"/>
    <n v="0"/>
    <n v="0"/>
    <n v="0.19490345007900819"/>
  </r>
  <r>
    <s v="CAS 2014-C02"/>
    <x v="2"/>
    <n v="45618170579.690002"/>
    <x v="11"/>
    <n v="188791"/>
    <n v="223950815.03"/>
    <n v="0"/>
    <n v="4.9092458593617255E-3"/>
    <n v="0"/>
    <n v="5.7346000000000004"/>
    <n v="0"/>
    <n v="2.1721218690018184E-3"/>
    <n v="1051847746.63"/>
    <n v="0"/>
    <n v="2.4E-2"/>
    <n v="0"/>
    <n v="0"/>
    <n v="0.21721218690018185"/>
  </r>
  <r>
    <s v="CAS 2014-C02"/>
    <x v="2"/>
    <n v="45294657107.650002"/>
    <x v="12"/>
    <n v="187837"/>
    <n v="203112565.75"/>
    <n v="1260958.8400000001"/>
    <n v="4.4842499915005536E-3"/>
    <n v="2.7839019445563516E-5"/>
    <n v="5.2503000000000002"/>
    <n v="3.3399999999999999E-2"/>
    <n v="1.8638694824282354E-3"/>
    <n v="1254960312.3800001"/>
    <n v="1260958.8400000001"/>
    <n v="2.86E-2"/>
    <n v="0"/>
    <n v="0"/>
    <n v="0.18638694824282354"/>
  </r>
  <r>
    <s v="CAS 2014-C02"/>
    <x v="2"/>
    <n v="44993137595.93"/>
    <x v="13"/>
    <n v="186908"/>
    <n v="195129035.28999999"/>
    <n v="1178629.1200000001"/>
    <n v="4.3368621464543299E-3"/>
    <n v="2.6195753018714053E-5"/>
    <n v="5.0818000000000003"/>
    <n v="3.1399999999999997E-2"/>
    <n v="1.936603912190422E-3"/>
    <n v="1450089347.6700001"/>
    <n v="2439587.96"/>
    <n v="3.3099999999999997E-2"/>
    <n v="0"/>
    <n v="0"/>
    <n v="0.19366039121904219"/>
  </r>
  <r>
    <s v="CAS 2014-C02"/>
    <x v="2"/>
    <n v="44694263389.889999"/>
    <x v="14"/>
    <n v="186019"/>
    <n v="168218044.28999999"/>
    <n v="2558821.7599999998"/>
    <n v="3.7637502339517583E-3"/>
    <n v="5.7251682115848774E-5"/>
    <n v="4.4241000000000001"/>
    <n v="6.8599999999999994E-2"/>
    <n v="2.9607158396514222E-3"/>
    <n v="1618307391.96"/>
    <n v="4998409.72"/>
    <n v="3.6900000000000002E-2"/>
    <n v="1E-4"/>
    <n v="0.01"/>
    <n v="0.29607158396514222"/>
  </r>
  <r>
    <s v="CAS 2014-C02"/>
    <x v="2"/>
    <n v="44431859263.57"/>
    <x v="15"/>
    <n v="185268"/>
    <n v="210201779.44"/>
    <n v="2116094.7400000002"/>
    <n v="4.7308796643661041E-3"/>
    <n v="4.7625617632773727E-5"/>
    <n v="5.5316000000000001"/>
    <n v="5.7099999999999998E-2"/>
    <n v="2.2982101265279211E-3"/>
    <n v="1828509171.4000001"/>
    <n v="7114504.46"/>
    <n v="4.1700000000000001E-2"/>
    <n v="1E-4"/>
    <n v="0.01"/>
    <n v="0.22982101265279212"/>
  </r>
  <r>
    <s v="CAS 2014-C02"/>
    <x v="2"/>
    <n v="44113173116.290001"/>
    <x v="16"/>
    <n v="184338"/>
    <n v="142943567.43000001"/>
    <n v="2657234.34"/>
    <n v="3.2403828002391913E-3"/>
    <n v="6.0236753610878729E-5"/>
    <n v="3.8199000000000001"/>
    <n v="7.22E-2"/>
    <n v="2.3241742787289813E-3"/>
    <n v="1971452738.8299999"/>
    <n v="9771738.8000000007"/>
    <n v="4.4999999999999998E-2"/>
    <n v="2.0000000000000001E-4"/>
    <n v="0.02"/>
    <n v="0.23241742787289812"/>
  </r>
  <r>
    <s v="CAS 2014-C02"/>
    <x v="2"/>
    <n v="43870427920.269997"/>
    <x v="17"/>
    <n v="183704"/>
    <n v="217961876.55000001"/>
    <n v="3824525.7"/>
    <n v="4.9683097905067926E-3"/>
    <n v="8.7177761451305718E-5"/>
    <n v="5.8017000000000003"/>
    <n v="0.1045"/>
    <n v="2.9684572780250764E-3"/>
    <n v="2189414615.3800001"/>
    <n v="13596264.5"/>
    <n v="0.05"/>
    <n v="2.9999999999999997E-4"/>
    <n v="0.03"/>
    <n v="0.29684572780250762"/>
  </r>
  <r>
    <s v="CAS 2014-C02"/>
    <x v="2"/>
    <n v="43556458676.739998"/>
    <x v="18"/>
    <n v="182819"/>
    <n v="301601929.98000002"/>
    <n v="3529131.6"/>
    <n v="6.9243905299643041E-3"/>
    <n v="8.1024300579436804E-5"/>
    <n v="8"/>
    <n v="9.7100000000000006E-2"/>
    <n v="2.0173405986038838E-3"/>
    <n v="2491016545.3600001"/>
    <n v="17125396.100000001"/>
    <n v="5.6899999999999999E-2"/>
    <n v="2.9999999999999997E-4"/>
    <n v="0.03"/>
    <n v="0.20173405986038837"/>
  </r>
  <r>
    <s v="CAS 2014-C02"/>
    <x v="2"/>
    <n v="43152182496.449997"/>
    <x v="19"/>
    <n v="181564"/>
    <n v="292448720.48000002"/>
    <n v="2678773.96"/>
    <n v="6.7771478419210631E-3"/>
    <n v="6.2077369092985608E-5"/>
    <n v="7.8361000000000001"/>
    <n v="7.4399999999999994E-2"/>
    <n v="2.0857598680531267E-3"/>
    <n v="2783465265.8400002"/>
    <n v="19804170.059999999"/>
    <n v="6.3500000000000001E-2"/>
    <n v="4.0000000000000002E-4"/>
    <n v="0.04"/>
    <n v="0.20857598680531267"/>
  </r>
  <r>
    <s v="CAS 2014-C02"/>
    <x v="2"/>
    <n v="42758643582.669998"/>
    <x v="20"/>
    <n v="180323"/>
    <n v="313691639.17000002"/>
    <n v="2151534.84"/>
    <n v="7.3363327946431552E-3"/>
    <n v="5.0318126575746034E-5"/>
    <n v="8.4568999999999992"/>
    <n v="6.0299999999999999E-2"/>
    <n v="2.7373321371550233E-3"/>
    <n v="3097156905.0100002"/>
    <n v="21955704.899999999"/>
    <n v="7.0699999999999999E-2"/>
    <n v="5.0000000000000001E-4"/>
    <n v="0.05"/>
    <n v="0.27373321371550235"/>
  </r>
  <r>
    <s v="CAS 2014-C02"/>
    <x v="2"/>
    <n v="42349243357.739998"/>
    <x v="21"/>
    <n v="178982"/>
    <n v="382718550.42000002"/>
    <n v="2730456.82"/>
    <n v="9.0371992525824455E-3"/>
    <n v="6.4474748626198663E-5"/>
    <n v="10.3215"/>
    <n v="7.7299999999999994E-2"/>
    <n v="2.4753375621017061E-3"/>
    <n v="3479875455.4299998"/>
    <n v="24686161.719999999"/>
    <n v="7.9399999999999998E-2"/>
    <n v="5.0000000000000001E-4"/>
    <n v="0.05"/>
    <n v="0.2475337562101706"/>
  </r>
  <r>
    <s v="CAS 2014-C02"/>
    <x v="2"/>
    <n v="41865845019.120003"/>
    <x v="22"/>
    <n v="177353"/>
    <n v="340527554.31"/>
    <n v="2533020.8199999998"/>
    <n v="8.1337795559717502E-3"/>
    <n v="6.050327704703386E-5"/>
    <n v="9.3354999999999997"/>
    <n v="7.2499999999999995E-2"/>
    <n v="2.2512693792984648E-3"/>
    <n v="3820403009.7399998"/>
    <n v="27219182.539999999"/>
    <n v="8.72E-2"/>
    <n v="5.9999999999999995E-4"/>
    <n v="0.06"/>
    <n v="0.22512693792984648"/>
  </r>
  <r>
    <s v="CAS 2014-C02"/>
    <x v="2"/>
    <n v="41420736015.080002"/>
    <x v="23"/>
    <n v="175827"/>
    <n v="278990763.60000002"/>
    <n v="2240851.34"/>
    <n v="6.7355337070405547E-3"/>
    <n v="5.4099747024876038E-5"/>
    <n v="7.7897999999999996"/>
    <n v="6.4899999999999999E-2"/>
    <n v="2.4639493685685268E-3"/>
    <n v="4099393773.3400002"/>
    <n v="29460033.879999999"/>
    <n v="9.3600000000000003E-2"/>
    <n v="5.9999999999999995E-4"/>
    <n v="0.06"/>
    <n v="0.24639493685685268"/>
  </r>
  <r>
    <s v="CAS 2014-C02"/>
    <x v="3"/>
    <n v="13975158090.879999"/>
    <x v="7"/>
    <n v="62584"/>
    <n v="56666823.07"/>
    <n v="0"/>
    <n v="4.0548251906345166E-3"/>
    <n v="0"/>
    <n v="4.7587000000000002"/>
    <n v="0"/>
    <n v="1.6185182924521539E-3"/>
    <n v="56666823.07"/>
    <n v="0"/>
    <n v="4.4000000000000003E-3"/>
    <n v="0"/>
    <n v="0"/>
    <n v="0.16185182924521538"/>
  </r>
  <r>
    <s v="CAS 2014-C02"/>
    <x v="3"/>
    <n v="13891379324.02"/>
    <x v="8"/>
    <n v="62340"/>
    <n v="70110171.659999996"/>
    <n v="0"/>
    <n v="5.0470273703325059E-3"/>
    <n v="0"/>
    <n v="5.8910999999999998"/>
    <n v="0"/>
    <n v="2.0520279264644578E-3"/>
    <n v="126776994.73"/>
    <n v="0"/>
    <n v="9.9000000000000008E-3"/>
    <n v="0"/>
    <n v="0"/>
    <n v="0.20520279264644578"/>
  </r>
  <r>
    <s v="CAS 2014-C02"/>
    <x v="3"/>
    <n v="13793286662.5"/>
    <x v="9"/>
    <n v="62022"/>
    <n v="79825075.650000006"/>
    <n v="0"/>
    <n v="5.7872411125204507E-3"/>
    <n v="0"/>
    <n v="6.7278000000000002"/>
    <n v="0"/>
    <n v="2.5308105873638803E-3"/>
    <n v="206602070.38"/>
    <n v="0"/>
    <n v="1.6199999999999999E-2"/>
    <n v="0"/>
    <n v="0"/>
    <n v="0.25308105873638803"/>
  </r>
  <r>
    <s v="CAS 2014-C02"/>
    <x v="3"/>
    <n v="13686612088.84"/>
    <x v="10"/>
    <n v="61667"/>
    <n v="85075143.510000005"/>
    <n v="0"/>
    <n v="6.2159388282341894E-3"/>
    <n v="0"/>
    <n v="7.2092999999999998"/>
    <n v="0"/>
    <n v="2.5368214160399073E-3"/>
    <n v="291677213.88999999"/>
    <n v="0"/>
    <n v="2.29E-2"/>
    <n v="0"/>
    <n v="0"/>
    <n v="0.25368214160399072"/>
  </r>
  <r>
    <s v="CAS 2014-C02"/>
    <x v="3"/>
    <n v="13574009600.459999"/>
    <x v="11"/>
    <n v="61297"/>
    <n v="74278557.730000004"/>
    <n v="0"/>
    <n v="5.4721161923653588E-3"/>
    <n v="0"/>
    <n v="6.3723999999999998"/>
    <n v="0"/>
    <n v="3.7599228880956762E-3"/>
    <n v="365955771.62"/>
    <n v="0"/>
    <n v="2.8799999999999999E-2"/>
    <n v="0"/>
    <n v="0"/>
    <n v="0.37599228880956764"/>
  </r>
  <r>
    <s v="CAS 2014-C02"/>
    <x v="3"/>
    <n v="13472810534.33"/>
    <x v="12"/>
    <n v="60968"/>
    <n v="67600876.5"/>
    <n v="1459144.3"/>
    <n v="5.0175779083173888E-3"/>
    <n v="1.0830288871664615E-4"/>
    <n v="5.8575999999999997"/>
    <n v="0.1298"/>
    <n v="2.3359019107266807E-3"/>
    <n v="433556648.12"/>
    <n v="1459144.3"/>
    <n v="3.4099999999999998E-2"/>
    <n v="1E-4"/>
    <n v="0.01"/>
    <n v="0.23359019107266807"/>
  </r>
  <r>
    <s v="CAS 2014-C02"/>
    <x v="3"/>
    <n v="13376083076.65"/>
    <x v="13"/>
    <n v="60637"/>
    <n v="67743247.349999994"/>
    <n v="0"/>
    <n v="5.0645055777394357E-3"/>
    <n v="0"/>
    <n v="5.9108999999999998"/>
    <n v="0"/>
    <n v="2.8481514043901487E-3"/>
    <n v="501299895.47000003"/>
    <n v="1459144.3"/>
    <n v="3.95E-2"/>
    <n v="1E-4"/>
    <n v="0.01"/>
    <n v="0.28481514043901485"/>
  </r>
  <r>
    <s v="CAS 2014-C02"/>
    <x v="3"/>
    <n v="13280099854.23"/>
    <x v="14"/>
    <n v="60336"/>
    <n v="64996835.159999996"/>
    <n v="2212329.7200000002"/>
    <n v="4.8943031960182962E-3"/>
    <n v="1.6658984076052145E-4"/>
    <n v="5.7176"/>
    <n v="0.19969999999999999"/>
    <n v="4.3142013967425799E-3"/>
    <n v="566296730.63"/>
    <n v="3671474.02"/>
    <n v="4.4600000000000001E-2"/>
    <n v="2.0000000000000001E-4"/>
    <n v="0.02"/>
    <n v="0.43142013967425796"/>
  </r>
  <r>
    <s v="CAS 2014-C02"/>
    <x v="3"/>
    <n v="13188332853.969999"/>
    <x v="15"/>
    <n v="60034"/>
    <n v="79177605.450000003"/>
    <n v="219486.42"/>
    <n v="6.0036098820606936E-3"/>
    <n v="1.6642468948145284E-5"/>
    <n v="6.9710999999999999"/>
    <n v="1.9900000000000001E-2"/>
    <n v="3.4644909653039255E-3"/>
    <n v="645474336.08000004"/>
    <n v="3890960.44"/>
    <n v="5.0799999999999998E-2"/>
    <n v="2.9999999999999997E-4"/>
    <n v="0.03"/>
    <n v="0.34644909653039258"/>
  </r>
  <r>
    <s v="CAS 2014-C02"/>
    <x v="3"/>
    <n v="13080318246.98"/>
    <x v="16"/>
    <n v="59686"/>
    <n v="62545677.549999997"/>
    <n v="1456513.94"/>
    <n v="4.7816632874693723E-3"/>
    <n v="1.1135156748470411E-4"/>
    <n v="5.5894000000000004"/>
    <n v="0.13350000000000001"/>
    <n v="3.4956316778115707E-3"/>
    <n v="708020013.63"/>
    <n v="5347474.38"/>
    <n v="5.57E-2"/>
    <n v="4.0000000000000002E-4"/>
    <n v="0.04"/>
    <n v="0.34956316778115709"/>
  </r>
  <r>
    <s v="CAS 2014-C02"/>
    <x v="3"/>
    <n v="12990420429.969999"/>
    <x v="17"/>
    <n v="59408"/>
    <n v="94297430.280000001"/>
    <n v="1909803.74"/>
    <n v="7.2589975658099446E-3"/>
    <n v="1.47016314852591E-4"/>
    <n v="8.3712999999999997"/>
    <n v="0.1762"/>
    <n v="4.6285386207580081E-3"/>
    <n v="802317443.90999997"/>
    <n v="7257278.1200000001"/>
    <n v="6.3200000000000006E-2"/>
    <n v="5.0000000000000001E-4"/>
    <n v="0.05"/>
    <n v="0.46285386207580081"/>
  </r>
  <r>
    <s v="CAS 2014-C02"/>
    <x v="3"/>
    <n v="12870226426.299999"/>
    <x v="18"/>
    <n v="59020"/>
    <n v="129449554.43000001"/>
    <n v="3323702.04"/>
    <n v="1.005806348250975E-2"/>
    <n v="2.5824736332595474E-4"/>
    <n v="11.4238"/>
    <n v="0.30940000000000001"/>
    <n v="3.081467983263868E-3"/>
    <n v="931766998.34000003"/>
    <n v="10580980.16"/>
    <n v="7.3400000000000007E-2"/>
    <n v="8.0000000000000004E-4"/>
    <n v="0.08"/>
    <n v="0.30814679832638681"/>
  </r>
  <r>
    <s v="CAS 2014-C02"/>
    <x v="3"/>
    <n v="12710851299.17"/>
    <x v="19"/>
    <n v="58470"/>
    <n v="121973419.11"/>
    <n v="2521182.3199999998"/>
    <n v="9.5960070839601983E-3"/>
    <n v="1.9834881713741938E-4"/>
    <n v="10.926399999999999"/>
    <n v="0.23769999999999999"/>
    <n v="3.3985818442247707E-3"/>
    <n v="1053740417.45"/>
    <n v="13102162.48"/>
    <n v="8.3000000000000004E-2"/>
    <n v="1E-3"/>
    <n v="0.1"/>
    <n v="0.33985818442247706"/>
  </r>
  <r>
    <s v="CAS 2014-C02"/>
    <x v="3"/>
    <n v="12560631534.57"/>
    <x v="20"/>
    <n v="57934"/>
    <n v="129110068.88"/>
    <n v="1897229.98"/>
    <n v="1.0278947242792434E-2"/>
    <n v="1.5104574756279957E-4"/>
    <n v="11.6607"/>
    <n v="0.18110000000000001"/>
    <n v="4.9323708938908001E-3"/>
    <n v="1182850486.3299999"/>
    <n v="14999392.460000001"/>
    <n v="9.3200000000000005E-2"/>
    <n v="1.1000000000000001E-3"/>
    <n v="0.11"/>
    <n v="0.49323708938908001"/>
  </r>
  <r>
    <s v="CAS 2014-C02"/>
    <x v="3"/>
    <n v="12404299318.6"/>
    <x v="21"/>
    <n v="57365"/>
    <n v="139240721.36000001"/>
    <n v="2457079.7200000002"/>
    <n v="1.1225198439964385E-2"/>
    <n v="1.9808291116578088E-4"/>
    <n v="12.668900000000001"/>
    <n v="0.2374"/>
    <n v="3.7740784842076602E-3"/>
    <n v="1322091207.6900001"/>
    <n v="17456472.18"/>
    <n v="0.1041"/>
    <n v="1.2999999999999999E-3"/>
    <n v="0.13"/>
    <n v="0.37740784842076602"/>
  </r>
  <r>
    <s v="CAS 2014-C02"/>
    <x v="3"/>
    <n v="12236817011.360001"/>
    <x v="22"/>
    <n v="56746"/>
    <n v="132346837.41"/>
    <n v="952193.74"/>
    <n v="1.0815462655618396E-2"/>
    <n v="7.7813841550137974E-5"/>
    <n v="12.233599999999999"/>
    <n v="9.3299999999999994E-2"/>
    <n v="3.8139167617423637E-3"/>
    <n v="1454438045.0999999"/>
    <n v="18408665.920000002"/>
    <n v="0.11459999999999999"/>
    <n v="1.4E-3"/>
    <n v="0.13999999999999999"/>
    <n v="0.38139167617423636"/>
  </r>
  <r>
    <s v="CAS 2014-C02"/>
    <x v="3"/>
    <n v="12076788045.43"/>
    <x v="23"/>
    <n v="56148"/>
    <n v="100763161.41"/>
    <n v="1041600.1"/>
    <n v="8.3435397748932074E-3"/>
    <n v="8.6248106374124358E-5"/>
    <n v="9.5653000000000006"/>
    <n v="0.10340000000000001"/>
    <n v="4.180907212253903E-3"/>
    <n v="1555201206.51"/>
    <n v="19450266.02"/>
    <n v="0.1225"/>
    <n v="1.5E-3"/>
    <n v="0.15"/>
    <n v="0.41809072122539032"/>
  </r>
  <r>
    <s v="CAS 2014-C03"/>
    <x v="4"/>
    <n v="136083939.11000001"/>
    <x v="9"/>
    <n v="522"/>
    <n v="854180.09"/>
    <n v="0"/>
    <n v="6.2768618808832777E-3"/>
    <n v="0"/>
    <n v="7.2774999999999999"/>
    <n v="0"/>
    <n v="1.3289279483144438E-3"/>
    <n v="274119981.47000003"/>
    <n v="0"/>
    <n v="4.8999999999999998E-3"/>
    <n v="0"/>
    <n v="0"/>
    <n v="0.13289279483144439"/>
  </r>
  <r>
    <s v="CAS 2014-C03"/>
    <x v="4"/>
    <n v="58821087273.290001"/>
    <x v="10"/>
    <n v="245289"/>
    <n v="304590809.82999998"/>
    <n v="0"/>
    <n v="5.1782587495337118E-3"/>
    <n v="0"/>
    <n v="6.0399000000000003"/>
    <n v="0"/>
    <n v="1.8344617966454774E-3"/>
    <n v="578710791.29999995"/>
    <n v="0"/>
    <n v="1.04E-2"/>
    <n v="0"/>
    <n v="0"/>
    <n v="0.18344617966454774"/>
  </r>
  <r>
    <s v="CAS 2014-C03"/>
    <x v="4"/>
    <n v="58394790404"/>
    <x v="11"/>
    <n v="243984"/>
    <n v="281706789.07999998"/>
    <n v="0"/>
    <n v="4.8241767310239934E-3"/>
    <n v="0"/>
    <n v="5.6378000000000004"/>
    <n v="0"/>
    <n v="2.4604233501993749E-3"/>
    <n v="860417580.38"/>
    <n v="0"/>
    <n v="1.55E-2"/>
    <n v="0"/>
    <n v="0"/>
    <n v="0.2460423350199375"/>
  </r>
  <r>
    <s v="CAS 2014-C03"/>
    <x v="4"/>
    <n v="57991182492.190002"/>
    <x v="12"/>
    <n v="242784"/>
    <n v="261324557.78999999"/>
    <n v="0"/>
    <n v="4.5062808958102217E-3"/>
    <n v="0"/>
    <n v="5.2755000000000001"/>
    <n v="0"/>
    <n v="2.1563889839087418E-3"/>
    <n v="1121742138.1700001"/>
    <n v="0"/>
    <n v="2.0199999999999999E-2"/>
    <n v="0"/>
    <n v="0"/>
    <n v="0.21563889839087419"/>
  </r>
  <r>
    <s v="CAS 2014-C03"/>
    <x v="4"/>
    <n v="57609407449.07"/>
    <x v="13"/>
    <n v="241669"/>
    <n v="261370643.83000001"/>
    <n v="0"/>
    <n v="4.5369437979563762E-3"/>
    <n v="0"/>
    <n v="5.3105000000000002"/>
    <n v="0"/>
    <n v="1.9359806845539852E-3"/>
    <n v="1383112782"/>
    <n v="0"/>
    <n v="2.5000000000000001E-2"/>
    <n v="0"/>
    <n v="0"/>
    <n v="0.19359806845539854"/>
  </r>
  <r>
    <s v="CAS 2014-C03"/>
    <x v="4"/>
    <n v="57220588025.720001"/>
    <x v="14"/>
    <n v="240504"/>
    <n v="246878336.81"/>
    <n v="1976293.54"/>
    <n v="4.3145019184184369E-3"/>
    <n v="3.4538155027551947E-5"/>
    <n v="5.0561999999999996"/>
    <n v="4.1399999999999999E-2"/>
    <n v="3.5336197808578146E-3"/>
    <n v="1629991118.8099999"/>
    <n v="1976293.54"/>
    <n v="2.9399999999999999E-2"/>
    <n v="0"/>
    <n v="0"/>
    <n v="0.35336197808578146"/>
  </r>
  <r>
    <s v="CAS 2014-C03"/>
    <x v="4"/>
    <n v="56863314883.339996"/>
    <x v="15"/>
    <n v="239443"/>
    <n v="286719558.75"/>
    <n v="1990324.92"/>
    <n v="5.0422589562045391E-3"/>
    <n v="3.5001915102616221E-5"/>
    <n v="5.8856000000000002"/>
    <n v="4.19E-2"/>
    <n v="2.6663581170225008E-3"/>
    <n v="1916710677.5599999"/>
    <n v="3966618.46"/>
    <n v="3.4599999999999999E-2"/>
    <n v="0"/>
    <n v="0"/>
    <n v="0.26663581170225009"/>
  </r>
  <r>
    <s v="CAS 2014-C03"/>
    <x v="4"/>
    <n v="56446531345.739998"/>
    <x v="16"/>
    <n v="238215"/>
    <n v="221923606.05000001"/>
    <n v="6304522.9199999999"/>
    <n v="3.9315720693393593E-3"/>
    <n v="1.1169017421786715E-4"/>
    <n v="4.6170999999999998"/>
    <n v="0.13389999999999999"/>
    <n v="2.5257811234978538E-3"/>
    <n v="2138634283.6099999"/>
    <n v="10271141.380000001"/>
    <n v="3.8600000000000002E-2"/>
    <n v="1E-4"/>
    <n v="0.01"/>
    <n v="0.25257811234978539"/>
  </r>
  <r>
    <s v="CAS 2014-C03"/>
    <x v="4"/>
    <n v="56100922846.230003"/>
    <x v="17"/>
    <n v="237272"/>
    <n v="327186283.49000001"/>
    <n v="3130285.34"/>
    <n v="5.8321016284670086E-3"/>
    <n v="5.5797394787603861E-5"/>
    <n v="6.7782999999999998"/>
    <n v="6.6900000000000001E-2"/>
    <n v="3.6600387544925804E-3"/>
    <n v="2465820567.0999999"/>
    <n v="13401426.720000001"/>
    <n v="4.4600000000000001E-2"/>
    <n v="2.0000000000000001E-4"/>
    <n v="0.02"/>
    <n v="0.36600387544925805"/>
  </r>
  <r>
    <s v="CAS 2014-C03"/>
    <x v="4"/>
    <n v="55654651245.639999"/>
    <x v="18"/>
    <n v="236008"/>
    <n v="453794955.94999999"/>
    <n v="2437867.06"/>
    <n v="8.1537651533761142E-3"/>
    <n v="4.3803473841568332E-5"/>
    <n v="9.3574000000000002"/>
    <n v="5.2499999999999998E-2"/>
    <n v="2.5814967052058442E-3"/>
    <n v="2919615523.0500002"/>
    <n v="15839293.779999999"/>
    <n v="5.28E-2"/>
    <n v="2.0000000000000001E-4"/>
    <n v="0.02"/>
    <n v="0.25814967052058441"/>
  </r>
  <r>
    <s v="CAS 2014-C03"/>
    <x v="4"/>
    <n v="55076550097.519997"/>
    <x v="19"/>
    <n v="234244"/>
    <n v="430616599.19999999"/>
    <n v="2339766.88"/>
    <n v="7.8185107534429598E-3"/>
    <n v="4.2482088581386208E-5"/>
    <n v="8.9890000000000008"/>
    <n v="5.0900000000000001E-2"/>
    <n v="2.5582869560732443E-3"/>
    <n v="3350232122.25"/>
    <n v="18179060.66"/>
    <n v="6.0600000000000001E-2"/>
    <n v="2.9999999999999997E-4"/>
    <n v="0.03"/>
    <n v="0.25582869560732441"/>
  </r>
  <r>
    <s v="CAS 2014-C03"/>
    <x v="4"/>
    <n v="54525465211.260002"/>
    <x v="20"/>
    <n v="232506"/>
    <n v="456373617.68000001"/>
    <n v="4673837.3"/>
    <n v="8.3699169903781907E-3"/>
    <n v="8.5718430496486815E-5"/>
    <n v="9.5940999999999992"/>
    <n v="0.1028"/>
    <n v="3.1862049643571555E-3"/>
    <n v="3806605739.9299998"/>
    <n v="22852897.960000001"/>
    <n v="6.88E-2"/>
    <n v="4.0000000000000002E-4"/>
    <n v="0.04"/>
    <n v="0.31862049643571555"/>
  </r>
  <r>
    <s v="CAS 2014-C03"/>
    <x v="4"/>
    <n v="53946058335.540001"/>
    <x v="21"/>
    <n v="230566"/>
    <n v="514001982.92000002"/>
    <n v="3259332.08"/>
    <n v="9.5280730192176481E-3"/>
    <n v="6.0418354566838329E-5"/>
    <n v="10.8531"/>
    <n v="7.2400000000000006E-2"/>
    <n v="3.0187063280342611E-3"/>
    <n v="4320607722.8500004"/>
    <n v="26112230.039999999"/>
    <n v="7.8100000000000003E-2"/>
    <n v="4.0000000000000002E-4"/>
    <n v="0.04"/>
    <n v="0.30187063280342613"/>
  </r>
  <r>
    <s v="CAS 2014-C03"/>
    <x v="4"/>
    <n v="53311464837.720001"/>
    <x v="22"/>
    <n v="228461"/>
    <n v="438762624.76999998"/>
    <n v="4238408.96"/>
    <n v="8.2301738679586584E-3"/>
    <n v="7.9502766860781431E-5"/>
    <n v="9.4411000000000005"/>
    <n v="9.5299999999999996E-2"/>
    <n v="2.6981600274510824E-3"/>
    <n v="4759370347.6199999"/>
    <n v="30350639"/>
    <n v="8.6099999999999996E-2"/>
    <n v="5.0000000000000001E-4"/>
    <n v="0.05"/>
    <n v="0.26981600274510825"/>
  </r>
  <r>
    <s v="CAS 2014-C03"/>
    <x v="4"/>
    <n v="52745720183.019997"/>
    <x v="23"/>
    <n v="226527"/>
    <n v="398108157.50999999"/>
    <n v="4945762.76"/>
    <n v="7.5476864497938867E-3"/>
    <n v="9.3766143354170165E-5"/>
    <n v="8.6905000000000001"/>
    <n v="0.1124"/>
    <n v="2.9093873386793075E-3"/>
    <n v="5157478505.1300001"/>
    <n v="35296401.759999998"/>
    <n v="9.3299999999999994E-2"/>
    <n v="5.9999999999999995E-4"/>
    <n v="0.06"/>
    <n v="0.29093873386793073"/>
  </r>
  <r>
    <s v="CAS 2014-C03"/>
    <x v="5"/>
    <n v="19009515994.049999"/>
    <x v="9"/>
    <n v="85810"/>
    <n v="100050239.39"/>
    <n v="0"/>
    <n v="5.2631660596364387E-3"/>
    <n v="0"/>
    <n v="6.1360999999999999"/>
    <n v="0"/>
    <n v="2.0278039552435439E-3"/>
    <n v="100050239.39"/>
    <n v="0"/>
    <n v="5.7000000000000002E-3"/>
    <n v="0"/>
    <n v="0"/>
    <n v="0.2027803955243544"/>
  </r>
  <r>
    <s v="CAS 2014-C03"/>
    <x v="5"/>
    <n v="18872505590.029999"/>
    <x v="10"/>
    <n v="85388"/>
    <n v="109861205.5"/>
    <n v="0"/>
    <n v="5.821230518434058E-3"/>
    <n v="0"/>
    <n v="6.7660999999999998"/>
    <n v="0"/>
    <n v="2.346565165856687E-3"/>
    <n v="209911444.88999999"/>
    <n v="0"/>
    <n v="1.21E-2"/>
    <n v="0"/>
    <n v="0"/>
    <n v="0.23465651658566869"/>
  </r>
  <r>
    <s v="CAS 2014-C03"/>
    <x v="5"/>
    <n v="18726075279.77"/>
    <x v="11"/>
    <n v="84916"/>
    <n v="91362707.25"/>
    <n v="0"/>
    <n v="4.8789031275923694E-3"/>
    <n v="0"/>
    <n v="5.7000999999999999"/>
    <n v="0"/>
    <n v="3.163206766235297E-3"/>
    <n v="301274152.13999999"/>
    <n v="0"/>
    <n v="1.7299999999999999E-2"/>
    <n v="0"/>
    <n v="0"/>
    <n v="0.3163206766235297"/>
  </r>
  <r>
    <s v="CAS 2014-C03"/>
    <x v="5"/>
    <n v="18598755669.990002"/>
    <x v="12"/>
    <n v="84505"/>
    <n v="90937901.480000004"/>
    <n v="0"/>
    <n v="4.8894615905263348E-3"/>
    <n v="0"/>
    <n v="5.7121000000000004"/>
    <n v="0"/>
    <n v="2.8536687287977333E-3"/>
    <n v="392212053.62"/>
    <n v="0"/>
    <n v="2.2599999999999999E-2"/>
    <n v="0"/>
    <n v="0"/>
    <n v="0.2853668728797733"/>
  </r>
  <r>
    <s v="CAS 2014-C03"/>
    <x v="5"/>
    <n v="18471604608.700001"/>
    <x v="13"/>
    <n v="84098"/>
    <n v="95617146.180000007"/>
    <n v="0"/>
    <n v="5.1764396329144558E-3"/>
    <n v="0"/>
    <n v="6.0377999999999998"/>
    <n v="0"/>
    <n v="2.8893045623585431E-3"/>
    <n v="487829199.80000001"/>
    <n v="0"/>
    <n v="2.81E-2"/>
    <n v="0"/>
    <n v="0"/>
    <n v="0.28893045623585428"/>
  </r>
  <r>
    <s v="CAS 2014-C03"/>
    <x v="5"/>
    <n v="18338774399.34"/>
    <x v="14"/>
    <n v="83689"/>
    <n v="93803148.769999996"/>
    <n v="2686700.56"/>
    <n v="5.1150173248969083E-3"/>
    <n v="1.4650382307427766E-4"/>
    <n v="5.9682000000000004"/>
    <n v="0.17560000000000001"/>
    <n v="4.5077459212855093E-3"/>
    <n v="581632348.57000005"/>
    <n v="2686700.56"/>
    <n v="3.3500000000000002E-2"/>
    <n v="1E-4"/>
    <n v="0.01"/>
    <n v="0.45077459212855092"/>
  </r>
  <r>
    <s v="CAS 2014-C03"/>
    <x v="5"/>
    <n v="18210101075.09"/>
    <x v="15"/>
    <n v="83291"/>
    <n v="102259249.06999999"/>
    <n v="1336320.78"/>
    <n v="5.6155234201243779E-3"/>
    <n v="7.3383490541300883E-5"/>
    <n v="6.5343"/>
    <n v="8.7999999999999995E-2"/>
    <n v="3.8984829132613225E-3"/>
    <n v="683891597.63999999"/>
    <n v="4023021.34"/>
    <n v="3.9399999999999998E-2"/>
    <n v="2.0000000000000001E-4"/>
    <n v="0.02"/>
    <n v="0.38984829132613225"/>
  </r>
  <r>
    <s v="CAS 2014-C03"/>
    <x v="5"/>
    <n v="18068250367.060001"/>
    <x v="16"/>
    <n v="82858"/>
    <n v="90600162.609999999"/>
    <n v="2657649.6800000002"/>
    <n v="5.0143295985743044E-3"/>
    <n v="1.4708948713955877E-4"/>
    <n v="5.8539000000000003"/>
    <n v="0.17630000000000001"/>
    <n v="3.8815466215731736E-3"/>
    <n v="774491760.25"/>
    <n v="6680671.0199999996"/>
    <n v="4.4600000000000001E-2"/>
    <n v="2.9999999999999997E-4"/>
    <n v="0.03"/>
    <n v="0.38815466215731736"/>
  </r>
  <r>
    <s v="CAS 2014-C03"/>
    <x v="5"/>
    <n v="17941311488.529999"/>
    <x v="17"/>
    <n v="82497"/>
    <n v="154577961.37"/>
    <n v="3402781.44"/>
    <n v="8.6157559590235491E-3"/>
    <n v="1.8966180048629225E-4"/>
    <n v="9.8627000000000002"/>
    <n v="0.2273"/>
    <n v="4.7890126725089171E-3"/>
    <n v="929069721.62"/>
    <n v="10083452.460000001"/>
    <n v="5.3499999999999999E-2"/>
    <n v="5.0000000000000001E-4"/>
    <n v="0.05"/>
    <n v="0.47890126725089172"/>
  </r>
  <r>
    <s v="CAS 2014-C03"/>
    <x v="5"/>
    <n v="17749637092.900002"/>
    <x v="18"/>
    <n v="81896"/>
    <n v="182922862.88"/>
    <n v="3045754.6"/>
    <n v="1.0305724107067555E-2"/>
    <n v="1.7159531679767845E-4"/>
    <n v="11.689399999999999"/>
    <n v="0.20569999999999999"/>
    <n v="3.1912203817765755E-3"/>
    <n v="1111992584.5"/>
    <n v="13129207.060000001"/>
    <n v="6.4100000000000004E-2"/>
    <n v="6.9999999999999999E-4"/>
    <n v="6.9999999999999993E-2"/>
    <n v="0.31912203817765755"/>
  </r>
  <r>
    <s v="CAS 2014-C03"/>
    <x v="5"/>
    <n v="17526676590.740002"/>
    <x v="19"/>
    <n v="81163"/>
    <n v="172691786.63"/>
    <n v="1156189.08"/>
    <n v="9.8530822849347E-3"/>
    <n v="6.5967388284602564E-5"/>
    <n v="11.2035"/>
    <n v="7.9100000000000004E-2"/>
    <n v="3.3043007777411619E-3"/>
    <n v="1284684371.1300001"/>
    <n v="14285396.140000001"/>
    <n v="7.3999999999999996E-2"/>
    <n v="8.0000000000000004E-4"/>
    <n v="0.08"/>
    <n v="0.3304300777741162"/>
  </r>
  <r>
    <s v="CAS 2014-C03"/>
    <x v="5"/>
    <n v="17317675506.950001"/>
    <x v="20"/>
    <n v="80455"/>
    <n v="203359103.74000001"/>
    <n v="2352301.38"/>
    <n v="1.1742863738172429E-2"/>
    <n v="1.358323973131362E-4"/>
    <n v="13.215999999999999"/>
    <n v="0.1628"/>
    <n v="4.7524845142738834E-3"/>
    <n v="1488043474.8699999"/>
    <n v="16637697.52"/>
    <n v="8.5800000000000001E-2"/>
    <n v="8.9999999999999998E-4"/>
    <n v="0.09"/>
    <n v="0.47524845142738836"/>
  </r>
  <r>
    <s v="CAS 2014-C03"/>
    <x v="5"/>
    <n v="17079017721.73"/>
    <x v="21"/>
    <n v="79587"/>
    <n v="200047470.58000001"/>
    <n v="3850668.88"/>
    <n v="1.1713054804403378E-2"/>
    <n v="2.2546196407424013E-4"/>
    <n v="13.1846"/>
    <n v="0.2702"/>
    <n v="4.5700261983271633E-3"/>
    <n v="1688090945.45"/>
    <n v="20488366.399999999"/>
    <n v="9.7299999999999998E-2"/>
    <n v="1.1000000000000001E-3"/>
    <n v="0.11"/>
    <n v="0.45700261983271634"/>
  </r>
  <r>
    <s v="CAS 2014-C03"/>
    <x v="5"/>
    <n v="16840360413.809999"/>
    <x v="22"/>
    <n v="78678"/>
    <n v="192019209.65000001"/>
    <n v="2479619.36"/>
    <n v="1.1402321858416636E-2"/>
    <n v="1.4724265390226321E-4"/>
    <n v="12.856400000000001"/>
    <n v="0.17649999999999999"/>
    <n v="4.4452311364198216E-3"/>
    <n v="1880110155.0999999"/>
    <n v="22967985.760000002"/>
    <n v="0.1084"/>
    <n v="1.2999999999999999E-3"/>
    <n v="0.13"/>
    <n v="0.44452311364198216"/>
  </r>
  <r>
    <s v="CAS 2014-C03"/>
    <x v="5"/>
    <n v="16611645081.459999"/>
    <x v="23"/>
    <n v="77814"/>
    <n v="151775421.55000001"/>
    <n v="3331026.86"/>
    <n v="9.1366881970885716E-3"/>
    <n v="2.0052359917788681E-4"/>
    <n v="10.429500000000001"/>
    <n v="0.24030000000000001"/>
    <n v="4.554692665836209E-3"/>
    <n v="2031885576.6500001"/>
    <n v="26299012.620000001"/>
    <n v="0.1171"/>
    <n v="1.5E-3"/>
    <n v="0.15"/>
    <n v="0.45546926658362091"/>
  </r>
  <r>
    <s v="CAS 2014-C04"/>
    <x v="6"/>
    <n v="35527112178.290001"/>
    <x v="14"/>
    <n v="153851"/>
    <n v="290976942.33999997"/>
    <n v="0"/>
    <n v="8.1902784802703708E-3"/>
    <n v="0"/>
    <n v="9.3973999999999993"/>
    <n v="0"/>
    <n v="3.0018273591955404E-3"/>
    <n v="532820777.5"/>
    <n v="0"/>
    <n v="1.6299999999999999E-2"/>
    <n v="0"/>
    <n v="0"/>
    <n v="0.30018273591955402"/>
  </r>
  <r>
    <s v="CAS 2014-C04"/>
    <x v="6"/>
    <n v="35170933795.309998"/>
    <x v="15"/>
    <n v="152775"/>
    <n v="341276516.49000001"/>
    <n v="0"/>
    <n v="9.7033680844581041E-3"/>
    <n v="0"/>
    <n v="11.042199999999999"/>
    <n v="0"/>
    <n v="2.1421829960069708E-3"/>
    <n v="874097293.99000001"/>
    <n v="0"/>
    <n v="2.6800000000000001E-2"/>
    <n v="0"/>
    <n v="0"/>
    <n v="0.21421829960069708"/>
  </r>
  <r>
    <s v="CAS 2014-C04"/>
    <x v="6"/>
    <n v="34751969699.669998"/>
    <x v="16"/>
    <n v="151521"/>
    <n v="283053256.07999998"/>
    <n v="0"/>
    <n v="8.1449557687283507E-3"/>
    <n v="0"/>
    <n v="9.3476999999999997"/>
    <n v="0"/>
    <n v="2.587924726777545E-3"/>
    <n v="1157150550.0699999"/>
    <n v="0"/>
    <n v="3.56E-2"/>
    <n v="0"/>
    <n v="0"/>
    <n v="0.25879247267775451"/>
  </r>
  <r>
    <s v="CAS 2014-C04"/>
    <x v="6"/>
    <n v="34395371767.400002"/>
    <x v="17"/>
    <n v="150483"/>
    <n v="536975003.16999996"/>
    <n v="0"/>
    <n v="1.561183890673762E-2"/>
    <n v="0"/>
    <n v="17.206399999999999"/>
    <n v="0"/>
    <n v="3.6591657761725024E-3"/>
    <n v="1694125553.24"/>
    <n v="0"/>
    <n v="5.21E-2"/>
    <n v="0"/>
    <n v="0"/>
    <n v="0.36591657761725022"/>
  </r>
  <r>
    <s v="CAS 2014-C04"/>
    <x v="6"/>
    <n v="33790528741.790001"/>
    <x v="18"/>
    <n v="148614"/>
    <n v="600482948.01999998"/>
    <n v="920447.18"/>
    <n v="1.7770747318237742E-2"/>
    <n v="2.72397980816929E-5"/>
    <n v="19.359200000000001"/>
    <n v="3.2599999999999997E-2"/>
    <n v="2.4114027969981858E-3"/>
    <n v="2294608501.2600002"/>
    <n v="920447.18"/>
    <n v="7.0599999999999996E-2"/>
    <n v="0"/>
    <n v="0"/>
    <n v="0.24114027969981858"/>
  </r>
  <r>
    <s v="CAS 2014-C04"/>
    <x v="6"/>
    <n v="33117663494.07"/>
    <x v="19"/>
    <n v="146459"/>
    <n v="454723533.64999998"/>
    <n v="2268387.7400000002"/>
    <n v="1.3730543935607719E-2"/>
    <n v="6.849480007568089E-5"/>
    <n v="15.2875"/>
    <n v="8.2100000000000006E-2"/>
    <n v="2.6409779927759999E-3"/>
    <n v="2749332034.9099998"/>
    <n v="3188834.92"/>
    <n v="8.4599999999999995E-2"/>
    <n v="0"/>
    <n v="0"/>
    <n v="0.26409779927760002"/>
  </r>
  <r>
    <s v="CAS 2014-C04"/>
    <x v="6"/>
    <n v="32592673756.169998"/>
    <x v="20"/>
    <n v="144750"/>
    <n v="386299077.5"/>
    <n v="1891446.56"/>
    <n v="1.185232854444386E-2"/>
    <n v="5.8032874938403516E-5"/>
    <n v="13.331300000000001"/>
    <n v="6.9599999999999995E-2"/>
    <n v="3.1398009726227947E-3"/>
    <n v="3135631112.4099998"/>
    <n v="5080281.4800000004"/>
    <n v="9.64E-2"/>
    <n v="1E-4"/>
    <n v="0.01"/>
    <n v="0.31398009726227949"/>
  </r>
  <r>
    <s v="CAS 2014-C04"/>
    <x v="6"/>
    <n v="32136769325.73"/>
    <x v="21"/>
    <n v="143204"/>
    <n v="401427636.81999999"/>
    <n v="867378.9"/>
    <n v="1.2491225634762258E-2"/>
    <n v="2.6990233249909825E-5"/>
    <n v="14.001300000000001"/>
    <n v="3.2300000000000002E-2"/>
    <n v="2.931789308845213E-3"/>
    <n v="3537058749.23"/>
    <n v="5947660.3799999999"/>
    <n v="0.10879999999999999"/>
    <n v="1E-4"/>
    <n v="0.01"/>
    <n v="0.29317893088452129"/>
  </r>
  <r>
    <s v="CAS 2014-C04"/>
    <x v="6"/>
    <n v="31663303921.349998"/>
    <x v="22"/>
    <n v="141566"/>
    <n v="342941414.44999999"/>
    <n v="1711964.48"/>
    <n v="1.0830879029612597E-2"/>
    <n v="5.4067777773678662E-5"/>
    <n v="12.2501"/>
    <n v="6.4799999999999996E-2"/>
    <n v="2.9469265605312628E-3"/>
    <n v="3880000163.6799998"/>
    <n v="7659624.8600000003"/>
    <n v="0.1193"/>
    <n v="2.0000000000000001E-4"/>
    <n v="0.02"/>
    <n v="0.29469265605312628"/>
  </r>
  <r>
    <s v="CAS 2014-C04"/>
    <x v="6"/>
    <n v="31248692574.98"/>
    <x v="23"/>
    <n v="140107"/>
    <n v="280125183.30000001"/>
    <n v="1955302.48"/>
    <n v="8.9643809137886551E-3"/>
    <n v="6.2572297234782831E-5"/>
    <n v="10.2424"/>
    <n v="7.4999999999999997E-2"/>
    <n v="3.3517779423469858E-3"/>
    <n v="4160125346.98"/>
    <n v="9614927.3399999999"/>
    <n v="0.128"/>
    <n v="2.0000000000000001E-4"/>
    <n v="0.02"/>
    <n v="0.33517779423469857"/>
  </r>
  <r>
    <s v="CAS 2014-C04"/>
    <x v="7"/>
    <n v="17873514986.919998"/>
    <x v="14"/>
    <n v="80187"/>
    <n v="144439390.81"/>
    <n v="0"/>
    <n v="8.0811967268722487E-3"/>
    <n v="0"/>
    <n v="9.2777999999999992"/>
    <n v="0"/>
    <n v="3.2164451056253401E-3"/>
    <n v="264231880.72"/>
    <n v="0"/>
    <n v="1.6199999999999999E-2"/>
    <n v="0"/>
    <n v="0"/>
    <n v="0.32164451056253401"/>
  </r>
  <r>
    <s v="CAS 2014-C04"/>
    <x v="7"/>
    <n v="17700313229.25"/>
    <x v="15"/>
    <n v="79643"/>
    <n v="150778485.43000001"/>
    <n v="0"/>
    <n v="8.5184077522897483E-3"/>
    <n v="0"/>
    <n v="9.7565000000000008"/>
    <n v="0"/>
    <n v="2.5711459170560881E-3"/>
    <n v="415010366.14999998"/>
    <n v="0"/>
    <n v="2.5499999999999998E-2"/>
    <n v="0"/>
    <n v="0"/>
    <n v="0.2571145917056088"/>
  </r>
  <r>
    <s v="CAS 2014-C04"/>
    <x v="7"/>
    <n v="17513118566.099998"/>
    <x v="16"/>
    <n v="79070"/>
    <n v="132517253.79000001"/>
    <n v="0"/>
    <n v="7.5667422275386498E-3"/>
    <n v="0"/>
    <n v="8.7114999999999991"/>
    <n v="0"/>
    <n v="3.2286578182284167E-3"/>
    <n v="547527619.94000006"/>
    <n v="0"/>
    <n v="3.3599999999999998E-2"/>
    <n v="0"/>
    <n v="0"/>
    <n v="0.32286578182284165"/>
  </r>
  <r>
    <s v="CAS 2014-C04"/>
    <x v="7"/>
    <n v="17348665474.91"/>
    <x v="17"/>
    <n v="78570"/>
    <n v="260342935.68000001"/>
    <n v="0"/>
    <n v="1.5006510792228565E-2"/>
    <n v="0"/>
    <n v="16.593399999999999"/>
    <n v="0"/>
    <n v="4.014035593153384E-3"/>
    <n v="807870555.62"/>
    <n v="0"/>
    <n v="4.9700000000000001E-2"/>
    <n v="0"/>
    <n v="0"/>
    <n v="0.40140355931533839"/>
  </r>
  <r>
    <s v="CAS 2014-C04"/>
    <x v="7"/>
    <n v="17057476557.84"/>
    <x v="18"/>
    <n v="77610"/>
    <n v="291668217.42000002"/>
    <n v="870585.7"/>
    <n v="1.7099142210806249E-2"/>
    <n v="5.1038364147706199E-5"/>
    <n v="18.6951"/>
    <n v="6.1199999999999997E-2"/>
    <n v="2.6874709007839864E-3"/>
    <n v="1099538773.04"/>
    <n v="870585.7"/>
    <n v="6.7599999999999993E-2"/>
    <n v="0"/>
    <n v="0"/>
    <n v="0.26874709007839864"/>
  </r>
  <r>
    <s v="CAS 2014-C04"/>
    <x v="7"/>
    <n v="16732472649.879999"/>
    <x v="19"/>
    <n v="76486"/>
    <n v="223284442.75"/>
    <n v="1131309.74"/>
    <n v="1.3344378169451323E-2"/>
    <n v="6.7611629414981493E-5"/>
    <n v="14.8887"/>
    <n v="8.1100000000000005E-2"/>
    <n v="3.3031608302312916E-3"/>
    <n v="1322823215.79"/>
    <n v="2001895.44"/>
    <n v="8.14E-2"/>
    <n v="1E-4"/>
    <n v="0.01"/>
    <n v="0.33031608302312915"/>
  </r>
  <r>
    <s v="CAS 2014-C04"/>
    <x v="7"/>
    <n v="16478343796.25"/>
    <x v="20"/>
    <n v="75608"/>
    <n v="233609306.66999999"/>
    <n v="2427003.8199999998"/>
    <n v="1.4176746738538299E-2"/>
    <n v="1.4728445103520153E-4"/>
    <n v="15.7463"/>
    <n v="0.17649999999999999"/>
    <n v="4.6285044069390574E-3"/>
    <n v="1556432522.46"/>
    <n v="4428899.26"/>
    <n v="9.5699999999999993E-2"/>
    <n v="2.0000000000000001E-4"/>
    <n v="0.02"/>
    <n v="0.46285044069390574"/>
  </r>
  <r>
    <s v="CAS 2014-C04"/>
    <x v="7"/>
    <n v="16211433097.74"/>
    <x v="21"/>
    <n v="74640"/>
    <n v="229531666.66"/>
    <n v="1198393.54"/>
    <n v="1.4158628992028997E-2"/>
    <n v="7.3922739141863114E-5"/>
    <n v="15.7277"/>
    <n v="8.8599999999999998E-2"/>
    <n v="4.0173542806082466E-3"/>
    <n v="1785964189.1199999"/>
    <n v="5627292.7999999998"/>
    <n v="0.1099"/>
    <n v="2.9999999999999997E-4"/>
    <n v="0.03"/>
    <n v="0.40173542806082468"/>
  </r>
  <r>
    <s v="CAS 2014-C04"/>
    <x v="7"/>
    <n v="15951325303.6"/>
    <x v="22"/>
    <n v="73687"/>
    <n v="196846248.86000001"/>
    <n v="2798511.24"/>
    <n v="1.2340432228259708E-2"/>
    <n v="1.754406725921647E-4"/>
    <n v="13.8436"/>
    <n v="0.21029999999999999"/>
    <n v="4.3849463996708908E-3"/>
    <n v="1982810437.98"/>
    <n v="8425804.0399999991"/>
    <n v="0.122"/>
    <n v="5.0000000000000001E-4"/>
    <n v="0.05"/>
    <n v="0.43849463996708909"/>
  </r>
  <r>
    <s v="CAS 2014-C04"/>
    <x v="7"/>
    <n v="15720200676.91"/>
    <x v="23"/>
    <n v="72809"/>
    <n v="175455763.03999999"/>
    <n v="1072197.58"/>
    <n v="1.1161165601257961E-2"/>
    <n v="6.8205082240130398E-5"/>
    <n v="12.601000000000001"/>
    <n v="8.1799999999999998E-2"/>
    <n v="4.6298498890604643E-3"/>
    <n v="2158266201.02"/>
    <n v="9498001.6199999992"/>
    <n v="0.1328"/>
    <n v="5.0000000000000001E-4"/>
    <n v="0.05"/>
    <n v="0.46298498890604645"/>
  </r>
  <r>
    <s v="CAS 2015-C01"/>
    <x v="8"/>
    <n v="30759851462.400002"/>
    <x v="17"/>
    <n v="144216"/>
    <n v="1054593306.67"/>
    <n v="0"/>
    <n v="3.4284733395384112E-2"/>
    <n v="0"/>
    <n v="34.205500000000001"/>
    <n v="0"/>
    <n v="4.26637271023287E-3"/>
    <n v="1624232833.25"/>
    <n v="0"/>
    <n v="6.1199999999999997E-2"/>
    <n v="0"/>
    <n v="0"/>
    <n v="0.42663727102328697"/>
  </r>
  <r>
    <s v="CAS 2015-C01"/>
    <x v="8"/>
    <n v="29646838128.07"/>
    <x v="18"/>
    <n v="140569"/>
    <n v="1161068382.99"/>
    <n v="0"/>
    <n v="3.9163312390156232E-2"/>
    <n v="0"/>
    <n v="38.085099999999997"/>
    <n v="0"/>
    <n v="2.4192243628197358E-3"/>
    <n v="2785301216.2399998"/>
    <n v="0"/>
    <n v="0.105"/>
    <n v="0"/>
    <n v="0"/>
    <n v="0.24192243628197357"/>
  </r>
  <r>
    <s v="CAS 2015-C01"/>
    <x v="8"/>
    <n v="28425220037.98"/>
    <x v="19"/>
    <n v="136410"/>
    <n v="761784011.45000005"/>
    <n v="0"/>
    <n v="2.6799581865405153E-2"/>
    <n v="0"/>
    <n v="27.818200000000001"/>
    <n v="0"/>
    <n v="3.4634807051082453E-3"/>
    <n v="3547085227.6900001"/>
    <n v="0"/>
    <n v="0.13370000000000001"/>
    <n v="0"/>
    <n v="0"/>
    <n v="0.34634807051082456"/>
  </r>
  <r>
    <s v="CAS 2015-C01"/>
    <x v="8"/>
    <n v="27606327918.630001"/>
    <x v="20"/>
    <n v="133599"/>
    <n v="644096331.49000001"/>
    <n v="0"/>
    <n v="2.33314743412627E-2"/>
    <n v="0"/>
    <n v="24.670200000000001"/>
    <n v="0"/>
    <n v="4.103466117402468E-3"/>
    <n v="4191181559.1799998"/>
    <n v="0"/>
    <n v="0.158"/>
    <n v="0"/>
    <n v="0"/>
    <n v="0.41034661174024678"/>
  </r>
  <r>
    <s v="CAS 2015-C01"/>
    <x v="8"/>
    <n v="26906579939.889999"/>
    <x v="21"/>
    <n v="131091"/>
    <n v="571522550.05999994"/>
    <n v="1829578.58"/>
    <n v="2.1240995746646219E-2"/>
    <n v="6.7997440926618181E-5"/>
    <n v="22.712499999999999"/>
    <n v="8.1500000000000003E-2"/>
    <n v="3.7792899631678614E-3"/>
    <n v="4762704109.2399998"/>
    <n v="1829578.58"/>
    <n v="0.17949999999999999"/>
    <n v="0"/>
    <n v="0"/>
    <n v="0.37792899631678611"/>
  </r>
  <r>
    <s v="CAS 2015-C01"/>
    <x v="8"/>
    <n v="26277526650.84"/>
    <x v="22"/>
    <n v="128749"/>
    <n v="423884908.02999997"/>
    <n v="1813661.36"/>
    <n v="1.613108089137643E-2"/>
    <n v="6.9019485132632279E-5"/>
    <n v="17.728899999999999"/>
    <n v="8.2699999999999996E-2"/>
    <n v="3.4427048432698719E-3"/>
    <n v="5186589017.2700005"/>
    <n v="3643239.94"/>
    <n v="0.19550000000000001"/>
    <n v="1E-4"/>
    <n v="0.01"/>
    <n v="0.3442704843269872"/>
  </r>
  <r>
    <s v="CAS 2015-C01"/>
    <x v="8"/>
    <n v="25793823611.259998"/>
    <x v="23"/>
    <n v="126916"/>
    <n v="353632202.61000001"/>
    <n v="2924764.02"/>
    <n v="1.3709956613630012E-2"/>
    <n v="1.1339009152265535E-4"/>
    <n v="15.266299999999999"/>
    <n v="0.13589999999999999"/>
    <n v="3.6924946671505698E-3"/>
    <n v="5540221219.8800001"/>
    <n v="6568003.96"/>
    <n v="0.20880000000000001"/>
    <n v="2.0000000000000001E-4"/>
    <n v="0.02"/>
    <n v="0.36924946671505698"/>
  </r>
  <r>
    <s v="CAS 2015-C01"/>
    <x v="9"/>
    <n v="18493146955.029999"/>
    <x v="17"/>
    <n v="87353"/>
    <n v="515466404.31"/>
    <n v="0"/>
    <n v="2.7873374151163435E-2"/>
    <n v="0"/>
    <n v="28.7681"/>
    <n v="0"/>
    <n v="4.247644710281954E-3"/>
    <n v="796130890.63999999"/>
    <n v="0"/>
    <n v="4.9399999999999999E-2"/>
    <n v="0"/>
    <n v="0"/>
    <n v="0.42476447102819542"/>
  </r>
  <r>
    <s v="CAS 2015-C01"/>
    <x v="9"/>
    <n v="17947022505.650002"/>
    <x v="18"/>
    <n v="85424"/>
    <n v="615267890.50999999"/>
    <n v="0"/>
    <n v="3.4282449376563946E-2"/>
    <n v="0"/>
    <n v="34.203600000000002"/>
    <n v="0"/>
    <n v="2.2750364322074064E-3"/>
    <n v="1411398781.1500001"/>
    <n v="0"/>
    <n v="8.7599999999999997E-2"/>
    <n v="0"/>
    <n v="0"/>
    <n v="0.22750364322074063"/>
  </r>
  <r>
    <s v="CAS 2015-C01"/>
    <x v="9"/>
    <n v="17300263315.970001"/>
    <x v="19"/>
    <n v="83074"/>
    <n v="401816661"/>
    <n v="0"/>
    <n v="2.322604307583458E-2"/>
    <n v="0"/>
    <n v="24.572600000000001"/>
    <n v="0"/>
    <n v="3.7018386836275281E-3"/>
    <n v="1813215442.1500001"/>
    <n v="0"/>
    <n v="0.11260000000000001"/>
    <n v="0"/>
    <n v="0"/>
    <n v="0.3701838683627528"/>
  </r>
  <r>
    <s v="CAS 2015-C01"/>
    <x v="9"/>
    <n v="16869979490.84"/>
    <x v="20"/>
    <n v="81464"/>
    <n v="379603599.13999999"/>
    <n v="0"/>
    <n v="2.2501722621898607E-2"/>
    <n v="0"/>
    <n v="23.898700000000002"/>
    <n v="0"/>
    <n v="4.7509371557635021E-3"/>
    <n v="2192819041.29"/>
    <n v="0"/>
    <n v="0.13619999999999999"/>
    <n v="0"/>
    <n v="0"/>
    <n v="0.47509371557635022"/>
  </r>
  <r>
    <s v="CAS 2015-C01"/>
    <x v="9"/>
    <n v="16462011735.889999"/>
    <x v="21"/>
    <n v="79920"/>
    <n v="354782897.19"/>
    <n v="1722841.02"/>
    <n v="2.1551612456727424E-2"/>
    <n v="1.0465555775567284E-4"/>
    <n v="23.0063"/>
    <n v="0.1255"/>
    <n v="4.0570985382297311E-3"/>
    <n v="2547601938.48"/>
    <n v="1722841.02"/>
    <n v="0.15820000000000001"/>
    <n v="1E-4"/>
    <n v="0.01"/>
    <n v="0.40570985382297309"/>
  </r>
  <r>
    <s v="CAS 2015-C01"/>
    <x v="9"/>
    <n v="16078512632.49"/>
    <x v="22"/>
    <n v="78449"/>
    <n v="282221121.75999999"/>
    <n v="2025998.28"/>
    <n v="1.7552688374278674E-2"/>
    <n v="1.2600657326387556E-4"/>
    <n v="19.144100000000002"/>
    <n v="0.15110000000000001"/>
    <n v="4.6578005803016914E-3"/>
    <n v="2829823060.2399998"/>
    <n v="3748839.3"/>
    <n v="0.1757"/>
    <n v="2.0000000000000001E-4"/>
    <n v="0.02"/>
    <n v="0.46578005803016914"/>
  </r>
  <r>
    <s v="CAS 2015-C01"/>
    <x v="9"/>
    <n v="15764917496.969999"/>
    <x v="23"/>
    <n v="77219"/>
    <n v="238018688.15000001"/>
    <n v="1634428.16"/>
    <n v="1.5097997702540906E-2"/>
    <n v="1.0367502147183043E-4"/>
    <n v="16.686299999999999"/>
    <n v="0.12429999999999999"/>
    <n v="5.0766880622992389E-3"/>
    <n v="3067841748.3899999"/>
    <n v="5383267.46"/>
    <n v="0.1905"/>
    <n v="2.9999999999999997E-4"/>
    <n v="0.03"/>
    <n v="0.50766880622992394"/>
  </r>
  <r>
    <s v="CAS 2015-C02"/>
    <x v="10"/>
    <n v="27206489792.02"/>
    <x v="20"/>
    <n v="131933"/>
    <n v="631099526.53999996"/>
    <n v="0"/>
    <n v="2.3196653863267185E-2"/>
    <n v="0"/>
    <n v="24.545400000000001"/>
    <n v="0"/>
    <n v="3.6024783872981576E-3"/>
    <n v="1372183796.3399999"/>
    <n v="0"/>
    <n v="5.2699999999999997E-2"/>
    <n v="0"/>
    <n v="0"/>
    <n v="0.36024783872981575"/>
  </r>
  <r>
    <s v="CAS 2015-C02"/>
    <x v="10"/>
    <n v="26524723882.060001"/>
    <x v="21"/>
    <n v="129579"/>
    <n v="546422790.38"/>
    <n v="0"/>
    <n v="2.0600508145141264E-2"/>
    <n v="0"/>
    <n v="22.103400000000001"/>
    <n v="0"/>
    <n v="2.9729698122639113E-3"/>
    <n v="1918606586.72"/>
    <n v="0"/>
    <n v="7.3800000000000004E-2"/>
    <n v="0"/>
    <n v="0"/>
    <n v="0.29729698122639114"/>
  </r>
  <r>
    <s v="CAS 2015-C02"/>
    <x v="10"/>
    <n v="25924857536.720001"/>
    <x v="22"/>
    <n v="127406"/>
    <n v="398220118.38"/>
    <n v="0"/>
    <n v="1.5360551849357727E-2"/>
    <n v="0"/>
    <n v="16.952400000000001"/>
    <n v="0"/>
    <n v="3.2688519761378729E-3"/>
    <n v="2316826705.0999999"/>
    <n v="0"/>
    <n v="8.9099999999999999E-2"/>
    <n v="0"/>
    <n v="0"/>
    <n v="0.32688519761378731"/>
  </r>
  <r>
    <s v="CAS 2015-C02"/>
    <x v="10"/>
    <n v="25472222636.240002"/>
    <x v="23"/>
    <n v="125731"/>
    <n v="346920362.32999998"/>
    <n v="0"/>
    <n v="1.3619555987879412E-2"/>
    <n v="0"/>
    <n v="15.1731"/>
    <n v="0"/>
    <n v="4.0300187186630551E-3"/>
    <n v="2663747067.4299998"/>
    <n v="0"/>
    <n v="0.1024"/>
    <n v="0"/>
    <n v="0"/>
    <n v="0.40300187186630548"/>
  </r>
  <r>
    <s v="CAS 2015-C02"/>
    <x v="11"/>
    <n v="16616937598.799999"/>
    <x v="20"/>
    <n v="80059"/>
    <n v="319851020.76999998"/>
    <n v="0"/>
    <n v="1.9248493825546904E-2"/>
    <n v="0"/>
    <n v="20.803100000000001"/>
    <n v="0"/>
    <n v="3.5251960285528324E-3"/>
    <n v="682371859.72000003"/>
    <n v="0"/>
    <n v="4.2700000000000002E-2"/>
    <n v="0"/>
    <n v="0"/>
    <n v="0.35251960285528322"/>
  </r>
  <r>
    <s v="CAS 2015-C02"/>
    <x v="11"/>
    <n v="16269256589.57"/>
    <x v="21"/>
    <n v="78787"/>
    <n v="299276013.67000002"/>
    <n v="0"/>
    <n v="1.8395186775888812E-2"/>
    <n v="0"/>
    <n v="19.972300000000001"/>
    <n v="0"/>
    <n v="3.4817721656879444E-3"/>
    <n v="981647873.38999999"/>
    <n v="0"/>
    <n v="6.1499999999999999E-2"/>
    <n v="0"/>
    <n v="0"/>
    <n v="0.34817721656879447"/>
  </r>
  <r>
    <s v="CAS 2015-C02"/>
    <x v="11"/>
    <n v="15941708275.5"/>
    <x v="22"/>
    <n v="77574"/>
    <n v="234947975.31999999"/>
    <n v="0"/>
    <n v="1.473794221169381E-2"/>
    <n v="0"/>
    <n v="16.3201"/>
    <n v="0"/>
    <n v="3.9151815653233318E-3"/>
    <n v="1216595848.71"/>
    <n v="0"/>
    <n v="7.6300000000000007E-2"/>
    <n v="0"/>
    <n v="0"/>
    <n v="0.39151815653233318"/>
  </r>
  <r>
    <s v="CAS 2015-C02"/>
    <x v="11"/>
    <n v="15676855463.42"/>
    <x v="23"/>
    <n v="76585"/>
    <n v="204540330.72"/>
    <n v="0"/>
    <n v="1.3047280508343624E-2"/>
    <n v="0"/>
    <n v="14.5806"/>
    <n v="0"/>
    <n v="4.9237611700963359E-3"/>
    <n v="1421136179.4300001"/>
    <n v="0"/>
    <n v="8.9099999999999999E-2"/>
    <n v="0"/>
    <n v="0"/>
    <n v="0.49237611700963357"/>
  </r>
  <r>
    <s v="CAS 2015-C03"/>
    <x v="12"/>
    <n v="27745977471.580002"/>
    <x v="22"/>
    <n v="130771"/>
    <n v="334894345.29000002"/>
    <n v="0"/>
    <n v="1.2070014315878033E-2"/>
    <n v="0"/>
    <n v="13.5601"/>
    <n v="0"/>
    <n v="2.7854082307664707E-3"/>
    <n v="785277028.29999995"/>
    <n v="0"/>
    <n v="2.8199999999999999E-2"/>
    <n v="0"/>
    <n v="0"/>
    <n v="0.27854082307664707"/>
  </r>
  <r>
    <s v="CAS 2015-C03"/>
    <x v="12"/>
    <n v="27354849593.349998"/>
    <x v="23"/>
    <n v="129402"/>
    <n v="297209556.30000001"/>
    <n v="0"/>
    <n v="1.0864967664536238E-2"/>
    <n v="0"/>
    <n v="12.286300000000001"/>
    <n v="0"/>
    <n v="3.1858315423231491E-3"/>
    <n v="1082486584.5999999"/>
    <n v="0"/>
    <n v="3.8899999999999997E-2"/>
    <n v="0"/>
    <n v="0"/>
    <n v="0.31858315423231492"/>
  </r>
  <r>
    <s v="CAS 2015-C03"/>
    <x v="13"/>
    <n v="19775051818.029999"/>
    <x v="22"/>
    <n v="92475"/>
    <n v="212484005"/>
    <n v="0"/>
    <n v="1.0745054271173473E-2"/>
    <n v="0"/>
    <n v="12.1586"/>
    <n v="0"/>
    <n v="2.9994536957885414E-3"/>
    <n v="476701666.75"/>
    <n v="0"/>
    <n v="2.41E-2"/>
    <n v="0"/>
    <n v="0"/>
    <n v="0.29994536957885415"/>
  </r>
  <r>
    <s v="CAS 2015-C03"/>
    <x v="13"/>
    <n v="19527197471.060001"/>
    <x v="23"/>
    <n v="91612"/>
    <n v="200402940.16"/>
    <n v="0"/>
    <n v="1.0262759950935318E-2"/>
    <n v="0"/>
    <n v="11.6434"/>
    <n v="0"/>
    <n v="4.4362147772809722E-3"/>
    <n v="677104606.90999997"/>
    <n v="0"/>
    <n v="3.4200000000000001E-2"/>
    <n v="0"/>
    <n v="0"/>
    <n v="0.443621477728097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7" cacheId="811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16:AG41" firstHeaderRow="1" firstDataRow="2" firstDataCol="1"/>
  <pivotFields count="18"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Row" numFmtId="14" showAll="0" sortType="descending">
      <items count="28"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m="1" x="26"/>
        <item m="1" x="24"/>
        <item m="1" x="25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dataField="1"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showAll="0" defaultSubtotal="0"/>
  </pivotFields>
  <rowFields count="1">
    <field x="3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1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CDR %" fld="10" baseField="0" baseItem="0" numFmtId="2"/>
  </dataFields>
  <formats count="9">
    <format dxfId="83">
      <pivotArea outline="0" collapsedLevelsAreSubtotals="1" fieldPosition="0"/>
    </format>
    <format dxfId="82">
      <pivotArea field="3" type="button" dataOnly="0" labelOnly="1" outline="0" axis="axisRow" fieldPosition="0"/>
    </format>
    <format dxfId="81">
      <pivotArea type="all" dataOnly="0" outline="0" fieldPosition="0"/>
    </format>
    <format dxfId="80">
      <pivotArea type="all" dataOnly="0" outline="0" fieldPosition="0"/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dataOnly="0" labelOnly="1" fieldPosition="0">
        <references count="1">
          <reference field="3" count="0"/>
        </references>
      </pivotArea>
    </format>
    <format dxfId="76">
      <pivotArea field="3" type="button" dataOnly="0" labelOnly="1" outline="0" axis="axisRow" fieldPosition="0"/>
    </format>
    <format dxfId="75">
      <pivotArea field="3" type="button" dataOnly="0" labelOnly="1" outline="0" axis="axisRow" fieldPosition="0"/>
    </format>
  </formats>
  <conditionalFormats count="1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6" cacheId="811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I16:AW41" firstHeaderRow="1" firstDataRow="2" firstDataCol="1"/>
  <pivotFields count="18"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Row" numFmtId="14" showAll="0" sortType="descending">
      <items count="28"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m="1" x="26"/>
        <item m="1" x="24"/>
        <item m="1" x="25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10" showAll="0"/>
    <pivotField showAll="0" defaultSubtotal="0"/>
    <pivotField showAll="0" defaultSubtotal="0"/>
    <pivotField numFmtId="10" showAll="0"/>
    <pivotField numFmtId="10" showAll="0"/>
    <pivotField dataField="1" showAll="0" defaultSubtotal="0"/>
    <pivotField showAll="0" defaultSubtotal="0"/>
  </pivotFields>
  <rowFields count="1">
    <field x="3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1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Sum of Cum_DF100" fld="16" baseField="0" baseItem="0"/>
  </dataFields>
  <formats count="10">
    <format dxfId="93">
      <pivotArea outline="0" collapsedLevelsAreSubtotals="1" fieldPosition="0"/>
    </format>
    <format dxfId="92">
      <pivotArea type="all" dataOnly="0" outline="0" fieldPosition="0"/>
    </format>
    <format dxfId="91">
      <pivotArea field="3" type="button" dataOnly="0" labelOnly="1" outline="0" axis="axisRow" fieldPosition="0"/>
    </format>
    <format dxfId="90">
      <pivotArea type="all" dataOnly="0" outline="0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dataOnly="0" labelOnly="1" fieldPosition="0">
        <references count="1">
          <reference field="3" count="0"/>
        </references>
      </pivotArea>
    </format>
    <format dxfId="86">
      <pivotArea field="3" type="button" dataOnly="0" labelOnly="1" outline="0" axis="axisRow" fieldPosition="0"/>
    </format>
    <format dxfId="85">
      <pivotArea outline="0" collapsedLevelsAreSubtotals="1" fieldPosition="0"/>
    </format>
    <format dxfId="84">
      <pivotArea field="3" type="button" dataOnly="0" labelOnly="1" outline="0" axis="axisRow" fieldPosition="0"/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5" cacheId="811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Z16:BN41" firstHeaderRow="1" firstDataRow="2" firstDataCol="1"/>
  <pivotFields count="18"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Row" numFmtId="14" showAll="0" sortType="descending">
      <items count="28"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m="1" x="26"/>
        <item m="1" x="24"/>
        <item m="1" x="25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dataField="1" showAll="0" defaultSubtotal="0"/>
  </pivotFields>
  <rowFields count="1">
    <field x="3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1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Sum of DLQ100" fld="17" baseField="0" baseItem="0"/>
  </dataFields>
  <formats count="11">
    <format dxfId="104">
      <pivotArea outline="0" collapsedLevelsAreSubtotals="1" fieldPosition="0"/>
    </format>
    <format dxfId="103">
      <pivotArea type="all" dataOnly="0" outline="0" fieldPosition="0"/>
    </format>
    <format dxfId="102">
      <pivotArea field="3" type="button" dataOnly="0" labelOnly="1" outline="0" axis="axisRow" fieldPosition="0"/>
    </format>
    <format dxfId="101">
      <pivotArea field="3" type="button" dataOnly="0" labelOnly="1" outline="0" axis="axisRow" fieldPosition="0"/>
    </format>
    <format dxfId="100">
      <pivotArea type="all" dataOnly="0" outline="0" fieldPosition="0"/>
    </format>
    <format dxfId="99">
      <pivotArea type="all" dataOnly="0" outline="0" fieldPosition="0"/>
    </format>
    <format dxfId="98">
      <pivotArea outline="0" collapsedLevelsAreSubtotals="1" fieldPosition="0"/>
    </format>
    <format dxfId="97">
      <pivotArea dataOnly="0" labelOnly="1" fieldPosition="0">
        <references count="1">
          <reference field="3" count="0"/>
        </references>
      </pivotArea>
    </format>
    <format dxfId="96">
      <pivotArea field="3" type="button" dataOnly="0" labelOnly="1" outline="0" axis="axisRow" fieldPosition="0"/>
    </format>
    <format dxfId="95">
      <pivotArea outline="0" collapsedLevelsAreSubtotals="1" fieldPosition="0"/>
    </format>
    <format dxfId="94">
      <pivotArea field="3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8" cacheId="811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16:Q41" firstHeaderRow="1" firstDataRow="2" firstDataCol="1"/>
  <pivotFields count="18"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Row" numFmtId="14" showAll="0" sortType="descending">
      <items count="28"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m="1" x="26"/>
        <item m="1" x="24"/>
        <item m="1" x="25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showAll="0" defaultSubtotal="0"/>
  </pivotFields>
  <rowFields count="1">
    <field x="3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1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Sum of CPR" fld="9" baseField="0" baseItem="0" numFmtId="164"/>
  </dataFields>
  <formats count="12">
    <format dxfId="116">
      <pivotArea outline="0" collapsedLevelsAreSubtotals="1" fieldPosition="0"/>
    </format>
    <format dxfId="115">
      <pivotArea field="3" type="button" dataOnly="0" labelOnly="1" outline="0" axis="axisRow" fieldPosition="0"/>
    </format>
    <format dxfId="114">
      <pivotArea field="3" type="button" dataOnly="0" labelOnly="1" outline="0" axis="axisRow" fieldPosition="0"/>
    </format>
    <format dxfId="113">
      <pivotArea type="all" dataOnly="0" outline="0" fieldPosition="0"/>
    </format>
    <format dxfId="112">
      <pivotArea type="all" dataOnly="0" outline="0" fieldPosition="0"/>
    </format>
    <format dxfId="111">
      <pivotArea type="all" dataOnly="0" outline="0" fieldPosition="0"/>
    </format>
    <format dxfId="110">
      <pivotArea outline="0" collapsedLevelsAreSubtotals="1" fieldPosition="0"/>
    </format>
    <format dxfId="109">
      <pivotArea dataOnly="0" labelOnly="1" fieldPosition="0">
        <references count="1">
          <reference field="3" count="0"/>
        </references>
      </pivotArea>
    </format>
    <format dxfId="108">
      <pivotArea field="3" type="button" dataOnly="0" labelOnly="1" outline="0" axis="axisRow" fieldPosition="0"/>
    </format>
    <format dxfId="107">
      <pivotArea field="3" type="button" dataOnly="0" labelOnly="1" outline="0" axis="axisRow" fieldPosition="0"/>
    </format>
    <format dxfId="106">
      <pivotArea field="3" type="button" dataOnly="0" labelOnly="1" outline="0" axis="axisRow" fieldPosition="0"/>
    </format>
    <format dxfId="105">
      <pivotArea field="3" type="button" dataOnly="0" labelOnly="1" outline="0" axis="axisRow" fieldPosition="0"/>
    </format>
  </formats>
  <conditionalFormats count="1"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11" backgroundRefresh="0" adjustColumnWidth="0" connectionId="1" autoFormatId="16" applyNumberFormats="0" applyBorderFormats="0" applyFontFormats="0" applyPatternFormats="0" applyAlignmentFormats="0" applyWidthHeightFormats="0">
  <queryTableRefresh nextId="120">
    <queryTableFields count="43">
      <queryTableField id="77" name="DealName" tableColumnId="1"/>
      <queryTableField id="78" name="RefPoolId" tableColumnId="2"/>
      <queryTableField id="79" name="CurrentLoanCount" tableColumnId="3"/>
      <queryTableField id="80" name="CurrentBalance" tableColumnId="4"/>
      <queryTableField id="81" name="OriginalBalance" tableColumnId="5"/>
      <queryTableField id="82" name="wavg_loanAge" tableColumnId="6"/>
      <queryTableField id="83" name="wavg_origNoteRate" tableColumnId="7"/>
      <queryTableField id="84" name="wavg_currentNoteRate" tableColumnId="8"/>
      <queryTableField id="85" name="wavg_origLTV" tableColumnId="9"/>
      <queryTableField id="86" name="wavg_origCLTV" tableColumnId="10"/>
      <queryTableField id="87" name="wavg_currentLTV" tableColumnId="11"/>
      <queryTableField id="88" name="wavg_origDTI" tableColumnId="12"/>
      <queryTableField id="89" name="wavg_origFICO" tableColumnId="13"/>
      <queryTableField id="90" name="wavg_origLoanSize" tableColumnId="14"/>
      <queryTableField id="91" name="pct_mi" tableColumnId="15"/>
      <queryTableField id="92" name="pct_2nd" tableColumnId="16"/>
      <queryTableField id="93" name="pct_firstTimeHomeBuyer" tableColumnId="17"/>
      <queryTableField id="94" name="pct_multiple_borrowers" tableColumnId="18"/>
      <queryTableField id="95" name="pct_multiple_units" tableColumnId="19"/>
      <queryTableField id="96" name="pct_sfr" tableColumnId="20"/>
      <queryTableField id="97" name="pct_owner" tableColumnId="21"/>
      <queryTableField id="98" name="pct_purchase" tableColumnId="22"/>
      <queryTableField id="99" name="pct_broker" tableColumnId="23"/>
      <queryTableField id="100" name="pct_current" tableColumnId="24"/>
      <queryTableField id="101" name="pct_delinquent" tableColumnId="25"/>
      <queryTableField id="102" name="pct_APL" tableColumnId="26"/>
      <queryTableField id="103" name="pct_RPL" tableColumnId="27"/>
      <queryTableField id="104" name="pct_earlyNPL" tableColumnId="28"/>
      <queryTableField id="105" name="pct_lateNPL" tableColumnId="29"/>
      <queryTableField id="106" name="pct_modified" tableColumnId="30"/>
      <queryTableField id="107" name="GroupId" tableColumnId="31"/>
      <queryTableField id="108" name="factorDate" tableColumnId="32"/>
      <queryTableField id="109" name="wavg_currLoanSize" tableColumnId="33"/>
      <queryTableField id="110" name="pct_second" tableColumnId="34"/>
      <queryTableField id="111" name="pct_pud" tableColumnId="35"/>
      <queryTableField id="112" name="pct_condo" tableColumnId="36"/>
      <queryTableField id="113" name="pct_mh" tableColumnId="37"/>
      <queryTableField id="114" name="pct_coop" tableColumnId="38"/>
      <queryTableField id="115" name="pct_inv" tableColumnId="39"/>
      <queryTableField id="116" name="pct_refi_nco" tableColumnId="40"/>
      <queryTableField id="117" name="pct_refi_co" tableColumnId="41"/>
      <queryTableField id="118" name="pct_retail" tableColumnId="42"/>
      <queryTableField id="119" name="pct_corres" tableColumnId="43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2" autoFormatId="16" applyNumberFormats="0" applyBorderFormats="0" applyFontFormats="0" applyPatternFormats="0" applyAlignmentFormats="0" applyWidthHeightFormats="0">
  <queryTableRefresh nextId="125" unboundColumnsRight="2">
    <queryTableFields count="18">
      <queryTableField id="77" name="DealName" tableColumnId="1"/>
      <queryTableField id="78" name="RefPoolId" tableColumnId="2"/>
      <queryTableField id="80" name="CurrentBalance" tableColumnId="4"/>
      <queryTableField id="107" name="beginDate" tableColumnId="31"/>
      <queryTableField id="108" name="loanCount" tableColumnId="32"/>
      <queryTableField id="109" name="prepaymentBalance" tableColumnId="33"/>
      <queryTableField id="110" name="defaultBalance" tableColumnId="34"/>
      <queryTableField id="111" name="smm" tableColumnId="35"/>
      <queryTableField id="112" name="mdr" tableColumnId="36"/>
      <queryTableField id="113" name="CPR" tableColumnId="37"/>
      <queryTableField id="114" name="CDR" tableColumnId="38"/>
      <queryTableField id="115" name="pct_dq" tableColumnId="39"/>
      <queryTableField id="116" name="cum_prepayment" tableColumnId="40"/>
      <queryTableField id="117" name="cum_default" tableColumnId="41"/>
      <queryTableField id="118" name="cum_pp_pct" tableColumnId="42"/>
      <queryTableField id="119" name="cum_df_pct" tableColumnId="43"/>
      <queryTableField id="120" dataBound="0" tableColumnId="44"/>
      <queryTableField id="121" dataBound="0" tableColumnId="45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1" backgroundRefresh="0" adjustColumnWidth="0" connectionId="3" autoFormatId="16" applyNumberFormats="0" applyBorderFormats="0" applyFontFormats="0" applyPatternFormats="0" applyAlignmentFormats="0" applyWidthHeightFormats="0">
  <queryTableRefresh nextId="115" unboundColumnsRight="1">
    <queryTableFields count="8">
      <queryTableField id="107" name="BloombergDealName" tableColumnId="1"/>
      <queryTableField id="108" name="BloombergBondName" tableColumnId="3"/>
      <queryTableField id="109" name="YBName" tableColumnId="4"/>
      <queryTableField id="110" name="Cusip" tableColumnId="5"/>
      <queryTableField id="111" name="PricingDate" tableColumnId="6"/>
      <queryTableField id="112" name="RefPoolId" tableColumnId="2"/>
      <queryTableField id="113" name="groupID" tableColumnId="7"/>
      <queryTableField id="114" dataBound="0" tableColumnId="8"/>
    </queryTableFields>
    <queryTableDeletedFields count="1">
      <deletedField name="refinancible_satoAdj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CurrentMtgRatesDataTable8252" displayName="CurrentMtgRatesDataTable8252" ref="B3:AR17" tableType="queryTable" totalsRowShown="0" headerRowDxfId="74" dataDxfId="73">
  <tableColumns count="43">
    <tableColumn id="1" uniqueName="1" name="DealName" queryTableFieldId="77" dataDxfId="68"/>
    <tableColumn id="2" uniqueName="2" name="RefPoolId" queryTableFieldId="78" dataDxfId="67"/>
    <tableColumn id="3" uniqueName="3" name="CurrentLoanCount" queryTableFieldId="79" dataDxfId="66"/>
    <tableColumn id="4" uniqueName="4" name="CurrentBalance" queryTableFieldId="80" dataDxfId="65"/>
    <tableColumn id="5" uniqueName="5" name="OriginalBalance" queryTableFieldId="81" dataDxfId="64"/>
    <tableColumn id="6" uniqueName="6" name="wavg_loanAge" queryTableFieldId="82" dataDxfId="63"/>
    <tableColumn id="7" uniqueName="7" name="wavg_origNoteRate" queryTableFieldId="83" dataDxfId="62"/>
    <tableColumn id="8" uniqueName="8" name="wavg_currentNoteRate" queryTableFieldId="84" dataDxfId="61"/>
    <tableColumn id="9" uniqueName="9" name="wavg_origLTV" queryTableFieldId="85" dataDxfId="60"/>
    <tableColumn id="10" uniqueName="10" name="wavg_origCLTV" queryTableFieldId="86" dataDxfId="59"/>
    <tableColumn id="11" uniqueName="11" name="wavg_currentLTV" queryTableFieldId="87" dataDxfId="58"/>
    <tableColumn id="12" uniqueName="12" name="wavg_origDTI" queryTableFieldId="88" dataDxfId="57"/>
    <tableColumn id="13" uniqueName="13" name="wavg_origFICO" queryTableFieldId="89" dataDxfId="56"/>
    <tableColumn id="14" uniqueName="14" name="wavg_origLoanSize" queryTableFieldId="90" dataDxfId="55"/>
    <tableColumn id="15" uniqueName="15" name="pct_mi" queryTableFieldId="91" dataDxfId="54"/>
    <tableColumn id="16" uniqueName="16" name="pct_2nd" queryTableFieldId="92" dataDxfId="53"/>
    <tableColumn id="17" uniqueName="17" name="pct_firstTimeHomeBuyer" queryTableFieldId="93" dataDxfId="52"/>
    <tableColumn id="18" uniqueName="18" name="pct_multiple_borrowers" queryTableFieldId="94" dataDxfId="51"/>
    <tableColumn id="19" uniqueName="19" name="pct_multiple_units" queryTableFieldId="95" dataDxfId="50"/>
    <tableColumn id="20" uniqueName="20" name="pct_sfr" queryTableFieldId="96" dataDxfId="49"/>
    <tableColumn id="21" uniqueName="21" name="pct_owner" queryTableFieldId="97" dataDxfId="48"/>
    <tableColumn id="22" uniqueName="22" name="pct_purchase" queryTableFieldId="98" dataDxfId="47"/>
    <tableColumn id="23" uniqueName="23" name="pct_broker" queryTableFieldId="99" dataDxfId="46"/>
    <tableColumn id="24" uniqueName="24" name="pct_current" queryTableFieldId="100" dataDxfId="45"/>
    <tableColumn id="25" uniqueName="25" name="pct_delinquent" queryTableFieldId="101" dataDxfId="44"/>
    <tableColumn id="26" uniqueName="26" name="pct_APL" queryTableFieldId="102" dataDxfId="43"/>
    <tableColumn id="27" uniqueName="27" name="pct_RPL" queryTableFieldId="103" dataDxfId="42"/>
    <tableColumn id="28" uniqueName="28" name="pct_earlyNPL" queryTableFieldId="104" dataDxfId="41"/>
    <tableColumn id="29" uniqueName="29" name="pct_lateNPL" queryTableFieldId="105" dataDxfId="40"/>
    <tableColumn id="30" uniqueName="30" name="pct_modified" queryTableFieldId="106" dataDxfId="39"/>
    <tableColumn id="31" uniqueName="31" name="GroupId" queryTableFieldId="107" dataDxfId="38"/>
    <tableColumn id="32" uniqueName="32" name="factorDate" queryTableFieldId="108" dataDxfId="37"/>
    <tableColumn id="33" uniqueName="33" name="wavg_currLoanSize" queryTableFieldId="109" dataDxfId="36"/>
    <tableColumn id="34" uniqueName="34" name="pct_second" queryTableFieldId="110" dataDxfId="35"/>
    <tableColumn id="35" uniqueName="35" name="pct_pud" queryTableFieldId="111" dataDxfId="34"/>
    <tableColumn id="36" uniqueName="36" name="pct_condo" queryTableFieldId="112" dataDxfId="33"/>
    <tableColumn id="37" uniqueName="37" name="pct_mh" queryTableFieldId="113" dataDxfId="32"/>
    <tableColumn id="38" uniqueName="38" name="pct_coop" queryTableFieldId="114" dataDxfId="31"/>
    <tableColumn id="39" uniqueName="39" name="pct_inv" queryTableFieldId="115" dataDxfId="30"/>
    <tableColumn id="40" uniqueName="40" name="pct_refi_nco" queryTableFieldId="116" dataDxfId="29"/>
    <tableColumn id="41" uniqueName="41" name="pct_refi_co" queryTableFieldId="117" dataDxfId="28"/>
    <tableColumn id="42" uniqueName="42" name="pct_retail" queryTableFieldId="118" dataDxfId="27"/>
    <tableColumn id="43" uniqueName="43" name="pct_corres" queryTableFieldId="119" dataDxfId="2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CurrentMtgRatesDataTable82523" displayName="CurrentMtgRatesDataTable82523" ref="C3:T158" tableType="queryTable" totalsRowShown="0" headerRowDxfId="72" dataDxfId="71">
  <tableColumns count="18">
    <tableColumn id="1" uniqueName="1" name="DealName" queryTableFieldId="77" dataDxfId="25"/>
    <tableColumn id="2" uniqueName="2" name="RefPoolId" queryTableFieldId="78" dataDxfId="24"/>
    <tableColumn id="4" uniqueName="4" name="currentBalance" queryTableFieldId="80" dataDxfId="23"/>
    <tableColumn id="31" uniqueName="31" name="beginDate" queryTableFieldId="107" dataDxfId="22"/>
    <tableColumn id="32" uniqueName="32" name="loanCount" queryTableFieldId="108" dataDxfId="21"/>
    <tableColumn id="33" uniqueName="33" name="prepaymentBalance" queryTableFieldId="109" dataDxfId="20"/>
    <tableColumn id="34" uniqueName="34" name="defaultBalance" queryTableFieldId="110" dataDxfId="19"/>
    <tableColumn id="35" uniqueName="35" name="smm" queryTableFieldId="111" dataDxfId="18"/>
    <tableColumn id="36" uniqueName="36" name="mdr" queryTableFieldId="112" dataDxfId="17"/>
    <tableColumn id="37" uniqueName="37" name="CPR" queryTableFieldId="113" dataDxfId="16"/>
    <tableColumn id="38" uniqueName="38" name="CDR" queryTableFieldId="114" dataDxfId="15"/>
    <tableColumn id="39" uniqueName="39" name="pct_dq" queryTableFieldId="115" dataDxfId="14"/>
    <tableColumn id="40" uniqueName="40" name="cum_prepayment" queryTableFieldId="116" dataDxfId="13"/>
    <tableColumn id="41" uniqueName="41" name="cum_default" queryTableFieldId="117" dataDxfId="12"/>
    <tableColumn id="42" uniqueName="42" name="cum_pp_pct" queryTableFieldId="118" dataDxfId="11"/>
    <tableColumn id="43" uniqueName="43" name="cum_df_pct" queryTableFieldId="119" dataDxfId="10"/>
    <tableColumn id="44" uniqueName="44" name="Cum_DF100" queryTableFieldId="120" dataDxfId="9">
      <calculatedColumnFormula>CurrentMtgRatesDataTable82523[[#This Row],[cum_df_pct]]*100</calculatedColumnFormula>
    </tableColumn>
    <tableColumn id="45" uniqueName="45" name="DLQ100" queryTableFieldId="121" dataDxfId="8">
      <calculatedColumnFormula>CurrentMtgRatesDataTable82523[[#This Row],[pct_dq]]*100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CurrentMtgRatesDataTable82524" displayName="CurrentMtgRatesDataTable82524" ref="B3:I31" tableType="queryTable" totalsRowShown="0" headerRowDxfId="70" dataDxfId="69">
  <tableColumns count="8">
    <tableColumn id="1" uniqueName="1" name="BloombergDealName" queryTableFieldId="107" dataDxfId="7"/>
    <tableColumn id="3" uniqueName="3" name="BloombergBondName" queryTableFieldId="108" dataDxfId="6"/>
    <tableColumn id="4" uniqueName="4" name="YBName" queryTableFieldId="109" dataDxfId="5"/>
    <tableColumn id="5" uniqueName="5" name="Cusip" queryTableFieldId="110" dataDxfId="4"/>
    <tableColumn id="6" uniqueName="6" name="PricingDate" queryTableFieldId="111" dataDxfId="3"/>
    <tableColumn id="2" uniqueName="2" name="RefPoolId" queryTableFieldId="112" dataDxfId="2"/>
    <tableColumn id="7" uniqueName="7" name="groupID" queryTableFieldId="113" dataDxfId="1"/>
    <tableColumn id="8" uniqueName="8" name="BloombergDealName2" queryTableFieldId="114" dataDxfId="0">
      <calculatedColumnFormula>CurrentMtgRatesDataTable82524[[#This Row],[BloombergDealName]]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59999389629810485"/>
    <pageSetUpPr fitToPage="1"/>
  </sheetPr>
  <dimension ref="A4:Z76"/>
  <sheetViews>
    <sheetView showGridLines="0" zoomScale="85" zoomScaleNormal="85" workbookViewId="0">
      <selection activeCell="J59" sqref="J59"/>
    </sheetView>
  </sheetViews>
  <sheetFormatPr defaultRowHeight="15"/>
  <cols>
    <col min="1" max="1" width="12.28515625" customWidth="1"/>
    <col min="2" max="2" width="5.5703125" style="93" customWidth="1"/>
    <col min="3" max="3" width="6" customWidth="1"/>
    <col min="4" max="4" width="24" hidden="1" customWidth="1"/>
    <col min="5" max="5" width="23.5703125" bestFit="1" customWidth="1"/>
    <col min="6" max="17" width="10.7109375" style="35" customWidth="1"/>
    <col min="18" max="18" width="6.140625" customWidth="1"/>
    <col min="19" max="22" width="10.42578125" customWidth="1"/>
    <col min="23" max="23" width="14.85546875" bestFit="1" customWidth="1"/>
  </cols>
  <sheetData>
    <row r="4" spans="1:26">
      <c r="W4" t="s">
        <v>81</v>
      </c>
    </row>
    <row r="9" spans="1:26" s="2" customFormat="1" ht="30" customHeight="1">
      <c r="A9" s="24"/>
      <c r="B9" s="24"/>
      <c r="C9"/>
      <c r="D9"/>
      <c r="E9" s="30" t="s">
        <v>12</v>
      </c>
      <c r="F9" s="43" t="str">
        <f>VLOOKUP(F12,'Deal Pool Mapping'!$G:$I,3,0)</f>
        <v>CAS 2013-C01</v>
      </c>
      <c r="G9" s="43" t="str">
        <f>VLOOKUP(G12,'Deal Pool Mapping'!$G:$I,3,0)</f>
        <v>CAS 2014-C01</v>
      </c>
      <c r="H9" s="43" t="str">
        <f>VLOOKUP(H12,'Deal Pool Mapping'!$G:$I,3,0)</f>
        <v>CAS 2014-C02</v>
      </c>
      <c r="I9" s="43" t="str">
        <f>VLOOKUP(I12,'Deal Pool Mapping'!$G:$I,3,0)</f>
        <v>CAS 2014-C02</v>
      </c>
      <c r="J9" s="43" t="str">
        <f>VLOOKUP(J12,'Deal Pool Mapping'!$G:$I,3,0)</f>
        <v>CAS 2014-C03</v>
      </c>
      <c r="K9" s="43" t="str">
        <f>VLOOKUP(K12,'Deal Pool Mapping'!$G:$I,3,0)</f>
        <v>CAS 2014-C03</v>
      </c>
      <c r="L9" s="43" t="str">
        <f>VLOOKUP(L12,'Deal Pool Mapping'!$G:$I,3,0)</f>
        <v>CAS 2014-C04</v>
      </c>
      <c r="M9" s="43" t="str">
        <f>VLOOKUP(M12,'Deal Pool Mapping'!$G:$I,3,0)</f>
        <v>CAS 2014-C04</v>
      </c>
      <c r="N9" s="43" t="str">
        <f>VLOOKUP(N12,'Deal Pool Mapping'!$G:$I,3,0)</f>
        <v>CAS 2015-C01</v>
      </c>
      <c r="O9" s="43" t="str">
        <f>VLOOKUP(O12,'Deal Pool Mapping'!$G:$I,3,0)</f>
        <v>CAS 2015-C01</v>
      </c>
      <c r="P9" s="43" t="str">
        <f>VLOOKUP(P12,'Deal Pool Mapping'!$G:$I,3,0)</f>
        <v>CAS 2015-C02</v>
      </c>
      <c r="Q9" s="43" t="str">
        <f>VLOOKUP(Q12,'Deal Pool Mapping'!$G:$I,3,0)</f>
        <v>CAS 2015-C02</v>
      </c>
      <c r="R9"/>
      <c r="S9"/>
      <c r="T9"/>
      <c r="U9"/>
      <c r="V9"/>
      <c r="W9"/>
      <c r="X9"/>
      <c r="Y9"/>
      <c r="Z9"/>
    </row>
    <row r="10" spans="1:26" s="2" customFormat="1" hidden="1">
      <c r="A10" s="24"/>
      <c r="B10" s="24"/>
      <c r="C10"/>
      <c r="D10"/>
      <c r="E10" s="31" t="s">
        <v>31</v>
      </c>
      <c r="F10" s="36">
        <v>84793</v>
      </c>
      <c r="G10" s="36">
        <v>132693</v>
      </c>
      <c r="H10" s="36">
        <v>128194</v>
      </c>
      <c r="I10" s="36">
        <v>102690</v>
      </c>
      <c r="J10" s="36">
        <v>71708</v>
      </c>
      <c r="K10" s="36">
        <v>59082</v>
      </c>
      <c r="L10" s="36">
        <v>37981</v>
      </c>
      <c r="M10" s="36">
        <v>135963</v>
      </c>
      <c r="N10" s="36">
        <v>31630</v>
      </c>
      <c r="O10" s="36">
        <v>107563</v>
      </c>
      <c r="P10" s="36">
        <v>132605</v>
      </c>
      <c r="Q10" s="36">
        <v>141967</v>
      </c>
      <c r="R10"/>
      <c r="S10"/>
      <c r="T10"/>
      <c r="U10"/>
      <c r="V10"/>
      <c r="W10"/>
      <c r="X10"/>
      <c r="Y10"/>
      <c r="Z10"/>
    </row>
    <row r="11" spans="1:26" s="2" customFormat="1">
      <c r="A11" s="24"/>
      <c r="B11" s="24"/>
      <c r="C11" s="93"/>
      <c r="D11" s="93"/>
      <c r="E11" s="97" t="s">
        <v>216</v>
      </c>
      <c r="F11" s="98">
        <f>VLOOKUP(F12,'Deal Pool Mapping'!$G:$H,2,0)</f>
        <v>1</v>
      </c>
      <c r="G11" s="98">
        <f>VLOOKUP(G12,'Deal Pool Mapping'!$G:$H,2,0)</f>
        <v>1</v>
      </c>
      <c r="H11" s="98">
        <f>VLOOKUP(H12,'Deal Pool Mapping'!$G:$H,2,0)</f>
        <v>1</v>
      </c>
      <c r="I11" s="98">
        <f>VLOOKUP(I12,'Deal Pool Mapping'!$G:$H,2,0)</f>
        <v>2</v>
      </c>
      <c r="J11" s="98">
        <f>VLOOKUP(J12,'Deal Pool Mapping'!$G:$H,2,0)</f>
        <v>1</v>
      </c>
      <c r="K11" s="98">
        <f>VLOOKUP(K12,'Deal Pool Mapping'!$G:$H,2,0)</f>
        <v>2</v>
      </c>
      <c r="L11" s="98">
        <f>VLOOKUP(L12,'Deal Pool Mapping'!$G:$H,2,0)</f>
        <v>1</v>
      </c>
      <c r="M11" s="98">
        <f>VLOOKUP(M12,'Deal Pool Mapping'!$G:$H,2,0)</f>
        <v>2</v>
      </c>
      <c r="N11" s="98">
        <f>VLOOKUP(N12,'Deal Pool Mapping'!$G:$H,2,0)</f>
        <v>1</v>
      </c>
      <c r="O11" s="98">
        <f>VLOOKUP(O12,'Deal Pool Mapping'!$G:$H,2,0)</f>
        <v>2</v>
      </c>
      <c r="P11" s="98">
        <f>VLOOKUP(P12,'Deal Pool Mapping'!$G:$H,2,0)</f>
        <v>1</v>
      </c>
      <c r="Q11" s="98">
        <f>VLOOKUP(Q12,'Deal Pool Mapping'!$G:$H,2,0)</f>
        <v>2</v>
      </c>
      <c r="R11" s="93"/>
      <c r="S11" s="93"/>
      <c r="T11" s="93"/>
      <c r="U11" s="93"/>
      <c r="V11" s="93"/>
      <c r="W11" s="93"/>
      <c r="X11" s="93"/>
      <c r="Y11" s="93"/>
      <c r="Z11" s="93"/>
    </row>
    <row r="12" spans="1:26" s="2" customFormat="1" hidden="1">
      <c r="A12" s="24"/>
      <c r="B12" s="24"/>
      <c r="C12" s="93"/>
      <c r="D12" s="93"/>
      <c r="E12" s="31"/>
      <c r="F12" s="36" t="s">
        <v>115</v>
      </c>
      <c r="G12" s="36" t="s">
        <v>123</v>
      </c>
      <c r="H12" s="36" t="s">
        <v>131</v>
      </c>
      <c r="I12" s="36" t="s">
        <v>138</v>
      </c>
      <c r="J12" s="36" t="s">
        <v>146</v>
      </c>
      <c r="K12" s="36" t="s">
        <v>153</v>
      </c>
      <c r="L12" s="36" t="s">
        <v>161</v>
      </c>
      <c r="M12" s="36" t="s">
        <v>168</v>
      </c>
      <c r="N12" s="36" t="s">
        <v>176</v>
      </c>
      <c r="O12" s="36" t="s">
        <v>183</v>
      </c>
      <c r="P12" s="36" t="s">
        <v>191</v>
      </c>
      <c r="Q12" s="36" t="s">
        <v>198</v>
      </c>
      <c r="R12" s="93"/>
      <c r="S12" s="93"/>
      <c r="T12" s="93"/>
      <c r="U12" s="93"/>
      <c r="V12" s="93"/>
      <c r="W12" s="93"/>
      <c r="X12" s="93"/>
      <c r="Y12" s="93"/>
      <c r="Z12" s="93"/>
    </row>
    <row r="13" spans="1:26" s="2" customFormat="1">
      <c r="A13" s="24"/>
      <c r="B13" s="24"/>
      <c r="C13"/>
      <c r="D13"/>
      <c r="E13" s="87" t="s">
        <v>90</v>
      </c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/>
      <c r="S13"/>
      <c r="T13"/>
      <c r="U13"/>
      <c r="V13"/>
      <c r="W13"/>
      <c r="X13"/>
      <c r="Y13"/>
      <c r="Z13"/>
    </row>
    <row r="14" spans="1:26" s="2" customFormat="1">
      <c r="A14" s="24"/>
      <c r="B14" s="24"/>
      <c r="C14" s="93"/>
      <c r="D14" s="93" t="s">
        <v>108</v>
      </c>
      <c r="E14" s="32" t="s">
        <v>109</v>
      </c>
      <c r="F14" s="94">
        <f>VLOOKUP(F$9,CurrentMtgRatesDataTable82524[#All],MATCH($D14,CurrentMtgRatesDataTable82524[#Headers],0),FALSE)</f>
        <v>41569</v>
      </c>
      <c r="G14" s="95">
        <f>VLOOKUP(G$9,CurrentMtgRatesDataTable82524[#All],MATCH($D14,CurrentMtgRatesDataTable82524[#Headers],0),FALSE)</f>
        <v>41653</v>
      </c>
      <c r="H14" s="95">
        <f>VLOOKUP(H$9,CurrentMtgRatesDataTable82524[#All],MATCH($D14,CurrentMtgRatesDataTable82524[#Headers],0),FALSE)</f>
        <v>41780</v>
      </c>
      <c r="I14" s="95">
        <f>VLOOKUP(I$9,CurrentMtgRatesDataTable82524[#All],MATCH($D14,CurrentMtgRatesDataTable82524[#Headers],0),FALSE)</f>
        <v>41780</v>
      </c>
      <c r="J14" s="95">
        <f>VLOOKUP(J$9,CurrentMtgRatesDataTable82524[#All],MATCH($D14,CurrentMtgRatesDataTable82524[#Headers],0),FALSE)</f>
        <v>41843</v>
      </c>
      <c r="K14" s="95">
        <f>VLOOKUP(K$9,CurrentMtgRatesDataTable82524[#All],MATCH($D14,CurrentMtgRatesDataTable82524[#Headers],0),FALSE)</f>
        <v>41843</v>
      </c>
      <c r="L14" s="95">
        <f>VLOOKUP(L$9,CurrentMtgRatesDataTable82524[#All],MATCH($D14,CurrentMtgRatesDataTable82524[#Headers],0),FALSE)</f>
        <v>41962</v>
      </c>
      <c r="M14" s="95">
        <f>VLOOKUP(M$9,CurrentMtgRatesDataTable82524[#All],MATCH($D14,CurrentMtgRatesDataTable82524[#Headers],0),FALSE)</f>
        <v>41962</v>
      </c>
      <c r="N14" s="95">
        <f>VLOOKUP(N$9,CurrentMtgRatesDataTable82524[#All],MATCH($D14,CurrentMtgRatesDataTable82524[#Headers],0),FALSE)</f>
        <v>42054</v>
      </c>
      <c r="O14" s="95">
        <f>VLOOKUP(O$9,CurrentMtgRatesDataTable82524[#All],MATCH($D14,CurrentMtgRatesDataTable82524[#Headers],0),FALSE)</f>
        <v>42054</v>
      </c>
      <c r="P14" s="95">
        <f>VLOOKUP(P$9,CurrentMtgRatesDataTable82524[#All],MATCH($D14,CurrentMtgRatesDataTable82524[#Headers],0),FALSE)</f>
        <v>42143</v>
      </c>
      <c r="Q14" s="95">
        <f>VLOOKUP(Q$9,CurrentMtgRatesDataTable82524[#All],MATCH($D14,CurrentMtgRatesDataTable82524[#Headers],0),FALSE)</f>
        <v>42143</v>
      </c>
      <c r="R14" s="93"/>
      <c r="S14" s="93"/>
      <c r="T14" s="93"/>
      <c r="U14" s="93"/>
      <c r="V14" s="93"/>
      <c r="W14" s="93"/>
      <c r="X14" s="93"/>
      <c r="Y14" s="93"/>
      <c r="Z14" s="93"/>
    </row>
    <row r="15" spans="1:26" s="19" customFormat="1" ht="16.5" customHeight="1">
      <c r="A15" s="25"/>
      <c r="B15" s="25"/>
      <c r="C15" s="3"/>
      <c r="D15" t="s">
        <v>22</v>
      </c>
      <c r="E15" s="32" t="s">
        <v>62</v>
      </c>
      <c r="F15" s="93">
        <f>VLOOKUP(F$9,CurrentMtgRatesDataTable8252[#All],MATCH($D15,CurrentMtgRatesDataTable8252[#Headers],0),FALSE)/1000000</f>
        <v>22049.871215430001</v>
      </c>
      <c r="G15" s="36">
        <f>VLOOKUP(G$9,CurrentMtgRatesDataTable8252[#All],MATCH($D15,CurrentMtgRatesDataTable8252[#Headers],0),FALSE)/1000000</f>
        <v>25099.031172810002</v>
      </c>
      <c r="H15" s="36">
        <f>VLOOKUP(H$9,CurrentMtgRatesDataTable8252[#All],MATCH($D15,CurrentMtgRatesDataTable8252[#Headers],0),FALSE)/1000000</f>
        <v>41047.667635149999</v>
      </c>
      <c r="I15" s="36">
        <f>VLOOKUP(I$9,CurrentMtgRatesDataTable8252[#All],MATCH($D15,CurrentMtgRatesDataTable8252[#Headers],0),FALSE)/1000000</f>
        <v>41047.667635149999</v>
      </c>
      <c r="J15" s="36">
        <f>VLOOKUP(J$9,CurrentMtgRatesDataTable8252[#All],MATCH($D15,CurrentMtgRatesDataTable8252[#Headers],0),FALSE)/1000000</f>
        <v>52227.696428360003</v>
      </c>
      <c r="K15" s="36">
        <f>VLOOKUP(K$9,CurrentMtgRatesDataTable8252[#All],MATCH($D15,CurrentMtgRatesDataTable8252[#Headers],0),FALSE)/1000000</f>
        <v>52227.696428360003</v>
      </c>
      <c r="L15" s="36">
        <f>VLOOKUP(L$9,CurrentMtgRatesDataTable8252[#All],MATCH($D15,CurrentMtgRatesDataTable8252[#Headers],0),FALSE)/1000000</f>
        <v>30899.933980279999</v>
      </c>
      <c r="M15" s="36">
        <f>VLOOKUP(M$9,CurrentMtgRatesDataTable8252[#All],MATCH($D15,CurrentMtgRatesDataTable8252[#Headers],0),FALSE)/1000000</f>
        <v>30899.933980279999</v>
      </c>
      <c r="N15" s="36">
        <f>VLOOKUP(N$9,CurrentMtgRatesDataTable8252[#All],MATCH($D15,CurrentMtgRatesDataTable8252[#Headers],0),FALSE)/1000000</f>
        <v>25385.515450669998</v>
      </c>
      <c r="O15" s="36">
        <f>VLOOKUP(O$9,CurrentMtgRatesDataTable8252[#All],MATCH($D15,CurrentMtgRatesDataTable8252[#Headers],0),FALSE)/1000000</f>
        <v>25385.515450669998</v>
      </c>
      <c r="P15" s="36">
        <f>VLOOKUP(P$9,CurrentMtgRatesDataTable8252[#All],MATCH($D15,CurrentMtgRatesDataTable8252[#Headers],0),FALSE)/1000000</f>
        <v>25077.095986700002</v>
      </c>
      <c r="Q15" s="36">
        <f>VLOOKUP(Q$9,CurrentMtgRatesDataTable8252[#All],MATCH($D15,CurrentMtgRatesDataTable8252[#Headers],0),FALSE)/1000000</f>
        <v>25077.095986700002</v>
      </c>
      <c r="R15"/>
      <c r="S15"/>
      <c r="T15"/>
      <c r="U15"/>
      <c r="V15"/>
      <c r="W15"/>
      <c r="X15"/>
      <c r="Y15"/>
      <c r="Z15"/>
    </row>
    <row r="16" spans="1:26" s="12" customFormat="1" ht="16.5" customHeight="1">
      <c r="A16" s="26"/>
      <c r="B16" s="26"/>
      <c r="C16" s="10"/>
      <c r="D16" t="s">
        <v>23</v>
      </c>
      <c r="E16" s="32" t="s">
        <v>63</v>
      </c>
      <c r="F16" s="36">
        <f>VLOOKUP(F$9,CurrentMtgRatesDataTable8252[#All],MATCH($D16,CurrentMtgRatesDataTable8252[#Headers],0),FALSE)/1000000</f>
        <v>23800.655999999999</v>
      </c>
      <c r="G16" s="36">
        <f>VLOOKUP(G$9,CurrentMtgRatesDataTable8252[#All],MATCH($D16,CurrentMtgRatesDataTable8252[#Headers],0),FALSE)/1000000</f>
        <v>26935.008000000002</v>
      </c>
      <c r="H16" s="36">
        <f>VLOOKUP(H$9,CurrentMtgRatesDataTable8252[#All],MATCH($D16,CurrentMtgRatesDataTable8252[#Headers],0),FALSE)/1000000</f>
        <v>43772.262000000002</v>
      </c>
      <c r="I16" s="36">
        <f>VLOOKUP(I$9,CurrentMtgRatesDataTable8252[#All],MATCH($D16,CurrentMtgRatesDataTable8252[#Headers],0),FALSE)/1000000</f>
        <v>43772.262000000002</v>
      </c>
      <c r="J16" s="36">
        <f>VLOOKUP(J$9,CurrentMtgRatesDataTable8252[#All],MATCH($D16,CurrentMtgRatesDataTable8252[#Headers],0),FALSE)/1000000</f>
        <v>55266.192000000003</v>
      </c>
      <c r="K16" s="36">
        <f>VLOOKUP(K$9,CurrentMtgRatesDataTable8252[#All],MATCH($D16,CurrentMtgRatesDataTable8252[#Headers],0),FALSE)/1000000</f>
        <v>55266.192000000003</v>
      </c>
      <c r="L16" s="36">
        <f>VLOOKUP(L$9,CurrentMtgRatesDataTable8252[#All],MATCH($D16,CurrentMtgRatesDataTable8252[#Headers],0),FALSE)/1000000</f>
        <v>32496.797999999999</v>
      </c>
      <c r="M16" s="36">
        <f>VLOOKUP(M$9,CurrentMtgRatesDataTable8252[#All],MATCH($D16,CurrentMtgRatesDataTable8252[#Headers],0),FALSE)/1000000</f>
        <v>32496.797999999999</v>
      </c>
      <c r="N16" s="36">
        <f>VLOOKUP(N$9,CurrentMtgRatesDataTable8252[#All],MATCH($D16,CurrentMtgRatesDataTable8252[#Headers],0),FALSE)/1000000</f>
        <v>26524.79</v>
      </c>
      <c r="O16" s="36">
        <f>VLOOKUP(O$9,CurrentMtgRatesDataTable8252[#All],MATCH($D16,CurrentMtgRatesDataTable8252[#Headers],0),FALSE)/1000000</f>
        <v>26524.79</v>
      </c>
      <c r="P16" s="36">
        <f>VLOOKUP(P$9,CurrentMtgRatesDataTable8252[#All],MATCH($D16,CurrentMtgRatesDataTable8252[#Headers],0),FALSE)/1000000</f>
        <v>25995.304</v>
      </c>
      <c r="Q16" s="36">
        <f>VLOOKUP(Q$9,CurrentMtgRatesDataTable8252[#All],MATCH($D16,CurrentMtgRatesDataTable8252[#Headers],0),FALSE)/1000000</f>
        <v>25995.304</v>
      </c>
      <c r="R16"/>
      <c r="S16"/>
      <c r="T16"/>
      <c r="U16"/>
      <c r="V16"/>
      <c r="W16"/>
      <c r="X16"/>
      <c r="Y16"/>
      <c r="Z16"/>
    </row>
    <row r="17" spans="1:26" s="12" customFormat="1" ht="16.5" customHeight="1">
      <c r="A17" s="26"/>
      <c r="B17" s="26"/>
      <c r="C17" s="10"/>
      <c r="D17" t="s">
        <v>34</v>
      </c>
      <c r="E17" s="32" t="s">
        <v>64</v>
      </c>
      <c r="F17" s="38">
        <f>VLOOKUP(F$9,CurrentMtgRatesDataTable8252[#All],MATCH($D17,CurrentMtgRatesDataTable8252[#Headers],0),FALSE)</f>
        <v>35.971044789556267</v>
      </c>
      <c r="G17" s="38">
        <f>VLOOKUP(G$9,CurrentMtgRatesDataTable8252[#All],MATCH($D17,CurrentMtgRatesDataTable8252[#Headers],0),FALSE)</f>
        <v>33.016286881625248</v>
      </c>
      <c r="H17" s="38">
        <f>VLOOKUP(H$9,CurrentMtgRatesDataTable8252[#All],MATCH($D17,CurrentMtgRatesDataTable8252[#Headers],0),FALSE)</f>
        <v>30.306173059595913</v>
      </c>
      <c r="I17" s="38">
        <f>VLOOKUP(I$9,CurrentMtgRatesDataTable8252[#All],MATCH($D17,CurrentMtgRatesDataTable8252[#Headers],0),FALSE)</f>
        <v>30.306173059595913</v>
      </c>
      <c r="J17" s="38">
        <f>VLOOKUP(J$9,CurrentMtgRatesDataTable8252[#All],MATCH($D17,CurrentMtgRatesDataTable8252[#Headers],0),FALSE)</f>
        <v>27.15489251097981</v>
      </c>
      <c r="K17" s="38">
        <f>VLOOKUP(K$9,CurrentMtgRatesDataTable8252[#All],MATCH($D17,CurrentMtgRatesDataTable8252[#Headers],0),FALSE)</f>
        <v>27.15489251097981</v>
      </c>
      <c r="L17" s="38">
        <f>VLOOKUP(L$9,CurrentMtgRatesDataTable8252[#All],MATCH($D17,CurrentMtgRatesDataTable8252[#Headers],0),FALSE)</f>
        <v>24.75852430980332</v>
      </c>
      <c r="M17" s="38">
        <f>VLOOKUP(M$9,CurrentMtgRatesDataTable8252[#All],MATCH($D17,CurrentMtgRatesDataTable8252[#Headers],0),FALSE)</f>
        <v>24.75852430980332</v>
      </c>
      <c r="N17" s="38">
        <f>VLOOKUP(N$9,CurrentMtgRatesDataTable8252[#All],MATCH($D17,CurrentMtgRatesDataTable8252[#Headers],0),FALSE)</f>
        <v>22.34876106969206</v>
      </c>
      <c r="O17" s="38">
        <f>VLOOKUP(O$9,CurrentMtgRatesDataTable8252[#All],MATCH($D17,CurrentMtgRatesDataTable8252[#Headers],0),FALSE)</f>
        <v>22.34876106969206</v>
      </c>
      <c r="P17" s="38">
        <f>VLOOKUP(P$9,CurrentMtgRatesDataTable8252[#All],MATCH($D17,CurrentMtgRatesDataTable8252[#Headers],0),FALSE)</f>
        <v>18.329315505174517</v>
      </c>
      <c r="Q17" s="38">
        <f>VLOOKUP(Q$9,CurrentMtgRatesDataTable8252[#All],MATCH($D17,CurrentMtgRatesDataTable8252[#Headers],0),FALSE)</f>
        <v>18.329315505174517</v>
      </c>
      <c r="R17"/>
      <c r="S17"/>
      <c r="T17"/>
      <c r="U17"/>
      <c r="V17"/>
      <c r="W17"/>
      <c r="X17"/>
      <c r="Y17"/>
      <c r="Z17"/>
    </row>
    <row r="18" spans="1:26" s="12" customFormat="1" ht="16.5" customHeight="1">
      <c r="A18" s="26"/>
      <c r="B18" s="26"/>
      <c r="C18" s="10"/>
      <c r="D18" t="s">
        <v>35</v>
      </c>
      <c r="E18" s="33" t="s">
        <v>65</v>
      </c>
      <c r="F18" s="38">
        <f>VLOOKUP(F$9,CurrentMtgRatesDataTable8252[#All],MATCH($D18,CurrentMtgRatesDataTable8252[#Headers],0),FALSE)</f>
        <v>3.8348936129034348</v>
      </c>
      <c r="G18" s="38">
        <f>VLOOKUP(G$9,CurrentMtgRatesDataTable8252[#All],MATCH($D18,CurrentMtgRatesDataTable8252[#Headers],0),FALSE)</f>
        <v>3.6302615512711949</v>
      </c>
      <c r="H18" s="38">
        <f>VLOOKUP(H$9,CurrentMtgRatesDataTable8252[#All],MATCH($D18,CurrentMtgRatesDataTable8252[#Headers],0),FALSE)</f>
        <v>3.5825467872210557</v>
      </c>
      <c r="I18" s="38">
        <f>VLOOKUP(I$9,CurrentMtgRatesDataTable8252[#All],MATCH($D18,CurrentMtgRatesDataTable8252[#Headers],0),FALSE)</f>
        <v>3.5825467872210557</v>
      </c>
      <c r="J18" s="38">
        <f>VLOOKUP(J$9,CurrentMtgRatesDataTable8252[#All],MATCH($D18,CurrentMtgRatesDataTable8252[#Headers],0),FALSE)</f>
        <v>3.7389846359927912</v>
      </c>
      <c r="K18" s="38">
        <f>VLOOKUP(K$9,CurrentMtgRatesDataTable8252[#All],MATCH($D18,CurrentMtgRatesDataTable8252[#Headers],0),FALSE)</f>
        <v>3.7389846359927912</v>
      </c>
      <c r="L18" s="38">
        <f>VLOOKUP(L$9,CurrentMtgRatesDataTable8252[#All],MATCH($D18,CurrentMtgRatesDataTable8252[#Headers],0),FALSE)</f>
        <v>3.9738132848566825</v>
      </c>
      <c r="M18" s="38">
        <f>VLOOKUP(M$9,CurrentMtgRatesDataTable8252[#All],MATCH($D18,CurrentMtgRatesDataTable8252[#Headers],0),FALSE)</f>
        <v>3.9738132848566825</v>
      </c>
      <c r="N18" s="38">
        <f>VLOOKUP(N$9,CurrentMtgRatesDataTable8252[#All],MATCH($D18,CurrentMtgRatesDataTable8252[#Headers],0),FALSE)</f>
        <v>4.5485417168687423</v>
      </c>
      <c r="O18" s="38">
        <f>VLOOKUP(O$9,CurrentMtgRatesDataTable8252[#All],MATCH($D18,CurrentMtgRatesDataTable8252[#Headers],0),FALSE)</f>
        <v>4.5485417168687423</v>
      </c>
      <c r="P18" s="38">
        <f>VLOOKUP(P$9,CurrentMtgRatesDataTable8252[#All],MATCH($D18,CurrentMtgRatesDataTable8252[#Headers],0),FALSE)</f>
        <v>4.6007696001453757</v>
      </c>
      <c r="Q18" s="38">
        <f>VLOOKUP(Q$9,CurrentMtgRatesDataTable8252[#All],MATCH($D18,CurrentMtgRatesDataTable8252[#Headers],0),FALSE)</f>
        <v>4.6007696001453757</v>
      </c>
      <c r="R18"/>
      <c r="S18"/>
      <c r="T18"/>
      <c r="U18"/>
      <c r="V18"/>
      <c r="W18"/>
      <c r="X18"/>
      <c r="Y18"/>
      <c r="Z18"/>
    </row>
    <row r="19" spans="1:26" s="12" customFormat="1" ht="16.5" customHeight="1">
      <c r="A19" s="26"/>
      <c r="B19" s="26"/>
      <c r="C19" s="10"/>
      <c r="D19" t="s">
        <v>36</v>
      </c>
      <c r="E19" s="85" t="s">
        <v>66</v>
      </c>
      <c r="F19" s="86">
        <f>VLOOKUP(F$9,CurrentMtgRatesDataTable8252[#All],MATCH($D19,CurrentMtgRatesDataTable8252[#Headers],0),FALSE)</f>
        <v>3.834893893451174</v>
      </c>
      <c r="G19" s="86">
        <f>VLOOKUP(G$9,CurrentMtgRatesDataTable8252[#All],MATCH($D19,CurrentMtgRatesDataTable8252[#Headers],0),FALSE)</f>
        <v>3.630252488769611</v>
      </c>
      <c r="H19" s="86">
        <f>VLOOKUP(H$9,CurrentMtgRatesDataTable8252[#All],MATCH($D19,CurrentMtgRatesDataTable8252[#Headers],0),FALSE)</f>
        <v>3.5825461018561722</v>
      </c>
      <c r="I19" s="86">
        <f>VLOOKUP(I$9,CurrentMtgRatesDataTable8252[#All],MATCH($D19,CurrentMtgRatesDataTable8252[#Headers],0),FALSE)</f>
        <v>3.5825461018561722</v>
      </c>
      <c r="J19" s="86">
        <f>VLOOKUP(J$9,CurrentMtgRatesDataTable8252[#All],MATCH($D19,CurrentMtgRatesDataTable8252[#Headers],0),FALSE)</f>
        <v>3.7389897092783677</v>
      </c>
      <c r="K19" s="86">
        <f>VLOOKUP(K$9,CurrentMtgRatesDataTable8252[#All],MATCH($D19,CurrentMtgRatesDataTable8252[#Headers],0),FALSE)</f>
        <v>3.7389897092783677</v>
      </c>
      <c r="L19" s="86">
        <f>VLOOKUP(L$9,CurrentMtgRatesDataTable8252[#All],MATCH($D19,CurrentMtgRatesDataTable8252[#Headers],0),FALSE)</f>
        <v>3.9738126423096025</v>
      </c>
      <c r="M19" s="86">
        <f>VLOOKUP(M$9,CurrentMtgRatesDataTable8252[#All],MATCH($D19,CurrentMtgRatesDataTable8252[#Headers],0),FALSE)</f>
        <v>3.9738126423096025</v>
      </c>
      <c r="N19" s="86">
        <f>VLOOKUP(N$9,CurrentMtgRatesDataTable8252[#All],MATCH($D19,CurrentMtgRatesDataTable8252[#Headers],0),FALSE)</f>
        <v>4.5485422114007559</v>
      </c>
      <c r="O19" s="86">
        <f>VLOOKUP(O$9,CurrentMtgRatesDataTable8252[#All],MATCH($D19,CurrentMtgRatesDataTable8252[#Headers],0),FALSE)</f>
        <v>4.5485422114007559</v>
      </c>
      <c r="P19" s="86">
        <f>VLOOKUP(P$9,CurrentMtgRatesDataTable8252[#All],MATCH($D19,CurrentMtgRatesDataTable8252[#Headers],0),FALSE)</f>
        <v>4.6007715660606259</v>
      </c>
      <c r="Q19" s="86">
        <f>VLOOKUP(Q$9,CurrentMtgRatesDataTable8252[#All],MATCH($D19,CurrentMtgRatesDataTable8252[#Headers],0),FALSE)</f>
        <v>4.6007715660606259</v>
      </c>
      <c r="R19"/>
      <c r="S19"/>
      <c r="T19"/>
      <c r="U19"/>
      <c r="V19"/>
      <c r="W19"/>
      <c r="X19"/>
      <c r="Y19"/>
      <c r="Z19"/>
    </row>
    <row r="20" spans="1:26" s="12" customFormat="1" ht="16.5" customHeight="1">
      <c r="A20" s="26"/>
      <c r="B20" s="26"/>
      <c r="C20" s="10"/>
      <c r="E20" s="87" t="s">
        <v>91</v>
      </c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/>
      <c r="S20"/>
      <c r="T20"/>
      <c r="U20"/>
      <c r="V20"/>
      <c r="W20"/>
      <c r="X20"/>
      <c r="Y20"/>
      <c r="Z20"/>
    </row>
    <row r="21" spans="1:26" s="12" customFormat="1" ht="16.5" customHeight="1">
      <c r="A21" s="26"/>
      <c r="B21" s="26"/>
      <c r="C21" s="10"/>
      <c r="D21" t="s">
        <v>37</v>
      </c>
      <c r="E21" s="34" t="s">
        <v>67</v>
      </c>
      <c r="F21" s="38">
        <f>VLOOKUP(F$9,CurrentMtgRatesDataTable8252[#All],MATCH($D21,CurrentMtgRatesDataTable8252[#Headers],0),FALSE)</f>
        <v>74.920563656330373</v>
      </c>
      <c r="G21" s="38">
        <f>VLOOKUP(G$9,CurrentMtgRatesDataTable8252[#All],MATCH($D21,CurrentMtgRatesDataTable8252[#Headers],0),FALSE)</f>
        <v>74.515388406618001</v>
      </c>
      <c r="H21" s="38">
        <f>VLOOKUP(H$9,CurrentMtgRatesDataTable8252[#All],MATCH($D21,CurrentMtgRatesDataTable8252[#Headers],0),FALSE)</f>
        <v>74.270552970785602</v>
      </c>
      <c r="I21" s="38">
        <f>VLOOKUP(I$9,CurrentMtgRatesDataTable8252[#All],MATCH($D21,CurrentMtgRatesDataTable8252[#Headers],0),FALSE)</f>
        <v>74.270552970785602</v>
      </c>
      <c r="J21" s="38">
        <f>VLOOKUP(J$9,CurrentMtgRatesDataTable8252[#All],MATCH($D21,CurrentMtgRatesDataTable8252[#Headers],0),FALSE)</f>
        <v>74.774460273484635</v>
      </c>
      <c r="K21" s="38">
        <f>VLOOKUP(K$9,CurrentMtgRatesDataTable8252[#All],MATCH($D21,CurrentMtgRatesDataTable8252[#Headers],0),FALSE)</f>
        <v>74.774460273484635</v>
      </c>
      <c r="L21" s="38">
        <f>VLOOKUP(L$9,CurrentMtgRatesDataTable8252[#All],MATCH($D21,CurrentMtgRatesDataTable8252[#Headers],0),FALSE)</f>
        <v>75.286713497072</v>
      </c>
      <c r="M21" s="38">
        <f>VLOOKUP(M$9,CurrentMtgRatesDataTable8252[#All],MATCH($D21,CurrentMtgRatesDataTable8252[#Headers],0),FALSE)</f>
        <v>75.286713497072</v>
      </c>
      <c r="N21" s="38">
        <f>VLOOKUP(N$9,CurrentMtgRatesDataTable8252[#All],MATCH($D21,CurrentMtgRatesDataTable8252[#Headers],0),FALSE)</f>
        <v>75.866243821881497</v>
      </c>
      <c r="O21" s="38">
        <f>VLOOKUP(O$9,CurrentMtgRatesDataTable8252[#All],MATCH($D21,CurrentMtgRatesDataTable8252[#Headers],0),FALSE)</f>
        <v>75.866243821881497</v>
      </c>
      <c r="P21" s="38">
        <f>VLOOKUP(P$9,CurrentMtgRatesDataTable8252[#All],MATCH($D21,CurrentMtgRatesDataTable8252[#Headers],0),FALSE)</f>
        <v>75.965416773657125</v>
      </c>
      <c r="Q21" s="38">
        <f>VLOOKUP(Q$9,CurrentMtgRatesDataTable8252[#All],MATCH($D21,CurrentMtgRatesDataTable8252[#Headers],0),FALSE)</f>
        <v>75.965416773657125</v>
      </c>
      <c r="R21"/>
      <c r="S21"/>
      <c r="T21"/>
      <c r="U21"/>
      <c r="V21"/>
      <c r="W21"/>
      <c r="X21"/>
      <c r="Y21"/>
      <c r="Z21"/>
    </row>
    <row r="22" spans="1:26" s="12" customFormat="1" ht="16.5" customHeight="1">
      <c r="A22" s="26"/>
      <c r="B22" s="26"/>
      <c r="C22" s="10"/>
      <c r="D22" t="s">
        <v>39</v>
      </c>
      <c r="E22" s="34" t="s">
        <v>68</v>
      </c>
      <c r="F22" s="38">
        <f>VLOOKUP(F$9,CurrentMtgRatesDataTable8252[#All],MATCH($D22,CurrentMtgRatesDataTable8252[#Headers],0),FALSE)</f>
        <v>58.840441557854206</v>
      </c>
      <c r="G22" s="38">
        <f>VLOOKUP(G$9,CurrentMtgRatesDataTable8252[#All],MATCH($D22,CurrentMtgRatesDataTable8252[#Headers],0),FALSE)</f>
        <v>58.988454423678107</v>
      </c>
      <c r="H22" s="38">
        <f>VLOOKUP(H$9,CurrentMtgRatesDataTable8252[#All],MATCH($D22,CurrentMtgRatesDataTable8252[#Headers],0),FALSE)</f>
        <v>59.806272665299822</v>
      </c>
      <c r="I22" s="38">
        <f>VLOOKUP(I$9,CurrentMtgRatesDataTable8252[#All],MATCH($D22,CurrentMtgRatesDataTable8252[#Headers],0),FALSE)</f>
        <v>59.806272665299822</v>
      </c>
      <c r="J22" s="38">
        <f>VLOOKUP(J$9,CurrentMtgRatesDataTable8252[#All],MATCH($D22,CurrentMtgRatesDataTable8252[#Headers],0),FALSE)</f>
        <v>61.418152927301811</v>
      </c>
      <c r="K22" s="38">
        <f>VLOOKUP(K$9,CurrentMtgRatesDataTable8252[#All],MATCH($D22,CurrentMtgRatesDataTable8252[#Headers],0),FALSE)</f>
        <v>61.418152927301811</v>
      </c>
      <c r="L22" s="38">
        <f>VLOOKUP(L$9,CurrentMtgRatesDataTable8252[#All],MATCH($D22,CurrentMtgRatesDataTable8252[#Headers],0),FALSE)</f>
        <v>63.724154758516633</v>
      </c>
      <c r="M22" s="38">
        <f>VLOOKUP(M$9,CurrentMtgRatesDataTable8252[#All],MATCH($D22,CurrentMtgRatesDataTable8252[#Headers],0),FALSE)</f>
        <v>63.724154758516633</v>
      </c>
      <c r="N22" s="38">
        <f>VLOOKUP(N$9,CurrentMtgRatesDataTable8252[#All],MATCH($D22,CurrentMtgRatesDataTable8252[#Headers],0),FALSE)</f>
        <v>65.924927149680684</v>
      </c>
      <c r="O22" s="38">
        <f>VLOOKUP(O$9,CurrentMtgRatesDataTable8252[#All],MATCH($D22,CurrentMtgRatesDataTable8252[#Headers],0),FALSE)</f>
        <v>65.924927149680684</v>
      </c>
      <c r="P22" s="38">
        <f>VLOOKUP(P$9,CurrentMtgRatesDataTable8252[#All],MATCH($D22,CurrentMtgRatesDataTable8252[#Headers],0),FALSE)</f>
        <v>67.673099285371308</v>
      </c>
      <c r="Q22" s="38">
        <f>VLOOKUP(Q$9,CurrentMtgRatesDataTable8252[#All],MATCH($D22,CurrentMtgRatesDataTable8252[#Headers],0),FALSE)</f>
        <v>67.673099285371308</v>
      </c>
      <c r="R22"/>
      <c r="S22"/>
      <c r="T22"/>
      <c r="U22"/>
      <c r="V22"/>
      <c r="W22"/>
      <c r="X22"/>
      <c r="Y22"/>
      <c r="Z22"/>
    </row>
    <row r="23" spans="1:26" s="12" customFormat="1" ht="16.5" customHeight="1">
      <c r="A23" s="26"/>
      <c r="B23" s="26"/>
      <c r="C23" s="10"/>
      <c r="D23" t="s">
        <v>40</v>
      </c>
      <c r="E23" s="34" t="s">
        <v>69</v>
      </c>
      <c r="F23" s="38">
        <f>VLOOKUP(F$9,CurrentMtgRatesDataTable8252[#All],MATCH($D23,CurrentMtgRatesDataTable8252[#Headers],0),FALSE)</f>
        <v>31.250599887198128</v>
      </c>
      <c r="G23" s="38">
        <f>VLOOKUP(G$9,CurrentMtgRatesDataTable8252[#All],MATCH($D23,CurrentMtgRatesDataTable8252[#Headers],0),FALSE)</f>
        <v>31.034593230174181</v>
      </c>
      <c r="H23" s="38">
        <f>VLOOKUP(H$9,CurrentMtgRatesDataTable8252[#All],MATCH($D23,CurrentMtgRatesDataTable8252[#Headers],0),FALSE)</f>
        <v>31.232919399160036</v>
      </c>
      <c r="I23" s="38">
        <f>VLOOKUP(I$9,CurrentMtgRatesDataTable8252[#All],MATCH($D23,CurrentMtgRatesDataTable8252[#Headers],0),FALSE)</f>
        <v>31.232919399160036</v>
      </c>
      <c r="J23" s="38">
        <f>VLOOKUP(J$9,CurrentMtgRatesDataTable8252[#All],MATCH($D23,CurrentMtgRatesDataTable8252[#Headers],0),FALSE)</f>
        <v>32.008462118192142</v>
      </c>
      <c r="K23" s="38">
        <f>VLOOKUP(K$9,CurrentMtgRatesDataTable8252[#All],MATCH($D23,CurrentMtgRatesDataTable8252[#Headers],0),FALSE)</f>
        <v>32.008462118192142</v>
      </c>
      <c r="L23" s="38">
        <f>VLOOKUP(L$9,CurrentMtgRatesDataTable8252[#All],MATCH($D23,CurrentMtgRatesDataTable8252[#Headers],0),FALSE)</f>
        <v>32.556840044595916</v>
      </c>
      <c r="M23" s="38">
        <f>VLOOKUP(M$9,CurrentMtgRatesDataTable8252[#All],MATCH($D23,CurrentMtgRatesDataTable8252[#Headers],0),FALSE)</f>
        <v>32.556840044595916</v>
      </c>
      <c r="N23" s="38">
        <f>VLOOKUP(N$9,CurrentMtgRatesDataTable8252[#All],MATCH($D23,CurrentMtgRatesDataTable8252[#Headers],0),FALSE)</f>
        <v>33.637502099246632</v>
      </c>
      <c r="O23" s="38">
        <f>VLOOKUP(O$9,CurrentMtgRatesDataTable8252[#All],MATCH($D23,CurrentMtgRatesDataTable8252[#Headers],0),FALSE)</f>
        <v>33.637502099246632</v>
      </c>
      <c r="P23" s="38">
        <f>VLOOKUP(P$9,CurrentMtgRatesDataTable8252[#All],MATCH($D23,CurrentMtgRatesDataTable8252[#Headers],0),FALSE)</f>
        <v>34.123652581008763</v>
      </c>
      <c r="Q23" s="38">
        <f>VLOOKUP(Q$9,CurrentMtgRatesDataTable8252[#All],MATCH($D23,CurrentMtgRatesDataTable8252[#Headers],0),FALSE)</f>
        <v>34.123652581008763</v>
      </c>
      <c r="R23"/>
      <c r="S23"/>
      <c r="T23"/>
      <c r="U23"/>
      <c r="V23"/>
      <c r="W23"/>
      <c r="X23"/>
      <c r="Y23"/>
      <c r="Z23"/>
    </row>
    <row r="24" spans="1:26" s="10" customFormat="1" ht="16.5" customHeight="1">
      <c r="A24" s="27"/>
      <c r="B24" s="27"/>
      <c r="D24" t="s">
        <v>41</v>
      </c>
      <c r="E24" s="34" t="s">
        <v>70</v>
      </c>
      <c r="F24" s="38">
        <f>VLOOKUP(F$9,CurrentMtgRatesDataTable8252[#All],MATCH($D24,CurrentMtgRatesDataTable8252[#Headers],0),FALSE)</f>
        <v>765.95339379673737</v>
      </c>
      <c r="G24" s="38">
        <f>VLOOKUP(G$9,CurrentMtgRatesDataTable8252[#All],MATCH($D24,CurrentMtgRatesDataTable8252[#Headers],0),FALSE)</f>
        <v>765.39190346573719</v>
      </c>
      <c r="H24" s="38">
        <f>VLOOKUP(H$9,CurrentMtgRatesDataTable8252[#All],MATCH($D24,CurrentMtgRatesDataTable8252[#Headers],0),FALSE)</f>
        <v>764.09964165821441</v>
      </c>
      <c r="I24" s="38">
        <f>VLOOKUP(I$9,CurrentMtgRatesDataTable8252[#All],MATCH($D24,CurrentMtgRatesDataTable8252[#Headers],0),FALSE)</f>
        <v>764.09964165821441</v>
      </c>
      <c r="J24" s="38">
        <f>VLOOKUP(J$9,CurrentMtgRatesDataTable8252[#All],MATCH($D24,CurrentMtgRatesDataTable8252[#Headers],0),FALSE)</f>
        <v>761.42843330226333</v>
      </c>
      <c r="K24" s="38">
        <f>VLOOKUP(K$9,CurrentMtgRatesDataTable8252[#All],MATCH($D24,CurrentMtgRatesDataTable8252[#Headers],0),FALSE)</f>
        <v>761.42843330226333</v>
      </c>
      <c r="L24" s="38">
        <f>VLOOKUP(L$9,CurrentMtgRatesDataTable8252[#All],MATCH($D24,CurrentMtgRatesDataTable8252[#Headers],0),FALSE)</f>
        <v>757.71151768126947</v>
      </c>
      <c r="M24" s="38">
        <f>VLOOKUP(M$9,CurrentMtgRatesDataTable8252[#All],MATCH($D24,CurrentMtgRatesDataTable8252[#Headers],0),FALSE)</f>
        <v>757.71151768126947</v>
      </c>
      <c r="N24" s="38">
        <f>VLOOKUP(N$9,CurrentMtgRatesDataTable8252[#All],MATCH($D24,CurrentMtgRatesDataTable8252[#Headers],0),FALSE)</f>
        <v>757.3830603998523</v>
      </c>
      <c r="O24" s="38">
        <f>VLOOKUP(O$9,CurrentMtgRatesDataTable8252[#All],MATCH($D24,CurrentMtgRatesDataTable8252[#Headers],0),FALSE)</f>
        <v>757.3830603998523</v>
      </c>
      <c r="P24" s="38">
        <f>VLOOKUP(P$9,CurrentMtgRatesDataTable8252[#All],MATCH($D24,CurrentMtgRatesDataTable8252[#Headers],0),FALSE)</f>
        <v>752.6990685474733</v>
      </c>
      <c r="Q24" s="38">
        <f>VLOOKUP(Q$9,CurrentMtgRatesDataTable8252[#All],MATCH($D24,CurrentMtgRatesDataTable8252[#Headers],0),FALSE)</f>
        <v>752.6990685474733</v>
      </c>
      <c r="R24"/>
      <c r="S24"/>
      <c r="T24"/>
      <c r="U24"/>
      <c r="V24"/>
      <c r="W24"/>
      <c r="X24"/>
      <c r="Y24"/>
      <c r="Z24"/>
    </row>
    <row r="25" spans="1:26" s="10" customFormat="1" ht="16.5" customHeight="1">
      <c r="A25" s="27"/>
      <c r="B25" s="27"/>
      <c r="D25" t="s">
        <v>42</v>
      </c>
      <c r="E25" s="82" t="s">
        <v>71</v>
      </c>
      <c r="F25" s="83">
        <f>VLOOKUP(F$9,CurrentMtgRatesDataTable8252[#All],MATCH($D25,CurrentMtgRatesDataTable8252[#Headers],0),FALSE)</f>
        <v>309648.58855799859</v>
      </c>
      <c r="G25" s="83">
        <f>VLOOKUP(G$9,CurrentMtgRatesDataTable8252[#All],MATCH($D25,CurrentMtgRatesDataTable8252[#Headers],0),FALSE)</f>
        <v>312673.09541640879</v>
      </c>
      <c r="H25" s="83">
        <f>VLOOKUP(H$9,CurrentMtgRatesDataTable8252[#All],MATCH($D25,CurrentMtgRatesDataTable8252[#Headers],0),FALSE)</f>
        <v>316077.97178742575</v>
      </c>
      <c r="I25" s="83">
        <f>VLOOKUP(I$9,CurrentMtgRatesDataTable8252[#All],MATCH($D25,CurrentMtgRatesDataTable8252[#Headers],0),FALSE)</f>
        <v>316077.97178742575</v>
      </c>
      <c r="J25" s="83">
        <f>VLOOKUP(J$9,CurrentMtgRatesDataTable8252[#All],MATCH($D25,CurrentMtgRatesDataTable8252[#Headers],0),FALSE)</f>
        <v>313796.68615252338</v>
      </c>
      <c r="K25" s="83">
        <f>VLOOKUP(K$9,CurrentMtgRatesDataTable8252[#All],MATCH($D25,CurrentMtgRatesDataTable8252[#Headers],0),FALSE)</f>
        <v>313796.68615252338</v>
      </c>
      <c r="L25" s="83">
        <f>VLOOKUP(L$9,CurrentMtgRatesDataTable8252[#All],MATCH($D25,CurrentMtgRatesDataTable8252[#Headers],0),FALSE)</f>
        <v>301051.61301040504</v>
      </c>
      <c r="M25" s="83">
        <f>VLOOKUP(M$9,CurrentMtgRatesDataTable8252[#All],MATCH($D25,CurrentMtgRatesDataTable8252[#Headers],0),FALSE)</f>
        <v>301051.61301040504</v>
      </c>
      <c r="N25" s="83">
        <f>VLOOKUP(N$9,CurrentMtgRatesDataTable8252[#All],MATCH($D25,CurrentMtgRatesDataTable8252[#Headers],0),FALSE)</f>
        <v>275705.34273008496</v>
      </c>
      <c r="O25" s="83">
        <f>VLOOKUP(O$9,CurrentMtgRatesDataTable8252[#All],MATCH($D25,CurrentMtgRatesDataTable8252[#Headers],0),FALSE)</f>
        <v>275705.34273008496</v>
      </c>
      <c r="P25" s="83">
        <f>VLOOKUP(P$9,CurrentMtgRatesDataTable8252[#All],MATCH($D25,CurrentMtgRatesDataTable8252[#Headers],0),FALSE)</f>
        <v>272728.72964343807</v>
      </c>
      <c r="Q25" s="83">
        <f>VLOOKUP(Q$9,CurrentMtgRatesDataTable8252[#All],MATCH($D25,CurrentMtgRatesDataTable8252[#Headers],0),FALSE)</f>
        <v>272728.72964343807</v>
      </c>
      <c r="R25"/>
      <c r="S25"/>
      <c r="T25"/>
      <c r="U25"/>
      <c r="V25"/>
      <c r="W25"/>
      <c r="X25"/>
      <c r="Y25"/>
      <c r="Z25"/>
    </row>
    <row r="26" spans="1:26" s="10" customFormat="1" ht="16.5" customHeight="1">
      <c r="A26" s="27"/>
      <c r="B26" s="27"/>
      <c r="E26" s="87" t="s">
        <v>92</v>
      </c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/>
      <c r="S26"/>
      <c r="T26"/>
      <c r="U26"/>
      <c r="V26"/>
      <c r="W26"/>
      <c r="X26"/>
      <c r="Y26"/>
      <c r="Z26"/>
    </row>
    <row r="27" spans="1:26" s="10" customFormat="1" ht="16.5" customHeight="1">
      <c r="A27" s="27"/>
      <c r="B27" s="27"/>
      <c r="D27" t="s">
        <v>43</v>
      </c>
      <c r="E27" s="34" t="s">
        <v>94</v>
      </c>
      <c r="F27" s="44">
        <f>VLOOKUP(F$9,CurrentMtgRatesDataTable8252[#All],MATCH($D27,CurrentMtgRatesDataTable8252[#Headers],0),FALSE)</f>
        <v>0</v>
      </c>
      <c r="G27" s="44">
        <f>VLOOKUP(G$9,CurrentMtgRatesDataTable8252[#All],MATCH($D27,CurrentMtgRatesDataTable8252[#Headers],0),FALSE)</f>
        <v>0</v>
      </c>
      <c r="H27" s="44">
        <f>VLOOKUP(H$9,CurrentMtgRatesDataTable8252[#All],MATCH($D27,CurrentMtgRatesDataTable8252[#Headers],0),FALSE)</f>
        <v>0</v>
      </c>
      <c r="I27" s="44">
        <f>VLOOKUP(I$9,CurrentMtgRatesDataTable8252[#All],MATCH($D27,CurrentMtgRatesDataTable8252[#Headers],0),FALSE)</f>
        <v>0</v>
      </c>
      <c r="J27" s="44">
        <f>VLOOKUP(J$9,CurrentMtgRatesDataTable8252[#All],MATCH($D27,CurrentMtgRatesDataTable8252[#Headers],0),FALSE)</f>
        <v>0</v>
      </c>
      <c r="K27" s="44">
        <f>VLOOKUP(K$9,CurrentMtgRatesDataTable8252[#All],MATCH($D27,CurrentMtgRatesDataTable8252[#Headers],0),FALSE)</f>
        <v>0</v>
      </c>
      <c r="L27" s="44">
        <f>VLOOKUP(L$9,CurrentMtgRatesDataTable8252[#All],MATCH($D27,CurrentMtgRatesDataTable8252[#Headers],0),FALSE)</f>
        <v>0</v>
      </c>
      <c r="M27" s="44">
        <f>VLOOKUP(M$9,CurrentMtgRatesDataTable8252[#All],MATCH($D27,CurrentMtgRatesDataTable8252[#Headers],0),FALSE)</f>
        <v>0</v>
      </c>
      <c r="N27" s="44">
        <f>VLOOKUP(N$9,CurrentMtgRatesDataTable8252[#All],MATCH($D27,CurrentMtgRatesDataTable8252[#Headers],0),FALSE)</f>
        <v>0</v>
      </c>
      <c r="O27" s="44">
        <f>VLOOKUP(O$9,CurrentMtgRatesDataTable8252[#All],MATCH($D27,CurrentMtgRatesDataTable8252[#Headers],0),FALSE)</f>
        <v>0</v>
      </c>
      <c r="P27" s="44">
        <f>VLOOKUP(P$9,CurrentMtgRatesDataTable8252[#All],MATCH($D27,CurrentMtgRatesDataTable8252[#Headers],0),FALSE)</f>
        <v>0</v>
      </c>
      <c r="Q27" s="44">
        <f>VLOOKUP(Q$9,CurrentMtgRatesDataTable8252[#All],MATCH($D27,CurrentMtgRatesDataTable8252[#Headers],0),FALSE)</f>
        <v>0</v>
      </c>
      <c r="R27"/>
      <c r="S27"/>
      <c r="T27"/>
      <c r="U27"/>
      <c r="V27"/>
      <c r="W27"/>
      <c r="X27"/>
      <c r="Y27"/>
      <c r="Z27"/>
    </row>
    <row r="28" spans="1:26" s="10" customFormat="1" ht="16.5" customHeight="1">
      <c r="A28" s="27"/>
      <c r="B28" s="27"/>
      <c r="D28" t="s">
        <v>44</v>
      </c>
      <c r="E28" s="34" t="s">
        <v>103</v>
      </c>
      <c r="F28" s="45">
        <f>VLOOKUP(F$9,CurrentMtgRatesDataTable8252[#All],MATCH($D28,CurrentMtgRatesDataTable8252[#Headers],0),FALSE)</f>
        <v>4.9584989438165229E-2</v>
      </c>
      <c r="G28" s="45">
        <f>VLOOKUP(G$9,CurrentMtgRatesDataTable8252[#All],MATCH($D28,CurrentMtgRatesDataTable8252[#Headers],0),FALSE)</f>
        <v>4.2482713754907996E-2</v>
      </c>
      <c r="H28" s="45">
        <f>VLOOKUP(H$9,CurrentMtgRatesDataTable8252[#All],MATCH($D28,CurrentMtgRatesDataTable8252[#Headers],0),FALSE)</f>
        <v>4.2215121896624852E-2</v>
      </c>
      <c r="I28" s="45">
        <f>VLOOKUP(I$9,CurrentMtgRatesDataTable8252[#All],MATCH($D28,CurrentMtgRatesDataTable8252[#Headers],0),FALSE)</f>
        <v>4.2215121896624852E-2</v>
      </c>
      <c r="J28" s="45">
        <f>VLOOKUP(J$9,CurrentMtgRatesDataTable8252[#All],MATCH($D28,CurrentMtgRatesDataTable8252[#Headers],0),FALSE)</f>
        <v>4.7210334348407428E-2</v>
      </c>
      <c r="K28" s="45">
        <f>VLOOKUP(K$9,CurrentMtgRatesDataTable8252[#All],MATCH($D28,CurrentMtgRatesDataTable8252[#Headers],0),FALSE)</f>
        <v>4.7210334348407428E-2</v>
      </c>
      <c r="L28" s="45">
        <f>VLOOKUP(L$9,CurrentMtgRatesDataTable8252[#All],MATCH($D28,CurrentMtgRatesDataTable8252[#Headers],0),FALSE)</f>
        <v>5.1244803669177663E-2</v>
      </c>
      <c r="M28" s="45">
        <f>VLOOKUP(M$9,CurrentMtgRatesDataTable8252[#All],MATCH($D28,CurrentMtgRatesDataTable8252[#Headers],0),FALSE)</f>
        <v>5.1244803669177663E-2</v>
      </c>
      <c r="N28" s="45">
        <f>VLOOKUP(N$9,CurrentMtgRatesDataTable8252[#All],MATCH($D28,CurrentMtgRatesDataTable8252[#Headers],0),FALSE)</f>
        <v>6.1241256457881706E-2</v>
      </c>
      <c r="O28" s="45">
        <f>VLOOKUP(O$9,CurrentMtgRatesDataTable8252[#All],MATCH($D28,CurrentMtgRatesDataTable8252[#Headers],0),FALSE)</f>
        <v>6.1241256457881706E-2</v>
      </c>
      <c r="P28" s="45">
        <f>VLOOKUP(P$9,CurrentMtgRatesDataTable8252[#All],MATCH($D28,CurrentMtgRatesDataTable8252[#Headers],0),FALSE)</f>
        <v>5.5669999422995831E-2</v>
      </c>
      <c r="Q28" s="45">
        <f>VLOOKUP(Q$9,CurrentMtgRatesDataTable8252[#All],MATCH($D28,CurrentMtgRatesDataTable8252[#Headers],0),FALSE)</f>
        <v>5.5669999422995831E-2</v>
      </c>
      <c r="R28"/>
      <c r="S28"/>
      <c r="T28"/>
      <c r="U28"/>
      <c r="V28"/>
      <c r="W28"/>
      <c r="X28"/>
      <c r="Y28"/>
      <c r="Z28"/>
    </row>
    <row r="29" spans="1:26" s="10" customFormat="1" ht="16.5" customHeight="1">
      <c r="A29" s="27"/>
      <c r="B29" s="27"/>
      <c r="D29" t="s">
        <v>45</v>
      </c>
      <c r="E29" s="34" t="s">
        <v>72</v>
      </c>
      <c r="F29" s="45">
        <f>VLOOKUP(F$9,CurrentMtgRatesDataTable8252[#All],MATCH($D29,CurrentMtgRatesDataTable8252[#Headers],0),FALSE)</f>
        <v>0.12314603893649305</v>
      </c>
      <c r="G29" s="45">
        <f>VLOOKUP(G$9,CurrentMtgRatesDataTable8252[#All],MATCH($D29,CurrentMtgRatesDataTable8252[#Headers],0),FALSE)</f>
        <v>9.466527391041088E-2</v>
      </c>
      <c r="H29" s="45">
        <f>VLOOKUP(H$9,CurrentMtgRatesDataTable8252[#All],MATCH($D29,CurrentMtgRatesDataTable8252[#Headers],0),FALSE)</f>
        <v>8.9112118788637562E-2</v>
      </c>
      <c r="I29" s="45">
        <f>VLOOKUP(I$9,CurrentMtgRatesDataTable8252[#All],MATCH($D29,CurrentMtgRatesDataTable8252[#Headers],0),FALSE)</f>
        <v>8.9112118788637562E-2</v>
      </c>
      <c r="J29" s="45">
        <f>VLOOKUP(J$9,CurrentMtgRatesDataTable8252[#All],MATCH($D29,CurrentMtgRatesDataTable8252[#Headers],0),FALSE)</f>
        <v>0.12207657410997565</v>
      </c>
      <c r="K29" s="45">
        <f>VLOOKUP(K$9,CurrentMtgRatesDataTable8252[#All],MATCH($D29,CurrentMtgRatesDataTable8252[#Headers],0),FALSE)</f>
        <v>0.12207657410997565</v>
      </c>
      <c r="L29" s="45">
        <f>VLOOKUP(L$9,CurrentMtgRatesDataTable8252[#All],MATCH($D29,CurrentMtgRatesDataTable8252[#Headers],0),FALSE)</f>
        <v>0.15369574398252372</v>
      </c>
      <c r="M29" s="45">
        <f>VLOOKUP(M$9,CurrentMtgRatesDataTable8252[#All],MATCH($D29,CurrentMtgRatesDataTable8252[#Headers],0),FALSE)</f>
        <v>0.15369574398252372</v>
      </c>
      <c r="N29" s="45">
        <f>VLOOKUP(N$9,CurrentMtgRatesDataTable8252[#All],MATCH($D29,CurrentMtgRatesDataTable8252[#Headers],0),FALSE)</f>
        <v>0.18625828729923255</v>
      </c>
      <c r="O29" s="45">
        <f>VLOOKUP(O$9,CurrentMtgRatesDataTable8252[#All],MATCH($D29,CurrentMtgRatesDataTable8252[#Headers],0),FALSE)</f>
        <v>0.18625828729923255</v>
      </c>
      <c r="P29" s="45">
        <f>VLOOKUP(P$9,CurrentMtgRatesDataTable8252[#All],MATCH($D29,CurrentMtgRatesDataTable8252[#Headers],0),FALSE)</f>
        <v>0.18354725269868483</v>
      </c>
      <c r="Q29" s="45">
        <f>VLOOKUP(Q$9,CurrentMtgRatesDataTable8252[#All],MATCH($D29,CurrentMtgRatesDataTable8252[#Headers],0),FALSE)</f>
        <v>0.18354725269868483</v>
      </c>
      <c r="R29"/>
      <c r="S29"/>
      <c r="T29"/>
      <c r="U29"/>
      <c r="V29"/>
      <c r="W29"/>
      <c r="X29"/>
      <c r="Y29"/>
      <c r="Z29"/>
    </row>
    <row r="30" spans="1:26" s="10" customFormat="1" ht="16.5" customHeight="1">
      <c r="A30" s="27"/>
      <c r="B30" s="27"/>
      <c r="D30" t="s">
        <v>46</v>
      </c>
      <c r="E30" s="34" t="s">
        <v>73</v>
      </c>
      <c r="F30" s="45">
        <f>VLOOKUP(F$9,CurrentMtgRatesDataTable8252[#All],MATCH($D30,CurrentMtgRatesDataTable8252[#Headers],0),FALSE)</f>
        <v>0.5999043757055359</v>
      </c>
      <c r="G30" s="45">
        <f>VLOOKUP(G$9,CurrentMtgRatesDataTable8252[#All],MATCH($D30,CurrentMtgRatesDataTable8252[#Headers],0),FALSE)</f>
        <v>0.59451716522050146</v>
      </c>
      <c r="H30" s="45">
        <f>VLOOKUP(H$9,CurrentMtgRatesDataTable8252[#All],MATCH($D30,CurrentMtgRatesDataTable8252[#Headers],0),FALSE)</f>
        <v>0.59030589303010117</v>
      </c>
      <c r="I30" s="45">
        <f>VLOOKUP(I$9,CurrentMtgRatesDataTable8252[#All],MATCH($D30,CurrentMtgRatesDataTable8252[#Headers],0),FALSE)</f>
        <v>0.59030589303010117</v>
      </c>
      <c r="J30" s="45">
        <f>VLOOKUP(J$9,CurrentMtgRatesDataTable8252[#All],MATCH($D30,CurrentMtgRatesDataTable8252[#Headers],0),FALSE)</f>
        <v>0.56767829749984233</v>
      </c>
      <c r="K30" s="45">
        <f>VLOOKUP(K$9,CurrentMtgRatesDataTable8252[#All],MATCH($D30,CurrentMtgRatesDataTable8252[#Headers],0),FALSE)</f>
        <v>0.56767829749984233</v>
      </c>
      <c r="L30" s="45">
        <f>VLOOKUP(L$9,CurrentMtgRatesDataTable8252[#All],MATCH($D30,CurrentMtgRatesDataTable8252[#Headers],0),FALSE)</f>
        <v>0.5568428982599426</v>
      </c>
      <c r="M30" s="45">
        <f>VLOOKUP(M$9,CurrentMtgRatesDataTable8252[#All],MATCH($D30,CurrentMtgRatesDataTable8252[#Headers],0),FALSE)</f>
        <v>0.5568428982599426</v>
      </c>
      <c r="N30" s="45">
        <f>VLOOKUP(N$9,CurrentMtgRatesDataTable8252[#All],MATCH($D30,CurrentMtgRatesDataTable8252[#Headers],0),FALSE)</f>
        <v>0.5305110292335844</v>
      </c>
      <c r="O30" s="45">
        <f>VLOOKUP(O$9,CurrentMtgRatesDataTable8252[#All],MATCH($D30,CurrentMtgRatesDataTable8252[#Headers],0),FALSE)</f>
        <v>0.5305110292335844</v>
      </c>
      <c r="P30" s="45">
        <f>VLOOKUP(P$9,CurrentMtgRatesDataTable8252[#All],MATCH($D30,CurrentMtgRatesDataTable8252[#Headers],0),FALSE)</f>
        <v>0.51718202232541288</v>
      </c>
      <c r="Q30" s="45">
        <f>VLOOKUP(Q$9,CurrentMtgRatesDataTable8252[#All],MATCH($D30,CurrentMtgRatesDataTable8252[#Headers],0),FALSE)</f>
        <v>0.51718202232541288</v>
      </c>
      <c r="R30"/>
      <c r="S30"/>
      <c r="T30"/>
      <c r="U30"/>
      <c r="V30"/>
      <c r="W30"/>
      <c r="X30"/>
      <c r="Y30"/>
      <c r="Z30"/>
    </row>
    <row r="31" spans="1:26" s="10" customFormat="1" ht="16.5" customHeight="1">
      <c r="A31" s="27"/>
      <c r="B31" s="27"/>
      <c r="D31" t="s">
        <v>47</v>
      </c>
      <c r="E31" s="34" t="s">
        <v>74</v>
      </c>
      <c r="F31" s="45">
        <f>VLOOKUP(F$9,CurrentMtgRatesDataTable8252[#All],MATCH($D31,CurrentMtgRatesDataTable8252[#Headers],0),FALSE)</f>
        <v>2.7690936682783381E-2</v>
      </c>
      <c r="G31" s="45">
        <f>VLOOKUP(G$9,CurrentMtgRatesDataTable8252[#All],MATCH($D31,CurrentMtgRatesDataTable8252[#Headers],0),FALSE)</f>
        <v>2.8773694078772123E-2</v>
      </c>
      <c r="H31" s="45">
        <f>VLOOKUP(H$9,CurrentMtgRatesDataTable8252[#All],MATCH($D31,CurrentMtgRatesDataTable8252[#Headers],0),FALSE)</f>
        <v>3.0759540333268585E-2</v>
      </c>
      <c r="I31" s="45">
        <f>VLOOKUP(I$9,CurrentMtgRatesDataTable8252[#All],MATCH($D31,CurrentMtgRatesDataTable8252[#Headers],0),FALSE)</f>
        <v>3.0759540333268585E-2</v>
      </c>
      <c r="J31" s="45">
        <f>VLOOKUP(J$9,CurrentMtgRatesDataTable8252[#All],MATCH($D31,CurrentMtgRatesDataTable8252[#Headers],0),FALSE)</f>
        <v>3.089787175495139E-2</v>
      </c>
      <c r="K31" s="45">
        <f>VLOOKUP(K$9,CurrentMtgRatesDataTable8252[#All],MATCH($D31,CurrentMtgRatesDataTable8252[#Headers],0),FALSE)</f>
        <v>3.089787175495139E-2</v>
      </c>
      <c r="L31" s="45">
        <f>VLOOKUP(L$9,CurrentMtgRatesDataTable8252[#All],MATCH($D31,CurrentMtgRatesDataTable8252[#Headers],0),FALSE)</f>
        <v>3.3202303428050993E-2</v>
      </c>
      <c r="M31" s="45">
        <f>VLOOKUP(M$9,CurrentMtgRatesDataTable8252[#All],MATCH($D31,CurrentMtgRatesDataTable8252[#Headers],0),FALSE)</f>
        <v>3.3202303428050993E-2</v>
      </c>
      <c r="N31" s="45">
        <f>VLOOKUP(N$9,CurrentMtgRatesDataTable8252[#All],MATCH($D31,CurrentMtgRatesDataTable8252[#Headers],0),FALSE)</f>
        <v>4.0241114583042213E-2</v>
      </c>
      <c r="O31" s="45">
        <f>VLOOKUP(O$9,CurrentMtgRatesDataTable8252[#All],MATCH($D31,CurrentMtgRatesDataTable8252[#Headers],0),FALSE)</f>
        <v>4.0241114583042213E-2</v>
      </c>
      <c r="P31" s="45">
        <f>VLOOKUP(P$9,CurrentMtgRatesDataTable8252[#All],MATCH($D31,CurrentMtgRatesDataTable8252[#Headers],0),FALSE)</f>
        <v>4.3833639990969744E-2</v>
      </c>
      <c r="Q31" s="45">
        <f>VLOOKUP(Q$9,CurrentMtgRatesDataTable8252[#All],MATCH($D31,CurrentMtgRatesDataTable8252[#Headers],0),FALSE)</f>
        <v>4.3833639990969744E-2</v>
      </c>
      <c r="R31"/>
      <c r="S31"/>
      <c r="T31"/>
      <c r="U31"/>
      <c r="V31"/>
      <c r="W31"/>
      <c r="X31"/>
      <c r="Y31"/>
      <c r="Z31"/>
    </row>
    <row r="32" spans="1:26" s="10" customFormat="1" ht="16.5" customHeight="1">
      <c r="A32" s="27"/>
      <c r="B32" s="27"/>
      <c r="D32" t="s">
        <v>48</v>
      </c>
      <c r="E32" s="34" t="s">
        <v>75</v>
      </c>
      <c r="F32" s="45">
        <f>VLOOKUP(F$9,CurrentMtgRatesDataTable8252[#All],MATCH($D32,CurrentMtgRatesDataTable8252[#Headers],0),FALSE)</f>
        <v>0.64156843909276884</v>
      </c>
      <c r="G32" s="45">
        <f>VLOOKUP(G$9,CurrentMtgRatesDataTable8252[#All],MATCH($D32,CurrentMtgRatesDataTable8252[#Headers],0),FALSE)</f>
        <v>0.63053277207146485</v>
      </c>
      <c r="H32" s="45">
        <f>VLOOKUP(H$9,CurrentMtgRatesDataTable8252[#All],MATCH($D32,CurrentMtgRatesDataTable8252[#Headers],0),FALSE)</f>
        <v>0.62637721155715165</v>
      </c>
      <c r="I32" s="45">
        <f>VLOOKUP(I$9,CurrentMtgRatesDataTable8252[#All],MATCH($D32,CurrentMtgRatesDataTable8252[#Headers],0),FALSE)</f>
        <v>0.62637721155715165</v>
      </c>
      <c r="J32" s="45">
        <f>VLOOKUP(J$9,CurrentMtgRatesDataTable8252[#All],MATCH($D32,CurrentMtgRatesDataTable8252[#Headers],0),FALSE)</f>
        <v>0.61120744486800982</v>
      </c>
      <c r="K32" s="45">
        <f>VLOOKUP(K$9,CurrentMtgRatesDataTable8252[#All],MATCH($D32,CurrentMtgRatesDataTable8252[#Headers],0),FALSE)</f>
        <v>0.61120744486800982</v>
      </c>
      <c r="L32" s="45">
        <f>VLOOKUP(L$9,CurrentMtgRatesDataTable8252[#All],MATCH($D32,CurrentMtgRatesDataTable8252[#Headers],0),FALSE)</f>
        <v>0.60526889424896191</v>
      </c>
      <c r="M32" s="45">
        <f>VLOOKUP(M$9,CurrentMtgRatesDataTable8252[#All],MATCH($D32,CurrentMtgRatesDataTable8252[#Headers],0),FALSE)</f>
        <v>0.60526889424896191</v>
      </c>
      <c r="N32" s="45">
        <f>VLOOKUP(N$9,CurrentMtgRatesDataTable8252[#All],MATCH($D32,CurrentMtgRatesDataTable8252[#Headers],0),FALSE)</f>
        <v>0.60384142167558097</v>
      </c>
      <c r="O32" s="45">
        <f>VLOOKUP(O$9,CurrentMtgRatesDataTable8252[#All],MATCH($D32,CurrentMtgRatesDataTable8252[#Headers],0),FALSE)</f>
        <v>0.60384142167558097</v>
      </c>
      <c r="P32" s="45">
        <f>VLOOKUP(P$9,CurrentMtgRatesDataTable8252[#All],MATCH($D32,CurrentMtgRatesDataTable8252[#Headers],0),FALSE)</f>
        <v>0.5958857597791738</v>
      </c>
      <c r="Q32" s="45">
        <f>VLOOKUP(Q$9,CurrentMtgRatesDataTable8252[#All],MATCH($D32,CurrentMtgRatesDataTable8252[#Headers],0),FALSE)</f>
        <v>0.5958857597791738</v>
      </c>
      <c r="R32"/>
      <c r="S32"/>
      <c r="T32"/>
      <c r="U32"/>
      <c r="V32"/>
      <c r="W32"/>
      <c r="X32"/>
      <c r="Y32"/>
      <c r="Z32"/>
    </row>
    <row r="33" spans="1:26" s="10" customFormat="1" ht="16.5" customHeight="1">
      <c r="A33" s="27"/>
      <c r="B33" s="27"/>
      <c r="D33" t="s">
        <v>49</v>
      </c>
      <c r="E33" s="34" t="s">
        <v>76</v>
      </c>
      <c r="F33" s="45">
        <f>VLOOKUP(F$9,CurrentMtgRatesDataTable8252[#All],MATCH($D33,CurrentMtgRatesDataTable8252[#Headers],0),FALSE)</f>
        <v>0.86827260738704692</v>
      </c>
      <c r="G33" s="45">
        <f>VLOOKUP(G$9,CurrentMtgRatesDataTable8252[#All],MATCH($D33,CurrentMtgRatesDataTable8252[#Headers],0),FALSE)</f>
        <v>0.87162585394290071</v>
      </c>
      <c r="H33" s="45">
        <f>VLOOKUP(H$9,CurrentMtgRatesDataTable8252[#All],MATCH($D33,CurrentMtgRatesDataTable8252[#Headers],0),FALSE)</f>
        <v>0.86661166537117928</v>
      </c>
      <c r="I33" s="45">
        <f>VLOOKUP(I$9,CurrentMtgRatesDataTable8252[#All],MATCH($D33,CurrentMtgRatesDataTable8252[#Headers],0),FALSE)</f>
        <v>0.86661166537117928</v>
      </c>
      <c r="J33" s="45">
        <f>VLOOKUP(J$9,CurrentMtgRatesDataTable8252[#All],MATCH($D33,CurrentMtgRatesDataTable8252[#Headers],0),FALSE)</f>
        <v>0.85918212949735984</v>
      </c>
      <c r="K33" s="45">
        <f>VLOOKUP(K$9,CurrentMtgRatesDataTable8252[#All],MATCH($D33,CurrentMtgRatesDataTable8252[#Headers],0),FALSE)</f>
        <v>0.85918212949735984</v>
      </c>
      <c r="L33" s="45">
        <f>VLOOKUP(L$9,CurrentMtgRatesDataTable8252[#All],MATCH($D33,CurrentMtgRatesDataTable8252[#Headers],0),FALSE)</f>
        <v>0.84702434872687171</v>
      </c>
      <c r="M33" s="45">
        <f>VLOOKUP(M$9,CurrentMtgRatesDataTable8252[#All],MATCH($D33,CurrentMtgRatesDataTable8252[#Headers],0),FALSE)</f>
        <v>0.84702434872687171</v>
      </c>
      <c r="N33" s="45">
        <f>VLOOKUP(N$9,CurrentMtgRatesDataTable8252[#All],MATCH($D33,CurrentMtgRatesDataTable8252[#Headers],0),FALSE)</f>
        <v>0.81974350817567387</v>
      </c>
      <c r="O33" s="45">
        <f>VLOOKUP(O$9,CurrentMtgRatesDataTable8252[#All],MATCH($D33,CurrentMtgRatesDataTable8252[#Headers],0),FALSE)</f>
        <v>0.81974350817567387</v>
      </c>
      <c r="P33" s="45">
        <f>VLOOKUP(P$9,CurrentMtgRatesDataTable8252[#All],MATCH($D33,CurrentMtgRatesDataTable8252[#Headers],0),FALSE)</f>
        <v>0.80752571097786174</v>
      </c>
      <c r="Q33" s="45">
        <f>VLOOKUP(Q$9,CurrentMtgRatesDataTable8252[#All],MATCH($D33,CurrentMtgRatesDataTable8252[#Headers],0),FALSE)</f>
        <v>0.80752571097786174</v>
      </c>
      <c r="R33"/>
      <c r="S33"/>
      <c r="T33"/>
      <c r="U33"/>
      <c r="V33"/>
      <c r="W33"/>
      <c r="X33"/>
      <c r="Y33"/>
      <c r="Z33"/>
    </row>
    <row r="34" spans="1:26" s="10" customFormat="1" ht="16.5" customHeight="1">
      <c r="A34" s="27"/>
      <c r="B34" s="27"/>
      <c r="D34" t="s">
        <v>50</v>
      </c>
      <c r="E34" s="34" t="s">
        <v>77</v>
      </c>
      <c r="F34" s="45">
        <f>VLOOKUP(F$9,CurrentMtgRatesDataTable8252[#All],MATCH($D34,CurrentMtgRatesDataTable8252[#Headers],0),FALSE)</f>
        <v>0.41273557722375676</v>
      </c>
      <c r="G34" s="45">
        <f>VLOOKUP(G$9,CurrentMtgRatesDataTable8252[#All],MATCH($D34,CurrentMtgRatesDataTable8252[#Headers],0),FALSE)</f>
        <v>0.31507449956701417</v>
      </c>
      <c r="H34" s="45">
        <f>VLOOKUP(H$9,CurrentMtgRatesDataTable8252[#All],MATCH($D34,CurrentMtgRatesDataTable8252[#Headers],0),FALSE)</f>
        <v>0.29344646287540482</v>
      </c>
      <c r="I34" s="45">
        <f>VLOOKUP(I$9,CurrentMtgRatesDataTable8252[#All],MATCH($D34,CurrentMtgRatesDataTable8252[#Headers],0),FALSE)</f>
        <v>0.29344646287540482</v>
      </c>
      <c r="J34" s="45">
        <f>VLOOKUP(J$9,CurrentMtgRatesDataTable8252[#All],MATCH($D34,CurrentMtgRatesDataTable8252[#Headers],0),FALSE)</f>
        <v>0.39416333469077774</v>
      </c>
      <c r="K34" s="45">
        <f>VLOOKUP(K$9,CurrentMtgRatesDataTable8252[#All],MATCH($D34,CurrentMtgRatesDataTable8252[#Headers],0),FALSE)</f>
        <v>0.39416333469077774</v>
      </c>
      <c r="L34" s="45">
        <f>VLOOKUP(L$9,CurrentMtgRatesDataTable8252[#All],MATCH($D34,CurrentMtgRatesDataTable8252[#Headers],0),FALSE)</f>
        <v>0.50836769029393436</v>
      </c>
      <c r="M34" s="45">
        <f>VLOOKUP(M$9,CurrentMtgRatesDataTable8252[#All],MATCH($D34,CurrentMtgRatesDataTable8252[#Headers],0),FALSE)</f>
        <v>0.50836769029393436</v>
      </c>
      <c r="N34" s="45">
        <f>VLOOKUP(N$9,CurrentMtgRatesDataTable8252[#All],MATCH($D34,CurrentMtgRatesDataTable8252[#Headers],0),FALSE)</f>
        <v>0.62566336417292667</v>
      </c>
      <c r="O34" s="45">
        <f>VLOOKUP(O$9,CurrentMtgRatesDataTable8252[#All],MATCH($D34,CurrentMtgRatesDataTable8252[#Headers],0),FALSE)</f>
        <v>0.62566336417292667</v>
      </c>
      <c r="P34" s="45">
        <f>VLOOKUP(P$9,CurrentMtgRatesDataTable8252[#All],MATCH($D34,CurrentMtgRatesDataTable8252[#Headers],0),FALSE)</f>
        <v>0.61377470297969128</v>
      </c>
      <c r="Q34" s="45">
        <f>VLOOKUP(Q$9,CurrentMtgRatesDataTable8252[#All],MATCH($D34,CurrentMtgRatesDataTable8252[#Headers],0),FALSE)</f>
        <v>0.61377470297969128</v>
      </c>
      <c r="R34"/>
      <c r="S34"/>
      <c r="T34"/>
      <c r="U34"/>
      <c r="V34"/>
      <c r="W34"/>
      <c r="X34"/>
      <c r="Y34"/>
      <c r="Z34"/>
    </row>
    <row r="35" spans="1:26" s="10" customFormat="1" ht="16.5" customHeight="1">
      <c r="A35" s="27"/>
      <c r="B35" s="27"/>
      <c r="D35" t="s">
        <v>51</v>
      </c>
      <c r="E35" s="85" t="s">
        <v>78</v>
      </c>
      <c r="F35" s="84">
        <f>VLOOKUP(F$9,CurrentMtgRatesDataTable8252[#All],MATCH($D35,CurrentMtgRatesDataTable8252[#Headers],0),FALSE)</f>
        <v>0.15275458574030112</v>
      </c>
      <c r="G35" s="84">
        <f>VLOOKUP(G$9,CurrentMtgRatesDataTable8252[#All],MATCH($D35,CurrentMtgRatesDataTable8252[#Headers],0),FALSE)</f>
        <v>0.17793624149318107</v>
      </c>
      <c r="H35" s="84">
        <f>VLOOKUP(H$9,CurrentMtgRatesDataTable8252[#All],MATCH($D35,CurrentMtgRatesDataTable8252[#Headers],0),FALSE)</f>
        <v>0.14760638634536291</v>
      </c>
      <c r="I35" s="84">
        <f>VLOOKUP(I$9,CurrentMtgRatesDataTable8252[#All],MATCH($D35,CurrentMtgRatesDataTable8252[#Headers],0),FALSE)</f>
        <v>0.14760638634536291</v>
      </c>
      <c r="J35" s="84">
        <f>VLOOKUP(J$9,CurrentMtgRatesDataTable8252[#All],MATCH($D35,CurrentMtgRatesDataTable8252[#Headers],0),FALSE)</f>
        <v>0.13825543442863922</v>
      </c>
      <c r="K35" s="84">
        <f>VLOOKUP(K$9,CurrentMtgRatesDataTable8252[#All],MATCH($D35,CurrentMtgRatesDataTable8252[#Headers],0),FALSE)</f>
        <v>0.13825543442863922</v>
      </c>
      <c r="L35" s="84">
        <f>VLOOKUP(L$9,CurrentMtgRatesDataTable8252[#All],MATCH($D35,CurrentMtgRatesDataTable8252[#Headers],0),FALSE)</f>
        <v>0.12143325239415281</v>
      </c>
      <c r="M35" s="84">
        <f>VLOOKUP(M$9,CurrentMtgRatesDataTable8252[#All],MATCH($D35,CurrentMtgRatesDataTable8252[#Headers],0),FALSE)</f>
        <v>0.12143325239415281</v>
      </c>
      <c r="N35" s="84">
        <f>VLOOKUP(N$9,CurrentMtgRatesDataTable8252[#All],MATCH($D35,CurrentMtgRatesDataTable8252[#Headers],0),FALSE)</f>
        <v>0.10830272892991177</v>
      </c>
      <c r="O35" s="84">
        <f>VLOOKUP(O$9,CurrentMtgRatesDataTable8252[#All],MATCH($D35,CurrentMtgRatesDataTable8252[#Headers],0),FALSE)</f>
        <v>0.10830272892991177</v>
      </c>
      <c r="P35" s="84">
        <f>VLOOKUP(P$9,CurrentMtgRatesDataTable8252[#All],MATCH($D35,CurrentMtgRatesDataTable8252[#Headers],0),FALSE)</f>
        <v>0.11374942497898749</v>
      </c>
      <c r="Q35" s="84">
        <f>VLOOKUP(Q$9,CurrentMtgRatesDataTable8252[#All],MATCH($D35,CurrentMtgRatesDataTable8252[#Headers],0),FALSE)</f>
        <v>0.11374942497898749</v>
      </c>
      <c r="R35"/>
      <c r="S35"/>
      <c r="T35"/>
      <c r="U35"/>
      <c r="V35"/>
      <c r="W35"/>
      <c r="X35"/>
      <c r="Y35"/>
      <c r="Z35"/>
    </row>
    <row r="36" spans="1:26" s="10" customFormat="1" ht="16.5" customHeight="1">
      <c r="A36" s="27"/>
      <c r="B36" s="27"/>
      <c r="E36" s="87" t="s">
        <v>93</v>
      </c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/>
      <c r="S36"/>
      <c r="T36"/>
      <c r="U36"/>
      <c r="V36"/>
      <c r="W36"/>
      <c r="X36"/>
      <c r="Y36"/>
      <c r="Z36"/>
    </row>
    <row r="37" spans="1:26" s="10" customFormat="1" ht="16.5" customHeight="1">
      <c r="A37" s="27"/>
      <c r="B37" s="27"/>
      <c r="D37" t="s">
        <v>52</v>
      </c>
      <c r="E37" s="34" t="s">
        <v>79</v>
      </c>
      <c r="F37" s="39">
        <f>VLOOKUP(F$9,CurrentMtgRatesDataTable8252[#All],MATCH($D37,CurrentMtgRatesDataTable8252[#Headers],0),FALSE)</f>
        <v>0.9969225337365003</v>
      </c>
      <c r="G37" s="39">
        <f>VLOOKUP(G$9,CurrentMtgRatesDataTable8252[#All],MATCH($D37,CurrentMtgRatesDataTable8252[#Headers],0),FALSE)</f>
        <v>0.99734126886290775</v>
      </c>
      <c r="H37" s="39">
        <f>VLOOKUP(H$9,CurrentMtgRatesDataTable8252[#All],MATCH($D37,CurrentMtgRatesDataTable8252[#Headers],0),FALSE)</f>
        <v>0.99751485453797994</v>
      </c>
      <c r="I37" s="39">
        <f>VLOOKUP(I$9,CurrentMtgRatesDataTable8252[#All],MATCH($D37,CurrentMtgRatesDataTable8252[#Headers],0),FALSE)</f>
        <v>0.99751485453797994</v>
      </c>
      <c r="J37" s="39">
        <f>VLOOKUP(J$9,CurrentMtgRatesDataTable8252[#All],MATCH($D37,CurrentMtgRatesDataTable8252[#Headers],0),FALSE)</f>
        <v>0.99706319677356647</v>
      </c>
      <c r="K37" s="39">
        <f>VLOOKUP(K$9,CurrentMtgRatesDataTable8252[#All],MATCH($D37,CurrentMtgRatesDataTable8252[#Headers],0),FALSE)</f>
        <v>0.99706319677356647</v>
      </c>
      <c r="L37" s="39">
        <f>VLOOKUP(L$9,CurrentMtgRatesDataTable8252[#All],MATCH($D37,CurrentMtgRatesDataTable8252[#Headers],0),FALSE)</f>
        <v>0.99661122969075511</v>
      </c>
      <c r="M37" s="39">
        <f>VLOOKUP(M$9,CurrentMtgRatesDataTable8252[#All],MATCH($D37,CurrentMtgRatesDataTable8252[#Headers],0),FALSE)</f>
        <v>0.99661122969075511</v>
      </c>
      <c r="N37" s="39">
        <f>VLOOKUP(N$9,CurrentMtgRatesDataTable8252[#All],MATCH($D37,CurrentMtgRatesDataTable8252[#Headers],0),FALSE)</f>
        <v>0.99624967774694184</v>
      </c>
      <c r="O37" s="39">
        <f>VLOOKUP(O$9,CurrentMtgRatesDataTable8252[#All],MATCH($D37,CurrentMtgRatesDataTable8252[#Headers],0),FALSE)</f>
        <v>0.99624967774694184</v>
      </c>
      <c r="P37" s="39">
        <f>VLOOKUP(P$9,CurrentMtgRatesDataTable8252[#All],MATCH($D37,CurrentMtgRatesDataTable8252[#Headers],0),FALSE)</f>
        <v>0.99590787916533774</v>
      </c>
      <c r="Q37" s="39">
        <f>VLOOKUP(Q$9,CurrentMtgRatesDataTable8252[#All],MATCH($D37,CurrentMtgRatesDataTable8252[#Headers],0),FALSE)</f>
        <v>0.99590787916533774</v>
      </c>
      <c r="R37"/>
      <c r="S37"/>
      <c r="T37"/>
      <c r="U37"/>
      <c r="V37"/>
      <c r="W37"/>
      <c r="X37"/>
      <c r="Y37"/>
      <c r="Z37"/>
    </row>
    <row r="38" spans="1:26" s="10" customFormat="1" ht="16.5" customHeight="1">
      <c r="A38" s="27"/>
      <c r="B38" s="27"/>
      <c r="D38" t="s">
        <v>53</v>
      </c>
      <c r="E38" s="34" t="s">
        <v>80</v>
      </c>
      <c r="F38" s="39">
        <f>VLOOKUP(F$9,CurrentMtgRatesDataTable8252[#All],MATCH($D38,CurrentMtgRatesDataTable8252[#Headers],0),FALSE)</f>
        <v>3.0774662634997477E-3</v>
      </c>
      <c r="G38" s="39">
        <f>VLOOKUP(G$9,CurrentMtgRatesDataTable8252[#All],MATCH($D38,CurrentMtgRatesDataTable8252[#Headers],0),FALSE)</f>
        <v>2.6587311370922912E-3</v>
      </c>
      <c r="H38" s="39">
        <f>VLOOKUP(H$9,CurrentMtgRatesDataTable8252[#All],MATCH($D38,CurrentMtgRatesDataTable8252[#Headers],0),FALSE)</f>
        <v>2.4851454620200427E-3</v>
      </c>
      <c r="I38" s="39">
        <f>VLOOKUP(I$9,CurrentMtgRatesDataTable8252[#All],MATCH($D38,CurrentMtgRatesDataTable8252[#Headers],0),FALSE)</f>
        <v>2.4851454620200427E-3</v>
      </c>
      <c r="J38" s="39">
        <f>VLOOKUP(J$9,CurrentMtgRatesDataTable8252[#All],MATCH($D38,CurrentMtgRatesDataTable8252[#Headers],0),FALSE)</f>
        <v>2.9368032264335568E-3</v>
      </c>
      <c r="K38" s="39">
        <f>VLOOKUP(K$9,CurrentMtgRatesDataTable8252[#All],MATCH($D38,CurrentMtgRatesDataTable8252[#Headers],0),FALSE)</f>
        <v>2.9368032264335568E-3</v>
      </c>
      <c r="L38" s="39">
        <f>VLOOKUP(L$9,CurrentMtgRatesDataTable8252[#All],MATCH($D38,CurrentMtgRatesDataTable8252[#Headers],0),FALSE)</f>
        <v>3.3887703092448855E-3</v>
      </c>
      <c r="M38" s="39">
        <f>VLOOKUP(M$9,CurrentMtgRatesDataTable8252[#All],MATCH($D38,CurrentMtgRatesDataTable8252[#Headers],0),FALSE)</f>
        <v>3.3887703092448855E-3</v>
      </c>
      <c r="N38" s="39">
        <f>VLOOKUP(N$9,CurrentMtgRatesDataTable8252[#All],MATCH($D38,CurrentMtgRatesDataTable8252[#Headers],0),FALSE)</f>
        <v>3.750322253058182E-3</v>
      </c>
      <c r="O38" s="39">
        <f>VLOOKUP(O$9,CurrentMtgRatesDataTable8252[#All],MATCH($D38,CurrentMtgRatesDataTable8252[#Headers],0),FALSE)</f>
        <v>3.750322253058182E-3</v>
      </c>
      <c r="P38" s="39">
        <f>VLOOKUP(P$9,CurrentMtgRatesDataTable8252[#All],MATCH($D38,CurrentMtgRatesDataTable8252[#Headers],0),FALSE)</f>
        <v>4.0921208346622433E-3</v>
      </c>
      <c r="Q38" s="39">
        <f>VLOOKUP(Q$9,CurrentMtgRatesDataTable8252[#All],MATCH($D38,CurrentMtgRatesDataTable8252[#Headers],0),FALSE)</f>
        <v>4.0921208346622433E-3</v>
      </c>
      <c r="R38"/>
      <c r="S38"/>
      <c r="T38"/>
      <c r="U38"/>
      <c r="V38"/>
      <c r="W38"/>
      <c r="X38"/>
      <c r="Y38"/>
      <c r="Z38"/>
    </row>
    <row r="39" spans="1:26" s="10" customFormat="1" ht="16.5" customHeight="1">
      <c r="A39" s="27"/>
      <c r="B39" s="27"/>
      <c r="D39" t="s">
        <v>54</v>
      </c>
      <c r="E39" s="34" t="s">
        <v>102</v>
      </c>
      <c r="F39" s="39">
        <f>VLOOKUP(F$9,CurrentMtgRatesDataTable8252[#All],MATCH($D39,CurrentMtgRatesDataTable8252[#Headers],0),FALSE)</f>
        <v>0.97280840445723626</v>
      </c>
      <c r="G39" s="39">
        <f>VLOOKUP(G$9,CurrentMtgRatesDataTable8252[#All],MATCH($D39,CurrentMtgRatesDataTable8252[#Headers],0),FALSE)</f>
        <v>0.9751451698910274</v>
      </c>
      <c r="H39" s="39">
        <f>VLOOKUP(H$9,CurrentMtgRatesDataTable8252[#All],MATCH($D39,CurrentMtgRatesDataTable8252[#Headers],0),FALSE)</f>
        <v>0.9797756826098174</v>
      </c>
      <c r="I39" s="39">
        <f>VLOOKUP(I$9,CurrentMtgRatesDataTable8252[#All],MATCH($D39,CurrentMtgRatesDataTable8252[#Headers],0),FALSE)</f>
        <v>0.9797756826098174</v>
      </c>
      <c r="J39" s="39">
        <f>VLOOKUP(J$9,CurrentMtgRatesDataTable8252[#All],MATCH($D39,CurrentMtgRatesDataTable8252[#Headers],0),FALSE)</f>
        <v>0.9791129529517667</v>
      </c>
      <c r="K39" s="39">
        <f>VLOOKUP(K$9,CurrentMtgRatesDataTable8252[#All],MATCH($D39,CurrentMtgRatesDataTable8252[#Headers],0),FALSE)</f>
        <v>0.9791129529517667</v>
      </c>
      <c r="L39" s="39">
        <f>VLOOKUP(L$9,CurrentMtgRatesDataTable8252[#All],MATCH($D39,CurrentMtgRatesDataTable8252[#Headers],0),FALSE)</f>
        <v>0.98196837620670696</v>
      </c>
      <c r="M39" s="39">
        <f>VLOOKUP(M$9,CurrentMtgRatesDataTable8252[#All],MATCH($D39,CurrentMtgRatesDataTable8252[#Headers],0),FALSE)</f>
        <v>0.98196837620670696</v>
      </c>
      <c r="N39" s="39">
        <f>VLOOKUP(N$9,CurrentMtgRatesDataTable8252[#All],MATCH($D39,CurrentMtgRatesDataTable8252[#Headers],0),FALSE)</f>
        <v>0.98231833599155249</v>
      </c>
      <c r="O39" s="39">
        <f>VLOOKUP(O$9,CurrentMtgRatesDataTable8252[#All],MATCH($D39,CurrentMtgRatesDataTable8252[#Headers],0),FALSE)</f>
        <v>0.98231833599155249</v>
      </c>
      <c r="P39" s="39">
        <f>VLOOKUP(P$9,CurrentMtgRatesDataTable8252[#All],MATCH($D39,CurrentMtgRatesDataTable8252[#Headers],0),FALSE)</f>
        <v>0.98790731862091075</v>
      </c>
      <c r="Q39" s="39">
        <f>VLOOKUP(Q$9,CurrentMtgRatesDataTable8252[#All],MATCH($D39,CurrentMtgRatesDataTable8252[#Headers],0),FALSE)</f>
        <v>0.98790731862091075</v>
      </c>
      <c r="R39"/>
      <c r="S39"/>
      <c r="T39"/>
      <c r="U39"/>
      <c r="V39"/>
      <c r="W39"/>
      <c r="X39"/>
      <c r="Y39"/>
      <c r="Z39"/>
    </row>
    <row r="40" spans="1:26" s="10" customFormat="1" ht="16.5" customHeight="1">
      <c r="A40" s="27"/>
      <c r="B40" s="27"/>
      <c r="D40" t="s">
        <v>55</v>
      </c>
      <c r="E40" s="34" t="s">
        <v>95</v>
      </c>
      <c r="F40" s="39">
        <f>VLOOKUP(F$9,CurrentMtgRatesDataTable8252[#All],MATCH($D40,CurrentMtgRatesDataTable8252[#Headers],0),FALSE)</f>
        <v>2.4114129279263954E-2</v>
      </c>
      <c r="G40" s="39">
        <f>VLOOKUP(G$9,CurrentMtgRatesDataTable8252[#All],MATCH($D40,CurrentMtgRatesDataTable8252[#Headers],0),FALSE)</f>
        <v>2.2196098971880313E-2</v>
      </c>
      <c r="H40" s="39">
        <f>VLOOKUP(H$9,CurrentMtgRatesDataTable8252[#All],MATCH($D40,CurrentMtgRatesDataTable8252[#Headers],0),FALSE)</f>
        <v>1.7739171928162566E-2</v>
      </c>
      <c r="I40" s="39">
        <f>VLOOKUP(I$9,CurrentMtgRatesDataTable8252[#All],MATCH($D40,CurrentMtgRatesDataTable8252[#Headers],0),FALSE)</f>
        <v>1.7739171928162566E-2</v>
      </c>
      <c r="J40" s="39">
        <f>VLOOKUP(J$9,CurrentMtgRatesDataTable8252[#All],MATCH($D40,CurrentMtgRatesDataTable8252[#Headers],0),FALSE)</f>
        <v>1.7950243821799713E-2</v>
      </c>
      <c r="K40" s="39">
        <f>VLOOKUP(K$9,CurrentMtgRatesDataTable8252[#All],MATCH($D40,CurrentMtgRatesDataTable8252[#Headers],0),FALSE)</f>
        <v>1.7950243821799713E-2</v>
      </c>
      <c r="L40" s="39">
        <f>VLOOKUP(L$9,CurrentMtgRatesDataTable8252[#All],MATCH($D40,CurrentMtgRatesDataTable8252[#Headers],0),FALSE)</f>
        <v>1.4642853484048124E-2</v>
      </c>
      <c r="M40" s="39">
        <f>VLOOKUP(M$9,CurrentMtgRatesDataTable8252[#All],MATCH($D40,CurrentMtgRatesDataTable8252[#Headers],0),FALSE)</f>
        <v>1.4642853484048124E-2</v>
      </c>
      <c r="N40" s="39">
        <f>VLOOKUP(N$9,CurrentMtgRatesDataTable8252[#All],MATCH($D40,CurrentMtgRatesDataTable8252[#Headers],0),FALSE)</f>
        <v>1.3931341755389333E-2</v>
      </c>
      <c r="O40" s="39">
        <f>VLOOKUP(O$9,CurrentMtgRatesDataTable8252[#All],MATCH($D40,CurrentMtgRatesDataTable8252[#Headers],0),FALSE)</f>
        <v>1.3931341755389333E-2</v>
      </c>
      <c r="P40" s="39">
        <f>VLOOKUP(P$9,CurrentMtgRatesDataTable8252[#All],MATCH($D40,CurrentMtgRatesDataTable8252[#Headers],0),FALSE)</f>
        <v>8.0005605444269726E-3</v>
      </c>
      <c r="Q40" s="39">
        <f>VLOOKUP(Q$9,CurrentMtgRatesDataTable8252[#All],MATCH($D40,CurrentMtgRatesDataTable8252[#Headers],0),FALSE)</f>
        <v>8.0005605444269726E-3</v>
      </c>
      <c r="R40"/>
      <c r="S40"/>
      <c r="T40"/>
      <c r="U40"/>
      <c r="V40"/>
      <c r="W40"/>
      <c r="X40"/>
      <c r="Y40"/>
      <c r="Z40"/>
    </row>
    <row r="41" spans="1:26" s="10" customFormat="1" ht="16.5" customHeight="1">
      <c r="A41" s="27"/>
      <c r="B41" s="27"/>
      <c r="D41" t="s">
        <v>56</v>
      </c>
      <c r="E41" s="34" t="s">
        <v>96</v>
      </c>
      <c r="F41" s="39">
        <f>VLOOKUP(F$9,CurrentMtgRatesDataTable8252[#All],MATCH($D41,CurrentMtgRatesDataTable8252[#Headers],0),FALSE)</f>
        <v>0</v>
      </c>
      <c r="G41" s="39">
        <f>VLOOKUP(G$9,CurrentMtgRatesDataTable8252[#All],MATCH($D41,CurrentMtgRatesDataTable8252[#Headers],0),FALSE)</f>
        <v>0</v>
      </c>
      <c r="H41" s="39">
        <f>VLOOKUP(H$9,CurrentMtgRatesDataTable8252[#All],MATCH($D41,CurrentMtgRatesDataTable8252[#Headers],0),FALSE)</f>
        <v>0</v>
      </c>
      <c r="I41" s="39">
        <f>VLOOKUP(I$9,CurrentMtgRatesDataTable8252[#All],MATCH($D41,CurrentMtgRatesDataTable8252[#Headers],0),FALSE)</f>
        <v>0</v>
      </c>
      <c r="J41" s="39">
        <f>VLOOKUP(J$9,CurrentMtgRatesDataTable8252[#All],MATCH($D41,CurrentMtgRatesDataTable8252[#Headers],0),FALSE)</f>
        <v>0</v>
      </c>
      <c r="K41" s="39">
        <f>VLOOKUP(K$9,CurrentMtgRatesDataTable8252[#All],MATCH($D41,CurrentMtgRatesDataTable8252[#Headers],0),FALSE)</f>
        <v>0</v>
      </c>
      <c r="L41" s="39">
        <f>VLOOKUP(L$9,CurrentMtgRatesDataTable8252[#All],MATCH($D41,CurrentMtgRatesDataTable8252[#Headers],0),FALSE)</f>
        <v>0</v>
      </c>
      <c r="M41" s="39">
        <f>VLOOKUP(M$9,CurrentMtgRatesDataTable8252[#All],MATCH($D41,CurrentMtgRatesDataTable8252[#Headers],0),FALSE)</f>
        <v>0</v>
      </c>
      <c r="N41" s="39">
        <f>VLOOKUP(N$9,CurrentMtgRatesDataTable8252[#All],MATCH($D41,CurrentMtgRatesDataTable8252[#Headers],0),FALSE)</f>
        <v>0</v>
      </c>
      <c r="O41" s="39">
        <f>VLOOKUP(O$9,CurrentMtgRatesDataTable8252[#All],MATCH($D41,CurrentMtgRatesDataTable8252[#Headers],0),FALSE)</f>
        <v>0</v>
      </c>
      <c r="P41" s="39">
        <f>VLOOKUP(P$9,CurrentMtgRatesDataTable8252[#All],MATCH($D41,CurrentMtgRatesDataTable8252[#Headers],0),FALSE)</f>
        <v>0</v>
      </c>
      <c r="Q41" s="39">
        <f>VLOOKUP(Q$9,CurrentMtgRatesDataTable8252[#All],MATCH($D41,CurrentMtgRatesDataTable8252[#Headers],0),FALSE)</f>
        <v>0</v>
      </c>
      <c r="R41"/>
      <c r="S41"/>
      <c r="T41"/>
      <c r="U41"/>
      <c r="V41"/>
      <c r="W41"/>
      <c r="X41"/>
      <c r="Y41"/>
      <c r="Z41"/>
    </row>
    <row r="42" spans="1:26" ht="17.25" hidden="1" customHeight="1">
      <c r="A42" s="28"/>
      <c r="B42" s="28"/>
      <c r="D42" t="s">
        <v>57</v>
      </c>
      <c r="E42" s="34" t="s">
        <v>30</v>
      </c>
      <c r="F42" s="39">
        <f>VLOOKUP(F$9,'Colleteral Data'!$B:$AE,25,0)</f>
        <v>3.0774662634997477E-3</v>
      </c>
      <c r="G42" s="39">
        <v>2.3376657585846399E-4</v>
      </c>
      <c r="H42" s="39">
        <v>1.7949095982798801E-4</v>
      </c>
      <c r="I42" s="39">
        <v>3.0297486310089101E-4</v>
      </c>
      <c r="J42" s="39">
        <v>5.2744818488495004E-4</v>
      </c>
      <c r="K42" s="39">
        <v>4.1838795278117502E-4</v>
      </c>
      <c r="L42" s="39">
        <v>7.0756564162437999E-4</v>
      </c>
      <c r="M42" s="39">
        <v>5.06785179303878E-4</v>
      </c>
      <c r="N42" s="39">
        <v>8.2037433882238401E-4</v>
      </c>
      <c r="O42" s="39">
        <v>1.20989493466391E-4</v>
      </c>
      <c r="P42" s="39">
        <v>5.4205781812194099E-5</v>
      </c>
      <c r="Q42" s="39">
        <v>0</v>
      </c>
    </row>
    <row r="43" spans="1:26" ht="17.25" customHeight="1">
      <c r="A43" s="28"/>
      <c r="B43" s="28"/>
      <c r="E43" s="34" t="s">
        <v>97</v>
      </c>
      <c r="F43" s="39">
        <f>'Performance Report'!D39/100</f>
        <v>9.5663999999999999E-2</v>
      </c>
      <c r="G43" s="39">
        <f>'Performance Report'!E39/100</f>
        <v>8.197900000000001E-2</v>
      </c>
      <c r="H43" s="39">
        <f>'Performance Report'!F39/100</f>
        <v>7.7897999999999995E-2</v>
      </c>
      <c r="I43" s="39">
        <f>'Performance Report'!G39/100</f>
        <v>9.5653000000000002E-2</v>
      </c>
      <c r="J43" s="39">
        <f>'Performance Report'!H39/100</f>
        <v>8.6904999999999996E-2</v>
      </c>
      <c r="K43" s="39">
        <f>'Performance Report'!I39/100</f>
        <v>0.10429500000000001</v>
      </c>
      <c r="L43" s="39">
        <f>'Performance Report'!J39/100</f>
        <v>0.102424</v>
      </c>
      <c r="M43" s="39">
        <f>'Performance Report'!K39/100</f>
        <v>0.12601000000000001</v>
      </c>
      <c r="N43" s="39">
        <f>'Performance Report'!L39/100</f>
        <v>0.15266299999999999</v>
      </c>
      <c r="O43" s="39">
        <f>'Performance Report'!M39/100</f>
        <v>0.16686299999999998</v>
      </c>
      <c r="P43" s="39">
        <f>'Performance Report'!N39/100</f>
        <v>0.151731</v>
      </c>
      <c r="Q43" s="39">
        <v>0</v>
      </c>
    </row>
    <row r="44" spans="1:26" ht="17.25" customHeight="1">
      <c r="A44" s="28"/>
      <c r="B44" s="28"/>
      <c r="E44" s="34" t="s">
        <v>98</v>
      </c>
      <c r="F44" s="39">
        <f>'Performance Report'!T39/100</f>
        <v>6.8999999999999997E-5</v>
      </c>
      <c r="G44" s="39">
        <f>'Performance Report'!U39/100</f>
        <v>1.067E-3</v>
      </c>
      <c r="H44" s="39">
        <f>'Performance Report'!V39/100</f>
        <v>6.4899999999999995E-4</v>
      </c>
      <c r="I44" s="39">
        <f>'Performance Report'!W39/100</f>
        <v>1.034E-3</v>
      </c>
      <c r="J44" s="39">
        <f>'Performance Report'!X39/100</f>
        <v>1.124E-3</v>
      </c>
      <c r="K44" s="39">
        <f>'Performance Report'!Y39/100</f>
        <v>2.4030000000000002E-3</v>
      </c>
      <c r="L44" s="39">
        <f>'Performance Report'!Z39/100</f>
        <v>7.5000000000000002E-4</v>
      </c>
      <c r="M44" s="39">
        <f>'Performance Report'!AA39/100</f>
        <v>8.1799999999999993E-4</v>
      </c>
      <c r="N44" s="39">
        <f>'Performance Report'!AB39/100</f>
        <v>1.359E-3</v>
      </c>
      <c r="O44" s="39">
        <f>'Performance Report'!AC39/100</f>
        <v>1.243E-3</v>
      </c>
      <c r="P44" s="39">
        <f>'Performance Report'!AD39/100</f>
        <v>0</v>
      </c>
      <c r="Q44" s="39">
        <v>0</v>
      </c>
    </row>
    <row r="45" spans="1:26" ht="17.25" customHeight="1">
      <c r="A45" s="28"/>
      <c r="B45" s="28"/>
      <c r="E45" s="85" t="s">
        <v>86</v>
      </c>
      <c r="F45" s="40">
        <f>'Performance Report'!D68/100</f>
        <v>1.8E-3</v>
      </c>
      <c r="G45" s="40">
        <f>'Performance Report'!E68/100</f>
        <v>1.1000000000000001E-3</v>
      </c>
      <c r="H45" s="40">
        <f>'Performance Report'!F68/100</f>
        <v>5.9999999999999995E-4</v>
      </c>
      <c r="I45" s="40">
        <f>'Performance Report'!G68/100</f>
        <v>1.5E-3</v>
      </c>
      <c r="J45" s="40">
        <f>'Performance Report'!H68/100</f>
        <v>5.9999999999999995E-4</v>
      </c>
      <c r="K45" s="40">
        <f>'Performance Report'!I68/100</f>
        <v>1.5E-3</v>
      </c>
      <c r="L45" s="40">
        <f>'Performance Report'!J68/100</f>
        <v>2.0000000000000001E-4</v>
      </c>
      <c r="M45" s="40">
        <f>'Performance Report'!K68/100</f>
        <v>5.0000000000000001E-4</v>
      </c>
      <c r="N45" s="40">
        <f>'Performance Report'!L68/100</f>
        <v>2.0000000000000001E-4</v>
      </c>
      <c r="O45" s="40">
        <f>'Performance Report'!M68/100</f>
        <v>2.9999999999999997E-4</v>
      </c>
      <c r="P45" s="40">
        <f>'Performance Report'!N68/100</f>
        <v>0</v>
      </c>
      <c r="Q45" s="40">
        <f>'Performance Report'!O68/100</f>
        <v>0</v>
      </c>
    </row>
    <row r="46" spans="1:26" ht="17.25" customHeight="1">
      <c r="A46" s="28"/>
      <c r="B46" s="28"/>
      <c r="E46" s="88" t="s">
        <v>99</v>
      </c>
    </row>
    <row r="47" spans="1:26" ht="17.25" customHeight="1">
      <c r="A47" s="28"/>
      <c r="B47" s="28"/>
      <c r="E47" s="88" t="s">
        <v>100</v>
      </c>
    </row>
    <row r="48" spans="1:26" ht="17.25" customHeight="1">
      <c r="A48" s="28"/>
      <c r="B48" s="28"/>
      <c r="E48" s="88" t="s">
        <v>101</v>
      </c>
    </row>
    <row r="49" spans="1:26" ht="17.25" hidden="1" customHeight="1">
      <c r="A49" s="28"/>
      <c r="B49" s="28"/>
    </row>
    <row r="50" spans="1:26" s="3" customFormat="1" ht="16.5" customHeight="1">
      <c r="A50" s="29"/>
      <c r="B50" s="29"/>
      <c r="E50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/>
      <c r="S50"/>
      <c r="T50"/>
      <c r="U50"/>
      <c r="V50"/>
      <c r="W50"/>
      <c r="X50"/>
      <c r="Y50"/>
      <c r="Z50"/>
    </row>
    <row r="51" spans="1:26" s="10" customFormat="1" ht="16.5" customHeight="1">
      <c r="A51" s="27"/>
      <c r="B51" s="27"/>
      <c r="E51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/>
      <c r="S51"/>
      <c r="T51"/>
      <c r="U51"/>
      <c r="V51"/>
      <c r="W51"/>
      <c r="X51"/>
      <c r="Y51"/>
      <c r="Z51"/>
    </row>
    <row r="52" spans="1:26" s="10" customFormat="1" ht="16.5" customHeight="1">
      <c r="A52" s="27"/>
      <c r="B52" s="27"/>
      <c r="E52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/>
      <c r="S52"/>
      <c r="T52"/>
      <c r="U52"/>
      <c r="V52"/>
      <c r="W52"/>
      <c r="X52"/>
      <c r="Y52"/>
      <c r="Z52"/>
    </row>
    <row r="53" spans="1:26" s="10" customFormat="1" ht="16.5" customHeight="1">
      <c r="A53" s="27"/>
      <c r="B53" s="27"/>
      <c r="E53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/>
      <c r="S53"/>
      <c r="T53"/>
      <c r="U53"/>
      <c r="V53"/>
      <c r="W53"/>
      <c r="X53"/>
      <c r="Y53"/>
      <c r="Z53"/>
    </row>
    <row r="54" spans="1:26" s="10" customFormat="1" ht="16.5" customHeight="1">
      <c r="A54" s="27"/>
      <c r="B54" s="27"/>
      <c r="E54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/>
      <c r="S54"/>
      <c r="T54"/>
      <c r="U54"/>
      <c r="V54"/>
      <c r="W54"/>
      <c r="X54"/>
      <c r="Y54"/>
      <c r="Z54"/>
    </row>
    <row r="55" spans="1:26" s="10" customFormat="1" ht="16.5" customHeight="1">
      <c r="A55" s="27"/>
      <c r="B55" s="27"/>
      <c r="E5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/>
      <c r="S55"/>
      <c r="T55"/>
      <c r="U55"/>
      <c r="V55"/>
      <c r="W55"/>
      <c r="X55"/>
      <c r="Y55"/>
      <c r="Z55"/>
    </row>
    <row r="56" spans="1:26" s="10" customFormat="1" ht="16.5" customHeight="1">
      <c r="A56" s="27"/>
      <c r="B56" s="27"/>
      <c r="E56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/>
      <c r="S56"/>
      <c r="T56"/>
      <c r="U56"/>
      <c r="V56"/>
      <c r="W56"/>
      <c r="X56"/>
      <c r="Y56"/>
      <c r="Z56"/>
    </row>
    <row r="57" spans="1:26" s="10" customFormat="1" ht="16.5" customHeight="1">
      <c r="A57" s="27"/>
      <c r="B57" s="27"/>
      <c r="E57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/>
      <c r="S57"/>
      <c r="T57"/>
      <c r="U57"/>
      <c r="V57"/>
      <c r="W57"/>
      <c r="X57"/>
      <c r="Y57"/>
      <c r="Z57"/>
    </row>
    <row r="58" spans="1:26" s="10" customFormat="1" ht="16.5" customHeight="1">
      <c r="A58" s="27"/>
      <c r="B58" s="27"/>
      <c r="E58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/>
      <c r="S58"/>
      <c r="T58"/>
      <c r="U58"/>
      <c r="V58"/>
      <c r="W58"/>
      <c r="X58"/>
      <c r="Y58"/>
      <c r="Z58"/>
    </row>
    <row r="59" spans="1:26" s="10" customFormat="1" ht="16.5" customHeight="1">
      <c r="A59" s="27"/>
      <c r="B59" s="27"/>
      <c r="E59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/>
      <c r="S59"/>
      <c r="T59"/>
      <c r="U59"/>
      <c r="V59"/>
      <c r="W59"/>
      <c r="X59"/>
      <c r="Y59"/>
      <c r="Z59"/>
    </row>
    <row r="60" spans="1:26" s="10" customFormat="1" ht="16.5" customHeight="1">
      <c r="A60" s="27"/>
      <c r="B60" s="27"/>
      <c r="E60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/>
      <c r="S60"/>
      <c r="T60"/>
      <c r="U60"/>
      <c r="V60"/>
      <c r="W60"/>
      <c r="X60"/>
      <c r="Y60"/>
      <c r="Z60"/>
    </row>
    <row r="61" spans="1:26" s="10" customFormat="1" ht="16.5" customHeight="1">
      <c r="A61" s="27"/>
      <c r="B61" s="27"/>
      <c r="E61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/>
      <c r="S61"/>
      <c r="T61"/>
      <c r="U61"/>
      <c r="V61"/>
      <c r="W61"/>
      <c r="X61"/>
      <c r="Y61"/>
      <c r="Z61"/>
    </row>
    <row r="62" spans="1:26" s="10" customFormat="1" ht="16.5" customHeight="1">
      <c r="A62" s="27"/>
      <c r="B62" s="27"/>
      <c r="E62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/>
      <c r="S62"/>
      <c r="T62"/>
      <c r="U62"/>
      <c r="V62"/>
      <c r="W62"/>
      <c r="X62"/>
      <c r="Y62"/>
      <c r="Z62"/>
    </row>
    <row r="63" spans="1:26" s="10" customFormat="1" ht="16.5" customHeight="1">
      <c r="A63" s="27"/>
      <c r="B63" s="27"/>
      <c r="E63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/>
      <c r="S63"/>
      <c r="T63"/>
      <c r="U63"/>
      <c r="V63"/>
      <c r="W63"/>
      <c r="X63"/>
      <c r="Y63"/>
      <c r="Z63"/>
    </row>
    <row r="64" spans="1:26" s="10" customFormat="1" ht="16.5" customHeight="1">
      <c r="A64" s="27"/>
      <c r="B64" s="27"/>
      <c r="E64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/>
      <c r="S64"/>
      <c r="T64"/>
      <c r="U64"/>
      <c r="V64"/>
      <c r="W64"/>
      <c r="X64"/>
      <c r="Y64"/>
      <c r="Z64"/>
    </row>
    <row r="65" spans="1:26" s="10" customFormat="1" ht="16.5" customHeight="1">
      <c r="A65" s="27"/>
      <c r="B65" s="27"/>
      <c r="E6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/>
      <c r="S65"/>
      <c r="T65"/>
      <c r="U65"/>
      <c r="V65"/>
      <c r="W65"/>
      <c r="X65"/>
      <c r="Y65"/>
      <c r="Z65"/>
    </row>
    <row r="66" spans="1:26" s="10" customFormat="1" ht="16.5" customHeight="1">
      <c r="A66" s="27"/>
      <c r="B66" s="27"/>
      <c r="E66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/>
      <c r="S66"/>
      <c r="T66"/>
      <c r="U66"/>
      <c r="V66"/>
      <c r="W66"/>
      <c r="X66"/>
      <c r="Y66"/>
      <c r="Z66"/>
    </row>
    <row r="67" spans="1:26" s="10" customFormat="1" ht="16.5" customHeight="1">
      <c r="A67" s="27"/>
      <c r="B67" s="27"/>
      <c r="E67"/>
      <c r="F67" s="35"/>
      <c r="G67" s="35"/>
      <c r="H67" s="35"/>
      <c r="I67" s="23"/>
      <c r="J67" s="35"/>
      <c r="K67" s="35"/>
      <c r="L67" s="35"/>
      <c r="M67" s="35"/>
      <c r="N67" s="35"/>
      <c r="O67" s="35"/>
      <c r="P67" s="35"/>
      <c r="Q67" s="35"/>
      <c r="R67"/>
      <c r="S67"/>
      <c r="T67"/>
      <c r="U67"/>
      <c r="V67"/>
      <c r="W67"/>
      <c r="X67"/>
      <c r="Y67"/>
      <c r="Z67"/>
    </row>
    <row r="68" spans="1:26" s="10" customFormat="1" ht="16.5" customHeight="1">
      <c r="A68" s="27"/>
      <c r="B68" s="27"/>
      <c r="E68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/>
      <c r="S68"/>
      <c r="T68"/>
      <c r="U68"/>
      <c r="V68"/>
      <c r="W68"/>
      <c r="X68"/>
      <c r="Y68"/>
      <c r="Z68"/>
    </row>
    <row r="69" spans="1:26" s="10" customFormat="1" ht="16.5" customHeight="1">
      <c r="A69" s="27"/>
      <c r="B69" s="27"/>
      <c r="E69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/>
      <c r="S69"/>
      <c r="T69"/>
      <c r="U69"/>
      <c r="V69"/>
      <c r="W69"/>
      <c r="X69"/>
      <c r="Y69"/>
      <c r="Z69"/>
    </row>
    <row r="70" spans="1:26" s="10" customFormat="1" ht="16.5" customHeight="1">
      <c r="A70" s="27"/>
      <c r="B70" s="27"/>
      <c r="E70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/>
      <c r="S70"/>
      <c r="T70"/>
      <c r="U70"/>
      <c r="V70"/>
      <c r="W70"/>
      <c r="X70"/>
      <c r="Y70"/>
      <c r="Z70"/>
    </row>
    <row r="71" spans="1:26" s="10" customFormat="1" ht="16.5" customHeight="1">
      <c r="A71" s="27"/>
      <c r="B71" s="27"/>
      <c r="E71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/>
      <c r="S71"/>
      <c r="T71"/>
      <c r="U71"/>
      <c r="V71"/>
      <c r="W71"/>
      <c r="X71"/>
      <c r="Y71"/>
      <c r="Z71"/>
    </row>
    <row r="72" spans="1:26" s="10" customFormat="1" ht="16.5" customHeight="1">
      <c r="A72" s="22"/>
      <c r="B72" s="22"/>
      <c r="E72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/>
      <c r="S72"/>
      <c r="T72"/>
      <c r="U72"/>
      <c r="V72"/>
      <c r="W72"/>
      <c r="X72"/>
      <c r="Y72"/>
      <c r="Z72"/>
    </row>
    <row r="73" spans="1:26" s="10" customFormat="1" ht="16.5" customHeight="1">
      <c r="A73" s="22"/>
      <c r="B73" s="22"/>
      <c r="E73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/>
      <c r="S73"/>
      <c r="T73"/>
      <c r="U73"/>
      <c r="V73"/>
      <c r="W73"/>
      <c r="X73"/>
      <c r="Y73"/>
      <c r="Z73"/>
    </row>
    <row r="74" spans="1:26" s="10" customFormat="1" ht="16.5" customHeight="1">
      <c r="A74" s="22"/>
      <c r="B74" s="22"/>
      <c r="E74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/>
      <c r="S74"/>
      <c r="T74"/>
      <c r="U74"/>
      <c r="V74"/>
      <c r="W74"/>
      <c r="X74"/>
      <c r="Y74"/>
      <c r="Z74"/>
    </row>
    <row r="75" spans="1:26" hidden="1">
      <c r="E75" s="5"/>
      <c r="F75" s="37">
        <v>1E-3</v>
      </c>
      <c r="G75" s="37">
        <v>1E-3</v>
      </c>
      <c r="H75" s="37">
        <v>1E-3</v>
      </c>
      <c r="I75" s="37"/>
      <c r="J75" s="37"/>
      <c r="K75" s="37"/>
      <c r="L75" s="37"/>
      <c r="M75" s="37"/>
      <c r="N75" s="37"/>
      <c r="O75" s="37"/>
      <c r="P75" s="37"/>
      <c r="Q75" s="37"/>
      <c r="R75" s="9"/>
      <c r="S75" s="9">
        <v>0.01</v>
      </c>
      <c r="T75" s="9"/>
      <c r="U75" s="9"/>
      <c r="V75" s="9"/>
    </row>
    <row r="76" spans="1:26">
      <c r="E76" s="5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9"/>
      <c r="S76" s="9"/>
      <c r="T76" s="9"/>
      <c r="U76" s="9"/>
      <c r="V76" s="9"/>
    </row>
  </sheetData>
  <pageMargins left="0.25" right="0.25" top="0.255" bottom="0.25" header="0.1" footer="0.1"/>
  <pageSetup scale="77" orientation="landscape" horizontalDpi="300" verticalDpi="300" r:id="rId1"/>
  <headerFooter scaleWithDoc="0">
    <oddHeader>&amp;L&amp;G&amp;R&amp;"-,Bold"&amp;10&amp;K2E398A
&amp;C&amp;"-,Bold"&amp;15&amp;K2E398A
Deal Collateral Summary: 8/2015</oddHeader>
    <oddFooter xml:space="preserve">&amp;L&amp;10&amp;K2E398AReport created on &amp;D &amp;T&amp;C&amp;G
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B1:AS70"/>
  <sheetViews>
    <sheetView showGridLines="0" tabSelected="1" topLeftCell="A7" zoomScale="70" zoomScaleNormal="70" workbookViewId="0">
      <selection activeCell="AN26" sqref="AN26"/>
    </sheetView>
  </sheetViews>
  <sheetFormatPr defaultRowHeight="15"/>
  <cols>
    <col min="1" max="1" width="9.140625" style="52" customWidth="1"/>
    <col min="2" max="2" width="9.140625" style="52"/>
    <col min="3" max="3" width="16.42578125" style="52" customWidth="1"/>
    <col min="4" max="15" width="11" style="52" customWidth="1"/>
    <col min="16" max="16" width="11" style="52" hidden="1" customWidth="1"/>
    <col min="17" max="18" width="2.85546875" style="52" customWidth="1"/>
    <col min="19" max="19" width="15.140625" style="52" customWidth="1"/>
    <col min="20" max="31" width="11" style="52" customWidth="1"/>
    <col min="32" max="32" width="11" style="52" hidden="1" customWidth="1"/>
    <col min="33" max="33" width="13.28515625" style="52" customWidth="1"/>
    <col min="34" max="34" width="14.5703125" style="52" customWidth="1"/>
    <col min="35" max="35" width="13.28515625" style="52" bestFit="1" customWidth="1"/>
    <col min="36" max="36" width="14.5703125" style="52" customWidth="1"/>
    <col min="37" max="37" width="13.28515625" style="52" customWidth="1"/>
    <col min="38" max="38" width="14.42578125" style="52" customWidth="1"/>
    <col min="39" max="39" width="13.28515625" style="52" bestFit="1" customWidth="1"/>
    <col min="40" max="40" width="15.5703125" style="52" bestFit="1" customWidth="1"/>
    <col min="41" max="41" width="13.28515625" style="52" bestFit="1" customWidth="1"/>
    <col min="42" max="42" width="14.5703125" style="52" bestFit="1" customWidth="1"/>
    <col min="43" max="43" width="13.28515625" style="52" bestFit="1" customWidth="1"/>
    <col min="44" max="44" width="14.5703125" style="52" bestFit="1" customWidth="1"/>
    <col min="45" max="45" width="13.28515625" style="52" bestFit="1" customWidth="1"/>
    <col min="46" max="16384" width="9.140625" style="52"/>
  </cols>
  <sheetData>
    <row r="1" spans="2:38">
      <c r="AI1" s="61" t="s">
        <v>0</v>
      </c>
      <c r="AJ1" s="62" t="s">
        <v>6</v>
      </c>
      <c r="AK1" s="52" t="s">
        <v>1</v>
      </c>
      <c r="AL1" s="63" t="s">
        <v>4</v>
      </c>
    </row>
    <row r="2" spans="2:38">
      <c r="AI2" s="61" t="s">
        <v>2</v>
      </c>
      <c r="AJ2" s="64">
        <v>42326</v>
      </c>
    </row>
    <row r="3" spans="2:38">
      <c r="AI3" s="61" t="s">
        <v>5</v>
      </c>
      <c r="AJ3" s="62" t="s">
        <v>88</v>
      </c>
    </row>
    <row r="4" spans="2:38">
      <c r="AI4" s="61" t="s">
        <v>3</v>
      </c>
      <c r="AJ4" s="62" t="str">
        <f>PDFReportDir &amp; "\Surveillance Report Summary-FNMA " &amp; TEXT(CurrentCloseDate, "yyyy-mm-dd") &amp; ".pdf"</f>
        <v>S:\IT\Production\Monthly Reports\CRT Surveillance Report\tmp\Surveillance Report Summary-FNMA 2015-11-18.pdf</v>
      </c>
    </row>
    <row r="5" spans="2:38">
      <c r="AI5" s="65"/>
    </row>
    <row r="6" spans="2:38">
      <c r="AI6" s="65"/>
    </row>
    <row r="7" spans="2:38">
      <c r="AI7" s="65"/>
    </row>
    <row r="8" spans="2:38">
      <c r="AI8" s="65"/>
    </row>
    <row r="9" spans="2:38">
      <c r="AI9" s="65"/>
    </row>
    <row r="10" spans="2:38">
      <c r="AI10" s="65"/>
    </row>
    <row r="11" spans="2:38">
      <c r="AJ11" s="91"/>
      <c r="AK11" s="92"/>
    </row>
    <row r="12" spans="2:38" ht="13.5" customHeight="1">
      <c r="AJ12" s="91" t="s">
        <v>87</v>
      </c>
      <c r="AK12" s="92">
        <f>C39</f>
        <v>42217</v>
      </c>
    </row>
    <row r="13" spans="2:38">
      <c r="AJ13" s="91"/>
      <c r="AK13" s="91"/>
    </row>
    <row r="14" spans="2:38" s="66" customFormat="1" ht="18" customHeight="1"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</row>
    <row r="15" spans="2:38" ht="19.5" customHeight="1">
      <c r="C15" s="101" t="s">
        <v>7</v>
      </c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67"/>
      <c r="R15" s="67"/>
      <c r="S15" s="102" t="s">
        <v>8</v>
      </c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</row>
    <row r="16" spans="2:38" ht="25.5">
      <c r="C16" s="59"/>
      <c r="D16" s="60" t="str">
        <f>VLOOKUP(D18,'Deal Pool Mapping'!$G:$I,3,0)&amp;"-"&amp;D17</f>
        <v>CAS 2013-C01-1</v>
      </c>
      <c r="E16" s="60" t="str">
        <f>VLOOKUP(E18,'Deal Pool Mapping'!$G:$I,3,0)&amp;"-"&amp;E17</f>
        <v>CAS 2014-C01-1</v>
      </c>
      <c r="F16" s="60" t="str">
        <f>VLOOKUP(F18,'Deal Pool Mapping'!$G:$I,3,0)&amp;"-"&amp;F17</f>
        <v>CAS 2014-C02-1</v>
      </c>
      <c r="G16" s="60" t="str">
        <f>VLOOKUP(G18,'Deal Pool Mapping'!$G:$I,3,0)&amp;"-"&amp;G17</f>
        <v>CAS 2014-C02-2</v>
      </c>
      <c r="H16" s="60" t="str">
        <f>VLOOKUP(H18,'Deal Pool Mapping'!$G:$I,3,0)&amp;"-"&amp;H17</f>
        <v>CAS 2014-C03-1</v>
      </c>
      <c r="I16" s="60" t="str">
        <f>VLOOKUP(I18,'Deal Pool Mapping'!$G:$I,3,0)&amp;"-"&amp;I17</f>
        <v>CAS 2014-C03-2</v>
      </c>
      <c r="J16" s="60" t="str">
        <f>VLOOKUP(J18,'Deal Pool Mapping'!$G:$I,3,0)&amp;"-"&amp;J17</f>
        <v>CAS 2014-C04-1</v>
      </c>
      <c r="K16" s="60" t="str">
        <f>VLOOKUP(K18,'Deal Pool Mapping'!$G:$I,3,0)&amp;"-"&amp;K17</f>
        <v>CAS 2014-C04-2</v>
      </c>
      <c r="L16" s="60" t="str">
        <f>VLOOKUP(L18,'Deal Pool Mapping'!$G:$I,3,0)&amp;"-"&amp;L17</f>
        <v>CAS 2015-C01-1</v>
      </c>
      <c r="M16" s="60" t="str">
        <f>VLOOKUP(M18,'Deal Pool Mapping'!$G:$I,3,0)&amp;"-"&amp;M17</f>
        <v>CAS 2015-C01-2</v>
      </c>
      <c r="N16" s="60" t="str">
        <f>VLOOKUP(N18,'Deal Pool Mapping'!$G:$I,3,0)&amp;"-"&amp;N17</f>
        <v>CAS 2015-C02-1</v>
      </c>
      <c r="O16" s="60" t="str">
        <f>VLOOKUP(O18,'Deal Pool Mapping'!$G:$I,3,0)&amp;"-"&amp;O17</f>
        <v>CAS 2015-C02-2</v>
      </c>
      <c r="P16" s="49"/>
      <c r="Q16" s="67"/>
      <c r="R16" s="67"/>
      <c r="S16" s="57"/>
      <c r="T16" s="57" t="str">
        <f t="shared" ref="T16:T17" si="0">D16</f>
        <v>CAS 2013-C01-1</v>
      </c>
      <c r="U16" s="57" t="str">
        <f t="shared" ref="U16:U17" si="1">E16</f>
        <v>CAS 2014-C01-1</v>
      </c>
      <c r="V16" s="57" t="str">
        <f t="shared" ref="V16:V17" si="2">F16</f>
        <v>CAS 2014-C02-1</v>
      </c>
      <c r="W16" s="57" t="str">
        <f t="shared" ref="W16:W17" si="3">G16</f>
        <v>CAS 2014-C02-2</v>
      </c>
      <c r="X16" s="57" t="str">
        <f t="shared" ref="X16:X17" si="4">H16</f>
        <v>CAS 2014-C03-1</v>
      </c>
      <c r="Y16" s="57" t="str">
        <f t="shared" ref="Y16:Y17" si="5">I16</f>
        <v>CAS 2014-C03-2</v>
      </c>
      <c r="Z16" s="57" t="str">
        <f t="shared" ref="Z16:Z17" si="6">J16</f>
        <v>CAS 2014-C04-1</v>
      </c>
      <c r="AA16" s="57" t="str">
        <f t="shared" ref="AA16:AA17" si="7">K16</f>
        <v>CAS 2014-C04-2</v>
      </c>
      <c r="AB16" s="57" t="str">
        <f t="shared" ref="AB16:AB17" si="8">L16</f>
        <v>CAS 2015-C01-1</v>
      </c>
      <c r="AC16" s="57" t="str">
        <f t="shared" ref="AC16:AC17" si="9">M16</f>
        <v>CAS 2015-C01-2</v>
      </c>
      <c r="AD16" s="57" t="str">
        <f t="shared" ref="AD16:AD17" si="10">N16</f>
        <v>CAS 2015-C02-1</v>
      </c>
      <c r="AE16" s="57" t="str">
        <f t="shared" ref="AE16:AE17" si="11">O16</f>
        <v>CAS 2015-C02-2</v>
      </c>
      <c r="AF16" s="54"/>
    </row>
    <row r="17" spans="3:32" hidden="1">
      <c r="C17" s="59"/>
      <c r="D17" s="60">
        <f>VLOOKUP(D18,'Deal Pool Mapping'!$G:$H,2,0)</f>
        <v>1</v>
      </c>
      <c r="E17" s="60">
        <f>VLOOKUP(E18,'Deal Pool Mapping'!$G:$H,2,0)</f>
        <v>1</v>
      </c>
      <c r="F17" s="60">
        <f>VLOOKUP(F18,'Deal Pool Mapping'!$G:$H,2,0)</f>
        <v>1</v>
      </c>
      <c r="G17" s="60">
        <f>VLOOKUP(G18,'Deal Pool Mapping'!$G:$H,2,0)</f>
        <v>2</v>
      </c>
      <c r="H17" s="60">
        <f>VLOOKUP(H18,'Deal Pool Mapping'!$G:$H,2,0)</f>
        <v>1</v>
      </c>
      <c r="I17" s="60">
        <f>VLOOKUP(I18,'Deal Pool Mapping'!$G:$H,2,0)</f>
        <v>2</v>
      </c>
      <c r="J17" s="60">
        <f>VLOOKUP(J18,'Deal Pool Mapping'!$G:$H,2,0)</f>
        <v>1</v>
      </c>
      <c r="K17" s="60">
        <f>VLOOKUP(K18,'Deal Pool Mapping'!$G:$H,2,0)</f>
        <v>2</v>
      </c>
      <c r="L17" s="60">
        <f>VLOOKUP(L18,'Deal Pool Mapping'!$G:$H,2,0)</f>
        <v>1</v>
      </c>
      <c r="M17" s="60">
        <f>VLOOKUP(M18,'Deal Pool Mapping'!$G:$H,2,0)</f>
        <v>2</v>
      </c>
      <c r="N17" s="60">
        <f>VLOOKUP(N18,'Deal Pool Mapping'!$G:$H,2,0)</f>
        <v>1</v>
      </c>
      <c r="O17" s="60">
        <f>VLOOKUP(O18,'Deal Pool Mapping'!$G:$H,2,0)</f>
        <v>2</v>
      </c>
      <c r="P17" s="49"/>
      <c r="Q17" s="67"/>
      <c r="R17" s="67"/>
      <c r="S17" s="57"/>
      <c r="T17" s="57">
        <f t="shared" si="0"/>
        <v>1</v>
      </c>
      <c r="U17" s="57">
        <f t="shared" si="1"/>
        <v>1</v>
      </c>
      <c r="V17" s="57">
        <f t="shared" si="2"/>
        <v>1</v>
      </c>
      <c r="W17" s="57">
        <f t="shared" si="3"/>
        <v>2</v>
      </c>
      <c r="X17" s="57">
        <f t="shared" si="4"/>
        <v>1</v>
      </c>
      <c r="Y17" s="57">
        <f t="shared" si="5"/>
        <v>2</v>
      </c>
      <c r="Z17" s="57">
        <f t="shared" si="6"/>
        <v>1</v>
      </c>
      <c r="AA17" s="57">
        <f t="shared" si="7"/>
        <v>2</v>
      </c>
      <c r="AB17" s="57">
        <f t="shared" si="8"/>
        <v>1</v>
      </c>
      <c r="AC17" s="57">
        <f t="shared" si="9"/>
        <v>2</v>
      </c>
      <c r="AD17" s="57">
        <f t="shared" si="10"/>
        <v>1</v>
      </c>
      <c r="AE17" s="57">
        <f t="shared" si="11"/>
        <v>2</v>
      </c>
      <c r="AF17" s="54"/>
    </row>
    <row r="18" spans="3:32" ht="25.5" hidden="1">
      <c r="C18" s="59" t="s">
        <v>89</v>
      </c>
      <c r="D18" s="60" t="str">
        <f>'Performance Pivot'!D17</f>
        <v>1372</v>
      </c>
      <c r="E18" s="60" t="str">
        <f>'Performance Pivot'!E17</f>
        <v>1378</v>
      </c>
      <c r="F18" s="60" t="str">
        <f>'Performance Pivot'!F17</f>
        <v>1383</v>
      </c>
      <c r="G18" s="60" t="str">
        <f>'Performance Pivot'!G17</f>
        <v>1384</v>
      </c>
      <c r="H18" s="60" t="str">
        <f>'Performance Pivot'!H17</f>
        <v>1387</v>
      </c>
      <c r="I18" s="60" t="str">
        <f>'Performance Pivot'!I17</f>
        <v>1388</v>
      </c>
      <c r="J18" s="60" t="str">
        <f>'Performance Pivot'!J17</f>
        <v>1392</v>
      </c>
      <c r="K18" s="60" t="str">
        <f>'Performance Pivot'!K17</f>
        <v>1393</v>
      </c>
      <c r="L18" s="60" t="str">
        <f>'Performance Pivot'!L17</f>
        <v>1397</v>
      </c>
      <c r="M18" s="60" t="str">
        <f>'Performance Pivot'!M17</f>
        <v>1398</v>
      </c>
      <c r="N18" s="60" t="str">
        <f>'Performance Pivot'!N17</f>
        <v>1399</v>
      </c>
      <c r="O18" s="60" t="str">
        <f>'Performance Pivot'!O17</f>
        <v>1400</v>
      </c>
      <c r="P18" s="49" t="s">
        <v>59</v>
      </c>
      <c r="Q18" s="67"/>
      <c r="R18" s="67"/>
      <c r="S18" s="57" t="str">
        <f t="shared" ref="S18:AE18" si="12">C18</f>
        <v>Date</v>
      </c>
      <c r="T18" s="57" t="str">
        <f t="shared" si="12"/>
        <v>1372</v>
      </c>
      <c r="U18" s="57" t="str">
        <f t="shared" si="12"/>
        <v>1378</v>
      </c>
      <c r="V18" s="57" t="str">
        <f t="shared" si="12"/>
        <v>1383</v>
      </c>
      <c r="W18" s="57" t="str">
        <f t="shared" si="12"/>
        <v>1384</v>
      </c>
      <c r="X18" s="57" t="str">
        <f t="shared" si="12"/>
        <v>1387</v>
      </c>
      <c r="Y18" s="57" t="str">
        <f t="shared" si="12"/>
        <v>1388</v>
      </c>
      <c r="Z18" s="57" t="str">
        <f t="shared" si="12"/>
        <v>1392</v>
      </c>
      <c r="AA18" s="57" t="str">
        <f t="shared" si="12"/>
        <v>1393</v>
      </c>
      <c r="AB18" s="57" t="str">
        <f t="shared" si="12"/>
        <v>1397</v>
      </c>
      <c r="AC18" s="57" t="str">
        <f t="shared" si="12"/>
        <v>1398</v>
      </c>
      <c r="AD18" s="57" t="str">
        <f t="shared" si="12"/>
        <v>1399</v>
      </c>
      <c r="AE18" s="57" t="str">
        <f t="shared" si="12"/>
        <v>1400</v>
      </c>
      <c r="AF18" s="54" t="s">
        <v>59</v>
      </c>
    </row>
    <row r="19" spans="3:32" s="71" customFormat="1" ht="21" customHeight="1">
      <c r="C19" s="89">
        <f>'Performance Pivot'!C38</f>
        <v>41609</v>
      </c>
      <c r="D19" s="69">
        <f>IF(VLOOKUP($C19,'Performance Pivot'!$C:$P,2,0)="","",VLOOKUP($C19,'Performance Pivot'!$C:$P,2,0))</f>
        <v>4.1105</v>
      </c>
      <c r="E19" s="69">
        <f>IF(VLOOKUP($C19,'Performance Pivot'!$C:$P,3,0)="","",VLOOKUP($C19,'Performance Pivot'!$C:$P,3,0))</f>
        <v>3.2976999999999999</v>
      </c>
      <c r="F19" s="69" t="str">
        <f>IF(VLOOKUP($C19,'Performance Pivot'!$C:$P,4,0)="","",VLOOKUP($C19,'Performance Pivot'!$C:$P,4,0))</f>
        <v/>
      </c>
      <c r="G19" s="69" t="str">
        <f>IF(VLOOKUP($C19,'Performance Pivot'!$C:$P,5,0)="","",VLOOKUP($C19,'Performance Pivot'!$C:$P,5,0))</f>
        <v/>
      </c>
      <c r="H19" s="69" t="str">
        <f>IF(VLOOKUP($C19,'Performance Pivot'!$C:$P,6,0)="","",VLOOKUP($C19,'Performance Pivot'!$C:$P,6,0))</f>
        <v/>
      </c>
      <c r="I19" s="69" t="str">
        <f>IF(VLOOKUP($C19,'Performance Pivot'!$C:$P,7,0)="","",VLOOKUP($C19,'Performance Pivot'!$C:$P,7,0))</f>
        <v/>
      </c>
      <c r="J19" s="69" t="str">
        <f>IF(VLOOKUP($C19,'Performance Pivot'!$C:$P,8,0)="","",VLOOKUP($C19,'Performance Pivot'!$C:$P,8,0))</f>
        <v/>
      </c>
      <c r="K19" s="69" t="str">
        <f>IF(VLOOKUP($C19,'Performance Pivot'!$C:$P,9,0)="","",VLOOKUP($C19,'Performance Pivot'!$C:$P,9,0))</f>
        <v/>
      </c>
      <c r="L19" s="69" t="str">
        <f>IF(VLOOKUP($C19,'Performance Pivot'!$C:$P,10,0)="","",VLOOKUP($C19,'Performance Pivot'!$C:$P,10,0))</f>
        <v/>
      </c>
      <c r="M19" s="69" t="str">
        <f>IF(VLOOKUP($C19,'Performance Pivot'!$C:$P,11,0)="","",VLOOKUP($C19,'Performance Pivot'!$C:$P,11,0))</f>
        <v/>
      </c>
      <c r="N19" s="69" t="str">
        <f>IF(VLOOKUP($C19,'Performance Pivot'!$C:$P,12,0)="","",VLOOKUP($C19,'Performance Pivot'!$C:$P,12,0))</f>
        <v/>
      </c>
      <c r="O19" s="69" t="str">
        <f>IF(VLOOKUP($C19,'Performance Pivot'!$C:$P,13,0)="","",VLOOKUP($C19,'Performance Pivot'!$C:$P,13,0))</f>
        <v/>
      </c>
      <c r="P19" s="69" t="str">
        <f>IF(VLOOKUP($C19,'Performance Pivot'!$C:$Q,15,0)="","",VLOOKUP($C19,'Performance Pivot'!$C:$Q,15,0))</f>
        <v/>
      </c>
      <c r="Q19" s="72"/>
      <c r="R19" s="72"/>
      <c r="S19" s="89">
        <f t="shared" ref="S19:S39" si="13">C19</f>
        <v>41609</v>
      </c>
      <c r="T19" s="70">
        <f>IF(VLOOKUP($S19,'Performance Pivot'!$S:$AF,2,0)="","",VLOOKUP($S19,'Performance Pivot'!$S:$AF,2,0))</f>
        <v>0</v>
      </c>
      <c r="U19" s="70">
        <f>IF(VLOOKUP($S19,'Performance Pivot'!$S:$AF,3,0)="","",VLOOKUP($S19,'Performance Pivot'!$S:$AF,3,0))</f>
        <v>0</v>
      </c>
      <c r="V19" s="70" t="str">
        <f>IF(VLOOKUP($S19,'Performance Pivot'!$S:$AF,4,0)="","",VLOOKUP($S19,'Performance Pivot'!$S:$AF,4,0))</f>
        <v/>
      </c>
      <c r="W19" s="70" t="str">
        <f>IF(VLOOKUP($S19,'Performance Pivot'!$S:$AF,5,0)="","",VLOOKUP($S19,'Performance Pivot'!$S:$AF,5,0))</f>
        <v/>
      </c>
      <c r="X19" s="70" t="str">
        <f>IF(VLOOKUP($S19,'Performance Pivot'!$S:$AF,6,0)="","",VLOOKUP($S19,'Performance Pivot'!$S:$AF,6,0))</f>
        <v/>
      </c>
      <c r="Y19" s="70" t="str">
        <f>IF(VLOOKUP($S19,'Performance Pivot'!$S:$AF,7,0)="","",VLOOKUP($S19,'Performance Pivot'!$S:$AF,7,0))</f>
        <v/>
      </c>
      <c r="Z19" s="70" t="str">
        <f>IF(VLOOKUP($S19,'Performance Pivot'!$S:$AF,8,0)="","",VLOOKUP($S19,'Performance Pivot'!$S:$AF,8,0))</f>
        <v/>
      </c>
      <c r="AA19" s="70" t="str">
        <f>IF(VLOOKUP($S19,'Performance Pivot'!$S:$AF,9,0)="","",VLOOKUP($S19,'Performance Pivot'!$S:$AF,9,0))</f>
        <v/>
      </c>
      <c r="AB19" s="70" t="str">
        <f>IF(VLOOKUP($S19,'Performance Pivot'!$S:$AF,10,0)="","",VLOOKUP($S19,'Performance Pivot'!$S:$AF,10,0))</f>
        <v/>
      </c>
      <c r="AC19" s="70" t="str">
        <f>IF(VLOOKUP($S19,'Performance Pivot'!$S:$AF,11,0)="","",VLOOKUP($S19,'Performance Pivot'!$S:$AF,11,0))</f>
        <v/>
      </c>
      <c r="AD19" s="70" t="str">
        <f>IF(VLOOKUP($S19,'Performance Pivot'!$S:$AF,12,0)="","",VLOOKUP($S19,'Performance Pivot'!$S:$AF,12,0))</f>
        <v/>
      </c>
      <c r="AE19" s="70" t="str">
        <f>IF(VLOOKUP($S19,'Performance Pivot'!$S:$AF,13,0)="","",VLOOKUP($S19,'Performance Pivot'!$S:$AF,13,0))</f>
        <v/>
      </c>
      <c r="AF19" s="70" t="str">
        <f>IF(VLOOKUP($S19,'Performance Pivot'!$S:$AG,15,0)="","",VLOOKUP($S19,'Performance Pivot'!$S:$AG,15,0))</f>
        <v/>
      </c>
    </row>
    <row r="20" spans="3:32" s="71" customFormat="1" ht="21" customHeight="1">
      <c r="C20" s="89">
        <f>'Performance Pivot'!C37</f>
        <v>41640</v>
      </c>
      <c r="D20" s="69">
        <f>IF(VLOOKUP($C20,'Performance Pivot'!$C:$P,2,0)="","",VLOOKUP($C20,'Performance Pivot'!$C:$P,2,0))</f>
        <v>3.1019999999999999</v>
      </c>
      <c r="E20" s="69">
        <f>IF(VLOOKUP($C20,'Performance Pivot'!$C:$P,3,0)="","",VLOOKUP($C20,'Performance Pivot'!$C:$P,3,0))</f>
        <v>2.4649999999999999</v>
      </c>
      <c r="F20" s="69" t="str">
        <f>IF(VLOOKUP($C20,'Performance Pivot'!$C:$P,4,0)="","",VLOOKUP($C20,'Performance Pivot'!$C:$P,4,0))</f>
        <v/>
      </c>
      <c r="G20" s="69" t="str">
        <f>IF(VLOOKUP($C20,'Performance Pivot'!$C:$P,5,0)="","",VLOOKUP($C20,'Performance Pivot'!$C:$P,5,0))</f>
        <v/>
      </c>
      <c r="H20" s="69" t="str">
        <f>IF(VLOOKUP($C20,'Performance Pivot'!$C:$P,6,0)="","",VLOOKUP($C20,'Performance Pivot'!$C:$P,6,0))</f>
        <v/>
      </c>
      <c r="I20" s="69" t="str">
        <f>IF(VLOOKUP($C20,'Performance Pivot'!$C:$P,7,0)="","",VLOOKUP($C20,'Performance Pivot'!$C:$P,7,0))</f>
        <v/>
      </c>
      <c r="J20" s="69" t="str">
        <f>IF(VLOOKUP($C20,'Performance Pivot'!$C:$P,8,0)="","",VLOOKUP($C20,'Performance Pivot'!$C:$P,8,0))</f>
        <v/>
      </c>
      <c r="K20" s="69" t="str">
        <f>IF(VLOOKUP($C20,'Performance Pivot'!$C:$P,9,0)="","",VLOOKUP($C20,'Performance Pivot'!$C:$P,9,0))</f>
        <v/>
      </c>
      <c r="L20" s="69" t="str">
        <f>IF(VLOOKUP($C20,'Performance Pivot'!$C:$P,10,0)="","",VLOOKUP($C20,'Performance Pivot'!$C:$P,10,0))</f>
        <v/>
      </c>
      <c r="M20" s="69" t="str">
        <f>IF(VLOOKUP($C20,'Performance Pivot'!$C:$P,11,0)="","",VLOOKUP($C20,'Performance Pivot'!$C:$P,11,0))</f>
        <v/>
      </c>
      <c r="N20" s="69" t="str">
        <f>IF(VLOOKUP($C20,'Performance Pivot'!$C:$P,12,0)="","",VLOOKUP($C20,'Performance Pivot'!$C:$P,12,0))</f>
        <v/>
      </c>
      <c r="O20" s="69" t="str">
        <f>IF(VLOOKUP($C20,'Performance Pivot'!$C:$P,13,0)="","",VLOOKUP($C20,'Performance Pivot'!$C:$P,13,0))</f>
        <v/>
      </c>
      <c r="P20" s="69" t="str">
        <f>IF(VLOOKUP($C20,'Performance Pivot'!$C:$Q,15,0)="","",VLOOKUP($C20,'Performance Pivot'!$C:$Q,15,0))</f>
        <v/>
      </c>
      <c r="Q20" s="72"/>
      <c r="R20" s="72"/>
      <c r="S20" s="89">
        <f t="shared" si="13"/>
        <v>41640</v>
      </c>
      <c r="T20" s="70">
        <f>IF(VLOOKUP($S20,'Performance Pivot'!$S:$AF,2,0)="","",VLOOKUP($S20,'Performance Pivot'!$S:$AF,2,0))</f>
        <v>0</v>
      </c>
      <c r="U20" s="70">
        <f>IF(VLOOKUP($S20,'Performance Pivot'!$S:$AF,3,0)="","",VLOOKUP($S20,'Performance Pivot'!$S:$AF,3,0))</f>
        <v>0</v>
      </c>
      <c r="V20" s="70" t="str">
        <f>IF(VLOOKUP($S20,'Performance Pivot'!$S:$AF,4,0)="","",VLOOKUP($S20,'Performance Pivot'!$S:$AF,4,0))</f>
        <v/>
      </c>
      <c r="W20" s="70" t="str">
        <f>IF(VLOOKUP($S20,'Performance Pivot'!$S:$AF,5,0)="","",VLOOKUP($S20,'Performance Pivot'!$S:$AF,5,0))</f>
        <v/>
      </c>
      <c r="X20" s="70" t="str">
        <f>IF(VLOOKUP($S20,'Performance Pivot'!$S:$AF,6,0)="","",VLOOKUP($S20,'Performance Pivot'!$S:$AF,6,0))</f>
        <v/>
      </c>
      <c r="Y20" s="70" t="str">
        <f>IF(VLOOKUP($S20,'Performance Pivot'!$S:$AF,7,0)="","",VLOOKUP($S20,'Performance Pivot'!$S:$AF,7,0))</f>
        <v/>
      </c>
      <c r="Z20" s="70" t="str">
        <f>IF(VLOOKUP($S20,'Performance Pivot'!$S:$AF,8,0)="","",VLOOKUP($S20,'Performance Pivot'!$S:$AF,8,0))</f>
        <v/>
      </c>
      <c r="AA20" s="70" t="str">
        <f>IF(VLOOKUP($S20,'Performance Pivot'!$S:$AF,9,0)="","",VLOOKUP($S20,'Performance Pivot'!$S:$AF,9,0))</f>
        <v/>
      </c>
      <c r="AB20" s="70" t="str">
        <f>IF(VLOOKUP($S20,'Performance Pivot'!$S:$AF,10,0)="","",VLOOKUP($S20,'Performance Pivot'!$S:$AF,10,0))</f>
        <v/>
      </c>
      <c r="AC20" s="70" t="str">
        <f>IF(VLOOKUP($S20,'Performance Pivot'!$S:$AF,11,0)="","",VLOOKUP($S20,'Performance Pivot'!$S:$AF,11,0))</f>
        <v/>
      </c>
      <c r="AD20" s="70" t="str">
        <f>IF(VLOOKUP($S20,'Performance Pivot'!$S:$AF,12,0)="","",VLOOKUP($S20,'Performance Pivot'!$S:$AF,12,0))</f>
        <v/>
      </c>
      <c r="AE20" s="70" t="str">
        <f>IF(VLOOKUP($S20,'Performance Pivot'!$S:$AF,13,0)="","",VLOOKUP($S20,'Performance Pivot'!$S:$AF,13,0))</f>
        <v/>
      </c>
      <c r="AF20" s="70" t="str">
        <f>IF(VLOOKUP($S20,'Performance Pivot'!$S:$AG,15,0)="","",VLOOKUP($S20,'Performance Pivot'!$S:$AG,15,0))</f>
        <v/>
      </c>
    </row>
    <row r="21" spans="3:32" s="71" customFormat="1" ht="21" customHeight="1">
      <c r="C21" s="89">
        <f>'Performance Pivot'!C36</f>
        <v>41671</v>
      </c>
      <c r="D21" s="69">
        <f>IF(VLOOKUP($C21,'Performance Pivot'!$C:$P,2,0)="","",VLOOKUP($C21,'Performance Pivot'!$C:$P,2,0))</f>
        <v>2.9946999999999999</v>
      </c>
      <c r="E21" s="69">
        <f>IF(VLOOKUP($C21,'Performance Pivot'!$C:$P,3,0)="","",VLOOKUP($C21,'Performance Pivot'!$C:$P,3,0))</f>
        <v>2.71</v>
      </c>
      <c r="F21" s="69" t="str">
        <f>IF(VLOOKUP($C21,'Performance Pivot'!$C:$P,4,0)="","",VLOOKUP($C21,'Performance Pivot'!$C:$P,4,0))</f>
        <v/>
      </c>
      <c r="G21" s="69" t="str">
        <f>IF(VLOOKUP($C21,'Performance Pivot'!$C:$P,5,0)="","",VLOOKUP($C21,'Performance Pivot'!$C:$P,5,0))</f>
        <v/>
      </c>
      <c r="H21" s="69" t="str">
        <f>IF(VLOOKUP($C21,'Performance Pivot'!$C:$P,6,0)="","",VLOOKUP($C21,'Performance Pivot'!$C:$P,6,0))</f>
        <v/>
      </c>
      <c r="I21" s="69" t="str">
        <f>IF(VLOOKUP($C21,'Performance Pivot'!$C:$P,7,0)="","",VLOOKUP($C21,'Performance Pivot'!$C:$P,7,0))</f>
        <v/>
      </c>
      <c r="J21" s="69" t="str">
        <f>IF(VLOOKUP($C21,'Performance Pivot'!$C:$P,8,0)="","",VLOOKUP($C21,'Performance Pivot'!$C:$P,8,0))</f>
        <v/>
      </c>
      <c r="K21" s="69" t="str">
        <f>IF(VLOOKUP($C21,'Performance Pivot'!$C:$P,9,0)="","",VLOOKUP($C21,'Performance Pivot'!$C:$P,9,0))</f>
        <v/>
      </c>
      <c r="L21" s="69" t="str">
        <f>IF(VLOOKUP($C21,'Performance Pivot'!$C:$P,10,0)="","",VLOOKUP($C21,'Performance Pivot'!$C:$P,10,0))</f>
        <v/>
      </c>
      <c r="M21" s="69" t="str">
        <f>IF(VLOOKUP($C21,'Performance Pivot'!$C:$P,11,0)="","",VLOOKUP($C21,'Performance Pivot'!$C:$P,11,0))</f>
        <v/>
      </c>
      <c r="N21" s="69" t="str">
        <f>IF(VLOOKUP($C21,'Performance Pivot'!$C:$P,12,0)="","",VLOOKUP($C21,'Performance Pivot'!$C:$P,12,0))</f>
        <v/>
      </c>
      <c r="O21" s="69" t="str">
        <f>IF(VLOOKUP($C21,'Performance Pivot'!$C:$P,13,0)="","",VLOOKUP($C21,'Performance Pivot'!$C:$P,13,0))</f>
        <v/>
      </c>
      <c r="P21" s="69" t="str">
        <f>IF(VLOOKUP($C21,'Performance Pivot'!$C:$Q,15,0)="","",VLOOKUP($C21,'Performance Pivot'!$C:$Q,15,0))</f>
        <v/>
      </c>
      <c r="Q21" s="72"/>
      <c r="R21" s="72"/>
      <c r="S21" s="89">
        <f t="shared" si="13"/>
        <v>41671</v>
      </c>
      <c r="T21" s="70">
        <f>IF(VLOOKUP($S21,'Performance Pivot'!$S:$AF,2,0)="","",VLOOKUP($S21,'Performance Pivot'!$S:$AF,2,0))</f>
        <v>9.4200000000000006E-2</v>
      </c>
      <c r="U21" s="70">
        <f>IF(VLOOKUP($S21,'Performance Pivot'!$S:$AF,3,0)="","",VLOOKUP($S21,'Performance Pivot'!$S:$AF,3,0))</f>
        <v>0</v>
      </c>
      <c r="V21" s="70" t="str">
        <f>IF(VLOOKUP($S21,'Performance Pivot'!$S:$AF,4,0)="","",VLOOKUP($S21,'Performance Pivot'!$S:$AF,4,0))</f>
        <v/>
      </c>
      <c r="W21" s="70" t="str">
        <f>IF(VLOOKUP($S21,'Performance Pivot'!$S:$AF,5,0)="","",VLOOKUP($S21,'Performance Pivot'!$S:$AF,5,0))</f>
        <v/>
      </c>
      <c r="X21" s="70" t="str">
        <f>IF(VLOOKUP($S21,'Performance Pivot'!$S:$AF,6,0)="","",VLOOKUP($S21,'Performance Pivot'!$S:$AF,6,0))</f>
        <v/>
      </c>
      <c r="Y21" s="70" t="str">
        <f>IF(VLOOKUP($S21,'Performance Pivot'!$S:$AF,7,0)="","",VLOOKUP($S21,'Performance Pivot'!$S:$AF,7,0))</f>
        <v/>
      </c>
      <c r="Z21" s="70" t="str">
        <f>IF(VLOOKUP($S21,'Performance Pivot'!$S:$AF,8,0)="","",VLOOKUP($S21,'Performance Pivot'!$S:$AF,8,0))</f>
        <v/>
      </c>
      <c r="AA21" s="70" t="str">
        <f>IF(VLOOKUP($S21,'Performance Pivot'!$S:$AF,9,0)="","",VLOOKUP($S21,'Performance Pivot'!$S:$AF,9,0))</f>
        <v/>
      </c>
      <c r="AB21" s="70" t="str">
        <f>IF(VLOOKUP($S21,'Performance Pivot'!$S:$AF,10,0)="","",VLOOKUP($S21,'Performance Pivot'!$S:$AF,10,0))</f>
        <v/>
      </c>
      <c r="AC21" s="70" t="str">
        <f>IF(VLOOKUP($S21,'Performance Pivot'!$S:$AF,11,0)="","",VLOOKUP($S21,'Performance Pivot'!$S:$AF,11,0))</f>
        <v/>
      </c>
      <c r="AD21" s="70" t="str">
        <f>IF(VLOOKUP($S21,'Performance Pivot'!$S:$AF,12,0)="","",VLOOKUP($S21,'Performance Pivot'!$S:$AF,12,0))</f>
        <v/>
      </c>
      <c r="AE21" s="70" t="str">
        <f>IF(VLOOKUP($S21,'Performance Pivot'!$S:$AF,13,0)="","",VLOOKUP($S21,'Performance Pivot'!$S:$AF,13,0))</f>
        <v/>
      </c>
      <c r="AF21" s="70" t="str">
        <f>IF(VLOOKUP($S21,'Performance Pivot'!$S:$AG,15,0)="","",VLOOKUP($S21,'Performance Pivot'!$S:$AG,15,0))</f>
        <v/>
      </c>
    </row>
    <row r="22" spans="3:32" s="71" customFormat="1" ht="21" customHeight="1">
      <c r="C22" s="89">
        <f>'Performance Pivot'!C35</f>
        <v>41699</v>
      </c>
      <c r="D22" s="69">
        <f>IF(VLOOKUP($C22,'Performance Pivot'!$C:$P,2,0)="","",VLOOKUP($C22,'Performance Pivot'!$C:$P,2,0))</f>
        <v>4.1520999999999999</v>
      </c>
      <c r="E22" s="69">
        <f>IF(VLOOKUP($C22,'Performance Pivot'!$C:$P,3,0)="","",VLOOKUP($C22,'Performance Pivot'!$C:$P,3,0))</f>
        <v>3.6572</v>
      </c>
      <c r="F22" s="69" t="str">
        <f>IF(VLOOKUP($C22,'Performance Pivot'!$C:$P,4,0)="","",VLOOKUP($C22,'Performance Pivot'!$C:$P,4,0))</f>
        <v/>
      </c>
      <c r="G22" s="69" t="str">
        <f>IF(VLOOKUP($C22,'Performance Pivot'!$C:$P,5,0)="","",VLOOKUP($C22,'Performance Pivot'!$C:$P,5,0))</f>
        <v/>
      </c>
      <c r="H22" s="69" t="str">
        <f>IF(VLOOKUP($C22,'Performance Pivot'!$C:$P,6,0)="","",VLOOKUP($C22,'Performance Pivot'!$C:$P,6,0))</f>
        <v/>
      </c>
      <c r="I22" s="69" t="str">
        <f>IF(VLOOKUP($C22,'Performance Pivot'!$C:$P,7,0)="","",VLOOKUP($C22,'Performance Pivot'!$C:$P,7,0))</f>
        <v/>
      </c>
      <c r="J22" s="69" t="str">
        <f>IF(VLOOKUP($C22,'Performance Pivot'!$C:$P,8,0)="","",VLOOKUP($C22,'Performance Pivot'!$C:$P,8,0))</f>
        <v/>
      </c>
      <c r="K22" s="69" t="str">
        <f>IF(VLOOKUP($C22,'Performance Pivot'!$C:$P,9,0)="","",VLOOKUP($C22,'Performance Pivot'!$C:$P,9,0))</f>
        <v/>
      </c>
      <c r="L22" s="69" t="str">
        <f>IF(VLOOKUP($C22,'Performance Pivot'!$C:$P,10,0)="","",VLOOKUP($C22,'Performance Pivot'!$C:$P,10,0))</f>
        <v/>
      </c>
      <c r="M22" s="69" t="str">
        <f>IF(VLOOKUP($C22,'Performance Pivot'!$C:$P,11,0)="","",VLOOKUP($C22,'Performance Pivot'!$C:$P,11,0))</f>
        <v/>
      </c>
      <c r="N22" s="69" t="str">
        <f>IF(VLOOKUP($C22,'Performance Pivot'!$C:$P,12,0)="","",VLOOKUP($C22,'Performance Pivot'!$C:$P,12,0))</f>
        <v/>
      </c>
      <c r="O22" s="69" t="str">
        <f>IF(VLOOKUP($C22,'Performance Pivot'!$C:$P,13,0)="","",VLOOKUP($C22,'Performance Pivot'!$C:$P,13,0))</f>
        <v/>
      </c>
      <c r="P22" s="69" t="str">
        <f>IF(VLOOKUP($C22,'Performance Pivot'!$C:$Q,15,0)="","",VLOOKUP($C22,'Performance Pivot'!$C:$Q,15,0))</f>
        <v/>
      </c>
      <c r="Q22" s="72"/>
      <c r="R22" s="72"/>
      <c r="S22" s="89">
        <f t="shared" si="13"/>
        <v>41699</v>
      </c>
      <c r="T22" s="70">
        <f>IF(VLOOKUP($S22,'Performance Pivot'!$S:$AF,2,0)="","",VLOOKUP($S22,'Performance Pivot'!$S:$AF,2,0))</f>
        <v>7.9000000000000001E-2</v>
      </c>
      <c r="U22" s="70">
        <f>IF(VLOOKUP($S22,'Performance Pivot'!$S:$AF,3,0)="","",VLOOKUP($S22,'Performance Pivot'!$S:$AF,3,0))</f>
        <v>0</v>
      </c>
      <c r="V22" s="70" t="str">
        <f>IF(VLOOKUP($S22,'Performance Pivot'!$S:$AF,4,0)="","",VLOOKUP($S22,'Performance Pivot'!$S:$AF,4,0))</f>
        <v/>
      </c>
      <c r="W22" s="70" t="str">
        <f>IF(VLOOKUP($S22,'Performance Pivot'!$S:$AF,5,0)="","",VLOOKUP($S22,'Performance Pivot'!$S:$AF,5,0))</f>
        <v/>
      </c>
      <c r="X22" s="70" t="str">
        <f>IF(VLOOKUP($S22,'Performance Pivot'!$S:$AF,6,0)="","",VLOOKUP($S22,'Performance Pivot'!$S:$AF,6,0))</f>
        <v/>
      </c>
      <c r="Y22" s="70" t="str">
        <f>IF(VLOOKUP($S22,'Performance Pivot'!$S:$AF,7,0)="","",VLOOKUP($S22,'Performance Pivot'!$S:$AF,7,0))</f>
        <v/>
      </c>
      <c r="Z22" s="70" t="str">
        <f>IF(VLOOKUP($S22,'Performance Pivot'!$S:$AF,8,0)="","",VLOOKUP($S22,'Performance Pivot'!$S:$AF,8,0))</f>
        <v/>
      </c>
      <c r="AA22" s="70" t="str">
        <f>IF(VLOOKUP($S22,'Performance Pivot'!$S:$AF,9,0)="","",VLOOKUP($S22,'Performance Pivot'!$S:$AF,9,0))</f>
        <v/>
      </c>
      <c r="AB22" s="70" t="str">
        <f>IF(VLOOKUP($S22,'Performance Pivot'!$S:$AF,10,0)="","",VLOOKUP($S22,'Performance Pivot'!$S:$AF,10,0))</f>
        <v/>
      </c>
      <c r="AC22" s="70" t="str">
        <f>IF(VLOOKUP($S22,'Performance Pivot'!$S:$AF,11,0)="","",VLOOKUP($S22,'Performance Pivot'!$S:$AF,11,0))</f>
        <v/>
      </c>
      <c r="AD22" s="70" t="str">
        <f>IF(VLOOKUP($S22,'Performance Pivot'!$S:$AF,12,0)="","",VLOOKUP($S22,'Performance Pivot'!$S:$AF,12,0))</f>
        <v/>
      </c>
      <c r="AE22" s="70" t="str">
        <f>IF(VLOOKUP($S22,'Performance Pivot'!$S:$AF,13,0)="","",VLOOKUP($S22,'Performance Pivot'!$S:$AF,13,0))</f>
        <v/>
      </c>
      <c r="AF22" s="70" t="str">
        <f>IF(VLOOKUP($S22,'Performance Pivot'!$S:$AG,15,0)="","",VLOOKUP($S22,'Performance Pivot'!$S:$AG,15,0))</f>
        <v/>
      </c>
    </row>
    <row r="23" spans="3:32" s="71" customFormat="1" ht="21" customHeight="1">
      <c r="C23" s="89">
        <f>'Performance Pivot'!C34</f>
        <v>41730</v>
      </c>
      <c r="D23" s="69">
        <f>IF(VLOOKUP($C23,'Performance Pivot'!$C:$P,2,0)="","",VLOOKUP($C23,'Performance Pivot'!$C:$P,2,0))</f>
        <v>4.7529000000000003</v>
      </c>
      <c r="E23" s="69">
        <f>IF(VLOOKUP($C23,'Performance Pivot'!$C:$P,3,0)="","",VLOOKUP($C23,'Performance Pivot'!$C:$P,3,0))</f>
        <v>4.2172000000000001</v>
      </c>
      <c r="F23" s="69">
        <f>IF(VLOOKUP($C23,'Performance Pivot'!$C:$P,4,0)="","",VLOOKUP($C23,'Performance Pivot'!$C:$P,4,0))</f>
        <v>4.1657999999999999</v>
      </c>
      <c r="G23" s="69">
        <f>IF(VLOOKUP($C23,'Performance Pivot'!$C:$P,5,0)="","",VLOOKUP($C23,'Performance Pivot'!$C:$P,5,0))</f>
        <v>4.7587000000000002</v>
      </c>
      <c r="H23" s="69" t="str">
        <f>IF(VLOOKUP($C23,'Performance Pivot'!$C:$P,6,0)="","",VLOOKUP($C23,'Performance Pivot'!$C:$P,6,0))</f>
        <v/>
      </c>
      <c r="I23" s="69" t="str">
        <f>IF(VLOOKUP($C23,'Performance Pivot'!$C:$P,7,0)="","",VLOOKUP($C23,'Performance Pivot'!$C:$P,7,0))</f>
        <v/>
      </c>
      <c r="J23" s="69" t="str">
        <f>IF(VLOOKUP($C23,'Performance Pivot'!$C:$P,8,0)="","",VLOOKUP($C23,'Performance Pivot'!$C:$P,8,0))</f>
        <v/>
      </c>
      <c r="K23" s="69" t="str">
        <f>IF(VLOOKUP($C23,'Performance Pivot'!$C:$P,9,0)="","",VLOOKUP($C23,'Performance Pivot'!$C:$P,9,0))</f>
        <v/>
      </c>
      <c r="L23" s="69" t="str">
        <f>IF(VLOOKUP($C23,'Performance Pivot'!$C:$P,10,0)="","",VLOOKUP($C23,'Performance Pivot'!$C:$P,10,0))</f>
        <v/>
      </c>
      <c r="M23" s="69" t="str">
        <f>IF(VLOOKUP($C23,'Performance Pivot'!$C:$P,11,0)="","",VLOOKUP($C23,'Performance Pivot'!$C:$P,11,0))</f>
        <v/>
      </c>
      <c r="N23" s="69" t="str">
        <f>IF(VLOOKUP($C23,'Performance Pivot'!$C:$P,12,0)="","",VLOOKUP($C23,'Performance Pivot'!$C:$P,12,0))</f>
        <v/>
      </c>
      <c r="O23" s="69" t="str">
        <f>IF(VLOOKUP($C23,'Performance Pivot'!$C:$P,13,0)="","",VLOOKUP($C23,'Performance Pivot'!$C:$P,13,0))</f>
        <v/>
      </c>
      <c r="P23" s="69" t="str">
        <f>IF(VLOOKUP($C23,'Performance Pivot'!$C:$Q,15,0)="","",VLOOKUP($C23,'Performance Pivot'!$C:$Q,15,0))</f>
        <v/>
      </c>
      <c r="Q23" s="72"/>
      <c r="R23" s="72"/>
      <c r="S23" s="89">
        <f t="shared" si="13"/>
        <v>41730</v>
      </c>
      <c r="T23" s="70">
        <f>IF(VLOOKUP($S23,'Performance Pivot'!$S:$AF,2,0)="","",VLOOKUP($S23,'Performance Pivot'!$S:$AF,2,0))</f>
        <v>3.27E-2</v>
      </c>
      <c r="U23" s="70">
        <f>IF(VLOOKUP($S23,'Performance Pivot'!$S:$AF,3,0)="","",VLOOKUP($S23,'Performance Pivot'!$S:$AF,3,0))</f>
        <v>0</v>
      </c>
      <c r="V23" s="70">
        <f>IF(VLOOKUP($S23,'Performance Pivot'!$S:$AF,4,0)="","",VLOOKUP($S23,'Performance Pivot'!$S:$AF,4,0))</f>
        <v>0</v>
      </c>
      <c r="W23" s="70">
        <f>IF(VLOOKUP($S23,'Performance Pivot'!$S:$AF,5,0)="","",VLOOKUP($S23,'Performance Pivot'!$S:$AF,5,0))</f>
        <v>0</v>
      </c>
      <c r="X23" s="70" t="str">
        <f>IF(VLOOKUP($S23,'Performance Pivot'!$S:$AF,6,0)="","",VLOOKUP($S23,'Performance Pivot'!$S:$AF,6,0))</f>
        <v/>
      </c>
      <c r="Y23" s="70" t="str">
        <f>IF(VLOOKUP($S23,'Performance Pivot'!$S:$AF,7,0)="","",VLOOKUP($S23,'Performance Pivot'!$S:$AF,7,0))</f>
        <v/>
      </c>
      <c r="Z23" s="70" t="str">
        <f>IF(VLOOKUP($S23,'Performance Pivot'!$S:$AF,8,0)="","",VLOOKUP($S23,'Performance Pivot'!$S:$AF,8,0))</f>
        <v/>
      </c>
      <c r="AA23" s="70" t="str">
        <f>IF(VLOOKUP($S23,'Performance Pivot'!$S:$AF,9,0)="","",VLOOKUP($S23,'Performance Pivot'!$S:$AF,9,0))</f>
        <v/>
      </c>
      <c r="AB23" s="70" t="str">
        <f>IF(VLOOKUP($S23,'Performance Pivot'!$S:$AF,10,0)="","",VLOOKUP($S23,'Performance Pivot'!$S:$AF,10,0))</f>
        <v/>
      </c>
      <c r="AC23" s="70" t="str">
        <f>IF(VLOOKUP($S23,'Performance Pivot'!$S:$AF,11,0)="","",VLOOKUP($S23,'Performance Pivot'!$S:$AF,11,0))</f>
        <v/>
      </c>
      <c r="AD23" s="70" t="str">
        <f>IF(VLOOKUP($S23,'Performance Pivot'!$S:$AF,12,0)="","",VLOOKUP($S23,'Performance Pivot'!$S:$AF,12,0))</f>
        <v/>
      </c>
      <c r="AE23" s="70" t="str">
        <f>IF(VLOOKUP($S23,'Performance Pivot'!$S:$AF,13,0)="","",VLOOKUP($S23,'Performance Pivot'!$S:$AF,13,0))</f>
        <v/>
      </c>
      <c r="AF23" s="70" t="str">
        <f>IF(VLOOKUP($S23,'Performance Pivot'!$S:$AG,15,0)="","",VLOOKUP($S23,'Performance Pivot'!$S:$AG,15,0))</f>
        <v/>
      </c>
    </row>
    <row r="24" spans="3:32" s="71" customFormat="1" ht="21" customHeight="1">
      <c r="C24" s="89">
        <f>'Performance Pivot'!C33</f>
        <v>41760</v>
      </c>
      <c r="D24" s="69">
        <f>IF(VLOOKUP($C24,'Performance Pivot'!$C:$P,2,0)="","",VLOOKUP($C24,'Performance Pivot'!$C:$P,2,0))</f>
        <v>5.6821000000000002</v>
      </c>
      <c r="E24" s="69">
        <f>IF(VLOOKUP($C24,'Performance Pivot'!$C:$P,3,0)="","",VLOOKUP($C24,'Performance Pivot'!$C:$P,3,0))</f>
        <v>4.8659999999999997</v>
      </c>
      <c r="F24" s="69">
        <f>IF(VLOOKUP($C24,'Performance Pivot'!$C:$P,4,0)="","",VLOOKUP($C24,'Performance Pivot'!$C:$P,4,0))</f>
        <v>4.9157999999999999</v>
      </c>
      <c r="G24" s="69">
        <f>IF(VLOOKUP($C24,'Performance Pivot'!$C:$P,5,0)="","",VLOOKUP($C24,'Performance Pivot'!$C:$P,5,0))</f>
        <v>5.8910999999999998</v>
      </c>
      <c r="H24" s="69" t="str">
        <f>IF(VLOOKUP($C24,'Performance Pivot'!$C:$P,6,0)="","",VLOOKUP($C24,'Performance Pivot'!$C:$P,6,0))</f>
        <v/>
      </c>
      <c r="I24" s="69" t="str">
        <f>IF(VLOOKUP($C24,'Performance Pivot'!$C:$P,7,0)="","",VLOOKUP($C24,'Performance Pivot'!$C:$P,7,0))</f>
        <v/>
      </c>
      <c r="J24" s="69" t="str">
        <f>IF(VLOOKUP($C24,'Performance Pivot'!$C:$P,8,0)="","",VLOOKUP($C24,'Performance Pivot'!$C:$P,8,0))</f>
        <v/>
      </c>
      <c r="K24" s="69" t="str">
        <f>IF(VLOOKUP($C24,'Performance Pivot'!$C:$P,9,0)="","",VLOOKUP($C24,'Performance Pivot'!$C:$P,9,0))</f>
        <v/>
      </c>
      <c r="L24" s="69" t="str">
        <f>IF(VLOOKUP($C24,'Performance Pivot'!$C:$P,10,0)="","",VLOOKUP($C24,'Performance Pivot'!$C:$P,10,0))</f>
        <v/>
      </c>
      <c r="M24" s="69" t="str">
        <f>IF(VLOOKUP($C24,'Performance Pivot'!$C:$P,11,0)="","",VLOOKUP($C24,'Performance Pivot'!$C:$P,11,0))</f>
        <v/>
      </c>
      <c r="N24" s="69" t="str">
        <f>IF(VLOOKUP($C24,'Performance Pivot'!$C:$P,12,0)="","",VLOOKUP($C24,'Performance Pivot'!$C:$P,12,0))</f>
        <v/>
      </c>
      <c r="O24" s="69" t="str">
        <f>IF(VLOOKUP($C24,'Performance Pivot'!$C:$P,13,0)="","",VLOOKUP($C24,'Performance Pivot'!$C:$P,13,0))</f>
        <v/>
      </c>
      <c r="P24" s="69" t="str">
        <f>IF(VLOOKUP($C24,'Performance Pivot'!$C:$Q,15,0)="","",VLOOKUP($C24,'Performance Pivot'!$C:$Q,15,0))</f>
        <v/>
      </c>
      <c r="Q24" s="72"/>
      <c r="R24" s="72"/>
      <c r="S24" s="89">
        <f t="shared" si="13"/>
        <v>41760</v>
      </c>
      <c r="T24" s="70">
        <f>IF(VLOOKUP($S24,'Performance Pivot'!$S:$AF,2,0)="","",VLOOKUP($S24,'Performance Pivot'!$S:$AF,2,0))</f>
        <v>6.1100000000000002E-2</v>
      </c>
      <c r="U24" s="70">
        <f>IF(VLOOKUP($S24,'Performance Pivot'!$S:$AF,3,0)="","",VLOOKUP($S24,'Performance Pivot'!$S:$AF,3,0))</f>
        <v>8.1199999999999994E-2</v>
      </c>
      <c r="V24" s="70">
        <f>IF(VLOOKUP($S24,'Performance Pivot'!$S:$AF,4,0)="","",VLOOKUP($S24,'Performance Pivot'!$S:$AF,4,0))</f>
        <v>0</v>
      </c>
      <c r="W24" s="70">
        <f>IF(VLOOKUP($S24,'Performance Pivot'!$S:$AF,5,0)="","",VLOOKUP($S24,'Performance Pivot'!$S:$AF,5,0))</f>
        <v>0</v>
      </c>
      <c r="X24" s="70" t="str">
        <f>IF(VLOOKUP($S24,'Performance Pivot'!$S:$AF,6,0)="","",VLOOKUP($S24,'Performance Pivot'!$S:$AF,6,0))</f>
        <v/>
      </c>
      <c r="Y24" s="70" t="str">
        <f>IF(VLOOKUP($S24,'Performance Pivot'!$S:$AF,7,0)="","",VLOOKUP($S24,'Performance Pivot'!$S:$AF,7,0))</f>
        <v/>
      </c>
      <c r="Z24" s="70" t="str">
        <f>IF(VLOOKUP($S24,'Performance Pivot'!$S:$AF,8,0)="","",VLOOKUP($S24,'Performance Pivot'!$S:$AF,8,0))</f>
        <v/>
      </c>
      <c r="AA24" s="70" t="str">
        <f>IF(VLOOKUP($S24,'Performance Pivot'!$S:$AF,9,0)="","",VLOOKUP($S24,'Performance Pivot'!$S:$AF,9,0))</f>
        <v/>
      </c>
      <c r="AB24" s="70" t="str">
        <f>IF(VLOOKUP($S24,'Performance Pivot'!$S:$AF,10,0)="","",VLOOKUP($S24,'Performance Pivot'!$S:$AF,10,0))</f>
        <v/>
      </c>
      <c r="AC24" s="70" t="str">
        <f>IF(VLOOKUP($S24,'Performance Pivot'!$S:$AF,11,0)="","",VLOOKUP($S24,'Performance Pivot'!$S:$AF,11,0))</f>
        <v/>
      </c>
      <c r="AD24" s="70" t="str">
        <f>IF(VLOOKUP($S24,'Performance Pivot'!$S:$AF,12,0)="","",VLOOKUP($S24,'Performance Pivot'!$S:$AF,12,0))</f>
        <v/>
      </c>
      <c r="AE24" s="70" t="str">
        <f>IF(VLOOKUP($S24,'Performance Pivot'!$S:$AF,13,0)="","",VLOOKUP($S24,'Performance Pivot'!$S:$AF,13,0))</f>
        <v/>
      </c>
      <c r="AF24" s="70" t="str">
        <f>IF(VLOOKUP($S24,'Performance Pivot'!$S:$AG,15,0)="","",VLOOKUP($S24,'Performance Pivot'!$S:$AG,15,0))</f>
        <v/>
      </c>
    </row>
    <row r="25" spans="3:32" s="71" customFormat="1" ht="21" customHeight="1">
      <c r="C25" s="89">
        <f>'Performance Pivot'!C32</f>
        <v>41791</v>
      </c>
      <c r="D25" s="69">
        <f>IF(VLOOKUP($C25,'Performance Pivot'!$C:$P,2,0)="","",VLOOKUP($C25,'Performance Pivot'!$C:$P,2,0))</f>
        <v>6.9375999999999998</v>
      </c>
      <c r="E25" s="69">
        <f>IF(VLOOKUP($C25,'Performance Pivot'!$C:$P,3,0)="","",VLOOKUP($C25,'Performance Pivot'!$C:$P,3,0))</f>
        <v>5.8967000000000001</v>
      </c>
      <c r="F25" s="69">
        <f>IF(VLOOKUP($C25,'Performance Pivot'!$C:$P,4,0)="","",VLOOKUP($C25,'Performance Pivot'!$C:$P,4,0))</f>
        <v>6.0157999999999996</v>
      </c>
      <c r="G25" s="69">
        <f>IF(VLOOKUP($C25,'Performance Pivot'!$C:$P,5,0)="","",VLOOKUP($C25,'Performance Pivot'!$C:$P,5,0))</f>
        <v>6.7278000000000002</v>
      </c>
      <c r="H25" s="69">
        <f>IF(VLOOKUP($C25,'Performance Pivot'!$C:$P,6,0)="","",VLOOKUP($C25,'Performance Pivot'!$C:$P,6,0))</f>
        <v>7.2774999999999999</v>
      </c>
      <c r="I25" s="69">
        <f>IF(VLOOKUP($C25,'Performance Pivot'!$C:$P,7,0)="","",VLOOKUP($C25,'Performance Pivot'!$C:$P,7,0))</f>
        <v>6.1360999999999999</v>
      </c>
      <c r="J25" s="69" t="str">
        <f>IF(VLOOKUP($C25,'Performance Pivot'!$C:$P,8,0)="","",VLOOKUP($C25,'Performance Pivot'!$C:$P,8,0))</f>
        <v/>
      </c>
      <c r="K25" s="69" t="str">
        <f>IF(VLOOKUP($C25,'Performance Pivot'!$C:$P,9,0)="","",VLOOKUP($C25,'Performance Pivot'!$C:$P,9,0))</f>
        <v/>
      </c>
      <c r="L25" s="69" t="str">
        <f>IF(VLOOKUP($C25,'Performance Pivot'!$C:$P,10,0)="","",VLOOKUP($C25,'Performance Pivot'!$C:$P,10,0))</f>
        <v/>
      </c>
      <c r="M25" s="69" t="str">
        <f>IF(VLOOKUP($C25,'Performance Pivot'!$C:$P,11,0)="","",VLOOKUP($C25,'Performance Pivot'!$C:$P,11,0))</f>
        <v/>
      </c>
      <c r="N25" s="69" t="str">
        <f>IF(VLOOKUP($C25,'Performance Pivot'!$C:$P,12,0)="","",VLOOKUP($C25,'Performance Pivot'!$C:$P,12,0))</f>
        <v/>
      </c>
      <c r="O25" s="69" t="str">
        <f>IF(VLOOKUP($C25,'Performance Pivot'!$C:$P,13,0)="","",VLOOKUP($C25,'Performance Pivot'!$C:$P,13,0))</f>
        <v/>
      </c>
      <c r="P25" s="69" t="str">
        <f>IF(VLOOKUP($C25,'Performance Pivot'!$C:$Q,15,0)="","",VLOOKUP($C25,'Performance Pivot'!$C:$Q,15,0))</f>
        <v/>
      </c>
      <c r="Q25" s="72"/>
      <c r="R25" s="72"/>
      <c r="S25" s="89">
        <f t="shared" si="13"/>
        <v>41791</v>
      </c>
      <c r="T25" s="70">
        <f>IF(VLOOKUP($S25,'Performance Pivot'!$S:$AF,2,0)="","",VLOOKUP($S25,'Performance Pivot'!$S:$AF,2,0))</f>
        <v>0.14680000000000001</v>
      </c>
      <c r="U25" s="70">
        <f>IF(VLOOKUP($S25,'Performance Pivot'!$S:$AF,3,0)="","",VLOOKUP($S25,'Performance Pivot'!$S:$AF,3,0))</f>
        <v>1.47E-2</v>
      </c>
      <c r="V25" s="70">
        <f>IF(VLOOKUP($S25,'Performance Pivot'!$S:$AF,4,0)="","",VLOOKUP($S25,'Performance Pivot'!$S:$AF,4,0))</f>
        <v>0</v>
      </c>
      <c r="W25" s="70">
        <f>IF(VLOOKUP($S25,'Performance Pivot'!$S:$AF,5,0)="","",VLOOKUP($S25,'Performance Pivot'!$S:$AF,5,0))</f>
        <v>0</v>
      </c>
      <c r="X25" s="70">
        <f>IF(VLOOKUP($S25,'Performance Pivot'!$S:$AF,6,0)="","",VLOOKUP($S25,'Performance Pivot'!$S:$AF,6,0))</f>
        <v>0</v>
      </c>
      <c r="Y25" s="70">
        <f>IF(VLOOKUP($S25,'Performance Pivot'!$S:$AF,7,0)="","",VLOOKUP($S25,'Performance Pivot'!$S:$AF,7,0))</f>
        <v>0</v>
      </c>
      <c r="Z25" s="70" t="str">
        <f>IF(VLOOKUP($S25,'Performance Pivot'!$S:$AF,8,0)="","",VLOOKUP($S25,'Performance Pivot'!$S:$AF,8,0))</f>
        <v/>
      </c>
      <c r="AA25" s="70" t="str">
        <f>IF(VLOOKUP($S25,'Performance Pivot'!$S:$AF,9,0)="","",VLOOKUP($S25,'Performance Pivot'!$S:$AF,9,0))</f>
        <v/>
      </c>
      <c r="AB25" s="70" t="str">
        <f>IF(VLOOKUP($S25,'Performance Pivot'!$S:$AF,10,0)="","",VLOOKUP($S25,'Performance Pivot'!$S:$AF,10,0))</f>
        <v/>
      </c>
      <c r="AC25" s="70" t="str">
        <f>IF(VLOOKUP($S25,'Performance Pivot'!$S:$AF,11,0)="","",VLOOKUP($S25,'Performance Pivot'!$S:$AF,11,0))</f>
        <v/>
      </c>
      <c r="AD25" s="70" t="str">
        <f>IF(VLOOKUP($S25,'Performance Pivot'!$S:$AF,12,0)="","",VLOOKUP($S25,'Performance Pivot'!$S:$AF,12,0))</f>
        <v/>
      </c>
      <c r="AE25" s="70" t="str">
        <f>IF(VLOOKUP($S25,'Performance Pivot'!$S:$AF,13,0)="","",VLOOKUP($S25,'Performance Pivot'!$S:$AF,13,0))</f>
        <v/>
      </c>
      <c r="AF25" s="70" t="str">
        <f>IF(VLOOKUP($S25,'Performance Pivot'!$S:$AG,15,0)="","",VLOOKUP($S25,'Performance Pivot'!$S:$AG,15,0))</f>
        <v/>
      </c>
    </row>
    <row r="26" spans="3:32" s="71" customFormat="1" ht="21" customHeight="1">
      <c r="C26" s="89">
        <f>'Performance Pivot'!C31</f>
        <v>41821</v>
      </c>
      <c r="D26" s="69">
        <f>IF(VLOOKUP($C26,'Performance Pivot'!$C:$P,2,0)="","",VLOOKUP($C26,'Performance Pivot'!$C:$P,2,0))</f>
        <v>7.4473000000000003</v>
      </c>
      <c r="E26" s="69">
        <f>IF(VLOOKUP($C26,'Performance Pivot'!$C:$P,3,0)="","",VLOOKUP($C26,'Performance Pivot'!$C:$P,3,0))</f>
        <v>5.9591000000000003</v>
      </c>
      <c r="F26" s="69">
        <f>IF(VLOOKUP($C26,'Performance Pivot'!$C:$P,4,0)="","",VLOOKUP($C26,'Performance Pivot'!$C:$P,4,0))</f>
        <v>5.7983000000000002</v>
      </c>
      <c r="G26" s="69">
        <f>IF(VLOOKUP($C26,'Performance Pivot'!$C:$P,5,0)="","",VLOOKUP($C26,'Performance Pivot'!$C:$P,5,0))</f>
        <v>7.2092999999999998</v>
      </c>
      <c r="H26" s="69">
        <f>IF(VLOOKUP($C26,'Performance Pivot'!$C:$P,6,0)="","",VLOOKUP($C26,'Performance Pivot'!$C:$P,6,0))</f>
        <v>6.0399000000000003</v>
      </c>
      <c r="I26" s="69">
        <f>IF(VLOOKUP($C26,'Performance Pivot'!$C:$P,7,0)="","",VLOOKUP($C26,'Performance Pivot'!$C:$P,7,0))</f>
        <v>6.7660999999999998</v>
      </c>
      <c r="J26" s="69" t="str">
        <f>IF(VLOOKUP($C26,'Performance Pivot'!$C:$P,8,0)="","",VLOOKUP($C26,'Performance Pivot'!$C:$P,8,0))</f>
        <v/>
      </c>
      <c r="K26" s="69" t="str">
        <f>IF(VLOOKUP($C26,'Performance Pivot'!$C:$P,9,0)="","",VLOOKUP($C26,'Performance Pivot'!$C:$P,9,0))</f>
        <v/>
      </c>
      <c r="L26" s="69" t="str">
        <f>IF(VLOOKUP($C26,'Performance Pivot'!$C:$P,10,0)="","",VLOOKUP($C26,'Performance Pivot'!$C:$P,10,0))</f>
        <v/>
      </c>
      <c r="M26" s="69" t="str">
        <f>IF(VLOOKUP($C26,'Performance Pivot'!$C:$P,11,0)="","",VLOOKUP($C26,'Performance Pivot'!$C:$P,11,0))</f>
        <v/>
      </c>
      <c r="N26" s="69" t="str">
        <f>IF(VLOOKUP($C26,'Performance Pivot'!$C:$P,12,0)="","",VLOOKUP($C26,'Performance Pivot'!$C:$P,12,0))</f>
        <v/>
      </c>
      <c r="O26" s="69" t="str">
        <f>IF(VLOOKUP($C26,'Performance Pivot'!$C:$P,13,0)="","",VLOOKUP($C26,'Performance Pivot'!$C:$P,13,0))</f>
        <v/>
      </c>
      <c r="P26" s="69" t="str">
        <f>IF(VLOOKUP($C26,'Performance Pivot'!$C:$Q,15,0)="","",VLOOKUP($C26,'Performance Pivot'!$C:$Q,15,0))</f>
        <v/>
      </c>
      <c r="Q26" s="72"/>
      <c r="R26" s="72"/>
      <c r="S26" s="89">
        <f t="shared" si="13"/>
        <v>41821</v>
      </c>
      <c r="T26" s="70">
        <f>IF(VLOOKUP($S26,'Performance Pivot'!$S:$AF,2,0)="","",VLOOKUP($S26,'Performance Pivot'!$S:$AF,2,0))</f>
        <v>0.12130000000000001</v>
      </c>
      <c r="U26" s="70">
        <f>IF(VLOOKUP($S26,'Performance Pivot'!$S:$AF,3,0)="","",VLOOKUP($S26,'Performance Pivot'!$S:$AF,3,0))</f>
        <v>6.4000000000000001E-2</v>
      </c>
      <c r="V26" s="70">
        <f>IF(VLOOKUP($S26,'Performance Pivot'!$S:$AF,4,0)="","",VLOOKUP($S26,'Performance Pivot'!$S:$AF,4,0))</f>
        <v>0</v>
      </c>
      <c r="W26" s="70">
        <f>IF(VLOOKUP($S26,'Performance Pivot'!$S:$AF,5,0)="","",VLOOKUP($S26,'Performance Pivot'!$S:$AF,5,0))</f>
        <v>0</v>
      </c>
      <c r="X26" s="70">
        <f>IF(VLOOKUP($S26,'Performance Pivot'!$S:$AF,6,0)="","",VLOOKUP($S26,'Performance Pivot'!$S:$AF,6,0))</f>
        <v>0</v>
      </c>
      <c r="Y26" s="70">
        <f>IF(VLOOKUP($S26,'Performance Pivot'!$S:$AF,7,0)="","",VLOOKUP($S26,'Performance Pivot'!$S:$AF,7,0))</f>
        <v>0</v>
      </c>
      <c r="Z26" s="70" t="str">
        <f>IF(VLOOKUP($S26,'Performance Pivot'!$S:$AF,8,0)="","",VLOOKUP($S26,'Performance Pivot'!$S:$AF,8,0))</f>
        <v/>
      </c>
      <c r="AA26" s="70" t="str">
        <f>IF(VLOOKUP($S26,'Performance Pivot'!$S:$AF,9,0)="","",VLOOKUP($S26,'Performance Pivot'!$S:$AF,9,0))</f>
        <v/>
      </c>
      <c r="AB26" s="70" t="str">
        <f>IF(VLOOKUP($S26,'Performance Pivot'!$S:$AF,10,0)="","",VLOOKUP($S26,'Performance Pivot'!$S:$AF,10,0))</f>
        <v/>
      </c>
      <c r="AC26" s="70" t="str">
        <f>IF(VLOOKUP($S26,'Performance Pivot'!$S:$AF,11,0)="","",VLOOKUP($S26,'Performance Pivot'!$S:$AF,11,0))</f>
        <v/>
      </c>
      <c r="AD26" s="70" t="str">
        <f>IF(VLOOKUP($S26,'Performance Pivot'!$S:$AF,12,0)="","",VLOOKUP($S26,'Performance Pivot'!$S:$AF,12,0))</f>
        <v/>
      </c>
      <c r="AE26" s="70" t="str">
        <f>IF(VLOOKUP($S26,'Performance Pivot'!$S:$AF,13,0)="","",VLOOKUP($S26,'Performance Pivot'!$S:$AF,13,0))</f>
        <v/>
      </c>
      <c r="AF26" s="70" t="str">
        <f>IF(VLOOKUP($S26,'Performance Pivot'!$S:$AG,15,0)="","",VLOOKUP($S26,'Performance Pivot'!$S:$AG,15,0))</f>
        <v/>
      </c>
    </row>
    <row r="27" spans="3:32" s="71" customFormat="1" ht="21" customHeight="1">
      <c r="C27" s="89">
        <f>'Performance Pivot'!C30</f>
        <v>41852</v>
      </c>
      <c r="D27" s="69">
        <f>IF(VLOOKUP($C27,'Performance Pivot'!$C:$P,2,0)="","",VLOOKUP($C27,'Performance Pivot'!$C:$P,2,0))</f>
        <v>6.3341000000000003</v>
      </c>
      <c r="E27" s="69">
        <f>IF(VLOOKUP($C27,'Performance Pivot'!$C:$P,3,0)="","",VLOOKUP($C27,'Performance Pivot'!$C:$P,3,0))</f>
        <v>5.7565999999999997</v>
      </c>
      <c r="F27" s="69">
        <f>IF(VLOOKUP($C27,'Performance Pivot'!$C:$P,4,0)="","",VLOOKUP($C27,'Performance Pivot'!$C:$P,4,0))</f>
        <v>5.7346000000000004</v>
      </c>
      <c r="G27" s="69">
        <f>IF(VLOOKUP($C27,'Performance Pivot'!$C:$P,5,0)="","",VLOOKUP($C27,'Performance Pivot'!$C:$P,5,0))</f>
        <v>6.3723999999999998</v>
      </c>
      <c r="H27" s="69">
        <f>IF(VLOOKUP($C27,'Performance Pivot'!$C:$P,6,0)="","",VLOOKUP($C27,'Performance Pivot'!$C:$P,6,0))</f>
        <v>5.6378000000000004</v>
      </c>
      <c r="I27" s="69">
        <f>IF(VLOOKUP($C27,'Performance Pivot'!$C:$P,7,0)="","",VLOOKUP($C27,'Performance Pivot'!$C:$P,7,0))</f>
        <v>5.7000999999999999</v>
      </c>
      <c r="J27" s="69" t="str">
        <f>IF(VLOOKUP($C27,'Performance Pivot'!$C:$P,8,0)="","",VLOOKUP($C27,'Performance Pivot'!$C:$P,8,0))</f>
        <v/>
      </c>
      <c r="K27" s="69" t="str">
        <f>IF(VLOOKUP($C27,'Performance Pivot'!$C:$P,9,0)="","",VLOOKUP($C27,'Performance Pivot'!$C:$P,9,0))</f>
        <v/>
      </c>
      <c r="L27" s="69" t="str">
        <f>IF(VLOOKUP($C27,'Performance Pivot'!$C:$P,10,0)="","",VLOOKUP($C27,'Performance Pivot'!$C:$P,10,0))</f>
        <v/>
      </c>
      <c r="M27" s="69" t="str">
        <f>IF(VLOOKUP($C27,'Performance Pivot'!$C:$P,11,0)="","",VLOOKUP($C27,'Performance Pivot'!$C:$P,11,0))</f>
        <v/>
      </c>
      <c r="N27" s="69" t="str">
        <f>IF(VLOOKUP($C27,'Performance Pivot'!$C:$P,12,0)="","",VLOOKUP($C27,'Performance Pivot'!$C:$P,12,0))</f>
        <v/>
      </c>
      <c r="O27" s="69" t="str">
        <f>IF(VLOOKUP($C27,'Performance Pivot'!$C:$P,13,0)="","",VLOOKUP($C27,'Performance Pivot'!$C:$P,13,0))</f>
        <v/>
      </c>
      <c r="P27" s="69" t="str">
        <f>IF(VLOOKUP($C27,'Performance Pivot'!$C:$Q,15,0)="","",VLOOKUP($C27,'Performance Pivot'!$C:$Q,15,0))</f>
        <v/>
      </c>
      <c r="Q27" s="72"/>
      <c r="R27" s="72"/>
      <c r="S27" s="89">
        <f t="shared" si="13"/>
        <v>41852</v>
      </c>
      <c r="T27" s="70">
        <f>IF(VLOOKUP($S27,'Performance Pivot'!$S:$AF,2,0)="","",VLOOKUP($S27,'Performance Pivot'!$S:$AF,2,0))</f>
        <v>5.8000000000000003E-2</v>
      </c>
      <c r="U27" s="70">
        <f>IF(VLOOKUP($S27,'Performance Pivot'!$S:$AF,3,0)="","",VLOOKUP($S27,'Performance Pivot'!$S:$AF,3,0))</f>
        <v>5.57E-2</v>
      </c>
      <c r="V27" s="70">
        <f>IF(VLOOKUP($S27,'Performance Pivot'!$S:$AF,4,0)="","",VLOOKUP($S27,'Performance Pivot'!$S:$AF,4,0))</f>
        <v>0</v>
      </c>
      <c r="W27" s="70">
        <f>IF(VLOOKUP($S27,'Performance Pivot'!$S:$AF,5,0)="","",VLOOKUP($S27,'Performance Pivot'!$S:$AF,5,0))</f>
        <v>0</v>
      </c>
      <c r="X27" s="70">
        <f>IF(VLOOKUP($S27,'Performance Pivot'!$S:$AF,6,0)="","",VLOOKUP($S27,'Performance Pivot'!$S:$AF,6,0))</f>
        <v>0</v>
      </c>
      <c r="Y27" s="70">
        <f>IF(VLOOKUP($S27,'Performance Pivot'!$S:$AF,7,0)="","",VLOOKUP($S27,'Performance Pivot'!$S:$AF,7,0))</f>
        <v>0</v>
      </c>
      <c r="Z27" s="70" t="str">
        <f>IF(VLOOKUP($S27,'Performance Pivot'!$S:$AF,8,0)="","",VLOOKUP($S27,'Performance Pivot'!$S:$AF,8,0))</f>
        <v/>
      </c>
      <c r="AA27" s="70" t="str">
        <f>IF(VLOOKUP($S27,'Performance Pivot'!$S:$AF,9,0)="","",VLOOKUP($S27,'Performance Pivot'!$S:$AF,9,0))</f>
        <v/>
      </c>
      <c r="AB27" s="70" t="str">
        <f>IF(VLOOKUP($S27,'Performance Pivot'!$S:$AF,10,0)="","",VLOOKUP($S27,'Performance Pivot'!$S:$AF,10,0))</f>
        <v/>
      </c>
      <c r="AC27" s="70" t="str">
        <f>IF(VLOOKUP($S27,'Performance Pivot'!$S:$AF,11,0)="","",VLOOKUP($S27,'Performance Pivot'!$S:$AF,11,0))</f>
        <v/>
      </c>
      <c r="AD27" s="70" t="str">
        <f>IF(VLOOKUP($S27,'Performance Pivot'!$S:$AF,12,0)="","",VLOOKUP($S27,'Performance Pivot'!$S:$AF,12,0))</f>
        <v/>
      </c>
      <c r="AE27" s="70" t="str">
        <f>IF(VLOOKUP($S27,'Performance Pivot'!$S:$AF,13,0)="","",VLOOKUP($S27,'Performance Pivot'!$S:$AF,13,0))</f>
        <v/>
      </c>
      <c r="AF27" s="70" t="str">
        <f>IF(VLOOKUP($S27,'Performance Pivot'!$S:$AG,15,0)="","",VLOOKUP($S27,'Performance Pivot'!$S:$AG,15,0))</f>
        <v/>
      </c>
    </row>
    <row r="28" spans="3:32" s="71" customFormat="1" ht="21" customHeight="1">
      <c r="C28" s="89">
        <f>'Performance Pivot'!C29</f>
        <v>41883</v>
      </c>
      <c r="D28" s="69">
        <f>IF(VLOOKUP($C28,'Performance Pivot'!$C:$P,2,0)="","",VLOOKUP($C28,'Performance Pivot'!$C:$P,2,0))</f>
        <v>5.9603999999999999</v>
      </c>
      <c r="E28" s="69">
        <f>IF(VLOOKUP($C28,'Performance Pivot'!$C:$P,3,0)="","",VLOOKUP($C28,'Performance Pivot'!$C:$P,3,0))</f>
        <v>5.7473999999999998</v>
      </c>
      <c r="F28" s="69">
        <f>IF(VLOOKUP($C28,'Performance Pivot'!$C:$P,4,0)="","",VLOOKUP($C28,'Performance Pivot'!$C:$P,4,0))</f>
        <v>5.2503000000000002</v>
      </c>
      <c r="G28" s="69">
        <f>IF(VLOOKUP($C28,'Performance Pivot'!$C:$P,5,0)="","",VLOOKUP($C28,'Performance Pivot'!$C:$P,5,0))</f>
        <v>5.8575999999999997</v>
      </c>
      <c r="H28" s="69">
        <f>IF(VLOOKUP($C28,'Performance Pivot'!$C:$P,6,0)="","",VLOOKUP($C28,'Performance Pivot'!$C:$P,6,0))</f>
        <v>5.2755000000000001</v>
      </c>
      <c r="I28" s="69">
        <f>IF(VLOOKUP($C28,'Performance Pivot'!$C:$P,7,0)="","",VLOOKUP($C28,'Performance Pivot'!$C:$P,7,0))</f>
        <v>5.7121000000000004</v>
      </c>
      <c r="J28" s="69" t="str">
        <f>IF(VLOOKUP($C28,'Performance Pivot'!$C:$P,8,0)="","",VLOOKUP($C28,'Performance Pivot'!$C:$P,8,0))</f>
        <v/>
      </c>
      <c r="K28" s="69" t="str">
        <f>IF(VLOOKUP($C28,'Performance Pivot'!$C:$P,9,0)="","",VLOOKUP($C28,'Performance Pivot'!$C:$P,9,0))</f>
        <v/>
      </c>
      <c r="L28" s="69" t="str">
        <f>IF(VLOOKUP($C28,'Performance Pivot'!$C:$P,10,0)="","",VLOOKUP($C28,'Performance Pivot'!$C:$P,10,0))</f>
        <v/>
      </c>
      <c r="M28" s="69" t="str">
        <f>IF(VLOOKUP($C28,'Performance Pivot'!$C:$P,11,0)="","",VLOOKUP($C28,'Performance Pivot'!$C:$P,11,0))</f>
        <v/>
      </c>
      <c r="N28" s="69" t="str">
        <f>IF(VLOOKUP($C28,'Performance Pivot'!$C:$P,12,0)="","",VLOOKUP($C28,'Performance Pivot'!$C:$P,12,0))</f>
        <v/>
      </c>
      <c r="O28" s="69" t="str">
        <f>IF(VLOOKUP($C28,'Performance Pivot'!$C:$P,13,0)="","",VLOOKUP($C28,'Performance Pivot'!$C:$P,13,0))</f>
        <v/>
      </c>
      <c r="P28" s="69" t="str">
        <f>IF(VLOOKUP($C28,'Performance Pivot'!$C:$Q,15,0)="","",VLOOKUP($C28,'Performance Pivot'!$C:$Q,15,0))</f>
        <v/>
      </c>
      <c r="Q28" s="72"/>
      <c r="R28" s="72"/>
      <c r="S28" s="89">
        <f t="shared" si="13"/>
        <v>41883</v>
      </c>
      <c r="T28" s="70">
        <f>IF(VLOOKUP($S28,'Performance Pivot'!$S:$AF,2,0)="","",VLOOKUP($S28,'Performance Pivot'!$S:$AF,2,0))</f>
        <v>0.12470000000000001</v>
      </c>
      <c r="U28" s="70">
        <f>IF(VLOOKUP($S28,'Performance Pivot'!$S:$AF,3,0)="","",VLOOKUP($S28,'Performance Pivot'!$S:$AF,3,0))</f>
        <v>3.9899999999999998E-2</v>
      </c>
      <c r="V28" s="70">
        <f>IF(VLOOKUP($S28,'Performance Pivot'!$S:$AF,4,0)="","",VLOOKUP($S28,'Performance Pivot'!$S:$AF,4,0))</f>
        <v>3.3399999999999999E-2</v>
      </c>
      <c r="W28" s="70">
        <f>IF(VLOOKUP($S28,'Performance Pivot'!$S:$AF,5,0)="","",VLOOKUP($S28,'Performance Pivot'!$S:$AF,5,0))</f>
        <v>0.1298</v>
      </c>
      <c r="X28" s="70">
        <f>IF(VLOOKUP($S28,'Performance Pivot'!$S:$AF,6,0)="","",VLOOKUP($S28,'Performance Pivot'!$S:$AF,6,0))</f>
        <v>0</v>
      </c>
      <c r="Y28" s="70">
        <f>IF(VLOOKUP($S28,'Performance Pivot'!$S:$AF,7,0)="","",VLOOKUP($S28,'Performance Pivot'!$S:$AF,7,0))</f>
        <v>0</v>
      </c>
      <c r="Z28" s="70" t="str">
        <f>IF(VLOOKUP($S28,'Performance Pivot'!$S:$AF,8,0)="","",VLOOKUP($S28,'Performance Pivot'!$S:$AF,8,0))</f>
        <v/>
      </c>
      <c r="AA28" s="70" t="str">
        <f>IF(VLOOKUP($S28,'Performance Pivot'!$S:$AF,9,0)="","",VLOOKUP($S28,'Performance Pivot'!$S:$AF,9,0))</f>
        <v/>
      </c>
      <c r="AB28" s="70" t="str">
        <f>IF(VLOOKUP($S28,'Performance Pivot'!$S:$AF,10,0)="","",VLOOKUP($S28,'Performance Pivot'!$S:$AF,10,0))</f>
        <v/>
      </c>
      <c r="AC28" s="70" t="str">
        <f>IF(VLOOKUP($S28,'Performance Pivot'!$S:$AF,11,0)="","",VLOOKUP($S28,'Performance Pivot'!$S:$AF,11,0))</f>
        <v/>
      </c>
      <c r="AD28" s="70" t="str">
        <f>IF(VLOOKUP($S28,'Performance Pivot'!$S:$AF,12,0)="","",VLOOKUP($S28,'Performance Pivot'!$S:$AF,12,0))</f>
        <v/>
      </c>
      <c r="AE28" s="70" t="str">
        <f>IF(VLOOKUP($S28,'Performance Pivot'!$S:$AF,13,0)="","",VLOOKUP($S28,'Performance Pivot'!$S:$AF,13,0))</f>
        <v/>
      </c>
      <c r="AF28" s="70" t="str">
        <f>IF(VLOOKUP($S28,'Performance Pivot'!$S:$AG,15,0)="","",VLOOKUP($S28,'Performance Pivot'!$S:$AG,15,0))</f>
        <v/>
      </c>
    </row>
    <row r="29" spans="3:32" s="71" customFormat="1" ht="21" customHeight="1">
      <c r="C29" s="89">
        <f>'Performance Pivot'!C28</f>
        <v>41913</v>
      </c>
      <c r="D29" s="69">
        <f>IF(VLOOKUP($C29,'Performance Pivot'!$C:$P,2,0)="","",VLOOKUP($C29,'Performance Pivot'!$C:$P,2,0))</f>
        <v>6.1174999999999997</v>
      </c>
      <c r="E29" s="69">
        <f>IF(VLOOKUP($C29,'Performance Pivot'!$C:$P,3,0)="","",VLOOKUP($C29,'Performance Pivot'!$C:$P,3,0))</f>
        <v>5.9246999999999996</v>
      </c>
      <c r="F29" s="69">
        <f>IF(VLOOKUP($C29,'Performance Pivot'!$C:$P,4,0)="","",VLOOKUP($C29,'Performance Pivot'!$C:$P,4,0))</f>
        <v>5.0818000000000003</v>
      </c>
      <c r="G29" s="69">
        <f>IF(VLOOKUP($C29,'Performance Pivot'!$C:$P,5,0)="","",VLOOKUP($C29,'Performance Pivot'!$C:$P,5,0))</f>
        <v>5.9108999999999998</v>
      </c>
      <c r="H29" s="69">
        <f>IF(VLOOKUP($C29,'Performance Pivot'!$C:$P,6,0)="","",VLOOKUP($C29,'Performance Pivot'!$C:$P,6,0))</f>
        <v>5.3105000000000002</v>
      </c>
      <c r="I29" s="69">
        <f>IF(VLOOKUP($C29,'Performance Pivot'!$C:$P,7,0)="","",VLOOKUP($C29,'Performance Pivot'!$C:$P,7,0))</f>
        <v>6.0377999999999998</v>
      </c>
      <c r="J29" s="69" t="str">
        <f>IF(VLOOKUP($C29,'Performance Pivot'!$C:$P,8,0)="","",VLOOKUP($C29,'Performance Pivot'!$C:$P,8,0))</f>
        <v/>
      </c>
      <c r="K29" s="69" t="str">
        <f>IF(VLOOKUP($C29,'Performance Pivot'!$C:$P,9,0)="","",VLOOKUP($C29,'Performance Pivot'!$C:$P,9,0))</f>
        <v/>
      </c>
      <c r="L29" s="69" t="str">
        <f>IF(VLOOKUP($C29,'Performance Pivot'!$C:$P,10,0)="","",VLOOKUP($C29,'Performance Pivot'!$C:$P,10,0))</f>
        <v/>
      </c>
      <c r="M29" s="69" t="str">
        <f>IF(VLOOKUP($C29,'Performance Pivot'!$C:$P,11,0)="","",VLOOKUP($C29,'Performance Pivot'!$C:$P,11,0))</f>
        <v/>
      </c>
      <c r="N29" s="69" t="str">
        <f>IF(VLOOKUP($C29,'Performance Pivot'!$C:$P,12,0)="","",VLOOKUP($C29,'Performance Pivot'!$C:$P,12,0))</f>
        <v/>
      </c>
      <c r="O29" s="69" t="str">
        <f>IF(VLOOKUP($C29,'Performance Pivot'!$C:$P,13,0)="","",VLOOKUP($C29,'Performance Pivot'!$C:$P,13,0))</f>
        <v/>
      </c>
      <c r="P29" s="69" t="str">
        <f>IF(VLOOKUP($C29,'Performance Pivot'!$C:$Q,15,0)="","",VLOOKUP($C29,'Performance Pivot'!$C:$Q,15,0))</f>
        <v/>
      </c>
      <c r="Q29" s="72"/>
      <c r="R29" s="72"/>
      <c r="S29" s="89">
        <f t="shared" si="13"/>
        <v>41913</v>
      </c>
      <c r="T29" s="70">
        <f>IF(VLOOKUP($S29,'Performance Pivot'!$S:$AF,2,0)="","",VLOOKUP($S29,'Performance Pivot'!$S:$AF,2,0))</f>
        <v>0.1087</v>
      </c>
      <c r="U29" s="70">
        <f>IF(VLOOKUP($S29,'Performance Pivot'!$S:$AF,3,0)="","",VLOOKUP($S29,'Performance Pivot'!$S:$AF,3,0))</f>
        <v>0.13589999999999999</v>
      </c>
      <c r="V29" s="70">
        <f>IF(VLOOKUP($S29,'Performance Pivot'!$S:$AF,4,0)="","",VLOOKUP($S29,'Performance Pivot'!$S:$AF,4,0))</f>
        <v>3.1399999999999997E-2</v>
      </c>
      <c r="W29" s="70">
        <f>IF(VLOOKUP($S29,'Performance Pivot'!$S:$AF,5,0)="","",VLOOKUP($S29,'Performance Pivot'!$S:$AF,5,0))</f>
        <v>0</v>
      </c>
      <c r="X29" s="70">
        <f>IF(VLOOKUP($S29,'Performance Pivot'!$S:$AF,6,0)="","",VLOOKUP($S29,'Performance Pivot'!$S:$AF,6,0))</f>
        <v>0</v>
      </c>
      <c r="Y29" s="70">
        <f>IF(VLOOKUP($S29,'Performance Pivot'!$S:$AF,7,0)="","",VLOOKUP($S29,'Performance Pivot'!$S:$AF,7,0))</f>
        <v>0</v>
      </c>
      <c r="Z29" s="70" t="str">
        <f>IF(VLOOKUP($S29,'Performance Pivot'!$S:$AF,8,0)="","",VLOOKUP($S29,'Performance Pivot'!$S:$AF,8,0))</f>
        <v/>
      </c>
      <c r="AA29" s="70" t="str">
        <f>IF(VLOOKUP($S29,'Performance Pivot'!$S:$AF,9,0)="","",VLOOKUP($S29,'Performance Pivot'!$S:$AF,9,0))</f>
        <v/>
      </c>
      <c r="AB29" s="70" t="str">
        <f>IF(VLOOKUP($S29,'Performance Pivot'!$S:$AF,10,0)="","",VLOOKUP($S29,'Performance Pivot'!$S:$AF,10,0))</f>
        <v/>
      </c>
      <c r="AC29" s="70" t="str">
        <f>IF(VLOOKUP($S29,'Performance Pivot'!$S:$AF,11,0)="","",VLOOKUP($S29,'Performance Pivot'!$S:$AF,11,0))</f>
        <v/>
      </c>
      <c r="AD29" s="70" t="str">
        <f>IF(VLOOKUP($S29,'Performance Pivot'!$S:$AF,12,0)="","",VLOOKUP($S29,'Performance Pivot'!$S:$AF,12,0))</f>
        <v/>
      </c>
      <c r="AE29" s="70" t="str">
        <f>IF(VLOOKUP($S29,'Performance Pivot'!$S:$AF,13,0)="","",VLOOKUP($S29,'Performance Pivot'!$S:$AF,13,0))</f>
        <v/>
      </c>
      <c r="AF29" s="70" t="str">
        <f>IF(VLOOKUP($S29,'Performance Pivot'!$S:$AG,15,0)="","",VLOOKUP($S29,'Performance Pivot'!$S:$AG,15,0))</f>
        <v/>
      </c>
    </row>
    <row r="30" spans="3:32" s="71" customFormat="1" ht="21" customHeight="1">
      <c r="C30" s="89">
        <f>'Performance Pivot'!C27</f>
        <v>41944</v>
      </c>
      <c r="D30" s="69">
        <f>IF(VLOOKUP($C30,'Performance Pivot'!$C:$P,2,0)="","",VLOOKUP($C30,'Performance Pivot'!$C:$P,2,0))</f>
        <v>5.66</v>
      </c>
      <c r="E30" s="69">
        <f>IF(VLOOKUP($C30,'Performance Pivot'!$C:$P,3,0)="","",VLOOKUP($C30,'Performance Pivot'!$C:$P,3,0))</f>
        <v>4.6429</v>
      </c>
      <c r="F30" s="69">
        <f>IF(VLOOKUP($C30,'Performance Pivot'!$C:$P,4,0)="","",VLOOKUP($C30,'Performance Pivot'!$C:$P,4,0))</f>
        <v>4.4241000000000001</v>
      </c>
      <c r="G30" s="69">
        <f>IF(VLOOKUP($C30,'Performance Pivot'!$C:$P,5,0)="","",VLOOKUP($C30,'Performance Pivot'!$C:$P,5,0))</f>
        <v>5.7176</v>
      </c>
      <c r="H30" s="69">
        <f>IF(VLOOKUP($C30,'Performance Pivot'!$C:$P,6,0)="","",VLOOKUP($C30,'Performance Pivot'!$C:$P,6,0))</f>
        <v>5.0561999999999996</v>
      </c>
      <c r="I30" s="69">
        <f>IF(VLOOKUP($C30,'Performance Pivot'!$C:$P,7,0)="","",VLOOKUP($C30,'Performance Pivot'!$C:$P,7,0))</f>
        <v>5.9682000000000004</v>
      </c>
      <c r="J30" s="69">
        <f>IF(VLOOKUP($C30,'Performance Pivot'!$C:$P,8,0)="","",VLOOKUP($C30,'Performance Pivot'!$C:$P,8,0))</f>
        <v>9.3973999999999993</v>
      </c>
      <c r="K30" s="69">
        <f>IF(VLOOKUP($C30,'Performance Pivot'!$C:$P,9,0)="","",VLOOKUP($C30,'Performance Pivot'!$C:$P,9,0))</f>
        <v>9.2777999999999992</v>
      </c>
      <c r="L30" s="69" t="str">
        <f>IF(VLOOKUP($C30,'Performance Pivot'!$C:$P,10,0)="","",VLOOKUP($C30,'Performance Pivot'!$C:$P,10,0))</f>
        <v/>
      </c>
      <c r="M30" s="69" t="str">
        <f>IF(VLOOKUP($C30,'Performance Pivot'!$C:$P,11,0)="","",VLOOKUP($C30,'Performance Pivot'!$C:$P,11,0))</f>
        <v/>
      </c>
      <c r="N30" s="69" t="str">
        <f>IF(VLOOKUP($C30,'Performance Pivot'!$C:$P,12,0)="","",VLOOKUP($C30,'Performance Pivot'!$C:$P,12,0))</f>
        <v/>
      </c>
      <c r="O30" s="69" t="str">
        <f>IF(VLOOKUP($C30,'Performance Pivot'!$C:$P,13,0)="","",VLOOKUP($C30,'Performance Pivot'!$C:$P,13,0))</f>
        <v/>
      </c>
      <c r="P30" s="69" t="str">
        <f>IF(VLOOKUP($C30,'Performance Pivot'!$C:$Q,15,0)="","",VLOOKUP($C30,'Performance Pivot'!$C:$Q,15,0))</f>
        <v/>
      </c>
      <c r="Q30" s="72"/>
      <c r="R30" s="72"/>
      <c r="S30" s="89">
        <f t="shared" si="13"/>
        <v>41944</v>
      </c>
      <c r="T30" s="70">
        <f>IF(VLOOKUP($S30,'Performance Pivot'!$S:$AF,2,0)="","",VLOOKUP($S30,'Performance Pivot'!$S:$AF,2,0))</f>
        <v>0.12</v>
      </c>
      <c r="U30" s="70">
        <f>IF(VLOOKUP($S30,'Performance Pivot'!$S:$AF,3,0)="","",VLOOKUP($S30,'Performance Pivot'!$S:$AF,3,0))</f>
        <v>9.9000000000000005E-2</v>
      </c>
      <c r="V30" s="70">
        <f>IF(VLOOKUP($S30,'Performance Pivot'!$S:$AF,4,0)="","",VLOOKUP($S30,'Performance Pivot'!$S:$AF,4,0))</f>
        <v>6.8599999999999994E-2</v>
      </c>
      <c r="W30" s="70">
        <f>IF(VLOOKUP($S30,'Performance Pivot'!$S:$AF,5,0)="","",VLOOKUP($S30,'Performance Pivot'!$S:$AF,5,0))</f>
        <v>0.19969999999999999</v>
      </c>
      <c r="X30" s="70">
        <f>IF(VLOOKUP($S30,'Performance Pivot'!$S:$AF,6,0)="","",VLOOKUP($S30,'Performance Pivot'!$S:$AF,6,0))</f>
        <v>4.1399999999999999E-2</v>
      </c>
      <c r="Y30" s="70">
        <f>IF(VLOOKUP($S30,'Performance Pivot'!$S:$AF,7,0)="","",VLOOKUP($S30,'Performance Pivot'!$S:$AF,7,0))</f>
        <v>0.17560000000000001</v>
      </c>
      <c r="Z30" s="70">
        <f>IF(VLOOKUP($S30,'Performance Pivot'!$S:$AF,8,0)="","",VLOOKUP($S30,'Performance Pivot'!$S:$AF,8,0))</f>
        <v>0</v>
      </c>
      <c r="AA30" s="70">
        <f>IF(VLOOKUP($S30,'Performance Pivot'!$S:$AF,9,0)="","",VLOOKUP($S30,'Performance Pivot'!$S:$AF,9,0))</f>
        <v>0</v>
      </c>
      <c r="AB30" s="70" t="str">
        <f>IF(VLOOKUP($S30,'Performance Pivot'!$S:$AF,10,0)="","",VLOOKUP($S30,'Performance Pivot'!$S:$AF,10,0))</f>
        <v/>
      </c>
      <c r="AC30" s="70" t="str">
        <f>IF(VLOOKUP($S30,'Performance Pivot'!$S:$AF,11,0)="","",VLOOKUP($S30,'Performance Pivot'!$S:$AF,11,0))</f>
        <v/>
      </c>
      <c r="AD30" s="70" t="str">
        <f>IF(VLOOKUP($S30,'Performance Pivot'!$S:$AF,12,0)="","",VLOOKUP($S30,'Performance Pivot'!$S:$AF,12,0))</f>
        <v/>
      </c>
      <c r="AE30" s="70" t="str">
        <f>IF(VLOOKUP($S30,'Performance Pivot'!$S:$AF,13,0)="","",VLOOKUP($S30,'Performance Pivot'!$S:$AF,13,0))</f>
        <v/>
      </c>
      <c r="AF30" s="70" t="str">
        <f>IF(VLOOKUP($S30,'Performance Pivot'!$S:$AG,15,0)="","",VLOOKUP($S30,'Performance Pivot'!$S:$AG,15,0))</f>
        <v/>
      </c>
    </row>
    <row r="31" spans="3:32" s="71" customFormat="1" ht="21" customHeight="1">
      <c r="C31" s="89">
        <f>'Performance Pivot'!C26</f>
        <v>41974</v>
      </c>
      <c r="D31" s="69">
        <f>IF(VLOOKUP($C31,'Performance Pivot'!$C:$P,2,0)="","",VLOOKUP($C31,'Performance Pivot'!$C:$P,2,0))</f>
        <v>7.1131000000000002</v>
      </c>
      <c r="E31" s="69">
        <f>IF(VLOOKUP($C31,'Performance Pivot'!$C:$P,3,0)="","",VLOOKUP($C31,'Performance Pivot'!$C:$P,3,0))</f>
        <v>5.8954000000000004</v>
      </c>
      <c r="F31" s="69">
        <f>IF(VLOOKUP($C31,'Performance Pivot'!$C:$P,4,0)="","",VLOOKUP($C31,'Performance Pivot'!$C:$P,4,0))</f>
        <v>5.5316000000000001</v>
      </c>
      <c r="G31" s="69">
        <f>IF(VLOOKUP($C31,'Performance Pivot'!$C:$P,5,0)="","",VLOOKUP($C31,'Performance Pivot'!$C:$P,5,0))</f>
        <v>6.9710999999999999</v>
      </c>
      <c r="H31" s="69">
        <f>IF(VLOOKUP($C31,'Performance Pivot'!$C:$P,6,0)="","",VLOOKUP($C31,'Performance Pivot'!$C:$P,6,0))</f>
        <v>5.8856000000000002</v>
      </c>
      <c r="I31" s="69">
        <f>IF(VLOOKUP($C31,'Performance Pivot'!$C:$P,7,0)="","",VLOOKUP($C31,'Performance Pivot'!$C:$P,7,0))</f>
        <v>6.5343</v>
      </c>
      <c r="J31" s="69">
        <f>IF(VLOOKUP($C31,'Performance Pivot'!$C:$P,8,0)="","",VLOOKUP($C31,'Performance Pivot'!$C:$P,8,0))</f>
        <v>11.042199999999999</v>
      </c>
      <c r="K31" s="69">
        <f>IF(VLOOKUP($C31,'Performance Pivot'!$C:$P,9,0)="","",VLOOKUP($C31,'Performance Pivot'!$C:$P,9,0))</f>
        <v>9.7565000000000008</v>
      </c>
      <c r="L31" s="69" t="str">
        <f>IF(VLOOKUP($C31,'Performance Pivot'!$C:$P,10,0)="","",VLOOKUP($C31,'Performance Pivot'!$C:$P,10,0))</f>
        <v/>
      </c>
      <c r="M31" s="69" t="str">
        <f>IF(VLOOKUP($C31,'Performance Pivot'!$C:$P,11,0)="","",VLOOKUP($C31,'Performance Pivot'!$C:$P,11,0))</f>
        <v/>
      </c>
      <c r="N31" s="69" t="str">
        <f>IF(VLOOKUP($C31,'Performance Pivot'!$C:$P,12,0)="","",VLOOKUP($C31,'Performance Pivot'!$C:$P,12,0))</f>
        <v/>
      </c>
      <c r="O31" s="69" t="str">
        <f>IF(VLOOKUP($C31,'Performance Pivot'!$C:$P,13,0)="","",VLOOKUP($C31,'Performance Pivot'!$C:$P,13,0))</f>
        <v/>
      </c>
      <c r="P31" s="69" t="str">
        <f>IF(VLOOKUP($C31,'Performance Pivot'!$C:$Q,15,0)="","",VLOOKUP($C31,'Performance Pivot'!$C:$Q,15,0))</f>
        <v/>
      </c>
      <c r="Q31" s="72"/>
      <c r="R31" s="72"/>
      <c r="S31" s="89">
        <f t="shared" si="13"/>
        <v>41974</v>
      </c>
      <c r="T31" s="70">
        <f>IF(VLOOKUP($S31,'Performance Pivot'!$S:$AF,2,0)="","",VLOOKUP($S31,'Performance Pivot'!$S:$AF,2,0))</f>
        <v>0.13550000000000001</v>
      </c>
      <c r="U31" s="70">
        <f>IF(VLOOKUP($S31,'Performance Pivot'!$S:$AF,3,0)="","",VLOOKUP($S31,'Performance Pivot'!$S:$AF,3,0))</f>
        <v>0.12820000000000001</v>
      </c>
      <c r="V31" s="70">
        <f>IF(VLOOKUP($S31,'Performance Pivot'!$S:$AF,4,0)="","",VLOOKUP($S31,'Performance Pivot'!$S:$AF,4,0))</f>
        <v>5.7099999999999998E-2</v>
      </c>
      <c r="W31" s="70">
        <f>IF(VLOOKUP($S31,'Performance Pivot'!$S:$AF,5,0)="","",VLOOKUP($S31,'Performance Pivot'!$S:$AF,5,0))</f>
        <v>1.9900000000000001E-2</v>
      </c>
      <c r="X31" s="70">
        <f>IF(VLOOKUP($S31,'Performance Pivot'!$S:$AF,6,0)="","",VLOOKUP($S31,'Performance Pivot'!$S:$AF,6,0))</f>
        <v>4.19E-2</v>
      </c>
      <c r="Y31" s="70">
        <f>IF(VLOOKUP($S31,'Performance Pivot'!$S:$AF,7,0)="","",VLOOKUP($S31,'Performance Pivot'!$S:$AF,7,0))</f>
        <v>8.7999999999999995E-2</v>
      </c>
      <c r="Z31" s="70">
        <f>IF(VLOOKUP($S31,'Performance Pivot'!$S:$AF,8,0)="","",VLOOKUP($S31,'Performance Pivot'!$S:$AF,8,0))</f>
        <v>0</v>
      </c>
      <c r="AA31" s="70">
        <f>IF(VLOOKUP($S31,'Performance Pivot'!$S:$AF,9,0)="","",VLOOKUP($S31,'Performance Pivot'!$S:$AF,9,0))</f>
        <v>0</v>
      </c>
      <c r="AB31" s="70" t="str">
        <f>IF(VLOOKUP($S31,'Performance Pivot'!$S:$AF,10,0)="","",VLOOKUP($S31,'Performance Pivot'!$S:$AF,10,0))</f>
        <v/>
      </c>
      <c r="AC31" s="70" t="str">
        <f>IF(VLOOKUP($S31,'Performance Pivot'!$S:$AF,11,0)="","",VLOOKUP($S31,'Performance Pivot'!$S:$AF,11,0))</f>
        <v/>
      </c>
      <c r="AD31" s="70" t="str">
        <f>IF(VLOOKUP($S31,'Performance Pivot'!$S:$AF,12,0)="","",VLOOKUP($S31,'Performance Pivot'!$S:$AF,12,0))</f>
        <v/>
      </c>
      <c r="AE31" s="70" t="str">
        <f>IF(VLOOKUP($S31,'Performance Pivot'!$S:$AF,13,0)="","",VLOOKUP($S31,'Performance Pivot'!$S:$AF,13,0))</f>
        <v/>
      </c>
      <c r="AF31" s="70" t="str">
        <f>IF(VLOOKUP($S31,'Performance Pivot'!$S:$AG,15,0)="","",VLOOKUP($S31,'Performance Pivot'!$S:$AG,15,0))</f>
        <v/>
      </c>
    </row>
    <row r="32" spans="3:32" s="71" customFormat="1" ht="21" customHeight="1">
      <c r="C32" s="89">
        <f>'Performance Pivot'!C25</f>
        <v>42005</v>
      </c>
      <c r="D32" s="69">
        <f>IF(VLOOKUP($C32,'Performance Pivot'!$C:$P,2,0)="","",VLOOKUP($C32,'Performance Pivot'!$C:$P,2,0))</f>
        <v>5.3038999999999996</v>
      </c>
      <c r="E32" s="69">
        <f>IF(VLOOKUP($C32,'Performance Pivot'!$C:$P,3,0)="","",VLOOKUP($C32,'Performance Pivot'!$C:$P,3,0))</f>
        <v>4.4768999999999997</v>
      </c>
      <c r="F32" s="69">
        <f>IF(VLOOKUP($C32,'Performance Pivot'!$C:$P,4,0)="","",VLOOKUP($C32,'Performance Pivot'!$C:$P,4,0))</f>
        <v>3.8199000000000001</v>
      </c>
      <c r="G32" s="69">
        <f>IF(VLOOKUP($C32,'Performance Pivot'!$C:$P,5,0)="","",VLOOKUP($C32,'Performance Pivot'!$C:$P,5,0))</f>
        <v>5.5894000000000004</v>
      </c>
      <c r="H32" s="69">
        <f>IF(VLOOKUP($C32,'Performance Pivot'!$C:$P,6,0)="","",VLOOKUP($C32,'Performance Pivot'!$C:$P,6,0))</f>
        <v>4.6170999999999998</v>
      </c>
      <c r="I32" s="69">
        <f>IF(VLOOKUP($C32,'Performance Pivot'!$C:$P,7,0)="","",VLOOKUP($C32,'Performance Pivot'!$C:$P,7,0))</f>
        <v>5.8539000000000003</v>
      </c>
      <c r="J32" s="69">
        <f>IF(VLOOKUP($C32,'Performance Pivot'!$C:$P,8,0)="","",VLOOKUP($C32,'Performance Pivot'!$C:$P,8,0))</f>
        <v>9.3476999999999997</v>
      </c>
      <c r="K32" s="69">
        <f>IF(VLOOKUP($C32,'Performance Pivot'!$C:$P,9,0)="","",VLOOKUP($C32,'Performance Pivot'!$C:$P,9,0))</f>
        <v>8.7114999999999991</v>
      </c>
      <c r="L32" s="69" t="str">
        <f>IF(VLOOKUP($C32,'Performance Pivot'!$C:$P,10,0)="","",VLOOKUP($C32,'Performance Pivot'!$C:$P,10,0))</f>
        <v/>
      </c>
      <c r="M32" s="69" t="str">
        <f>IF(VLOOKUP($C32,'Performance Pivot'!$C:$P,11,0)="","",VLOOKUP($C32,'Performance Pivot'!$C:$P,11,0))</f>
        <v/>
      </c>
      <c r="N32" s="69" t="str">
        <f>IF(VLOOKUP($C32,'Performance Pivot'!$C:$P,12,0)="","",VLOOKUP($C32,'Performance Pivot'!$C:$P,12,0))</f>
        <v/>
      </c>
      <c r="O32" s="69" t="str">
        <f>IF(VLOOKUP($C32,'Performance Pivot'!$C:$P,13,0)="","",VLOOKUP($C32,'Performance Pivot'!$C:$P,13,0))</f>
        <v/>
      </c>
      <c r="P32" s="69" t="str">
        <f>IF(VLOOKUP($C32,'Performance Pivot'!$C:$Q,15,0)="","",VLOOKUP($C32,'Performance Pivot'!$C:$Q,15,0))</f>
        <v/>
      </c>
      <c r="Q32" s="72"/>
      <c r="R32" s="72"/>
      <c r="S32" s="89">
        <f t="shared" si="13"/>
        <v>42005</v>
      </c>
      <c r="T32" s="70">
        <f>IF(VLOOKUP($S32,'Performance Pivot'!$S:$AF,2,0)="","",VLOOKUP($S32,'Performance Pivot'!$S:$AF,2,0))</f>
        <v>0.21440000000000001</v>
      </c>
      <c r="U32" s="70">
        <f>IF(VLOOKUP($S32,'Performance Pivot'!$S:$AF,3,0)="","",VLOOKUP($S32,'Performance Pivot'!$S:$AF,3,0))</f>
        <v>7.5800000000000006E-2</v>
      </c>
      <c r="V32" s="70">
        <f>IF(VLOOKUP($S32,'Performance Pivot'!$S:$AF,4,0)="","",VLOOKUP($S32,'Performance Pivot'!$S:$AF,4,0))</f>
        <v>7.22E-2</v>
      </c>
      <c r="W32" s="70">
        <f>IF(VLOOKUP($S32,'Performance Pivot'!$S:$AF,5,0)="","",VLOOKUP($S32,'Performance Pivot'!$S:$AF,5,0))</f>
        <v>0.13350000000000001</v>
      </c>
      <c r="X32" s="70">
        <f>IF(VLOOKUP($S32,'Performance Pivot'!$S:$AF,6,0)="","",VLOOKUP($S32,'Performance Pivot'!$S:$AF,6,0))</f>
        <v>0.13389999999999999</v>
      </c>
      <c r="Y32" s="70">
        <f>IF(VLOOKUP($S32,'Performance Pivot'!$S:$AF,7,0)="","",VLOOKUP($S32,'Performance Pivot'!$S:$AF,7,0))</f>
        <v>0.17630000000000001</v>
      </c>
      <c r="Z32" s="70">
        <f>IF(VLOOKUP($S32,'Performance Pivot'!$S:$AF,8,0)="","",VLOOKUP($S32,'Performance Pivot'!$S:$AF,8,0))</f>
        <v>0</v>
      </c>
      <c r="AA32" s="70">
        <f>IF(VLOOKUP($S32,'Performance Pivot'!$S:$AF,9,0)="","",VLOOKUP($S32,'Performance Pivot'!$S:$AF,9,0))</f>
        <v>0</v>
      </c>
      <c r="AB32" s="70" t="str">
        <f>IF(VLOOKUP($S32,'Performance Pivot'!$S:$AF,10,0)="","",VLOOKUP($S32,'Performance Pivot'!$S:$AF,10,0))</f>
        <v/>
      </c>
      <c r="AC32" s="70" t="str">
        <f>IF(VLOOKUP($S32,'Performance Pivot'!$S:$AF,11,0)="","",VLOOKUP($S32,'Performance Pivot'!$S:$AF,11,0))</f>
        <v/>
      </c>
      <c r="AD32" s="70" t="str">
        <f>IF(VLOOKUP($S32,'Performance Pivot'!$S:$AF,12,0)="","",VLOOKUP($S32,'Performance Pivot'!$S:$AF,12,0))</f>
        <v/>
      </c>
      <c r="AE32" s="70" t="str">
        <f>IF(VLOOKUP($S32,'Performance Pivot'!$S:$AF,13,0)="","",VLOOKUP($S32,'Performance Pivot'!$S:$AF,13,0))</f>
        <v/>
      </c>
      <c r="AF32" s="70" t="str">
        <f>IF(VLOOKUP($S32,'Performance Pivot'!$S:$AG,15,0)="","",VLOOKUP($S32,'Performance Pivot'!$S:$AG,15,0))</f>
        <v/>
      </c>
    </row>
    <row r="33" spans="3:45" s="71" customFormat="1" ht="21" customHeight="1">
      <c r="C33" s="89">
        <f>'Performance Pivot'!C24</f>
        <v>42036</v>
      </c>
      <c r="D33" s="69">
        <f>IF(VLOOKUP($C33,'Performance Pivot'!$C:$P,2,0)="","",VLOOKUP($C33,'Performance Pivot'!$C:$P,2,0))</f>
        <v>8.4512</v>
      </c>
      <c r="E33" s="69">
        <f>IF(VLOOKUP($C33,'Performance Pivot'!$C:$P,3,0)="","",VLOOKUP($C33,'Performance Pivot'!$C:$P,3,0))</f>
        <v>5.9881000000000002</v>
      </c>
      <c r="F33" s="69">
        <f>IF(VLOOKUP($C33,'Performance Pivot'!$C:$P,4,0)="","",VLOOKUP($C33,'Performance Pivot'!$C:$P,4,0))</f>
        <v>5.8017000000000003</v>
      </c>
      <c r="G33" s="69">
        <f>IF(VLOOKUP($C33,'Performance Pivot'!$C:$P,5,0)="","",VLOOKUP($C33,'Performance Pivot'!$C:$P,5,0))</f>
        <v>8.3712999999999997</v>
      </c>
      <c r="H33" s="69">
        <f>IF(VLOOKUP($C33,'Performance Pivot'!$C:$P,6,0)="","",VLOOKUP($C33,'Performance Pivot'!$C:$P,6,0))</f>
        <v>6.7782999999999998</v>
      </c>
      <c r="I33" s="69">
        <f>IF(VLOOKUP($C33,'Performance Pivot'!$C:$P,7,0)="","",VLOOKUP($C33,'Performance Pivot'!$C:$P,7,0))</f>
        <v>9.8627000000000002</v>
      </c>
      <c r="J33" s="69">
        <f>IF(VLOOKUP($C33,'Performance Pivot'!$C:$P,8,0)="","",VLOOKUP($C33,'Performance Pivot'!$C:$P,8,0))</f>
        <v>17.206399999999999</v>
      </c>
      <c r="K33" s="69">
        <f>IF(VLOOKUP($C33,'Performance Pivot'!$C:$P,9,0)="","",VLOOKUP($C33,'Performance Pivot'!$C:$P,9,0))</f>
        <v>16.593399999999999</v>
      </c>
      <c r="L33" s="69">
        <f>IF(VLOOKUP($C33,'Performance Pivot'!$C:$P,10,0)="","",VLOOKUP($C33,'Performance Pivot'!$C:$P,10,0))</f>
        <v>34.205500000000001</v>
      </c>
      <c r="M33" s="69">
        <f>IF(VLOOKUP($C33,'Performance Pivot'!$C:$P,11,0)="","",VLOOKUP($C33,'Performance Pivot'!$C:$P,11,0))</f>
        <v>28.7681</v>
      </c>
      <c r="N33" s="69" t="str">
        <f>IF(VLOOKUP($C33,'Performance Pivot'!$C:$P,12,0)="","",VLOOKUP($C33,'Performance Pivot'!$C:$P,12,0))</f>
        <v/>
      </c>
      <c r="O33" s="69" t="str">
        <f>IF(VLOOKUP($C33,'Performance Pivot'!$C:$P,13,0)="","",VLOOKUP($C33,'Performance Pivot'!$C:$P,13,0))</f>
        <v/>
      </c>
      <c r="P33" s="69" t="str">
        <f>IF(VLOOKUP($C33,'Performance Pivot'!$C:$Q,15,0)="","",VLOOKUP($C33,'Performance Pivot'!$C:$Q,15,0))</f>
        <v/>
      </c>
      <c r="Q33" s="72"/>
      <c r="R33" s="72"/>
      <c r="S33" s="89">
        <f t="shared" si="13"/>
        <v>42036</v>
      </c>
      <c r="T33" s="70">
        <f>IF(VLOOKUP($S33,'Performance Pivot'!$S:$AF,2,0)="","",VLOOKUP($S33,'Performance Pivot'!$S:$AF,2,0))</f>
        <v>8.9899999999999994E-2</v>
      </c>
      <c r="U33" s="70">
        <f>IF(VLOOKUP($S33,'Performance Pivot'!$S:$AF,3,0)="","",VLOOKUP($S33,'Performance Pivot'!$S:$AF,3,0))</f>
        <v>7.4899999999999994E-2</v>
      </c>
      <c r="V33" s="70">
        <f>IF(VLOOKUP($S33,'Performance Pivot'!$S:$AF,4,0)="","",VLOOKUP($S33,'Performance Pivot'!$S:$AF,4,0))</f>
        <v>0.1045</v>
      </c>
      <c r="W33" s="70">
        <f>IF(VLOOKUP($S33,'Performance Pivot'!$S:$AF,5,0)="","",VLOOKUP($S33,'Performance Pivot'!$S:$AF,5,0))</f>
        <v>0.1762</v>
      </c>
      <c r="X33" s="70">
        <f>IF(VLOOKUP($S33,'Performance Pivot'!$S:$AF,6,0)="","",VLOOKUP($S33,'Performance Pivot'!$S:$AF,6,0))</f>
        <v>6.6900000000000001E-2</v>
      </c>
      <c r="Y33" s="70">
        <f>IF(VLOOKUP($S33,'Performance Pivot'!$S:$AF,7,0)="","",VLOOKUP($S33,'Performance Pivot'!$S:$AF,7,0))</f>
        <v>0.2273</v>
      </c>
      <c r="Z33" s="70">
        <f>IF(VLOOKUP($S33,'Performance Pivot'!$S:$AF,8,0)="","",VLOOKUP($S33,'Performance Pivot'!$S:$AF,8,0))</f>
        <v>0</v>
      </c>
      <c r="AA33" s="70">
        <f>IF(VLOOKUP($S33,'Performance Pivot'!$S:$AF,9,0)="","",VLOOKUP($S33,'Performance Pivot'!$S:$AF,9,0))</f>
        <v>0</v>
      </c>
      <c r="AB33" s="70">
        <f>IF(VLOOKUP($S33,'Performance Pivot'!$S:$AF,10,0)="","",VLOOKUP($S33,'Performance Pivot'!$S:$AF,10,0))</f>
        <v>0</v>
      </c>
      <c r="AC33" s="70">
        <f>IF(VLOOKUP($S33,'Performance Pivot'!$S:$AF,11,0)="","",VLOOKUP($S33,'Performance Pivot'!$S:$AF,11,0))</f>
        <v>0</v>
      </c>
      <c r="AD33" s="70" t="str">
        <f>IF(VLOOKUP($S33,'Performance Pivot'!$S:$AF,12,0)="","",VLOOKUP($S33,'Performance Pivot'!$S:$AF,12,0))</f>
        <v/>
      </c>
      <c r="AE33" s="70" t="str">
        <f>IF(VLOOKUP($S33,'Performance Pivot'!$S:$AF,13,0)="","",VLOOKUP($S33,'Performance Pivot'!$S:$AF,13,0))</f>
        <v/>
      </c>
      <c r="AF33" s="70" t="str">
        <f>IF(VLOOKUP($S33,'Performance Pivot'!$S:$AG,15,0)="","",VLOOKUP($S33,'Performance Pivot'!$S:$AG,15,0))</f>
        <v/>
      </c>
    </row>
    <row r="34" spans="3:45" s="71" customFormat="1" ht="21" customHeight="1">
      <c r="C34" s="89">
        <f>'Performance Pivot'!C23</f>
        <v>42064</v>
      </c>
      <c r="D34" s="69">
        <f>IF(VLOOKUP($C34,'Performance Pivot'!$C:$P,2,0)="","",VLOOKUP($C34,'Performance Pivot'!$C:$P,2,0))</f>
        <v>10.3117</v>
      </c>
      <c r="E34" s="69">
        <f>IF(VLOOKUP($C34,'Performance Pivot'!$C:$P,3,0)="","",VLOOKUP($C34,'Performance Pivot'!$C:$P,3,0))</f>
        <v>8.0404999999999998</v>
      </c>
      <c r="F34" s="69">
        <f>IF(VLOOKUP($C34,'Performance Pivot'!$C:$P,4,0)="","",VLOOKUP($C34,'Performance Pivot'!$C:$P,4,0))</f>
        <v>8</v>
      </c>
      <c r="G34" s="69">
        <f>IF(VLOOKUP($C34,'Performance Pivot'!$C:$P,5,0)="","",VLOOKUP($C34,'Performance Pivot'!$C:$P,5,0))</f>
        <v>11.4238</v>
      </c>
      <c r="H34" s="69">
        <f>IF(VLOOKUP($C34,'Performance Pivot'!$C:$P,6,0)="","",VLOOKUP($C34,'Performance Pivot'!$C:$P,6,0))</f>
        <v>9.3574000000000002</v>
      </c>
      <c r="I34" s="69">
        <f>IF(VLOOKUP($C34,'Performance Pivot'!$C:$P,7,0)="","",VLOOKUP($C34,'Performance Pivot'!$C:$P,7,0))</f>
        <v>11.689399999999999</v>
      </c>
      <c r="J34" s="69">
        <f>IF(VLOOKUP($C34,'Performance Pivot'!$C:$P,8,0)="","",VLOOKUP($C34,'Performance Pivot'!$C:$P,8,0))</f>
        <v>19.359200000000001</v>
      </c>
      <c r="K34" s="69">
        <f>IF(VLOOKUP($C34,'Performance Pivot'!$C:$P,9,0)="","",VLOOKUP($C34,'Performance Pivot'!$C:$P,9,0))</f>
        <v>18.6951</v>
      </c>
      <c r="L34" s="69">
        <f>IF(VLOOKUP($C34,'Performance Pivot'!$C:$P,10,0)="","",VLOOKUP($C34,'Performance Pivot'!$C:$P,10,0))</f>
        <v>38.085099999999997</v>
      </c>
      <c r="M34" s="69">
        <f>IF(VLOOKUP($C34,'Performance Pivot'!$C:$P,11,0)="","",VLOOKUP($C34,'Performance Pivot'!$C:$P,11,0))</f>
        <v>34.203600000000002</v>
      </c>
      <c r="N34" s="69" t="str">
        <f>IF(VLOOKUP($C34,'Performance Pivot'!$C:$P,12,0)="","",VLOOKUP($C34,'Performance Pivot'!$C:$P,12,0))</f>
        <v/>
      </c>
      <c r="O34" s="69" t="str">
        <f>IF(VLOOKUP($C34,'Performance Pivot'!$C:$P,13,0)="","",VLOOKUP($C34,'Performance Pivot'!$C:$P,13,0))</f>
        <v/>
      </c>
      <c r="P34" s="69" t="str">
        <f>IF(VLOOKUP($C34,'Performance Pivot'!$C:$Q,15,0)="","",VLOOKUP($C34,'Performance Pivot'!$C:$Q,15,0))</f>
        <v/>
      </c>
      <c r="Q34" s="72"/>
      <c r="R34" s="72"/>
      <c r="S34" s="89">
        <f t="shared" si="13"/>
        <v>42064</v>
      </c>
      <c r="T34" s="70">
        <f>IF(VLOOKUP($S34,'Performance Pivot'!$S:$AF,2,0)="","",VLOOKUP($S34,'Performance Pivot'!$S:$AF,2,0))</f>
        <v>5.3100000000000001E-2</v>
      </c>
      <c r="U34" s="70">
        <f>IF(VLOOKUP($S34,'Performance Pivot'!$S:$AF,3,0)="","",VLOOKUP($S34,'Performance Pivot'!$S:$AF,3,0))</f>
        <v>0.16589999999999999</v>
      </c>
      <c r="V34" s="70">
        <f>IF(VLOOKUP($S34,'Performance Pivot'!$S:$AF,4,0)="","",VLOOKUP($S34,'Performance Pivot'!$S:$AF,4,0))</f>
        <v>9.7100000000000006E-2</v>
      </c>
      <c r="W34" s="70">
        <f>IF(VLOOKUP($S34,'Performance Pivot'!$S:$AF,5,0)="","",VLOOKUP($S34,'Performance Pivot'!$S:$AF,5,0))</f>
        <v>0.30940000000000001</v>
      </c>
      <c r="X34" s="70">
        <f>IF(VLOOKUP($S34,'Performance Pivot'!$S:$AF,6,0)="","",VLOOKUP($S34,'Performance Pivot'!$S:$AF,6,0))</f>
        <v>5.2499999999999998E-2</v>
      </c>
      <c r="Y34" s="70">
        <f>IF(VLOOKUP($S34,'Performance Pivot'!$S:$AF,7,0)="","",VLOOKUP($S34,'Performance Pivot'!$S:$AF,7,0))</f>
        <v>0.20569999999999999</v>
      </c>
      <c r="Z34" s="70">
        <f>IF(VLOOKUP($S34,'Performance Pivot'!$S:$AF,8,0)="","",VLOOKUP($S34,'Performance Pivot'!$S:$AF,8,0))</f>
        <v>3.2599999999999997E-2</v>
      </c>
      <c r="AA34" s="70">
        <f>IF(VLOOKUP($S34,'Performance Pivot'!$S:$AF,9,0)="","",VLOOKUP($S34,'Performance Pivot'!$S:$AF,9,0))</f>
        <v>6.1199999999999997E-2</v>
      </c>
      <c r="AB34" s="70">
        <f>IF(VLOOKUP($S34,'Performance Pivot'!$S:$AF,10,0)="","",VLOOKUP($S34,'Performance Pivot'!$S:$AF,10,0))</f>
        <v>0</v>
      </c>
      <c r="AC34" s="70">
        <f>IF(VLOOKUP($S34,'Performance Pivot'!$S:$AF,11,0)="","",VLOOKUP($S34,'Performance Pivot'!$S:$AF,11,0))</f>
        <v>0</v>
      </c>
      <c r="AD34" s="70" t="str">
        <f>IF(VLOOKUP($S34,'Performance Pivot'!$S:$AF,12,0)="","",VLOOKUP($S34,'Performance Pivot'!$S:$AF,12,0))</f>
        <v/>
      </c>
      <c r="AE34" s="70" t="str">
        <f>IF(VLOOKUP($S34,'Performance Pivot'!$S:$AF,13,0)="","",VLOOKUP($S34,'Performance Pivot'!$S:$AF,13,0))</f>
        <v/>
      </c>
      <c r="AF34" s="70" t="str">
        <f>IF(VLOOKUP($S34,'Performance Pivot'!$S:$AG,15,0)="","",VLOOKUP($S34,'Performance Pivot'!$S:$AG,15,0))</f>
        <v/>
      </c>
    </row>
    <row r="35" spans="3:45" s="71" customFormat="1" ht="21" customHeight="1">
      <c r="C35" s="89">
        <f>'Performance Pivot'!C22</f>
        <v>42095</v>
      </c>
      <c r="D35" s="69">
        <f>IF(VLOOKUP($C35,'Performance Pivot'!$C:$P,2,0)="","",VLOOKUP($C35,'Performance Pivot'!$C:$P,2,0))</f>
        <v>9.4598999999999993</v>
      </c>
      <c r="E35" s="69">
        <f>IF(VLOOKUP($C35,'Performance Pivot'!$C:$P,3,0)="","",VLOOKUP($C35,'Performance Pivot'!$C:$P,3,0))</f>
        <v>7.9840999999999998</v>
      </c>
      <c r="F35" s="69">
        <f>IF(VLOOKUP($C35,'Performance Pivot'!$C:$P,4,0)="","",VLOOKUP($C35,'Performance Pivot'!$C:$P,4,0))</f>
        <v>7.8361000000000001</v>
      </c>
      <c r="G35" s="69">
        <f>IF(VLOOKUP($C35,'Performance Pivot'!$C:$P,5,0)="","",VLOOKUP($C35,'Performance Pivot'!$C:$P,5,0))</f>
        <v>10.926399999999999</v>
      </c>
      <c r="H35" s="69">
        <f>IF(VLOOKUP($C35,'Performance Pivot'!$C:$P,6,0)="","",VLOOKUP($C35,'Performance Pivot'!$C:$P,6,0))</f>
        <v>8.9890000000000008</v>
      </c>
      <c r="I35" s="69">
        <f>IF(VLOOKUP($C35,'Performance Pivot'!$C:$P,7,0)="","",VLOOKUP($C35,'Performance Pivot'!$C:$P,7,0))</f>
        <v>11.2035</v>
      </c>
      <c r="J35" s="69">
        <f>IF(VLOOKUP($C35,'Performance Pivot'!$C:$P,8,0)="","",VLOOKUP($C35,'Performance Pivot'!$C:$P,8,0))</f>
        <v>15.2875</v>
      </c>
      <c r="K35" s="69">
        <f>IF(VLOOKUP($C35,'Performance Pivot'!$C:$P,9,0)="","",VLOOKUP($C35,'Performance Pivot'!$C:$P,9,0))</f>
        <v>14.8887</v>
      </c>
      <c r="L35" s="69">
        <f>IF(VLOOKUP($C35,'Performance Pivot'!$C:$P,10,0)="","",VLOOKUP($C35,'Performance Pivot'!$C:$P,10,0))</f>
        <v>27.818200000000001</v>
      </c>
      <c r="M35" s="69">
        <f>IF(VLOOKUP($C35,'Performance Pivot'!$C:$P,11,0)="","",VLOOKUP($C35,'Performance Pivot'!$C:$P,11,0))</f>
        <v>24.572600000000001</v>
      </c>
      <c r="N35" s="69" t="str">
        <f>IF(VLOOKUP($C35,'Performance Pivot'!$C:$P,12,0)="","",VLOOKUP($C35,'Performance Pivot'!$C:$P,12,0))</f>
        <v/>
      </c>
      <c r="O35" s="69" t="str">
        <f>IF(VLOOKUP($C35,'Performance Pivot'!$C:$P,13,0)="","",VLOOKUP($C35,'Performance Pivot'!$C:$P,13,0))</f>
        <v/>
      </c>
      <c r="P35" s="69" t="str">
        <f>IF(VLOOKUP($C35,'Performance Pivot'!$C:$Q,15,0)="","",VLOOKUP($C35,'Performance Pivot'!$C:$Q,15,0))</f>
        <v/>
      </c>
      <c r="Q35" s="72"/>
      <c r="R35" s="72"/>
      <c r="S35" s="89">
        <f t="shared" si="13"/>
        <v>42095</v>
      </c>
      <c r="T35" s="70">
        <f>IF(VLOOKUP($S35,'Performance Pivot'!$S:$AF,2,0)="","",VLOOKUP($S35,'Performance Pivot'!$S:$AF,2,0))</f>
        <v>0.20369999999999999</v>
      </c>
      <c r="U35" s="70">
        <f>IF(VLOOKUP($S35,'Performance Pivot'!$S:$AF,3,0)="","",VLOOKUP($S35,'Performance Pivot'!$S:$AF,3,0))</f>
        <v>0.10009999999999999</v>
      </c>
      <c r="V35" s="70">
        <f>IF(VLOOKUP($S35,'Performance Pivot'!$S:$AF,4,0)="","",VLOOKUP($S35,'Performance Pivot'!$S:$AF,4,0))</f>
        <v>7.4399999999999994E-2</v>
      </c>
      <c r="W35" s="70">
        <f>IF(VLOOKUP($S35,'Performance Pivot'!$S:$AF,5,0)="","",VLOOKUP($S35,'Performance Pivot'!$S:$AF,5,0))</f>
        <v>0.23769999999999999</v>
      </c>
      <c r="X35" s="70">
        <f>IF(VLOOKUP($S35,'Performance Pivot'!$S:$AF,6,0)="","",VLOOKUP($S35,'Performance Pivot'!$S:$AF,6,0))</f>
        <v>5.0900000000000001E-2</v>
      </c>
      <c r="Y35" s="70">
        <f>IF(VLOOKUP($S35,'Performance Pivot'!$S:$AF,7,0)="","",VLOOKUP($S35,'Performance Pivot'!$S:$AF,7,0))</f>
        <v>7.9100000000000004E-2</v>
      </c>
      <c r="Z35" s="70">
        <f>IF(VLOOKUP($S35,'Performance Pivot'!$S:$AF,8,0)="","",VLOOKUP($S35,'Performance Pivot'!$S:$AF,8,0))</f>
        <v>8.2100000000000006E-2</v>
      </c>
      <c r="AA35" s="70">
        <f>IF(VLOOKUP($S35,'Performance Pivot'!$S:$AF,9,0)="","",VLOOKUP($S35,'Performance Pivot'!$S:$AF,9,0))</f>
        <v>8.1100000000000005E-2</v>
      </c>
      <c r="AB35" s="70">
        <f>IF(VLOOKUP($S35,'Performance Pivot'!$S:$AF,10,0)="","",VLOOKUP($S35,'Performance Pivot'!$S:$AF,10,0))</f>
        <v>0</v>
      </c>
      <c r="AC35" s="70">
        <f>IF(VLOOKUP($S35,'Performance Pivot'!$S:$AF,11,0)="","",VLOOKUP($S35,'Performance Pivot'!$S:$AF,11,0))</f>
        <v>0</v>
      </c>
      <c r="AD35" s="70" t="str">
        <f>IF(VLOOKUP($S35,'Performance Pivot'!$S:$AF,12,0)="","",VLOOKUP($S35,'Performance Pivot'!$S:$AF,12,0))</f>
        <v/>
      </c>
      <c r="AE35" s="70" t="str">
        <f>IF(VLOOKUP($S35,'Performance Pivot'!$S:$AF,13,0)="","",VLOOKUP($S35,'Performance Pivot'!$S:$AF,13,0))</f>
        <v/>
      </c>
      <c r="AF35" s="70" t="str">
        <f>IF(VLOOKUP($S35,'Performance Pivot'!$S:$AG,15,0)="","",VLOOKUP($S35,'Performance Pivot'!$S:$AG,15,0))</f>
        <v/>
      </c>
    </row>
    <row r="36" spans="3:45" s="71" customFormat="1" ht="21" customHeight="1">
      <c r="C36" s="89">
        <f>'Performance Pivot'!C21</f>
        <v>42125</v>
      </c>
      <c r="D36" s="69">
        <f>IF(VLOOKUP($C36,'Performance Pivot'!$C:$P,2,0)="","",VLOOKUP($C36,'Performance Pivot'!$C:$P,2,0))</f>
        <v>10.669499999999999</v>
      </c>
      <c r="E36" s="69">
        <f>IF(VLOOKUP($C36,'Performance Pivot'!$C:$P,3,0)="","",VLOOKUP($C36,'Performance Pivot'!$C:$P,3,0))</f>
        <v>8.6229999999999993</v>
      </c>
      <c r="F36" s="69">
        <f>IF(VLOOKUP($C36,'Performance Pivot'!$C:$P,4,0)="","",VLOOKUP($C36,'Performance Pivot'!$C:$P,4,0))</f>
        <v>8.4568999999999992</v>
      </c>
      <c r="G36" s="69">
        <f>IF(VLOOKUP($C36,'Performance Pivot'!$C:$P,5,0)="","",VLOOKUP($C36,'Performance Pivot'!$C:$P,5,0))</f>
        <v>11.6607</v>
      </c>
      <c r="H36" s="69">
        <f>IF(VLOOKUP($C36,'Performance Pivot'!$C:$P,6,0)="","",VLOOKUP($C36,'Performance Pivot'!$C:$P,6,0))</f>
        <v>9.5940999999999992</v>
      </c>
      <c r="I36" s="69">
        <f>IF(VLOOKUP($C36,'Performance Pivot'!$C:$P,7,0)="","",VLOOKUP($C36,'Performance Pivot'!$C:$P,7,0))</f>
        <v>13.215999999999999</v>
      </c>
      <c r="J36" s="69">
        <f>IF(VLOOKUP($C36,'Performance Pivot'!$C:$P,8,0)="","",VLOOKUP($C36,'Performance Pivot'!$C:$P,8,0))</f>
        <v>13.331300000000001</v>
      </c>
      <c r="K36" s="69">
        <f>IF(VLOOKUP($C36,'Performance Pivot'!$C:$P,9,0)="","",VLOOKUP($C36,'Performance Pivot'!$C:$P,9,0))</f>
        <v>15.7463</v>
      </c>
      <c r="L36" s="69">
        <f>IF(VLOOKUP($C36,'Performance Pivot'!$C:$P,10,0)="","",VLOOKUP($C36,'Performance Pivot'!$C:$P,10,0))</f>
        <v>24.670200000000001</v>
      </c>
      <c r="M36" s="69">
        <f>IF(VLOOKUP($C36,'Performance Pivot'!$C:$P,11,0)="","",VLOOKUP($C36,'Performance Pivot'!$C:$P,11,0))</f>
        <v>23.898700000000002</v>
      </c>
      <c r="N36" s="69">
        <f>IF(VLOOKUP($C36,'Performance Pivot'!$C:$P,12,0)="","",VLOOKUP($C36,'Performance Pivot'!$C:$P,12,0))</f>
        <v>24.545400000000001</v>
      </c>
      <c r="O36" s="69">
        <f>IF(VLOOKUP($C36,'Performance Pivot'!$C:$P,13,0)="","",VLOOKUP($C36,'Performance Pivot'!$C:$P,13,0))</f>
        <v>20.803100000000001</v>
      </c>
      <c r="P36" s="69" t="str">
        <f>IF(VLOOKUP($C36,'Performance Pivot'!$C:$Q,15,0)="","",VLOOKUP($C36,'Performance Pivot'!$C:$Q,15,0))</f>
        <v/>
      </c>
      <c r="Q36" s="72"/>
      <c r="R36" s="72"/>
      <c r="S36" s="89">
        <f t="shared" si="13"/>
        <v>42125</v>
      </c>
      <c r="T36" s="70">
        <f>IF(VLOOKUP($S36,'Performance Pivot'!$S:$AF,2,0)="","",VLOOKUP($S36,'Performance Pivot'!$S:$AF,2,0))</f>
        <v>0.1585</v>
      </c>
      <c r="U36" s="70">
        <f>IF(VLOOKUP($S36,'Performance Pivot'!$S:$AF,3,0)="","",VLOOKUP($S36,'Performance Pivot'!$S:$AF,3,0))</f>
        <v>0.1212</v>
      </c>
      <c r="V36" s="70">
        <f>IF(VLOOKUP($S36,'Performance Pivot'!$S:$AF,4,0)="","",VLOOKUP($S36,'Performance Pivot'!$S:$AF,4,0))</f>
        <v>6.0299999999999999E-2</v>
      </c>
      <c r="W36" s="70">
        <f>IF(VLOOKUP($S36,'Performance Pivot'!$S:$AF,5,0)="","",VLOOKUP($S36,'Performance Pivot'!$S:$AF,5,0))</f>
        <v>0.18110000000000001</v>
      </c>
      <c r="X36" s="70">
        <f>IF(VLOOKUP($S36,'Performance Pivot'!$S:$AF,6,0)="","",VLOOKUP($S36,'Performance Pivot'!$S:$AF,6,0))</f>
        <v>0.1028</v>
      </c>
      <c r="Y36" s="70">
        <f>IF(VLOOKUP($S36,'Performance Pivot'!$S:$AF,7,0)="","",VLOOKUP($S36,'Performance Pivot'!$S:$AF,7,0))</f>
        <v>0.1628</v>
      </c>
      <c r="Z36" s="70">
        <f>IF(VLOOKUP($S36,'Performance Pivot'!$S:$AF,8,0)="","",VLOOKUP($S36,'Performance Pivot'!$S:$AF,8,0))</f>
        <v>6.9599999999999995E-2</v>
      </c>
      <c r="AA36" s="70">
        <f>IF(VLOOKUP($S36,'Performance Pivot'!$S:$AF,9,0)="","",VLOOKUP($S36,'Performance Pivot'!$S:$AF,9,0))</f>
        <v>0.17649999999999999</v>
      </c>
      <c r="AB36" s="70">
        <f>IF(VLOOKUP($S36,'Performance Pivot'!$S:$AF,10,0)="","",VLOOKUP($S36,'Performance Pivot'!$S:$AF,10,0))</f>
        <v>0</v>
      </c>
      <c r="AC36" s="70">
        <f>IF(VLOOKUP($S36,'Performance Pivot'!$S:$AF,11,0)="","",VLOOKUP($S36,'Performance Pivot'!$S:$AF,11,0))</f>
        <v>0</v>
      </c>
      <c r="AD36" s="70">
        <f>IF(VLOOKUP($S36,'Performance Pivot'!$S:$AF,12,0)="","",VLOOKUP($S36,'Performance Pivot'!$S:$AF,12,0))</f>
        <v>0</v>
      </c>
      <c r="AE36" s="70">
        <f>IF(VLOOKUP($S36,'Performance Pivot'!$S:$AF,13,0)="","",VLOOKUP($S36,'Performance Pivot'!$S:$AF,13,0))</f>
        <v>0</v>
      </c>
      <c r="AF36" s="70" t="str">
        <f>IF(VLOOKUP($S36,'Performance Pivot'!$S:$AG,15,0)="","",VLOOKUP($S36,'Performance Pivot'!$S:$AG,15,0))</f>
        <v/>
      </c>
    </row>
    <row r="37" spans="3:45" s="71" customFormat="1" ht="21" customHeight="1">
      <c r="C37" s="89">
        <f>'Performance Pivot'!C20</f>
        <v>42156</v>
      </c>
      <c r="D37" s="69">
        <f>IF(VLOOKUP($C37,'Performance Pivot'!$C:$P,2,0)="","",VLOOKUP($C37,'Performance Pivot'!$C:$P,2,0))</f>
        <v>12.243600000000001</v>
      </c>
      <c r="E37" s="69">
        <f>IF(VLOOKUP($C37,'Performance Pivot'!$C:$P,3,0)="","",VLOOKUP($C37,'Performance Pivot'!$C:$P,3,0))</f>
        <v>10.8786</v>
      </c>
      <c r="F37" s="69">
        <f>IF(VLOOKUP($C37,'Performance Pivot'!$C:$P,4,0)="","",VLOOKUP($C37,'Performance Pivot'!$C:$P,4,0))</f>
        <v>10.3215</v>
      </c>
      <c r="G37" s="69">
        <f>IF(VLOOKUP($C37,'Performance Pivot'!$C:$P,5,0)="","",VLOOKUP($C37,'Performance Pivot'!$C:$P,5,0))</f>
        <v>12.668900000000001</v>
      </c>
      <c r="H37" s="69">
        <f>IF(VLOOKUP($C37,'Performance Pivot'!$C:$P,6,0)="","",VLOOKUP($C37,'Performance Pivot'!$C:$P,6,0))</f>
        <v>10.8531</v>
      </c>
      <c r="I37" s="69">
        <f>IF(VLOOKUP($C37,'Performance Pivot'!$C:$P,7,0)="","",VLOOKUP($C37,'Performance Pivot'!$C:$P,7,0))</f>
        <v>13.1846</v>
      </c>
      <c r="J37" s="69">
        <f>IF(VLOOKUP($C37,'Performance Pivot'!$C:$P,8,0)="","",VLOOKUP($C37,'Performance Pivot'!$C:$P,8,0))</f>
        <v>14.001300000000001</v>
      </c>
      <c r="K37" s="69">
        <f>IF(VLOOKUP($C37,'Performance Pivot'!$C:$P,9,0)="","",VLOOKUP($C37,'Performance Pivot'!$C:$P,9,0))</f>
        <v>15.7277</v>
      </c>
      <c r="L37" s="69">
        <f>IF(VLOOKUP($C37,'Performance Pivot'!$C:$P,10,0)="","",VLOOKUP($C37,'Performance Pivot'!$C:$P,10,0))</f>
        <v>22.712499999999999</v>
      </c>
      <c r="M37" s="69">
        <f>IF(VLOOKUP($C37,'Performance Pivot'!$C:$P,11,0)="","",VLOOKUP($C37,'Performance Pivot'!$C:$P,11,0))</f>
        <v>23.0063</v>
      </c>
      <c r="N37" s="69">
        <f>IF(VLOOKUP($C37,'Performance Pivot'!$C:$P,12,0)="","",VLOOKUP($C37,'Performance Pivot'!$C:$P,12,0))</f>
        <v>22.103400000000001</v>
      </c>
      <c r="O37" s="69">
        <f>IF(VLOOKUP($C37,'Performance Pivot'!$C:$P,13,0)="","",VLOOKUP($C37,'Performance Pivot'!$C:$P,13,0))</f>
        <v>19.972300000000001</v>
      </c>
      <c r="P37" s="69" t="str">
        <f>IF(VLOOKUP($C37,'Performance Pivot'!$C:$Q,15,0)="","",VLOOKUP($C37,'Performance Pivot'!$C:$Q,15,0))</f>
        <v/>
      </c>
      <c r="Q37" s="72"/>
      <c r="R37" s="72"/>
      <c r="S37" s="89">
        <f t="shared" si="13"/>
        <v>42156</v>
      </c>
      <c r="T37" s="70">
        <f>IF(VLOOKUP($S37,'Performance Pivot'!$S:$AF,2,0)="","",VLOOKUP($S37,'Performance Pivot'!$S:$AF,2,0))</f>
        <v>0.20599999999999999</v>
      </c>
      <c r="U37" s="70">
        <f>IF(VLOOKUP($S37,'Performance Pivot'!$S:$AF,3,0)="","",VLOOKUP($S37,'Performance Pivot'!$S:$AF,3,0))</f>
        <v>8.43E-2</v>
      </c>
      <c r="V37" s="70">
        <f>IF(VLOOKUP($S37,'Performance Pivot'!$S:$AF,4,0)="","",VLOOKUP($S37,'Performance Pivot'!$S:$AF,4,0))</f>
        <v>7.7299999999999994E-2</v>
      </c>
      <c r="W37" s="70">
        <f>IF(VLOOKUP($S37,'Performance Pivot'!$S:$AF,5,0)="","",VLOOKUP($S37,'Performance Pivot'!$S:$AF,5,0))</f>
        <v>0.2374</v>
      </c>
      <c r="X37" s="70">
        <f>IF(VLOOKUP($S37,'Performance Pivot'!$S:$AF,6,0)="","",VLOOKUP($S37,'Performance Pivot'!$S:$AF,6,0))</f>
        <v>7.2400000000000006E-2</v>
      </c>
      <c r="Y37" s="70">
        <f>IF(VLOOKUP($S37,'Performance Pivot'!$S:$AF,7,0)="","",VLOOKUP($S37,'Performance Pivot'!$S:$AF,7,0))</f>
        <v>0.2702</v>
      </c>
      <c r="Z37" s="70">
        <f>IF(VLOOKUP($S37,'Performance Pivot'!$S:$AF,8,0)="","",VLOOKUP($S37,'Performance Pivot'!$S:$AF,8,0))</f>
        <v>3.2300000000000002E-2</v>
      </c>
      <c r="AA37" s="70">
        <f>IF(VLOOKUP($S37,'Performance Pivot'!$S:$AF,9,0)="","",VLOOKUP($S37,'Performance Pivot'!$S:$AF,9,0))</f>
        <v>8.8599999999999998E-2</v>
      </c>
      <c r="AB37" s="70">
        <f>IF(VLOOKUP($S37,'Performance Pivot'!$S:$AF,10,0)="","",VLOOKUP($S37,'Performance Pivot'!$S:$AF,10,0))</f>
        <v>8.1500000000000003E-2</v>
      </c>
      <c r="AC37" s="70">
        <f>IF(VLOOKUP($S37,'Performance Pivot'!$S:$AF,11,0)="","",VLOOKUP($S37,'Performance Pivot'!$S:$AF,11,0))</f>
        <v>0.1255</v>
      </c>
      <c r="AD37" s="70">
        <f>IF(VLOOKUP($S37,'Performance Pivot'!$S:$AF,12,0)="","",VLOOKUP($S37,'Performance Pivot'!$S:$AF,12,0))</f>
        <v>0</v>
      </c>
      <c r="AE37" s="70">
        <f>IF(VLOOKUP($S37,'Performance Pivot'!$S:$AF,13,0)="","",VLOOKUP($S37,'Performance Pivot'!$S:$AF,13,0))</f>
        <v>0</v>
      </c>
      <c r="AF37" s="70" t="str">
        <f>IF(VLOOKUP($S37,'Performance Pivot'!$S:$AG,15,0)="","",VLOOKUP($S37,'Performance Pivot'!$S:$AG,15,0))</f>
        <v/>
      </c>
    </row>
    <row r="38" spans="3:45" s="71" customFormat="1" ht="21" customHeight="1">
      <c r="C38" s="89">
        <f>'Performance Pivot'!C19</f>
        <v>42186</v>
      </c>
      <c r="D38" s="69">
        <f>IF(VLOOKUP($C38,'Performance Pivot'!$C:$P,2,0)="","",VLOOKUP($C38,'Performance Pivot'!$C:$P,2,0))</f>
        <v>10.3452</v>
      </c>
      <c r="E38" s="69">
        <f>IF(VLOOKUP($C38,'Performance Pivot'!$C:$P,3,0)="","",VLOOKUP($C38,'Performance Pivot'!$C:$P,3,0))</f>
        <v>8.8036999999999992</v>
      </c>
      <c r="F38" s="69">
        <f>IF(VLOOKUP($C38,'Performance Pivot'!$C:$P,4,0)="","",VLOOKUP($C38,'Performance Pivot'!$C:$P,4,0))</f>
        <v>9.3354999999999997</v>
      </c>
      <c r="G38" s="69">
        <f>IF(VLOOKUP($C38,'Performance Pivot'!$C:$P,5,0)="","",VLOOKUP($C38,'Performance Pivot'!$C:$P,5,0))</f>
        <v>12.233599999999999</v>
      </c>
      <c r="H38" s="69">
        <f>IF(VLOOKUP($C38,'Performance Pivot'!$C:$P,6,0)="","",VLOOKUP($C38,'Performance Pivot'!$C:$P,6,0))</f>
        <v>9.4411000000000005</v>
      </c>
      <c r="I38" s="69">
        <f>IF(VLOOKUP($C38,'Performance Pivot'!$C:$P,7,0)="","",VLOOKUP($C38,'Performance Pivot'!$C:$P,7,0))</f>
        <v>12.856400000000001</v>
      </c>
      <c r="J38" s="69">
        <f>IF(VLOOKUP($C38,'Performance Pivot'!$C:$P,8,0)="","",VLOOKUP($C38,'Performance Pivot'!$C:$P,8,0))</f>
        <v>12.2501</v>
      </c>
      <c r="K38" s="69">
        <f>IF(VLOOKUP($C38,'Performance Pivot'!$C:$P,9,0)="","",VLOOKUP($C38,'Performance Pivot'!$C:$P,9,0))</f>
        <v>13.8436</v>
      </c>
      <c r="L38" s="69">
        <f>IF(VLOOKUP($C38,'Performance Pivot'!$C:$P,10,0)="","",VLOOKUP($C38,'Performance Pivot'!$C:$P,10,0))</f>
        <v>17.728899999999999</v>
      </c>
      <c r="M38" s="69">
        <f>IF(VLOOKUP($C38,'Performance Pivot'!$C:$P,11,0)="","",VLOOKUP($C38,'Performance Pivot'!$C:$P,11,0))</f>
        <v>19.144100000000002</v>
      </c>
      <c r="N38" s="69">
        <f>IF(VLOOKUP($C38,'Performance Pivot'!$C:$P,12,0)="","",VLOOKUP($C38,'Performance Pivot'!$C:$P,12,0))</f>
        <v>16.952400000000001</v>
      </c>
      <c r="O38" s="69">
        <f>IF(VLOOKUP($C38,'Performance Pivot'!$C:$P,13,0)="","",VLOOKUP($C38,'Performance Pivot'!$C:$P,13,0))</f>
        <v>16.3201</v>
      </c>
      <c r="P38" s="69">
        <f>IF(VLOOKUP($C38,'Performance Pivot'!$C:$Q,15,0)="","",VLOOKUP($C38,'Performance Pivot'!$C:$Q,15,0))</f>
        <v>12.1586</v>
      </c>
      <c r="Q38" s="72"/>
      <c r="R38" s="72"/>
      <c r="S38" s="89">
        <f t="shared" si="13"/>
        <v>42186</v>
      </c>
      <c r="T38" s="70">
        <f>IF(VLOOKUP($S38,'Performance Pivot'!$S:$AF,2,0)="","",VLOOKUP($S38,'Performance Pivot'!$S:$AF,2,0))</f>
        <v>0.13550000000000001</v>
      </c>
      <c r="U38" s="70">
        <f>IF(VLOOKUP($S38,'Performance Pivot'!$S:$AF,3,0)="","",VLOOKUP($S38,'Performance Pivot'!$S:$AF,3,0))</f>
        <v>4.5699999999999998E-2</v>
      </c>
      <c r="V38" s="70">
        <f>IF(VLOOKUP($S38,'Performance Pivot'!$S:$AF,4,0)="","",VLOOKUP($S38,'Performance Pivot'!$S:$AF,4,0))</f>
        <v>7.2499999999999995E-2</v>
      </c>
      <c r="W38" s="70">
        <f>IF(VLOOKUP($S38,'Performance Pivot'!$S:$AF,5,0)="","",VLOOKUP($S38,'Performance Pivot'!$S:$AF,5,0))</f>
        <v>9.3299999999999994E-2</v>
      </c>
      <c r="X38" s="70">
        <f>IF(VLOOKUP($S38,'Performance Pivot'!$S:$AF,6,0)="","",VLOOKUP($S38,'Performance Pivot'!$S:$AF,6,0))</f>
        <v>9.5299999999999996E-2</v>
      </c>
      <c r="Y38" s="70">
        <f>IF(VLOOKUP($S38,'Performance Pivot'!$S:$AF,7,0)="","",VLOOKUP($S38,'Performance Pivot'!$S:$AF,7,0))</f>
        <v>0.17649999999999999</v>
      </c>
      <c r="Z38" s="70">
        <f>IF(VLOOKUP($S38,'Performance Pivot'!$S:$AF,8,0)="","",VLOOKUP($S38,'Performance Pivot'!$S:$AF,8,0))</f>
        <v>6.4799999999999996E-2</v>
      </c>
      <c r="AA38" s="70">
        <f>IF(VLOOKUP($S38,'Performance Pivot'!$S:$AF,9,0)="","",VLOOKUP($S38,'Performance Pivot'!$S:$AF,9,0))</f>
        <v>0.21029999999999999</v>
      </c>
      <c r="AB38" s="70">
        <f>IF(VLOOKUP($S38,'Performance Pivot'!$S:$AF,10,0)="","",VLOOKUP($S38,'Performance Pivot'!$S:$AF,10,0))</f>
        <v>8.2699999999999996E-2</v>
      </c>
      <c r="AC38" s="70">
        <f>IF(VLOOKUP($S38,'Performance Pivot'!$S:$AF,11,0)="","",VLOOKUP($S38,'Performance Pivot'!$S:$AF,11,0))</f>
        <v>0.15110000000000001</v>
      </c>
      <c r="AD38" s="70">
        <f>IF(VLOOKUP($S38,'Performance Pivot'!$S:$AF,12,0)="","",VLOOKUP($S38,'Performance Pivot'!$S:$AF,12,0))</f>
        <v>0</v>
      </c>
      <c r="AE38" s="70">
        <f>IF(VLOOKUP($S38,'Performance Pivot'!$S:$AF,13,0)="","",VLOOKUP($S38,'Performance Pivot'!$S:$AF,13,0))</f>
        <v>0</v>
      </c>
      <c r="AF38" s="70">
        <f>IF(VLOOKUP($S38,'Performance Pivot'!$S:$AG,15,0)="","",VLOOKUP($S38,'Performance Pivot'!$S:$AG,15,0))</f>
        <v>0</v>
      </c>
    </row>
    <row r="39" spans="3:45" s="71" customFormat="1" ht="21" customHeight="1">
      <c r="C39" s="90">
        <f>'Performance Pivot'!C18</f>
        <v>42217</v>
      </c>
      <c r="D39" s="74">
        <f>IF(VLOOKUP($C39,'Performance Pivot'!$C:$Q,2,0)="","",VLOOKUP($C39,'Performance Pivot'!$C:$Q,2,0))</f>
        <v>9.5663999999999998</v>
      </c>
      <c r="E39" s="74">
        <f>IF(VLOOKUP($C39,'Performance Pivot'!$C:$P,3,0)="","",VLOOKUP($C39,'Performance Pivot'!$C:$P,3,0))</f>
        <v>8.1979000000000006</v>
      </c>
      <c r="F39" s="74">
        <f>IF(VLOOKUP($C39,'Performance Pivot'!$C:$P,4,0)="","",VLOOKUP($C39,'Performance Pivot'!$C:$P,4,0))</f>
        <v>7.7897999999999996</v>
      </c>
      <c r="G39" s="74">
        <f>IF(VLOOKUP($C39,'Performance Pivot'!$C:$P,5,0)="","",VLOOKUP($C39,'Performance Pivot'!$C:$P,5,0))</f>
        <v>9.5653000000000006</v>
      </c>
      <c r="H39" s="74">
        <f>IF(VLOOKUP($C39,'Performance Pivot'!$C:$P,6,0)="","",VLOOKUP($C39,'Performance Pivot'!$C:$P,6,0))</f>
        <v>8.6905000000000001</v>
      </c>
      <c r="I39" s="74">
        <f>IF(VLOOKUP($C39,'Performance Pivot'!$C:$P,7,0)="","",VLOOKUP($C39,'Performance Pivot'!$C:$P,7,0))</f>
        <v>10.429500000000001</v>
      </c>
      <c r="J39" s="74">
        <f>IF(VLOOKUP($C39,'Performance Pivot'!$C:$P,8,0)="","",VLOOKUP($C39,'Performance Pivot'!$C:$P,8,0))</f>
        <v>10.2424</v>
      </c>
      <c r="K39" s="74">
        <f>IF(VLOOKUP($C39,'Performance Pivot'!$C:$P,9,0)="","",VLOOKUP($C39,'Performance Pivot'!$C:$P,9,0))</f>
        <v>12.601000000000001</v>
      </c>
      <c r="L39" s="74">
        <f>IF(VLOOKUP($C39,'Performance Pivot'!$C:$P,10,0)="","",VLOOKUP($C39,'Performance Pivot'!$C:$P,10,0))</f>
        <v>15.266299999999999</v>
      </c>
      <c r="M39" s="74">
        <f>IF(VLOOKUP($C39,'Performance Pivot'!$C:$P,11,0)="","",VLOOKUP($C39,'Performance Pivot'!$C:$P,11,0))</f>
        <v>16.686299999999999</v>
      </c>
      <c r="N39" s="74">
        <f>IF(VLOOKUP($C39,'Performance Pivot'!$C:$P,12,0)="","",VLOOKUP($C39,'Performance Pivot'!$C:$P,12,0))</f>
        <v>15.1731</v>
      </c>
      <c r="O39" s="74">
        <f>IF(VLOOKUP($C39,'Performance Pivot'!$C:$P,13,0)="","",VLOOKUP($C39,'Performance Pivot'!$C:$P,13,0))</f>
        <v>14.5806</v>
      </c>
      <c r="P39" s="74">
        <f>IF(VLOOKUP($C39,'Performance Pivot'!$C:$Q,15,0)="","",VLOOKUP($C39,'Performance Pivot'!$C:$Q,15,0))</f>
        <v>11.6434</v>
      </c>
      <c r="Q39" s="72"/>
      <c r="R39" s="72"/>
      <c r="S39" s="90">
        <f t="shared" si="13"/>
        <v>42217</v>
      </c>
      <c r="T39" s="75">
        <f>IF(VLOOKUP($S39,'Performance Pivot'!$S:$AF,2,0)="","",VLOOKUP($S39,'Performance Pivot'!$S:$AF,2,0))</f>
        <v>6.8999999999999999E-3</v>
      </c>
      <c r="U39" s="75">
        <f>IF(VLOOKUP($S39,'Performance Pivot'!$S:$AF,3,0)="","",VLOOKUP($S39,'Performance Pivot'!$S:$AF,3,0))</f>
        <v>0.1067</v>
      </c>
      <c r="V39" s="75">
        <f>IF(VLOOKUP($S39,'Performance Pivot'!$S:$AF,4,0)="","",VLOOKUP($S39,'Performance Pivot'!$S:$AF,4,0))</f>
        <v>6.4899999999999999E-2</v>
      </c>
      <c r="W39" s="75">
        <f>IF(VLOOKUP($S39,'Performance Pivot'!$S:$AF,5,0)="","",VLOOKUP($S39,'Performance Pivot'!$S:$AF,5,0))</f>
        <v>0.10340000000000001</v>
      </c>
      <c r="X39" s="75">
        <f>IF(VLOOKUP($S39,'Performance Pivot'!$S:$AF,6,0)="","",VLOOKUP($S39,'Performance Pivot'!$S:$AF,6,0))</f>
        <v>0.1124</v>
      </c>
      <c r="Y39" s="75">
        <f>IF(VLOOKUP($S39,'Performance Pivot'!$S:$AF,7,0)="","",VLOOKUP($S39,'Performance Pivot'!$S:$AF,7,0))</f>
        <v>0.24030000000000001</v>
      </c>
      <c r="Z39" s="75">
        <f>IF(VLOOKUP($S39,'Performance Pivot'!$S:$AF,8,0)="","",VLOOKUP($S39,'Performance Pivot'!$S:$AF,8,0))</f>
        <v>7.4999999999999997E-2</v>
      </c>
      <c r="AA39" s="75">
        <f>IF(VLOOKUP($S39,'Performance Pivot'!$S:$AF,9,0)="","",VLOOKUP($S39,'Performance Pivot'!$S:$AF,9,0))</f>
        <v>8.1799999999999998E-2</v>
      </c>
      <c r="AB39" s="75">
        <f>IF(VLOOKUP($S39,'Performance Pivot'!$S:$AF,10,0)="","",VLOOKUP($S39,'Performance Pivot'!$S:$AF,10,0))</f>
        <v>0.13589999999999999</v>
      </c>
      <c r="AC39" s="75">
        <f>IF(VLOOKUP($S39,'Performance Pivot'!$S:$AF,11,0)="","",VLOOKUP($S39,'Performance Pivot'!$S:$AF,11,0))</f>
        <v>0.12429999999999999</v>
      </c>
      <c r="AD39" s="75">
        <f>IF(VLOOKUP($S39,'Performance Pivot'!$S:$AF,12,0)="","",VLOOKUP($S39,'Performance Pivot'!$S:$AF,12,0))</f>
        <v>0</v>
      </c>
      <c r="AE39" s="75">
        <f>IF(VLOOKUP($S39,'Performance Pivot'!$S:$AF,13,0)="","",VLOOKUP($S39,'Performance Pivot'!$S:$AF,13,0))</f>
        <v>0</v>
      </c>
      <c r="AF39" s="75">
        <f>IF(VLOOKUP($S39,'Performance Pivot'!$S:$AG,15,0)="","",VLOOKUP($S39,'Performance Pivot'!$S:$AG,15,0))</f>
        <v>0</v>
      </c>
    </row>
    <row r="40" spans="3:45" ht="17.25" hidden="1" customHeight="1">
      <c r="C40" s="76"/>
      <c r="D40" s="52" t="e">
        <f>VLOOKUP($C40,'Performance Pivot'!$C:$P,2,0)</f>
        <v>#N/A</v>
      </c>
      <c r="E40" s="52" t="e">
        <f>VLOOKUP($C40,'Performance Pivot'!$C:$P,3,0)</f>
        <v>#N/A</v>
      </c>
      <c r="F40" s="52" t="e">
        <f>VLOOKUP($C40,'Performance Pivot'!$C:$P,4,0)</f>
        <v>#N/A</v>
      </c>
      <c r="G40" s="52" t="e">
        <f>VLOOKUP($C40,'Performance Pivot'!$C:$P,5,0)</f>
        <v>#N/A</v>
      </c>
      <c r="H40" s="52" t="e">
        <f>VLOOKUP($C40,'Performance Pivot'!$C:$P,6,0)</f>
        <v>#N/A</v>
      </c>
      <c r="I40" s="52" t="e">
        <f>VLOOKUP($C40,'Performance Pivot'!$C:$P,7,0)</f>
        <v>#N/A</v>
      </c>
      <c r="J40" s="52" t="e">
        <f>VLOOKUP($C40,'Performance Pivot'!$C:$P,8,0)</f>
        <v>#N/A</v>
      </c>
      <c r="K40" s="52" t="e">
        <f>VLOOKUP($C40,'Performance Pivot'!$C:$P,9,0)</f>
        <v>#N/A</v>
      </c>
      <c r="L40" s="52" t="e">
        <f>VLOOKUP($C40,'Performance Pivot'!$C:$P,10,0)</f>
        <v>#N/A</v>
      </c>
      <c r="M40" s="52" t="e">
        <f>VLOOKUP($C40,'Performance Pivot'!$C:$P,11,0)</f>
        <v>#N/A</v>
      </c>
      <c r="N40" s="52" t="e">
        <f>VLOOKUP($C40,'Performance Pivot'!$C:$P,12,0)</f>
        <v>#N/A</v>
      </c>
      <c r="P40" s="52" t="e">
        <f>VLOOKUP($C40,'Performance Pivot'!$C:$P,14,0)</f>
        <v>#N/A</v>
      </c>
      <c r="Q40" s="67"/>
      <c r="R40" s="67"/>
      <c r="S40" s="76"/>
      <c r="T40" s="70" t="e">
        <f>IF(VLOOKUP($S40,'Performance Pivot'!$S:$AF,2,0)="","",VLOOKUP($S40,'Performance Pivot'!$S:$AF,2,0))</f>
        <v>#N/A</v>
      </c>
      <c r="U40" s="70" t="e">
        <f>IF(VLOOKUP($S40,'Performance Pivot'!$S:$AF,3,0)="","",VLOOKUP($S40,'Performance Pivot'!$S:$AF,3,0))</f>
        <v>#N/A</v>
      </c>
      <c r="V40" s="70" t="e">
        <f>IF(VLOOKUP($S40,'Performance Pivot'!$S:$AF,4,0)="","",VLOOKUP($S40,'Performance Pivot'!$S:$AF,4,0))</f>
        <v>#N/A</v>
      </c>
      <c r="W40" s="70" t="e">
        <f>IF(VLOOKUP($S40,'Performance Pivot'!$S:$AF,5,0)="","",VLOOKUP($S40,'Performance Pivot'!$S:$AF,5,0))</f>
        <v>#N/A</v>
      </c>
      <c r="X40" s="70" t="e">
        <f>IF(VLOOKUP($S40,'Performance Pivot'!$S:$AF,6,0)="","",VLOOKUP($S40,'Performance Pivot'!$S:$AF,6,0))</f>
        <v>#N/A</v>
      </c>
      <c r="Y40" s="70" t="e">
        <f>IF(VLOOKUP($S40,'Performance Pivot'!$S:$AF,7,0)="","",VLOOKUP($S40,'Performance Pivot'!$S:$AF,7,0))</f>
        <v>#N/A</v>
      </c>
      <c r="Z40" s="70" t="e">
        <f>IF(VLOOKUP($S40,'Performance Pivot'!$S:$AF,8,0)="","",VLOOKUP($S40,'Performance Pivot'!$S:$AF,8,0))</f>
        <v>#N/A</v>
      </c>
      <c r="AA40" s="70" t="e">
        <f>IF(VLOOKUP($S40,'Performance Pivot'!$S:$AF,9,0)="","",VLOOKUP($S40,'Performance Pivot'!$S:$AF,9,0))</f>
        <v>#N/A</v>
      </c>
      <c r="AB40" s="70" t="e">
        <f>IF(VLOOKUP($S40,'Performance Pivot'!$S:$AF,10,0)="","",VLOOKUP($S40,'Performance Pivot'!$S:$AF,10,0))</f>
        <v>#N/A</v>
      </c>
      <c r="AC40" s="70" t="e">
        <f>IF(VLOOKUP($S40,'Performance Pivot'!$S:$AF,11,0)="","",VLOOKUP($S40,'Performance Pivot'!$S:$AF,11,0))</f>
        <v>#N/A</v>
      </c>
      <c r="AD40" s="70" t="e">
        <f>IF(VLOOKUP($S40,'Performance Pivot'!$S:$AF,12,0)="","",VLOOKUP($S40,'Performance Pivot'!$S:$AF,12,0))</f>
        <v>#N/A</v>
      </c>
      <c r="AE40" s="70"/>
      <c r="AF40" s="70" t="e">
        <f>IF(VLOOKUP($S40,'Performance Pivot'!$S:$AG,15,0)="","",VLOOKUP($S40,'Performance Pivot'!$S:$AG,15,0))</f>
        <v>#N/A</v>
      </c>
    </row>
    <row r="41" spans="3:45" ht="17.25" customHeight="1">
      <c r="C41" s="76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67"/>
      <c r="R41" s="67"/>
      <c r="S41" s="76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</row>
    <row r="42" spans="3:45" ht="17.25" customHeight="1">
      <c r="C42" s="76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67"/>
      <c r="R42" s="67"/>
      <c r="S42" s="76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</row>
    <row r="43" spans="3:45" ht="17.25" customHeight="1">
      <c r="C43" s="76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67"/>
      <c r="R43" s="67"/>
      <c r="S43" s="67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D43" s="67"/>
      <c r="AE43" s="67"/>
      <c r="AF43" s="67"/>
    </row>
    <row r="44" spans="3:45" ht="17.25" customHeight="1">
      <c r="C44" s="103" t="s">
        <v>19</v>
      </c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67"/>
      <c r="R44" s="67"/>
      <c r="S44" s="104" t="s">
        <v>20</v>
      </c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</row>
    <row r="45" spans="3:45" ht="25.5">
      <c r="C45" s="58"/>
      <c r="D45" s="58" t="str">
        <f t="shared" ref="D45:O45" si="14">D16</f>
        <v>CAS 2013-C01-1</v>
      </c>
      <c r="E45" s="58" t="str">
        <f t="shared" si="14"/>
        <v>CAS 2014-C01-1</v>
      </c>
      <c r="F45" s="58" t="str">
        <f t="shared" si="14"/>
        <v>CAS 2014-C02-1</v>
      </c>
      <c r="G45" s="58" t="str">
        <f t="shared" si="14"/>
        <v>CAS 2014-C02-2</v>
      </c>
      <c r="H45" s="58" t="str">
        <f t="shared" si="14"/>
        <v>CAS 2014-C03-1</v>
      </c>
      <c r="I45" s="58" t="str">
        <f t="shared" si="14"/>
        <v>CAS 2014-C03-2</v>
      </c>
      <c r="J45" s="58" t="str">
        <f t="shared" si="14"/>
        <v>CAS 2014-C04-1</v>
      </c>
      <c r="K45" s="58" t="str">
        <f t="shared" si="14"/>
        <v>CAS 2014-C04-2</v>
      </c>
      <c r="L45" s="58" t="str">
        <f t="shared" si="14"/>
        <v>CAS 2015-C01-1</v>
      </c>
      <c r="M45" s="58" t="str">
        <f t="shared" si="14"/>
        <v>CAS 2015-C01-2</v>
      </c>
      <c r="N45" s="58" t="str">
        <f t="shared" si="14"/>
        <v>CAS 2015-C02-1</v>
      </c>
      <c r="O45" s="58" t="str">
        <f t="shared" si="14"/>
        <v>CAS 2015-C02-2</v>
      </c>
      <c r="P45" s="53"/>
      <c r="Q45" s="47"/>
      <c r="R45" s="47"/>
      <c r="S45" s="56"/>
      <c r="T45" s="56" t="str">
        <f t="shared" ref="T45:AE45" si="15">D16</f>
        <v>CAS 2013-C01-1</v>
      </c>
      <c r="U45" s="56" t="str">
        <f t="shared" si="15"/>
        <v>CAS 2014-C01-1</v>
      </c>
      <c r="V45" s="56" t="str">
        <f t="shared" si="15"/>
        <v>CAS 2014-C02-1</v>
      </c>
      <c r="W45" s="56" t="str">
        <f t="shared" si="15"/>
        <v>CAS 2014-C02-2</v>
      </c>
      <c r="X45" s="56" t="str">
        <f t="shared" si="15"/>
        <v>CAS 2014-C03-1</v>
      </c>
      <c r="Y45" s="56" t="str">
        <f t="shared" si="15"/>
        <v>CAS 2014-C03-2</v>
      </c>
      <c r="Z45" s="56" t="str">
        <f t="shared" si="15"/>
        <v>CAS 2014-C04-1</v>
      </c>
      <c r="AA45" s="56" t="str">
        <f t="shared" si="15"/>
        <v>CAS 2014-C04-2</v>
      </c>
      <c r="AB45" s="56" t="str">
        <f t="shared" si="15"/>
        <v>CAS 2015-C01-1</v>
      </c>
      <c r="AC45" s="56" t="str">
        <f t="shared" si="15"/>
        <v>CAS 2015-C01-2</v>
      </c>
      <c r="AD45" s="56" t="str">
        <f t="shared" si="15"/>
        <v>CAS 2015-C02-1</v>
      </c>
      <c r="AE45" s="56" t="str">
        <f t="shared" si="15"/>
        <v>CAS 2015-C02-2</v>
      </c>
      <c r="AF45" s="56"/>
    </row>
    <row r="46" spans="3:45" hidden="1">
      <c r="C46" s="58"/>
      <c r="D46" s="58">
        <f t="shared" ref="D46:O46" si="16">D17</f>
        <v>1</v>
      </c>
      <c r="E46" s="58">
        <f t="shared" si="16"/>
        <v>1</v>
      </c>
      <c r="F46" s="58">
        <f t="shared" si="16"/>
        <v>1</v>
      </c>
      <c r="G46" s="58">
        <f t="shared" si="16"/>
        <v>2</v>
      </c>
      <c r="H46" s="58">
        <f t="shared" si="16"/>
        <v>1</v>
      </c>
      <c r="I46" s="58">
        <f t="shared" si="16"/>
        <v>2</v>
      </c>
      <c r="J46" s="58">
        <f t="shared" si="16"/>
        <v>1</v>
      </c>
      <c r="K46" s="58">
        <f t="shared" si="16"/>
        <v>2</v>
      </c>
      <c r="L46" s="58">
        <f t="shared" si="16"/>
        <v>1</v>
      </c>
      <c r="M46" s="58">
        <f t="shared" si="16"/>
        <v>2</v>
      </c>
      <c r="N46" s="58">
        <f t="shared" si="16"/>
        <v>1</v>
      </c>
      <c r="O46" s="58">
        <f t="shared" si="16"/>
        <v>2</v>
      </c>
      <c r="P46" s="53"/>
      <c r="Q46" s="47"/>
      <c r="R46" s="47"/>
      <c r="S46" s="56"/>
      <c r="T46" s="56">
        <f t="shared" ref="T46:AE46" si="17">D17</f>
        <v>1</v>
      </c>
      <c r="U46" s="56">
        <f t="shared" si="17"/>
        <v>1</v>
      </c>
      <c r="V46" s="56">
        <f t="shared" si="17"/>
        <v>1</v>
      </c>
      <c r="W46" s="56">
        <f t="shared" si="17"/>
        <v>2</v>
      </c>
      <c r="X46" s="56">
        <f t="shared" si="17"/>
        <v>1</v>
      </c>
      <c r="Y46" s="56">
        <f t="shared" si="17"/>
        <v>2</v>
      </c>
      <c r="Z46" s="56">
        <f t="shared" si="17"/>
        <v>1</v>
      </c>
      <c r="AA46" s="56">
        <f t="shared" si="17"/>
        <v>2</v>
      </c>
      <c r="AB46" s="56">
        <f t="shared" si="17"/>
        <v>1</v>
      </c>
      <c r="AC46" s="56">
        <f t="shared" si="17"/>
        <v>2</v>
      </c>
      <c r="AD46" s="56">
        <f t="shared" si="17"/>
        <v>1</v>
      </c>
      <c r="AE46" s="56">
        <f t="shared" si="17"/>
        <v>2</v>
      </c>
      <c r="AF46" s="56"/>
    </row>
    <row r="47" spans="3:45" ht="25.5" hidden="1">
      <c r="C47" s="58" t="str">
        <f t="shared" ref="C47:O47" si="18">C18</f>
        <v>Date</v>
      </c>
      <c r="D47" s="58" t="str">
        <f t="shared" si="18"/>
        <v>1372</v>
      </c>
      <c r="E47" s="58" t="str">
        <f t="shared" si="18"/>
        <v>1378</v>
      </c>
      <c r="F47" s="58" t="str">
        <f t="shared" si="18"/>
        <v>1383</v>
      </c>
      <c r="G47" s="58" t="str">
        <f t="shared" si="18"/>
        <v>1384</v>
      </c>
      <c r="H47" s="58" t="str">
        <f t="shared" si="18"/>
        <v>1387</v>
      </c>
      <c r="I47" s="58" t="str">
        <f t="shared" si="18"/>
        <v>1388</v>
      </c>
      <c r="J47" s="58" t="str">
        <f t="shared" si="18"/>
        <v>1392</v>
      </c>
      <c r="K47" s="58" t="str">
        <f t="shared" si="18"/>
        <v>1393</v>
      </c>
      <c r="L47" s="58" t="str">
        <f t="shared" si="18"/>
        <v>1397</v>
      </c>
      <c r="M47" s="58" t="str">
        <f t="shared" si="18"/>
        <v>1398</v>
      </c>
      <c r="N47" s="58" t="str">
        <f t="shared" si="18"/>
        <v>1399</v>
      </c>
      <c r="O47" s="58" t="str">
        <f t="shared" si="18"/>
        <v>1400</v>
      </c>
      <c r="P47" s="53" t="s">
        <v>59</v>
      </c>
      <c r="Q47" s="47"/>
      <c r="R47" s="47"/>
      <c r="S47" s="56" t="str">
        <f t="shared" ref="S47:AF47" si="19">C18</f>
        <v>Date</v>
      </c>
      <c r="T47" s="56" t="str">
        <f t="shared" si="19"/>
        <v>1372</v>
      </c>
      <c r="U47" s="56" t="str">
        <f t="shared" si="19"/>
        <v>1378</v>
      </c>
      <c r="V47" s="56" t="str">
        <f t="shared" si="19"/>
        <v>1383</v>
      </c>
      <c r="W47" s="56" t="str">
        <f t="shared" si="19"/>
        <v>1384</v>
      </c>
      <c r="X47" s="56" t="str">
        <f t="shared" si="19"/>
        <v>1387</v>
      </c>
      <c r="Y47" s="56" t="str">
        <f t="shared" si="19"/>
        <v>1388</v>
      </c>
      <c r="Z47" s="56" t="str">
        <f t="shared" si="19"/>
        <v>1392</v>
      </c>
      <c r="AA47" s="56" t="str">
        <f t="shared" si="19"/>
        <v>1393</v>
      </c>
      <c r="AB47" s="56" t="str">
        <f t="shared" si="19"/>
        <v>1397</v>
      </c>
      <c r="AC47" s="56" t="str">
        <f t="shared" si="19"/>
        <v>1398</v>
      </c>
      <c r="AD47" s="56" t="str">
        <f t="shared" si="19"/>
        <v>1399</v>
      </c>
      <c r="AE47" s="56" t="str">
        <f t="shared" si="19"/>
        <v>1400</v>
      </c>
      <c r="AF47" s="56" t="str">
        <f t="shared" si="19"/>
        <v>STACR 2015-HQ2</v>
      </c>
    </row>
    <row r="48" spans="3:45" s="71" customFormat="1" ht="21" customHeight="1">
      <c r="C48" s="68">
        <f t="shared" ref="C48:C68" si="20">C19</f>
        <v>41609</v>
      </c>
      <c r="D48" s="70">
        <f>IF(VLOOKUP($C48,'Performance Pivot'!$AI:$AV,2,0)="","",VLOOKUP($C48,'Performance Pivot'!$AI:$AV,2,0))</f>
        <v>0</v>
      </c>
      <c r="E48" s="70">
        <f>IF(VLOOKUP($C48,'Performance Pivot'!$AI:$AV,3,0)="","",VLOOKUP($C48,'Performance Pivot'!$AI:$AV,3,0))</f>
        <v>0</v>
      </c>
      <c r="F48" s="70" t="str">
        <f>IF(VLOOKUP($C48,'Performance Pivot'!$AI:$AV,4,0)="","",VLOOKUP($C48,'Performance Pivot'!$AI:$AV,4,0))</f>
        <v/>
      </c>
      <c r="G48" s="70" t="str">
        <f>IF(VLOOKUP($C48,'Performance Pivot'!$AI:$AV,5,0)="","",VLOOKUP($C48,'Performance Pivot'!$AI:$AV,5,0))</f>
        <v/>
      </c>
      <c r="H48" s="70" t="str">
        <f>IF(VLOOKUP($C48,'Performance Pivot'!$AI:$AV,6,0)="","",VLOOKUP($C48,'Performance Pivot'!$AI:$AV,6,0))</f>
        <v/>
      </c>
      <c r="I48" s="70" t="str">
        <f>IF(VLOOKUP($C48,'Performance Pivot'!$AI:$AV,7,0)="","",VLOOKUP($C48,'Performance Pivot'!$AI:$AV,7,0))</f>
        <v/>
      </c>
      <c r="J48" s="70" t="str">
        <f>IF(VLOOKUP($C48,'Performance Pivot'!$AI:$AV,8,0)="","",VLOOKUP($C48,'Performance Pivot'!$AI:$AV,8,0))</f>
        <v/>
      </c>
      <c r="K48" s="70" t="str">
        <f>IF(VLOOKUP($C48,'Performance Pivot'!$AI:$AV,9,0)="","",VLOOKUP($C48,'Performance Pivot'!$AI:$AV,9,0))</f>
        <v/>
      </c>
      <c r="L48" s="70" t="str">
        <f>IF(VLOOKUP($C48,'Performance Pivot'!$AI:$AV,10,0)="","",VLOOKUP($C48,'Performance Pivot'!$AI:$AV,10,0))</f>
        <v/>
      </c>
      <c r="M48" s="70" t="str">
        <f>IF(VLOOKUP($C48,'Performance Pivot'!$AI:$AV,11,0)="","",VLOOKUP($C48,'Performance Pivot'!$AI:$AV,11,0))</f>
        <v/>
      </c>
      <c r="N48" s="70" t="str">
        <f>IF(VLOOKUP($C48,'Performance Pivot'!$AI:$AV,12,0)="","",VLOOKUP($C48,'Performance Pivot'!$AI:$AV,12,0))</f>
        <v/>
      </c>
      <c r="O48" s="70"/>
      <c r="P48" s="70" t="str">
        <f>IF(VLOOKUP($C48,'Performance Pivot'!$AI:$AW,15,0)="","",VLOOKUP($C48,'Performance Pivot'!$AI:$AW,15,0))</f>
        <v/>
      </c>
      <c r="Q48" s="52"/>
      <c r="R48" s="52"/>
      <c r="S48" s="89">
        <f t="shared" ref="S48:S68" si="21">C19</f>
        <v>41609</v>
      </c>
      <c r="T48" s="70">
        <f>IF(VLOOKUP($S48,'Performance Pivot'!$AZ:$BM,2,0)="","",VLOOKUP($S48,'Performance Pivot'!$AZ:$BM,2,0))</f>
        <v>0.18353268613137858</v>
      </c>
      <c r="U48" s="70">
        <f>IF(VLOOKUP($S48,'Performance Pivot'!$AZ:$BM,3,0)="","",VLOOKUP($S48,'Performance Pivot'!$AZ:$BM,3,0))</f>
        <v>0.14466061276666303</v>
      </c>
      <c r="V48" s="70" t="str">
        <f>IF(VLOOKUP($S48,'Performance Pivot'!$AZ:$BM,4,0)="","",VLOOKUP($S48,'Performance Pivot'!$AZ:$BM,4,0))</f>
        <v/>
      </c>
      <c r="W48" s="70" t="str">
        <f>IF(VLOOKUP($S48,'Performance Pivot'!$AZ:$BM,5,0)="","",VLOOKUP($S48,'Performance Pivot'!$AZ:$BM,5,0))</f>
        <v/>
      </c>
      <c r="X48" s="70" t="str">
        <f>IF(VLOOKUP($S48,'Performance Pivot'!$AZ:$BM,6,0)="","",VLOOKUP($S48,'Performance Pivot'!$AZ:$BM,6,0))</f>
        <v/>
      </c>
      <c r="Y48" s="70" t="str">
        <f>IF(VLOOKUP($S48,'Performance Pivot'!$AZ:$BM,7,0)="","",VLOOKUP($S48,'Performance Pivot'!$AZ:$BM,7,0))</f>
        <v/>
      </c>
      <c r="Z48" s="70" t="str">
        <f>IF(VLOOKUP($S48,'Performance Pivot'!$AZ:$BM,8,0)="","",VLOOKUP($S48,'Performance Pivot'!$AZ:$BM,8,0))</f>
        <v/>
      </c>
      <c r="AA48" s="70" t="str">
        <f>IF(VLOOKUP($S48,'Performance Pivot'!$AZ:$BM,9,0)="","",VLOOKUP($S48,'Performance Pivot'!$AZ:$BM,9,0))</f>
        <v/>
      </c>
      <c r="AB48" s="70" t="str">
        <f>IF(VLOOKUP($S48,'Performance Pivot'!$AZ:$BM,10,0)="","",VLOOKUP($S48,'Performance Pivot'!$AZ:$BM,10,0))</f>
        <v/>
      </c>
      <c r="AC48" s="70" t="str">
        <f>IF(VLOOKUP($S48,'Performance Pivot'!$AZ:$BM,11,0)="","",VLOOKUP($S48,'Performance Pivot'!$AZ:$BM,11,0))</f>
        <v/>
      </c>
      <c r="AD48" s="70" t="str">
        <f>IF(VLOOKUP($S48,'Performance Pivot'!$AZ:$BM,12,0)="","",VLOOKUP($S48,'Performance Pivot'!$AZ:$BM,12,0))</f>
        <v/>
      </c>
      <c r="AE48" s="70" t="str">
        <f>IF(VLOOKUP($S48,'Performance Pivot'!$AZ:$BM,13,0)="","",VLOOKUP($S48,'Performance Pivot'!$AZ:$BM,13,0))</f>
        <v/>
      </c>
      <c r="AF48" s="70" t="str">
        <f>IF(VLOOKUP($S48,'Performance Pivot'!$AZ:$BN,15,0)="","",VLOOKUP($S48,'Performance Pivot'!$AZ:$BN,15,0))</f>
        <v/>
      </c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</row>
    <row r="49" spans="3:45" s="71" customFormat="1" ht="21" customHeight="1">
      <c r="C49" s="68">
        <f t="shared" si="20"/>
        <v>41640</v>
      </c>
      <c r="D49" s="70">
        <f>IF(VLOOKUP($C49,'Performance Pivot'!$AI:$AV,2,0)="","",VLOOKUP($C49,'Performance Pivot'!$AI:$AV,2,0))</f>
        <v>0</v>
      </c>
      <c r="E49" s="70">
        <f>IF(VLOOKUP($C49,'Performance Pivot'!$AI:$AV,3,0)="","",VLOOKUP($C49,'Performance Pivot'!$AI:$AV,3,0))</f>
        <v>0</v>
      </c>
      <c r="F49" s="70" t="str">
        <f>IF(VLOOKUP($C49,'Performance Pivot'!$AI:$AV,4,0)="","",VLOOKUP($C49,'Performance Pivot'!$AI:$AV,4,0))</f>
        <v/>
      </c>
      <c r="G49" s="70" t="str">
        <f>IF(VLOOKUP($C49,'Performance Pivot'!$AI:$AV,5,0)="","",VLOOKUP($C49,'Performance Pivot'!$AI:$AV,5,0))</f>
        <v/>
      </c>
      <c r="H49" s="70" t="str">
        <f>IF(VLOOKUP($C49,'Performance Pivot'!$AI:$AV,6,0)="","",VLOOKUP($C49,'Performance Pivot'!$AI:$AV,6,0))</f>
        <v/>
      </c>
      <c r="I49" s="70" t="str">
        <f>IF(VLOOKUP($C49,'Performance Pivot'!$AI:$AV,7,0)="","",VLOOKUP($C49,'Performance Pivot'!$AI:$AV,7,0))</f>
        <v/>
      </c>
      <c r="J49" s="70" t="str">
        <f>IF(VLOOKUP($C49,'Performance Pivot'!$AI:$AV,8,0)="","",VLOOKUP($C49,'Performance Pivot'!$AI:$AV,8,0))</f>
        <v/>
      </c>
      <c r="K49" s="70" t="str">
        <f>IF(VLOOKUP($C49,'Performance Pivot'!$AI:$AV,9,0)="","",VLOOKUP($C49,'Performance Pivot'!$AI:$AV,9,0))</f>
        <v/>
      </c>
      <c r="L49" s="70" t="str">
        <f>IF(VLOOKUP($C49,'Performance Pivot'!$AI:$AV,10,0)="","",VLOOKUP($C49,'Performance Pivot'!$AI:$AV,10,0))</f>
        <v/>
      </c>
      <c r="M49" s="70" t="str">
        <f>IF(VLOOKUP($C49,'Performance Pivot'!$AI:$AV,11,0)="","",VLOOKUP($C49,'Performance Pivot'!$AI:$AV,11,0))</f>
        <v/>
      </c>
      <c r="N49" s="70" t="str">
        <f>IF(VLOOKUP($C49,'Performance Pivot'!$AI:$AV,12,0)="","",VLOOKUP($C49,'Performance Pivot'!$AI:$AV,12,0))</f>
        <v/>
      </c>
      <c r="O49" s="70"/>
      <c r="P49" s="70" t="str">
        <f>IF(VLOOKUP($C49,'Performance Pivot'!$AI:$AW,15,0)="","",VLOOKUP($C49,'Performance Pivot'!$AI:$AW,15,0))</f>
        <v/>
      </c>
      <c r="Q49" s="52"/>
      <c r="R49" s="52"/>
      <c r="S49" s="89">
        <f t="shared" si="21"/>
        <v>41640</v>
      </c>
      <c r="T49" s="70">
        <f>IF(VLOOKUP($S49,'Performance Pivot'!$AZ:$BM,2,0)="","",VLOOKUP($S49,'Performance Pivot'!$AZ:$BM,2,0))</f>
        <v>0.18425246220557345</v>
      </c>
      <c r="U49" s="70">
        <f>IF(VLOOKUP($S49,'Performance Pivot'!$AZ:$BM,3,0)="","",VLOOKUP($S49,'Performance Pivot'!$AZ:$BM,3,0))</f>
        <v>0.16038141677889206</v>
      </c>
      <c r="V49" s="70" t="str">
        <f>IF(VLOOKUP($S49,'Performance Pivot'!$AZ:$BM,4,0)="","",VLOOKUP($S49,'Performance Pivot'!$AZ:$BM,4,0))</f>
        <v/>
      </c>
      <c r="W49" s="70" t="str">
        <f>IF(VLOOKUP($S49,'Performance Pivot'!$AZ:$BM,5,0)="","",VLOOKUP($S49,'Performance Pivot'!$AZ:$BM,5,0))</f>
        <v/>
      </c>
      <c r="X49" s="70" t="str">
        <f>IF(VLOOKUP($S49,'Performance Pivot'!$AZ:$BM,6,0)="","",VLOOKUP($S49,'Performance Pivot'!$AZ:$BM,6,0))</f>
        <v/>
      </c>
      <c r="Y49" s="70" t="str">
        <f>IF(VLOOKUP($S49,'Performance Pivot'!$AZ:$BM,7,0)="","",VLOOKUP($S49,'Performance Pivot'!$AZ:$BM,7,0))</f>
        <v/>
      </c>
      <c r="Z49" s="70" t="str">
        <f>IF(VLOOKUP($S49,'Performance Pivot'!$AZ:$BM,8,0)="","",VLOOKUP($S49,'Performance Pivot'!$AZ:$BM,8,0))</f>
        <v/>
      </c>
      <c r="AA49" s="70" t="str">
        <f>IF(VLOOKUP($S49,'Performance Pivot'!$AZ:$BM,9,0)="","",VLOOKUP($S49,'Performance Pivot'!$AZ:$BM,9,0))</f>
        <v/>
      </c>
      <c r="AB49" s="70" t="str">
        <f>IF(VLOOKUP($S49,'Performance Pivot'!$AZ:$BM,10,0)="","",VLOOKUP($S49,'Performance Pivot'!$AZ:$BM,10,0))</f>
        <v/>
      </c>
      <c r="AC49" s="70" t="str">
        <f>IF(VLOOKUP($S49,'Performance Pivot'!$AZ:$BM,11,0)="","",VLOOKUP($S49,'Performance Pivot'!$AZ:$BM,11,0))</f>
        <v/>
      </c>
      <c r="AD49" s="70" t="str">
        <f>IF(VLOOKUP($S49,'Performance Pivot'!$AZ:$BM,12,0)="","",VLOOKUP($S49,'Performance Pivot'!$AZ:$BM,12,0))</f>
        <v/>
      </c>
      <c r="AE49" s="70" t="str">
        <f>IF(VLOOKUP($S49,'Performance Pivot'!$AZ:$BM,13,0)="","",VLOOKUP($S49,'Performance Pivot'!$AZ:$BM,13,0))</f>
        <v/>
      </c>
      <c r="AF49" s="70" t="str">
        <f>IF(VLOOKUP($S49,'Performance Pivot'!$AZ:$BN,15,0)="","",VLOOKUP($S49,'Performance Pivot'!$AZ:$BN,15,0))</f>
        <v/>
      </c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</row>
    <row r="50" spans="3:45" s="71" customFormat="1" ht="21" customHeight="1">
      <c r="C50" s="68">
        <f t="shared" si="20"/>
        <v>41671</v>
      </c>
      <c r="D50" s="70">
        <f>IF(VLOOKUP($C50,'Performance Pivot'!$AI:$AV,2,0)="","",VLOOKUP($C50,'Performance Pivot'!$AI:$AV,2,0))</f>
        <v>0</v>
      </c>
      <c r="E50" s="70">
        <f>IF(VLOOKUP($C50,'Performance Pivot'!$AI:$AV,3,0)="","",VLOOKUP($C50,'Performance Pivot'!$AI:$AV,3,0))</f>
        <v>0</v>
      </c>
      <c r="F50" s="70" t="str">
        <f>IF(VLOOKUP($C50,'Performance Pivot'!$AI:$AV,4,0)="","",VLOOKUP($C50,'Performance Pivot'!$AI:$AV,4,0))</f>
        <v/>
      </c>
      <c r="G50" s="70" t="str">
        <f>IF(VLOOKUP($C50,'Performance Pivot'!$AI:$AV,5,0)="","",VLOOKUP($C50,'Performance Pivot'!$AI:$AV,5,0))</f>
        <v/>
      </c>
      <c r="H50" s="70" t="str">
        <f>IF(VLOOKUP($C50,'Performance Pivot'!$AI:$AV,6,0)="","",VLOOKUP($C50,'Performance Pivot'!$AI:$AV,6,0))</f>
        <v/>
      </c>
      <c r="I50" s="70" t="str">
        <f>IF(VLOOKUP($C50,'Performance Pivot'!$AI:$AV,7,0)="","",VLOOKUP($C50,'Performance Pivot'!$AI:$AV,7,0))</f>
        <v/>
      </c>
      <c r="J50" s="70" t="str">
        <f>IF(VLOOKUP($C50,'Performance Pivot'!$AI:$AV,8,0)="","",VLOOKUP($C50,'Performance Pivot'!$AI:$AV,8,0))</f>
        <v/>
      </c>
      <c r="K50" s="70" t="str">
        <f>IF(VLOOKUP($C50,'Performance Pivot'!$AI:$AV,9,0)="","",VLOOKUP($C50,'Performance Pivot'!$AI:$AV,9,0))</f>
        <v/>
      </c>
      <c r="L50" s="70" t="str">
        <f>IF(VLOOKUP($C50,'Performance Pivot'!$AI:$AV,10,0)="","",VLOOKUP($C50,'Performance Pivot'!$AI:$AV,10,0))</f>
        <v/>
      </c>
      <c r="M50" s="70" t="str">
        <f>IF(VLOOKUP($C50,'Performance Pivot'!$AI:$AV,11,0)="","",VLOOKUP($C50,'Performance Pivot'!$AI:$AV,11,0))</f>
        <v/>
      </c>
      <c r="N50" s="70" t="str">
        <f>IF(VLOOKUP($C50,'Performance Pivot'!$AI:$AV,12,0)="","",VLOOKUP($C50,'Performance Pivot'!$AI:$AV,12,0))</f>
        <v/>
      </c>
      <c r="O50" s="70"/>
      <c r="P50" s="70" t="str">
        <f>IF(VLOOKUP($C50,'Performance Pivot'!$AI:$AW,15,0)="","",VLOOKUP($C50,'Performance Pivot'!$AI:$AW,15,0))</f>
        <v/>
      </c>
      <c r="Q50" s="52"/>
      <c r="R50" s="52"/>
      <c r="S50" s="89">
        <f t="shared" si="21"/>
        <v>41671</v>
      </c>
      <c r="T50" s="70">
        <f>IF(VLOOKUP($S50,'Performance Pivot'!$AZ:$BM,2,0)="","",VLOOKUP($S50,'Performance Pivot'!$AZ:$BM,2,0))</f>
        <v>0.26056904779574103</v>
      </c>
      <c r="U50" s="70">
        <f>IF(VLOOKUP($S50,'Performance Pivot'!$AZ:$BM,3,0)="","",VLOOKUP($S50,'Performance Pivot'!$AZ:$BM,3,0))</f>
        <v>0.26455428789919244</v>
      </c>
      <c r="V50" s="70" t="str">
        <f>IF(VLOOKUP($S50,'Performance Pivot'!$AZ:$BM,4,0)="","",VLOOKUP($S50,'Performance Pivot'!$AZ:$BM,4,0))</f>
        <v/>
      </c>
      <c r="W50" s="70" t="str">
        <f>IF(VLOOKUP($S50,'Performance Pivot'!$AZ:$BM,5,0)="","",VLOOKUP($S50,'Performance Pivot'!$AZ:$BM,5,0))</f>
        <v/>
      </c>
      <c r="X50" s="70" t="str">
        <f>IF(VLOOKUP($S50,'Performance Pivot'!$AZ:$BM,6,0)="","",VLOOKUP($S50,'Performance Pivot'!$AZ:$BM,6,0))</f>
        <v/>
      </c>
      <c r="Y50" s="70" t="str">
        <f>IF(VLOOKUP($S50,'Performance Pivot'!$AZ:$BM,7,0)="","",VLOOKUP($S50,'Performance Pivot'!$AZ:$BM,7,0))</f>
        <v/>
      </c>
      <c r="Z50" s="70" t="str">
        <f>IF(VLOOKUP($S50,'Performance Pivot'!$AZ:$BM,8,0)="","",VLOOKUP($S50,'Performance Pivot'!$AZ:$BM,8,0))</f>
        <v/>
      </c>
      <c r="AA50" s="70" t="str">
        <f>IF(VLOOKUP($S50,'Performance Pivot'!$AZ:$BM,9,0)="","",VLOOKUP($S50,'Performance Pivot'!$AZ:$BM,9,0))</f>
        <v/>
      </c>
      <c r="AB50" s="70" t="str">
        <f>IF(VLOOKUP($S50,'Performance Pivot'!$AZ:$BM,10,0)="","",VLOOKUP($S50,'Performance Pivot'!$AZ:$BM,10,0))</f>
        <v/>
      </c>
      <c r="AC50" s="70" t="str">
        <f>IF(VLOOKUP($S50,'Performance Pivot'!$AZ:$BM,11,0)="","",VLOOKUP($S50,'Performance Pivot'!$AZ:$BM,11,0))</f>
        <v/>
      </c>
      <c r="AD50" s="70" t="str">
        <f>IF(VLOOKUP($S50,'Performance Pivot'!$AZ:$BM,12,0)="","",VLOOKUP($S50,'Performance Pivot'!$AZ:$BM,12,0))</f>
        <v/>
      </c>
      <c r="AE50" s="70" t="str">
        <f>IF(VLOOKUP($S50,'Performance Pivot'!$AZ:$BM,13,0)="","",VLOOKUP($S50,'Performance Pivot'!$AZ:$BM,13,0))</f>
        <v/>
      </c>
      <c r="AF50" s="70" t="str">
        <f>IF(VLOOKUP($S50,'Performance Pivot'!$AZ:$BN,15,0)="","",VLOOKUP($S50,'Performance Pivot'!$AZ:$BN,15,0))</f>
        <v/>
      </c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</row>
    <row r="51" spans="3:45" s="71" customFormat="1" ht="21" customHeight="1">
      <c r="C51" s="68">
        <f t="shared" si="20"/>
        <v>41699</v>
      </c>
      <c r="D51" s="70">
        <f>IF(VLOOKUP($C51,'Performance Pivot'!$AI:$AV,2,0)="","",VLOOKUP($C51,'Performance Pivot'!$AI:$AV,2,0))</f>
        <v>0.01</v>
      </c>
      <c r="E51" s="70">
        <f>IF(VLOOKUP($C51,'Performance Pivot'!$AI:$AV,3,0)="","",VLOOKUP($C51,'Performance Pivot'!$AI:$AV,3,0))</f>
        <v>0</v>
      </c>
      <c r="F51" s="70" t="str">
        <f>IF(VLOOKUP($C51,'Performance Pivot'!$AI:$AV,4,0)="","",VLOOKUP($C51,'Performance Pivot'!$AI:$AV,4,0))</f>
        <v/>
      </c>
      <c r="G51" s="70" t="str">
        <f>IF(VLOOKUP($C51,'Performance Pivot'!$AI:$AV,5,0)="","",VLOOKUP($C51,'Performance Pivot'!$AI:$AV,5,0))</f>
        <v/>
      </c>
      <c r="H51" s="70" t="str">
        <f>IF(VLOOKUP($C51,'Performance Pivot'!$AI:$AV,6,0)="","",VLOOKUP($C51,'Performance Pivot'!$AI:$AV,6,0))</f>
        <v/>
      </c>
      <c r="I51" s="70" t="str">
        <f>IF(VLOOKUP($C51,'Performance Pivot'!$AI:$AV,7,0)="","",VLOOKUP($C51,'Performance Pivot'!$AI:$AV,7,0))</f>
        <v/>
      </c>
      <c r="J51" s="70" t="str">
        <f>IF(VLOOKUP($C51,'Performance Pivot'!$AI:$AV,8,0)="","",VLOOKUP($C51,'Performance Pivot'!$AI:$AV,8,0))</f>
        <v/>
      </c>
      <c r="K51" s="70" t="str">
        <f>IF(VLOOKUP($C51,'Performance Pivot'!$AI:$AV,9,0)="","",VLOOKUP($C51,'Performance Pivot'!$AI:$AV,9,0))</f>
        <v/>
      </c>
      <c r="L51" s="70" t="str">
        <f>IF(VLOOKUP($C51,'Performance Pivot'!$AI:$AV,10,0)="","",VLOOKUP($C51,'Performance Pivot'!$AI:$AV,10,0))</f>
        <v/>
      </c>
      <c r="M51" s="70" t="str">
        <f>IF(VLOOKUP($C51,'Performance Pivot'!$AI:$AV,11,0)="","",VLOOKUP($C51,'Performance Pivot'!$AI:$AV,11,0))</f>
        <v/>
      </c>
      <c r="N51" s="70" t="str">
        <f>IF(VLOOKUP($C51,'Performance Pivot'!$AI:$AV,12,0)="","",VLOOKUP($C51,'Performance Pivot'!$AI:$AV,12,0))</f>
        <v/>
      </c>
      <c r="O51" s="70"/>
      <c r="P51" s="70" t="str">
        <f>IF(VLOOKUP($C51,'Performance Pivot'!$AI:$AW,15,0)="","",VLOOKUP($C51,'Performance Pivot'!$AI:$AW,15,0))</f>
        <v/>
      </c>
      <c r="Q51" s="52"/>
      <c r="R51" s="52"/>
      <c r="S51" s="89">
        <f t="shared" si="21"/>
        <v>41699</v>
      </c>
      <c r="T51" s="70">
        <f>IF(VLOOKUP($S51,'Performance Pivot'!$AZ:$BM,2,0)="","",VLOOKUP($S51,'Performance Pivot'!$AZ:$BM,2,0))</f>
        <v>0.18181531455118249</v>
      </c>
      <c r="U51" s="70">
        <f>IF(VLOOKUP($S51,'Performance Pivot'!$AZ:$BM,3,0)="","",VLOOKUP($S51,'Performance Pivot'!$AZ:$BM,3,0))</f>
        <v>0.17458782720799926</v>
      </c>
      <c r="V51" s="70" t="str">
        <f>IF(VLOOKUP($S51,'Performance Pivot'!$AZ:$BM,4,0)="","",VLOOKUP($S51,'Performance Pivot'!$AZ:$BM,4,0))</f>
        <v/>
      </c>
      <c r="W51" s="70" t="str">
        <f>IF(VLOOKUP($S51,'Performance Pivot'!$AZ:$BM,5,0)="","",VLOOKUP($S51,'Performance Pivot'!$AZ:$BM,5,0))</f>
        <v/>
      </c>
      <c r="X51" s="70" t="str">
        <f>IF(VLOOKUP($S51,'Performance Pivot'!$AZ:$BM,6,0)="","",VLOOKUP($S51,'Performance Pivot'!$AZ:$BM,6,0))</f>
        <v/>
      </c>
      <c r="Y51" s="70" t="str">
        <f>IF(VLOOKUP($S51,'Performance Pivot'!$AZ:$BM,7,0)="","",VLOOKUP($S51,'Performance Pivot'!$AZ:$BM,7,0))</f>
        <v/>
      </c>
      <c r="Z51" s="70" t="str">
        <f>IF(VLOOKUP($S51,'Performance Pivot'!$AZ:$BM,8,0)="","",VLOOKUP($S51,'Performance Pivot'!$AZ:$BM,8,0))</f>
        <v/>
      </c>
      <c r="AA51" s="70" t="str">
        <f>IF(VLOOKUP($S51,'Performance Pivot'!$AZ:$BM,9,0)="","",VLOOKUP($S51,'Performance Pivot'!$AZ:$BM,9,0))</f>
        <v/>
      </c>
      <c r="AB51" s="70" t="str">
        <f>IF(VLOOKUP($S51,'Performance Pivot'!$AZ:$BM,10,0)="","",VLOOKUP($S51,'Performance Pivot'!$AZ:$BM,10,0))</f>
        <v/>
      </c>
      <c r="AC51" s="70" t="str">
        <f>IF(VLOOKUP($S51,'Performance Pivot'!$AZ:$BM,11,0)="","",VLOOKUP($S51,'Performance Pivot'!$AZ:$BM,11,0))</f>
        <v/>
      </c>
      <c r="AD51" s="70" t="str">
        <f>IF(VLOOKUP($S51,'Performance Pivot'!$AZ:$BM,12,0)="","",VLOOKUP($S51,'Performance Pivot'!$AZ:$BM,12,0))</f>
        <v/>
      </c>
      <c r="AE51" s="70" t="str">
        <f>IF(VLOOKUP($S51,'Performance Pivot'!$AZ:$BM,13,0)="","",VLOOKUP($S51,'Performance Pivot'!$AZ:$BM,13,0))</f>
        <v/>
      </c>
      <c r="AF51" s="70" t="str">
        <f>IF(VLOOKUP($S51,'Performance Pivot'!$AZ:$BN,15,0)="","",VLOOKUP($S51,'Performance Pivot'!$AZ:$BN,15,0))</f>
        <v/>
      </c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</row>
    <row r="52" spans="3:45" s="71" customFormat="1" ht="21" customHeight="1">
      <c r="C52" s="68">
        <f t="shared" si="20"/>
        <v>41730</v>
      </c>
      <c r="D52" s="70">
        <f>IF(VLOOKUP($C52,'Performance Pivot'!$AI:$AV,2,0)="","",VLOOKUP($C52,'Performance Pivot'!$AI:$AV,2,0))</f>
        <v>0.01</v>
      </c>
      <c r="E52" s="70">
        <f>IF(VLOOKUP($C52,'Performance Pivot'!$AI:$AV,3,0)="","",VLOOKUP($C52,'Performance Pivot'!$AI:$AV,3,0))</f>
        <v>0</v>
      </c>
      <c r="F52" s="70">
        <f>IF(VLOOKUP($C52,'Performance Pivot'!$AI:$AV,4,0)="","",VLOOKUP($C52,'Performance Pivot'!$AI:$AV,4,0))</f>
        <v>0</v>
      </c>
      <c r="G52" s="70">
        <f>IF(VLOOKUP($C52,'Performance Pivot'!$AI:$AV,5,0)="","",VLOOKUP($C52,'Performance Pivot'!$AI:$AV,5,0))</f>
        <v>0</v>
      </c>
      <c r="H52" s="70" t="str">
        <f>IF(VLOOKUP($C52,'Performance Pivot'!$AI:$AV,6,0)="","",VLOOKUP($C52,'Performance Pivot'!$AI:$AV,6,0))</f>
        <v/>
      </c>
      <c r="I52" s="70" t="str">
        <f>IF(VLOOKUP($C52,'Performance Pivot'!$AI:$AV,7,0)="","",VLOOKUP($C52,'Performance Pivot'!$AI:$AV,7,0))</f>
        <v/>
      </c>
      <c r="J52" s="70" t="str">
        <f>IF(VLOOKUP($C52,'Performance Pivot'!$AI:$AV,8,0)="","",VLOOKUP($C52,'Performance Pivot'!$AI:$AV,8,0))</f>
        <v/>
      </c>
      <c r="K52" s="70" t="str">
        <f>IF(VLOOKUP($C52,'Performance Pivot'!$AI:$AV,9,0)="","",VLOOKUP($C52,'Performance Pivot'!$AI:$AV,9,0))</f>
        <v/>
      </c>
      <c r="L52" s="70" t="str">
        <f>IF(VLOOKUP($C52,'Performance Pivot'!$AI:$AV,10,0)="","",VLOOKUP($C52,'Performance Pivot'!$AI:$AV,10,0))</f>
        <v/>
      </c>
      <c r="M52" s="70" t="str">
        <f>IF(VLOOKUP($C52,'Performance Pivot'!$AI:$AV,11,0)="","",VLOOKUP($C52,'Performance Pivot'!$AI:$AV,11,0))</f>
        <v/>
      </c>
      <c r="N52" s="70" t="str">
        <f>IF(VLOOKUP($C52,'Performance Pivot'!$AI:$AV,12,0)="","",VLOOKUP($C52,'Performance Pivot'!$AI:$AV,12,0))</f>
        <v/>
      </c>
      <c r="O52" s="70"/>
      <c r="P52" s="70" t="str">
        <f>IF(VLOOKUP($C52,'Performance Pivot'!$AI:$AW,15,0)="","",VLOOKUP($C52,'Performance Pivot'!$AI:$AW,15,0))</f>
        <v/>
      </c>
      <c r="Q52" s="52"/>
      <c r="R52" s="52"/>
      <c r="S52" s="89">
        <f t="shared" si="21"/>
        <v>41730</v>
      </c>
      <c r="T52" s="70">
        <f>IF(VLOOKUP($S52,'Performance Pivot'!$AZ:$BM,2,0)="","",VLOOKUP($S52,'Performance Pivot'!$AZ:$BM,2,0))</f>
        <v>0.22061384116252888</v>
      </c>
      <c r="U52" s="70">
        <f>IF(VLOOKUP($S52,'Performance Pivot'!$AZ:$BM,3,0)="","",VLOOKUP($S52,'Performance Pivot'!$AZ:$BM,3,0))</f>
        <v>0.19816911841480964</v>
      </c>
      <c r="V52" s="70">
        <f>IF(VLOOKUP($S52,'Performance Pivot'!$AZ:$BM,4,0)="","",VLOOKUP($S52,'Performance Pivot'!$AZ:$BM,4,0))</f>
        <v>0.13427046482151753</v>
      </c>
      <c r="W52" s="70">
        <f>IF(VLOOKUP($S52,'Performance Pivot'!$AZ:$BM,5,0)="","",VLOOKUP($S52,'Performance Pivot'!$AZ:$BM,5,0))</f>
        <v>0.16185182924521538</v>
      </c>
      <c r="X52" s="70" t="str">
        <f>IF(VLOOKUP($S52,'Performance Pivot'!$AZ:$BM,6,0)="","",VLOOKUP($S52,'Performance Pivot'!$AZ:$BM,6,0))</f>
        <v/>
      </c>
      <c r="Y52" s="70" t="str">
        <f>IF(VLOOKUP($S52,'Performance Pivot'!$AZ:$BM,7,0)="","",VLOOKUP($S52,'Performance Pivot'!$AZ:$BM,7,0))</f>
        <v/>
      </c>
      <c r="Z52" s="70" t="str">
        <f>IF(VLOOKUP($S52,'Performance Pivot'!$AZ:$BM,8,0)="","",VLOOKUP($S52,'Performance Pivot'!$AZ:$BM,8,0))</f>
        <v/>
      </c>
      <c r="AA52" s="70" t="str">
        <f>IF(VLOOKUP($S52,'Performance Pivot'!$AZ:$BM,9,0)="","",VLOOKUP($S52,'Performance Pivot'!$AZ:$BM,9,0))</f>
        <v/>
      </c>
      <c r="AB52" s="70" t="str">
        <f>IF(VLOOKUP($S52,'Performance Pivot'!$AZ:$BM,10,0)="","",VLOOKUP($S52,'Performance Pivot'!$AZ:$BM,10,0))</f>
        <v/>
      </c>
      <c r="AC52" s="70" t="str">
        <f>IF(VLOOKUP($S52,'Performance Pivot'!$AZ:$BM,11,0)="","",VLOOKUP($S52,'Performance Pivot'!$AZ:$BM,11,0))</f>
        <v/>
      </c>
      <c r="AD52" s="70" t="str">
        <f>IF(VLOOKUP($S52,'Performance Pivot'!$AZ:$BM,12,0)="","",VLOOKUP($S52,'Performance Pivot'!$AZ:$BM,12,0))</f>
        <v/>
      </c>
      <c r="AE52" s="70" t="str">
        <f>IF(VLOOKUP($S52,'Performance Pivot'!$AZ:$BM,13,0)="","",VLOOKUP($S52,'Performance Pivot'!$AZ:$BM,13,0))</f>
        <v/>
      </c>
      <c r="AF52" s="70" t="str">
        <f>IF(VLOOKUP($S52,'Performance Pivot'!$AZ:$BN,15,0)="","",VLOOKUP($S52,'Performance Pivot'!$AZ:$BN,15,0))</f>
        <v/>
      </c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</row>
    <row r="53" spans="3:45" s="71" customFormat="1" ht="21" customHeight="1">
      <c r="C53" s="68">
        <f t="shared" si="20"/>
        <v>41760</v>
      </c>
      <c r="D53" s="70">
        <f>IF(VLOOKUP($C53,'Performance Pivot'!$AI:$AV,2,0)="","",VLOOKUP($C53,'Performance Pivot'!$AI:$AV,2,0))</f>
        <v>0.02</v>
      </c>
      <c r="E53" s="70">
        <f>IF(VLOOKUP($C53,'Performance Pivot'!$AI:$AV,3,0)="","",VLOOKUP($C53,'Performance Pivot'!$AI:$AV,3,0))</f>
        <v>0</v>
      </c>
      <c r="F53" s="70">
        <f>IF(VLOOKUP($C53,'Performance Pivot'!$AI:$AV,4,0)="","",VLOOKUP($C53,'Performance Pivot'!$AI:$AV,4,0))</f>
        <v>0</v>
      </c>
      <c r="G53" s="70">
        <f>IF(VLOOKUP($C53,'Performance Pivot'!$AI:$AV,5,0)="","",VLOOKUP($C53,'Performance Pivot'!$AI:$AV,5,0))</f>
        <v>0</v>
      </c>
      <c r="H53" s="70" t="str">
        <f>IF(VLOOKUP($C53,'Performance Pivot'!$AI:$AV,6,0)="","",VLOOKUP($C53,'Performance Pivot'!$AI:$AV,6,0))</f>
        <v/>
      </c>
      <c r="I53" s="70" t="str">
        <f>IF(VLOOKUP($C53,'Performance Pivot'!$AI:$AV,7,0)="","",VLOOKUP($C53,'Performance Pivot'!$AI:$AV,7,0))</f>
        <v/>
      </c>
      <c r="J53" s="70" t="str">
        <f>IF(VLOOKUP($C53,'Performance Pivot'!$AI:$AV,8,0)="","",VLOOKUP($C53,'Performance Pivot'!$AI:$AV,8,0))</f>
        <v/>
      </c>
      <c r="K53" s="70" t="str">
        <f>IF(VLOOKUP($C53,'Performance Pivot'!$AI:$AV,9,0)="","",VLOOKUP($C53,'Performance Pivot'!$AI:$AV,9,0))</f>
        <v/>
      </c>
      <c r="L53" s="70" t="str">
        <f>IF(VLOOKUP($C53,'Performance Pivot'!$AI:$AV,10,0)="","",VLOOKUP($C53,'Performance Pivot'!$AI:$AV,10,0))</f>
        <v/>
      </c>
      <c r="M53" s="70" t="str">
        <f>IF(VLOOKUP($C53,'Performance Pivot'!$AI:$AV,11,0)="","",VLOOKUP($C53,'Performance Pivot'!$AI:$AV,11,0))</f>
        <v/>
      </c>
      <c r="N53" s="70" t="str">
        <f>IF(VLOOKUP($C53,'Performance Pivot'!$AI:$AV,12,0)="","",VLOOKUP($C53,'Performance Pivot'!$AI:$AV,12,0))</f>
        <v/>
      </c>
      <c r="O53" s="70"/>
      <c r="P53" s="70" t="str">
        <f>IF(VLOOKUP($C53,'Performance Pivot'!$AI:$AW,15,0)="","",VLOOKUP($C53,'Performance Pivot'!$AI:$AW,15,0))</f>
        <v/>
      </c>
      <c r="Q53" s="52"/>
      <c r="R53" s="52"/>
      <c r="S53" s="89">
        <f t="shared" si="21"/>
        <v>41760</v>
      </c>
      <c r="T53" s="70">
        <f>IF(VLOOKUP($S53,'Performance Pivot'!$AZ:$BM,2,0)="","",VLOOKUP($S53,'Performance Pivot'!$AZ:$BM,2,0))</f>
        <v>0.21459917379358298</v>
      </c>
      <c r="U53" s="70">
        <f>IF(VLOOKUP($S53,'Performance Pivot'!$AZ:$BM,3,0)="","",VLOOKUP($S53,'Performance Pivot'!$AZ:$BM,3,0))</f>
        <v>0.24657220126471022</v>
      </c>
      <c r="V53" s="70">
        <f>IF(VLOOKUP($S53,'Performance Pivot'!$AZ:$BM,4,0)="","",VLOOKUP($S53,'Performance Pivot'!$AZ:$BM,4,0))</f>
        <v>0.18740335147015857</v>
      </c>
      <c r="W53" s="70">
        <f>IF(VLOOKUP($S53,'Performance Pivot'!$AZ:$BM,5,0)="","",VLOOKUP($S53,'Performance Pivot'!$AZ:$BM,5,0))</f>
        <v>0.20520279264644578</v>
      </c>
      <c r="X53" s="70" t="str">
        <f>IF(VLOOKUP($S53,'Performance Pivot'!$AZ:$BM,6,0)="","",VLOOKUP($S53,'Performance Pivot'!$AZ:$BM,6,0))</f>
        <v/>
      </c>
      <c r="Y53" s="70" t="str">
        <f>IF(VLOOKUP($S53,'Performance Pivot'!$AZ:$BM,7,0)="","",VLOOKUP($S53,'Performance Pivot'!$AZ:$BM,7,0))</f>
        <v/>
      </c>
      <c r="Z53" s="70" t="str">
        <f>IF(VLOOKUP($S53,'Performance Pivot'!$AZ:$BM,8,0)="","",VLOOKUP($S53,'Performance Pivot'!$AZ:$BM,8,0))</f>
        <v/>
      </c>
      <c r="AA53" s="70" t="str">
        <f>IF(VLOOKUP($S53,'Performance Pivot'!$AZ:$BM,9,0)="","",VLOOKUP($S53,'Performance Pivot'!$AZ:$BM,9,0))</f>
        <v/>
      </c>
      <c r="AB53" s="70" t="str">
        <f>IF(VLOOKUP($S53,'Performance Pivot'!$AZ:$BM,10,0)="","",VLOOKUP($S53,'Performance Pivot'!$AZ:$BM,10,0))</f>
        <v/>
      </c>
      <c r="AC53" s="70" t="str">
        <f>IF(VLOOKUP($S53,'Performance Pivot'!$AZ:$BM,11,0)="","",VLOOKUP($S53,'Performance Pivot'!$AZ:$BM,11,0))</f>
        <v/>
      </c>
      <c r="AD53" s="70" t="str">
        <f>IF(VLOOKUP($S53,'Performance Pivot'!$AZ:$BM,12,0)="","",VLOOKUP($S53,'Performance Pivot'!$AZ:$BM,12,0))</f>
        <v/>
      </c>
      <c r="AE53" s="70" t="str">
        <f>IF(VLOOKUP($S53,'Performance Pivot'!$AZ:$BM,13,0)="","",VLOOKUP($S53,'Performance Pivot'!$AZ:$BM,13,0))</f>
        <v/>
      </c>
      <c r="AF53" s="70" t="str">
        <f>IF(VLOOKUP($S53,'Performance Pivot'!$AZ:$BN,15,0)="","",VLOOKUP($S53,'Performance Pivot'!$AZ:$BN,15,0))</f>
        <v/>
      </c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</row>
    <row r="54" spans="3:45" s="71" customFormat="1" ht="21" customHeight="1">
      <c r="C54" s="68">
        <f t="shared" si="20"/>
        <v>41791</v>
      </c>
      <c r="D54" s="70">
        <f>IF(VLOOKUP($C54,'Performance Pivot'!$AI:$AV,2,0)="","",VLOOKUP($C54,'Performance Pivot'!$AI:$AV,2,0))</f>
        <v>0.03</v>
      </c>
      <c r="E54" s="70">
        <f>IF(VLOOKUP($C54,'Performance Pivot'!$AI:$AV,3,0)="","",VLOOKUP($C54,'Performance Pivot'!$AI:$AV,3,0))</f>
        <v>0</v>
      </c>
      <c r="F54" s="70">
        <f>IF(VLOOKUP($C54,'Performance Pivot'!$AI:$AV,4,0)="","",VLOOKUP($C54,'Performance Pivot'!$AI:$AV,4,0))</f>
        <v>0</v>
      </c>
      <c r="G54" s="70">
        <f>IF(VLOOKUP($C54,'Performance Pivot'!$AI:$AV,5,0)="","",VLOOKUP($C54,'Performance Pivot'!$AI:$AV,5,0))</f>
        <v>0</v>
      </c>
      <c r="H54" s="70">
        <f>IF(VLOOKUP($C54,'Performance Pivot'!$AI:$AV,6,0)="","",VLOOKUP($C54,'Performance Pivot'!$AI:$AV,6,0))</f>
        <v>0</v>
      </c>
      <c r="I54" s="70">
        <f>IF(VLOOKUP($C54,'Performance Pivot'!$AI:$AV,7,0)="","",VLOOKUP($C54,'Performance Pivot'!$AI:$AV,7,0))</f>
        <v>0</v>
      </c>
      <c r="J54" s="70" t="str">
        <f>IF(VLOOKUP($C54,'Performance Pivot'!$AI:$AV,8,0)="","",VLOOKUP($C54,'Performance Pivot'!$AI:$AV,8,0))</f>
        <v/>
      </c>
      <c r="K54" s="70" t="str">
        <f>IF(VLOOKUP($C54,'Performance Pivot'!$AI:$AV,9,0)="","",VLOOKUP($C54,'Performance Pivot'!$AI:$AV,9,0))</f>
        <v/>
      </c>
      <c r="L54" s="70" t="str">
        <f>IF(VLOOKUP($C54,'Performance Pivot'!$AI:$AV,10,0)="","",VLOOKUP($C54,'Performance Pivot'!$AI:$AV,10,0))</f>
        <v/>
      </c>
      <c r="M54" s="70" t="str">
        <f>IF(VLOOKUP($C54,'Performance Pivot'!$AI:$AV,11,0)="","",VLOOKUP($C54,'Performance Pivot'!$AI:$AV,11,0))</f>
        <v/>
      </c>
      <c r="N54" s="70" t="str">
        <f>IF(VLOOKUP($C54,'Performance Pivot'!$AI:$AV,12,0)="","",VLOOKUP($C54,'Performance Pivot'!$AI:$AV,12,0))</f>
        <v/>
      </c>
      <c r="O54" s="70"/>
      <c r="P54" s="70" t="str">
        <f>IF(VLOOKUP($C54,'Performance Pivot'!$AI:$AW,15,0)="","",VLOOKUP($C54,'Performance Pivot'!$AI:$AW,15,0))</f>
        <v/>
      </c>
      <c r="Q54" s="52"/>
      <c r="R54" s="52"/>
      <c r="S54" s="89">
        <f t="shared" si="21"/>
        <v>41791</v>
      </c>
      <c r="T54" s="70">
        <f>IF(VLOOKUP($S54,'Performance Pivot'!$AZ:$BM,2,0)="","",VLOOKUP($S54,'Performance Pivot'!$AZ:$BM,2,0))</f>
        <v>0.26950207659129533</v>
      </c>
      <c r="U54" s="70">
        <f>IF(VLOOKUP($S54,'Performance Pivot'!$AZ:$BM,3,0)="","",VLOOKUP($S54,'Performance Pivot'!$AZ:$BM,3,0))</f>
        <v>0.25690822680281128</v>
      </c>
      <c r="V54" s="70">
        <f>IF(VLOOKUP($S54,'Performance Pivot'!$AZ:$BM,4,0)="","",VLOOKUP($S54,'Performance Pivot'!$AZ:$BM,4,0))</f>
        <v>0.20110733018964366</v>
      </c>
      <c r="W54" s="70">
        <f>IF(VLOOKUP($S54,'Performance Pivot'!$AZ:$BM,5,0)="","",VLOOKUP($S54,'Performance Pivot'!$AZ:$BM,5,0))</f>
        <v>0.25308105873638803</v>
      </c>
      <c r="X54" s="70">
        <f>IF(VLOOKUP($S54,'Performance Pivot'!$AZ:$BM,6,0)="","",VLOOKUP($S54,'Performance Pivot'!$AZ:$BM,6,0))</f>
        <v>0.13289279483144439</v>
      </c>
      <c r="Y54" s="70">
        <f>IF(VLOOKUP($S54,'Performance Pivot'!$AZ:$BM,7,0)="","",VLOOKUP($S54,'Performance Pivot'!$AZ:$BM,7,0))</f>
        <v>0.2027803955243544</v>
      </c>
      <c r="Z54" s="70" t="str">
        <f>IF(VLOOKUP($S54,'Performance Pivot'!$AZ:$BM,8,0)="","",VLOOKUP($S54,'Performance Pivot'!$AZ:$BM,8,0))</f>
        <v/>
      </c>
      <c r="AA54" s="70" t="str">
        <f>IF(VLOOKUP($S54,'Performance Pivot'!$AZ:$BM,9,0)="","",VLOOKUP($S54,'Performance Pivot'!$AZ:$BM,9,0))</f>
        <v/>
      </c>
      <c r="AB54" s="70" t="str">
        <f>IF(VLOOKUP($S54,'Performance Pivot'!$AZ:$BM,10,0)="","",VLOOKUP($S54,'Performance Pivot'!$AZ:$BM,10,0))</f>
        <v/>
      </c>
      <c r="AC54" s="70" t="str">
        <f>IF(VLOOKUP($S54,'Performance Pivot'!$AZ:$BM,11,0)="","",VLOOKUP($S54,'Performance Pivot'!$AZ:$BM,11,0))</f>
        <v/>
      </c>
      <c r="AD54" s="70" t="str">
        <f>IF(VLOOKUP($S54,'Performance Pivot'!$AZ:$BM,12,0)="","",VLOOKUP($S54,'Performance Pivot'!$AZ:$BM,12,0))</f>
        <v/>
      </c>
      <c r="AE54" s="70" t="str">
        <f>IF(VLOOKUP($S54,'Performance Pivot'!$AZ:$BM,13,0)="","",VLOOKUP($S54,'Performance Pivot'!$AZ:$BM,13,0))</f>
        <v/>
      </c>
      <c r="AF54" s="70" t="str">
        <f>IF(VLOOKUP($S54,'Performance Pivot'!$AZ:$BN,15,0)="","",VLOOKUP($S54,'Performance Pivot'!$AZ:$BN,15,0))</f>
        <v/>
      </c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</row>
    <row r="55" spans="3:45" s="71" customFormat="1" ht="21" customHeight="1">
      <c r="C55" s="68">
        <f t="shared" si="20"/>
        <v>41821</v>
      </c>
      <c r="D55" s="70">
        <f>IF(VLOOKUP($C55,'Performance Pivot'!$AI:$AV,2,0)="","",VLOOKUP($C55,'Performance Pivot'!$AI:$AV,2,0))</f>
        <v>0.04</v>
      </c>
      <c r="E55" s="70">
        <f>IF(VLOOKUP($C55,'Performance Pivot'!$AI:$AV,3,0)="","",VLOOKUP($C55,'Performance Pivot'!$AI:$AV,3,0))</f>
        <v>0.01</v>
      </c>
      <c r="F55" s="70">
        <f>IF(VLOOKUP($C55,'Performance Pivot'!$AI:$AV,4,0)="","",VLOOKUP($C55,'Performance Pivot'!$AI:$AV,4,0))</f>
        <v>0</v>
      </c>
      <c r="G55" s="70">
        <f>IF(VLOOKUP($C55,'Performance Pivot'!$AI:$AV,5,0)="","",VLOOKUP($C55,'Performance Pivot'!$AI:$AV,5,0))</f>
        <v>0</v>
      </c>
      <c r="H55" s="70">
        <f>IF(VLOOKUP($C55,'Performance Pivot'!$AI:$AV,6,0)="","",VLOOKUP($C55,'Performance Pivot'!$AI:$AV,6,0))</f>
        <v>0</v>
      </c>
      <c r="I55" s="70">
        <f>IF(VLOOKUP($C55,'Performance Pivot'!$AI:$AV,7,0)="","",VLOOKUP($C55,'Performance Pivot'!$AI:$AV,7,0))</f>
        <v>0</v>
      </c>
      <c r="J55" s="70" t="str">
        <f>IF(VLOOKUP($C55,'Performance Pivot'!$AI:$AV,8,0)="","",VLOOKUP($C55,'Performance Pivot'!$AI:$AV,8,0))</f>
        <v/>
      </c>
      <c r="K55" s="70" t="str">
        <f>IF(VLOOKUP($C55,'Performance Pivot'!$AI:$AV,9,0)="","",VLOOKUP($C55,'Performance Pivot'!$AI:$AV,9,0))</f>
        <v/>
      </c>
      <c r="L55" s="70" t="str">
        <f>IF(VLOOKUP($C55,'Performance Pivot'!$AI:$AV,10,0)="","",VLOOKUP($C55,'Performance Pivot'!$AI:$AV,10,0))</f>
        <v/>
      </c>
      <c r="M55" s="70" t="str">
        <f>IF(VLOOKUP($C55,'Performance Pivot'!$AI:$AV,11,0)="","",VLOOKUP($C55,'Performance Pivot'!$AI:$AV,11,0))</f>
        <v/>
      </c>
      <c r="N55" s="70" t="str">
        <f>IF(VLOOKUP($C55,'Performance Pivot'!$AI:$AV,12,0)="","",VLOOKUP($C55,'Performance Pivot'!$AI:$AV,12,0))</f>
        <v/>
      </c>
      <c r="O55" s="70"/>
      <c r="P55" s="70" t="str">
        <f>IF(VLOOKUP($C55,'Performance Pivot'!$AI:$AW,15,0)="","",VLOOKUP($C55,'Performance Pivot'!$AI:$AW,15,0))</f>
        <v/>
      </c>
      <c r="Q55" s="52"/>
      <c r="R55" s="52"/>
      <c r="S55" s="89">
        <f t="shared" si="21"/>
        <v>41821</v>
      </c>
      <c r="T55" s="70">
        <f>IF(VLOOKUP($S55,'Performance Pivot'!$AZ:$BM,2,0)="","",VLOOKUP($S55,'Performance Pivot'!$AZ:$BM,2,0))</f>
        <v>0.23430323611217901</v>
      </c>
      <c r="U55" s="70">
        <f>IF(VLOOKUP($S55,'Performance Pivot'!$AZ:$BM,3,0)="","",VLOOKUP($S55,'Performance Pivot'!$AZ:$BM,3,0))</f>
        <v>0.21614929062244967</v>
      </c>
      <c r="V55" s="70">
        <f>IF(VLOOKUP($S55,'Performance Pivot'!$AZ:$BM,4,0)="","",VLOOKUP($S55,'Performance Pivot'!$AZ:$BM,4,0))</f>
        <v>0.19490345007900819</v>
      </c>
      <c r="W55" s="70">
        <f>IF(VLOOKUP($S55,'Performance Pivot'!$AZ:$BM,5,0)="","",VLOOKUP($S55,'Performance Pivot'!$AZ:$BM,5,0))</f>
        <v>0.25368214160399072</v>
      </c>
      <c r="X55" s="70">
        <f>IF(VLOOKUP($S55,'Performance Pivot'!$AZ:$BM,6,0)="","",VLOOKUP($S55,'Performance Pivot'!$AZ:$BM,6,0))</f>
        <v>0.18344617966454774</v>
      </c>
      <c r="Y55" s="70">
        <f>IF(VLOOKUP($S55,'Performance Pivot'!$AZ:$BM,7,0)="","",VLOOKUP($S55,'Performance Pivot'!$AZ:$BM,7,0))</f>
        <v>0.23465651658566869</v>
      </c>
      <c r="Z55" s="70" t="str">
        <f>IF(VLOOKUP($S55,'Performance Pivot'!$AZ:$BM,8,0)="","",VLOOKUP($S55,'Performance Pivot'!$AZ:$BM,8,0))</f>
        <v/>
      </c>
      <c r="AA55" s="70" t="str">
        <f>IF(VLOOKUP($S55,'Performance Pivot'!$AZ:$BM,9,0)="","",VLOOKUP($S55,'Performance Pivot'!$AZ:$BM,9,0))</f>
        <v/>
      </c>
      <c r="AB55" s="70" t="str">
        <f>IF(VLOOKUP($S55,'Performance Pivot'!$AZ:$BM,10,0)="","",VLOOKUP($S55,'Performance Pivot'!$AZ:$BM,10,0))</f>
        <v/>
      </c>
      <c r="AC55" s="70" t="str">
        <f>IF(VLOOKUP($S55,'Performance Pivot'!$AZ:$BM,11,0)="","",VLOOKUP($S55,'Performance Pivot'!$AZ:$BM,11,0))</f>
        <v/>
      </c>
      <c r="AD55" s="70" t="str">
        <f>IF(VLOOKUP($S55,'Performance Pivot'!$AZ:$BM,12,0)="","",VLOOKUP($S55,'Performance Pivot'!$AZ:$BM,12,0))</f>
        <v/>
      </c>
      <c r="AE55" s="70" t="str">
        <f>IF(VLOOKUP($S55,'Performance Pivot'!$AZ:$BM,13,0)="","",VLOOKUP($S55,'Performance Pivot'!$AZ:$BM,13,0))</f>
        <v/>
      </c>
      <c r="AF55" s="70" t="str">
        <f>IF(VLOOKUP($S55,'Performance Pivot'!$AZ:$BN,15,0)="","",VLOOKUP($S55,'Performance Pivot'!$AZ:$BN,15,0))</f>
        <v/>
      </c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</row>
    <row r="56" spans="3:45" s="71" customFormat="1" ht="21" customHeight="1">
      <c r="C56" s="68">
        <f t="shared" si="20"/>
        <v>41852</v>
      </c>
      <c r="D56" s="70">
        <f>IF(VLOOKUP($C56,'Performance Pivot'!$AI:$AV,2,0)="","",VLOOKUP($C56,'Performance Pivot'!$AI:$AV,2,0))</f>
        <v>0.05</v>
      </c>
      <c r="E56" s="70">
        <f>IF(VLOOKUP($C56,'Performance Pivot'!$AI:$AV,3,0)="","",VLOOKUP($C56,'Performance Pivot'!$AI:$AV,3,0))</f>
        <v>0.01</v>
      </c>
      <c r="F56" s="70">
        <f>IF(VLOOKUP($C56,'Performance Pivot'!$AI:$AV,4,0)="","",VLOOKUP($C56,'Performance Pivot'!$AI:$AV,4,0))</f>
        <v>0</v>
      </c>
      <c r="G56" s="70">
        <f>IF(VLOOKUP($C56,'Performance Pivot'!$AI:$AV,5,0)="","",VLOOKUP($C56,'Performance Pivot'!$AI:$AV,5,0))</f>
        <v>0</v>
      </c>
      <c r="H56" s="70">
        <f>IF(VLOOKUP($C56,'Performance Pivot'!$AI:$AV,6,0)="","",VLOOKUP($C56,'Performance Pivot'!$AI:$AV,6,0))</f>
        <v>0</v>
      </c>
      <c r="I56" s="70">
        <f>IF(VLOOKUP($C56,'Performance Pivot'!$AI:$AV,7,0)="","",VLOOKUP($C56,'Performance Pivot'!$AI:$AV,7,0))</f>
        <v>0</v>
      </c>
      <c r="J56" s="70" t="str">
        <f>IF(VLOOKUP($C56,'Performance Pivot'!$AI:$AV,8,0)="","",VLOOKUP($C56,'Performance Pivot'!$AI:$AV,8,0))</f>
        <v/>
      </c>
      <c r="K56" s="70" t="str">
        <f>IF(VLOOKUP($C56,'Performance Pivot'!$AI:$AV,9,0)="","",VLOOKUP($C56,'Performance Pivot'!$AI:$AV,9,0))</f>
        <v/>
      </c>
      <c r="L56" s="70" t="str">
        <f>IF(VLOOKUP($C56,'Performance Pivot'!$AI:$AV,10,0)="","",VLOOKUP($C56,'Performance Pivot'!$AI:$AV,10,0))</f>
        <v/>
      </c>
      <c r="M56" s="70" t="str">
        <f>IF(VLOOKUP($C56,'Performance Pivot'!$AI:$AV,11,0)="","",VLOOKUP($C56,'Performance Pivot'!$AI:$AV,11,0))</f>
        <v/>
      </c>
      <c r="N56" s="70" t="str">
        <f>IF(VLOOKUP($C56,'Performance Pivot'!$AI:$AV,12,0)="","",VLOOKUP($C56,'Performance Pivot'!$AI:$AV,12,0))</f>
        <v/>
      </c>
      <c r="O56" s="70"/>
      <c r="P56" s="70" t="str">
        <f>IF(VLOOKUP($C56,'Performance Pivot'!$AI:$AW,15,0)="","",VLOOKUP($C56,'Performance Pivot'!$AI:$AW,15,0))</f>
        <v/>
      </c>
      <c r="Q56" s="52"/>
      <c r="R56" s="52"/>
      <c r="S56" s="89">
        <f t="shared" si="21"/>
        <v>41852</v>
      </c>
      <c r="T56" s="70">
        <f>IF(VLOOKUP($S56,'Performance Pivot'!$AZ:$BM,2,0)="","",VLOOKUP($S56,'Performance Pivot'!$AZ:$BM,2,0))</f>
        <v>0.32157919259221707</v>
      </c>
      <c r="U56" s="70">
        <f>IF(VLOOKUP($S56,'Performance Pivot'!$AZ:$BM,3,0)="","",VLOOKUP($S56,'Performance Pivot'!$AZ:$BM,3,0))</f>
        <v>0.25245635138085576</v>
      </c>
      <c r="V56" s="70">
        <f>IF(VLOOKUP($S56,'Performance Pivot'!$AZ:$BM,4,0)="","",VLOOKUP($S56,'Performance Pivot'!$AZ:$BM,4,0))</f>
        <v>0.21721218690018185</v>
      </c>
      <c r="W56" s="70">
        <f>IF(VLOOKUP($S56,'Performance Pivot'!$AZ:$BM,5,0)="","",VLOOKUP($S56,'Performance Pivot'!$AZ:$BM,5,0))</f>
        <v>0.37599228880956764</v>
      </c>
      <c r="X56" s="70">
        <f>IF(VLOOKUP($S56,'Performance Pivot'!$AZ:$BM,6,0)="","",VLOOKUP($S56,'Performance Pivot'!$AZ:$BM,6,0))</f>
        <v>0.2460423350199375</v>
      </c>
      <c r="Y56" s="70">
        <f>IF(VLOOKUP($S56,'Performance Pivot'!$AZ:$BM,7,0)="","",VLOOKUP($S56,'Performance Pivot'!$AZ:$BM,7,0))</f>
        <v>0.3163206766235297</v>
      </c>
      <c r="Z56" s="70" t="str">
        <f>IF(VLOOKUP($S56,'Performance Pivot'!$AZ:$BM,8,0)="","",VLOOKUP($S56,'Performance Pivot'!$AZ:$BM,8,0))</f>
        <v/>
      </c>
      <c r="AA56" s="70" t="str">
        <f>IF(VLOOKUP($S56,'Performance Pivot'!$AZ:$BM,9,0)="","",VLOOKUP($S56,'Performance Pivot'!$AZ:$BM,9,0))</f>
        <v/>
      </c>
      <c r="AB56" s="70" t="str">
        <f>IF(VLOOKUP($S56,'Performance Pivot'!$AZ:$BM,10,0)="","",VLOOKUP($S56,'Performance Pivot'!$AZ:$BM,10,0))</f>
        <v/>
      </c>
      <c r="AC56" s="70" t="str">
        <f>IF(VLOOKUP($S56,'Performance Pivot'!$AZ:$BM,11,0)="","",VLOOKUP($S56,'Performance Pivot'!$AZ:$BM,11,0))</f>
        <v/>
      </c>
      <c r="AD56" s="70" t="str">
        <f>IF(VLOOKUP($S56,'Performance Pivot'!$AZ:$BM,12,0)="","",VLOOKUP($S56,'Performance Pivot'!$AZ:$BM,12,0))</f>
        <v/>
      </c>
      <c r="AE56" s="70" t="str">
        <f>IF(VLOOKUP($S56,'Performance Pivot'!$AZ:$BM,13,0)="","",VLOOKUP($S56,'Performance Pivot'!$AZ:$BM,13,0))</f>
        <v/>
      </c>
      <c r="AF56" s="70" t="str">
        <f>IF(VLOOKUP($S56,'Performance Pivot'!$AZ:$BN,15,0)="","",VLOOKUP($S56,'Performance Pivot'!$AZ:$BN,15,0))</f>
        <v/>
      </c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</row>
    <row r="57" spans="3:45" s="71" customFormat="1" ht="21" customHeight="1">
      <c r="C57" s="68">
        <f t="shared" si="20"/>
        <v>41883</v>
      </c>
      <c r="D57" s="70">
        <f>IF(VLOOKUP($C57,'Performance Pivot'!$AI:$AV,2,0)="","",VLOOKUP($C57,'Performance Pivot'!$AI:$AV,2,0))</f>
        <v>0.06</v>
      </c>
      <c r="E57" s="70">
        <f>IF(VLOOKUP($C57,'Performance Pivot'!$AI:$AV,3,0)="","",VLOOKUP($C57,'Performance Pivot'!$AI:$AV,3,0))</f>
        <v>0.02</v>
      </c>
      <c r="F57" s="70">
        <f>IF(VLOOKUP($C57,'Performance Pivot'!$AI:$AV,4,0)="","",VLOOKUP($C57,'Performance Pivot'!$AI:$AV,4,0))</f>
        <v>0</v>
      </c>
      <c r="G57" s="70">
        <f>IF(VLOOKUP($C57,'Performance Pivot'!$AI:$AV,5,0)="","",VLOOKUP($C57,'Performance Pivot'!$AI:$AV,5,0))</f>
        <v>0.01</v>
      </c>
      <c r="H57" s="70">
        <f>IF(VLOOKUP($C57,'Performance Pivot'!$AI:$AV,6,0)="","",VLOOKUP($C57,'Performance Pivot'!$AI:$AV,6,0))</f>
        <v>0</v>
      </c>
      <c r="I57" s="70">
        <f>IF(VLOOKUP($C57,'Performance Pivot'!$AI:$AV,7,0)="","",VLOOKUP($C57,'Performance Pivot'!$AI:$AV,7,0))</f>
        <v>0</v>
      </c>
      <c r="J57" s="70" t="str">
        <f>IF(VLOOKUP($C57,'Performance Pivot'!$AI:$AV,8,0)="","",VLOOKUP($C57,'Performance Pivot'!$AI:$AV,8,0))</f>
        <v/>
      </c>
      <c r="K57" s="70" t="str">
        <f>IF(VLOOKUP($C57,'Performance Pivot'!$AI:$AV,9,0)="","",VLOOKUP($C57,'Performance Pivot'!$AI:$AV,9,0))</f>
        <v/>
      </c>
      <c r="L57" s="70" t="str">
        <f>IF(VLOOKUP($C57,'Performance Pivot'!$AI:$AV,10,0)="","",VLOOKUP($C57,'Performance Pivot'!$AI:$AV,10,0))</f>
        <v/>
      </c>
      <c r="M57" s="70" t="str">
        <f>IF(VLOOKUP($C57,'Performance Pivot'!$AI:$AV,11,0)="","",VLOOKUP($C57,'Performance Pivot'!$AI:$AV,11,0))</f>
        <v/>
      </c>
      <c r="N57" s="70" t="str">
        <f>IF(VLOOKUP($C57,'Performance Pivot'!$AI:$AV,12,0)="","",VLOOKUP($C57,'Performance Pivot'!$AI:$AV,12,0))</f>
        <v/>
      </c>
      <c r="O57" s="70"/>
      <c r="P57" s="70" t="str">
        <f>IF(VLOOKUP($C57,'Performance Pivot'!$AI:$AW,15,0)="","",VLOOKUP($C57,'Performance Pivot'!$AI:$AW,15,0))</f>
        <v/>
      </c>
      <c r="Q57" s="52"/>
      <c r="R57" s="52"/>
      <c r="S57" s="89">
        <f t="shared" si="21"/>
        <v>41883</v>
      </c>
      <c r="T57" s="70">
        <f>IF(VLOOKUP($S57,'Performance Pivot'!$AZ:$BM,2,0)="","",VLOOKUP($S57,'Performance Pivot'!$AZ:$BM,2,0))</f>
        <v>0.28278845427416727</v>
      </c>
      <c r="U57" s="70">
        <f>IF(VLOOKUP($S57,'Performance Pivot'!$AZ:$BM,3,0)="","",VLOOKUP($S57,'Performance Pivot'!$AZ:$BM,3,0))</f>
        <v>0.23099968392945874</v>
      </c>
      <c r="V57" s="70">
        <f>IF(VLOOKUP($S57,'Performance Pivot'!$AZ:$BM,4,0)="","",VLOOKUP($S57,'Performance Pivot'!$AZ:$BM,4,0))</f>
        <v>0.18638694824282354</v>
      </c>
      <c r="W57" s="70">
        <f>IF(VLOOKUP($S57,'Performance Pivot'!$AZ:$BM,5,0)="","",VLOOKUP($S57,'Performance Pivot'!$AZ:$BM,5,0))</f>
        <v>0.23359019107266807</v>
      </c>
      <c r="X57" s="70">
        <f>IF(VLOOKUP($S57,'Performance Pivot'!$AZ:$BM,6,0)="","",VLOOKUP($S57,'Performance Pivot'!$AZ:$BM,6,0))</f>
        <v>0.21563889839087419</v>
      </c>
      <c r="Y57" s="70">
        <f>IF(VLOOKUP($S57,'Performance Pivot'!$AZ:$BM,7,0)="","",VLOOKUP($S57,'Performance Pivot'!$AZ:$BM,7,0))</f>
        <v>0.2853668728797733</v>
      </c>
      <c r="Z57" s="70" t="str">
        <f>IF(VLOOKUP($S57,'Performance Pivot'!$AZ:$BM,8,0)="","",VLOOKUP($S57,'Performance Pivot'!$AZ:$BM,8,0))</f>
        <v/>
      </c>
      <c r="AA57" s="70" t="str">
        <f>IF(VLOOKUP($S57,'Performance Pivot'!$AZ:$BM,9,0)="","",VLOOKUP($S57,'Performance Pivot'!$AZ:$BM,9,0))</f>
        <v/>
      </c>
      <c r="AB57" s="70" t="str">
        <f>IF(VLOOKUP($S57,'Performance Pivot'!$AZ:$BM,10,0)="","",VLOOKUP($S57,'Performance Pivot'!$AZ:$BM,10,0))</f>
        <v/>
      </c>
      <c r="AC57" s="70" t="str">
        <f>IF(VLOOKUP($S57,'Performance Pivot'!$AZ:$BM,11,0)="","",VLOOKUP($S57,'Performance Pivot'!$AZ:$BM,11,0))</f>
        <v/>
      </c>
      <c r="AD57" s="70" t="str">
        <f>IF(VLOOKUP($S57,'Performance Pivot'!$AZ:$BM,12,0)="","",VLOOKUP($S57,'Performance Pivot'!$AZ:$BM,12,0))</f>
        <v/>
      </c>
      <c r="AE57" s="70" t="str">
        <f>IF(VLOOKUP($S57,'Performance Pivot'!$AZ:$BM,13,0)="","",VLOOKUP($S57,'Performance Pivot'!$AZ:$BM,13,0))</f>
        <v/>
      </c>
      <c r="AF57" s="70" t="str">
        <f>IF(VLOOKUP($S57,'Performance Pivot'!$AZ:$BN,15,0)="","",VLOOKUP($S57,'Performance Pivot'!$AZ:$BN,15,0))</f>
        <v/>
      </c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</row>
    <row r="58" spans="3:45" s="71" customFormat="1" ht="21" customHeight="1">
      <c r="C58" s="68">
        <f t="shared" si="20"/>
        <v>41913</v>
      </c>
      <c r="D58" s="70">
        <f>IF(VLOOKUP($C58,'Performance Pivot'!$AI:$AV,2,0)="","",VLOOKUP($C58,'Performance Pivot'!$AI:$AV,2,0))</f>
        <v>6.9999999999999993E-2</v>
      </c>
      <c r="E58" s="70">
        <f>IF(VLOOKUP($C58,'Performance Pivot'!$AI:$AV,3,0)="","",VLOOKUP($C58,'Performance Pivot'!$AI:$AV,3,0))</f>
        <v>0.03</v>
      </c>
      <c r="F58" s="70">
        <f>IF(VLOOKUP($C58,'Performance Pivot'!$AI:$AV,4,0)="","",VLOOKUP($C58,'Performance Pivot'!$AI:$AV,4,0))</f>
        <v>0</v>
      </c>
      <c r="G58" s="70">
        <f>IF(VLOOKUP($C58,'Performance Pivot'!$AI:$AV,5,0)="","",VLOOKUP($C58,'Performance Pivot'!$AI:$AV,5,0))</f>
        <v>0.01</v>
      </c>
      <c r="H58" s="70">
        <f>IF(VLOOKUP($C58,'Performance Pivot'!$AI:$AV,6,0)="","",VLOOKUP($C58,'Performance Pivot'!$AI:$AV,6,0))</f>
        <v>0</v>
      </c>
      <c r="I58" s="70">
        <f>IF(VLOOKUP($C58,'Performance Pivot'!$AI:$AV,7,0)="","",VLOOKUP($C58,'Performance Pivot'!$AI:$AV,7,0))</f>
        <v>0</v>
      </c>
      <c r="J58" s="70" t="str">
        <f>IF(VLOOKUP($C58,'Performance Pivot'!$AI:$AV,8,0)="","",VLOOKUP($C58,'Performance Pivot'!$AI:$AV,8,0))</f>
        <v/>
      </c>
      <c r="K58" s="70" t="str">
        <f>IF(VLOOKUP($C58,'Performance Pivot'!$AI:$AV,9,0)="","",VLOOKUP($C58,'Performance Pivot'!$AI:$AV,9,0))</f>
        <v/>
      </c>
      <c r="L58" s="70" t="str">
        <f>IF(VLOOKUP($C58,'Performance Pivot'!$AI:$AV,10,0)="","",VLOOKUP($C58,'Performance Pivot'!$AI:$AV,10,0))</f>
        <v/>
      </c>
      <c r="M58" s="70" t="str">
        <f>IF(VLOOKUP($C58,'Performance Pivot'!$AI:$AV,11,0)="","",VLOOKUP($C58,'Performance Pivot'!$AI:$AV,11,0))</f>
        <v/>
      </c>
      <c r="N58" s="70" t="str">
        <f>IF(VLOOKUP($C58,'Performance Pivot'!$AI:$AV,12,0)="","",VLOOKUP($C58,'Performance Pivot'!$AI:$AV,12,0))</f>
        <v/>
      </c>
      <c r="O58" s="70"/>
      <c r="P58" s="70" t="str">
        <f>IF(VLOOKUP($C58,'Performance Pivot'!$AI:$AW,15,0)="","",VLOOKUP($C58,'Performance Pivot'!$AI:$AW,15,0))</f>
        <v/>
      </c>
      <c r="Q58" s="52"/>
      <c r="R58" s="52"/>
      <c r="S58" s="89">
        <f t="shared" si="21"/>
        <v>41913</v>
      </c>
      <c r="T58" s="70">
        <f>IF(VLOOKUP($S58,'Performance Pivot'!$AZ:$BM,2,0)="","",VLOOKUP($S58,'Performance Pivot'!$AZ:$BM,2,0))</f>
        <v>0.22772378590345332</v>
      </c>
      <c r="U58" s="70">
        <f>IF(VLOOKUP($S58,'Performance Pivot'!$AZ:$BM,3,0)="","",VLOOKUP($S58,'Performance Pivot'!$AZ:$BM,3,0))</f>
        <v>0.21630695718339418</v>
      </c>
      <c r="V58" s="70">
        <f>IF(VLOOKUP($S58,'Performance Pivot'!$AZ:$BM,4,0)="","",VLOOKUP($S58,'Performance Pivot'!$AZ:$BM,4,0))</f>
        <v>0.19366039121904219</v>
      </c>
      <c r="W58" s="70">
        <f>IF(VLOOKUP($S58,'Performance Pivot'!$AZ:$BM,5,0)="","",VLOOKUP($S58,'Performance Pivot'!$AZ:$BM,5,0))</f>
        <v>0.28481514043901485</v>
      </c>
      <c r="X58" s="70">
        <f>IF(VLOOKUP($S58,'Performance Pivot'!$AZ:$BM,6,0)="","",VLOOKUP($S58,'Performance Pivot'!$AZ:$BM,6,0))</f>
        <v>0.19359806845539854</v>
      </c>
      <c r="Y58" s="70">
        <f>IF(VLOOKUP($S58,'Performance Pivot'!$AZ:$BM,7,0)="","",VLOOKUP($S58,'Performance Pivot'!$AZ:$BM,7,0))</f>
        <v>0.28893045623585428</v>
      </c>
      <c r="Z58" s="70" t="str">
        <f>IF(VLOOKUP($S58,'Performance Pivot'!$AZ:$BM,8,0)="","",VLOOKUP($S58,'Performance Pivot'!$AZ:$BM,8,0))</f>
        <v/>
      </c>
      <c r="AA58" s="70" t="str">
        <f>IF(VLOOKUP($S58,'Performance Pivot'!$AZ:$BM,9,0)="","",VLOOKUP($S58,'Performance Pivot'!$AZ:$BM,9,0))</f>
        <v/>
      </c>
      <c r="AB58" s="70" t="str">
        <f>IF(VLOOKUP($S58,'Performance Pivot'!$AZ:$BM,10,0)="","",VLOOKUP($S58,'Performance Pivot'!$AZ:$BM,10,0))</f>
        <v/>
      </c>
      <c r="AC58" s="70" t="str">
        <f>IF(VLOOKUP($S58,'Performance Pivot'!$AZ:$BM,11,0)="","",VLOOKUP($S58,'Performance Pivot'!$AZ:$BM,11,0))</f>
        <v/>
      </c>
      <c r="AD58" s="70" t="str">
        <f>IF(VLOOKUP($S58,'Performance Pivot'!$AZ:$BM,12,0)="","",VLOOKUP($S58,'Performance Pivot'!$AZ:$BM,12,0))</f>
        <v/>
      </c>
      <c r="AE58" s="70" t="str">
        <f>IF(VLOOKUP($S58,'Performance Pivot'!$AZ:$BM,13,0)="","",VLOOKUP($S58,'Performance Pivot'!$AZ:$BM,13,0))</f>
        <v/>
      </c>
      <c r="AF58" s="70" t="str">
        <f>IF(VLOOKUP($S58,'Performance Pivot'!$AZ:$BN,15,0)="","",VLOOKUP($S58,'Performance Pivot'!$AZ:$BN,15,0))</f>
        <v/>
      </c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</row>
    <row r="59" spans="3:45" s="71" customFormat="1" ht="21" customHeight="1">
      <c r="C59" s="68">
        <f t="shared" si="20"/>
        <v>41944</v>
      </c>
      <c r="D59" s="70">
        <f>IF(VLOOKUP($C59,'Performance Pivot'!$AI:$AV,2,0)="","",VLOOKUP($C59,'Performance Pivot'!$AI:$AV,2,0))</f>
        <v>0.08</v>
      </c>
      <c r="E59" s="70">
        <f>IF(VLOOKUP($C59,'Performance Pivot'!$AI:$AV,3,0)="","",VLOOKUP($C59,'Performance Pivot'!$AI:$AV,3,0))</f>
        <v>0.04</v>
      </c>
      <c r="F59" s="70">
        <f>IF(VLOOKUP($C59,'Performance Pivot'!$AI:$AV,4,0)="","",VLOOKUP($C59,'Performance Pivot'!$AI:$AV,4,0))</f>
        <v>0.01</v>
      </c>
      <c r="G59" s="70">
        <f>IF(VLOOKUP($C59,'Performance Pivot'!$AI:$AV,5,0)="","",VLOOKUP($C59,'Performance Pivot'!$AI:$AV,5,0))</f>
        <v>0.02</v>
      </c>
      <c r="H59" s="70">
        <f>IF(VLOOKUP($C59,'Performance Pivot'!$AI:$AV,6,0)="","",VLOOKUP($C59,'Performance Pivot'!$AI:$AV,6,0))</f>
        <v>0</v>
      </c>
      <c r="I59" s="70">
        <f>IF(VLOOKUP($C59,'Performance Pivot'!$AI:$AV,7,0)="","",VLOOKUP($C59,'Performance Pivot'!$AI:$AV,7,0))</f>
        <v>0.01</v>
      </c>
      <c r="J59" s="70">
        <f>IF(VLOOKUP($C59,'Performance Pivot'!$AI:$AV,8,0)="","",VLOOKUP($C59,'Performance Pivot'!$AI:$AV,8,0))</f>
        <v>0</v>
      </c>
      <c r="K59" s="70">
        <f>IF(VLOOKUP($C59,'Performance Pivot'!$AI:$AV,9,0)="","",VLOOKUP($C59,'Performance Pivot'!$AI:$AV,9,0))</f>
        <v>0</v>
      </c>
      <c r="L59" s="70" t="str">
        <f>IF(VLOOKUP($C59,'Performance Pivot'!$AI:$AV,10,0)="","",VLOOKUP($C59,'Performance Pivot'!$AI:$AV,10,0))</f>
        <v/>
      </c>
      <c r="M59" s="70" t="str">
        <f>IF(VLOOKUP($C59,'Performance Pivot'!$AI:$AV,11,0)="","",VLOOKUP($C59,'Performance Pivot'!$AI:$AV,11,0))</f>
        <v/>
      </c>
      <c r="N59" s="70" t="str">
        <f>IF(VLOOKUP($C59,'Performance Pivot'!$AI:$AV,12,0)="","",VLOOKUP($C59,'Performance Pivot'!$AI:$AV,12,0))</f>
        <v/>
      </c>
      <c r="O59" s="70"/>
      <c r="P59" s="70" t="str">
        <f>IF(VLOOKUP($C59,'Performance Pivot'!$AI:$AW,15,0)="","",VLOOKUP($C59,'Performance Pivot'!$AI:$AW,15,0))</f>
        <v/>
      </c>
      <c r="Q59" s="52"/>
      <c r="R59" s="52"/>
      <c r="S59" s="89">
        <f t="shared" si="21"/>
        <v>41944</v>
      </c>
      <c r="T59" s="70">
        <f>IF(VLOOKUP($S59,'Performance Pivot'!$AZ:$BM,2,0)="","",VLOOKUP($S59,'Performance Pivot'!$AZ:$BM,2,0))</f>
        <v>0.37744991817143403</v>
      </c>
      <c r="U59" s="70">
        <f>IF(VLOOKUP($S59,'Performance Pivot'!$AZ:$BM,3,0)="","",VLOOKUP($S59,'Performance Pivot'!$AZ:$BM,3,0))</f>
        <v>0.33113929567617428</v>
      </c>
      <c r="V59" s="70">
        <f>IF(VLOOKUP($S59,'Performance Pivot'!$AZ:$BM,4,0)="","",VLOOKUP($S59,'Performance Pivot'!$AZ:$BM,4,0))</f>
        <v>0.29607158396514222</v>
      </c>
      <c r="W59" s="70">
        <f>IF(VLOOKUP($S59,'Performance Pivot'!$AZ:$BM,5,0)="","",VLOOKUP($S59,'Performance Pivot'!$AZ:$BM,5,0))</f>
        <v>0.43142013967425796</v>
      </c>
      <c r="X59" s="70">
        <f>IF(VLOOKUP($S59,'Performance Pivot'!$AZ:$BM,6,0)="","",VLOOKUP($S59,'Performance Pivot'!$AZ:$BM,6,0))</f>
        <v>0.35336197808578146</v>
      </c>
      <c r="Y59" s="70">
        <f>IF(VLOOKUP($S59,'Performance Pivot'!$AZ:$BM,7,0)="","",VLOOKUP($S59,'Performance Pivot'!$AZ:$BM,7,0))</f>
        <v>0.45077459212855092</v>
      </c>
      <c r="Z59" s="70">
        <f>IF(VLOOKUP($S59,'Performance Pivot'!$AZ:$BM,8,0)="","",VLOOKUP($S59,'Performance Pivot'!$AZ:$BM,8,0))</f>
        <v>0.30018273591955402</v>
      </c>
      <c r="AA59" s="70">
        <f>IF(VLOOKUP($S59,'Performance Pivot'!$AZ:$BM,9,0)="","",VLOOKUP($S59,'Performance Pivot'!$AZ:$BM,9,0))</f>
        <v>0.32164451056253401</v>
      </c>
      <c r="AB59" s="70" t="str">
        <f>IF(VLOOKUP($S59,'Performance Pivot'!$AZ:$BM,10,0)="","",VLOOKUP($S59,'Performance Pivot'!$AZ:$BM,10,0))</f>
        <v/>
      </c>
      <c r="AC59" s="70" t="str">
        <f>IF(VLOOKUP($S59,'Performance Pivot'!$AZ:$BM,11,0)="","",VLOOKUP($S59,'Performance Pivot'!$AZ:$BM,11,0))</f>
        <v/>
      </c>
      <c r="AD59" s="70" t="str">
        <f>IF(VLOOKUP($S59,'Performance Pivot'!$AZ:$BM,12,0)="","",VLOOKUP($S59,'Performance Pivot'!$AZ:$BM,12,0))</f>
        <v/>
      </c>
      <c r="AE59" s="70" t="str">
        <f>IF(VLOOKUP($S59,'Performance Pivot'!$AZ:$BM,13,0)="","",VLOOKUP($S59,'Performance Pivot'!$AZ:$BM,13,0))</f>
        <v/>
      </c>
      <c r="AF59" s="70" t="str">
        <f>IF(VLOOKUP($S59,'Performance Pivot'!$AZ:$BN,15,0)="","",VLOOKUP($S59,'Performance Pivot'!$AZ:$BN,15,0))</f>
        <v/>
      </c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</row>
    <row r="60" spans="3:45" s="71" customFormat="1" ht="21" customHeight="1">
      <c r="C60" s="68">
        <f t="shared" si="20"/>
        <v>41974</v>
      </c>
      <c r="D60" s="70">
        <f>IF(VLOOKUP($C60,'Performance Pivot'!$AI:$AV,2,0)="","",VLOOKUP($C60,'Performance Pivot'!$AI:$AV,2,0))</f>
        <v>0.09</v>
      </c>
      <c r="E60" s="70">
        <f>IF(VLOOKUP($C60,'Performance Pivot'!$AI:$AV,3,0)="","",VLOOKUP($C60,'Performance Pivot'!$AI:$AV,3,0))</f>
        <v>0.05</v>
      </c>
      <c r="F60" s="70">
        <f>IF(VLOOKUP($C60,'Performance Pivot'!$AI:$AV,4,0)="","",VLOOKUP($C60,'Performance Pivot'!$AI:$AV,4,0))</f>
        <v>0.01</v>
      </c>
      <c r="G60" s="70">
        <f>IF(VLOOKUP($C60,'Performance Pivot'!$AI:$AV,5,0)="","",VLOOKUP($C60,'Performance Pivot'!$AI:$AV,5,0))</f>
        <v>0.03</v>
      </c>
      <c r="H60" s="70">
        <f>IF(VLOOKUP($C60,'Performance Pivot'!$AI:$AV,6,0)="","",VLOOKUP($C60,'Performance Pivot'!$AI:$AV,6,0))</f>
        <v>0</v>
      </c>
      <c r="I60" s="70">
        <f>IF(VLOOKUP($C60,'Performance Pivot'!$AI:$AV,7,0)="","",VLOOKUP($C60,'Performance Pivot'!$AI:$AV,7,0))</f>
        <v>0.02</v>
      </c>
      <c r="J60" s="70">
        <f>IF(VLOOKUP($C60,'Performance Pivot'!$AI:$AV,8,0)="","",VLOOKUP($C60,'Performance Pivot'!$AI:$AV,8,0))</f>
        <v>0</v>
      </c>
      <c r="K60" s="70">
        <f>IF(VLOOKUP($C60,'Performance Pivot'!$AI:$AV,9,0)="","",VLOOKUP($C60,'Performance Pivot'!$AI:$AV,9,0))</f>
        <v>0</v>
      </c>
      <c r="L60" s="70" t="str">
        <f>IF(VLOOKUP($C60,'Performance Pivot'!$AI:$AV,10,0)="","",VLOOKUP($C60,'Performance Pivot'!$AI:$AV,10,0))</f>
        <v/>
      </c>
      <c r="M60" s="70" t="str">
        <f>IF(VLOOKUP($C60,'Performance Pivot'!$AI:$AV,11,0)="","",VLOOKUP($C60,'Performance Pivot'!$AI:$AV,11,0))</f>
        <v/>
      </c>
      <c r="N60" s="70" t="str">
        <f>IF(VLOOKUP($C60,'Performance Pivot'!$AI:$AV,12,0)="","",VLOOKUP($C60,'Performance Pivot'!$AI:$AV,12,0))</f>
        <v/>
      </c>
      <c r="O60" s="70"/>
      <c r="P60" s="70" t="str">
        <f>IF(VLOOKUP($C60,'Performance Pivot'!$AI:$AW,15,0)="","",VLOOKUP($C60,'Performance Pivot'!$AI:$AW,15,0))</f>
        <v/>
      </c>
      <c r="Q60" s="52"/>
      <c r="R60" s="52"/>
      <c r="S60" s="89">
        <f t="shared" si="21"/>
        <v>41974</v>
      </c>
      <c r="T60" s="70">
        <f>IF(VLOOKUP($S60,'Performance Pivot'!$AZ:$BM,2,0)="","",VLOOKUP($S60,'Performance Pivot'!$AZ:$BM,2,0))</f>
        <v>0.29054556048310765</v>
      </c>
      <c r="U60" s="70">
        <f>IF(VLOOKUP($S60,'Performance Pivot'!$AZ:$BM,3,0)="","",VLOOKUP($S60,'Performance Pivot'!$AZ:$BM,3,0))</f>
        <v>0.24962508847924794</v>
      </c>
      <c r="V60" s="70">
        <f>IF(VLOOKUP($S60,'Performance Pivot'!$AZ:$BM,4,0)="","",VLOOKUP($S60,'Performance Pivot'!$AZ:$BM,4,0))</f>
        <v>0.22982101265279212</v>
      </c>
      <c r="W60" s="70">
        <f>IF(VLOOKUP($S60,'Performance Pivot'!$AZ:$BM,5,0)="","",VLOOKUP($S60,'Performance Pivot'!$AZ:$BM,5,0))</f>
        <v>0.34644909653039258</v>
      </c>
      <c r="X60" s="70">
        <f>IF(VLOOKUP($S60,'Performance Pivot'!$AZ:$BM,6,0)="","",VLOOKUP($S60,'Performance Pivot'!$AZ:$BM,6,0))</f>
        <v>0.26663581170225009</v>
      </c>
      <c r="Y60" s="70">
        <f>IF(VLOOKUP($S60,'Performance Pivot'!$AZ:$BM,7,0)="","",VLOOKUP($S60,'Performance Pivot'!$AZ:$BM,7,0))</f>
        <v>0.38984829132613225</v>
      </c>
      <c r="Z60" s="70">
        <f>IF(VLOOKUP($S60,'Performance Pivot'!$AZ:$BM,8,0)="","",VLOOKUP($S60,'Performance Pivot'!$AZ:$BM,8,0))</f>
        <v>0.21421829960069708</v>
      </c>
      <c r="AA60" s="70">
        <f>IF(VLOOKUP($S60,'Performance Pivot'!$AZ:$BM,9,0)="","",VLOOKUP($S60,'Performance Pivot'!$AZ:$BM,9,0))</f>
        <v>0.2571145917056088</v>
      </c>
      <c r="AB60" s="70" t="str">
        <f>IF(VLOOKUP($S60,'Performance Pivot'!$AZ:$BM,10,0)="","",VLOOKUP($S60,'Performance Pivot'!$AZ:$BM,10,0))</f>
        <v/>
      </c>
      <c r="AC60" s="70" t="str">
        <f>IF(VLOOKUP($S60,'Performance Pivot'!$AZ:$BM,11,0)="","",VLOOKUP($S60,'Performance Pivot'!$AZ:$BM,11,0))</f>
        <v/>
      </c>
      <c r="AD60" s="70" t="str">
        <f>IF(VLOOKUP($S60,'Performance Pivot'!$AZ:$BM,12,0)="","",VLOOKUP($S60,'Performance Pivot'!$AZ:$BM,12,0))</f>
        <v/>
      </c>
      <c r="AE60" s="70" t="str">
        <f>IF(VLOOKUP($S60,'Performance Pivot'!$AZ:$BM,13,0)="","",VLOOKUP($S60,'Performance Pivot'!$AZ:$BM,13,0))</f>
        <v/>
      </c>
      <c r="AF60" s="70" t="str">
        <f>IF(VLOOKUP($S60,'Performance Pivot'!$AZ:$BN,15,0)="","",VLOOKUP($S60,'Performance Pivot'!$AZ:$BN,15,0))</f>
        <v/>
      </c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</row>
    <row r="61" spans="3:45" s="71" customFormat="1" ht="21" customHeight="1">
      <c r="C61" s="68">
        <f t="shared" si="20"/>
        <v>42005</v>
      </c>
      <c r="D61" s="70">
        <f>IF(VLOOKUP($C61,'Performance Pivot'!$AI:$AV,2,0)="","",VLOOKUP($C61,'Performance Pivot'!$AI:$AV,2,0))</f>
        <v>0.11</v>
      </c>
      <c r="E61" s="70">
        <f>IF(VLOOKUP($C61,'Performance Pivot'!$AI:$AV,3,0)="","",VLOOKUP($C61,'Performance Pivot'!$AI:$AV,3,0))</f>
        <v>0.05</v>
      </c>
      <c r="F61" s="70">
        <f>IF(VLOOKUP($C61,'Performance Pivot'!$AI:$AV,4,0)="","",VLOOKUP($C61,'Performance Pivot'!$AI:$AV,4,0))</f>
        <v>0.02</v>
      </c>
      <c r="G61" s="70">
        <f>IF(VLOOKUP($C61,'Performance Pivot'!$AI:$AV,5,0)="","",VLOOKUP($C61,'Performance Pivot'!$AI:$AV,5,0))</f>
        <v>0.04</v>
      </c>
      <c r="H61" s="70">
        <f>IF(VLOOKUP($C61,'Performance Pivot'!$AI:$AV,6,0)="","",VLOOKUP($C61,'Performance Pivot'!$AI:$AV,6,0))</f>
        <v>0.01</v>
      </c>
      <c r="I61" s="70">
        <f>IF(VLOOKUP($C61,'Performance Pivot'!$AI:$AV,7,0)="","",VLOOKUP($C61,'Performance Pivot'!$AI:$AV,7,0))</f>
        <v>0.03</v>
      </c>
      <c r="J61" s="70">
        <f>IF(VLOOKUP($C61,'Performance Pivot'!$AI:$AV,8,0)="","",VLOOKUP($C61,'Performance Pivot'!$AI:$AV,8,0))</f>
        <v>0</v>
      </c>
      <c r="K61" s="70">
        <f>IF(VLOOKUP($C61,'Performance Pivot'!$AI:$AV,9,0)="","",VLOOKUP($C61,'Performance Pivot'!$AI:$AV,9,0))</f>
        <v>0</v>
      </c>
      <c r="L61" s="70" t="str">
        <f>IF(VLOOKUP($C61,'Performance Pivot'!$AI:$AV,10,0)="","",VLOOKUP($C61,'Performance Pivot'!$AI:$AV,10,0))</f>
        <v/>
      </c>
      <c r="M61" s="70" t="str">
        <f>IF(VLOOKUP($C61,'Performance Pivot'!$AI:$AV,11,0)="","",VLOOKUP($C61,'Performance Pivot'!$AI:$AV,11,0))</f>
        <v/>
      </c>
      <c r="N61" s="70" t="str">
        <f>IF(VLOOKUP($C61,'Performance Pivot'!$AI:$AV,12,0)="","",VLOOKUP($C61,'Performance Pivot'!$AI:$AV,12,0))</f>
        <v/>
      </c>
      <c r="O61" s="70"/>
      <c r="P61" s="70" t="str">
        <f>IF(VLOOKUP($C61,'Performance Pivot'!$AI:$AW,15,0)="","",VLOOKUP($C61,'Performance Pivot'!$AI:$AW,15,0))</f>
        <v/>
      </c>
      <c r="Q61" s="52"/>
      <c r="R61" s="52"/>
      <c r="S61" s="89">
        <f t="shared" si="21"/>
        <v>42005</v>
      </c>
      <c r="T61" s="70">
        <f>IF(VLOOKUP($S61,'Performance Pivot'!$AZ:$BM,2,0)="","",VLOOKUP($S61,'Performance Pivot'!$AZ:$BM,2,0))</f>
        <v>0.30886506318040918</v>
      </c>
      <c r="U61" s="70">
        <f>IF(VLOOKUP($S61,'Performance Pivot'!$AZ:$BM,3,0)="","",VLOOKUP($S61,'Performance Pivot'!$AZ:$BM,3,0))</f>
        <v>0.26892607497852972</v>
      </c>
      <c r="V61" s="70">
        <f>IF(VLOOKUP($S61,'Performance Pivot'!$AZ:$BM,4,0)="","",VLOOKUP($S61,'Performance Pivot'!$AZ:$BM,4,0))</f>
        <v>0.23241742787289812</v>
      </c>
      <c r="W61" s="70">
        <f>IF(VLOOKUP($S61,'Performance Pivot'!$AZ:$BM,5,0)="","",VLOOKUP($S61,'Performance Pivot'!$AZ:$BM,5,0))</f>
        <v>0.34956316778115709</v>
      </c>
      <c r="X61" s="70">
        <f>IF(VLOOKUP($S61,'Performance Pivot'!$AZ:$BM,6,0)="","",VLOOKUP($S61,'Performance Pivot'!$AZ:$BM,6,0))</f>
        <v>0.25257811234978539</v>
      </c>
      <c r="Y61" s="70">
        <f>IF(VLOOKUP($S61,'Performance Pivot'!$AZ:$BM,7,0)="","",VLOOKUP($S61,'Performance Pivot'!$AZ:$BM,7,0))</f>
        <v>0.38815466215731736</v>
      </c>
      <c r="Z61" s="70">
        <f>IF(VLOOKUP($S61,'Performance Pivot'!$AZ:$BM,8,0)="","",VLOOKUP($S61,'Performance Pivot'!$AZ:$BM,8,0))</f>
        <v>0.25879247267775451</v>
      </c>
      <c r="AA61" s="70">
        <f>IF(VLOOKUP($S61,'Performance Pivot'!$AZ:$BM,9,0)="","",VLOOKUP($S61,'Performance Pivot'!$AZ:$BM,9,0))</f>
        <v>0.32286578182284165</v>
      </c>
      <c r="AB61" s="70" t="str">
        <f>IF(VLOOKUP($S61,'Performance Pivot'!$AZ:$BM,10,0)="","",VLOOKUP($S61,'Performance Pivot'!$AZ:$BM,10,0))</f>
        <v/>
      </c>
      <c r="AC61" s="70" t="str">
        <f>IF(VLOOKUP($S61,'Performance Pivot'!$AZ:$BM,11,0)="","",VLOOKUP($S61,'Performance Pivot'!$AZ:$BM,11,0))</f>
        <v/>
      </c>
      <c r="AD61" s="70" t="str">
        <f>IF(VLOOKUP($S61,'Performance Pivot'!$AZ:$BM,12,0)="","",VLOOKUP($S61,'Performance Pivot'!$AZ:$BM,12,0))</f>
        <v/>
      </c>
      <c r="AE61" s="70" t="str">
        <f>IF(VLOOKUP($S61,'Performance Pivot'!$AZ:$BM,13,0)="","",VLOOKUP($S61,'Performance Pivot'!$AZ:$BM,13,0))</f>
        <v/>
      </c>
      <c r="AF61" s="70" t="str">
        <f>IF(VLOOKUP($S61,'Performance Pivot'!$AZ:$BN,15,0)="","",VLOOKUP($S61,'Performance Pivot'!$AZ:$BN,15,0))</f>
        <v/>
      </c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</row>
    <row r="62" spans="3:45" s="71" customFormat="1" ht="21" customHeight="1">
      <c r="C62" s="68">
        <f t="shared" si="20"/>
        <v>42036</v>
      </c>
      <c r="D62" s="70">
        <f>IF(VLOOKUP($C62,'Performance Pivot'!$AI:$AV,2,0)="","",VLOOKUP($C62,'Performance Pivot'!$AI:$AV,2,0))</f>
        <v>0.12</v>
      </c>
      <c r="E62" s="70">
        <f>IF(VLOOKUP($C62,'Performance Pivot'!$AI:$AV,3,0)="","",VLOOKUP($C62,'Performance Pivot'!$AI:$AV,3,0))</f>
        <v>0.06</v>
      </c>
      <c r="F62" s="70">
        <f>IF(VLOOKUP($C62,'Performance Pivot'!$AI:$AV,4,0)="","",VLOOKUP($C62,'Performance Pivot'!$AI:$AV,4,0))</f>
        <v>0.03</v>
      </c>
      <c r="G62" s="70">
        <f>IF(VLOOKUP($C62,'Performance Pivot'!$AI:$AV,5,0)="","",VLOOKUP($C62,'Performance Pivot'!$AI:$AV,5,0))</f>
        <v>0.05</v>
      </c>
      <c r="H62" s="70">
        <f>IF(VLOOKUP($C62,'Performance Pivot'!$AI:$AV,6,0)="","",VLOOKUP($C62,'Performance Pivot'!$AI:$AV,6,0))</f>
        <v>0.02</v>
      </c>
      <c r="I62" s="70">
        <f>IF(VLOOKUP($C62,'Performance Pivot'!$AI:$AV,7,0)="","",VLOOKUP($C62,'Performance Pivot'!$AI:$AV,7,0))</f>
        <v>0.05</v>
      </c>
      <c r="J62" s="70">
        <f>IF(VLOOKUP($C62,'Performance Pivot'!$AI:$AV,8,0)="","",VLOOKUP($C62,'Performance Pivot'!$AI:$AV,8,0))</f>
        <v>0</v>
      </c>
      <c r="K62" s="70">
        <f>IF(VLOOKUP($C62,'Performance Pivot'!$AI:$AV,9,0)="","",VLOOKUP($C62,'Performance Pivot'!$AI:$AV,9,0))</f>
        <v>0</v>
      </c>
      <c r="L62" s="70">
        <f>IF(VLOOKUP($C62,'Performance Pivot'!$AI:$AV,10,0)="","",VLOOKUP($C62,'Performance Pivot'!$AI:$AV,10,0))</f>
        <v>0</v>
      </c>
      <c r="M62" s="70">
        <f>IF(VLOOKUP($C62,'Performance Pivot'!$AI:$AV,11,0)="","",VLOOKUP($C62,'Performance Pivot'!$AI:$AV,11,0))</f>
        <v>0</v>
      </c>
      <c r="N62" s="70" t="str">
        <f>IF(VLOOKUP($C62,'Performance Pivot'!$AI:$AV,12,0)="","",VLOOKUP($C62,'Performance Pivot'!$AI:$AV,12,0))</f>
        <v/>
      </c>
      <c r="O62" s="70"/>
      <c r="P62" s="70" t="str">
        <f>IF(VLOOKUP($C62,'Performance Pivot'!$AI:$AW,15,0)="","",VLOOKUP($C62,'Performance Pivot'!$AI:$AW,15,0))</f>
        <v/>
      </c>
      <c r="Q62" s="52"/>
      <c r="R62" s="52"/>
      <c r="S62" s="89">
        <f t="shared" si="21"/>
        <v>42036</v>
      </c>
      <c r="T62" s="70">
        <f>IF(VLOOKUP($S62,'Performance Pivot'!$AZ:$BM,2,0)="","",VLOOKUP($S62,'Performance Pivot'!$AZ:$BM,2,0))</f>
        <v>0.37508383025653236</v>
      </c>
      <c r="U62" s="70">
        <f>IF(VLOOKUP($S62,'Performance Pivot'!$AZ:$BM,3,0)="","",VLOOKUP($S62,'Performance Pivot'!$AZ:$BM,3,0))</f>
        <v>0.331079995163095</v>
      </c>
      <c r="V62" s="70">
        <f>IF(VLOOKUP($S62,'Performance Pivot'!$AZ:$BM,4,0)="","",VLOOKUP($S62,'Performance Pivot'!$AZ:$BM,4,0))</f>
        <v>0.29684572780250762</v>
      </c>
      <c r="W62" s="70">
        <f>IF(VLOOKUP($S62,'Performance Pivot'!$AZ:$BM,5,0)="","",VLOOKUP($S62,'Performance Pivot'!$AZ:$BM,5,0))</f>
        <v>0.46285386207580081</v>
      </c>
      <c r="X62" s="70">
        <f>IF(VLOOKUP($S62,'Performance Pivot'!$AZ:$BM,6,0)="","",VLOOKUP($S62,'Performance Pivot'!$AZ:$BM,6,0))</f>
        <v>0.36600387544925805</v>
      </c>
      <c r="Y62" s="70">
        <f>IF(VLOOKUP($S62,'Performance Pivot'!$AZ:$BM,7,0)="","",VLOOKUP($S62,'Performance Pivot'!$AZ:$BM,7,0))</f>
        <v>0.47890126725089172</v>
      </c>
      <c r="Z62" s="70">
        <f>IF(VLOOKUP($S62,'Performance Pivot'!$AZ:$BM,8,0)="","",VLOOKUP($S62,'Performance Pivot'!$AZ:$BM,8,0))</f>
        <v>0.36591657761725022</v>
      </c>
      <c r="AA62" s="70">
        <f>IF(VLOOKUP($S62,'Performance Pivot'!$AZ:$BM,9,0)="","",VLOOKUP($S62,'Performance Pivot'!$AZ:$BM,9,0))</f>
        <v>0.40140355931533839</v>
      </c>
      <c r="AB62" s="70">
        <f>IF(VLOOKUP($S62,'Performance Pivot'!$AZ:$BM,10,0)="","",VLOOKUP($S62,'Performance Pivot'!$AZ:$BM,10,0))</f>
        <v>0.42663727102328697</v>
      </c>
      <c r="AC62" s="70">
        <f>IF(VLOOKUP($S62,'Performance Pivot'!$AZ:$BM,11,0)="","",VLOOKUP($S62,'Performance Pivot'!$AZ:$BM,11,0))</f>
        <v>0.42476447102819542</v>
      </c>
      <c r="AD62" s="70" t="str">
        <f>IF(VLOOKUP($S62,'Performance Pivot'!$AZ:$BM,12,0)="","",VLOOKUP($S62,'Performance Pivot'!$AZ:$BM,12,0))</f>
        <v/>
      </c>
      <c r="AE62" s="70" t="str">
        <f>IF(VLOOKUP($S62,'Performance Pivot'!$AZ:$BM,13,0)="","",VLOOKUP($S62,'Performance Pivot'!$AZ:$BM,13,0))</f>
        <v/>
      </c>
      <c r="AF62" s="70" t="str">
        <f>IF(VLOOKUP($S62,'Performance Pivot'!$AZ:$BN,15,0)="","",VLOOKUP($S62,'Performance Pivot'!$AZ:$BN,15,0))</f>
        <v/>
      </c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</row>
    <row r="63" spans="3:45" s="71" customFormat="1" ht="21" customHeight="1">
      <c r="C63" s="68">
        <f t="shared" si="20"/>
        <v>42064</v>
      </c>
      <c r="D63" s="70">
        <f>IF(VLOOKUP($C63,'Performance Pivot'!$AI:$AV,2,0)="","",VLOOKUP($C63,'Performance Pivot'!$AI:$AV,2,0))</f>
        <v>0.12</v>
      </c>
      <c r="E63" s="70">
        <f>IF(VLOOKUP($C63,'Performance Pivot'!$AI:$AV,3,0)="","",VLOOKUP($C63,'Performance Pivot'!$AI:$AV,3,0))</f>
        <v>6.9999999999999993E-2</v>
      </c>
      <c r="F63" s="70">
        <f>IF(VLOOKUP($C63,'Performance Pivot'!$AI:$AV,4,0)="","",VLOOKUP($C63,'Performance Pivot'!$AI:$AV,4,0))</f>
        <v>0.03</v>
      </c>
      <c r="G63" s="70">
        <f>IF(VLOOKUP($C63,'Performance Pivot'!$AI:$AV,5,0)="","",VLOOKUP($C63,'Performance Pivot'!$AI:$AV,5,0))</f>
        <v>0.08</v>
      </c>
      <c r="H63" s="70">
        <f>IF(VLOOKUP($C63,'Performance Pivot'!$AI:$AV,6,0)="","",VLOOKUP($C63,'Performance Pivot'!$AI:$AV,6,0))</f>
        <v>0.02</v>
      </c>
      <c r="I63" s="70">
        <f>IF(VLOOKUP($C63,'Performance Pivot'!$AI:$AV,7,0)="","",VLOOKUP($C63,'Performance Pivot'!$AI:$AV,7,0))</f>
        <v>6.9999999999999993E-2</v>
      </c>
      <c r="J63" s="70">
        <f>IF(VLOOKUP($C63,'Performance Pivot'!$AI:$AV,8,0)="","",VLOOKUP($C63,'Performance Pivot'!$AI:$AV,8,0))</f>
        <v>0</v>
      </c>
      <c r="K63" s="70">
        <f>IF(VLOOKUP($C63,'Performance Pivot'!$AI:$AV,9,0)="","",VLOOKUP($C63,'Performance Pivot'!$AI:$AV,9,0))</f>
        <v>0</v>
      </c>
      <c r="L63" s="70">
        <f>IF(VLOOKUP($C63,'Performance Pivot'!$AI:$AV,10,0)="","",VLOOKUP($C63,'Performance Pivot'!$AI:$AV,10,0))</f>
        <v>0</v>
      </c>
      <c r="M63" s="70">
        <f>IF(VLOOKUP($C63,'Performance Pivot'!$AI:$AV,11,0)="","",VLOOKUP($C63,'Performance Pivot'!$AI:$AV,11,0))</f>
        <v>0</v>
      </c>
      <c r="N63" s="70" t="str">
        <f>IF(VLOOKUP($C63,'Performance Pivot'!$AI:$AV,12,0)="","",VLOOKUP($C63,'Performance Pivot'!$AI:$AV,12,0))</f>
        <v/>
      </c>
      <c r="O63" s="70"/>
      <c r="P63" s="70" t="str">
        <f>IF(VLOOKUP($C63,'Performance Pivot'!$AI:$AW,15,0)="","",VLOOKUP($C63,'Performance Pivot'!$AI:$AW,15,0))</f>
        <v/>
      </c>
      <c r="Q63" s="52"/>
      <c r="R63" s="52"/>
      <c r="S63" s="89">
        <f t="shared" si="21"/>
        <v>42064</v>
      </c>
      <c r="T63" s="70">
        <f>IF(VLOOKUP($S63,'Performance Pivot'!$AZ:$BM,2,0)="","",VLOOKUP($S63,'Performance Pivot'!$AZ:$BM,2,0))</f>
        <v>0.24624190783980648</v>
      </c>
      <c r="U63" s="70">
        <f>IF(VLOOKUP($S63,'Performance Pivot'!$AZ:$BM,3,0)="","",VLOOKUP($S63,'Performance Pivot'!$AZ:$BM,3,0))</f>
        <v>0.23502495250437797</v>
      </c>
      <c r="V63" s="70">
        <f>IF(VLOOKUP($S63,'Performance Pivot'!$AZ:$BM,4,0)="","",VLOOKUP($S63,'Performance Pivot'!$AZ:$BM,4,0))</f>
        <v>0.20173405986038837</v>
      </c>
      <c r="W63" s="70">
        <f>IF(VLOOKUP($S63,'Performance Pivot'!$AZ:$BM,5,0)="","",VLOOKUP($S63,'Performance Pivot'!$AZ:$BM,5,0))</f>
        <v>0.30814679832638681</v>
      </c>
      <c r="X63" s="70">
        <f>IF(VLOOKUP($S63,'Performance Pivot'!$AZ:$BM,6,0)="","",VLOOKUP($S63,'Performance Pivot'!$AZ:$BM,6,0))</f>
        <v>0.25814967052058441</v>
      </c>
      <c r="Y63" s="70">
        <f>IF(VLOOKUP($S63,'Performance Pivot'!$AZ:$BM,7,0)="","",VLOOKUP($S63,'Performance Pivot'!$AZ:$BM,7,0))</f>
        <v>0.31912203817765755</v>
      </c>
      <c r="Z63" s="70">
        <f>IF(VLOOKUP($S63,'Performance Pivot'!$AZ:$BM,8,0)="","",VLOOKUP($S63,'Performance Pivot'!$AZ:$BM,8,0))</f>
        <v>0.24114027969981858</v>
      </c>
      <c r="AA63" s="70">
        <f>IF(VLOOKUP($S63,'Performance Pivot'!$AZ:$BM,9,0)="","",VLOOKUP($S63,'Performance Pivot'!$AZ:$BM,9,0))</f>
        <v>0.26874709007839864</v>
      </c>
      <c r="AB63" s="70">
        <f>IF(VLOOKUP($S63,'Performance Pivot'!$AZ:$BM,10,0)="","",VLOOKUP($S63,'Performance Pivot'!$AZ:$BM,10,0))</f>
        <v>0.24192243628197357</v>
      </c>
      <c r="AC63" s="70">
        <f>IF(VLOOKUP($S63,'Performance Pivot'!$AZ:$BM,11,0)="","",VLOOKUP($S63,'Performance Pivot'!$AZ:$BM,11,0))</f>
        <v>0.22750364322074063</v>
      </c>
      <c r="AD63" s="70" t="str">
        <f>IF(VLOOKUP($S63,'Performance Pivot'!$AZ:$BM,12,0)="","",VLOOKUP($S63,'Performance Pivot'!$AZ:$BM,12,0))</f>
        <v/>
      </c>
      <c r="AE63" s="70" t="str">
        <f>IF(VLOOKUP($S63,'Performance Pivot'!$AZ:$BM,13,0)="","",VLOOKUP($S63,'Performance Pivot'!$AZ:$BM,13,0))</f>
        <v/>
      </c>
      <c r="AF63" s="70" t="str">
        <f>IF(VLOOKUP($S63,'Performance Pivot'!$AZ:$BN,15,0)="","",VLOOKUP($S63,'Performance Pivot'!$AZ:$BN,15,0))</f>
        <v/>
      </c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</row>
    <row r="64" spans="3:45" s="71" customFormat="1" ht="21" customHeight="1">
      <c r="C64" s="68">
        <f t="shared" si="20"/>
        <v>42095</v>
      </c>
      <c r="D64" s="70">
        <f>IF(VLOOKUP($C64,'Performance Pivot'!$AI:$AV,2,0)="","",VLOOKUP($C64,'Performance Pivot'!$AI:$AV,2,0))</f>
        <v>0.13999999999999999</v>
      </c>
      <c r="E64" s="70">
        <f>IF(VLOOKUP($C64,'Performance Pivot'!$AI:$AV,3,0)="","",VLOOKUP($C64,'Performance Pivot'!$AI:$AV,3,0))</f>
        <v>0.08</v>
      </c>
      <c r="F64" s="70">
        <f>IF(VLOOKUP($C64,'Performance Pivot'!$AI:$AV,4,0)="","",VLOOKUP($C64,'Performance Pivot'!$AI:$AV,4,0))</f>
        <v>0.04</v>
      </c>
      <c r="G64" s="70">
        <f>IF(VLOOKUP($C64,'Performance Pivot'!$AI:$AV,5,0)="","",VLOOKUP($C64,'Performance Pivot'!$AI:$AV,5,0))</f>
        <v>0.1</v>
      </c>
      <c r="H64" s="70">
        <f>IF(VLOOKUP($C64,'Performance Pivot'!$AI:$AV,6,0)="","",VLOOKUP($C64,'Performance Pivot'!$AI:$AV,6,0))</f>
        <v>0.03</v>
      </c>
      <c r="I64" s="70">
        <f>IF(VLOOKUP($C64,'Performance Pivot'!$AI:$AV,7,0)="","",VLOOKUP($C64,'Performance Pivot'!$AI:$AV,7,0))</f>
        <v>0.08</v>
      </c>
      <c r="J64" s="70">
        <f>IF(VLOOKUP($C64,'Performance Pivot'!$AI:$AV,8,0)="","",VLOOKUP($C64,'Performance Pivot'!$AI:$AV,8,0))</f>
        <v>0</v>
      </c>
      <c r="K64" s="70">
        <f>IF(VLOOKUP($C64,'Performance Pivot'!$AI:$AV,9,0)="","",VLOOKUP($C64,'Performance Pivot'!$AI:$AV,9,0))</f>
        <v>0.01</v>
      </c>
      <c r="L64" s="70">
        <f>IF(VLOOKUP($C64,'Performance Pivot'!$AI:$AV,10,0)="","",VLOOKUP($C64,'Performance Pivot'!$AI:$AV,10,0))</f>
        <v>0</v>
      </c>
      <c r="M64" s="70">
        <f>IF(VLOOKUP($C64,'Performance Pivot'!$AI:$AV,11,0)="","",VLOOKUP($C64,'Performance Pivot'!$AI:$AV,11,0))</f>
        <v>0</v>
      </c>
      <c r="N64" s="70" t="str">
        <f>IF(VLOOKUP($C64,'Performance Pivot'!$AI:$AV,12,0)="","",VLOOKUP($C64,'Performance Pivot'!$AI:$AV,12,0))</f>
        <v/>
      </c>
      <c r="O64" s="70"/>
      <c r="P64" s="70" t="str">
        <f>IF(VLOOKUP($C64,'Performance Pivot'!$AI:$AW,15,0)="","",VLOOKUP($C64,'Performance Pivot'!$AI:$AW,15,0))</f>
        <v/>
      </c>
      <c r="Q64" s="52"/>
      <c r="R64" s="52"/>
      <c r="S64" s="89">
        <f t="shared" si="21"/>
        <v>42095</v>
      </c>
      <c r="T64" s="70">
        <f>IF(VLOOKUP($S64,'Performance Pivot'!$AZ:$BM,2,0)="","",VLOOKUP($S64,'Performance Pivot'!$AZ:$BM,2,0))</f>
        <v>0.23931955980307096</v>
      </c>
      <c r="U64" s="70">
        <f>IF(VLOOKUP($S64,'Performance Pivot'!$AZ:$BM,3,0)="","",VLOOKUP($S64,'Performance Pivot'!$AZ:$BM,3,0))</f>
        <v>0.24402783014807178</v>
      </c>
      <c r="V64" s="70">
        <f>IF(VLOOKUP($S64,'Performance Pivot'!$AZ:$BM,4,0)="","",VLOOKUP($S64,'Performance Pivot'!$AZ:$BM,4,0))</f>
        <v>0.20857598680531267</v>
      </c>
      <c r="W64" s="70">
        <f>IF(VLOOKUP($S64,'Performance Pivot'!$AZ:$BM,5,0)="","",VLOOKUP($S64,'Performance Pivot'!$AZ:$BM,5,0))</f>
        <v>0.33985818442247706</v>
      </c>
      <c r="X64" s="70">
        <f>IF(VLOOKUP($S64,'Performance Pivot'!$AZ:$BM,6,0)="","",VLOOKUP($S64,'Performance Pivot'!$AZ:$BM,6,0))</f>
        <v>0.25582869560732441</v>
      </c>
      <c r="Y64" s="70">
        <f>IF(VLOOKUP($S64,'Performance Pivot'!$AZ:$BM,7,0)="","",VLOOKUP($S64,'Performance Pivot'!$AZ:$BM,7,0))</f>
        <v>0.3304300777741162</v>
      </c>
      <c r="Z64" s="70">
        <f>IF(VLOOKUP($S64,'Performance Pivot'!$AZ:$BM,8,0)="","",VLOOKUP($S64,'Performance Pivot'!$AZ:$BM,8,0))</f>
        <v>0.26409779927760002</v>
      </c>
      <c r="AA64" s="70">
        <f>IF(VLOOKUP($S64,'Performance Pivot'!$AZ:$BM,9,0)="","",VLOOKUP($S64,'Performance Pivot'!$AZ:$BM,9,0))</f>
        <v>0.33031608302312915</v>
      </c>
      <c r="AB64" s="70">
        <f>IF(VLOOKUP($S64,'Performance Pivot'!$AZ:$BM,10,0)="","",VLOOKUP($S64,'Performance Pivot'!$AZ:$BM,10,0))</f>
        <v>0.34634807051082456</v>
      </c>
      <c r="AC64" s="70">
        <f>IF(VLOOKUP($S64,'Performance Pivot'!$AZ:$BM,11,0)="","",VLOOKUP($S64,'Performance Pivot'!$AZ:$BM,11,0))</f>
        <v>0.3701838683627528</v>
      </c>
      <c r="AD64" s="70" t="str">
        <f>IF(VLOOKUP($S64,'Performance Pivot'!$AZ:$BM,12,0)="","",VLOOKUP($S64,'Performance Pivot'!$AZ:$BM,12,0))</f>
        <v/>
      </c>
      <c r="AE64" s="70" t="str">
        <f>IF(VLOOKUP($S64,'Performance Pivot'!$AZ:$BM,13,0)="","",VLOOKUP($S64,'Performance Pivot'!$AZ:$BM,13,0))</f>
        <v/>
      </c>
      <c r="AF64" s="70" t="str">
        <f>IF(VLOOKUP($S64,'Performance Pivot'!$AZ:$BN,15,0)="","",VLOOKUP($S64,'Performance Pivot'!$AZ:$BN,15,0))</f>
        <v/>
      </c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</row>
    <row r="65" spans="3:45" s="71" customFormat="1" ht="21" customHeight="1">
      <c r="C65" s="68">
        <f t="shared" si="20"/>
        <v>42125</v>
      </c>
      <c r="D65" s="70">
        <f>IF(VLOOKUP($C65,'Performance Pivot'!$AI:$AV,2,0)="","",VLOOKUP($C65,'Performance Pivot'!$AI:$AV,2,0))</f>
        <v>0.15</v>
      </c>
      <c r="E65" s="70">
        <f>IF(VLOOKUP($C65,'Performance Pivot'!$AI:$AV,3,0)="","",VLOOKUP($C65,'Performance Pivot'!$AI:$AV,3,0))</f>
        <v>0.09</v>
      </c>
      <c r="F65" s="70">
        <f>IF(VLOOKUP($C65,'Performance Pivot'!$AI:$AV,4,0)="","",VLOOKUP($C65,'Performance Pivot'!$AI:$AV,4,0))</f>
        <v>0.05</v>
      </c>
      <c r="G65" s="70">
        <f>IF(VLOOKUP($C65,'Performance Pivot'!$AI:$AV,5,0)="","",VLOOKUP($C65,'Performance Pivot'!$AI:$AV,5,0))</f>
        <v>0.11</v>
      </c>
      <c r="H65" s="70">
        <f>IF(VLOOKUP($C65,'Performance Pivot'!$AI:$AV,6,0)="","",VLOOKUP($C65,'Performance Pivot'!$AI:$AV,6,0))</f>
        <v>0.04</v>
      </c>
      <c r="I65" s="70">
        <f>IF(VLOOKUP($C65,'Performance Pivot'!$AI:$AV,7,0)="","",VLOOKUP($C65,'Performance Pivot'!$AI:$AV,7,0))</f>
        <v>0.09</v>
      </c>
      <c r="J65" s="70">
        <f>IF(VLOOKUP($C65,'Performance Pivot'!$AI:$AV,8,0)="","",VLOOKUP($C65,'Performance Pivot'!$AI:$AV,8,0))</f>
        <v>0.01</v>
      </c>
      <c r="K65" s="70">
        <f>IF(VLOOKUP($C65,'Performance Pivot'!$AI:$AV,9,0)="","",VLOOKUP($C65,'Performance Pivot'!$AI:$AV,9,0))</f>
        <v>0.02</v>
      </c>
      <c r="L65" s="70">
        <f>IF(VLOOKUP($C65,'Performance Pivot'!$AI:$AV,10,0)="","",VLOOKUP($C65,'Performance Pivot'!$AI:$AV,10,0))</f>
        <v>0</v>
      </c>
      <c r="M65" s="70">
        <f>IF(VLOOKUP($C65,'Performance Pivot'!$AI:$AV,11,0)="","",VLOOKUP($C65,'Performance Pivot'!$AI:$AV,11,0))</f>
        <v>0</v>
      </c>
      <c r="N65" s="70">
        <f>IF(VLOOKUP($C65,'Performance Pivot'!$AI:$AV,12,0)="","",VLOOKUP($C65,'Performance Pivot'!$AI:$AV,12,0))</f>
        <v>0</v>
      </c>
      <c r="O65" s="70">
        <f>IF(VLOOKUP($C65,'Performance Pivot'!$AI:$AV,13,0)="","",VLOOKUP($C65,'Performance Pivot'!$AI:$AV,13,0))</f>
        <v>0</v>
      </c>
      <c r="P65" s="70" t="str">
        <f>IF(VLOOKUP($C65,'Performance Pivot'!$AI:$AW,15,0)="","",VLOOKUP($C65,'Performance Pivot'!$AI:$AW,15,0))</f>
        <v/>
      </c>
      <c r="Q65" s="52"/>
      <c r="R65" s="52"/>
      <c r="S65" s="89">
        <f t="shared" si="21"/>
        <v>42125</v>
      </c>
      <c r="T65" s="70">
        <f>IF(VLOOKUP($S65,'Performance Pivot'!$AZ:$BM,2,0)="","",VLOOKUP($S65,'Performance Pivot'!$AZ:$BM,2,0))</f>
        <v>0.29656464004962663</v>
      </c>
      <c r="U65" s="70">
        <f>IF(VLOOKUP($S65,'Performance Pivot'!$AZ:$BM,3,0)="","",VLOOKUP($S65,'Performance Pivot'!$AZ:$BM,3,0))</f>
        <v>0.30041318746618328</v>
      </c>
      <c r="V65" s="70">
        <f>IF(VLOOKUP($S65,'Performance Pivot'!$AZ:$BM,4,0)="","",VLOOKUP($S65,'Performance Pivot'!$AZ:$BM,4,0))</f>
        <v>0.27373321371550235</v>
      </c>
      <c r="W65" s="70">
        <f>IF(VLOOKUP($S65,'Performance Pivot'!$AZ:$BM,5,0)="","",VLOOKUP($S65,'Performance Pivot'!$AZ:$BM,5,0))</f>
        <v>0.49323708938908001</v>
      </c>
      <c r="X65" s="70">
        <f>IF(VLOOKUP($S65,'Performance Pivot'!$AZ:$BM,6,0)="","",VLOOKUP($S65,'Performance Pivot'!$AZ:$BM,6,0))</f>
        <v>0.31862049643571555</v>
      </c>
      <c r="Y65" s="70">
        <f>IF(VLOOKUP($S65,'Performance Pivot'!$AZ:$BM,7,0)="","",VLOOKUP($S65,'Performance Pivot'!$AZ:$BM,7,0))</f>
        <v>0.47524845142738836</v>
      </c>
      <c r="Z65" s="70">
        <f>IF(VLOOKUP($S65,'Performance Pivot'!$AZ:$BM,8,0)="","",VLOOKUP($S65,'Performance Pivot'!$AZ:$BM,8,0))</f>
        <v>0.31398009726227949</v>
      </c>
      <c r="AA65" s="70">
        <f>IF(VLOOKUP($S65,'Performance Pivot'!$AZ:$BM,9,0)="","",VLOOKUP($S65,'Performance Pivot'!$AZ:$BM,9,0))</f>
        <v>0.46285044069390574</v>
      </c>
      <c r="AB65" s="70">
        <f>IF(VLOOKUP($S65,'Performance Pivot'!$AZ:$BM,10,0)="","",VLOOKUP($S65,'Performance Pivot'!$AZ:$BM,10,0))</f>
        <v>0.41034661174024678</v>
      </c>
      <c r="AC65" s="70">
        <f>IF(VLOOKUP($S65,'Performance Pivot'!$AZ:$BM,11,0)="","",VLOOKUP($S65,'Performance Pivot'!$AZ:$BM,11,0))</f>
        <v>0.47509371557635022</v>
      </c>
      <c r="AD65" s="70">
        <f>IF(VLOOKUP($S65,'Performance Pivot'!$AZ:$BM,12,0)="","",VLOOKUP($S65,'Performance Pivot'!$AZ:$BM,12,0))</f>
        <v>0.36024783872981575</v>
      </c>
      <c r="AE65" s="70">
        <f>IF(VLOOKUP($S65,'Performance Pivot'!$AZ:$BM,13,0)="","",VLOOKUP($S65,'Performance Pivot'!$AZ:$BM,13,0))</f>
        <v>0.35251960285528322</v>
      </c>
      <c r="AF65" s="70" t="str">
        <f>IF(VLOOKUP($S65,'Performance Pivot'!$AZ:$BN,15,0)="","",VLOOKUP($S65,'Performance Pivot'!$AZ:$BN,15,0))</f>
        <v/>
      </c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</row>
    <row r="66" spans="3:45" s="71" customFormat="1" ht="21" customHeight="1">
      <c r="C66" s="68">
        <f t="shared" si="20"/>
        <v>42156</v>
      </c>
      <c r="D66" s="70">
        <f>IF(VLOOKUP($C66,'Performance Pivot'!$AI:$AV,2,0)="","",VLOOKUP($C66,'Performance Pivot'!$AI:$AV,2,0))</f>
        <v>0.16999999999999998</v>
      </c>
      <c r="E66" s="70">
        <f>IF(VLOOKUP($C66,'Performance Pivot'!$AI:$AV,3,0)="","",VLOOKUP($C66,'Performance Pivot'!$AI:$AV,3,0))</f>
        <v>0.1</v>
      </c>
      <c r="F66" s="70">
        <f>IF(VLOOKUP($C66,'Performance Pivot'!$AI:$AV,4,0)="","",VLOOKUP($C66,'Performance Pivot'!$AI:$AV,4,0))</f>
        <v>0.05</v>
      </c>
      <c r="G66" s="70">
        <f>IF(VLOOKUP($C66,'Performance Pivot'!$AI:$AV,5,0)="","",VLOOKUP($C66,'Performance Pivot'!$AI:$AV,5,0))</f>
        <v>0.13</v>
      </c>
      <c r="H66" s="70">
        <f>IF(VLOOKUP($C66,'Performance Pivot'!$AI:$AV,6,0)="","",VLOOKUP($C66,'Performance Pivot'!$AI:$AV,6,0))</f>
        <v>0.04</v>
      </c>
      <c r="I66" s="70">
        <f>IF(VLOOKUP($C66,'Performance Pivot'!$AI:$AV,7,0)="","",VLOOKUP($C66,'Performance Pivot'!$AI:$AV,7,0))</f>
        <v>0.11</v>
      </c>
      <c r="J66" s="70">
        <f>IF(VLOOKUP($C66,'Performance Pivot'!$AI:$AV,8,0)="","",VLOOKUP($C66,'Performance Pivot'!$AI:$AV,8,0))</f>
        <v>0.01</v>
      </c>
      <c r="K66" s="70">
        <f>IF(VLOOKUP($C66,'Performance Pivot'!$AI:$AV,9,0)="","",VLOOKUP($C66,'Performance Pivot'!$AI:$AV,9,0))</f>
        <v>0.03</v>
      </c>
      <c r="L66" s="70">
        <f>IF(VLOOKUP($C66,'Performance Pivot'!$AI:$AV,10,0)="","",VLOOKUP($C66,'Performance Pivot'!$AI:$AV,10,0))</f>
        <v>0</v>
      </c>
      <c r="M66" s="70">
        <f>IF(VLOOKUP($C66,'Performance Pivot'!$AI:$AV,11,0)="","",VLOOKUP($C66,'Performance Pivot'!$AI:$AV,11,0))</f>
        <v>0.01</v>
      </c>
      <c r="N66" s="70">
        <f>IF(VLOOKUP($C66,'Performance Pivot'!$AI:$AV,12,0)="","",VLOOKUP($C66,'Performance Pivot'!$AI:$AV,12,0))</f>
        <v>0</v>
      </c>
      <c r="O66" s="70">
        <f>IF(VLOOKUP($C66,'Performance Pivot'!$AI:$AV,13,0)="","",VLOOKUP($C66,'Performance Pivot'!$AI:$AV,13,0))</f>
        <v>0</v>
      </c>
      <c r="P66" s="70" t="str">
        <f>IF(VLOOKUP($C66,'Performance Pivot'!$AI:$AW,15,0)="","",VLOOKUP($C66,'Performance Pivot'!$AI:$AW,15,0))</f>
        <v/>
      </c>
      <c r="Q66" s="52"/>
      <c r="R66" s="52"/>
      <c r="S66" s="89">
        <f t="shared" si="21"/>
        <v>42156</v>
      </c>
      <c r="T66" s="70">
        <f>IF(VLOOKUP($S66,'Performance Pivot'!$AZ:$BM,2,0)="","",VLOOKUP($S66,'Performance Pivot'!$AZ:$BM,2,0))</f>
        <v>0.30335928429413245</v>
      </c>
      <c r="U66" s="70">
        <f>IF(VLOOKUP($S66,'Performance Pivot'!$AZ:$BM,3,0)="","",VLOOKUP($S66,'Performance Pivot'!$AZ:$BM,3,0))</f>
        <v>0.2492069384231014</v>
      </c>
      <c r="V66" s="70">
        <f>IF(VLOOKUP($S66,'Performance Pivot'!$AZ:$BM,4,0)="","",VLOOKUP($S66,'Performance Pivot'!$AZ:$BM,4,0))</f>
        <v>0.2475337562101706</v>
      </c>
      <c r="W66" s="70">
        <f>IF(VLOOKUP($S66,'Performance Pivot'!$AZ:$BM,5,0)="","",VLOOKUP($S66,'Performance Pivot'!$AZ:$BM,5,0))</f>
        <v>0.37740784842076602</v>
      </c>
      <c r="X66" s="70">
        <f>IF(VLOOKUP($S66,'Performance Pivot'!$AZ:$BM,6,0)="","",VLOOKUP($S66,'Performance Pivot'!$AZ:$BM,6,0))</f>
        <v>0.30187063280342613</v>
      </c>
      <c r="Y66" s="70">
        <f>IF(VLOOKUP($S66,'Performance Pivot'!$AZ:$BM,7,0)="","",VLOOKUP($S66,'Performance Pivot'!$AZ:$BM,7,0))</f>
        <v>0.45700261983271634</v>
      </c>
      <c r="Z66" s="70">
        <f>IF(VLOOKUP($S66,'Performance Pivot'!$AZ:$BM,8,0)="","",VLOOKUP($S66,'Performance Pivot'!$AZ:$BM,8,0))</f>
        <v>0.29317893088452129</v>
      </c>
      <c r="AA66" s="70">
        <f>IF(VLOOKUP($S66,'Performance Pivot'!$AZ:$BM,9,0)="","",VLOOKUP($S66,'Performance Pivot'!$AZ:$BM,9,0))</f>
        <v>0.40173542806082468</v>
      </c>
      <c r="AB66" s="70">
        <f>IF(VLOOKUP($S66,'Performance Pivot'!$AZ:$BM,10,0)="","",VLOOKUP($S66,'Performance Pivot'!$AZ:$BM,10,0))</f>
        <v>0.37792899631678611</v>
      </c>
      <c r="AC66" s="70">
        <f>IF(VLOOKUP($S66,'Performance Pivot'!$AZ:$BM,11,0)="","",VLOOKUP($S66,'Performance Pivot'!$AZ:$BM,11,0))</f>
        <v>0.40570985382297309</v>
      </c>
      <c r="AD66" s="70">
        <f>IF(VLOOKUP($S66,'Performance Pivot'!$AZ:$BM,12,0)="","",VLOOKUP($S66,'Performance Pivot'!$AZ:$BM,12,0))</f>
        <v>0.29729698122639114</v>
      </c>
      <c r="AE66" s="70">
        <f>IF(VLOOKUP($S66,'Performance Pivot'!$AZ:$BM,13,0)="","",VLOOKUP($S66,'Performance Pivot'!$AZ:$BM,13,0))</f>
        <v>0.34817721656879447</v>
      </c>
      <c r="AF66" s="70" t="str">
        <f>IF(VLOOKUP($S66,'Performance Pivot'!$AZ:$BN,15,0)="","",VLOOKUP($S66,'Performance Pivot'!$AZ:$BN,15,0))</f>
        <v/>
      </c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</row>
    <row r="67" spans="3:45" s="71" customFormat="1" ht="21" customHeight="1">
      <c r="C67" s="68">
        <f>C38</f>
        <v>42186</v>
      </c>
      <c r="D67" s="70">
        <f>IF(VLOOKUP($C67,'Performance Pivot'!$AI:$AV,2,0)="","",VLOOKUP($C67,'Performance Pivot'!$AI:$AV,2,0))</f>
        <v>0.18</v>
      </c>
      <c r="E67" s="70">
        <f>IF(VLOOKUP($C67,'Performance Pivot'!$AI:$AV,3,0)="","",VLOOKUP($C67,'Performance Pivot'!$AI:$AV,3,0))</f>
        <v>0.1</v>
      </c>
      <c r="F67" s="70">
        <f>IF(VLOOKUP($C67,'Performance Pivot'!$AI:$AV,4,0)="","",VLOOKUP($C67,'Performance Pivot'!$AI:$AV,4,0))</f>
        <v>0.06</v>
      </c>
      <c r="G67" s="70">
        <f>IF(VLOOKUP($C67,'Performance Pivot'!$AI:$AV,5,0)="","",VLOOKUP($C67,'Performance Pivot'!$AI:$AV,5,0))</f>
        <v>0.13999999999999999</v>
      </c>
      <c r="H67" s="70">
        <f>IF(VLOOKUP($C67,'Performance Pivot'!$AI:$AV,6,0)="","",VLOOKUP($C67,'Performance Pivot'!$AI:$AV,6,0))</f>
        <v>0.05</v>
      </c>
      <c r="I67" s="70">
        <f>IF(VLOOKUP($C67,'Performance Pivot'!$AI:$AV,7,0)="","",VLOOKUP($C67,'Performance Pivot'!$AI:$AV,7,0))</f>
        <v>0.13</v>
      </c>
      <c r="J67" s="70">
        <f>IF(VLOOKUP($C67,'Performance Pivot'!$AI:$AV,8,0)="","",VLOOKUP($C67,'Performance Pivot'!$AI:$AV,8,0))</f>
        <v>0.02</v>
      </c>
      <c r="K67" s="70">
        <f>IF(VLOOKUP($C67,'Performance Pivot'!$AI:$AV,9,0)="","",VLOOKUP($C67,'Performance Pivot'!$AI:$AV,9,0))</f>
        <v>0.05</v>
      </c>
      <c r="L67" s="70">
        <f>IF(VLOOKUP($C67,'Performance Pivot'!$AI:$AV,10,0)="","",VLOOKUP($C67,'Performance Pivot'!$AI:$AV,10,0))</f>
        <v>0.01</v>
      </c>
      <c r="M67" s="70">
        <f>IF(VLOOKUP($C67,'Performance Pivot'!$AI:$AV,11,0)="","",VLOOKUP($C67,'Performance Pivot'!$AI:$AV,11,0))</f>
        <v>0.02</v>
      </c>
      <c r="N67" s="70">
        <f>IF(VLOOKUP($C67,'Performance Pivot'!$AI:$AV,12,0)="","",VLOOKUP($C67,'Performance Pivot'!$AI:$AV,12,0))</f>
        <v>0</v>
      </c>
      <c r="O67" s="70">
        <f>IF(VLOOKUP($C67,'Performance Pivot'!$AI:$AV,13,0)="","",VLOOKUP($C67,'Performance Pivot'!$AI:$AV,13,0))</f>
        <v>0</v>
      </c>
      <c r="P67" s="70">
        <f>IF(VLOOKUP($C67,'Performance Pivot'!$AI:$AW,15,0)="","",VLOOKUP($C67,'Performance Pivot'!$AI:$AW,15,0))</f>
        <v>0</v>
      </c>
      <c r="Q67" s="52"/>
      <c r="R67" s="52"/>
      <c r="S67" s="89">
        <f t="shared" si="21"/>
        <v>42186</v>
      </c>
      <c r="T67" s="70">
        <f>IF(VLOOKUP($S67,'Performance Pivot'!$AZ:$BM,2,0)="","",VLOOKUP($S67,'Performance Pivot'!$AZ:$BM,2,0))</f>
        <v>0.25656643697192294</v>
      </c>
      <c r="U67" s="70">
        <f>IF(VLOOKUP($S67,'Performance Pivot'!$AZ:$BM,3,0)="","",VLOOKUP($S67,'Performance Pivot'!$AZ:$BM,3,0))</f>
        <v>0.23781053685096365</v>
      </c>
      <c r="V67" s="70">
        <f>IF(VLOOKUP($S67,'Performance Pivot'!$AZ:$BM,4,0)="","",VLOOKUP($S67,'Performance Pivot'!$AZ:$BM,4,0))</f>
        <v>0.22512693792984648</v>
      </c>
      <c r="W67" s="70">
        <f>IF(VLOOKUP($S67,'Performance Pivot'!$AZ:$BM,5,0)="","",VLOOKUP($S67,'Performance Pivot'!$AZ:$BM,5,0))</f>
        <v>0.38139167617423636</v>
      </c>
      <c r="X67" s="70">
        <f>IF(VLOOKUP($S67,'Performance Pivot'!$AZ:$BM,6,0)="","",VLOOKUP($S67,'Performance Pivot'!$AZ:$BM,6,0))</f>
        <v>0.26981600274510825</v>
      </c>
      <c r="Y67" s="70">
        <f>IF(VLOOKUP($S67,'Performance Pivot'!$AZ:$BM,7,0)="","",VLOOKUP($S67,'Performance Pivot'!$AZ:$BM,7,0))</f>
        <v>0.44452311364198216</v>
      </c>
      <c r="Z67" s="70">
        <f>IF(VLOOKUP($S67,'Performance Pivot'!$AZ:$BM,8,0)="","",VLOOKUP($S67,'Performance Pivot'!$AZ:$BM,8,0))</f>
        <v>0.29469265605312628</v>
      </c>
      <c r="AA67" s="70">
        <f>IF(VLOOKUP($S67,'Performance Pivot'!$AZ:$BM,9,0)="","",VLOOKUP($S67,'Performance Pivot'!$AZ:$BM,9,0))</f>
        <v>0.43849463996708909</v>
      </c>
      <c r="AB67" s="70">
        <f>IF(VLOOKUP($S67,'Performance Pivot'!$AZ:$BM,10,0)="","",VLOOKUP($S67,'Performance Pivot'!$AZ:$BM,10,0))</f>
        <v>0.3442704843269872</v>
      </c>
      <c r="AC67" s="70">
        <f>IF(VLOOKUP($S67,'Performance Pivot'!$AZ:$BM,11,0)="","",VLOOKUP($S67,'Performance Pivot'!$AZ:$BM,11,0))</f>
        <v>0.46578005803016914</v>
      </c>
      <c r="AD67" s="70">
        <f>IF(VLOOKUP($S67,'Performance Pivot'!$AZ:$BM,12,0)="","",VLOOKUP($S67,'Performance Pivot'!$AZ:$BM,12,0))</f>
        <v>0.32688519761378731</v>
      </c>
      <c r="AE67" s="70">
        <f>IF(VLOOKUP($S67,'Performance Pivot'!$AZ:$BM,13,0)="","",VLOOKUP($S67,'Performance Pivot'!$AZ:$BM,13,0))</f>
        <v>0.39151815653233318</v>
      </c>
      <c r="AF67" s="70">
        <f>IF(VLOOKUP($S67,'Performance Pivot'!$AZ:$BN,15,0)="","",VLOOKUP($S67,'Performance Pivot'!$AZ:$BN,15,0))</f>
        <v>0.29994536957885415</v>
      </c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</row>
    <row r="68" spans="3:45" s="71" customFormat="1" ht="21" customHeight="1">
      <c r="C68" s="73">
        <f t="shared" si="20"/>
        <v>42217</v>
      </c>
      <c r="D68" s="75">
        <f>IF(VLOOKUP($C68,'Performance Pivot'!$AI:$AV,2,0)="","",VLOOKUP($C68,'Performance Pivot'!$AI:$AV,2,0))</f>
        <v>0.18</v>
      </c>
      <c r="E68" s="75">
        <f>IF(VLOOKUP($C68,'Performance Pivot'!$AI:$AV,3,0)="","",VLOOKUP($C68,'Performance Pivot'!$AI:$AV,3,0))</f>
        <v>0.11</v>
      </c>
      <c r="F68" s="75">
        <f>IF(VLOOKUP($C68,'Performance Pivot'!$AI:$AV,4,0)="","",VLOOKUP($C68,'Performance Pivot'!$AI:$AV,4,0))</f>
        <v>0.06</v>
      </c>
      <c r="G68" s="75">
        <f>IF(VLOOKUP($C68,'Performance Pivot'!$AI:$AV,5,0)="","",VLOOKUP($C68,'Performance Pivot'!$AI:$AV,5,0))</f>
        <v>0.15</v>
      </c>
      <c r="H68" s="75">
        <f>IF(VLOOKUP($C68,'Performance Pivot'!$AI:$AV,6,0)="","",VLOOKUP($C68,'Performance Pivot'!$AI:$AV,6,0))</f>
        <v>0.06</v>
      </c>
      <c r="I68" s="75">
        <f>IF(VLOOKUP($C68,'Performance Pivot'!$AI:$AV,7,0)="","",VLOOKUP($C68,'Performance Pivot'!$AI:$AV,7,0))</f>
        <v>0.15</v>
      </c>
      <c r="J68" s="75">
        <f>IF(VLOOKUP($C68,'Performance Pivot'!$AI:$AV,8,0)="","",VLOOKUP($C68,'Performance Pivot'!$AI:$AV,8,0))</f>
        <v>0.02</v>
      </c>
      <c r="K68" s="75">
        <f>IF(VLOOKUP($C68,'Performance Pivot'!$AI:$AV,9,0)="","",VLOOKUP($C68,'Performance Pivot'!$AI:$AV,9,0))</f>
        <v>0.05</v>
      </c>
      <c r="L68" s="75">
        <f>IF(VLOOKUP($C68,'Performance Pivot'!$AI:$AV,10,0)="","",VLOOKUP($C68,'Performance Pivot'!$AI:$AV,10,0))</f>
        <v>0.02</v>
      </c>
      <c r="M68" s="75">
        <f>IF(VLOOKUP($C68,'Performance Pivot'!$AI:$AV,11,0)="","",VLOOKUP($C68,'Performance Pivot'!$AI:$AV,11,0))</f>
        <v>0.03</v>
      </c>
      <c r="N68" s="75">
        <f>IF(VLOOKUP($C68,'Performance Pivot'!$AI:$AV,12,0)="","",VLOOKUP($C68,'Performance Pivot'!$AI:$AV,12,0))</f>
        <v>0</v>
      </c>
      <c r="O68" s="75">
        <f>IF(VLOOKUP($C68,'Performance Pivot'!$AI:$AV,13,0)="","",VLOOKUP($C68,'Performance Pivot'!$AI:$AV,13,0))</f>
        <v>0</v>
      </c>
      <c r="P68" s="75">
        <f>IF(VLOOKUP($C68,'Performance Pivot'!$AI:$AW,15,0)="","",VLOOKUP($C68,'Performance Pivot'!$AI:$AW,15,0))</f>
        <v>0</v>
      </c>
      <c r="Q68" s="52"/>
      <c r="R68" s="52"/>
      <c r="S68" s="90">
        <f t="shared" si="21"/>
        <v>42217</v>
      </c>
      <c r="T68" s="75">
        <f>IF(VLOOKUP($S68,'Performance Pivot'!$AZ:$BM,2,0)="","",VLOOKUP($S68,'Performance Pivot'!$AZ:$BM,2,0))</f>
        <v>0.30463382454602372</v>
      </c>
      <c r="U68" s="75">
        <f>IF(VLOOKUP($S68,'Performance Pivot'!$AZ:$BM,3,0)="","",VLOOKUP($S68,'Performance Pivot'!$AZ:$BM,3,0))</f>
        <v>0.26326349274045657</v>
      </c>
      <c r="V68" s="75">
        <f>IF(VLOOKUP($S68,'Performance Pivot'!$AZ:$BM,4,0)="","",VLOOKUP($S68,'Performance Pivot'!$AZ:$BM,4,0))</f>
        <v>0.24639493685685268</v>
      </c>
      <c r="W68" s="75">
        <f>IF(VLOOKUP($S68,'Performance Pivot'!$AZ:$BM,5,0)="","",VLOOKUP($S68,'Performance Pivot'!$AZ:$BM,5,0))</f>
        <v>0.41809072122539032</v>
      </c>
      <c r="X68" s="75">
        <f>IF(VLOOKUP($S68,'Performance Pivot'!$AZ:$BM,6,0)="","",VLOOKUP($S68,'Performance Pivot'!$AZ:$BM,6,0))</f>
        <v>0.29093873386793073</v>
      </c>
      <c r="Y68" s="75">
        <f>IF(VLOOKUP($S68,'Performance Pivot'!$AZ:$BM,7,0)="","",VLOOKUP($S68,'Performance Pivot'!$AZ:$BM,7,0))</f>
        <v>0.45546926658362091</v>
      </c>
      <c r="Z68" s="75">
        <f>IF(VLOOKUP($S68,'Performance Pivot'!$AZ:$BM,8,0)="","",VLOOKUP($S68,'Performance Pivot'!$AZ:$BM,8,0))</f>
        <v>0.33517779423469857</v>
      </c>
      <c r="AA68" s="75">
        <f>IF(VLOOKUP($S68,'Performance Pivot'!$AZ:$BM,9,0)="","",VLOOKUP($S68,'Performance Pivot'!$AZ:$BM,9,0))</f>
        <v>0.46298498890604645</v>
      </c>
      <c r="AB68" s="75">
        <f>IF(VLOOKUP($S68,'Performance Pivot'!$AZ:$BM,10,0)="","",VLOOKUP($S68,'Performance Pivot'!$AZ:$BM,10,0))</f>
        <v>0.36924946671505698</v>
      </c>
      <c r="AC68" s="75">
        <f>IF(VLOOKUP($S68,'Performance Pivot'!$AZ:$BM,11,0)="","",VLOOKUP($S68,'Performance Pivot'!$AZ:$BM,11,0))</f>
        <v>0.50766880622992394</v>
      </c>
      <c r="AD68" s="75">
        <f>IF(VLOOKUP($S68,'Performance Pivot'!$AZ:$BM,12,0)="","",VLOOKUP($S68,'Performance Pivot'!$AZ:$BM,12,0))</f>
        <v>0.40300187186630548</v>
      </c>
      <c r="AE68" s="75">
        <f>IF(VLOOKUP($S68,'Performance Pivot'!$AZ:$BM,13,0)="","",VLOOKUP($S68,'Performance Pivot'!$AZ:$BM,13,0))</f>
        <v>0.49237611700963357</v>
      </c>
      <c r="AF68" s="75">
        <f>IF(VLOOKUP($S68,'Performance Pivot'!$AZ:$BN,15,0)="","",VLOOKUP($S68,'Performance Pivot'!$AZ:$BN,15,0))</f>
        <v>0.44362147772809724</v>
      </c>
      <c r="AG68" s="52"/>
      <c r="AH68" s="52"/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</row>
    <row r="69" spans="3:45" hidden="1">
      <c r="C69" s="76"/>
      <c r="D69" s="79">
        <v>0.1</v>
      </c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67"/>
      <c r="R69" s="67"/>
      <c r="T69" s="80" t="e">
        <f>IF(VLOOKUP($S69,'Performance Pivot'!$AZ:$BM,2,0)="","",VLOOKUP($S69,'Performance Pivot'!$AZ:$BM,2,0))</f>
        <v>#N/A</v>
      </c>
      <c r="U69" s="80" t="e">
        <f>IF(VLOOKUP($S69,'Performance Pivot'!$AZ:$BM,3,0)="","",VLOOKUP($S69,'Performance Pivot'!$AZ:$BM,3,0))</f>
        <v>#N/A</v>
      </c>
      <c r="V69" s="80" t="e">
        <f>IF(VLOOKUP($S69,'Performance Pivot'!$AZ:$BM,4,0)="","",VLOOKUP($S69,'Performance Pivot'!$AZ:$BM,4,0))</f>
        <v>#N/A</v>
      </c>
      <c r="W69" s="80" t="e">
        <f>IF(VLOOKUP($S69,'Performance Pivot'!$AZ:$BM,5,0)="","",VLOOKUP($S69,'Performance Pivot'!$AZ:$BM,5,0))</f>
        <v>#N/A</v>
      </c>
      <c r="X69" s="80" t="e">
        <f>IF(VLOOKUP($S69,'Performance Pivot'!$AZ:$BM,6,0)="","",VLOOKUP($S69,'Performance Pivot'!$AZ:$BM,6,0))</f>
        <v>#N/A</v>
      </c>
      <c r="Y69" s="80" t="e">
        <f>IF(VLOOKUP($S69,'Performance Pivot'!$AZ:$BM,7,0)="","",VLOOKUP($S69,'Performance Pivot'!$AZ:$BM,7,0))</f>
        <v>#N/A</v>
      </c>
      <c r="Z69" s="80" t="e">
        <f>IF(VLOOKUP($S69,'Performance Pivot'!$AZ:$BM,8,0)="","",VLOOKUP($S69,'Performance Pivot'!$AZ:$BM,8,0))</f>
        <v>#N/A</v>
      </c>
      <c r="AA69" s="80" t="e">
        <f>IF(VLOOKUP($S69,'Performance Pivot'!$AZ:$BM,9,0)="","",VLOOKUP($S69,'Performance Pivot'!$AZ:$BM,9,0))</f>
        <v>#N/A</v>
      </c>
      <c r="AB69" s="80" t="e">
        <f>IF(VLOOKUP($S69,'Performance Pivot'!$AZ:$BM,10,0)="","",VLOOKUP($S69,'Performance Pivot'!$AZ:$BM,10,0))</f>
        <v>#N/A</v>
      </c>
      <c r="AC69" s="80" t="e">
        <f>IF(VLOOKUP($S69,'Performance Pivot'!$AZ:$BM,11,0)="","",VLOOKUP($S69,'Performance Pivot'!$AZ:$BM,11,0))</f>
        <v>#N/A</v>
      </c>
      <c r="AD69" s="80" t="e">
        <f>IF(VLOOKUP($S69,'Performance Pivot'!$AZ:$BM,12,0)="","",VLOOKUP($S69,'Performance Pivot'!$AZ:$BM,12,0))</f>
        <v>#N/A</v>
      </c>
      <c r="AE69" s="80"/>
      <c r="AF69" s="80" t="e">
        <f>IF(VLOOKUP($S69,'Performance Pivot'!$AZ:$BM,14,0)="","",VLOOKUP($S69,'Performance Pivot'!$AZ:$BM,14,0))</f>
        <v>#N/A</v>
      </c>
    </row>
    <row r="70" spans="3:45">
      <c r="C70" s="76"/>
      <c r="D70" s="81">
        <f>IF(D47='Performance Pivot'!D17,1,0)</f>
        <v>1</v>
      </c>
      <c r="E70" s="81">
        <f>IF(E47='Performance Pivot'!E17,1,0)</f>
        <v>1</v>
      </c>
      <c r="F70" s="81">
        <f>IF(F47='Performance Pivot'!F17,1,0)</f>
        <v>1</v>
      </c>
      <c r="G70" s="81">
        <f>IF(G47='Performance Pivot'!G17,1,0)</f>
        <v>1</v>
      </c>
      <c r="H70" s="81">
        <f>IF(H47='Performance Pivot'!H17,1,0)</f>
        <v>1</v>
      </c>
      <c r="I70" s="81">
        <f>IF(I47='Performance Pivot'!I17,1,0)</f>
        <v>1</v>
      </c>
      <c r="J70" s="81">
        <f>IF(J47='Performance Pivot'!J17,1,0)</f>
        <v>1</v>
      </c>
      <c r="K70" s="81">
        <f>IF(K47='Performance Pivot'!K17,1,0)</f>
        <v>1</v>
      </c>
      <c r="L70" s="81">
        <f>IF(L47='Performance Pivot'!L17,1,0)</f>
        <v>1</v>
      </c>
      <c r="M70" s="81">
        <f>IF(M47='Performance Pivot'!M17,1,0)</f>
        <v>1</v>
      </c>
      <c r="N70" s="81">
        <f>IF(N47='Performance Pivot'!N17,1,0)</f>
        <v>1</v>
      </c>
      <c r="O70" s="81">
        <f>IF(O47='Performance Pivot'!O17,1,0)</f>
        <v>1</v>
      </c>
      <c r="P70" s="79"/>
      <c r="Q70" s="67"/>
      <c r="R70" s="6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</row>
  </sheetData>
  <mergeCells count="4">
    <mergeCell ref="C15:P15"/>
    <mergeCell ref="S15:AF15"/>
    <mergeCell ref="C44:P44"/>
    <mergeCell ref="S44:AF44"/>
  </mergeCells>
  <conditionalFormatting sqref="D69">
    <cfRule type="dataBar" priority="15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{71313B37-C41B-4E33-8246-EAB640BF00E1}</x14:id>
        </ext>
      </extLst>
    </cfRule>
  </conditionalFormatting>
  <conditionalFormatting sqref="D70:O70">
    <cfRule type="cellIs" dxfId="117" priority="1" operator="equal">
      <formula>1</formula>
    </cfRule>
  </conditionalFormatting>
  <conditionalFormatting sqref="E69:P69">
    <cfRule type="dataBar" priority="16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{B8A18F1B-1D59-4ED1-A0AA-93E72B9B0B8E}</x14:id>
        </ext>
      </extLst>
    </cfRule>
  </conditionalFormatting>
  <conditionalFormatting sqref="D69:P69">
    <cfRule type="dataBar" priority="18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{B2112622-669B-445D-99BA-B25857EFC3CB}</x14:id>
        </ext>
      </extLst>
    </cfRule>
  </conditionalFormatting>
  <conditionalFormatting sqref="D41:P41">
    <cfRule type="dataBar" priority="20">
      <dataBar>
        <cfvo type="min"/>
        <cfvo type="max"/>
        <color theme="3" tint="0.59999389629810485"/>
      </dataBar>
      <extLst>
        <ext xmlns:x14="http://schemas.microsoft.com/office/spreadsheetml/2009/9/main" uri="{B025F937-C7B1-47D3-B67F-A62EFF666E3E}">
          <x14:id>{E43E9214-11BE-442F-83A9-2F4F79093CCC}</x14:id>
        </ext>
      </extLst>
    </cfRule>
  </conditionalFormatting>
  <conditionalFormatting sqref="T41:AF41">
    <cfRule type="dataBar" priority="2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{11BE0062-90F8-4B06-BDCA-5E7CFF72AC51}</x14:id>
        </ext>
      </extLst>
    </cfRule>
  </conditionalFormatting>
  <conditionalFormatting sqref="T40:AE40">
    <cfRule type="dataBar" priority="2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{1387F7A8-D797-4F48-9082-5F268F8B9A09}</x14:id>
        </ext>
      </extLst>
    </cfRule>
  </conditionalFormatting>
  <conditionalFormatting sqref="AF19:AF40 T19:AE39">
    <cfRule type="dataBar" priority="2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{310E3DDE-B803-4943-98D5-14AA8D07FD3B}</x14:id>
        </ext>
      </extLst>
    </cfRule>
  </conditionalFormatting>
  <conditionalFormatting sqref="D19:P39">
    <cfRule type="dataBar" priority="3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{ABF627F4-E84A-48E2-80DA-B76DFD01E579}</x14:id>
        </ext>
      </extLst>
    </cfRule>
  </conditionalFormatting>
  <conditionalFormatting sqref="D48:P68">
    <cfRule type="dataBar" priority="3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{2F268727-04AD-495A-A1E7-BDA0FA8ACAD8}</x14:id>
        </ext>
      </extLst>
    </cfRule>
  </conditionalFormatting>
  <conditionalFormatting sqref="T48:AF68">
    <cfRule type="dataBar" priority="3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{D6A5542D-40A2-42FD-9DD4-16FCF0FC8C66}</x14:id>
        </ext>
      </extLst>
    </cfRule>
  </conditionalFormatting>
  <dataValidations count="2">
    <dataValidation type="list" allowBlank="1" showInputMessage="1" showErrorMessage="1" sqref="AL1">
      <formula1>"Yes, No"</formula1>
    </dataValidation>
    <dataValidation type="list" allowBlank="1" showInputMessage="1" showErrorMessage="1" sqref="AJ1">
      <formula1>"PROD, DEV"</formula1>
    </dataValidation>
  </dataValidations>
  <pageMargins left="0.25" right="0.25" top="0.255" bottom="0.25" header="0.1" footer="0.1"/>
  <pageSetup scale="44" orientation="landscape" r:id="rId1"/>
  <headerFooter scaleWithDoc="0">
    <oddHeader>&amp;L&amp;G&amp;R&amp;"-,Bold"&amp;10&amp;K2E398A
&amp;C&amp;"-,Bold"&amp;15&amp;K2E398A
Deal Surveillance Summary: 8/2015</oddHeader>
    <oddFooter xml:space="preserve">&amp;L&amp;10&amp;K2E398AReport created on &amp;D &amp;T&amp;C&amp;G
</oddFooter>
  </headerFooter>
  <colBreaks count="1" manualBreakCount="1">
    <brk id="34" max="1048575" man="1"/>
  </colBreak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313B37-C41B-4E33-8246-EAB640BF00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D69</xm:sqref>
        </x14:conditionalFormatting>
        <x14:conditionalFormatting xmlns:xm="http://schemas.microsoft.com/office/excel/2006/main">
          <x14:cfRule type="dataBar" id="{B8A18F1B-1D59-4ED1-A0AA-93E72B9B0B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E69:P69</xm:sqref>
        </x14:conditionalFormatting>
        <x14:conditionalFormatting xmlns:xm="http://schemas.microsoft.com/office/excel/2006/main">
          <x14:cfRule type="dataBar" id="{B2112622-669B-445D-99BA-B25857EFC3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D69:P69</xm:sqref>
        </x14:conditionalFormatting>
        <x14:conditionalFormatting xmlns:xm="http://schemas.microsoft.com/office/excel/2006/main">
          <x14:cfRule type="dataBar" id="{E43E9214-11BE-442F-83A9-2F4F79093C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D41:P41</xm:sqref>
        </x14:conditionalFormatting>
        <x14:conditionalFormatting xmlns:xm="http://schemas.microsoft.com/office/excel/2006/main">
          <x14:cfRule type="dataBar" id="{11BE0062-90F8-4B06-BDCA-5E7CFF72AC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T41:AF41</xm:sqref>
        </x14:conditionalFormatting>
        <x14:conditionalFormatting xmlns:xm="http://schemas.microsoft.com/office/excel/2006/main">
          <x14:cfRule type="dataBar" id="{1387F7A8-D797-4F48-9082-5F268F8B9A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T40:AE40</xm:sqref>
        </x14:conditionalFormatting>
        <x14:conditionalFormatting xmlns:xm="http://schemas.microsoft.com/office/excel/2006/main">
          <x14:cfRule type="dataBar" id="{310E3DDE-B803-4943-98D5-14AA8D07FD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AF19:AF40 T19:AE39</xm:sqref>
        </x14:conditionalFormatting>
        <x14:conditionalFormatting xmlns:xm="http://schemas.microsoft.com/office/excel/2006/main">
          <x14:cfRule type="dataBar" id="{ABF627F4-E84A-48E2-80DA-B76DFD01E5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D19:P39</xm:sqref>
        </x14:conditionalFormatting>
        <x14:conditionalFormatting xmlns:xm="http://schemas.microsoft.com/office/excel/2006/main">
          <x14:cfRule type="dataBar" id="{2F268727-04AD-495A-A1E7-BDA0FA8ACAD8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D48:P68</xm:sqref>
        </x14:conditionalFormatting>
        <x14:conditionalFormatting xmlns:xm="http://schemas.microsoft.com/office/excel/2006/main">
          <x14:cfRule type="dataBar" id="{D6A5542D-40A2-42FD-9DD4-16FCF0FC8C66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T48:AF68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  <pageSetUpPr fitToPage="1"/>
  </sheetPr>
  <dimension ref="B12:BN74"/>
  <sheetViews>
    <sheetView showGridLines="0" topLeftCell="V1" zoomScale="85" zoomScaleNormal="85" workbookViewId="0">
      <selection activeCell="BE49" sqref="BE49"/>
    </sheetView>
  </sheetViews>
  <sheetFormatPr defaultRowHeight="15"/>
  <cols>
    <col min="1" max="1" width="9.140625" customWidth="1"/>
    <col min="3" max="3" width="15.140625" customWidth="1"/>
    <col min="4" max="4" width="17.85546875" customWidth="1"/>
    <col min="5" max="17" width="5.140625" customWidth="1"/>
    <col min="18" max="18" width="2.85546875" customWidth="1"/>
    <col min="19" max="19" width="15.140625" customWidth="1"/>
    <col min="20" max="20" width="17.85546875" customWidth="1"/>
    <col min="21" max="33" width="5.140625" customWidth="1"/>
    <col min="34" max="34" width="13.28515625" customWidth="1"/>
    <col min="35" max="35" width="16.42578125" customWidth="1"/>
    <col min="36" max="36" width="17.85546875" bestFit="1" customWidth="1"/>
    <col min="37" max="49" width="5.140625" customWidth="1"/>
    <col min="52" max="52" width="15.140625" bestFit="1" customWidth="1"/>
    <col min="53" max="53" width="17.85546875" bestFit="1" customWidth="1"/>
    <col min="54" max="66" width="5.140625" customWidth="1"/>
  </cols>
  <sheetData>
    <row r="12" spans="2:66" ht="13.5" customHeight="1"/>
    <row r="14" spans="2:66" s="1" customFormat="1" ht="18" customHeight="1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V14"/>
      <c r="W14"/>
      <c r="X14"/>
      <c r="Y14"/>
      <c r="Z14"/>
      <c r="AA14"/>
      <c r="AB14"/>
      <c r="AC14"/>
      <c r="AD14"/>
    </row>
    <row r="15" spans="2:66" s="2" customFormat="1" ht="19.5" customHeight="1">
      <c r="B15"/>
      <c r="C15" s="101" t="s">
        <v>7</v>
      </c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4"/>
      <c r="R15" s="4"/>
      <c r="S15" s="102" t="s">
        <v>8</v>
      </c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/>
      <c r="AH15"/>
      <c r="AI15" s="103" t="s">
        <v>19</v>
      </c>
      <c r="AJ15" s="103"/>
      <c r="AK15" s="103"/>
      <c r="AL15" s="103"/>
      <c r="AM15" s="103"/>
      <c r="AN15" s="103"/>
      <c r="AO15" s="103"/>
      <c r="AP15" s="103"/>
      <c r="AQ15" s="103"/>
      <c r="AR15" s="103"/>
      <c r="AS15" s="103"/>
      <c r="AT15" s="103"/>
      <c r="AU15" s="103"/>
      <c r="AV15" s="103"/>
      <c r="AW15" s="4"/>
      <c r="AX15" s="4"/>
      <c r="AY15" s="4"/>
      <c r="AZ15" s="104" t="s">
        <v>20</v>
      </c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4"/>
      <c r="BL15" s="104"/>
      <c r="BM15" s="104"/>
    </row>
    <row r="16" spans="2:66" s="2" customFormat="1">
      <c r="B16"/>
      <c r="C16" s="20" t="s">
        <v>9</v>
      </c>
      <c r="D16" s="20" t="s">
        <v>10</v>
      </c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4"/>
      <c r="S16" s="20" t="s">
        <v>8</v>
      </c>
      <c r="T16" s="20" t="s">
        <v>10</v>
      </c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/>
      <c r="AI16" s="20" t="s">
        <v>85</v>
      </c>
      <c r="AJ16" s="20" t="s">
        <v>10</v>
      </c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4"/>
      <c r="AY16" s="4"/>
      <c r="AZ16" s="20" t="s">
        <v>84</v>
      </c>
      <c r="BA16" s="20" t="s">
        <v>10</v>
      </c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</row>
    <row r="17" spans="2:66" s="46" customFormat="1" ht="12.75">
      <c r="C17" s="55" t="s">
        <v>11</v>
      </c>
      <c r="D17" s="99" t="s">
        <v>115</v>
      </c>
      <c r="E17" s="99" t="s">
        <v>123</v>
      </c>
      <c r="F17" s="99" t="s">
        <v>131</v>
      </c>
      <c r="G17" s="99" t="s">
        <v>138</v>
      </c>
      <c r="H17" s="99" t="s">
        <v>146</v>
      </c>
      <c r="I17" s="99" t="s">
        <v>153</v>
      </c>
      <c r="J17" s="99" t="s">
        <v>161</v>
      </c>
      <c r="K17" s="99" t="s">
        <v>168</v>
      </c>
      <c r="L17" s="99" t="s">
        <v>176</v>
      </c>
      <c r="M17" s="99" t="s">
        <v>183</v>
      </c>
      <c r="N17" s="99" t="s">
        <v>191</v>
      </c>
      <c r="O17" s="99" t="s">
        <v>198</v>
      </c>
      <c r="P17" s="99" t="s">
        <v>230</v>
      </c>
      <c r="Q17" s="99" t="s">
        <v>231</v>
      </c>
      <c r="R17" s="47"/>
      <c r="S17" s="48" t="s">
        <v>11</v>
      </c>
      <c r="T17" s="99" t="s">
        <v>115</v>
      </c>
      <c r="U17" s="99" t="s">
        <v>123</v>
      </c>
      <c r="V17" s="99" t="s">
        <v>131</v>
      </c>
      <c r="W17" s="99" t="s">
        <v>138</v>
      </c>
      <c r="X17" s="99" t="s">
        <v>146</v>
      </c>
      <c r="Y17" s="99" t="s">
        <v>153</v>
      </c>
      <c r="Z17" s="99" t="s">
        <v>161</v>
      </c>
      <c r="AA17" s="99" t="s">
        <v>168</v>
      </c>
      <c r="AB17" s="99" t="s">
        <v>176</v>
      </c>
      <c r="AC17" s="99" t="s">
        <v>183</v>
      </c>
      <c r="AD17" s="99" t="s">
        <v>191</v>
      </c>
      <c r="AE17" s="99" t="s">
        <v>198</v>
      </c>
      <c r="AF17" s="99" t="s">
        <v>230</v>
      </c>
      <c r="AG17" s="99" t="s">
        <v>231</v>
      </c>
      <c r="AI17" s="50" t="s">
        <v>11</v>
      </c>
      <c r="AJ17" s="99" t="s">
        <v>115</v>
      </c>
      <c r="AK17" s="99" t="s">
        <v>123</v>
      </c>
      <c r="AL17" s="99" t="s">
        <v>131</v>
      </c>
      <c r="AM17" s="99" t="s">
        <v>138</v>
      </c>
      <c r="AN17" s="99" t="s">
        <v>146</v>
      </c>
      <c r="AO17" s="99" t="s">
        <v>153</v>
      </c>
      <c r="AP17" s="99" t="s">
        <v>161</v>
      </c>
      <c r="AQ17" s="99" t="s">
        <v>168</v>
      </c>
      <c r="AR17" s="99" t="s">
        <v>176</v>
      </c>
      <c r="AS17" s="99" t="s">
        <v>183</v>
      </c>
      <c r="AT17" s="99" t="s">
        <v>191</v>
      </c>
      <c r="AU17" s="99" t="s">
        <v>198</v>
      </c>
      <c r="AV17" s="99" t="s">
        <v>230</v>
      </c>
      <c r="AW17" s="99" t="s">
        <v>231</v>
      </c>
      <c r="AX17" s="47"/>
      <c r="AY17" s="47"/>
      <c r="AZ17" s="51" t="s">
        <v>11</v>
      </c>
      <c r="BA17" s="99" t="s">
        <v>115</v>
      </c>
      <c r="BB17" s="99" t="s">
        <v>123</v>
      </c>
      <c r="BC17" s="99" t="s">
        <v>131</v>
      </c>
      <c r="BD17" s="99" t="s">
        <v>138</v>
      </c>
      <c r="BE17" s="99" t="s">
        <v>146</v>
      </c>
      <c r="BF17" s="99" t="s">
        <v>153</v>
      </c>
      <c r="BG17" s="99" t="s">
        <v>161</v>
      </c>
      <c r="BH17" s="99" t="s">
        <v>168</v>
      </c>
      <c r="BI17" s="99" t="s">
        <v>176</v>
      </c>
      <c r="BJ17" s="99" t="s">
        <v>183</v>
      </c>
      <c r="BK17" s="99" t="s">
        <v>191</v>
      </c>
      <c r="BL17" s="99" t="s">
        <v>198</v>
      </c>
      <c r="BM17" s="99" t="s">
        <v>230</v>
      </c>
      <c r="BN17" s="99" t="s">
        <v>231</v>
      </c>
    </row>
    <row r="18" spans="2:66" s="12" customFormat="1" ht="18" customHeight="1">
      <c r="B18" s="10"/>
      <c r="C18" s="13">
        <v>42217</v>
      </c>
      <c r="D18" s="14">
        <v>9.5663999999999998</v>
      </c>
      <c r="E18" s="14">
        <v>8.1979000000000006</v>
      </c>
      <c r="F18" s="14">
        <v>7.7897999999999996</v>
      </c>
      <c r="G18" s="14">
        <v>9.5653000000000006</v>
      </c>
      <c r="H18" s="14">
        <v>8.6905000000000001</v>
      </c>
      <c r="I18" s="14">
        <v>10.429500000000001</v>
      </c>
      <c r="J18" s="14">
        <v>10.2424</v>
      </c>
      <c r="K18" s="14">
        <v>12.601000000000001</v>
      </c>
      <c r="L18" s="14">
        <v>15.266299999999999</v>
      </c>
      <c r="M18" s="14">
        <v>16.686299999999999</v>
      </c>
      <c r="N18" s="14">
        <v>15.1731</v>
      </c>
      <c r="O18" s="14">
        <v>14.5806</v>
      </c>
      <c r="P18" s="14">
        <v>12.286300000000001</v>
      </c>
      <c r="Q18" s="14">
        <v>11.6434</v>
      </c>
      <c r="R18" s="11"/>
      <c r="S18" s="13">
        <v>42217</v>
      </c>
      <c r="T18" s="15">
        <v>6.8999999999999999E-3</v>
      </c>
      <c r="U18" s="15">
        <v>0.1067</v>
      </c>
      <c r="V18" s="15">
        <v>6.4899999999999999E-2</v>
      </c>
      <c r="W18" s="15">
        <v>0.10340000000000001</v>
      </c>
      <c r="X18" s="15">
        <v>0.1124</v>
      </c>
      <c r="Y18" s="15">
        <v>0.24030000000000001</v>
      </c>
      <c r="Z18" s="15">
        <v>7.4999999999999997E-2</v>
      </c>
      <c r="AA18" s="15">
        <v>8.1799999999999998E-2</v>
      </c>
      <c r="AB18" s="15">
        <v>0.13589999999999999</v>
      </c>
      <c r="AC18" s="15">
        <v>0.12429999999999999</v>
      </c>
      <c r="AD18" s="15">
        <v>0</v>
      </c>
      <c r="AE18" s="15">
        <v>0</v>
      </c>
      <c r="AF18" s="15">
        <v>0</v>
      </c>
      <c r="AG18" s="15">
        <v>0</v>
      </c>
      <c r="AH18" s="10"/>
      <c r="AI18" s="13">
        <v>42217</v>
      </c>
      <c r="AJ18" s="15">
        <v>0.18</v>
      </c>
      <c r="AK18" s="15">
        <v>0.11</v>
      </c>
      <c r="AL18" s="15">
        <v>0.06</v>
      </c>
      <c r="AM18" s="15">
        <v>0.15</v>
      </c>
      <c r="AN18" s="15">
        <v>0.06</v>
      </c>
      <c r="AO18" s="15">
        <v>0.15</v>
      </c>
      <c r="AP18" s="15">
        <v>0.02</v>
      </c>
      <c r="AQ18" s="15">
        <v>0.05</v>
      </c>
      <c r="AR18" s="15">
        <v>0.02</v>
      </c>
      <c r="AS18" s="15">
        <v>0.03</v>
      </c>
      <c r="AT18" s="15">
        <v>0</v>
      </c>
      <c r="AU18" s="15">
        <v>0</v>
      </c>
      <c r="AV18" s="15">
        <v>0</v>
      </c>
      <c r="AW18" s="15">
        <v>0</v>
      </c>
      <c r="AX18" s="11"/>
      <c r="AY18" s="11"/>
      <c r="AZ18" s="13">
        <v>42217</v>
      </c>
      <c r="BA18" s="15">
        <v>0.30463382454602372</v>
      </c>
      <c r="BB18" s="15">
        <v>0.26326349274045657</v>
      </c>
      <c r="BC18" s="15">
        <v>0.24639493685685268</v>
      </c>
      <c r="BD18" s="15">
        <v>0.41809072122539032</v>
      </c>
      <c r="BE18" s="15">
        <v>0.29093873386793073</v>
      </c>
      <c r="BF18" s="15">
        <v>0.45546926658362091</v>
      </c>
      <c r="BG18" s="15">
        <v>0.33517779423469857</v>
      </c>
      <c r="BH18" s="15">
        <v>0.46298498890604645</v>
      </c>
      <c r="BI18" s="15">
        <v>0.36924946671505698</v>
      </c>
      <c r="BJ18" s="15">
        <v>0.50766880622992394</v>
      </c>
      <c r="BK18" s="15">
        <v>0.40300187186630548</v>
      </c>
      <c r="BL18" s="15">
        <v>0.49237611700963357</v>
      </c>
      <c r="BM18" s="15">
        <v>0.31858315423231492</v>
      </c>
      <c r="BN18" s="15">
        <v>0.44362147772809724</v>
      </c>
    </row>
    <row r="19" spans="2:66" s="12" customFormat="1" ht="18" customHeight="1">
      <c r="B19" s="10"/>
      <c r="C19" s="13">
        <v>42186</v>
      </c>
      <c r="D19" s="14">
        <v>10.3452</v>
      </c>
      <c r="E19" s="14">
        <v>8.8036999999999992</v>
      </c>
      <c r="F19" s="14">
        <v>9.3354999999999997</v>
      </c>
      <c r="G19" s="14">
        <v>12.233599999999999</v>
      </c>
      <c r="H19" s="14">
        <v>9.4411000000000005</v>
      </c>
      <c r="I19" s="14">
        <v>12.856400000000001</v>
      </c>
      <c r="J19" s="14">
        <v>12.2501</v>
      </c>
      <c r="K19" s="14">
        <v>13.8436</v>
      </c>
      <c r="L19" s="14">
        <v>17.728899999999999</v>
      </c>
      <c r="M19" s="14">
        <v>19.144100000000002</v>
      </c>
      <c r="N19" s="14">
        <v>16.952400000000001</v>
      </c>
      <c r="O19" s="14">
        <v>16.3201</v>
      </c>
      <c r="P19" s="14">
        <v>13.5601</v>
      </c>
      <c r="Q19" s="14">
        <v>12.1586</v>
      </c>
      <c r="R19" s="11"/>
      <c r="S19" s="13">
        <v>42186</v>
      </c>
      <c r="T19" s="15">
        <v>0.13550000000000001</v>
      </c>
      <c r="U19" s="15">
        <v>4.5699999999999998E-2</v>
      </c>
      <c r="V19" s="15">
        <v>7.2499999999999995E-2</v>
      </c>
      <c r="W19" s="15">
        <v>9.3299999999999994E-2</v>
      </c>
      <c r="X19" s="15">
        <v>9.5299999999999996E-2</v>
      </c>
      <c r="Y19" s="15">
        <v>0.17649999999999999</v>
      </c>
      <c r="Z19" s="15">
        <v>6.4799999999999996E-2</v>
      </c>
      <c r="AA19" s="15">
        <v>0.21029999999999999</v>
      </c>
      <c r="AB19" s="15">
        <v>8.2699999999999996E-2</v>
      </c>
      <c r="AC19" s="15">
        <v>0.15110000000000001</v>
      </c>
      <c r="AD19" s="15">
        <v>0</v>
      </c>
      <c r="AE19" s="15">
        <v>0</v>
      </c>
      <c r="AF19" s="15">
        <v>0</v>
      </c>
      <c r="AG19" s="15">
        <v>0</v>
      </c>
      <c r="AH19" s="10"/>
      <c r="AI19" s="13">
        <v>42186</v>
      </c>
      <c r="AJ19" s="15">
        <v>0.18</v>
      </c>
      <c r="AK19" s="15">
        <v>0.1</v>
      </c>
      <c r="AL19" s="15">
        <v>0.06</v>
      </c>
      <c r="AM19" s="15">
        <v>0.13999999999999999</v>
      </c>
      <c r="AN19" s="15">
        <v>0.05</v>
      </c>
      <c r="AO19" s="15">
        <v>0.13</v>
      </c>
      <c r="AP19" s="15">
        <v>0.02</v>
      </c>
      <c r="AQ19" s="15">
        <v>0.05</v>
      </c>
      <c r="AR19" s="15">
        <v>0.01</v>
      </c>
      <c r="AS19" s="15">
        <v>0.02</v>
      </c>
      <c r="AT19" s="15">
        <v>0</v>
      </c>
      <c r="AU19" s="15">
        <v>0</v>
      </c>
      <c r="AV19" s="15">
        <v>0</v>
      </c>
      <c r="AW19" s="15">
        <v>0</v>
      </c>
      <c r="AX19" s="11"/>
      <c r="AY19" s="11"/>
      <c r="AZ19" s="13">
        <v>42186</v>
      </c>
      <c r="BA19" s="15">
        <v>0.25656643697192294</v>
      </c>
      <c r="BB19" s="15">
        <v>0.23781053685096365</v>
      </c>
      <c r="BC19" s="15">
        <v>0.22512693792984648</v>
      </c>
      <c r="BD19" s="15">
        <v>0.38139167617423636</v>
      </c>
      <c r="BE19" s="15">
        <v>0.26981600274510825</v>
      </c>
      <c r="BF19" s="15">
        <v>0.44452311364198216</v>
      </c>
      <c r="BG19" s="15">
        <v>0.29469265605312628</v>
      </c>
      <c r="BH19" s="15">
        <v>0.43849463996708909</v>
      </c>
      <c r="BI19" s="15">
        <v>0.3442704843269872</v>
      </c>
      <c r="BJ19" s="15">
        <v>0.46578005803016914</v>
      </c>
      <c r="BK19" s="15">
        <v>0.32688519761378731</v>
      </c>
      <c r="BL19" s="15">
        <v>0.39151815653233318</v>
      </c>
      <c r="BM19" s="15">
        <v>0.27854082307664707</v>
      </c>
      <c r="BN19" s="15">
        <v>0.29994536957885415</v>
      </c>
    </row>
    <row r="20" spans="2:66" s="12" customFormat="1" ht="18" customHeight="1">
      <c r="B20" s="10"/>
      <c r="C20" s="13">
        <v>42156</v>
      </c>
      <c r="D20" s="14">
        <v>12.243600000000001</v>
      </c>
      <c r="E20" s="14">
        <v>10.8786</v>
      </c>
      <c r="F20" s="14">
        <v>10.3215</v>
      </c>
      <c r="G20" s="14">
        <v>12.668900000000001</v>
      </c>
      <c r="H20" s="14">
        <v>10.8531</v>
      </c>
      <c r="I20" s="14">
        <v>13.1846</v>
      </c>
      <c r="J20" s="14">
        <v>14.001300000000001</v>
      </c>
      <c r="K20" s="14">
        <v>15.7277</v>
      </c>
      <c r="L20" s="14">
        <v>22.712499999999999</v>
      </c>
      <c r="M20" s="14">
        <v>23.0063</v>
      </c>
      <c r="N20" s="14">
        <v>22.103400000000001</v>
      </c>
      <c r="O20" s="14">
        <v>19.972300000000001</v>
      </c>
      <c r="P20" s="14"/>
      <c r="Q20" s="14"/>
      <c r="R20" s="11"/>
      <c r="S20" s="13">
        <v>42156</v>
      </c>
      <c r="T20" s="15">
        <v>0.20599999999999999</v>
      </c>
      <c r="U20" s="15">
        <v>8.43E-2</v>
      </c>
      <c r="V20" s="15">
        <v>7.7299999999999994E-2</v>
      </c>
      <c r="W20" s="15">
        <v>0.2374</v>
      </c>
      <c r="X20" s="15">
        <v>7.2400000000000006E-2</v>
      </c>
      <c r="Y20" s="15">
        <v>0.2702</v>
      </c>
      <c r="Z20" s="15">
        <v>3.2300000000000002E-2</v>
      </c>
      <c r="AA20" s="15">
        <v>8.8599999999999998E-2</v>
      </c>
      <c r="AB20" s="15">
        <v>8.1500000000000003E-2</v>
      </c>
      <c r="AC20" s="15">
        <v>0.1255</v>
      </c>
      <c r="AD20" s="15">
        <v>0</v>
      </c>
      <c r="AE20" s="15">
        <v>0</v>
      </c>
      <c r="AF20" s="15"/>
      <c r="AG20" s="15"/>
      <c r="AH20" s="10"/>
      <c r="AI20" s="13">
        <v>42156</v>
      </c>
      <c r="AJ20" s="15">
        <v>0.16999999999999998</v>
      </c>
      <c r="AK20" s="15">
        <v>0.1</v>
      </c>
      <c r="AL20" s="15">
        <v>0.05</v>
      </c>
      <c r="AM20" s="15">
        <v>0.13</v>
      </c>
      <c r="AN20" s="15">
        <v>0.04</v>
      </c>
      <c r="AO20" s="15">
        <v>0.11</v>
      </c>
      <c r="AP20" s="15">
        <v>0.01</v>
      </c>
      <c r="AQ20" s="15">
        <v>0.03</v>
      </c>
      <c r="AR20" s="15">
        <v>0</v>
      </c>
      <c r="AS20" s="15">
        <v>0.01</v>
      </c>
      <c r="AT20" s="15">
        <v>0</v>
      </c>
      <c r="AU20" s="15">
        <v>0</v>
      </c>
      <c r="AV20" s="15"/>
      <c r="AW20" s="15"/>
      <c r="AX20" s="11"/>
      <c r="AY20" s="11"/>
      <c r="AZ20" s="13">
        <v>42156</v>
      </c>
      <c r="BA20" s="15">
        <v>0.30335928429413245</v>
      </c>
      <c r="BB20" s="15">
        <v>0.2492069384231014</v>
      </c>
      <c r="BC20" s="15">
        <v>0.2475337562101706</v>
      </c>
      <c r="BD20" s="15">
        <v>0.37740784842076602</v>
      </c>
      <c r="BE20" s="15">
        <v>0.30187063280342613</v>
      </c>
      <c r="BF20" s="15">
        <v>0.45700261983271634</v>
      </c>
      <c r="BG20" s="15">
        <v>0.29317893088452129</v>
      </c>
      <c r="BH20" s="15">
        <v>0.40173542806082468</v>
      </c>
      <c r="BI20" s="15">
        <v>0.37792899631678611</v>
      </c>
      <c r="BJ20" s="15">
        <v>0.40570985382297309</v>
      </c>
      <c r="BK20" s="15">
        <v>0.29729698122639114</v>
      </c>
      <c r="BL20" s="15">
        <v>0.34817721656879447</v>
      </c>
      <c r="BM20" s="15"/>
      <c r="BN20" s="15"/>
    </row>
    <row r="21" spans="2:66" s="12" customFormat="1" ht="18" customHeight="1">
      <c r="B21" s="10"/>
      <c r="C21" s="13">
        <v>42125</v>
      </c>
      <c r="D21" s="14">
        <v>10.669499999999999</v>
      </c>
      <c r="E21" s="14">
        <v>8.6229999999999993</v>
      </c>
      <c r="F21" s="14">
        <v>8.4568999999999992</v>
      </c>
      <c r="G21" s="14">
        <v>11.6607</v>
      </c>
      <c r="H21" s="14">
        <v>9.5940999999999992</v>
      </c>
      <c r="I21" s="14">
        <v>13.215999999999999</v>
      </c>
      <c r="J21" s="14">
        <v>13.331300000000001</v>
      </c>
      <c r="K21" s="14">
        <v>15.7463</v>
      </c>
      <c r="L21" s="14">
        <v>24.670200000000001</v>
      </c>
      <c r="M21" s="14">
        <v>23.898700000000002</v>
      </c>
      <c r="N21" s="14">
        <v>24.545400000000001</v>
      </c>
      <c r="O21" s="14">
        <v>20.803100000000001</v>
      </c>
      <c r="P21" s="14"/>
      <c r="Q21" s="14"/>
      <c r="R21" s="11"/>
      <c r="S21" s="13">
        <v>42125</v>
      </c>
      <c r="T21" s="15">
        <v>0.1585</v>
      </c>
      <c r="U21" s="15">
        <v>0.1212</v>
      </c>
      <c r="V21" s="15">
        <v>6.0299999999999999E-2</v>
      </c>
      <c r="W21" s="15">
        <v>0.18110000000000001</v>
      </c>
      <c r="X21" s="15">
        <v>0.1028</v>
      </c>
      <c r="Y21" s="15">
        <v>0.1628</v>
      </c>
      <c r="Z21" s="15">
        <v>6.9599999999999995E-2</v>
      </c>
      <c r="AA21" s="15">
        <v>0.17649999999999999</v>
      </c>
      <c r="AB21" s="15">
        <v>0</v>
      </c>
      <c r="AC21" s="15">
        <v>0</v>
      </c>
      <c r="AD21" s="15">
        <v>0</v>
      </c>
      <c r="AE21" s="15">
        <v>0</v>
      </c>
      <c r="AF21" s="15"/>
      <c r="AG21" s="15"/>
      <c r="AH21" s="10"/>
      <c r="AI21" s="13">
        <v>42125</v>
      </c>
      <c r="AJ21" s="15">
        <v>0.15</v>
      </c>
      <c r="AK21" s="15">
        <v>0.09</v>
      </c>
      <c r="AL21" s="15">
        <v>0.05</v>
      </c>
      <c r="AM21" s="15">
        <v>0.11</v>
      </c>
      <c r="AN21" s="15">
        <v>0.04</v>
      </c>
      <c r="AO21" s="15">
        <v>0.09</v>
      </c>
      <c r="AP21" s="15">
        <v>0.01</v>
      </c>
      <c r="AQ21" s="15">
        <v>0.02</v>
      </c>
      <c r="AR21" s="15">
        <v>0</v>
      </c>
      <c r="AS21" s="15">
        <v>0</v>
      </c>
      <c r="AT21" s="15">
        <v>0</v>
      </c>
      <c r="AU21" s="15">
        <v>0</v>
      </c>
      <c r="AV21" s="15"/>
      <c r="AW21" s="15"/>
      <c r="AX21" s="11"/>
      <c r="AY21" s="11"/>
      <c r="AZ21" s="13">
        <v>42125</v>
      </c>
      <c r="BA21" s="15">
        <v>0.29656464004962663</v>
      </c>
      <c r="BB21" s="15">
        <v>0.30041318746618328</v>
      </c>
      <c r="BC21" s="15">
        <v>0.27373321371550235</v>
      </c>
      <c r="BD21" s="15">
        <v>0.49323708938908001</v>
      </c>
      <c r="BE21" s="15">
        <v>0.31862049643571555</v>
      </c>
      <c r="BF21" s="15">
        <v>0.47524845142738836</v>
      </c>
      <c r="BG21" s="15">
        <v>0.31398009726227949</v>
      </c>
      <c r="BH21" s="15">
        <v>0.46285044069390574</v>
      </c>
      <c r="BI21" s="15">
        <v>0.41034661174024678</v>
      </c>
      <c r="BJ21" s="15">
        <v>0.47509371557635022</v>
      </c>
      <c r="BK21" s="15">
        <v>0.36024783872981575</v>
      </c>
      <c r="BL21" s="15">
        <v>0.35251960285528322</v>
      </c>
      <c r="BM21" s="15"/>
      <c r="BN21" s="15"/>
    </row>
    <row r="22" spans="2:66" s="12" customFormat="1" ht="18" customHeight="1">
      <c r="B22" s="10"/>
      <c r="C22" s="13">
        <v>42095</v>
      </c>
      <c r="D22" s="14">
        <v>9.4598999999999993</v>
      </c>
      <c r="E22" s="14">
        <v>7.9840999999999998</v>
      </c>
      <c r="F22" s="14">
        <v>7.8361000000000001</v>
      </c>
      <c r="G22" s="14">
        <v>10.926399999999999</v>
      </c>
      <c r="H22" s="14">
        <v>8.9890000000000008</v>
      </c>
      <c r="I22" s="14">
        <v>11.2035</v>
      </c>
      <c r="J22" s="14">
        <v>15.2875</v>
      </c>
      <c r="K22" s="14">
        <v>14.8887</v>
      </c>
      <c r="L22" s="14">
        <v>27.818200000000001</v>
      </c>
      <c r="M22" s="14">
        <v>24.572600000000001</v>
      </c>
      <c r="N22" s="14"/>
      <c r="O22" s="14"/>
      <c r="P22" s="14"/>
      <c r="Q22" s="14"/>
      <c r="R22" s="11"/>
      <c r="S22" s="13">
        <v>42095</v>
      </c>
      <c r="T22" s="15">
        <v>0.20369999999999999</v>
      </c>
      <c r="U22" s="15">
        <v>0.10009999999999999</v>
      </c>
      <c r="V22" s="15">
        <v>7.4399999999999994E-2</v>
      </c>
      <c r="W22" s="15">
        <v>0.23769999999999999</v>
      </c>
      <c r="X22" s="15">
        <v>5.0900000000000001E-2</v>
      </c>
      <c r="Y22" s="15">
        <v>7.9100000000000004E-2</v>
      </c>
      <c r="Z22" s="15">
        <v>8.2100000000000006E-2</v>
      </c>
      <c r="AA22" s="15">
        <v>8.1100000000000005E-2</v>
      </c>
      <c r="AB22" s="15">
        <v>0</v>
      </c>
      <c r="AC22" s="15">
        <v>0</v>
      </c>
      <c r="AD22" s="15"/>
      <c r="AE22" s="15"/>
      <c r="AF22" s="15"/>
      <c r="AG22" s="15"/>
      <c r="AH22" s="10"/>
      <c r="AI22" s="13">
        <v>42095</v>
      </c>
      <c r="AJ22" s="15">
        <v>0.13999999999999999</v>
      </c>
      <c r="AK22" s="15">
        <v>0.08</v>
      </c>
      <c r="AL22" s="15">
        <v>0.04</v>
      </c>
      <c r="AM22" s="15">
        <v>0.1</v>
      </c>
      <c r="AN22" s="15">
        <v>0.03</v>
      </c>
      <c r="AO22" s="15">
        <v>0.08</v>
      </c>
      <c r="AP22" s="15">
        <v>0</v>
      </c>
      <c r="AQ22" s="15">
        <v>0.01</v>
      </c>
      <c r="AR22" s="15">
        <v>0</v>
      </c>
      <c r="AS22" s="15">
        <v>0</v>
      </c>
      <c r="AT22" s="15"/>
      <c r="AU22" s="15"/>
      <c r="AV22" s="15"/>
      <c r="AW22" s="15"/>
      <c r="AX22" s="11"/>
      <c r="AY22" s="11"/>
      <c r="AZ22" s="13">
        <v>42095</v>
      </c>
      <c r="BA22" s="15">
        <v>0.23931955980307096</v>
      </c>
      <c r="BB22" s="15">
        <v>0.24402783014807178</v>
      </c>
      <c r="BC22" s="15">
        <v>0.20857598680531267</v>
      </c>
      <c r="BD22" s="15">
        <v>0.33985818442247706</v>
      </c>
      <c r="BE22" s="15">
        <v>0.25582869560732441</v>
      </c>
      <c r="BF22" s="15">
        <v>0.3304300777741162</v>
      </c>
      <c r="BG22" s="15">
        <v>0.26409779927760002</v>
      </c>
      <c r="BH22" s="15">
        <v>0.33031608302312915</v>
      </c>
      <c r="BI22" s="15">
        <v>0.34634807051082456</v>
      </c>
      <c r="BJ22" s="15">
        <v>0.3701838683627528</v>
      </c>
      <c r="BK22" s="15"/>
      <c r="BL22" s="15"/>
      <c r="BM22" s="15"/>
      <c r="BN22" s="15"/>
    </row>
    <row r="23" spans="2:66" s="12" customFormat="1" ht="18" customHeight="1">
      <c r="B23" s="10"/>
      <c r="C23" s="13">
        <v>42064</v>
      </c>
      <c r="D23" s="14">
        <v>10.3117</v>
      </c>
      <c r="E23" s="14">
        <v>8.0404999999999998</v>
      </c>
      <c r="F23" s="14">
        <v>8</v>
      </c>
      <c r="G23" s="14">
        <v>11.4238</v>
      </c>
      <c r="H23" s="14">
        <v>9.3574000000000002</v>
      </c>
      <c r="I23" s="14">
        <v>11.689399999999999</v>
      </c>
      <c r="J23" s="14">
        <v>19.359200000000001</v>
      </c>
      <c r="K23" s="14">
        <v>18.6951</v>
      </c>
      <c r="L23" s="14">
        <v>38.085099999999997</v>
      </c>
      <c r="M23" s="14">
        <v>34.203600000000002</v>
      </c>
      <c r="N23" s="14"/>
      <c r="O23" s="14"/>
      <c r="P23" s="14"/>
      <c r="Q23" s="14"/>
      <c r="R23" s="11"/>
      <c r="S23" s="13">
        <v>42064</v>
      </c>
      <c r="T23" s="15">
        <v>5.3100000000000001E-2</v>
      </c>
      <c r="U23" s="15">
        <v>0.16589999999999999</v>
      </c>
      <c r="V23" s="15">
        <v>9.7100000000000006E-2</v>
      </c>
      <c r="W23" s="15">
        <v>0.30940000000000001</v>
      </c>
      <c r="X23" s="15">
        <v>5.2499999999999998E-2</v>
      </c>
      <c r="Y23" s="15">
        <v>0.20569999999999999</v>
      </c>
      <c r="Z23" s="15">
        <v>3.2599999999999997E-2</v>
      </c>
      <c r="AA23" s="15">
        <v>6.1199999999999997E-2</v>
      </c>
      <c r="AB23" s="15">
        <v>0</v>
      </c>
      <c r="AC23" s="15">
        <v>0</v>
      </c>
      <c r="AD23" s="15"/>
      <c r="AE23" s="15"/>
      <c r="AF23" s="15"/>
      <c r="AG23" s="15"/>
      <c r="AH23" s="10"/>
      <c r="AI23" s="13">
        <v>42064</v>
      </c>
      <c r="AJ23" s="15">
        <v>0.12</v>
      </c>
      <c r="AK23" s="15">
        <v>6.9999999999999993E-2</v>
      </c>
      <c r="AL23" s="15">
        <v>0.03</v>
      </c>
      <c r="AM23" s="15">
        <v>0.08</v>
      </c>
      <c r="AN23" s="15">
        <v>0.02</v>
      </c>
      <c r="AO23" s="15">
        <v>6.9999999999999993E-2</v>
      </c>
      <c r="AP23" s="15">
        <v>0</v>
      </c>
      <c r="AQ23" s="15">
        <v>0</v>
      </c>
      <c r="AR23" s="15">
        <v>0</v>
      </c>
      <c r="AS23" s="15">
        <v>0</v>
      </c>
      <c r="AT23" s="15"/>
      <c r="AU23" s="15"/>
      <c r="AV23" s="15"/>
      <c r="AW23" s="15"/>
      <c r="AX23" s="11"/>
      <c r="AY23" s="11"/>
      <c r="AZ23" s="13">
        <v>42064</v>
      </c>
      <c r="BA23" s="15">
        <v>0.24624190783980648</v>
      </c>
      <c r="BB23" s="15">
        <v>0.23502495250437797</v>
      </c>
      <c r="BC23" s="15">
        <v>0.20173405986038837</v>
      </c>
      <c r="BD23" s="15">
        <v>0.30814679832638681</v>
      </c>
      <c r="BE23" s="15">
        <v>0.25814967052058441</v>
      </c>
      <c r="BF23" s="15">
        <v>0.31912203817765755</v>
      </c>
      <c r="BG23" s="15">
        <v>0.24114027969981858</v>
      </c>
      <c r="BH23" s="15">
        <v>0.26874709007839864</v>
      </c>
      <c r="BI23" s="15">
        <v>0.24192243628197357</v>
      </c>
      <c r="BJ23" s="15">
        <v>0.22750364322074063</v>
      </c>
      <c r="BK23" s="15"/>
      <c r="BL23" s="15"/>
      <c r="BM23" s="15"/>
      <c r="BN23" s="15"/>
    </row>
    <row r="24" spans="2:66" s="12" customFormat="1" ht="18" customHeight="1">
      <c r="B24" s="10"/>
      <c r="C24" s="13">
        <v>42036</v>
      </c>
      <c r="D24" s="14">
        <v>8.4512</v>
      </c>
      <c r="E24" s="14">
        <v>5.9881000000000002</v>
      </c>
      <c r="F24" s="14">
        <v>5.8017000000000003</v>
      </c>
      <c r="G24" s="14">
        <v>8.3712999999999997</v>
      </c>
      <c r="H24" s="14">
        <v>6.7782999999999998</v>
      </c>
      <c r="I24" s="14">
        <v>9.8627000000000002</v>
      </c>
      <c r="J24" s="14">
        <v>17.206399999999999</v>
      </c>
      <c r="K24" s="14">
        <v>16.593399999999999</v>
      </c>
      <c r="L24" s="14">
        <v>34.205500000000001</v>
      </c>
      <c r="M24" s="14">
        <v>28.7681</v>
      </c>
      <c r="N24" s="14"/>
      <c r="O24" s="14"/>
      <c r="P24" s="14"/>
      <c r="Q24" s="14"/>
      <c r="R24" s="11"/>
      <c r="S24" s="13">
        <v>42036</v>
      </c>
      <c r="T24" s="15">
        <v>8.9899999999999994E-2</v>
      </c>
      <c r="U24" s="15">
        <v>7.4899999999999994E-2</v>
      </c>
      <c r="V24" s="15">
        <v>0.1045</v>
      </c>
      <c r="W24" s="15">
        <v>0.1762</v>
      </c>
      <c r="X24" s="15">
        <v>6.6900000000000001E-2</v>
      </c>
      <c r="Y24" s="15">
        <v>0.2273</v>
      </c>
      <c r="Z24" s="15">
        <v>0</v>
      </c>
      <c r="AA24" s="15">
        <v>0</v>
      </c>
      <c r="AB24" s="15">
        <v>0</v>
      </c>
      <c r="AC24" s="15">
        <v>0</v>
      </c>
      <c r="AD24" s="15"/>
      <c r="AE24" s="15"/>
      <c r="AF24" s="15"/>
      <c r="AG24" s="15"/>
      <c r="AH24" s="10"/>
      <c r="AI24" s="13">
        <v>42036</v>
      </c>
      <c r="AJ24" s="15">
        <v>0.12</v>
      </c>
      <c r="AK24" s="15">
        <v>0.06</v>
      </c>
      <c r="AL24" s="15">
        <v>0.03</v>
      </c>
      <c r="AM24" s="15">
        <v>0.05</v>
      </c>
      <c r="AN24" s="15">
        <v>0.02</v>
      </c>
      <c r="AO24" s="15">
        <v>0.05</v>
      </c>
      <c r="AP24" s="15">
        <v>0</v>
      </c>
      <c r="AQ24" s="15">
        <v>0</v>
      </c>
      <c r="AR24" s="15">
        <v>0</v>
      </c>
      <c r="AS24" s="15">
        <v>0</v>
      </c>
      <c r="AT24" s="15"/>
      <c r="AU24" s="15"/>
      <c r="AV24" s="15"/>
      <c r="AW24" s="15"/>
      <c r="AX24" s="11"/>
      <c r="AY24" s="11"/>
      <c r="AZ24" s="13">
        <v>42036</v>
      </c>
      <c r="BA24" s="15">
        <v>0.37508383025653236</v>
      </c>
      <c r="BB24" s="15">
        <v>0.331079995163095</v>
      </c>
      <c r="BC24" s="15">
        <v>0.29684572780250762</v>
      </c>
      <c r="BD24" s="15">
        <v>0.46285386207580081</v>
      </c>
      <c r="BE24" s="15">
        <v>0.36600387544925805</v>
      </c>
      <c r="BF24" s="15">
        <v>0.47890126725089172</v>
      </c>
      <c r="BG24" s="15">
        <v>0.36591657761725022</v>
      </c>
      <c r="BH24" s="15">
        <v>0.40140355931533839</v>
      </c>
      <c r="BI24" s="15">
        <v>0.42663727102328697</v>
      </c>
      <c r="BJ24" s="15">
        <v>0.42476447102819542</v>
      </c>
      <c r="BK24" s="15"/>
      <c r="BL24" s="15"/>
      <c r="BM24" s="15"/>
      <c r="BN24" s="15"/>
    </row>
    <row r="25" spans="2:66" s="12" customFormat="1" ht="18" customHeight="1">
      <c r="B25" s="10"/>
      <c r="C25" s="13">
        <v>42005</v>
      </c>
      <c r="D25" s="14">
        <v>5.3038999999999996</v>
      </c>
      <c r="E25" s="14">
        <v>4.4768999999999997</v>
      </c>
      <c r="F25" s="14">
        <v>3.8199000000000001</v>
      </c>
      <c r="G25" s="14">
        <v>5.5894000000000004</v>
      </c>
      <c r="H25" s="14">
        <v>4.6170999999999998</v>
      </c>
      <c r="I25" s="14">
        <v>5.8539000000000003</v>
      </c>
      <c r="J25" s="14">
        <v>9.3476999999999997</v>
      </c>
      <c r="K25" s="14">
        <v>8.7114999999999991</v>
      </c>
      <c r="L25" s="14"/>
      <c r="M25" s="14"/>
      <c r="N25" s="14"/>
      <c r="O25" s="14"/>
      <c r="P25" s="14"/>
      <c r="Q25" s="14"/>
      <c r="R25" s="11"/>
      <c r="S25" s="13">
        <v>42005</v>
      </c>
      <c r="T25" s="15">
        <v>0.21440000000000001</v>
      </c>
      <c r="U25" s="15">
        <v>7.5800000000000006E-2</v>
      </c>
      <c r="V25" s="15">
        <v>7.22E-2</v>
      </c>
      <c r="W25" s="15">
        <v>0.13350000000000001</v>
      </c>
      <c r="X25" s="15">
        <v>0.13389999999999999</v>
      </c>
      <c r="Y25" s="15">
        <v>0.17630000000000001</v>
      </c>
      <c r="Z25" s="15">
        <v>0</v>
      </c>
      <c r="AA25" s="15">
        <v>0</v>
      </c>
      <c r="AB25" s="15"/>
      <c r="AC25" s="15"/>
      <c r="AD25" s="15"/>
      <c r="AE25" s="15"/>
      <c r="AF25" s="15"/>
      <c r="AG25" s="15"/>
      <c r="AH25" s="10"/>
      <c r="AI25" s="13">
        <v>42005</v>
      </c>
      <c r="AJ25" s="15">
        <v>0.11</v>
      </c>
      <c r="AK25" s="15">
        <v>0.05</v>
      </c>
      <c r="AL25" s="15">
        <v>0.02</v>
      </c>
      <c r="AM25" s="15">
        <v>0.04</v>
      </c>
      <c r="AN25" s="15">
        <v>0.01</v>
      </c>
      <c r="AO25" s="15">
        <v>0.03</v>
      </c>
      <c r="AP25" s="15">
        <v>0</v>
      </c>
      <c r="AQ25" s="15">
        <v>0</v>
      </c>
      <c r="AR25" s="15"/>
      <c r="AS25" s="15"/>
      <c r="AT25" s="15"/>
      <c r="AU25" s="15"/>
      <c r="AV25" s="15"/>
      <c r="AW25" s="15"/>
      <c r="AX25" s="11"/>
      <c r="AY25" s="11"/>
      <c r="AZ25" s="13">
        <v>42005</v>
      </c>
      <c r="BA25" s="15">
        <v>0.30886506318040918</v>
      </c>
      <c r="BB25" s="15">
        <v>0.26892607497852972</v>
      </c>
      <c r="BC25" s="15">
        <v>0.23241742787289812</v>
      </c>
      <c r="BD25" s="15">
        <v>0.34956316778115709</v>
      </c>
      <c r="BE25" s="15">
        <v>0.25257811234978539</v>
      </c>
      <c r="BF25" s="15">
        <v>0.38815466215731736</v>
      </c>
      <c r="BG25" s="15">
        <v>0.25879247267775451</v>
      </c>
      <c r="BH25" s="15">
        <v>0.32286578182284165</v>
      </c>
      <c r="BI25" s="15"/>
      <c r="BJ25" s="15"/>
      <c r="BK25" s="15"/>
      <c r="BL25" s="15"/>
      <c r="BM25" s="15"/>
      <c r="BN25" s="15"/>
    </row>
    <row r="26" spans="2:66" s="10" customFormat="1" ht="18" customHeight="1">
      <c r="C26" s="13">
        <v>41974</v>
      </c>
      <c r="D26" s="14">
        <v>7.1131000000000002</v>
      </c>
      <c r="E26" s="14">
        <v>5.8954000000000004</v>
      </c>
      <c r="F26" s="14">
        <v>5.5316000000000001</v>
      </c>
      <c r="G26" s="14">
        <v>6.9710999999999999</v>
      </c>
      <c r="H26" s="14">
        <v>5.8856000000000002</v>
      </c>
      <c r="I26" s="14">
        <v>6.5343</v>
      </c>
      <c r="J26" s="14">
        <v>11.042199999999999</v>
      </c>
      <c r="K26" s="14">
        <v>9.7565000000000008</v>
      </c>
      <c r="L26" s="14"/>
      <c r="M26" s="14"/>
      <c r="N26" s="14"/>
      <c r="O26" s="14"/>
      <c r="P26" s="14"/>
      <c r="Q26" s="14"/>
      <c r="R26" s="11"/>
      <c r="S26" s="13">
        <v>41974</v>
      </c>
      <c r="T26" s="15">
        <v>0.13550000000000001</v>
      </c>
      <c r="U26" s="15">
        <v>0.12820000000000001</v>
      </c>
      <c r="V26" s="15">
        <v>5.7099999999999998E-2</v>
      </c>
      <c r="W26" s="15">
        <v>1.9900000000000001E-2</v>
      </c>
      <c r="X26" s="15">
        <v>4.19E-2</v>
      </c>
      <c r="Y26" s="15">
        <v>8.7999999999999995E-2</v>
      </c>
      <c r="Z26" s="15">
        <v>0</v>
      </c>
      <c r="AA26" s="15">
        <v>0</v>
      </c>
      <c r="AB26" s="15"/>
      <c r="AC26" s="15"/>
      <c r="AD26" s="15"/>
      <c r="AE26" s="15"/>
      <c r="AF26" s="15"/>
      <c r="AG26" s="15"/>
      <c r="AI26" s="13">
        <v>41974</v>
      </c>
      <c r="AJ26" s="15">
        <v>0.09</v>
      </c>
      <c r="AK26" s="15">
        <v>0.05</v>
      </c>
      <c r="AL26" s="15">
        <v>0.01</v>
      </c>
      <c r="AM26" s="15">
        <v>0.03</v>
      </c>
      <c r="AN26" s="15">
        <v>0</v>
      </c>
      <c r="AO26" s="15">
        <v>0.02</v>
      </c>
      <c r="AP26" s="15">
        <v>0</v>
      </c>
      <c r="AQ26" s="15">
        <v>0</v>
      </c>
      <c r="AR26" s="15"/>
      <c r="AS26" s="15"/>
      <c r="AT26" s="15"/>
      <c r="AU26" s="15"/>
      <c r="AV26" s="15"/>
      <c r="AW26" s="15"/>
      <c r="AX26" s="11"/>
      <c r="AY26" s="11"/>
      <c r="AZ26" s="13">
        <v>41974</v>
      </c>
      <c r="BA26" s="15">
        <v>0.29054556048310765</v>
      </c>
      <c r="BB26" s="15">
        <v>0.24962508847924794</v>
      </c>
      <c r="BC26" s="15">
        <v>0.22982101265279212</v>
      </c>
      <c r="BD26" s="15">
        <v>0.34644909653039258</v>
      </c>
      <c r="BE26" s="15">
        <v>0.26663581170225009</v>
      </c>
      <c r="BF26" s="15">
        <v>0.38984829132613225</v>
      </c>
      <c r="BG26" s="15">
        <v>0.21421829960069708</v>
      </c>
      <c r="BH26" s="15">
        <v>0.2571145917056088</v>
      </c>
      <c r="BI26" s="15"/>
      <c r="BJ26" s="15"/>
      <c r="BK26" s="15"/>
      <c r="BL26" s="15"/>
      <c r="BM26" s="15"/>
      <c r="BN26" s="15"/>
    </row>
    <row r="27" spans="2:66" s="10" customFormat="1" ht="18" customHeight="1">
      <c r="C27" s="13">
        <v>41944</v>
      </c>
      <c r="D27" s="14">
        <v>5.66</v>
      </c>
      <c r="E27" s="14">
        <v>4.6429</v>
      </c>
      <c r="F27" s="14">
        <v>4.4241000000000001</v>
      </c>
      <c r="G27" s="14">
        <v>5.7176</v>
      </c>
      <c r="H27" s="14">
        <v>5.0561999999999996</v>
      </c>
      <c r="I27" s="14">
        <v>5.9682000000000004</v>
      </c>
      <c r="J27" s="14">
        <v>9.3973999999999993</v>
      </c>
      <c r="K27" s="14">
        <v>9.2777999999999992</v>
      </c>
      <c r="L27" s="14"/>
      <c r="M27" s="14"/>
      <c r="N27" s="14"/>
      <c r="O27" s="14"/>
      <c r="P27" s="14"/>
      <c r="Q27" s="14"/>
      <c r="R27" s="11"/>
      <c r="S27" s="13">
        <v>41944</v>
      </c>
      <c r="T27" s="15">
        <v>0.12</v>
      </c>
      <c r="U27" s="15">
        <v>9.9000000000000005E-2</v>
      </c>
      <c r="V27" s="15">
        <v>6.8599999999999994E-2</v>
      </c>
      <c r="W27" s="15">
        <v>0.19969999999999999</v>
      </c>
      <c r="X27" s="15">
        <v>4.1399999999999999E-2</v>
      </c>
      <c r="Y27" s="15">
        <v>0.17560000000000001</v>
      </c>
      <c r="Z27" s="15">
        <v>0</v>
      </c>
      <c r="AA27" s="15">
        <v>0</v>
      </c>
      <c r="AB27" s="15"/>
      <c r="AC27" s="15"/>
      <c r="AD27" s="15"/>
      <c r="AE27" s="15"/>
      <c r="AF27" s="15"/>
      <c r="AG27" s="15"/>
      <c r="AI27" s="13">
        <v>41944</v>
      </c>
      <c r="AJ27" s="15">
        <v>0.08</v>
      </c>
      <c r="AK27" s="15">
        <v>0.04</v>
      </c>
      <c r="AL27" s="15">
        <v>0.01</v>
      </c>
      <c r="AM27" s="15">
        <v>0.02</v>
      </c>
      <c r="AN27" s="15">
        <v>0</v>
      </c>
      <c r="AO27" s="15">
        <v>0.01</v>
      </c>
      <c r="AP27" s="15">
        <v>0</v>
      </c>
      <c r="AQ27" s="15">
        <v>0</v>
      </c>
      <c r="AR27" s="15"/>
      <c r="AS27" s="15"/>
      <c r="AT27" s="15"/>
      <c r="AU27" s="15"/>
      <c r="AV27" s="15"/>
      <c r="AW27" s="15"/>
      <c r="AX27" s="11"/>
      <c r="AY27" s="11"/>
      <c r="AZ27" s="13">
        <v>41944</v>
      </c>
      <c r="BA27" s="15">
        <v>0.37744991817143403</v>
      </c>
      <c r="BB27" s="15">
        <v>0.33113929567617428</v>
      </c>
      <c r="BC27" s="15">
        <v>0.29607158396514222</v>
      </c>
      <c r="BD27" s="15">
        <v>0.43142013967425796</v>
      </c>
      <c r="BE27" s="15">
        <v>0.35336197808578146</v>
      </c>
      <c r="BF27" s="15">
        <v>0.45077459212855092</v>
      </c>
      <c r="BG27" s="15">
        <v>0.30018273591955402</v>
      </c>
      <c r="BH27" s="15">
        <v>0.32164451056253401</v>
      </c>
      <c r="BI27" s="15"/>
      <c r="BJ27" s="15"/>
      <c r="BK27" s="15"/>
      <c r="BL27" s="15"/>
      <c r="BM27" s="15"/>
      <c r="BN27" s="15"/>
    </row>
    <row r="28" spans="2:66" s="10" customFormat="1" ht="18" customHeight="1">
      <c r="C28" s="13">
        <v>41913</v>
      </c>
      <c r="D28" s="14">
        <v>6.1174999999999997</v>
      </c>
      <c r="E28" s="14">
        <v>5.9246999999999996</v>
      </c>
      <c r="F28" s="14">
        <v>5.0818000000000003</v>
      </c>
      <c r="G28" s="14">
        <v>5.9108999999999998</v>
      </c>
      <c r="H28" s="14">
        <v>5.3105000000000002</v>
      </c>
      <c r="I28" s="14">
        <v>6.0377999999999998</v>
      </c>
      <c r="J28" s="14"/>
      <c r="K28" s="14"/>
      <c r="L28" s="14"/>
      <c r="M28" s="14"/>
      <c r="N28" s="14"/>
      <c r="O28" s="14"/>
      <c r="P28" s="14"/>
      <c r="Q28" s="14"/>
      <c r="R28" s="11"/>
      <c r="S28" s="13">
        <v>41913</v>
      </c>
      <c r="T28" s="15">
        <v>0.1087</v>
      </c>
      <c r="U28" s="15">
        <v>0.13589999999999999</v>
      </c>
      <c r="V28" s="15">
        <v>3.1399999999999997E-2</v>
      </c>
      <c r="W28" s="15">
        <v>0</v>
      </c>
      <c r="X28" s="15">
        <v>0</v>
      </c>
      <c r="Y28" s="15">
        <v>0</v>
      </c>
      <c r="Z28" s="15"/>
      <c r="AA28" s="15"/>
      <c r="AB28" s="15"/>
      <c r="AC28" s="15"/>
      <c r="AD28" s="15"/>
      <c r="AE28" s="15"/>
      <c r="AF28" s="15"/>
      <c r="AG28" s="15"/>
      <c r="AI28" s="13">
        <v>41913</v>
      </c>
      <c r="AJ28" s="15">
        <v>6.9999999999999993E-2</v>
      </c>
      <c r="AK28" s="15">
        <v>0.03</v>
      </c>
      <c r="AL28" s="15">
        <v>0</v>
      </c>
      <c r="AM28" s="15">
        <v>0.01</v>
      </c>
      <c r="AN28" s="15">
        <v>0</v>
      </c>
      <c r="AO28" s="15">
        <v>0</v>
      </c>
      <c r="AP28" s="15"/>
      <c r="AQ28" s="15"/>
      <c r="AR28" s="15"/>
      <c r="AS28" s="15"/>
      <c r="AT28" s="15"/>
      <c r="AU28" s="15"/>
      <c r="AV28" s="15"/>
      <c r="AW28" s="15"/>
      <c r="AX28" s="11"/>
      <c r="AY28" s="11"/>
      <c r="AZ28" s="13">
        <v>41913</v>
      </c>
      <c r="BA28" s="15">
        <v>0.22772378590345332</v>
      </c>
      <c r="BB28" s="15">
        <v>0.21630695718339418</v>
      </c>
      <c r="BC28" s="15">
        <v>0.19366039121904219</v>
      </c>
      <c r="BD28" s="15">
        <v>0.28481514043901485</v>
      </c>
      <c r="BE28" s="15">
        <v>0.19359806845539854</v>
      </c>
      <c r="BF28" s="15">
        <v>0.28893045623585428</v>
      </c>
      <c r="BG28" s="15"/>
      <c r="BH28" s="15"/>
      <c r="BI28" s="15"/>
      <c r="BJ28" s="15"/>
      <c r="BK28" s="15"/>
      <c r="BL28" s="15"/>
      <c r="BM28" s="15"/>
      <c r="BN28" s="15"/>
    </row>
    <row r="29" spans="2:66" s="10" customFormat="1" ht="18" customHeight="1">
      <c r="C29" s="13">
        <v>41883</v>
      </c>
      <c r="D29" s="14">
        <v>5.9603999999999999</v>
      </c>
      <c r="E29" s="14">
        <v>5.7473999999999998</v>
      </c>
      <c r="F29" s="14">
        <v>5.2503000000000002</v>
      </c>
      <c r="G29" s="14">
        <v>5.8575999999999997</v>
      </c>
      <c r="H29" s="14">
        <v>5.2755000000000001</v>
      </c>
      <c r="I29" s="14">
        <v>5.7121000000000004</v>
      </c>
      <c r="J29" s="14"/>
      <c r="K29" s="14"/>
      <c r="L29" s="14"/>
      <c r="M29" s="14"/>
      <c r="N29" s="14"/>
      <c r="O29" s="14"/>
      <c r="P29" s="14"/>
      <c r="Q29" s="14"/>
      <c r="R29" s="11"/>
      <c r="S29" s="13">
        <v>41883</v>
      </c>
      <c r="T29" s="15">
        <v>0.12470000000000001</v>
      </c>
      <c r="U29" s="15">
        <v>3.9899999999999998E-2</v>
      </c>
      <c r="V29" s="15">
        <v>3.3399999999999999E-2</v>
      </c>
      <c r="W29" s="15">
        <v>0.1298</v>
      </c>
      <c r="X29" s="15">
        <v>0</v>
      </c>
      <c r="Y29" s="15">
        <v>0</v>
      </c>
      <c r="Z29" s="15"/>
      <c r="AA29" s="15"/>
      <c r="AB29" s="15"/>
      <c r="AC29" s="15"/>
      <c r="AD29" s="15"/>
      <c r="AE29" s="15"/>
      <c r="AF29" s="15"/>
      <c r="AG29" s="15"/>
      <c r="AI29" s="13">
        <v>41883</v>
      </c>
      <c r="AJ29" s="15">
        <v>0.06</v>
      </c>
      <c r="AK29" s="15">
        <v>0.02</v>
      </c>
      <c r="AL29" s="15">
        <v>0</v>
      </c>
      <c r="AM29" s="15">
        <v>0.01</v>
      </c>
      <c r="AN29" s="15">
        <v>0</v>
      </c>
      <c r="AO29" s="15">
        <v>0</v>
      </c>
      <c r="AP29" s="15"/>
      <c r="AQ29" s="15"/>
      <c r="AR29" s="15"/>
      <c r="AS29" s="15"/>
      <c r="AT29" s="15"/>
      <c r="AU29" s="15"/>
      <c r="AV29" s="15"/>
      <c r="AW29" s="15"/>
      <c r="AX29" s="11"/>
      <c r="AY29" s="11"/>
      <c r="AZ29" s="13">
        <v>41883</v>
      </c>
      <c r="BA29" s="15">
        <v>0.28278845427416727</v>
      </c>
      <c r="BB29" s="15">
        <v>0.23099968392945874</v>
      </c>
      <c r="BC29" s="15">
        <v>0.18638694824282354</v>
      </c>
      <c r="BD29" s="15">
        <v>0.23359019107266807</v>
      </c>
      <c r="BE29" s="15">
        <v>0.21563889839087419</v>
      </c>
      <c r="BF29" s="15">
        <v>0.2853668728797733</v>
      </c>
      <c r="BG29" s="15"/>
      <c r="BH29" s="15"/>
      <c r="BI29" s="15"/>
      <c r="BJ29" s="15"/>
      <c r="BK29" s="15"/>
      <c r="BL29" s="15"/>
      <c r="BM29" s="15"/>
      <c r="BN29" s="15"/>
    </row>
    <row r="30" spans="2:66" s="10" customFormat="1" ht="18" customHeight="1">
      <c r="C30" s="13">
        <v>41852</v>
      </c>
      <c r="D30" s="14">
        <v>6.3341000000000003</v>
      </c>
      <c r="E30" s="14">
        <v>5.7565999999999997</v>
      </c>
      <c r="F30" s="14">
        <v>5.7346000000000004</v>
      </c>
      <c r="G30" s="14">
        <v>6.3723999999999998</v>
      </c>
      <c r="H30" s="14">
        <v>5.6378000000000004</v>
      </c>
      <c r="I30" s="14">
        <v>5.7000999999999999</v>
      </c>
      <c r="J30" s="14"/>
      <c r="K30" s="14"/>
      <c r="L30" s="14"/>
      <c r="M30" s="14"/>
      <c r="N30" s="14"/>
      <c r="O30" s="14"/>
      <c r="P30" s="14"/>
      <c r="Q30" s="14"/>
      <c r="R30" s="11"/>
      <c r="S30" s="13">
        <v>41852</v>
      </c>
      <c r="T30" s="15">
        <v>5.8000000000000003E-2</v>
      </c>
      <c r="U30" s="15">
        <v>5.57E-2</v>
      </c>
      <c r="V30" s="15">
        <v>0</v>
      </c>
      <c r="W30" s="15">
        <v>0</v>
      </c>
      <c r="X30" s="15">
        <v>0</v>
      </c>
      <c r="Y30" s="15">
        <v>0</v>
      </c>
      <c r="Z30" s="15"/>
      <c r="AA30" s="15"/>
      <c r="AB30" s="15"/>
      <c r="AC30" s="15"/>
      <c r="AD30" s="15"/>
      <c r="AE30" s="15"/>
      <c r="AF30" s="15"/>
      <c r="AG30" s="15"/>
      <c r="AI30" s="13">
        <v>41852</v>
      </c>
      <c r="AJ30" s="15">
        <v>0.05</v>
      </c>
      <c r="AK30" s="15">
        <v>0.01</v>
      </c>
      <c r="AL30" s="15">
        <v>0</v>
      </c>
      <c r="AM30" s="15">
        <v>0</v>
      </c>
      <c r="AN30" s="15">
        <v>0</v>
      </c>
      <c r="AO30" s="15">
        <v>0</v>
      </c>
      <c r="AP30" s="15"/>
      <c r="AQ30" s="15"/>
      <c r="AR30" s="15"/>
      <c r="AS30" s="15"/>
      <c r="AT30" s="15"/>
      <c r="AU30" s="15"/>
      <c r="AV30" s="15"/>
      <c r="AW30" s="15"/>
      <c r="AX30" s="11"/>
      <c r="AY30" s="11"/>
      <c r="AZ30" s="13">
        <v>41852</v>
      </c>
      <c r="BA30" s="15">
        <v>0.32157919259221707</v>
      </c>
      <c r="BB30" s="15">
        <v>0.25245635138085576</v>
      </c>
      <c r="BC30" s="15">
        <v>0.21721218690018185</v>
      </c>
      <c r="BD30" s="15">
        <v>0.37599228880956764</v>
      </c>
      <c r="BE30" s="15">
        <v>0.2460423350199375</v>
      </c>
      <c r="BF30" s="15">
        <v>0.3163206766235297</v>
      </c>
      <c r="BG30" s="15"/>
      <c r="BH30" s="15"/>
      <c r="BI30" s="15"/>
      <c r="BJ30" s="15"/>
      <c r="BK30" s="15"/>
      <c r="BL30" s="15"/>
      <c r="BM30" s="15"/>
      <c r="BN30" s="15"/>
    </row>
    <row r="31" spans="2:66" s="10" customFormat="1" ht="18" customHeight="1">
      <c r="C31" s="13">
        <v>41821</v>
      </c>
      <c r="D31" s="14">
        <v>7.4473000000000003</v>
      </c>
      <c r="E31" s="14">
        <v>5.9591000000000003</v>
      </c>
      <c r="F31" s="14">
        <v>5.7983000000000002</v>
      </c>
      <c r="G31" s="14">
        <v>7.2092999999999998</v>
      </c>
      <c r="H31" s="14">
        <v>6.0399000000000003</v>
      </c>
      <c r="I31" s="14">
        <v>6.7660999999999998</v>
      </c>
      <c r="J31" s="14"/>
      <c r="K31" s="14"/>
      <c r="L31" s="14"/>
      <c r="M31" s="14"/>
      <c r="N31" s="14"/>
      <c r="O31" s="14"/>
      <c r="P31" s="14"/>
      <c r="Q31" s="14"/>
      <c r="R31" s="11"/>
      <c r="S31" s="13">
        <v>41821</v>
      </c>
      <c r="T31" s="15">
        <v>0.12130000000000001</v>
      </c>
      <c r="U31" s="15">
        <v>6.4000000000000001E-2</v>
      </c>
      <c r="V31" s="15">
        <v>0</v>
      </c>
      <c r="W31" s="15">
        <v>0</v>
      </c>
      <c r="X31" s="15">
        <v>0</v>
      </c>
      <c r="Y31" s="15">
        <v>0</v>
      </c>
      <c r="Z31" s="15"/>
      <c r="AA31" s="15"/>
      <c r="AB31" s="15"/>
      <c r="AC31" s="15"/>
      <c r="AD31" s="15"/>
      <c r="AE31" s="15"/>
      <c r="AF31" s="15"/>
      <c r="AG31" s="15"/>
      <c r="AI31" s="13">
        <v>41821</v>
      </c>
      <c r="AJ31" s="15">
        <v>0.04</v>
      </c>
      <c r="AK31" s="15">
        <v>0.01</v>
      </c>
      <c r="AL31" s="15">
        <v>0</v>
      </c>
      <c r="AM31" s="15">
        <v>0</v>
      </c>
      <c r="AN31" s="15">
        <v>0</v>
      </c>
      <c r="AO31" s="15">
        <v>0</v>
      </c>
      <c r="AP31" s="15"/>
      <c r="AQ31" s="15"/>
      <c r="AR31" s="15"/>
      <c r="AS31" s="15"/>
      <c r="AT31" s="15"/>
      <c r="AU31" s="15"/>
      <c r="AV31" s="15"/>
      <c r="AW31" s="15"/>
      <c r="AX31" s="11"/>
      <c r="AY31" s="11"/>
      <c r="AZ31" s="13">
        <v>41821</v>
      </c>
      <c r="BA31" s="15">
        <v>0.23430323611217901</v>
      </c>
      <c r="BB31" s="15">
        <v>0.21614929062244967</v>
      </c>
      <c r="BC31" s="15">
        <v>0.19490345007900819</v>
      </c>
      <c r="BD31" s="15">
        <v>0.25368214160399072</v>
      </c>
      <c r="BE31" s="15">
        <v>0.18344617966454774</v>
      </c>
      <c r="BF31" s="15">
        <v>0.23465651658566869</v>
      </c>
      <c r="BG31" s="15"/>
      <c r="BH31" s="15"/>
      <c r="BI31" s="15"/>
      <c r="BJ31" s="15"/>
      <c r="BK31" s="15"/>
      <c r="BL31" s="15"/>
      <c r="BM31" s="15"/>
      <c r="BN31" s="15"/>
    </row>
    <row r="32" spans="2:66" s="10" customFormat="1" ht="18" customHeight="1">
      <c r="C32" s="13">
        <v>41791</v>
      </c>
      <c r="D32" s="14">
        <v>6.9375999999999998</v>
      </c>
      <c r="E32" s="14">
        <v>5.8967000000000001</v>
      </c>
      <c r="F32" s="14">
        <v>6.0157999999999996</v>
      </c>
      <c r="G32" s="14">
        <v>6.7278000000000002</v>
      </c>
      <c r="H32" s="14">
        <v>7.2774999999999999</v>
      </c>
      <c r="I32" s="14">
        <v>6.1360999999999999</v>
      </c>
      <c r="J32" s="14"/>
      <c r="K32" s="14"/>
      <c r="L32" s="14"/>
      <c r="M32" s="14"/>
      <c r="N32" s="14"/>
      <c r="O32" s="14"/>
      <c r="P32" s="14"/>
      <c r="Q32" s="14"/>
      <c r="R32" s="11"/>
      <c r="S32" s="13">
        <v>41791</v>
      </c>
      <c r="T32" s="15">
        <v>0.14680000000000001</v>
      </c>
      <c r="U32" s="15">
        <v>1.47E-2</v>
      </c>
      <c r="V32" s="15">
        <v>0</v>
      </c>
      <c r="W32" s="15">
        <v>0</v>
      </c>
      <c r="X32" s="15">
        <v>0</v>
      </c>
      <c r="Y32" s="15">
        <v>0</v>
      </c>
      <c r="Z32" s="15"/>
      <c r="AA32" s="15"/>
      <c r="AB32" s="15"/>
      <c r="AC32" s="15"/>
      <c r="AD32" s="15"/>
      <c r="AE32" s="15"/>
      <c r="AF32" s="15"/>
      <c r="AG32" s="15"/>
      <c r="AI32" s="13">
        <v>41791</v>
      </c>
      <c r="AJ32" s="15">
        <v>0.03</v>
      </c>
      <c r="AK32" s="15">
        <v>0</v>
      </c>
      <c r="AL32" s="15">
        <v>0</v>
      </c>
      <c r="AM32" s="15">
        <v>0</v>
      </c>
      <c r="AN32" s="15">
        <v>0</v>
      </c>
      <c r="AO32" s="15">
        <v>0</v>
      </c>
      <c r="AP32" s="15"/>
      <c r="AQ32" s="15"/>
      <c r="AR32" s="15"/>
      <c r="AS32" s="15"/>
      <c r="AT32" s="15"/>
      <c r="AU32" s="15"/>
      <c r="AV32" s="15"/>
      <c r="AW32" s="15"/>
      <c r="AX32" s="11"/>
      <c r="AY32" s="11"/>
      <c r="AZ32" s="13">
        <v>41791</v>
      </c>
      <c r="BA32" s="15">
        <v>0.26950207659129533</v>
      </c>
      <c r="BB32" s="15">
        <v>0.25690822680281128</v>
      </c>
      <c r="BC32" s="15">
        <v>0.20110733018964366</v>
      </c>
      <c r="BD32" s="15">
        <v>0.25308105873638803</v>
      </c>
      <c r="BE32" s="15">
        <v>0.13289279483144439</v>
      </c>
      <c r="BF32" s="15">
        <v>0.2027803955243544</v>
      </c>
      <c r="BG32" s="15"/>
      <c r="BH32" s="15"/>
      <c r="BI32" s="15"/>
      <c r="BJ32" s="15"/>
      <c r="BK32" s="15"/>
      <c r="BL32" s="15"/>
      <c r="BM32" s="15"/>
      <c r="BN32" s="15"/>
    </row>
    <row r="33" spans="3:66" s="10" customFormat="1" ht="18" customHeight="1">
      <c r="C33" s="13">
        <v>41760</v>
      </c>
      <c r="D33" s="14">
        <v>5.6821000000000002</v>
      </c>
      <c r="E33" s="14">
        <v>4.8659999999999997</v>
      </c>
      <c r="F33" s="14">
        <v>4.9157999999999999</v>
      </c>
      <c r="G33" s="14">
        <v>5.8910999999999998</v>
      </c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1"/>
      <c r="S33" s="13">
        <v>41760</v>
      </c>
      <c r="T33" s="15">
        <v>6.1100000000000002E-2</v>
      </c>
      <c r="U33" s="15">
        <v>8.1199999999999994E-2</v>
      </c>
      <c r="V33" s="15">
        <v>0</v>
      </c>
      <c r="W33" s="15">
        <v>0</v>
      </c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I33" s="13">
        <v>41760</v>
      </c>
      <c r="AJ33" s="15">
        <v>0.02</v>
      </c>
      <c r="AK33" s="15">
        <v>0</v>
      </c>
      <c r="AL33" s="15">
        <v>0</v>
      </c>
      <c r="AM33" s="15">
        <v>0</v>
      </c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1"/>
      <c r="AY33" s="11"/>
      <c r="AZ33" s="13">
        <v>41760</v>
      </c>
      <c r="BA33" s="15">
        <v>0.21459917379358298</v>
      </c>
      <c r="BB33" s="15">
        <v>0.24657220126471022</v>
      </c>
      <c r="BC33" s="15">
        <v>0.18740335147015857</v>
      </c>
      <c r="BD33" s="15">
        <v>0.20520279264644578</v>
      </c>
      <c r="BE33" s="15"/>
      <c r="BF33" s="15"/>
      <c r="BG33" s="15"/>
      <c r="BH33" s="15"/>
      <c r="BI33" s="15"/>
      <c r="BJ33" s="15"/>
      <c r="BK33" s="15"/>
      <c r="BL33" s="15"/>
      <c r="BM33" s="15"/>
      <c r="BN33" s="15"/>
    </row>
    <row r="34" spans="3:66" s="10" customFormat="1" ht="18" customHeight="1">
      <c r="C34" s="13">
        <v>41730</v>
      </c>
      <c r="D34" s="14">
        <v>4.7529000000000003</v>
      </c>
      <c r="E34" s="14">
        <v>4.2172000000000001</v>
      </c>
      <c r="F34" s="14">
        <v>4.1657999999999999</v>
      </c>
      <c r="G34" s="14">
        <v>4.7587000000000002</v>
      </c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1"/>
      <c r="S34" s="13">
        <v>41730</v>
      </c>
      <c r="T34" s="15">
        <v>3.27E-2</v>
      </c>
      <c r="U34" s="15">
        <v>0</v>
      </c>
      <c r="V34" s="15">
        <v>0</v>
      </c>
      <c r="W34" s="15">
        <v>0</v>
      </c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I34" s="13">
        <v>41730</v>
      </c>
      <c r="AJ34" s="15">
        <v>0.01</v>
      </c>
      <c r="AK34" s="15">
        <v>0</v>
      </c>
      <c r="AL34" s="15">
        <v>0</v>
      </c>
      <c r="AM34" s="15">
        <v>0</v>
      </c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1"/>
      <c r="AY34" s="11"/>
      <c r="AZ34" s="13">
        <v>41730</v>
      </c>
      <c r="BA34" s="15">
        <v>0.22061384116252888</v>
      </c>
      <c r="BB34" s="15">
        <v>0.19816911841480964</v>
      </c>
      <c r="BC34" s="15">
        <v>0.13427046482151753</v>
      </c>
      <c r="BD34" s="15">
        <v>0.16185182924521538</v>
      </c>
      <c r="BE34" s="15"/>
      <c r="BF34" s="15"/>
      <c r="BG34" s="15"/>
      <c r="BH34" s="15"/>
      <c r="BI34" s="15"/>
      <c r="BJ34" s="15"/>
      <c r="BK34" s="15"/>
      <c r="BL34" s="15"/>
      <c r="BM34" s="15"/>
      <c r="BN34" s="15"/>
    </row>
    <row r="35" spans="3:66" s="10" customFormat="1" ht="18" customHeight="1">
      <c r="C35" s="13">
        <v>41699</v>
      </c>
      <c r="D35" s="14">
        <v>4.1520999999999999</v>
      </c>
      <c r="E35" s="14">
        <v>3.6572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1"/>
      <c r="S35" s="13">
        <v>41699</v>
      </c>
      <c r="T35" s="15">
        <v>7.9000000000000001E-2</v>
      </c>
      <c r="U35" s="15">
        <v>0</v>
      </c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I35" s="13">
        <v>41699</v>
      </c>
      <c r="AJ35" s="15">
        <v>0.01</v>
      </c>
      <c r="AK35" s="15">
        <v>0</v>
      </c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1"/>
      <c r="AY35" s="11"/>
      <c r="AZ35" s="13">
        <v>41699</v>
      </c>
      <c r="BA35" s="15">
        <v>0.18181531455118249</v>
      </c>
      <c r="BB35" s="15">
        <v>0.17458782720799926</v>
      </c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</row>
    <row r="36" spans="3:66" s="10" customFormat="1" ht="18" customHeight="1">
      <c r="C36" s="13">
        <v>41671</v>
      </c>
      <c r="D36" s="14">
        <v>2.9946999999999999</v>
      </c>
      <c r="E36" s="14">
        <v>2.71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1"/>
      <c r="S36" s="13">
        <v>41671</v>
      </c>
      <c r="T36" s="15">
        <v>9.4200000000000006E-2</v>
      </c>
      <c r="U36" s="15">
        <v>0</v>
      </c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I36" s="13">
        <v>41671</v>
      </c>
      <c r="AJ36" s="15">
        <v>0</v>
      </c>
      <c r="AK36" s="15">
        <v>0</v>
      </c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1"/>
      <c r="AY36" s="11"/>
      <c r="AZ36" s="13">
        <v>41671</v>
      </c>
      <c r="BA36" s="15">
        <v>0.26056904779574103</v>
      </c>
      <c r="BB36" s="15">
        <v>0.26455428789919244</v>
      </c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</row>
    <row r="37" spans="3:66" s="10" customFormat="1" ht="18" customHeight="1">
      <c r="C37" s="13">
        <v>41640</v>
      </c>
      <c r="D37" s="14">
        <v>3.1019999999999999</v>
      </c>
      <c r="E37" s="14">
        <v>2.4649999999999999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1"/>
      <c r="S37" s="13">
        <v>41640</v>
      </c>
      <c r="T37" s="15">
        <v>0</v>
      </c>
      <c r="U37" s="15">
        <v>0</v>
      </c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I37" s="13">
        <v>41640</v>
      </c>
      <c r="AJ37" s="15">
        <v>0</v>
      </c>
      <c r="AK37" s="15">
        <v>0</v>
      </c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1"/>
      <c r="AY37" s="11"/>
      <c r="AZ37" s="13">
        <v>41640</v>
      </c>
      <c r="BA37" s="15">
        <v>0.18425246220557345</v>
      </c>
      <c r="BB37" s="15">
        <v>0.16038141677889206</v>
      </c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</row>
    <row r="38" spans="3:66" s="10" customFormat="1" ht="18" customHeight="1">
      <c r="C38" s="13">
        <v>41609</v>
      </c>
      <c r="D38" s="14">
        <v>4.1105</v>
      </c>
      <c r="E38" s="14">
        <v>3.2976999999999999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1"/>
      <c r="S38" s="13">
        <v>41609</v>
      </c>
      <c r="T38" s="15">
        <v>0</v>
      </c>
      <c r="U38" s="15">
        <v>0</v>
      </c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I38" s="13">
        <v>41609</v>
      </c>
      <c r="AJ38" s="15">
        <v>0</v>
      </c>
      <c r="AK38" s="15">
        <v>0</v>
      </c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1"/>
      <c r="AY38" s="11"/>
      <c r="AZ38" s="13">
        <v>41609</v>
      </c>
      <c r="BA38" s="15">
        <v>0.18353268613137858</v>
      </c>
      <c r="BB38" s="15">
        <v>0.14466061276666303</v>
      </c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</row>
    <row r="39" spans="3:66" s="10" customFormat="1" ht="18" customHeight="1">
      <c r="C39" s="13">
        <v>41579</v>
      </c>
      <c r="D39" s="14">
        <v>4.0227000000000004</v>
      </c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1"/>
      <c r="S39" s="13">
        <v>41579</v>
      </c>
      <c r="T39" s="15">
        <v>0</v>
      </c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I39" s="13">
        <v>41579</v>
      </c>
      <c r="AJ39" s="15">
        <v>0</v>
      </c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1"/>
      <c r="AY39" s="11"/>
      <c r="AZ39" s="13">
        <v>41579</v>
      </c>
      <c r="BA39" s="15">
        <v>0.20171887598680166</v>
      </c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</row>
    <row r="40" spans="3:66" s="10" customFormat="1" ht="18" customHeight="1">
      <c r="C40" s="13">
        <v>41548</v>
      </c>
      <c r="D40" s="14">
        <v>4.5961999999999996</v>
      </c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1"/>
      <c r="S40" s="13">
        <v>41548</v>
      </c>
      <c r="T40" s="15">
        <v>0</v>
      </c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I40" s="13">
        <v>41548</v>
      </c>
      <c r="AJ40" s="15">
        <v>0</v>
      </c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1"/>
      <c r="AY40" s="11"/>
      <c r="AZ40" s="13">
        <v>41548</v>
      </c>
      <c r="BA40" s="15">
        <v>0.14121100647975354</v>
      </c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</row>
    <row r="41" spans="3:66" s="10" customFormat="1" ht="18" customHeight="1">
      <c r="C41" s="16">
        <v>41518</v>
      </c>
      <c r="D41" s="17">
        <v>3.8847</v>
      </c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1"/>
      <c r="S41" s="16">
        <v>41518</v>
      </c>
      <c r="T41" s="18">
        <v>0</v>
      </c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I41" s="16">
        <v>41518</v>
      </c>
      <c r="AJ41" s="18">
        <v>0</v>
      </c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1"/>
      <c r="AY41" s="11"/>
      <c r="AZ41" s="16">
        <v>41518</v>
      </c>
      <c r="BA41" s="18">
        <v>0.11906152793376748</v>
      </c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</row>
    <row r="42" spans="3:66" ht="17.25" customHeight="1">
      <c r="R42" s="4"/>
    </row>
    <row r="43" spans="3:66" ht="17.25" customHeight="1">
      <c r="C43" s="5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4"/>
      <c r="R43" s="4"/>
      <c r="S43" s="5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</row>
    <row r="44" spans="3:66" ht="17.25" customHeight="1">
      <c r="C44" s="5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4"/>
      <c r="R44" s="4"/>
      <c r="S44" s="5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</row>
    <row r="45" spans="3:66" ht="17.25" customHeight="1">
      <c r="C45" s="5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</row>
    <row r="46" spans="3:66" ht="17.25" customHeight="1"/>
    <row r="48" spans="3:66" s="46" customFormat="1" ht="25.5" customHeight="1"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</row>
    <row r="49" spans="33:46" s="10" customFormat="1"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</row>
    <row r="50" spans="33:46" s="10" customFormat="1" ht="18" customHeight="1"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</row>
    <row r="51" spans="33:46" s="10" customFormat="1" ht="18" customHeight="1"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</row>
    <row r="52" spans="33:46" s="10" customFormat="1" ht="18" customHeight="1"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</row>
    <row r="53" spans="33:46" s="10" customFormat="1" ht="18" customHeight="1"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</row>
    <row r="54" spans="33:46" s="10" customFormat="1" ht="18" customHeight="1"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</row>
    <row r="55" spans="33:46" s="10" customFormat="1" ht="18" customHeight="1"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</row>
    <row r="56" spans="33:46" s="10" customFormat="1" ht="18" customHeight="1"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</row>
    <row r="57" spans="33:46" s="10" customFormat="1" ht="18" customHeight="1"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</row>
    <row r="58" spans="33:46" s="10" customFormat="1" ht="18" customHeight="1"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</row>
    <row r="59" spans="33:46" s="10" customFormat="1" ht="18" customHeight="1"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</row>
    <row r="60" spans="33:46" s="10" customFormat="1" ht="18" customHeight="1"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</row>
    <row r="61" spans="33:46" s="10" customFormat="1" ht="18" customHeight="1"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</row>
    <row r="62" spans="33:46" s="10" customFormat="1" ht="18" customHeight="1"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</row>
    <row r="63" spans="33:46" s="10" customFormat="1" ht="18" customHeight="1"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</row>
    <row r="64" spans="33:46" s="10" customFormat="1" ht="18" customHeight="1"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</row>
    <row r="65" spans="3:46" s="10" customFormat="1" ht="18" customHeight="1"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</row>
    <row r="66" spans="3:46" s="10" customFormat="1" ht="18" customHeight="1"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</row>
    <row r="67" spans="3:46" s="10" customFormat="1" ht="18" customHeight="1"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</row>
    <row r="68" spans="3:46" s="10" customFormat="1" ht="18" customHeight="1"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</row>
    <row r="69" spans="3:46" s="10" customFormat="1" ht="18" customHeight="1"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</row>
    <row r="70" spans="3:46" s="10" customFormat="1" ht="18" customHeight="1"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</row>
    <row r="71" spans="3:46" s="10" customFormat="1" ht="18" customHeight="1"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</row>
    <row r="72" spans="3:46" s="10" customFormat="1" ht="18" customHeight="1"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</row>
    <row r="73" spans="3:46" hidden="1">
      <c r="C73" s="5"/>
      <c r="D73" s="8">
        <v>0.1</v>
      </c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4"/>
      <c r="R73" s="4"/>
    </row>
    <row r="74" spans="3:46">
      <c r="C74" s="5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4"/>
      <c r="R74" s="4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</row>
  </sheetData>
  <mergeCells count="4">
    <mergeCell ref="C15:P15"/>
    <mergeCell ref="S15:AF15"/>
    <mergeCell ref="AI15:AV15"/>
    <mergeCell ref="AZ15:BM15"/>
  </mergeCells>
  <conditionalFormatting sqref="D73">
    <cfRule type="dataBar" priority="1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{FB435F9A-6CAF-4B2C-B6A4-54C59B2A2779}</x14:id>
        </ext>
      </extLst>
    </cfRule>
  </conditionalFormatting>
  <conditionalFormatting sqref="E73:P73">
    <cfRule type="dataBar" priority="10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{684E19EC-8C4B-4AC9-B855-1083D3749578}</x14:id>
        </ext>
      </extLst>
    </cfRule>
  </conditionalFormatting>
  <conditionalFormatting sqref="D73:P73">
    <cfRule type="dataBar" priority="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{6C574F30-E9C1-412E-8A44-846A49D4355E}</x14:id>
        </ext>
      </extLst>
    </cfRule>
  </conditionalFormatting>
  <conditionalFormatting sqref="D43:P43">
    <cfRule type="dataBar" priority="5">
      <dataBar>
        <cfvo type="min"/>
        <cfvo type="max"/>
        <color theme="3" tint="0.59999389629810485"/>
      </dataBar>
      <extLst>
        <ext xmlns:x14="http://schemas.microsoft.com/office/spreadsheetml/2009/9/main" uri="{B025F937-C7B1-47D3-B67F-A62EFF666E3E}">
          <x14:id>{E4212A0D-F39A-4B4F-9C01-53ED2E69DBC4}</x14:id>
        </ext>
      </extLst>
    </cfRule>
  </conditionalFormatting>
  <conditionalFormatting sqref="T43:AF43">
    <cfRule type="dataBar" priority="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{9957FB16-6BA5-4A99-A57C-A04A33504F77}</x14:id>
        </ext>
      </extLst>
    </cfRule>
  </conditionalFormatting>
  <conditionalFormatting pivot="1" sqref="D18:Q41">
    <cfRule type="dataBar" priority="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{86A234C5-DE6D-443B-BBAF-37C116FA5CA4}</x14:id>
        </ext>
      </extLst>
    </cfRule>
  </conditionalFormatting>
  <conditionalFormatting pivot="1" sqref="T18:AG41">
    <cfRule type="dataBar" priority="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{BB801BD7-CD29-464B-8632-43E02C412240}</x14:id>
        </ext>
      </extLst>
    </cfRule>
  </conditionalFormatting>
  <conditionalFormatting pivot="1" sqref="AJ18:AW41">
    <cfRule type="dataBar" priority="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{505FB77C-6838-47EB-8D37-3E771783E5DF}</x14:id>
        </ext>
      </extLst>
    </cfRule>
  </conditionalFormatting>
  <pageMargins left="0.25" right="0.25" top="0.255" bottom="0.25" header="0.1" footer="0.1"/>
  <pageSetup scale="37" orientation="landscape" horizontalDpi="300" verticalDpi="300" r:id="rId5"/>
  <headerFooter scaleWithDoc="0">
    <oddHeader>&amp;L&amp;G&amp;C&amp;"-,Bold"&amp;10&amp;K2E398A
&amp;15Deal Surveilance Summary&amp;R&amp;"-,Bold"&amp;10&amp;K2E398A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5" max="1048575" man="1"/>
  </colBreaks>
  <legacyDrawingHF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435F9A-6CAF-4B2C-B6A4-54C59B2A27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</xm:sqref>
        </x14:conditionalFormatting>
        <x14:conditionalFormatting xmlns:xm="http://schemas.microsoft.com/office/excel/2006/main">
          <x14:cfRule type="dataBar" id="{684E19EC-8C4B-4AC9-B855-1083D37495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E73:P73</xm:sqref>
        </x14:conditionalFormatting>
        <x14:conditionalFormatting xmlns:xm="http://schemas.microsoft.com/office/excel/2006/main">
          <x14:cfRule type="dataBar" id="{6C574F30-E9C1-412E-8A44-846A49D435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D73:P73</xm:sqref>
        </x14:conditionalFormatting>
        <x14:conditionalFormatting xmlns:xm="http://schemas.microsoft.com/office/excel/2006/main">
          <x14:cfRule type="dataBar" id="{E4212A0D-F39A-4B4F-9C01-53ED2E69DB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D43:P43</xm:sqref>
        </x14:conditionalFormatting>
        <x14:conditionalFormatting xmlns:xm="http://schemas.microsoft.com/office/excel/2006/main">
          <x14:cfRule type="dataBar" id="{9957FB16-6BA5-4A99-A57C-A04A33504F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T43:AF43</xm:sqref>
        </x14:conditionalFormatting>
        <x14:conditionalFormatting xmlns:xm="http://schemas.microsoft.com/office/excel/2006/main" pivot="1">
          <x14:cfRule type="dataBar" id="{86A234C5-DE6D-443B-BBAF-37C116FA5C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D18:Q41</xm:sqref>
        </x14:conditionalFormatting>
        <x14:conditionalFormatting xmlns:xm="http://schemas.microsoft.com/office/excel/2006/main" pivot="1">
          <x14:cfRule type="dataBar" id="{BB801BD7-CD29-464B-8632-43E02C4122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T18:AG41</xm:sqref>
        </x14:conditionalFormatting>
        <x14:conditionalFormatting xmlns:xm="http://schemas.microsoft.com/office/excel/2006/main" pivot="1">
          <x14:cfRule type="dataBar" id="{505FB77C-6838-47EB-8D37-3E771783E5DF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AJ18:AW41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AR17"/>
  <sheetViews>
    <sheetView workbookViewId="0">
      <selection activeCell="BD34" sqref="BD34"/>
    </sheetView>
  </sheetViews>
  <sheetFormatPr defaultRowHeight="15"/>
  <cols>
    <col min="32" max="44" width="9.140625" style="93"/>
  </cols>
  <sheetData>
    <row r="3" spans="2:44">
      <c r="B3" s="41" t="s">
        <v>32</v>
      </c>
      <c r="C3" s="41" t="s">
        <v>33</v>
      </c>
      <c r="D3" s="41" t="s">
        <v>21</v>
      </c>
      <c r="E3" s="41" t="s">
        <v>22</v>
      </c>
      <c r="F3" s="41" t="s">
        <v>23</v>
      </c>
      <c r="G3" s="41" t="s">
        <v>34</v>
      </c>
      <c r="H3" s="41" t="s">
        <v>35</v>
      </c>
      <c r="I3" s="41" t="s">
        <v>36</v>
      </c>
      <c r="J3" s="41" t="s">
        <v>37</v>
      </c>
      <c r="K3" s="41" t="s">
        <v>38</v>
      </c>
      <c r="L3" s="41" t="s">
        <v>39</v>
      </c>
      <c r="M3" s="41" t="s">
        <v>40</v>
      </c>
      <c r="N3" s="41" t="s">
        <v>41</v>
      </c>
      <c r="O3" s="41" t="s">
        <v>42</v>
      </c>
      <c r="P3" s="41" t="s">
        <v>43</v>
      </c>
      <c r="Q3" s="41" t="s">
        <v>44</v>
      </c>
      <c r="R3" s="41" t="s">
        <v>45</v>
      </c>
      <c r="S3" s="41" t="s">
        <v>46</v>
      </c>
      <c r="T3" s="41" t="s">
        <v>47</v>
      </c>
      <c r="U3" s="41" t="s">
        <v>48</v>
      </c>
      <c r="V3" s="41" t="s">
        <v>49</v>
      </c>
      <c r="W3" s="41" t="s">
        <v>50</v>
      </c>
      <c r="X3" s="41" t="s">
        <v>51</v>
      </c>
      <c r="Y3" s="41" t="s">
        <v>52</v>
      </c>
      <c r="Z3" s="41" t="s">
        <v>53</v>
      </c>
      <c r="AA3" s="41" t="s">
        <v>54</v>
      </c>
      <c r="AB3" s="41" t="s">
        <v>55</v>
      </c>
      <c r="AC3" s="41" t="s">
        <v>56</v>
      </c>
      <c r="AD3" s="41" t="s">
        <v>57</v>
      </c>
      <c r="AE3" s="41" t="s">
        <v>58</v>
      </c>
      <c r="AF3" s="41" t="s">
        <v>217</v>
      </c>
      <c r="AG3" s="41" t="s">
        <v>218</v>
      </c>
      <c r="AH3" s="41" t="s">
        <v>219</v>
      </c>
      <c r="AI3" s="41" t="s">
        <v>220</v>
      </c>
      <c r="AJ3" s="41" t="s">
        <v>221</v>
      </c>
      <c r="AK3" s="41" t="s">
        <v>222</v>
      </c>
      <c r="AL3" s="41" t="s">
        <v>223</v>
      </c>
      <c r="AM3" s="41" t="s">
        <v>224</v>
      </c>
      <c r="AN3" s="41" t="s">
        <v>225</v>
      </c>
      <c r="AO3" s="41" t="s">
        <v>226</v>
      </c>
      <c r="AP3" s="41" t="s">
        <v>227</v>
      </c>
      <c r="AQ3" s="41" t="s">
        <v>228</v>
      </c>
      <c r="AR3" s="41" t="s">
        <v>229</v>
      </c>
    </row>
    <row r="4" spans="2:44">
      <c r="B4" t="s">
        <v>111</v>
      </c>
      <c r="C4" t="s">
        <v>115</v>
      </c>
      <c r="D4">
        <v>97905</v>
      </c>
      <c r="E4">
        <v>22049871215.43</v>
      </c>
      <c r="F4">
        <v>23800656000</v>
      </c>
      <c r="G4">
        <v>35.971044789556267</v>
      </c>
      <c r="H4">
        <v>3.8348936129034348</v>
      </c>
      <c r="I4">
        <v>3.834893893451174</v>
      </c>
      <c r="J4">
        <v>74.920563656330373</v>
      </c>
      <c r="K4">
        <v>75.871675296315559</v>
      </c>
      <c r="L4">
        <v>58.840441557854206</v>
      </c>
      <c r="M4">
        <v>31.250599887198128</v>
      </c>
      <c r="N4">
        <v>765.95339379673737</v>
      </c>
      <c r="O4">
        <v>309648.58855799859</v>
      </c>
      <c r="P4">
        <v>0</v>
      </c>
      <c r="Q4">
        <v>4.9584989438165229E-2</v>
      </c>
      <c r="R4">
        <v>0.12314603893649305</v>
      </c>
      <c r="S4">
        <v>0.5999043757055359</v>
      </c>
      <c r="T4">
        <v>2.7690936682783381E-2</v>
      </c>
      <c r="U4">
        <v>0.64156843909276884</v>
      </c>
      <c r="V4">
        <v>0.86827260738704692</v>
      </c>
      <c r="W4">
        <v>0.41273557722375676</v>
      </c>
      <c r="X4">
        <v>0.15275458574030112</v>
      </c>
      <c r="Y4">
        <v>0.9969225337365003</v>
      </c>
      <c r="Z4">
        <v>3.0774662634997477E-3</v>
      </c>
      <c r="AA4">
        <v>0.97280840445723626</v>
      </c>
      <c r="AB4">
        <v>2.4114129279263954E-2</v>
      </c>
      <c r="AC4">
        <v>0</v>
      </c>
      <c r="AD4">
        <v>0</v>
      </c>
      <c r="AE4">
        <v>1.4362009324498648E-4</v>
      </c>
      <c r="AF4" s="3">
        <v>1</v>
      </c>
      <c r="AG4" s="100">
        <v>42248</v>
      </c>
      <c r="AH4" s="3">
        <v>225217.00848199785</v>
      </c>
      <c r="AI4" s="3">
        <v>8.8566317948987464E-2</v>
      </c>
      <c r="AJ4" s="3">
        <v>0.2607512383848577</v>
      </c>
      <c r="AK4" s="3">
        <v>9.0068301306914039E-2</v>
      </c>
      <c r="AL4" s="3">
        <v>1.1184686236508279E-3</v>
      </c>
      <c r="AM4" s="3">
        <v>6.4935525918085402E-3</v>
      </c>
      <c r="AN4" s="3">
        <v>8.2142403174787826E-2</v>
      </c>
      <c r="AO4" s="3">
        <v>0.43928248918215318</v>
      </c>
      <c r="AP4" s="3">
        <v>0.14798193359409006</v>
      </c>
      <c r="AQ4" s="3">
        <v>0.48404257691769298</v>
      </c>
      <c r="AR4" s="3">
        <v>0.36320283734200587</v>
      </c>
    </row>
    <row r="5" spans="2:44">
      <c r="B5" s="41" t="s">
        <v>119</v>
      </c>
      <c r="C5" s="41" t="s">
        <v>123</v>
      </c>
      <c r="D5" s="41">
        <v>109292</v>
      </c>
      <c r="E5" s="41">
        <v>25099031172.810001</v>
      </c>
      <c r="F5" s="41">
        <v>26935008000</v>
      </c>
      <c r="G5" s="41">
        <v>33.016286881625248</v>
      </c>
      <c r="H5" s="41">
        <v>3.6302615512711949</v>
      </c>
      <c r="I5" s="41">
        <v>3.630252488769611</v>
      </c>
      <c r="J5" s="41">
        <v>74.515388406618001</v>
      </c>
      <c r="K5" s="41">
        <v>75.485967956750201</v>
      </c>
      <c r="L5" s="41">
        <v>58.988454423678107</v>
      </c>
      <c r="M5" s="41">
        <v>31.034593230174181</v>
      </c>
      <c r="N5" s="41">
        <v>765.39190346573719</v>
      </c>
      <c r="O5" s="41">
        <v>312673.09541640879</v>
      </c>
      <c r="P5" s="41">
        <v>0</v>
      </c>
      <c r="Q5" s="41">
        <v>4.2482713754907996E-2</v>
      </c>
      <c r="R5" s="41">
        <v>9.466527391041088E-2</v>
      </c>
      <c r="S5" s="41">
        <v>0.59451716522050146</v>
      </c>
      <c r="T5" s="41">
        <v>2.8773694078772123E-2</v>
      </c>
      <c r="U5" s="41">
        <v>0.63053277207146485</v>
      </c>
      <c r="V5" s="41">
        <v>0.87162585394290071</v>
      </c>
      <c r="W5" s="41">
        <v>0.31507449956701417</v>
      </c>
      <c r="X5" s="41">
        <v>0.17793624149318107</v>
      </c>
      <c r="Y5" s="41">
        <v>0.99734126886290775</v>
      </c>
      <c r="Z5" s="41">
        <v>2.6587311370922912E-3</v>
      </c>
      <c r="AA5" s="41">
        <v>0.9751451698910274</v>
      </c>
      <c r="AB5" s="41">
        <v>2.2196098971880313E-2</v>
      </c>
      <c r="AC5" s="41">
        <v>0</v>
      </c>
      <c r="AD5" s="41">
        <v>0</v>
      </c>
      <c r="AE5" s="41">
        <v>1.0092113088189817E-4</v>
      </c>
      <c r="AF5" s="3">
        <v>1</v>
      </c>
      <c r="AG5" s="100">
        <v>42248</v>
      </c>
      <c r="AH5" s="3">
        <v>229651.12883660287</v>
      </c>
      <c r="AI5" s="3">
        <v>9.2747393739715411E-2</v>
      </c>
      <c r="AJ5" s="3">
        <v>0.26954988495767362</v>
      </c>
      <c r="AK5" s="3">
        <v>9.4633157943684917E-2</v>
      </c>
      <c r="AL5" s="3">
        <v>1.2076314791319715E-3</v>
      </c>
      <c r="AM5" s="3">
        <v>4.0765535480445751E-3</v>
      </c>
      <c r="AN5" s="3">
        <v>8.5891432302191331E-2</v>
      </c>
      <c r="AO5" s="3">
        <v>0.52730620213928636</v>
      </c>
      <c r="AP5" s="3">
        <v>0.15761929829369942</v>
      </c>
      <c r="AQ5" s="3">
        <v>0.46998117854480326</v>
      </c>
      <c r="AR5" s="3">
        <v>0.35208257996201564</v>
      </c>
    </row>
    <row r="6" spans="2:44">
      <c r="B6" s="41" t="s">
        <v>127</v>
      </c>
      <c r="C6" s="41" t="s">
        <v>131</v>
      </c>
      <c r="D6" s="41">
        <v>174537</v>
      </c>
      <c r="E6" s="41">
        <v>41047667635.150002</v>
      </c>
      <c r="F6" s="41">
        <v>43772262000</v>
      </c>
      <c r="G6" s="41">
        <v>30.306173059595913</v>
      </c>
      <c r="H6" s="41">
        <v>3.5825467872210557</v>
      </c>
      <c r="I6" s="41">
        <v>3.5825461018561722</v>
      </c>
      <c r="J6" s="41">
        <v>74.270552970785602</v>
      </c>
      <c r="K6" s="41">
        <v>75.332926308148814</v>
      </c>
      <c r="L6" s="41">
        <v>59.806272665299822</v>
      </c>
      <c r="M6" s="41">
        <v>31.232919399160036</v>
      </c>
      <c r="N6" s="41">
        <v>764.09964165821441</v>
      </c>
      <c r="O6" s="41">
        <v>316077.97178742575</v>
      </c>
      <c r="P6" s="41">
        <v>0</v>
      </c>
      <c r="Q6" s="41">
        <v>4.2215121896624852E-2</v>
      </c>
      <c r="R6" s="41">
        <v>8.9112118788637562E-2</v>
      </c>
      <c r="S6" s="41">
        <v>0.59030589303010117</v>
      </c>
      <c r="T6" s="41">
        <v>3.0759540333268585E-2</v>
      </c>
      <c r="U6" s="41">
        <v>0.62637721155715165</v>
      </c>
      <c r="V6" s="41">
        <v>0.86661166537117928</v>
      </c>
      <c r="W6" s="41">
        <v>0.29344646287540482</v>
      </c>
      <c r="X6" s="41">
        <v>0.14760638634536291</v>
      </c>
      <c r="Y6" s="41">
        <v>0.99751485453797994</v>
      </c>
      <c r="Z6" s="41">
        <v>2.4851454620200427E-3</v>
      </c>
      <c r="AA6" s="41">
        <v>0.9797756826098174</v>
      </c>
      <c r="AB6" s="41">
        <v>1.7739171928162566E-2</v>
      </c>
      <c r="AC6" s="41">
        <v>0</v>
      </c>
      <c r="AD6" s="41">
        <v>0</v>
      </c>
      <c r="AE6" s="41">
        <v>6.9812188002275221E-5</v>
      </c>
      <c r="AF6" s="3">
        <v>1</v>
      </c>
      <c r="AG6" s="100">
        <v>42248</v>
      </c>
      <c r="AH6" s="3">
        <v>235180.32070649776</v>
      </c>
      <c r="AI6" s="3">
        <v>0.10063156530562045</v>
      </c>
      <c r="AJ6" s="3">
        <v>0.26704526063676659</v>
      </c>
      <c r="AK6" s="3">
        <v>9.9640256038022609E-2</v>
      </c>
      <c r="AL6" s="3">
        <v>1.144365633329567E-3</v>
      </c>
      <c r="AM6" s="3">
        <v>5.7929061347295491E-3</v>
      </c>
      <c r="AN6" s="3">
        <v>9.1173212732195807E-2</v>
      </c>
      <c r="AO6" s="3">
        <v>0.53077705955363919</v>
      </c>
      <c r="AP6" s="3">
        <v>0.17577647757095599</v>
      </c>
      <c r="AQ6" s="3">
        <v>0.46373828299125086</v>
      </c>
      <c r="AR6" s="3">
        <v>0.3886553306633862</v>
      </c>
    </row>
    <row r="7" spans="2:44">
      <c r="B7" s="41" t="s">
        <v>127</v>
      </c>
      <c r="C7" s="41" t="s">
        <v>138</v>
      </c>
      <c r="D7" s="41">
        <v>55667</v>
      </c>
      <c r="E7" s="41">
        <v>11949725238.950001</v>
      </c>
      <c r="F7" s="41">
        <v>12689732000</v>
      </c>
      <c r="G7" s="41">
        <v>30.304590006036811</v>
      </c>
      <c r="H7" s="41">
        <v>3.5717853785308833</v>
      </c>
      <c r="I7" s="41">
        <v>3.5718180658070202</v>
      </c>
      <c r="J7" s="41">
        <v>90.973001051220962</v>
      </c>
      <c r="K7" s="41">
        <v>91.024794072770334</v>
      </c>
      <c r="L7" s="41">
        <v>75.001888679712934</v>
      </c>
      <c r="M7" s="41">
        <v>32.352937906579065</v>
      </c>
      <c r="N7" s="41">
        <v>756.64079306877716</v>
      </c>
      <c r="O7" s="41">
        <v>274790.02621540107</v>
      </c>
      <c r="P7" s="41">
        <v>1</v>
      </c>
      <c r="Q7" s="41">
        <v>2.9540782866654246E-2</v>
      </c>
      <c r="R7" s="41">
        <v>0.26766798813284276</v>
      </c>
      <c r="S7" s="41">
        <v>0.55602153446616176</v>
      </c>
      <c r="T7" s="41">
        <v>1.0163823667185172E-3</v>
      </c>
      <c r="U7" s="41">
        <v>0.6029647652855249</v>
      </c>
      <c r="V7" s="41">
        <v>0.97002881940392882</v>
      </c>
      <c r="W7" s="41">
        <v>0.60673616511847706</v>
      </c>
      <c r="X7" s="41">
        <v>9.3982824322133285E-2</v>
      </c>
      <c r="Y7" s="41">
        <v>0.99577728203778904</v>
      </c>
      <c r="Z7" s="41">
        <v>4.2227179622109749E-3</v>
      </c>
      <c r="AA7" s="41">
        <v>0.97544940098340049</v>
      </c>
      <c r="AB7" s="41">
        <v>2.0327881054388517E-2</v>
      </c>
      <c r="AC7" s="41">
        <v>0</v>
      </c>
      <c r="AD7" s="41">
        <v>0</v>
      </c>
      <c r="AE7" s="41">
        <v>1.6138499600928518E-4</v>
      </c>
      <c r="AF7" s="3">
        <v>2</v>
      </c>
      <c r="AG7" s="100">
        <v>42248</v>
      </c>
      <c r="AH7" s="3">
        <v>214664.43743959616</v>
      </c>
      <c r="AI7" s="3">
        <v>7.8588788689380636E-3</v>
      </c>
      <c r="AJ7" s="3">
        <v>0.31593705658890398</v>
      </c>
      <c r="AK7" s="3">
        <v>7.8109380658196198E-2</v>
      </c>
      <c r="AL7" s="3">
        <v>1.15989149983317E-3</v>
      </c>
      <c r="AM7" s="3">
        <v>1.8289059675417568E-3</v>
      </c>
      <c r="AN7" s="3">
        <v>4.3039772941690812E-4</v>
      </c>
      <c r="AO7" s="3">
        <v>0.36179177330690504</v>
      </c>
      <c r="AP7" s="3">
        <v>3.1472061574617897E-2</v>
      </c>
      <c r="AQ7" s="3">
        <v>0.50345909354051654</v>
      </c>
      <c r="AR7" s="3">
        <v>0.40255808213735012</v>
      </c>
    </row>
    <row r="8" spans="2:44">
      <c r="B8" s="41" t="s">
        <v>142</v>
      </c>
      <c r="C8" s="41" t="s">
        <v>146</v>
      </c>
      <c r="D8" s="41">
        <v>224779</v>
      </c>
      <c r="E8" s="41">
        <v>52227696428.360001</v>
      </c>
      <c r="F8" s="41">
        <v>55266192000</v>
      </c>
      <c r="G8" s="41">
        <v>27.15489251097981</v>
      </c>
      <c r="H8" s="41">
        <v>3.7389846359927912</v>
      </c>
      <c r="I8" s="41">
        <v>3.7389897092783677</v>
      </c>
      <c r="J8" s="41">
        <v>74.774460273484635</v>
      </c>
      <c r="K8" s="41">
        <v>75.842784280657042</v>
      </c>
      <c r="L8" s="41">
        <v>61.418152927301811</v>
      </c>
      <c r="M8" s="41">
        <v>32.008462118192142</v>
      </c>
      <c r="N8" s="41">
        <v>761.42843330226333</v>
      </c>
      <c r="O8" s="41">
        <v>313796.68615252338</v>
      </c>
      <c r="P8" s="41">
        <v>0</v>
      </c>
      <c r="Q8" s="41">
        <v>4.7210334348407428E-2</v>
      </c>
      <c r="R8" s="41">
        <v>0.12207657410997565</v>
      </c>
      <c r="S8" s="41">
        <v>0.56767829749984233</v>
      </c>
      <c r="T8" s="41">
        <v>3.089787175495139E-2</v>
      </c>
      <c r="U8" s="41">
        <v>0.61120744486800982</v>
      </c>
      <c r="V8" s="41">
        <v>0.85918212949735984</v>
      </c>
      <c r="W8" s="41">
        <v>0.39416333469077774</v>
      </c>
      <c r="X8" s="41">
        <v>0.13825543442863922</v>
      </c>
      <c r="Y8" s="41">
        <v>0.99706319677356647</v>
      </c>
      <c r="Z8" s="41">
        <v>2.9368032264335568E-3</v>
      </c>
      <c r="AA8" s="41">
        <v>0.9791129529517667</v>
      </c>
      <c r="AB8" s="41">
        <v>1.7950243821799713E-2</v>
      </c>
      <c r="AC8" s="41">
        <v>0</v>
      </c>
      <c r="AD8" s="41">
        <v>0</v>
      </c>
      <c r="AE8" s="41">
        <v>4.9735408751236896E-5</v>
      </c>
      <c r="AF8" s="3">
        <v>1</v>
      </c>
      <c r="AG8" s="100">
        <v>42248</v>
      </c>
      <c r="AH8" s="3">
        <v>232351.31586295873</v>
      </c>
      <c r="AI8" s="3">
        <v>9.58722212720656E-2</v>
      </c>
      <c r="AJ8" s="3">
        <v>0.26998963448028113</v>
      </c>
      <c r="AK8" s="3">
        <v>0.10909018873970866</v>
      </c>
      <c r="AL8" s="3">
        <v>1.4690636236511737E-3</v>
      </c>
      <c r="AM8" s="3">
        <v>8.2436682883491978E-3</v>
      </c>
      <c r="AN8" s="3">
        <v>9.3607536154232729E-2</v>
      </c>
      <c r="AO8" s="3">
        <v>0.4341128654684176</v>
      </c>
      <c r="AP8" s="3">
        <v>0.17172379984080463</v>
      </c>
      <c r="AQ8" s="3">
        <v>0.50074327369795546</v>
      </c>
      <c r="AR8" s="3">
        <v>0.36100129187340541</v>
      </c>
    </row>
    <row r="9" spans="2:44">
      <c r="B9" s="41" t="s">
        <v>142</v>
      </c>
      <c r="C9" s="41" t="s">
        <v>153</v>
      </c>
      <c r="D9" s="41">
        <v>77093</v>
      </c>
      <c r="E9" s="41">
        <v>16423147542.5</v>
      </c>
      <c r="F9" s="41">
        <v>17341118000</v>
      </c>
      <c r="G9" s="41">
        <v>27.0533315378458</v>
      </c>
      <c r="H9" s="41">
        <v>3.7292222940455417</v>
      </c>
      <c r="I9" s="41">
        <v>3.7292280214066951</v>
      </c>
      <c r="J9" s="41">
        <v>91.559479781910383</v>
      </c>
      <c r="K9" s="41">
        <v>91.596068824241954</v>
      </c>
      <c r="L9" s="41">
        <v>76.821497855845934</v>
      </c>
      <c r="M9" s="41">
        <v>32.824756041056553</v>
      </c>
      <c r="N9" s="41">
        <v>754.8016578396863</v>
      </c>
      <c r="O9" s="41">
        <v>270485.83413948404</v>
      </c>
      <c r="P9" s="41">
        <v>1</v>
      </c>
      <c r="Q9" s="41">
        <v>3.0108410652123326E-2</v>
      </c>
      <c r="R9" s="41">
        <v>0.32607407731385546</v>
      </c>
      <c r="S9" s="41">
        <v>0.53952018660493628</v>
      </c>
      <c r="T9" s="41">
        <v>1.0963635541484692E-3</v>
      </c>
      <c r="U9" s="41">
        <v>0.59467392489937498</v>
      </c>
      <c r="V9" s="41">
        <v>0.96941031807453848</v>
      </c>
      <c r="W9" s="41">
        <v>0.71942633189675609</v>
      </c>
      <c r="X9" s="41">
        <v>9.1722898698424093E-2</v>
      </c>
      <c r="Y9" s="41">
        <v>0.99539584688353289</v>
      </c>
      <c r="Z9" s="41">
        <v>4.6041531164670779E-3</v>
      </c>
      <c r="AA9" s="41">
        <v>0.97575480091562361</v>
      </c>
      <c r="AB9" s="41">
        <v>1.9641045967909353E-2</v>
      </c>
      <c r="AC9" s="41">
        <v>0</v>
      </c>
      <c r="AD9" s="41">
        <v>0</v>
      </c>
      <c r="AE9" s="41">
        <v>1.1296786655535218E-4</v>
      </c>
      <c r="AF9" s="3">
        <v>2</v>
      </c>
      <c r="AG9" s="100">
        <v>42248</v>
      </c>
      <c r="AH9" s="3">
        <v>213030.33404459548</v>
      </c>
      <c r="AI9" s="3">
        <v>5.8616373293170756E-3</v>
      </c>
      <c r="AJ9" s="3">
        <v>0.32439831317736578</v>
      </c>
      <c r="AK9" s="3">
        <v>7.7235383647226957E-2</v>
      </c>
      <c r="AL9" s="3">
        <v>1.5904019696838208E-3</v>
      </c>
      <c r="AM9" s="3">
        <v>2.1019763063484637E-3</v>
      </c>
      <c r="AN9" s="3">
        <v>4.8127127333819363E-4</v>
      </c>
      <c r="AO9" s="3">
        <v>0.25650163477364374</v>
      </c>
      <c r="AP9" s="3">
        <v>2.40720333296001E-2</v>
      </c>
      <c r="AQ9" s="3">
        <v>0.51350589046076578</v>
      </c>
      <c r="AR9" s="3">
        <v>0.39477121084081013</v>
      </c>
    </row>
    <row r="10" spans="2:44">
      <c r="B10" s="41" t="s">
        <v>157</v>
      </c>
      <c r="C10" s="41" t="s">
        <v>161</v>
      </c>
      <c r="D10" s="41">
        <v>138846</v>
      </c>
      <c r="E10" s="41">
        <v>30899933980.279999</v>
      </c>
      <c r="F10" s="41">
        <v>32496798000</v>
      </c>
      <c r="G10" s="41">
        <v>24.75852430980332</v>
      </c>
      <c r="H10" s="41">
        <v>3.9738132848566825</v>
      </c>
      <c r="I10" s="41">
        <v>3.9738126423096025</v>
      </c>
      <c r="J10" s="41">
        <v>75.286713497072</v>
      </c>
      <c r="K10" s="41">
        <v>76.315740779375332</v>
      </c>
      <c r="L10" s="41">
        <v>63.724154758516633</v>
      </c>
      <c r="M10" s="41">
        <v>32.556840044595916</v>
      </c>
      <c r="N10" s="41">
        <v>757.71151768126947</v>
      </c>
      <c r="O10" s="41">
        <v>301051.61301040504</v>
      </c>
      <c r="P10" s="41">
        <v>0</v>
      </c>
      <c r="Q10" s="41">
        <v>5.1244803669177663E-2</v>
      </c>
      <c r="R10" s="41">
        <v>0.15369574398252372</v>
      </c>
      <c r="S10" s="41">
        <v>0.5568428982599426</v>
      </c>
      <c r="T10" s="41">
        <v>3.3202303428050993E-2</v>
      </c>
      <c r="U10" s="41">
        <v>0.60526889424896191</v>
      </c>
      <c r="V10" s="41">
        <v>0.84702434872687171</v>
      </c>
      <c r="W10" s="41">
        <v>0.50836769029393436</v>
      </c>
      <c r="X10" s="41">
        <v>0.12143325239415281</v>
      </c>
      <c r="Y10" s="41">
        <v>0.99661122969075511</v>
      </c>
      <c r="Z10" s="41">
        <v>3.3887703092448855E-3</v>
      </c>
      <c r="AA10" s="41">
        <v>0.98196837620670696</v>
      </c>
      <c r="AB10" s="41">
        <v>1.4642853484048124E-2</v>
      </c>
      <c r="AC10" s="41">
        <v>0</v>
      </c>
      <c r="AD10" s="41">
        <v>0</v>
      </c>
      <c r="AE10" s="41">
        <v>1.7821605067229011E-5</v>
      </c>
      <c r="AF10" s="3">
        <v>1</v>
      </c>
      <c r="AG10" s="100">
        <v>42248</v>
      </c>
      <c r="AH10" s="3">
        <v>222548.24755686155</v>
      </c>
      <c r="AI10" s="3">
        <v>9.0482580174582786E-2</v>
      </c>
      <c r="AJ10" s="3">
        <v>0.27996170521952718</v>
      </c>
      <c r="AK10" s="3">
        <v>0.10402162676047484</v>
      </c>
      <c r="AL10" s="3">
        <v>2.0969441372059804E-3</v>
      </c>
      <c r="AM10" s="3">
        <v>8.6508296338301035E-3</v>
      </c>
      <c r="AN10" s="3">
        <v>0.10173084760395062</v>
      </c>
      <c r="AO10" s="3">
        <v>0.32459651199614353</v>
      </c>
      <c r="AP10" s="3">
        <v>0.16703579770992216</v>
      </c>
      <c r="AQ10" s="3">
        <v>0.51345400211422176</v>
      </c>
      <c r="AR10" s="3">
        <v>0.36511274549162542</v>
      </c>
    </row>
    <row r="11" spans="2:44">
      <c r="B11" s="41" t="s">
        <v>157</v>
      </c>
      <c r="C11" s="41" t="s">
        <v>168</v>
      </c>
      <c r="D11" s="41">
        <v>72041</v>
      </c>
      <c r="E11" s="41">
        <v>15513826943.32</v>
      </c>
      <c r="F11" s="41">
        <v>16247678000</v>
      </c>
      <c r="G11" s="41">
        <v>24.715515316963725</v>
      </c>
      <c r="H11" s="41">
        <v>4.0229632732653657</v>
      </c>
      <c r="I11" s="41">
        <v>4.022959529369694</v>
      </c>
      <c r="J11" s="41">
        <v>92.243347536514548</v>
      </c>
      <c r="K11" s="41">
        <v>92.266220984150422</v>
      </c>
      <c r="L11" s="41">
        <v>79.422087020795189</v>
      </c>
      <c r="M11" s="41">
        <v>33.418647108958282</v>
      </c>
      <c r="N11" s="41">
        <v>753.05810507013996</v>
      </c>
      <c r="O11" s="41">
        <v>269739.69842189719</v>
      </c>
      <c r="P11" s="41">
        <v>0.99837565834709463</v>
      </c>
      <c r="Q11" s="41">
        <v>2.5737181808124034E-2</v>
      </c>
      <c r="R11" s="41">
        <v>0.36062091374230182</v>
      </c>
      <c r="S11" s="41">
        <v>0.5298199342386759</v>
      </c>
      <c r="T11" s="41">
        <v>1.2985887849338536E-3</v>
      </c>
      <c r="U11" s="41">
        <v>0.59334637295174641</v>
      </c>
      <c r="V11" s="41">
        <v>0.97376892564247508</v>
      </c>
      <c r="W11" s="41">
        <v>0.81214803762492327</v>
      </c>
      <c r="X11" s="41">
        <v>9.0356186620579731E-2</v>
      </c>
      <c r="Y11" s="41">
        <v>0.99531085922926821</v>
      </c>
      <c r="Z11" s="41">
        <v>4.6891407707318443E-3</v>
      </c>
      <c r="AA11" s="41">
        <v>0.97999862762529977</v>
      </c>
      <c r="AB11" s="41">
        <v>1.5312231603968336E-2</v>
      </c>
      <c r="AC11" s="41">
        <v>0</v>
      </c>
      <c r="AD11" s="41">
        <v>0</v>
      </c>
      <c r="AE11" s="41">
        <v>7.3157187723348304E-5</v>
      </c>
      <c r="AF11" s="3">
        <v>2</v>
      </c>
      <c r="AG11" s="100">
        <v>42248</v>
      </c>
      <c r="AH11" s="3">
        <v>215347.1903960245</v>
      </c>
      <c r="AI11" s="3">
        <v>3.7402550384246038E-3</v>
      </c>
      <c r="AJ11" s="3">
        <v>0.32893979869985063</v>
      </c>
      <c r="AK11" s="3">
        <v>7.4224241887384079E-2</v>
      </c>
      <c r="AL11" s="3">
        <v>1.6738781994201312E-3</v>
      </c>
      <c r="AM11" s="3">
        <v>1.8157082615987883E-3</v>
      </c>
      <c r="AN11" s="3">
        <v>4.9389254940085576E-4</v>
      </c>
      <c r="AO11" s="3">
        <v>0.1701759485777154</v>
      </c>
      <c r="AP11" s="3">
        <v>1.7676013797361313E-2</v>
      </c>
      <c r="AQ11" s="3">
        <v>0.49867563478405008</v>
      </c>
      <c r="AR11" s="3">
        <v>0.41096817859537021</v>
      </c>
    </row>
    <row r="12" spans="2:44">
      <c r="B12" s="41" t="s">
        <v>172</v>
      </c>
      <c r="C12" s="41" t="s">
        <v>176</v>
      </c>
      <c r="D12" s="41">
        <v>125337</v>
      </c>
      <c r="E12" s="41">
        <v>25385515450.669998</v>
      </c>
      <c r="F12" s="41">
        <v>26524790000</v>
      </c>
      <c r="G12" s="41">
        <v>22.34876106969206</v>
      </c>
      <c r="H12" s="41">
        <v>4.5485417168687423</v>
      </c>
      <c r="I12" s="41">
        <v>4.5485422114007559</v>
      </c>
      <c r="J12" s="41">
        <v>75.866243821881497</v>
      </c>
      <c r="K12" s="41">
        <v>76.807641401746636</v>
      </c>
      <c r="L12" s="41">
        <v>65.924927149680684</v>
      </c>
      <c r="M12" s="41">
        <v>33.637502099246632</v>
      </c>
      <c r="N12" s="41">
        <v>757.3830603998523</v>
      </c>
      <c r="O12" s="41">
        <v>275705.34273008496</v>
      </c>
      <c r="P12" s="41">
        <v>0</v>
      </c>
      <c r="Q12" s="41">
        <v>6.1241256457881706E-2</v>
      </c>
      <c r="R12" s="41">
        <v>0.18625828729923255</v>
      </c>
      <c r="S12" s="41">
        <v>0.5305110292335844</v>
      </c>
      <c r="T12" s="41">
        <v>4.0241114583042213E-2</v>
      </c>
      <c r="U12" s="41">
        <v>0.60384142167558097</v>
      </c>
      <c r="V12" s="41">
        <v>0.81974350817567387</v>
      </c>
      <c r="W12" s="41">
        <v>0.62566336417292667</v>
      </c>
      <c r="X12" s="41">
        <v>0.10830272892991177</v>
      </c>
      <c r="Y12" s="41">
        <v>0.99624967774694184</v>
      </c>
      <c r="Z12" s="41">
        <v>3.750322253058182E-3</v>
      </c>
      <c r="AA12" s="41">
        <v>0.98231833599155249</v>
      </c>
      <c r="AB12" s="41">
        <v>1.3931341755389333E-2</v>
      </c>
      <c r="AC12" s="41">
        <v>0</v>
      </c>
      <c r="AD12" s="41">
        <v>0</v>
      </c>
      <c r="AE12" s="41">
        <v>0</v>
      </c>
      <c r="AF12" s="3">
        <v>1</v>
      </c>
      <c r="AG12" s="100">
        <v>42248</v>
      </c>
      <c r="AH12" s="3">
        <v>202538.08093914806</v>
      </c>
      <c r="AI12" s="3">
        <v>7.7717573769727377E-2</v>
      </c>
      <c r="AJ12" s="3">
        <v>0.28111119005116186</v>
      </c>
      <c r="AK12" s="3">
        <v>0.10206358251597437</v>
      </c>
      <c r="AL12" s="3">
        <v>2.8421935174097767E-3</v>
      </c>
      <c r="AM12" s="3">
        <v>1.0141612239872999E-2</v>
      </c>
      <c r="AN12" s="3">
        <v>0.11901523536644436</v>
      </c>
      <c r="AO12" s="3">
        <v>0.20355592791099372</v>
      </c>
      <c r="AP12" s="3">
        <v>0.17078070791607963</v>
      </c>
      <c r="AQ12" s="3">
        <v>0.54156307419068583</v>
      </c>
      <c r="AR12" s="3">
        <v>0.35013419687940234</v>
      </c>
    </row>
    <row r="13" spans="2:44">
      <c r="B13" s="41" t="s">
        <v>172</v>
      </c>
      <c r="C13" s="41" t="s">
        <v>183</v>
      </c>
      <c r="D13" s="41">
        <v>76175</v>
      </c>
      <c r="E13" s="41">
        <v>15498376606.66</v>
      </c>
      <c r="F13" s="41">
        <v>16099756000</v>
      </c>
      <c r="G13" s="41">
        <v>22.304010982795791</v>
      </c>
      <c r="H13" s="41">
        <v>4.5928298103764567</v>
      </c>
      <c r="I13" s="41">
        <v>4.5928176283752888</v>
      </c>
      <c r="J13" s="41">
        <v>92.704446467176339</v>
      </c>
      <c r="K13" s="41">
        <v>92.724088047069245</v>
      </c>
      <c r="L13" s="41">
        <v>81.510276819323082</v>
      </c>
      <c r="M13" s="41">
        <v>34.271279857774473</v>
      </c>
      <c r="N13" s="41">
        <v>754.7892842268792</v>
      </c>
      <c r="O13" s="41">
        <v>254123.63639120219</v>
      </c>
      <c r="P13" s="41">
        <v>0.99288530122486407</v>
      </c>
      <c r="Q13" s="41">
        <v>2.9391068619680816E-2</v>
      </c>
      <c r="R13" s="41">
        <v>0.41170841182475987</v>
      </c>
      <c r="S13" s="41">
        <v>0.51276439163473353</v>
      </c>
      <c r="T13" s="41">
        <v>1.3363905843596314E-3</v>
      </c>
      <c r="U13" s="41">
        <v>0.59365659310835484</v>
      </c>
      <c r="V13" s="41">
        <v>0.97006808137049316</v>
      </c>
      <c r="W13" s="41">
        <v>0.89054298113513286</v>
      </c>
      <c r="X13" s="41">
        <v>8.6274967683093257E-2</v>
      </c>
      <c r="Y13" s="41">
        <v>0.9948510357448852</v>
      </c>
      <c r="Z13" s="41">
        <v>5.1489642551148162E-3</v>
      </c>
      <c r="AA13" s="41">
        <v>0.98180526175697502</v>
      </c>
      <c r="AB13" s="41">
        <v>1.3045773987910137E-2</v>
      </c>
      <c r="AC13" s="41">
        <v>0</v>
      </c>
      <c r="AD13" s="41">
        <v>0</v>
      </c>
      <c r="AE13" s="41">
        <v>5.6739944596656143E-5</v>
      </c>
      <c r="AF13" s="3">
        <v>2</v>
      </c>
      <c r="AG13" s="100">
        <v>42248</v>
      </c>
      <c r="AH13" s="3">
        <v>203457.5202712176</v>
      </c>
      <c r="AI13" s="3">
        <v>3.1029120372087619E-3</v>
      </c>
      <c r="AJ13" s="3">
        <v>0.32799057862263992</v>
      </c>
      <c r="AK13" s="3">
        <v>7.3618992644668188E-2</v>
      </c>
      <c r="AL13" s="3">
        <v>2.6734171140347074E-3</v>
      </c>
      <c r="AM13" s="3">
        <v>2.0604185103024024E-3</v>
      </c>
      <c r="AN13" s="3">
        <v>5.4085000982605745E-4</v>
      </c>
      <c r="AO13" s="3">
        <v>9.2505716710607741E-2</v>
      </c>
      <c r="AP13" s="3">
        <v>1.6951302154259454E-2</v>
      </c>
      <c r="AQ13" s="3">
        <v>0.52740123363162483</v>
      </c>
      <c r="AR13" s="3">
        <v>0.38632379868528188</v>
      </c>
    </row>
    <row r="14" spans="2:44">
      <c r="B14" s="41" t="s">
        <v>187</v>
      </c>
      <c r="C14" s="41" t="s">
        <v>191</v>
      </c>
      <c r="D14" s="41">
        <v>124263</v>
      </c>
      <c r="E14" s="41">
        <v>25077095986.700001</v>
      </c>
      <c r="F14" s="41">
        <v>25995304000</v>
      </c>
      <c r="G14" s="41">
        <v>18.329315505174517</v>
      </c>
      <c r="H14" s="41">
        <v>4.6007696001453757</v>
      </c>
      <c r="I14" s="41">
        <v>4.6007715660606259</v>
      </c>
      <c r="J14" s="41">
        <v>75.965416773657125</v>
      </c>
      <c r="K14" s="41">
        <v>76.900201460587482</v>
      </c>
      <c r="L14" s="41">
        <v>67.673099285371308</v>
      </c>
      <c r="M14" s="41">
        <v>34.123652581008763</v>
      </c>
      <c r="N14" s="41">
        <v>752.6990685474733</v>
      </c>
      <c r="O14" s="41">
        <v>272728.72964343807</v>
      </c>
      <c r="P14" s="41">
        <v>0</v>
      </c>
      <c r="Q14" s="41">
        <v>5.5669999422995831E-2</v>
      </c>
      <c r="R14" s="41">
        <v>0.18354725269868483</v>
      </c>
      <c r="S14" s="41">
        <v>0.51718202232541288</v>
      </c>
      <c r="T14" s="41">
        <v>4.3833639990969744E-2</v>
      </c>
      <c r="U14" s="41">
        <v>0.5958857597791738</v>
      </c>
      <c r="V14" s="41">
        <v>0.80752571097786174</v>
      </c>
      <c r="W14" s="41">
        <v>0.61377470297969128</v>
      </c>
      <c r="X14" s="41">
        <v>0.11374942497898749</v>
      </c>
      <c r="Y14" s="41">
        <v>0.99590787916533774</v>
      </c>
      <c r="Z14" s="41">
        <v>4.0921208346622433E-3</v>
      </c>
      <c r="AA14" s="41">
        <v>0.98790731862091075</v>
      </c>
      <c r="AB14" s="41">
        <v>8.0005605444269726E-3</v>
      </c>
      <c r="AC14" s="41">
        <v>0</v>
      </c>
      <c r="AD14" s="41">
        <v>0</v>
      </c>
      <c r="AE14" s="41">
        <v>0</v>
      </c>
      <c r="AF14" s="3">
        <v>1</v>
      </c>
      <c r="AG14" s="100">
        <v>42248</v>
      </c>
      <c r="AH14" s="3">
        <v>201806.61972348968</v>
      </c>
      <c r="AI14" s="3">
        <v>7.660217411293592E-2</v>
      </c>
      <c r="AJ14" s="3">
        <v>0.28547577761503279</v>
      </c>
      <c r="AK14" s="3">
        <v>0.10561469256626348</v>
      </c>
      <c r="AL14" s="3">
        <v>3.4392887141215449E-3</v>
      </c>
      <c r="AM14" s="3">
        <v>9.584481325408397E-3</v>
      </c>
      <c r="AN14" s="3">
        <v>0.13680428959914245</v>
      </c>
      <c r="AO14" s="3">
        <v>0.196445120234126</v>
      </c>
      <c r="AP14" s="3">
        <v>0.18978017678618275</v>
      </c>
      <c r="AQ14" s="3">
        <v>0.55263515834887933</v>
      </c>
      <c r="AR14" s="3">
        <v>0.33361541667213324</v>
      </c>
    </row>
    <row r="15" spans="2:44">
      <c r="B15" s="41" t="s">
        <v>187</v>
      </c>
      <c r="C15" s="41" t="s">
        <v>198</v>
      </c>
      <c r="D15" s="41">
        <v>75708</v>
      </c>
      <c r="E15" s="41">
        <v>15445914409.610001</v>
      </c>
      <c r="F15" s="41">
        <v>15944123000</v>
      </c>
      <c r="G15" s="41">
        <v>18.284470491615973</v>
      </c>
      <c r="H15" s="41">
        <v>4.6058934765627475</v>
      </c>
      <c r="I15" s="41">
        <v>4.6058953069887414</v>
      </c>
      <c r="J15" s="41">
        <v>92.501065050479284</v>
      </c>
      <c r="K15" s="41">
        <v>92.519738263009884</v>
      </c>
      <c r="L15" s="41">
        <v>82.931328768315481</v>
      </c>
      <c r="M15" s="41">
        <v>34.61401210119741</v>
      </c>
      <c r="N15" s="41">
        <v>750.75722540692914</v>
      </c>
      <c r="O15" s="41">
        <v>255018.4567066656</v>
      </c>
      <c r="P15" s="41">
        <v>0.98763103557137844</v>
      </c>
      <c r="Q15" s="41">
        <v>3.4390947567306408E-2</v>
      </c>
      <c r="R15" s="41">
        <v>0.42393453408468901</v>
      </c>
      <c r="S15" s="41">
        <v>0.4989710015772772</v>
      </c>
      <c r="T15" s="41">
        <v>2.5555462197460578E-3</v>
      </c>
      <c r="U15" s="41">
        <v>0.57250380794148636</v>
      </c>
      <c r="V15" s="41">
        <v>0.96462683513900194</v>
      </c>
      <c r="W15" s="41">
        <v>0.88239248155552441</v>
      </c>
      <c r="X15" s="41">
        <v>9.0906703591882299E-2</v>
      </c>
      <c r="Y15" s="41">
        <v>0.99500425564432815</v>
      </c>
      <c r="Z15" s="41">
        <v>4.995744355671872E-3</v>
      </c>
      <c r="AA15" s="41">
        <v>0.98766585184808031</v>
      </c>
      <c r="AB15" s="41">
        <v>7.3384037962477599E-3</v>
      </c>
      <c r="AC15" s="41">
        <v>0</v>
      </c>
      <c r="AD15" s="41">
        <v>0</v>
      </c>
      <c r="AE15" s="41">
        <v>0</v>
      </c>
      <c r="AF15" s="3">
        <v>2</v>
      </c>
      <c r="AG15" s="100">
        <v>42248</v>
      </c>
      <c r="AH15" s="3">
        <v>204019.58062041001</v>
      </c>
      <c r="AI15" s="3">
        <v>3.1711437148405604E-3</v>
      </c>
      <c r="AJ15" s="3">
        <v>0.3358519679380369</v>
      </c>
      <c r="AK15" s="3">
        <v>8.5172263253737474E-2</v>
      </c>
      <c r="AL15" s="3">
        <v>4.0338371758187929E-3</v>
      </c>
      <c r="AM15" s="3">
        <v>2.4381236909204696E-3</v>
      </c>
      <c r="AN15" s="3">
        <v>9.8221729369165028E-4</v>
      </c>
      <c r="AO15" s="3">
        <v>9.2801137671602085E-2</v>
      </c>
      <c r="AP15" s="3">
        <v>2.4806380772873549E-2</v>
      </c>
      <c r="AQ15" s="3">
        <v>0.55202101003518955</v>
      </c>
      <c r="AR15" s="3">
        <v>0.3570722863729282</v>
      </c>
    </row>
    <row r="16" spans="2:44">
      <c r="B16" s="3" t="s">
        <v>202</v>
      </c>
      <c r="C16" s="3" t="s">
        <v>230</v>
      </c>
      <c r="D16" s="3">
        <v>128161</v>
      </c>
      <c r="E16" s="3">
        <v>27004849282.900002</v>
      </c>
      <c r="F16" s="3">
        <v>27767705000</v>
      </c>
      <c r="G16" s="3">
        <v>13.467984070443693</v>
      </c>
      <c r="H16" s="3">
        <v>4.5111837437185196</v>
      </c>
      <c r="I16" s="3">
        <v>4.5111858176710973</v>
      </c>
      <c r="J16" s="3">
        <v>76.241996207910631</v>
      </c>
      <c r="K16" s="3">
        <v>77.279088255268007</v>
      </c>
      <c r="L16" s="3">
        <v>70.500307057248932</v>
      </c>
      <c r="M16" s="3">
        <v>33.74330087982792</v>
      </c>
      <c r="N16" s="3">
        <v>752.90691443952062</v>
      </c>
      <c r="O16" s="3">
        <v>278469.02417252929</v>
      </c>
      <c r="P16" s="3">
        <v>0</v>
      </c>
      <c r="Q16" s="3">
        <v>5.2962976583086019E-2</v>
      </c>
      <c r="R16" s="3">
        <v>0.1938258377647907</v>
      </c>
      <c r="S16" s="3">
        <v>0.5283613627943845</v>
      </c>
      <c r="T16" s="3">
        <v>3.5757572780509998E-2</v>
      </c>
      <c r="U16" s="3">
        <v>0.58781887143883094</v>
      </c>
      <c r="V16" s="3">
        <v>0.83155871261720593</v>
      </c>
      <c r="W16" s="3">
        <v>0.66707707159162033</v>
      </c>
      <c r="X16" s="3">
        <v>0.11595000336079435</v>
      </c>
      <c r="Y16" s="3">
        <v>0.99677382978303941</v>
      </c>
      <c r="Z16" s="3">
        <v>3.2261702169605333E-3</v>
      </c>
      <c r="AA16" s="3">
        <v>0.99373775823044186</v>
      </c>
      <c r="AB16" s="3">
        <v>3.0360715525976599E-3</v>
      </c>
      <c r="AC16" s="3">
        <v>0</v>
      </c>
      <c r="AD16" s="3">
        <v>0</v>
      </c>
      <c r="AE16" s="3">
        <v>0</v>
      </c>
      <c r="AF16" s="3">
        <v>1</v>
      </c>
      <c r="AG16" s="100">
        <v>42248</v>
      </c>
      <c r="AH16" s="3">
        <v>210710.350909403</v>
      </c>
      <c r="AI16" s="3">
        <v>8.3004043400803917E-2</v>
      </c>
      <c r="AJ16" s="3">
        <v>0.30104321186150218</v>
      </c>
      <c r="AK16" s="3">
        <v>0.10178462144206511</v>
      </c>
      <c r="AL16" s="3">
        <v>3.3169514660731643E-3</v>
      </c>
      <c r="AM16" s="3">
        <v>6.0363437915286373E-3</v>
      </c>
      <c r="AN16" s="3">
        <v>0.11547831079970808</v>
      </c>
      <c r="AO16" s="3">
        <v>0.16509349348093191</v>
      </c>
      <c r="AP16" s="3">
        <v>0.16782943492744776</v>
      </c>
      <c r="AQ16" s="3">
        <v>0.57542251537207156</v>
      </c>
      <c r="AR16" s="3">
        <v>0.30862748126713413</v>
      </c>
    </row>
    <row r="17" spans="2:44">
      <c r="B17" s="3" t="s">
        <v>202</v>
      </c>
      <c r="C17" s="3" t="s">
        <v>231</v>
      </c>
      <c r="D17" s="3">
        <v>90795</v>
      </c>
      <c r="E17" s="3">
        <v>19295600157.880001</v>
      </c>
      <c r="F17" s="3">
        <v>19766593000</v>
      </c>
      <c r="G17" s="3">
        <v>13.459874445923683</v>
      </c>
      <c r="H17" s="3">
        <v>4.5258598948069517</v>
      </c>
      <c r="I17" s="3">
        <v>4.5258618174866507</v>
      </c>
      <c r="J17" s="3">
        <v>92.280813910139884</v>
      </c>
      <c r="K17" s="3">
        <v>92.295068478778305</v>
      </c>
      <c r="L17" s="3">
        <v>85.685029410296664</v>
      </c>
      <c r="M17" s="3">
        <v>34.375991562762934</v>
      </c>
      <c r="N17" s="3">
        <v>750.01920733323902</v>
      </c>
      <c r="O17" s="3">
        <v>261190.82416074091</v>
      </c>
      <c r="P17" s="3">
        <v>1</v>
      </c>
      <c r="Q17" s="3">
        <v>3.3894921926691565E-2</v>
      </c>
      <c r="R17" s="3">
        <v>0.42067963074084763</v>
      </c>
      <c r="S17" s="3">
        <v>0.51706333471185351</v>
      </c>
      <c r="T17" s="3">
        <v>2.3768536031396979E-3</v>
      </c>
      <c r="U17" s="3">
        <v>0.5747874875071286</v>
      </c>
      <c r="V17" s="3">
        <v>0.96468553416921199</v>
      </c>
      <c r="W17" s="3">
        <v>0.90415299830076934</v>
      </c>
      <c r="X17" s="3">
        <v>9.0104538242101587E-2</v>
      </c>
      <c r="Y17" s="3">
        <v>0.99551176004366815</v>
      </c>
      <c r="Z17" s="3">
        <v>4.4882399563318416E-3</v>
      </c>
      <c r="AA17" s="3">
        <v>0.99283933347190689</v>
      </c>
      <c r="AB17" s="3">
        <v>2.6724265717612975E-3</v>
      </c>
      <c r="AC17" s="3">
        <v>0</v>
      </c>
      <c r="AD17" s="3">
        <v>0</v>
      </c>
      <c r="AE17" s="3">
        <v>0</v>
      </c>
      <c r="AF17" s="3">
        <v>2</v>
      </c>
      <c r="AG17" s="100">
        <v>42248</v>
      </c>
      <c r="AH17" s="3">
        <v>212518.31221851424</v>
      </c>
      <c r="AI17" s="3">
        <v>2.5679591484364626E-3</v>
      </c>
      <c r="AJ17" s="3">
        <v>0.33785008323090387</v>
      </c>
      <c r="AK17" s="3">
        <v>8.1454650919377466E-2</v>
      </c>
      <c r="AL17" s="3">
        <v>4.401326875304137E-3</v>
      </c>
      <c r="AM17" s="3">
        <v>1.5064514672858808E-3</v>
      </c>
      <c r="AN17" s="3">
        <v>1.4195439040963955E-3</v>
      </c>
      <c r="AO17" s="3">
        <v>7.1831281683869749E-2</v>
      </c>
      <c r="AP17" s="3">
        <v>2.4015720015360918E-2</v>
      </c>
      <c r="AQ17" s="3">
        <v>0.57992589149864737</v>
      </c>
      <c r="AR17" s="3">
        <v>0.32996957025925105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U158"/>
  <sheetViews>
    <sheetView workbookViewId="0">
      <selection activeCell="BE49" sqref="BE49"/>
    </sheetView>
  </sheetViews>
  <sheetFormatPr defaultRowHeight="15"/>
  <cols>
    <col min="3" max="3" width="15.5703125" bestFit="1" customWidth="1"/>
    <col min="19" max="21" width="9.140625" style="93"/>
  </cols>
  <sheetData>
    <row r="3" spans="3:21">
      <c r="C3" s="41" t="s">
        <v>32</v>
      </c>
      <c r="D3" s="41" t="s">
        <v>33</v>
      </c>
      <c r="E3" s="41" t="s">
        <v>25</v>
      </c>
      <c r="F3" s="41" t="s">
        <v>13</v>
      </c>
      <c r="G3" s="41" t="s">
        <v>24</v>
      </c>
      <c r="H3" s="41" t="s">
        <v>26</v>
      </c>
      <c r="I3" s="41" t="s">
        <v>27</v>
      </c>
      <c r="J3" s="41" t="s">
        <v>60</v>
      </c>
      <c r="K3" s="41" t="s">
        <v>61</v>
      </c>
      <c r="L3" s="41" t="s">
        <v>14</v>
      </c>
      <c r="M3" s="41" t="s">
        <v>15</v>
      </c>
      <c r="N3" s="41" t="s">
        <v>16</v>
      </c>
      <c r="O3" s="41" t="s">
        <v>28</v>
      </c>
      <c r="P3" s="41" t="s">
        <v>29</v>
      </c>
      <c r="Q3" s="41" t="s">
        <v>17</v>
      </c>
      <c r="R3" s="41" t="s">
        <v>18</v>
      </c>
      <c r="S3" s="3" t="s">
        <v>82</v>
      </c>
      <c r="T3" s="3" t="s">
        <v>83</v>
      </c>
      <c r="U3"/>
    </row>
    <row r="4" spans="3:21">
      <c r="C4" t="s">
        <v>111</v>
      </c>
      <c r="D4" t="s">
        <v>115</v>
      </c>
      <c r="E4">
        <v>26756375869.560001</v>
      </c>
      <c r="F4" s="42">
        <v>41518</v>
      </c>
      <c r="G4" s="41">
        <v>112871</v>
      </c>
      <c r="H4" s="41">
        <v>88199050.409999996</v>
      </c>
      <c r="I4" s="41">
        <v>0</v>
      </c>
      <c r="J4" s="41">
        <v>3.2963750711224554E-3</v>
      </c>
      <c r="K4" s="41">
        <v>0</v>
      </c>
      <c r="L4" s="41">
        <v>3.8847</v>
      </c>
      <c r="M4" s="41">
        <v>0</v>
      </c>
      <c r="N4" s="41">
        <v>1.1906152793376749E-3</v>
      </c>
      <c r="O4" s="41">
        <v>88199050.409999996</v>
      </c>
      <c r="P4" s="41">
        <v>0</v>
      </c>
      <c r="Q4" s="41">
        <v>3.7000000000000002E-3</v>
      </c>
      <c r="R4" s="41">
        <v>0</v>
      </c>
      <c r="S4" s="3">
        <f>CurrentMtgRatesDataTable82523[[#This Row],[cum_df_pct]]*100</f>
        <v>0</v>
      </c>
      <c r="T4" s="3">
        <f>CurrentMtgRatesDataTable82523[[#This Row],[pct_dq]]*100</f>
        <v>0.11906152793376748</v>
      </c>
      <c r="U4"/>
    </row>
    <row r="5" spans="3:21">
      <c r="C5" s="41" t="s">
        <v>111</v>
      </c>
      <c r="D5" s="41" t="s">
        <v>115</v>
      </c>
      <c r="E5" s="41">
        <v>26615084296.130001</v>
      </c>
      <c r="F5" s="42">
        <v>41548</v>
      </c>
      <c r="G5" s="41">
        <v>112464</v>
      </c>
      <c r="H5" s="41">
        <v>104154885.76000001</v>
      </c>
      <c r="I5" s="41">
        <v>0</v>
      </c>
      <c r="J5" s="41">
        <v>3.9133780153063338E-3</v>
      </c>
      <c r="K5" s="41">
        <v>0</v>
      </c>
      <c r="L5" s="41">
        <v>4.5961999999999996</v>
      </c>
      <c r="M5" s="41">
        <v>0</v>
      </c>
      <c r="N5" s="41">
        <v>1.4121100647975355E-3</v>
      </c>
      <c r="O5" s="41">
        <v>192353936.16999999</v>
      </c>
      <c r="P5" s="41">
        <v>0</v>
      </c>
      <c r="Q5" s="41">
        <v>8.0000000000000002E-3</v>
      </c>
      <c r="R5" s="41">
        <v>0</v>
      </c>
      <c r="S5" s="3">
        <f>CurrentMtgRatesDataTable82523[[#This Row],[cum_df_pct]]*100</f>
        <v>0</v>
      </c>
      <c r="T5" s="3">
        <f>CurrentMtgRatesDataTable82523[[#This Row],[pct_dq]]*100</f>
        <v>0.14121100647975354</v>
      </c>
      <c r="U5"/>
    </row>
    <row r="6" spans="3:21">
      <c r="C6" s="41" t="s">
        <v>111</v>
      </c>
      <c r="D6" s="41" t="s">
        <v>115</v>
      </c>
      <c r="E6" s="41">
        <v>26457457865.02</v>
      </c>
      <c r="F6" s="42">
        <v>41579</v>
      </c>
      <c r="G6" s="41">
        <v>112005</v>
      </c>
      <c r="H6" s="41">
        <v>90371495.25</v>
      </c>
      <c r="I6" s="41">
        <v>0</v>
      </c>
      <c r="J6" s="41">
        <v>3.4157285900654191E-3</v>
      </c>
      <c r="K6" s="41">
        <v>0</v>
      </c>
      <c r="L6" s="41">
        <v>4.0227000000000004</v>
      </c>
      <c r="M6" s="41">
        <v>0</v>
      </c>
      <c r="N6" s="41">
        <v>2.0171887598680167E-3</v>
      </c>
      <c r="O6" s="41">
        <v>282725431.42000002</v>
      </c>
      <c r="P6" s="41">
        <v>0</v>
      </c>
      <c r="Q6" s="41">
        <v>1.18E-2</v>
      </c>
      <c r="R6" s="41">
        <v>0</v>
      </c>
      <c r="S6" s="3">
        <f>CurrentMtgRatesDataTable82523[[#This Row],[cum_df_pct]]*100</f>
        <v>0</v>
      </c>
      <c r="T6" s="3">
        <f>CurrentMtgRatesDataTable82523[[#This Row],[pct_dq]]*100</f>
        <v>0.20171887598680166</v>
      </c>
      <c r="U6"/>
    </row>
    <row r="7" spans="3:21">
      <c r="C7" s="41" t="s">
        <v>111</v>
      </c>
      <c r="D7" s="41" t="s">
        <v>115</v>
      </c>
      <c r="E7" s="41">
        <v>26312077411.34</v>
      </c>
      <c r="F7" s="42">
        <v>41609</v>
      </c>
      <c r="G7" s="41">
        <v>111601</v>
      </c>
      <c r="H7" s="41">
        <v>91876078.200000003</v>
      </c>
      <c r="I7" s="41">
        <v>0</v>
      </c>
      <c r="J7" s="41">
        <v>3.4917835168880727E-3</v>
      </c>
      <c r="K7" s="41">
        <v>0</v>
      </c>
      <c r="L7" s="41">
        <v>4.1105</v>
      </c>
      <c r="M7" s="41">
        <v>0</v>
      </c>
      <c r="N7" s="41">
        <v>1.8353268613137857E-3</v>
      </c>
      <c r="O7" s="41">
        <v>374601509.62</v>
      </c>
      <c r="P7" s="41">
        <v>0</v>
      </c>
      <c r="Q7" s="41">
        <v>1.5699999999999999E-2</v>
      </c>
      <c r="R7" s="41">
        <v>0</v>
      </c>
      <c r="S7" s="3">
        <f>CurrentMtgRatesDataTable82523[[#This Row],[cum_df_pct]]*100</f>
        <v>0</v>
      </c>
      <c r="T7" s="3">
        <f>CurrentMtgRatesDataTable82523[[#This Row],[pct_dq]]*100</f>
        <v>0.18353268613137858</v>
      </c>
      <c r="U7"/>
    </row>
    <row r="8" spans="3:21">
      <c r="C8" s="41" t="s">
        <v>111</v>
      </c>
      <c r="D8" s="41" t="s">
        <v>115</v>
      </c>
      <c r="E8" s="41">
        <v>26161767480.869999</v>
      </c>
      <c r="F8" s="42">
        <v>41640</v>
      </c>
      <c r="G8" s="41">
        <v>111178</v>
      </c>
      <c r="H8" s="41">
        <v>68609285.680000007</v>
      </c>
      <c r="I8" s="41">
        <v>0</v>
      </c>
      <c r="J8" s="41">
        <v>2.6225019288229844E-3</v>
      </c>
      <c r="K8" s="41">
        <v>0</v>
      </c>
      <c r="L8" s="41">
        <v>3.1019999999999999</v>
      </c>
      <c r="M8" s="41">
        <v>0</v>
      </c>
      <c r="N8" s="41">
        <v>1.8425246220557345E-3</v>
      </c>
      <c r="O8" s="41">
        <v>443210795.30000001</v>
      </c>
      <c r="P8" s="41">
        <v>0</v>
      </c>
      <c r="Q8" s="41">
        <v>1.8599999999999998E-2</v>
      </c>
      <c r="R8" s="41">
        <v>0</v>
      </c>
      <c r="S8" s="3">
        <f>CurrentMtgRatesDataTable82523[[#This Row],[cum_df_pct]]*100</f>
        <v>0</v>
      </c>
      <c r="T8" s="3">
        <f>CurrentMtgRatesDataTable82523[[#This Row],[pct_dq]]*100</f>
        <v>0.18425246220557345</v>
      </c>
      <c r="U8"/>
    </row>
    <row r="9" spans="3:21">
      <c r="C9" s="41" t="s">
        <v>111</v>
      </c>
      <c r="D9" s="41" t="s">
        <v>115</v>
      </c>
      <c r="E9" s="41">
        <v>26037568753.439999</v>
      </c>
      <c r="F9" s="42">
        <v>41671</v>
      </c>
      <c r="G9" s="41">
        <v>110866</v>
      </c>
      <c r="H9" s="41">
        <v>65888854.789999999</v>
      </c>
      <c r="I9" s="41">
        <v>2046622.44</v>
      </c>
      <c r="J9" s="41">
        <v>2.5305302278383797E-3</v>
      </c>
      <c r="K9" s="41">
        <v>7.8602670601862808E-5</v>
      </c>
      <c r="L9" s="41">
        <v>2.9946999999999999</v>
      </c>
      <c r="M9" s="41">
        <v>9.4200000000000006E-2</v>
      </c>
      <c r="N9" s="41">
        <v>2.6056904779574101E-3</v>
      </c>
      <c r="O9" s="41">
        <v>509099650.08999997</v>
      </c>
      <c r="P9" s="41">
        <v>2046622.44</v>
      </c>
      <c r="Q9" s="41">
        <v>2.1299999999999999E-2</v>
      </c>
      <c r="R9" s="41">
        <v>0</v>
      </c>
      <c r="S9" s="3">
        <f>CurrentMtgRatesDataTable82523[[#This Row],[cum_df_pct]]*100</f>
        <v>0</v>
      </c>
      <c r="T9" s="3">
        <f>CurrentMtgRatesDataTable82523[[#This Row],[pct_dq]]*100</f>
        <v>0.26056904779574103</v>
      </c>
      <c r="U9"/>
    </row>
    <row r="10" spans="3:21">
      <c r="C10" s="41" t="s">
        <v>111</v>
      </c>
      <c r="D10" s="41" t="s">
        <v>115</v>
      </c>
      <c r="E10" s="41">
        <v>25917245814.150002</v>
      </c>
      <c r="F10" s="42">
        <v>41699</v>
      </c>
      <c r="G10" s="41">
        <v>110555</v>
      </c>
      <c r="H10" s="41">
        <v>91429386.430000007</v>
      </c>
      <c r="I10" s="41">
        <v>1708022.36</v>
      </c>
      <c r="J10" s="41">
        <v>3.5277431516308124E-3</v>
      </c>
      <c r="K10" s="41">
        <v>6.5902927041247322E-5</v>
      </c>
      <c r="L10" s="41">
        <v>4.1520999999999999</v>
      </c>
      <c r="M10" s="41">
        <v>7.9000000000000001E-2</v>
      </c>
      <c r="N10" s="41">
        <v>1.8181531455118249E-3</v>
      </c>
      <c r="O10" s="41">
        <v>600529036.51999998</v>
      </c>
      <c r="P10" s="41">
        <v>3754644.8</v>
      </c>
      <c r="Q10" s="41">
        <v>2.52E-2</v>
      </c>
      <c r="R10" s="41">
        <v>1E-4</v>
      </c>
      <c r="S10" s="3">
        <f>CurrentMtgRatesDataTable82523[[#This Row],[cum_df_pct]]*100</f>
        <v>0.01</v>
      </c>
      <c r="T10" s="3">
        <f>CurrentMtgRatesDataTable82523[[#This Row],[pct_dq]]*100</f>
        <v>0.18181531455118249</v>
      </c>
      <c r="U10"/>
    </row>
    <row r="11" spans="3:21">
      <c r="C11" s="41" t="s">
        <v>111</v>
      </c>
      <c r="D11" s="41" t="s">
        <v>115</v>
      </c>
      <c r="E11" s="41">
        <v>25765809112.639999</v>
      </c>
      <c r="F11" s="42">
        <v>41730</v>
      </c>
      <c r="G11" s="41">
        <v>110129</v>
      </c>
      <c r="H11" s="41">
        <v>104346597.17</v>
      </c>
      <c r="I11" s="41">
        <v>702953.28</v>
      </c>
      <c r="J11" s="41">
        <v>4.0498086713997433E-3</v>
      </c>
      <c r="K11" s="41">
        <v>2.7282406577139097E-5</v>
      </c>
      <c r="L11" s="41">
        <v>4.7529000000000003</v>
      </c>
      <c r="M11" s="41">
        <v>3.27E-2</v>
      </c>
      <c r="N11" s="41">
        <v>2.2061384116252888E-3</v>
      </c>
      <c r="O11" s="41">
        <v>704875633.69000006</v>
      </c>
      <c r="P11" s="41">
        <v>4457598.08</v>
      </c>
      <c r="Q11" s="41">
        <v>2.9600000000000001E-2</v>
      </c>
      <c r="R11" s="41">
        <v>1E-4</v>
      </c>
      <c r="S11" s="3">
        <f>CurrentMtgRatesDataTable82523[[#This Row],[cum_df_pct]]*100</f>
        <v>0.01</v>
      </c>
      <c r="T11" s="3">
        <f>CurrentMtgRatesDataTable82523[[#This Row],[pct_dq]]*100</f>
        <v>0.22061384116252888</v>
      </c>
      <c r="U11"/>
    </row>
    <row r="12" spans="3:21">
      <c r="C12" s="41" t="s">
        <v>111</v>
      </c>
      <c r="D12" s="41" t="s">
        <v>115</v>
      </c>
      <c r="E12" s="41">
        <v>25607096783.540001</v>
      </c>
      <c r="F12" s="42">
        <v>41760</v>
      </c>
      <c r="G12" s="41">
        <v>109655</v>
      </c>
      <c r="H12" s="41">
        <v>124529392.61</v>
      </c>
      <c r="I12" s="41">
        <v>1305976.54</v>
      </c>
      <c r="J12" s="41">
        <v>4.8630812646456006E-3</v>
      </c>
      <c r="K12" s="41">
        <v>5.1000570312190539E-5</v>
      </c>
      <c r="L12" s="41">
        <v>5.6821000000000002</v>
      </c>
      <c r="M12" s="41">
        <v>6.1100000000000002E-2</v>
      </c>
      <c r="N12" s="41">
        <v>2.1459917379358299E-3</v>
      </c>
      <c r="O12" s="41">
        <v>829405026.29999995</v>
      </c>
      <c r="P12" s="41">
        <v>5763574.6200000001</v>
      </c>
      <c r="Q12" s="41">
        <v>3.4799999999999998E-2</v>
      </c>
      <c r="R12" s="41">
        <v>2.0000000000000001E-4</v>
      </c>
      <c r="S12" s="3">
        <f>CurrentMtgRatesDataTable82523[[#This Row],[cum_df_pct]]*100</f>
        <v>0.02</v>
      </c>
      <c r="T12" s="3">
        <f>CurrentMtgRatesDataTable82523[[#This Row],[pct_dq]]*100</f>
        <v>0.21459917379358298</v>
      </c>
      <c r="U12"/>
    </row>
    <row r="13" spans="3:21">
      <c r="C13" s="41" t="s">
        <v>111</v>
      </c>
      <c r="D13" s="41" t="s">
        <v>115</v>
      </c>
      <c r="E13" s="41">
        <v>25425549560.389999</v>
      </c>
      <c r="F13" s="42">
        <v>41791</v>
      </c>
      <c r="G13" s="41">
        <v>109076</v>
      </c>
      <c r="H13" s="41">
        <v>151885909.13</v>
      </c>
      <c r="I13" s="41">
        <v>3114323.4</v>
      </c>
      <c r="J13" s="41">
        <v>5.9737512760243451E-3</v>
      </c>
      <c r="K13" s="41">
        <v>1.224879482979494E-4</v>
      </c>
      <c r="L13" s="41">
        <v>6.9375999999999998</v>
      </c>
      <c r="M13" s="41">
        <v>0.14680000000000001</v>
      </c>
      <c r="N13" s="41">
        <v>2.6950207659129531E-3</v>
      </c>
      <c r="O13" s="41">
        <v>981290935.42999995</v>
      </c>
      <c r="P13" s="41">
        <v>8877898.0199999996</v>
      </c>
      <c r="Q13" s="41">
        <v>4.1200000000000001E-2</v>
      </c>
      <c r="R13" s="41">
        <v>2.9999999999999997E-4</v>
      </c>
      <c r="S13" s="3">
        <f>CurrentMtgRatesDataTable82523[[#This Row],[cum_df_pct]]*100</f>
        <v>0.03</v>
      </c>
      <c r="T13" s="3">
        <f>CurrentMtgRatesDataTable82523[[#This Row],[pct_dq]]*100</f>
        <v>0.26950207659129533</v>
      </c>
      <c r="U13"/>
    </row>
    <row r="14" spans="3:21">
      <c r="C14" s="41" t="s">
        <v>111</v>
      </c>
      <c r="D14" s="41" t="s">
        <v>115</v>
      </c>
      <c r="E14" s="41">
        <v>25217710557.66</v>
      </c>
      <c r="F14" s="42">
        <v>41821</v>
      </c>
      <c r="G14" s="41">
        <v>108391</v>
      </c>
      <c r="H14" s="41">
        <v>162116066.22</v>
      </c>
      <c r="I14" s="41">
        <v>2551918.08</v>
      </c>
      <c r="J14" s="41">
        <v>6.4286591698847328E-3</v>
      </c>
      <c r="K14" s="41">
        <v>1.01195470309054E-4</v>
      </c>
      <c r="L14" s="41">
        <v>7.4473000000000003</v>
      </c>
      <c r="M14" s="41">
        <v>0.12130000000000001</v>
      </c>
      <c r="N14" s="41">
        <v>2.3430323611217901E-3</v>
      </c>
      <c r="O14" s="41">
        <v>1143407001.6500001</v>
      </c>
      <c r="P14" s="41">
        <v>11429816.1</v>
      </c>
      <c r="Q14" s="41">
        <v>4.8000000000000001E-2</v>
      </c>
      <c r="R14" s="41">
        <v>4.0000000000000002E-4</v>
      </c>
      <c r="S14" s="3">
        <f>CurrentMtgRatesDataTable82523[[#This Row],[cum_df_pct]]*100</f>
        <v>0.04</v>
      </c>
      <c r="T14" s="3">
        <f>CurrentMtgRatesDataTable82523[[#This Row],[pct_dq]]*100</f>
        <v>0.23430323611217901</v>
      </c>
      <c r="U14"/>
    </row>
    <row r="15" spans="3:21">
      <c r="C15" s="41" t="s">
        <v>111</v>
      </c>
      <c r="D15" s="41" t="s">
        <v>115</v>
      </c>
      <c r="E15" s="41">
        <v>24997891481.099998</v>
      </c>
      <c r="F15" s="42">
        <v>41852</v>
      </c>
      <c r="G15" s="41">
        <v>107670</v>
      </c>
      <c r="H15" s="41">
        <v>135943341.05000001</v>
      </c>
      <c r="I15" s="41">
        <v>1209511.06</v>
      </c>
      <c r="J15" s="41">
        <v>5.4381923032501295E-3</v>
      </c>
      <c r="K15" s="41">
        <v>4.8384523187264314E-5</v>
      </c>
      <c r="L15" s="41">
        <v>6.3341000000000003</v>
      </c>
      <c r="M15" s="41">
        <v>5.8000000000000003E-2</v>
      </c>
      <c r="N15" s="41">
        <v>3.2157919259221709E-3</v>
      </c>
      <c r="O15" s="41">
        <v>1279350342.7</v>
      </c>
      <c r="P15" s="41">
        <v>12639327.16</v>
      </c>
      <c r="Q15" s="41">
        <v>5.3699999999999998E-2</v>
      </c>
      <c r="R15" s="41">
        <v>5.0000000000000001E-4</v>
      </c>
      <c r="S15" s="3">
        <f>CurrentMtgRatesDataTable82523[[#This Row],[cum_df_pct]]*100</f>
        <v>0.05</v>
      </c>
      <c r="T15" s="3">
        <f>CurrentMtgRatesDataTable82523[[#This Row],[pct_dq]]*100</f>
        <v>0.32157919259221707</v>
      </c>
      <c r="U15"/>
    </row>
    <row r="16" spans="3:21">
      <c r="C16" s="41" t="s">
        <v>111</v>
      </c>
      <c r="D16" s="41" t="s">
        <v>115</v>
      </c>
      <c r="E16" s="41">
        <v>24803932211.459999</v>
      </c>
      <c r="F16" s="42">
        <v>41883</v>
      </c>
      <c r="G16" s="41">
        <v>107044</v>
      </c>
      <c r="H16" s="41">
        <v>126700830.09999999</v>
      </c>
      <c r="I16" s="41">
        <v>2581019.2200000002</v>
      </c>
      <c r="J16" s="41">
        <v>5.1080945158147638E-3</v>
      </c>
      <c r="K16" s="41">
        <v>1.0405685671111085E-4</v>
      </c>
      <c r="L16" s="41">
        <v>5.9603999999999999</v>
      </c>
      <c r="M16" s="41">
        <v>0.12470000000000001</v>
      </c>
      <c r="N16" s="41">
        <v>2.8278845427416725E-3</v>
      </c>
      <c r="O16" s="41">
        <v>1406051172.8</v>
      </c>
      <c r="P16" s="41">
        <v>15220346.380000001</v>
      </c>
      <c r="Q16" s="41">
        <v>5.8999999999999997E-2</v>
      </c>
      <c r="R16" s="41">
        <v>5.9999999999999995E-4</v>
      </c>
      <c r="S16" s="3">
        <f>CurrentMtgRatesDataTable82523[[#This Row],[cum_df_pct]]*100</f>
        <v>0.06</v>
      </c>
      <c r="T16" s="3">
        <f>CurrentMtgRatesDataTable82523[[#This Row],[pct_dq]]*100</f>
        <v>0.28278845427416727</v>
      </c>
      <c r="U16"/>
    </row>
    <row r="17" spans="3:21">
      <c r="C17" s="41" t="s">
        <v>111</v>
      </c>
      <c r="D17" s="41" t="s">
        <v>115</v>
      </c>
      <c r="E17" s="41">
        <v>24621761296.279999</v>
      </c>
      <c r="F17" s="42">
        <v>41913</v>
      </c>
      <c r="G17" s="41">
        <v>106434</v>
      </c>
      <c r="H17" s="41">
        <v>129185094.20999999</v>
      </c>
      <c r="I17" s="41">
        <v>2233232.02</v>
      </c>
      <c r="J17" s="41">
        <v>5.2467852585963478E-3</v>
      </c>
      <c r="K17" s="41">
        <v>9.070155433345907E-5</v>
      </c>
      <c r="L17" s="41">
        <v>6.1174999999999997</v>
      </c>
      <c r="M17" s="41">
        <v>0.1087</v>
      </c>
      <c r="N17" s="41">
        <v>2.2772378590345333E-3</v>
      </c>
      <c r="O17" s="41">
        <v>1535236267.01</v>
      </c>
      <c r="P17" s="41">
        <v>17453578.399999999</v>
      </c>
      <c r="Q17" s="41">
        <v>6.4500000000000002E-2</v>
      </c>
      <c r="R17" s="41">
        <v>6.9999999999999999E-4</v>
      </c>
      <c r="S17" s="3">
        <f>CurrentMtgRatesDataTable82523[[#This Row],[cum_df_pct]]*100</f>
        <v>6.9999999999999993E-2</v>
      </c>
      <c r="T17" s="3">
        <f>CurrentMtgRatesDataTable82523[[#This Row],[pct_dq]]*100</f>
        <v>0.22772378590345332</v>
      </c>
      <c r="U17"/>
    </row>
    <row r="18" spans="3:21">
      <c r="C18" s="41" t="s">
        <v>111</v>
      </c>
      <c r="D18" s="41" t="s">
        <v>115</v>
      </c>
      <c r="E18" s="41">
        <v>24446640448.889999</v>
      </c>
      <c r="F18" s="42">
        <v>41944</v>
      </c>
      <c r="G18" s="41">
        <v>105881</v>
      </c>
      <c r="H18" s="41">
        <v>118410766.45999999</v>
      </c>
      <c r="I18" s="41">
        <v>2446511.1800000002</v>
      </c>
      <c r="J18" s="41">
        <v>4.8436416736916685E-3</v>
      </c>
      <c r="K18" s="41">
        <v>1.0007555783032281E-4</v>
      </c>
      <c r="L18" s="41">
        <v>5.66</v>
      </c>
      <c r="M18" s="41">
        <v>0.12</v>
      </c>
      <c r="N18" s="41">
        <v>3.7744991817143404E-3</v>
      </c>
      <c r="O18" s="41">
        <v>1653647033.47</v>
      </c>
      <c r="P18" s="41">
        <v>19900089.579999998</v>
      </c>
      <c r="Q18" s="41">
        <v>6.9400000000000003E-2</v>
      </c>
      <c r="R18" s="41">
        <v>8.0000000000000004E-4</v>
      </c>
      <c r="S18" s="3">
        <f>CurrentMtgRatesDataTable82523[[#This Row],[cum_df_pct]]*100</f>
        <v>0.08</v>
      </c>
      <c r="T18" s="3">
        <f>CurrentMtgRatesDataTable82523[[#This Row],[pct_dq]]*100</f>
        <v>0.37744991817143403</v>
      </c>
      <c r="U18"/>
    </row>
    <row r="19" spans="3:21">
      <c r="C19" s="41" t="s">
        <v>111</v>
      </c>
      <c r="D19" s="41" t="s">
        <v>115</v>
      </c>
      <c r="E19" s="41">
        <v>24251783624.860001</v>
      </c>
      <c r="F19" s="42">
        <v>41974</v>
      </c>
      <c r="G19" s="41">
        <v>105257</v>
      </c>
      <c r="H19" s="41">
        <v>148667416.90000001</v>
      </c>
      <c r="I19" s="41">
        <v>2740161.88</v>
      </c>
      <c r="J19" s="41">
        <v>6.1301642468723052E-3</v>
      </c>
      <c r="K19" s="41">
        <v>1.1298805573999584E-4</v>
      </c>
      <c r="L19" s="41">
        <v>7.1131000000000002</v>
      </c>
      <c r="M19" s="41">
        <v>0.13550000000000001</v>
      </c>
      <c r="N19" s="41">
        <v>2.9054556048310762E-3</v>
      </c>
      <c r="O19" s="41">
        <v>1802314450.3699999</v>
      </c>
      <c r="P19" s="41">
        <v>22640251.460000001</v>
      </c>
      <c r="Q19" s="41">
        <v>7.5700000000000003E-2</v>
      </c>
      <c r="R19" s="41">
        <v>8.9999999999999998E-4</v>
      </c>
      <c r="S19" s="3">
        <f>CurrentMtgRatesDataTable82523[[#This Row],[cum_df_pct]]*100</f>
        <v>0.09</v>
      </c>
      <c r="T19" s="3">
        <f>CurrentMtgRatesDataTable82523[[#This Row],[pct_dq]]*100</f>
        <v>0.29054556048310765</v>
      </c>
      <c r="U19"/>
    </row>
    <row r="20" spans="3:21">
      <c r="C20" s="41" t="s">
        <v>111</v>
      </c>
      <c r="D20" s="41" t="s">
        <v>115</v>
      </c>
      <c r="E20" s="41">
        <v>24042945364.34</v>
      </c>
      <c r="F20" s="42">
        <v>42005</v>
      </c>
      <c r="G20" s="41">
        <v>104606</v>
      </c>
      <c r="H20" s="41">
        <v>108942534.83</v>
      </c>
      <c r="I20" s="41">
        <v>4300651.96</v>
      </c>
      <c r="J20" s="41">
        <v>4.5311642637420506E-3</v>
      </c>
      <c r="K20" s="41">
        <v>1.7887375672277816E-4</v>
      </c>
      <c r="L20" s="41">
        <v>5.3038999999999996</v>
      </c>
      <c r="M20" s="41">
        <v>0.21440000000000001</v>
      </c>
      <c r="N20" s="41">
        <v>3.0886506318040918E-3</v>
      </c>
      <c r="O20" s="41">
        <v>1911256985.2</v>
      </c>
      <c r="P20" s="41">
        <v>26940903.420000002</v>
      </c>
      <c r="Q20" s="41">
        <v>8.0299999999999996E-2</v>
      </c>
      <c r="R20" s="41">
        <v>1.1000000000000001E-3</v>
      </c>
      <c r="S20" s="3">
        <f>CurrentMtgRatesDataTable82523[[#This Row],[cum_df_pct]]*100</f>
        <v>0.11</v>
      </c>
      <c r="T20" s="3">
        <f>CurrentMtgRatesDataTable82523[[#This Row],[pct_dq]]*100</f>
        <v>0.30886506318040918</v>
      </c>
      <c r="U20"/>
    </row>
    <row r="21" spans="3:21">
      <c r="C21" s="41" t="s">
        <v>111</v>
      </c>
      <c r="D21" s="41" t="s">
        <v>115</v>
      </c>
      <c r="E21" s="41">
        <v>23876871433.98</v>
      </c>
      <c r="F21" s="42">
        <v>42036</v>
      </c>
      <c r="G21" s="41">
        <v>104114</v>
      </c>
      <c r="H21" s="41">
        <v>175047012.88999999</v>
      </c>
      <c r="I21" s="41">
        <v>1791391.9</v>
      </c>
      <c r="J21" s="41">
        <v>7.331237401600469E-3</v>
      </c>
      <c r="K21" s="41">
        <v>7.5026240558912101E-5</v>
      </c>
      <c r="L21" s="41">
        <v>8.4512</v>
      </c>
      <c r="M21" s="41">
        <v>8.9899999999999994E-2</v>
      </c>
      <c r="N21" s="41">
        <v>3.7508383025653233E-3</v>
      </c>
      <c r="O21" s="41">
        <v>2086303998.0899999</v>
      </c>
      <c r="P21" s="41">
        <v>28732295.32</v>
      </c>
      <c r="Q21" s="41">
        <v>8.7599999999999997E-2</v>
      </c>
      <c r="R21" s="41">
        <v>1.1999999999999999E-3</v>
      </c>
      <c r="S21" s="3">
        <f>CurrentMtgRatesDataTable82523[[#This Row],[cum_df_pct]]*100</f>
        <v>0.12</v>
      </c>
      <c r="T21" s="3">
        <f>CurrentMtgRatesDataTable82523[[#This Row],[pct_dq]]*100</f>
        <v>0.37508383025653236</v>
      </c>
      <c r="U21"/>
    </row>
    <row r="22" spans="3:21">
      <c r="C22" s="41" t="s">
        <v>111</v>
      </c>
      <c r="D22" s="41" t="s">
        <v>115</v>
      </c>
      <c r="E22" s="41">
        <v>23647481523.689999</v>
      </c>
      <c r="F22" s="42">
        <v>42064</v>
      </c>
      <c r="G22" s="41">
        <v>103408</v>
      </c>
      <c r="H22" s="41">
        <v>213494396.22999999</v>
      </c>
      <c r="I22" s="41">
        <v>1048348.82</v>
      </c>
      <c r="J22" s="41">
        <v>9.0282086071669723E-3</v>
      </c>
      <c r="K22" s="41">
        <v>4.4332366596830456E-5</v>
      </c>
      <c r="L22" s="41">
        <v>10.3117</v>
      </c>
      <c r="M22" s="41">
        <v>5.3100000000000001E-2</v>
      </c>
      <c r="N22" s="41">
        <v>2.4624190783980649E-3</v>
      </c>
      <c r="O22" s="41">
        <v>2299798394.3200002</v>
      </c>
      <c r="P22" s="41">
        <v>29780644.140000001</v>
      </c>
      <c r="Q22" s="41">
        <v>9.6600000000000005E-2</v>
      </c>
      <c r="R22" s="41">
        <v>1.1999999999999999E-3</v>
      </c>
      <c r="S22" s="3">
        <f>CurrentMtgRatesDataTable82523[[#This Row],[cum_df_pct]]*100</f>
        <v>0.12</v>
      </c>
      <c r="T22" s="3">
        <f>CurrentMtgRatesDataTable82523[[#This Row],[pct_dq]]*100</f>
        <v>0.24624190783980648</v>
      </c>
      <c r="U22"/>
    </row>
    <row r="23" spans="3:21">
      <c r="C23" s="41" t="s">
        <v>111</v>
      </c>
      <c r="D23" s="41" t="s">
        <v>115</v>
      </c>
      <c r="E23" s="41">
        <v>23377540396.630001</v>
      </c>
      <c r="F23" s="42">
        <v>42095</v>
      </c>
      <c r="G23" s="41">
        <v>102556</v>
      </c>
      <c r="H23" s="41">
        <v>192801615.09999999</v>
      </c>
      <c r="I23" s="41">
        <v>3972137</v>
      </c>
      <c r="J23" s="41">
        <v>8.2473011201723082E-3</v>
      </c>
      <c r="K23" s="41">
        <v>1.6991252854695548E-4</v>
      </c>
      <c r="L23" s="41">
        <v>9.4598999999999993</v>
      </c>
      <c r="M23" s="41">
        <v>0.20369999999999999</v>
      </c>
      <c r="N23" s="41">
        <v>2.3931955980307095E-3</v>
      </c>
      <c r="O23" s="41">
        <v>2492600009.4200001</v>
      </c>
      <c r="P23" s="41">
        <v>33752781.140000001</v>
      </c>
      <c r="Q23" s="41">
        <v>0.1047</v>
      </c>
      <c r="R23" s="41">
        <v>1.4E-3</v>
      </c>
      <c r="S23" s="3">
        <f>CurrentMtgRatesDataTable82523[[#This Row],[cum_df_pct]]*100</f>
        <v>0.13999999999999999</v>
      </c>
      <c r="T23" s="3">
        <f>CurrentMtgRatesDataTable82523[[#This Row],[pct_dq]]*100</f>
        <v>0.23931955980307096</v>
      </c>
      <c r="U23"/>
    </row>
    <row r="24" spans="3:21">
      <c r="C24" s="41" t="s">
        <v>111</v>
      </c>
      <c r="D24" s="41" t="s">
        <v>115</v>
      </c>
      <c r="E24" s="41">
        <v>23126993470.470001</v>
      </c>
      <c r="F24" s="42">
        <v>42125</v>
      </c>
      <c r="G24" s="41">
        <v>101722</v>
      </c>
      <c r="H24" s="41">
        <v>216427799.97999999</v>
      </c>
      <c r="I24" s="41">
        <v>3058711.84</v>
      </c>
      <c r="J24" s="41">
        <v>9.3582332807914965E-3</v>
      </c>
      <c r="K24" s="41">
        <v>1.3225721898981618E-4</v>
      </c>
      <c r="L24" s="41">
        <v>10.669499999999999</v>
      </c>
      <c r="M24" s="41">
        <v>0.1585</v>
      </c>
      <c r="N24" s="41">
        <v>2.9656464004962661E-3</v>
      </c>
      <c r="O24" s="41">
        <v>2709027809.4000001</v>
      </c>
      <c r="P24" s="41">
        <v>36811492.979999997</v>
      </c>
      <c r="Q24" s="41">
        <v>0.1138</v>
      </c>
      <c r="R24" s="41">
        <v>1.5E-3</v>
      </c>
      <c r="S24" s="3">
        <f>CurrentMtgRatesDataTable82523[[#This Row],[cum_df_pct]]*100</f>
        <v>0.15</v>
      </c>
      <c r="T24" s="3">
        <f>CurrentMtgRatesDataTable82523[[#This Row],[pct_dq]]*100</f>
        <v>0.29656464004962663</v>
      </c>
      <c r="U24"/>
    </row>
    <row r="25" spans="3:21">
      <c r="C25" s="41" t="s">
        <v>111</v>
      </c>
      <c r="D25" s="41" t="s">
        <v>115</v>
      </c>
      <c r="E25" s="41">
        <v>22856811045.470001</v>
      </c>
      <c r="F25" s="42">
        <v>42156</v>
      </c>
      <c r="G25" s="41">
        <v>100794</v>
      </c>
      <c r="H25" s="41">
        <v>247420641.97</v>
      </c>
      <c r="I25" s="41">
        <v>3928628.82</v>
      </c>
      <c r="J25" s="41">
        <v>1.0824810227367058E-2</v>
      </c>
      <c r="K25" s="41">
        <v>1.7188000601591429E-4</v>
      </c>
      <c r="L25" s="41">
        <v>12.243600000000001</v>
      </c>
      <c r="M25" s="41">
        <v>0.20599999999999999</v>
      </c>
      <c r="N25" s="41">
        <v>3.0335928429413243E-3</v>
      </c>
      <c r="O25" s="41">
        <v>2956448451.3699999</v>
      </c>
      <c r="P25" s="41">
        <v>40740121.799999997</v>
      </c>
      <c r="Q25" s="41">
        <v>0.1242</v>
      </c>
      <c r="R25" s="41">
        <v>1.6999999999999999E-3</v>
      </c>
      <c r="S25" s="3">
        <f>CurrentMtgRatesDataTable82523[[#This Row],[cum_df_pct]]*100</f>
        <v>0.16999999999999998</v>
      </c>
      <c r="T25" s="3">
        <f>CurrentMtgRatesDataTable82523[[#This Row],[pct_dq]]*100</f>
        <v>0.30335928429413245</v>
      </c>
      <c r="U25"/>
    </row>
    <row r="26" spans="3:21">
      <c r="C26" s="41" t="s">
        <v>111</v>
      </c>
      <c r="D26" s="41" t="s">
        <v>115</v>
      </c>
      <c r="E26" s="41">
        <v>22552166894.040001</v>
      </c>
      <c r="F26" s="42">
        <v>42186</v>
      </c>
      <c r="G26" s="41">
        <v>99706</v>
      </c>
      <c r="H26" s="41">
        <v>204301313.15000001</v>
      </c>
      <c r="I26" s="41">
        <v>2548351.7200000002</v>
      </c>
      <c r="J26" s="41">
        <v>9.0590546846295271E-3</v>
      </c>
      <c r="K26" s="41">
        <v>1.1299808714494164E-4</v>
      </c>
      <c r="L26" s="41">
        <v>10.3452</v>
      </c>
      <c r="M26" s="41">
        <v>0.13550000000000001</v>
      </c>
      <c r="N26" s="41">
        <v>2.5656643697192292E-3</v>
      </c>
      <c r="O26" s="41">
        <v>3160749764.52</v>
      </c>
      <c r="P26" s="41">
        <v>43288473.520000003</v>
      </c>
      <c r="Q26" s="41">
        <v>0.1328</v>
      </c>
      <c r="R26" s="41">
        <v>1.8E-3</v>
      </c>
      <c r="S26" s="3">
        <f>CurrentMtgRatesDataTable82523[[#This Row],[cum_df_pct]]*100</f>
        <v>0.18</v>
      </c>
      <c r="T26" s="3">
        <f>CurrentMtgRatesDataTable82523[[#This Row],[pct_dq]]*100</f>
        <v>0.25656643697192294</v>
      </c>
      <c r="U26"/>
    </row>
    <row r="27" spans="3:21">
      <c r="C27" s="41" t="s">
        <v>111</v>
      </c>
      <c r="D27" s="41" t="s">
        <v>115</v>
      </c>
      <c r="E27" s="41">
        <v>22287317825.32</v>
      </c>
      <c r="F27" s="42">
        <v>42217</v>
      </c>
      <c r="G27" s="41">
        <v>98782</v>
      </c>
      <c r="H27" s="41">
        <v>185978867.69</v>
      </c>
      <c r="I27" s="41">
        <v>129872</v>
      </c>
      <c r="J27" s="41">
        <v>8.3446051762547484E-3</v>
      </c>
      <c r="K27" s="41">
        <v>5.8271704571133294E-6</v>
      </c>
      <c r="L27" s="41">
        <v>9.5663999999999998</v>
      </c>
      <c r="M27" s="41">
        <v>6.8999999999999999E-3</v>
      </c>
      <c r="N27" s="41">
        <v>3.0463382454602372E-3</v>
      </c>
      <c r="O27" s="41">
        <v>3346728632.21</v>
      </c>
      <c r="P27" s="41">
        <v>43418345.520000003</v>
      </c>
      <c r="Q27" s="41">
        <v>0.1406</v>
      </c>
      <c r="R27" s="41">
        <v>1.8E-3</v>
      </c>
      <c r="S27" s="3">
        <f>CurrentMtgRatesDataTable82523[[#This Row],[cum_df_pct]]*100</f>
        <v>0.18</v>
      </c>
      <c r="T27" s="3">
        <f>CurrentMtgRatesDataTable82523[[#This Row],[pct_dq]]*100</f>
        <v>0.30463382454602372</v>
      </c>
      <c r="U27"/>
    </row>
    <row r="28" spans="3:21">
      <c r="C28" s="41" t="s">
        <v>119</v>
      </c>
      <c r="D28" s="41" t="s">
        <v>123</v>
      </c>
      <c r="E28" s="41">
        <v>29308718889.77</v>
      </c>
      <c r="F28" s="42">
        <v>41609</v>
      </c>
      <c r="G28" s="41">
        <v>122291</v>
      </c>
      <c r="H28" s="41">
        <v>81788706.739999995</v>
      </c>
      <c r="I28" s="41">
        <v>0</v>
      </c>
      <c r="J28" s="41">
        <v>2.7905930330017858E-3</v>
      </c>
      <c r="K28" s="41">
        <v>0</v>
      </c>
      <c r="L28" s="41">
        <v>3.2976999999999999</v>
      </c>
      <c r="M28" s="41">
        <v>0</v>
      </c>
      <c r="N28" s="41">
        <v>1.4466061276666303E-3</v>
      </c>
      <c r="O28" s="41">
        <v>81788706.739999995</v>
      </c>
      <c r="P28" s="41">
        <v>0</v>
      </c>
      <c r="Q28" s="41">
        <v>3.0000000000000001E-3</v>
      </c>
      <c r="R28" s="41">
        <v>0</v>
      </c>
      <c r="S28" s="3">
        <f>CurrentMtgRatesDataTable82523[[#This Row],[cum_df_pct]]*100</f>
        <v>0</v>
      </c>
      <c r="T28" s="3">
        <f>CurrentMtgRatesDataTable82523[[#This Row],[pct_dq]]*100</f>
        <v>0.14466061276666303</v>
      </c>
      <c r="U28"/>
    </row>
    <row r="29" spans="3:21">
      <c r="C29" s="41" t="s">
        <v>119</v>
      </c>
      <c r="D29" s="41" t="s">
        <v>123</v>
      </c>
      <c r="E29" s="41">
        <v>29163882168.77</v>
      </c>
      <c r="F29" s="42">
        <v>41640</v>
      </c>
      <c r="G29" s="41">
        <v>121923</v>
      </c>
      <c r="H29" s="41">
        <v>60596653.399999999</v>
      </c>
      <c r="I29" s="41">
        <v>0</v>
      </c>
      <c r="J29" s="41">
        <v>2.077797909391145E-3</v>
      </c>
      <c r="K29" s="41">
        <v>0</v>
      </c>
      <c r="L29" s="41">
        <v>2.4649999999999999</v>
      </c>
      <c r="M29" s="41">
        <v>0</v>
      </c>
      <c r="N29" s="41">
        <v>1.6038141677889206E-3</v>
      </c>
      <c r="O29" s="41">
        <v>142385360.13999999</v>
      </c>
      <c r="P29" s="41">
        <v>0</v>
      </c>
      <c r="Q29" s="41">
        <v>5.1999999999999998E-3</v>
      </c>
      <c r="R29" s="41">
        <v>0</v>
      </c>
      <c r="S29" s="3">
        <f>CurrentMtgRatesDataTable82523[[#This Row],[cum_df_pct]]*100</f>
        <v>0</v>
      </c>
      <c r="T29" s="3">
        <f>CurrentMtgRatesDataTable82523[[#This Row],[pct_dq]]*100</f>
        <v>0.16038141677889206</v>
      </c>
      <c r="U29"/>
    </row>
    <row r="30" spans="3:21">
      <c r="C30" s="41" t="s">
        <v>119</v>
      </c>
      <c r="D30" s="41" t="s">
        <v>123</v>
      </c>
      <c r="E30" s="41">
        <v>29040913330.150002</v>
      </c>
      <c r="F30" s="42">
        <v>41671</v>
      </c>
      <c r="G30" s="41">
        <v>121654</v>
      </c>
      <c r="H30" s="41">
        <v>66415459.869999997</v>
      </c>
      <c r="I30" s="41">
        <v>0</v>
      </c>
      <c r="J30" s="41">
        <v>2.2869618153864364E-3</v>
      </c>
      <c r="K30" s="41">
        <v>0</v>
      </c>
      <c r="L30" s="41">
        <v>2.71</v>
      </c>
      <c r="M30" s="41">
        <v>0</v>
      </c>
      <c r="N30" s="41">
        <v>2.6455428789919247E-3</v>
      </c>
      <c r="O30" s="41">
        <v>208800820.00999999</v>
      </c>
      <c r="P30" s="41">
        <v>0</v>
      </c>
      <c r="Q30" s="41">
        <v>7.7000000000000002E-3</v>
      </c>
      <c r="R30" s="41">
        <v>0</v>
      </c>
      <c r="S30" s="3">
        <f>CurrentMtgRatesDataTable82523[[#This Row],[cum_df_pct]]*100</f>
        <v>0</v>
      </c>
      <c r="T30" s="3">
        <f>CurrentMtgRatesDataTable82523[[#This Row],[pct_dq]]*100</f>
        <v>0.26455428789919244</v>
      </c>
      <c r="U30"/>
    </row>
    <row r="31" spans="3:21">
      <c r="C31" s="41" t="s">
        <v>119</v>
      </c>
      <c r="D31" s="41" t="s">
        <v>123</v>
      </c>
      <c r="E31" s="41">
        <v>28914638991.330002</v>
      </c>
      <c r="F31" s="42">
        <v>41699</v>
      </c>
      <c r="G31" s="41">
        <v>121357</v>
      </c>
      <c r="H31" s="41">
        <v>89637199.939999998</v>
      </c>
      <c r="I31" s="41">
        <v>0</v>
      </c>
      <c r="J31" s="41">
        <v>3.1000629116233317E-3</v>
      </c>
      <c r="K31" s="41">
        <v>0</v>
      </c>
      <c r="L31" s="41">
        <v>3.6572</v>
      </c>
      <c r="M31" s="41">
        <v>0</v>
      </c>
      <c r="N31" s="41">
        <v>1.7458782720799926E-3</v>
      </c>
      <c r="O31" s="41">
        <v>298438019.94999999</v>
      </c>
      <c r="P31" s="41">
        <v>0</v>
      </c>
      <c r="Q31" s="41">
        <v>1.0999999999999999E-2</v>
      </c>
      <c r="R31" s="41">
        <v>0</v>
      </c>
      <c r="S31" s="3">
        <f>CurrentMtgRatesDataTable82523[[#This Row],[cum_df_pct]]*100</f>
        <v>0</v>
      </c>
      <c r="T31" s="3">
        <f>CurrentMtgRatesDataTable82523[[#This Row],[pct_dq]]*100</f>
        <v>0.17458782720799926</v>
      </c>
      <c r="U31"/>
    </row>
    <row r="32" spans="3:21">
      <c r="C32" s="41" t="s">
        <v>119</v>
      </c>
      <c r="D32" s="41" t="s">
        <v>123</v>
      </c>
      <c r="E32" s="41">
        <v>28762301298.98</v>
      </c>
      <c r="F32" s="42">
        <v>41730</v>
      </c>
      <c r="G32" s="41">
        <v>120935</v>
      </c>
      <c r="H32" s="41">
        <v>103088744.77</v>
      </c>
      <c r="I32" s="41">
        <v>0</v>
      </c>
      <c r="J32" s="41">
        <v>3.5841619103564515E-3</v>
      </c>
      <c r="K32" s="41">
        <v>0</v>
      </c>
      <c r="L32" s="41">
        <v>4.2172000000000001</v>
      </c>
      <c r="M32" s="41">
        <v>0</v>
      </c>
      <c r="N32" s="41">
        <v>1.9816911841480963E-3</v>
      </c>
      <c r="O32" s="41">
        <v>401526764.72000003</v>
      </c>
      <c r="P32" s="41">
        <v>0</v>
      </c>
      <c r="Q32" s="41">
        <v>1.49E-2</v>
      </c>
      <c r="R32" s="41">
        <v>0</v>
      </c>
      <c r="S32" s="3">
        <f>CurrentMtgRatesDataTable82523[[#This Row],[cum_df_pct]]*100</f>
        <v>0</v>
      </c>
      <c r="T32" s="3">
        <f>CurrentMtgRatesDataTable82523[[#This Row],[pct_dq]]*100</f>
        <v>0.19816911841480964</v>
      </c>
      <c r="U32"/>
    </row>
    <row r="33" spans="3:21">
      <c r="C33" s="41" t="s">
        <v>119</v>
      </c>
      <c r="D33" s="41" t="s">
        <v>123</v>
      </c>
      <c r="E33" s="41">
        <v>28596819827.349998</v>
      </c>
      <c r="F33" s="42">
        <v>41760</v>
      </c>
      <c r="G33" s="41">
        <v>120462</v>
      </c>
      <c r="H33" s="41">
        <v>118631691.34999999</v>
      </c>
      <c r="I33" s="41">
        <v>1936445.1</v>
      </c>
      <c r="J33" s="41">
        <v>4.1484225192250446E-3</v>
      </c>
      <c r="K33" s="41">
        <v>6.7715400233000169E-5</v>
      </c>
      <c r="L33" s="41">
        <v>4.8659999999999997</v>
      </c>
      <c r="M33" s="41">
        <v>8.1199999999999994E-2</v>
      </c>
      <c r="N33" s="41">
        <v>2.4657220126471022E-3</v>
      </c>
      <c r="O33" s="41">
        <v>520158456.06999999</v>
      </c>
      <c r="P33" s="41">
        <v>1936445.1</v>
      </c>
      <c r="Q33" s="41">
        <v>1.9300000000000001E-2</v>
      </c>
      <c r="R33" s="41">
        <v>0</v>
      </c>
      <c r="S33" s="3">
        <f>CurrentMtgRatesDataTable82523[[#This Row],[cum_df_pct]]*100</f>
        <v>0</v>
      </c>
      <c r="T33" s="3">
        <f>CurrentMtgRatesDataTable82523[[#This Row],[pct_dq]]*100</f>
        <v>0.24657220126471022</v>
      </c>
      <c r="U33"/>
    </row>
    <row r="34" spans="3:21">
      <c r="C34" s="41" t="s">
        <v>119</v>
      </c>
      <c r="D34" s="41" t="s">
        <v>123</v>
      </c>
      <c r="E34" s="41">
        <v>28414328197.450001</v>
      </c>
      <c r="F34" s="42">
        <v>41791</v>
      </c>
      <c r="G34" s="41">
        <v>119902</v>
      </c>
      <c r="H34" s="41">
        <v>143548976.56999999</v>
      </c>
      <c r="I34" s="41">
        <v>348611.28</v>
      </c>
      <c r="J34" s="41">
        <v>5.0519926275393191E-3</v>
      </c>
      <c r="K34" s="41">
        <v>1.2268855261244064E-5</v>
      </c>
      <c r="L34" s="41">
        <v>5.8967000000000001</v>
      </c>
      <c r="M34" s="41">
        <v>1.47E-2</v>
      </c>
      <c r="N34" s="41">
        <v>2.5690822680281126E-3</v>
      </c>
      <c r="O34" s="41">
        <v>663707432.63999999</v>
      </c>
      <c r="P34" s="41">
        <v>2285056.38</v>
      </c>
      <c r="Q34" s="41">
        <v>2.46E-2</v>
      </c>
      <c r="R34" s="41">
        <v>0</v>
      </c>
      <c r="S34" s="3">
        <f>CurrentMtgRatesDataTable82523[[#This Row],[cum_df_pct]]*100</f>
        <v>0</v>
      </c>
      <c r="T34" s="3">
        <f>CurrentMtgRatesDataTable82523[[#This Row],[pct_dq]]*100</f>
        <v>0.25690822680281128</v>
      </c>
      <c r="U34"/>
    </row>
    <row r="35" spans="3:21">
      <c r="C35" s="41" t="s">
        <v>119</v>
      </c>
      <c r="D35" s="41" t="s">
        <v>123</v>
      </c>
      <c r="E35" s="41">
        <v>28211301806.450001</v>
      </c>
      <c r="F35" s="42">
        <v>41821</v>
      </c>
      <c r="G35" s="41">
        <v>119273</v>
      </c>
      <c r="H35" s="41">
        <v>144073902.74000001</v>
      </c>
      <c r="I35" s="41">
        <v>1506911.2</v>
      </c>
      <c r="J35" s="41">
        <v>5.1069569113985419E-3</v>
      </c>
      <c r="K35" s="41">
        <v>5.3415160007095887E-5</v>
      </c>
      <c r="L35" s="41">
        <v>5.9591000000000003</v>
      </c>
      <c r="M35" s="41">
        <v>6.4000000000000001E-2</v>
      </c>
      <c r="N35" s="41">
        <v>2.1614929062244966E-3</v>
      </c>
      <c r="O35" s="41">
        <v>807781335.38</v>
      </c>
      <c r="P35" s="41">
        <v>3791967.58</v>
      </c>
      <c r="Q35" s="41">
        <v>2.9899999999999999E-2</v>
      </c>
      <c r="R35" s="41">
        <v>1E-4</v>
      </c>
      <c r="S35" s="3">
        <f>CurrentMtgRatesDataTable82523[[#This Row],[cum_df_pct]]*100</f>
        <v>0.01</v>
      </c>
      <c r="T35" s="3">
        <f>CurrentMtgRatesDataTable82523[[#This Row],[pct_dq]]*100</f>
        <v>0.21614929062244967</v>
      </c>
      <c r="U35"/>
    </row>
    <row r="36" spans="3:21">
      <c r="C36" s="41" t="s">
        <v>119</v>
      </c>
      <c r="D36" s="41" t="s">
        <v>123</v>
      </c>
      <c r="E36" s="41">
        <v>28005174186.860001</v>
      </c>
      <c r="F36" s="42">
        <v>41852</v>
      </c>
      <c r="G36" s="41">
        <v>118643</v>
      </c>
      <c r="H36" s="41">
        <v>138027805.09</v>
      </c>
      <c r="I36" s="41">
        <v>1301795.46</v>
      </c>
      <c r="J36" s="41">
        <v>4.9286536898157382E-3</v>
      </c>
      <c r="K36" s="41">
        <v>4.648410509122279E-5</v>
      </c>
      <c r="L36" s="41">
        <v>5.7565999999999997</v>
      </c>
      <c r="M36" s="41">
        <v>5.57E-2</v>
      </c>
      <c r="N36" s="41">
        <v>2.5245635138085578E-3</v>
      </c>
      <c r="O36" s="41">
        <v>945809140.47000003</v>
      </c>
      <c r="P36" s="41">
        <v>5093763.04</v>
      </c>
      <c r="Q36" s="41">
        <v>3.5099999999999999E-2</v>
      </c>
      <c r="R36" s="41">
        <v>1E-4</v>
      </c>
      <c r="S36" s="3">
        <f>CurrentMtgRatesDataTable82523[[#This Row],[cum_df_pct]]*100</f>
        <v>0.01</v>
      </c>
      <c r="T36" s="3">
        <f>CurrentMtgRatesDataTable82523[[#This Row],[pct_dq]]*100</f>
        <v>0.25245635138085576</v>
      </c>
      <c r="U36"/>
    </row>
    <row r="37" spans="3:21">
      <c r="C37" s="41" t="s">
        <v>119</v>
      </c>
      <c r="D37" s="41" t="s">
        <v>123</v>
      </c>
      <c r="E37" s="41">
        <v>27804665611.41</v>
      </c>
      <c r="F37" s="42">
        <v>41883</v>
      </c>
      <c r="G37" s="41">
        <v>118028</v>
      </c>
      <c r="H37" s="41">
        <v>136813172.68000001</v>
      </c>
      <c r="I37" s="41">
        <v>926858.96</v>
      </c>
      <c r="J37" s="41">
        <v>4.9205113484212144E-3</v>
      </c>
      <c r="K37" s="41">
        <v>3.3334655879466918E-5</v>
      </c>
      <c r="L37" s="41">
        <v>5.7473999999999998</v>
      </c>
      <c r="M37" s="41">
        <v>3.9899999999999998E-2</v>
      </c>
      <c r="N37" s="41">
        <v>2.3099968392945873E-3</v>
      </c>
      <c r="O37" s="41">
        <v>1082622313.1500001</v>
      </c>
      <c r="P37" s="41">
        <v>6020622</v>
      </c>
      <c r="Q37" s="41">
        <v>4.0099999999999997E-2</v>
      </c>
      <c r="R37" s="41">
        <v>2.0000000000000001E-4</v>
      </c>
      <c r="S37" s="3">
        <f>CurrentMtgRatesDataTable82523[[#This Row],[cum_df_pct]]*100</f>
        <v>0.02</v>
      </c>
      <c r="T37" s="3">
        <f>CurrentMtgRatesDataTable82523[[#This Row],[pct_dq]]*100</f>
        <v>0.23099968392945874</v>
      </c>
      <c r="U37"/>
    </row>
    <row r="38" spans="3:21">
      <c r="C38" s="41" t="s">
        <v>119</v>
      </c>
      <c r="D38" s="41" t="s">
        <v>123</v>
      </c>
      <c r="E38" s="41">
        <v>27610198140.490002</v>
      </c>
      <c r="F38" s="42">
        <v>41913</v>
      </c>
      <c r="G38" s="41">
        <v>117408</v>
      </c>
      <c r="H38" s="41">
        <v>140168333.41999999</v>
      </c>
      <c r="I38" s="41">
        <v>3130822.34</v>
      </c>
      <c r="J38" s="41">
        <v>5.0766869801794337E-3</v>
      </c>
      <c r="K38" s="41">
        <v>1.1339369330380463E-4</v>
      </c>
      <c r="L38" s="41">
        <v>5.9246999999999996</v>
      </c>
      <c r="M38" s="41">
        <v>0.13589999999999999</v>
      </c>
      <c r="N38" s="41">
        <v>2.1630695718339418E-3</v>
      </c>
      <c r="O38" s="41">
        <v>1222790646.5699999</v>
      </c>
      <c r="P38" s="41">
        <v>9151444.3399999999</v>
      </c>
      <c r="Q38" s="41">
        <v>4.53E-2</v>
      </c>
      <c r="R38" s="41">
        <v>2.9999999999999997E-4</v>
      </c>
      <c r="S38" s="3">
        <f>CurrentMtgRatesDataTable82523[[#This Row],[cum_df_pct]]*100</f>
        <v>0.03</v>
      </c>
      <c r="T38" s="3">
        <f>CurrentMtgRatesDataTable82523[[#This Row],[pct_dq]]*100</f>
        <v>0.21630695718339418</v>
      </c>
      <c r="U38"/>
    </row>
    <row r="39" spans="3:21">
      <c r="C39" s="41" t="s">
        <v>119</v>
      </c>
      <c r="D39" s="41" t="s">
        <v>123</v>
      </c>
      <c r="E39" s="41">
        <v>27412672010.02</v>
      </c>
      <c r="F39" s="42">
        <v>41944</v>
      </c>
      <c r="G39" s="41">
        <v>116783</v>
      </c>
      <c r="H39" s="41">
        <v>108389657.33</v>
      </c>
      <c r="I39" s="41">
        <v>2263122.1800000002</v>
      </c>
      <c r="J39" s="41">
        <v>3.9539982563677458E-3</v>
      </c>
      <c r="K39" s="41">
        <v>8.2557518623969741E-5</v>
      </c>
      <c r="L39" s="41">
        <v>4.6429</v>
      </c>
      <c r="M39" s="41">
        <v>9.9000000000000005E-2</v>
      </c>
      <c r="N39" s="41">
        <v>3.311392956761743E-3</v>
      </c>
      <c r="O39" s="41">
        <v>1331180303.9000001</v>
      </c>
      <c r="P39" s="41">
        <v>11414566.52</v>
      </c>
      <c r="Q39" s="41">
        <v>4.9399999999999999E-2</v>
      </c>
      <c r="R39" s="41">
        <v>4.0000000000000002E-4</v>
      </c>
      <c r="S39" s="3">
        <f>CurrentMtgRatesDataTable82523[[#This Row],[cum_df_pct]]*100</f>
        <v>0.04</v>
      </c>
      <c r="T39" s="3">
        <f>CurrentMtgRatesDataTable82523[[#This Row],[pct_dq]]*100</f>
        <v>0.33113929567617428</v>
      </c>
      <c r="U39"/>
    </row>
    <row r="40" spans="3:21">
      <c r="C40" s="41" t="s">
        <v>119</v>
      </c>
      <c r="D40" s="41" t="s">
        <v>123</v>
      </c>
      <c r="E40" s="41">
        <v>27226909303.889999</v>
      </c>
      <c r="F40" s="42">
        <v>41974</v>
      </c>
      <c r="G40" s="41">
        <v>116192</v>
      </c>
      <c r="H40" s="41">
        <v>137519381.90000001</v>
      </c>
      <c r="I40" s="41">
        <v>2911722.7</v>
      </c>
      <c r="J40" s="41">
        <v>5.0508627463034207E-3</v>
      </c>
      <c r="K40" s="41">
        <v>1.0694282878387494E-4</v>
      </c>
      <c r="L40" s="41">
        <v>5.8954000000000004</v>
      </c>
      <c r="M40" s="41">
        <v>0.12820000000000001</v>
      </c>
      <c r="N40" s="41">
        <v>2.4962508847924795E-3</v>
      </c>
      <c r="O40" s="41">
        <v>1468699685.8</v>
      </c>
      <c r="P40" s="41">
        <v>14326289.220000001</v>
      </c>
      <c r="Q40" s="41">
        <v>5.45E-2</v>
      </c>
      <c r="R40" s="41">
        <v>5.0000000000000001E-4</v>
      </c>
      <c r="S40" s="3">
        <f>CurrentMtgRatesDataTable82523[[#This Row],[cum_df_pct]]*100</f>
        <v>0.05</v>
      </c>
      <c r="T40" s="3">
        <f>CurrentMtgRatesDataTable82523[[#This Row],[pct_dq]]*100</f>
        <v>0.24962508847924794</v>
      </c>
      <c r="U40"/>
    </row>
    <row r="41" spans="3:21">
      <c r="C41" s="41" t="s">
        <v>119</v>
      </c>
      <c r="D41" s="41" t="s">
        <v>123</v>
      </c>
      <c r="E41" s="41">
        <v>27020671478.509998</v>
      </c>
      <c r="F41" s="42">
        <v>42005</v>
      </c>
      <c r="G41" s="41">
        <v>115574</v>
      </c>
      <c r="H41" s="41">
        <v>102937438.73999999</v>
      </c>
      <c r="I41" s="41">
        <v>1709538.34</v>
      </c>
      <c r="J41" s="41">
        <v>3.809581076542376E-3</v>
      </c>
      <c r="K41" s="41">
        <v>6.3267796337319928E-5</v>
      </c>
      <c r="L41" s="41">
        <v>4.4768999999999997</v>
      </c>
      <c r="M41" s="41">
        <v>7.5800000000000006E-2</v>
      </c>
      <c r="N41" s="41">
        <v>2.6892607497852974E-3</v>
      </c>
      <c r="O41" s="41">
        <v>1571637124.54</v>
      </c>
      <c r="P41" s="41">
        <v>16035827.560000001</v>
      </c>
      <c r="Q41" s="41">
        <v>5.8299999999999998E-2</v>
      </c>
      <c r="R41" s="41">
        <v>5.0000000000000001E-4</v>
      </c>
      <c r="S41" s="3">
        <f>CurrentMtgRatesDataTable82523[[#This Row],[cum_df_pct]]*100</f>
        <v>0.05</v>
      </c>
      <c r="T41" s="3">
        <f>CurrentMtgRatesDataTable82523[[#This Row],[pct_dq]]*100</f>
        <v>0.26892607497852972</v>
      </c>
      <c r="U41"/>
    </row>
    <row r="42" spans="3:21">
      <c r="C42" s="41" t="s">
        <v>119</v>
      </c>
      <c r="D42" s="41" t="s">
        <v>123</v>
      </c>
      <c r="E42" s="41">
        <v>26855883843.48</v>
      </c>
      <c r="F42" s="42">
        <v>42036</v>
      </c>
      <c r="G42" s="41">
        <v>115116</v>
      </c>
      <c r="H42" s="41">
        <v>137839100.97</v>
      </c>
      <c r="I42" s="41">
        <v>1677767.64</v>
      </c>
      <c r="J42" s="41">
        <v>5.1325475554387387E-3</v>
      </c>
      <c r="K42" s="41">
        <v>6.2473000321950823E-5</v>
      </c>
      <c r="L42" s="41">
        <v>5.9881000000000002</v>
      </c>
      <c r="M42" s="41">
        <v>7.4899999999999994E-2</v>
      </c>
      <c r="N42" s="41">
        <v>3.3107999516309499E-3</v>
      </c>
      <c r="O42" s="41">
        <v>1709476225.51</v>
      </c>
      <c r="P42" s="41">
        <v>17713595.199999999</v>
      </c>
      <c r="Q42" s="41">
        <v>6.3399999999999998E-2</v>
      </c>
      <c r="R42" s="41">
        <v>5.9999999999999995E-4</v>
      </c>
      <c r="S42" s="3">
        <f>CurrentMtgRatesDataTable82523[[#This Row],[cum_df_pct]]*100</f>
        <v>0.06</v>
      </c>
      <c r="T42" s="3">
        <f>CurrentMtgRatesDataTable82523[[#This Row],[pct_dq]]*100</f>
        <v>0.331079995163095</v>
      </c>
      <c r="U42"/>
    </row>
    <row r="43" spans="3:21">
      <c r="C43" s="41" t="s">
        <v>119</v>
      </c>
      <c r="D43" s="41" t="s">
        <v>123</v>
      </c>
      <c r="E43" s="41">
        <v>26659350321.040001</v>
      </c>
      <c r="F43" s="42">
        <v>42064</v>
      </c>
      <c r="G43" s="41">
        <v>114538</v>
      </c>
      <c r="H43" s="41">
        <v>185573312.34</v>
      </c>
      <c r="I43" s="41">
        <v>3688502.64</v>
      </c>
      <c r="J43" s="41">
        <v>6.960909028362273E-3</v>
      </c>
      <c r="K43" s="41">
        <v>1.3835680898378731E-4</v>
      </c>
      <c r="L43" s="41">
        <v>8.0404999999999998</v>
      </c>
      <c r="M43" s="41">
        <v>0.16589999999999999</v>
      </c>
      <c r="N43" s="41">
        <v>2.3502495250437797E-3</v>
      </c>
      <c r="O43" s="41">
        <v>1895049537.8499999</v>
      </c>
      <c r="P43" s="41">
        <v>21402097.84</v>
      </c>
      <c r="Q43" s="41">
        <v>7.0300000000000001E-2</v>
      </c>
      <c r="R43" s="41">
        <v>6.9999999999999999E-4</v>
      </c>
      <c r="S43" s="3">
        <f>CurrentMtgRatesDataTable82523[[#This Row],[cum_df_pct]]*100</f>
        <v>6.9999999999999993E-2</v>
      </c>
      <c r="T43" s="3">
        <f>CurrentMtgRatesDataTable82523[[#This Row],[pct_dq]]*100</f>
        <v>0.23502495250437797</v>
      </c>
      <c r="U43"/>
    </row>
    <row r="44" spans="3:21">
      <c r="C44" s="41" t="s">
        <v>119</v>
      </c>
      <c r="D44" s="41" t="s">
        <v>123</v>
      </c>
      <c r="E44" s="41">
        <v>26407541267.279999</v>
      </c>
      <c r="F44" s="42">
        <v>42095</v>
      </c>
      <c r="G44" s="41">
        <v>113774</v>
      </c>
      <c r="H44" s="41">
        <v>182480570.16</v>
      </c>
      <c r="I44" s="41">
        <v>2204783.42</v>
      </c>
      <c r="J44" s="41">
        <v>6.9101688912667049E-3</v>
      </c>
      <c r="K44" s="41">
        <v>8.3490674034534786E-5</v>
      </c>
      <c r="L44" s="41">
        <v>7.9840999999999998</v>
      </c>
      <c r="M44" s="41">
        <v>0.10009999999999999</v>
      </c>
      <c r="N44" s="41">
        <v>2.4402783014807177E-3</v>
      </c>
      <c r="O44" s="41">
        <v>2077530108.01</v>
      </c>
      <c r="P44" s="41">
        <v>23606881.260000002</v>
      </c>
      <c r="Q44" s="41">
        <v>7.7100000000000002E-2</v>
      </c>
      <c r="R44" s="41">
        <v>8.0000000000000004E-4</v>
      </c>
      <c r="S44" s="3">
        <f>CurrentMtgRatesDataTable82523[[#This Row],[cum_df_pct]]*100</f>
        <v>0.08</v>
      </c>
      <c r="T44" s="3">
        <f>CurrentMtgRatesDataTable82523[[#This Row],[pct_dq]]*100</f>
        <v>0.24402783014807178</v>
      </c>
      <c r="U44"/>
    </row>
    <row r="45" spans="3:21">
      <c r="C45" s="41" t="s">
        <v>119</v>
      </c>
      <c r="D45" s="41" t="s">
        <v>123</v>
      </c>
      <c r="E45" s="41">
        <v>26164219727.82</v>
      </c>
      <c r="F45" s="42">
        <v>42125</v>
      </c>
      <c r="G45" s="41">
        <v>112990</v>
      </c>
      <c r="H45" s="41">
        <v>195881338.02000001</v>
      </c>
      <c r="I45" s="41">
        <v>2644253.58</v>
      </c>
      <c r="J45" s="41">
        <v>7.4866111069890797E-3</v>
      </c>
      <c r="K45" s="41">
        <v>1.0106372777432407E-4</v>
      </c>
      <c r="L45" s="41">
        <v>8.6229999999999993</v>
      </c>
      <c r="M45" s="41">
        <v>0.1212</v>
      </c>
      <c r="N45" s="41">
        <v>3.0041318746618327E-3</v>
      </c>
      <c r="O45" s="41">
        <v>2273411446.0300002</v>
      </c>
      <c r="P45" s="41">
        <v>26251134.84</v>
      </c>
      <c r="Q45" s="41">
        <v>8.4400000000000003E-2</v>
      </c>
      <c r="R45" s="41">
        <v>8.9999999999999998E-4</v>
      </c>
      <c r="S45" s="3">
        <f>CurrentMtgRatesDataTable82523[[#This Row],[cum_df_pct]]*100</f>
        <v>0.09</v>
      </c>
      <c r="T45" s="3">
        <f>CurrentMtgRatesDataTable82523[[#This Row],[pct_dq]]*100</f>
        <v>0.30041318746618328</v>
      </c>
      <c r="U45"/>
    </row>
    <row r="46" spans="3:21">
      <c r="C46" s="41" t="s">
        <v>119</v>
      </c>
      <c r="D46" s="41" t="s">
        <v>123</v>
      </c>
      <c r="E46" s="41">
        <v>25906805251.299999</v>
      </c>
      <c r="F46" s="42">
        <v>42156</v>
      </c>
      <c r="G46" s="41">
        <v>112119</v>
      </c>
      <c r="H46" s="41">
        <v>247454763.78</v>
      </c>
      <c r="I46" s="41">
        <v>1821070.22</v>
      </c>
      <c r="J46" s="41">
        <v>9.5517282574848848E-3</v>
      </c>
      <c r="K46" s="41">
        <v>7.0293121916629176E-5</v>
      </c>
      <c r="L46" s="41">
        <v>10.8786</v>
      </c>
      <c r="M46" s="41">
        <v>8.43E-2</v>
      </c>
      <c r="N46" s="41">
        <v>2.4920693842310142E-3</v>
      </c>
      <c r="O46" s="41">
        <v>2520866209.8099999</v>
      </c>
      <c r="P46" s="41">
        <v>28072205.059999999</v>
      </c>
      <c r="Q46" s="41">
        <v>9.35E-2</v>
      </c>
      <c r="R46" s="41">
        <v>1E-3</v>
      </c>
      <c r="S46" s="3">
        <f>CurrentMtgRatesDataTable82523[[#This Row],[cum_df_pct]]*100</f>
        <v>0.1</v>
      </c>
      <c r="T46" s="3">
        <f>CurrentMtgRatesDataTable82523[[#This Row],[pct_dq]]*100</f>
        <v>0.2492069384231014</v>
      </c>
      <c r="U46"/>
    </row>
    <row r="47" spans="3:21">
      <c r="C47" s="41" t="s">
        <v>119</v>
      </c>
      <c r="D47" s="41" t="s">
        <v>123</v>
      </c>
      <c r="E47" s="41">
        <v>25596893189.029999</v>
      </c>
      <c r="F47" s="42">
        <v>42186</v>
      </c>
      <c r="G47" s="41">
        <v>111028</v>
      </c>
      <c r="H47" s="41">
        <v>195822688.66</v>
      </c>
      <c r="I47" s="41">
        <v>975212.96</v>
      </c>
      <c r="J47" s="41">
        <v>7.6502522088861651E-3</v>
      </c>
      <c r="K47" s="41">
        <v>3.8098879922581569E-5</v>
      </c>
      <c r="L47" s="41">
        <v>8.8036999999999992</v>
      </c>
      <c r="M47" s="41">
        <v>4.5699999999999998E-2</v>
      </c>
      <c r="N47" s="41">
        <v>2.3781053685096366E-3</v>
      </c>
      <c r="O47" s="41">
        <v>2716688898.4699998</v>
      </c>
      <c r="P47" s="41">
        <v>29047418.02</v>
      </c>
      <c r="Q47" s="41">
        <v>0.1008</v>
      </c>
      <c r="R47" s="41">
        <v>1E-3</v>
      </c>
      <c r="S47" s="3">
        <f>CurrentMtgRatesDataTable82523[[#This Row],[cum_df_pct]]*100</f>
        <v>0.1</v>
      </c>
      <c r="T47" s="3">
        <f>CurrentMtgRatesDataTable82523[[#This Row],[pct_dq]]*100</f>
        <v>0.23781053685096365</v>
      </c>
      <c r="U47"/>
    </row>
    <row r="48" spans="3:21">
      <c r="C48" s="41" t="s">
        <v>119</v>
      </c>
      <c r="D48" s="41" t="s">
        <v>123</v>
      </c>
      <c r="E48" s="41">
        <v>25338102376.299999</v>
      </c>
      <c r="F48" s="42">
        <v>42217</v>
      </c>
      <c r="G48" s="41">
        <v>110134</v>
      </c>
      <c r="H48" s="41">
        <v>179967008.38999999</v>
      </c>
      <c r="I48" s="41">
        <v>2255102.7599999998</v>
      </c>
      <c r="J48" s="41">
        <v>7.1026237765276449E-3</v>
      </c>
      <c r="K48" s="41">
        <v>8.9000459723033996E-5</v>
      </c>
      <c r="L48" s="41">
        <v>8.1979000000000006</v>
      </c>
      <c r="M48" s="41">
        <v>0.1067</v>
      </c>
      <c r="N48" s="41">
        <v>2.6326349274045655E-3</v>
      </c>
      <c r="O48" s="41">
        <v>2896655906.8600001</v>
      </c>
      <c r="P48" s="41">
        <v>31302520.780000001</v>
      </c>
      <c r="Q48" s="41">
        <v>0.1075</v>
      </c>
      <c r="R48" s="41">
        <v>1.1000000000000001E-3</v>
      </c>
      <c r="S48" s="3">
        <f>CurrentMtgRatesDataTable82523[[#This Row],[cum_df_pct]]*100</f>
        <v>0.11</v>
      </c>
      <c r="T48" s="3">
        <f>CurrentMtgRatesDataTable82523[[#This Row],[pct_dq]]*100</f>
        <v>0.26326349274045657</v>
      </c>
      <c r="U48"/>
    </row>
    <row r="49" spans="3:21">
      <c r="C49" s="41" t="s">
        <v>127</v>
      </c>
      <c r="D49" s="41" t="s">
        <v>131</v>
      </c>
      <c r="E49" s="41">
        <v>46843320654.029999</v>
      </c>
      <c r="F49" s="42">
        <v>41730</v>
      </c>
      <c r="G49" s="41">
        <v>192365</v>
      </c>
      <c r="H49" s="41">
        <v>165807316.66</v>
      </c>
      <c r="I49" s="41">
        <v>0</v>
      </c>
      <c r="J49" s="41">
        <v>3.5396149193734701E-3</v>
      </c>
      <c r="K49" s="41">
        <v>0</v>
      </c>
      <c r="L49" s="41">
        <v>4.1657999999999999</v>
      </c>
      <c r="M49" s="41">
        <v>0</v>
      </c>
      <c r="N49" s="41">
        <v>1.3427046482151752E-3</v>
      </c>
      <c r="O49" s="41">
        <v>165807316.66</v>
      </c>
      <c r="P49" s="41">
        <v>0</v>
      </c>
      <c r="Q49" s="41">
        <v>3.7000000000000002E-3</v>
      </c>
      <c r="R49" s="41">
        <v>0</v>
      </c>
      <c r="S49" s="3">
        <f>CurrentMtgRatesDataTable82523[[#This Row],[cum_df_pct]]*100</f>
        <v>0</v>
      </c>
      <c r="T49" s="3">
        <f>CurrentMtgRatesDataTable82523[[#This Row],[pct_dq]]*100</f>
        <v>0.13427046482151753</v>
      </c>
      <c r="U49"/>
    </row>
    <row r="50" spans="3:21">
      <c r="C50" s="41" t="s">
        <v>127</v>
      </c>
      <c r="D50" s="41" t="s">
        <v>131</v>
      </c>
      <c r="E50" s="41">
        <v>46579971572.120003</v>
      </c>
      <c r="F50" s="42">
        <v>41760</v>
      </c>
      <c r="G50" s="41">
        <v>191641</v>
      </c>
      <c r="H50" s="41">
        <v>195256974.13</v>
      </c>
      <c r="I50" s="41">
        <v>0</v>
      </c>
      <c r="J50" s="41">
        <v>4.1918654636292048E-3</v>
      </c>
      <c r="K50" s="41">
        <v>0</v>
      </c>
      <c r="L50" s="41">
        <v>4.9157999999999999</v>
      </c>
      <c r="M50" s="41">
        <v>0</v>
      </c>
      <c r="N50" s="41">
        <v>1.8740335147015858E-3</v>
      </c>
      <c r="O50" s="41">
        <v>361064290.79000002</v>
      </c>
      <c r="P50" s="41">
        <v>0</v>
      </c>
      <c r="Q50" s="41">
        <v>8.2000000000000007E-3</v>
      </c>
      <c r="R50" s="41">
        <v>0</v>
      </c>
      <c r="S50" s="3">
        <f>CurrentMtgRatesDataTable82523[[#This Row],[cum_df_pct]]*100</f>
        <v>0</v>
      </c>
      <c r="T50" s="3">
        <f>CurrentMtgRatesDataTable82523[[#This Row],[pct_dq]]*100</f>
        <v>0.18740335147015857</v>
      </c>
      <c r="U50"/>
    </row>
    <row r="51" spans="3:21">
      <c r="C51" s="41" t="s">
        <v>127</v>
      </c>
      <c r="D51" s="41" t="s">
        <v>131</v>
      </c>
      <c r="E51" s="41">
        <v>46283604208.870003</v>
      </c>
      <c r="F51" s="42">
        <v>41791</v>
      </c>
      <c r="G51" s="41">
        <v>190795</v>
      </c>
      <c r="H51" s="41">
        <v>238683649.77000001</v>
      </c>
      <c r="I51" s="41">
        <v>0</v>
      </c>
      <c r="J51" s="41">
        <v>5.1569806165669696E-3</v>
      </c>
      <c r="K51" s="41">
        <v>0</v>
      </c>
      <c r="L51" s="41">
        <v>6.0157999999999996</v>
      </c>
      <c r="M51" s="41">
        <v>0</v>
      </c>
      <c r="N51" s="41">
        <v>2.0110733018964366E-3</v>
      </c>
      <c r="O51" s="41">
        <v>599747940.55999994</v>
      </c>
      <c r="P51" s="41">
        <v>0</v>
      </c>
      <c r="Q51" s="41">
        <v>1.37E-2</v>
      </c>
      <c r="R51" s="41">
        <v>0</v>
      </c>
      <c r="S51" s="3">
        <f>CurrentMtgRatesDataTable82523[[#This Row],[cum_df_pct]]*100</f>
        <v>0</v>
      </c>
      <c r="T51" s="3">
        <f>CurrentMtgRatesDataTable82523[[#This Row],[pct_dq]]*100</f>
        <v>0.20110733018964366</v>
      </c>
      <c r="U51"/>
    </row>
    <row r="52" spans="3:21">
      <c r="C52" s="41" t="s">
        <v>127</v>
      </c>
      <c r="D52" s="41" t="s">
        <v>131</v>
      </c>
      <c r="E52" s="41">
        <v>45948352311.720001</v>
      </c>
      <c r="F52" s="42">
        <v>41821</v>
      </c>
      <c r="G52" s="41">
        <v>189785</v>
      </c>
      <c r="H52" s="41">
        <v>228148991.03999999</v>
      </c>
      <c r="I52" s="41">
        <v>0</v>
      </c>
      <c r="J52" s="41">
        <v>4.9653356336306813E-3</v>
      </c>
      <c r="K52" s="41">
        <v>0</v>
      </c>
      <c r="L52" s="41">
        <v>5.7983000000000002</v>
      </c>
      <c r="M52" s="41">
        <v>0</v>
      </c>
      <c r="N52" s="41">
        <v>1.949034500790082E-3</v>
      </c>
      <c r="O52" s="41">
        <v>827896931.60000002</v>
      </c>
      <c r="P52" s="41">
        <v>0</v>
      </c>
      <c r="Q52" s="41">
        <v>1.89E-2</v>
      </c>
      <c r="R52" s="41">
        <v>0</v>
      </c>
      <c r="S52" s="3">
        <f>CurrentMtgRatesDataTable82523[[#This Row],[cum_df_pct]]*100</f>
        <v>0</v>
      </c>
      <c r="T52" s="3">
        <f>CurrentMtgRatesDataTable82523[[#This Row],[pct_dq]]*100</f>
        <v>0.19490345007900819</v>
      </c>
      <c r="U52"/>
    </row>
    <row r="53" spans="3:21">
      <c r="C53" s="41" t="s">
        <v>127</v>
      </c>
      <c r="D53" s="41" t="s">
        <v>131</v>
      </c>
      <c r="E53" s="41">
        <v>45618170579.690002</v>
      </c>
      <c r="F53" s="42">
        <v>41852</v>
      </c>
      <c r="G53" s="41">
        <v>188791</v>
      </c>
      <c r="H53" s="41">
        <v>223950815.03</v>
      </c>
      <c r="I53" s="41">
        <v>0</v>
      </c>
      <c r="J53" s="41">
        <v>4.9092458593617255E-3</v>
      </c>
      <c r="K53" s="41">
        <v>0</v>
      </c>
      <c r="L53" s="41">
        <v>5.7346000000000004</v>
      </c>
      <c r="M53" s="41">
        <v>0</v>
      </c>
      <c r="N53" s="41">
        <v>2.1721218690018184E-3</v>
      </c>
      <c r="O53" s="41">
        <v>1051847746.63</v>
      </c>
      <c r="P53" s="41">
        <v>0</v>
      </c>
      <c r="Q53" s="41">
        <v>2.4E-2</v>
      </c>
      <c r="R53" s="41">
        <v>0</v>
      </c>
      <c r="S53" s="3">
        <f>CurrentMtgRatesDataTable82523[[#This Row],[cum_df_pct]]*100</f>
        <v>0</v>
      </c>
      <c r="T53" s="3">
        <f>CurrentMtgRatesDataTable82523[[#This Row],[pct_dq]]*100</f>
        <v>0.21721218690018185</v>
      </c>
      <c r="U53"/>
    </row>
    <row r="54" spans="3:21">
      <c r="C54" s="41" t="s">
        <v>127</v>
      </c>
      <c r="D54" s="41" t="s">
        <v>131</v>
      </c>
      <c r="E54" s="41">
        <v>45294657107.650002</v>
      </c>
      <c r="F54" s="42">
        <v>41883</v>
      </c>
      <c r="G54" s="41">
        <v>187837</v>
      </c>
      <c r="H54" s="41">
        <v>203112565.75</v>
      </c>
      <c r="I54" s="41">
        <v>1260958.8400000001</v>
      </c>
      <c r="J54" s="41">
        <v>4.4842499915005536E-3</v>
      </c>
      <c r="K54" s="41">
        <v>2.7839019445563516E-5</v>
      </c>
      <c r="L54" s="41">
        <v>5.2503000000000002</v>
      </c>
      <c r="M54" s="41">
        <v>3.3399999999999999E-2</v>
      </c>
      <c r="N54" s="41">
        <v>1.8638694824282354E-3</v>
      </c>
      <c r="O54" s="41">
        <v>1254960312.3800001</v>
      </c>
      <c r="P54" s="41">
        <v>1260958.8400000001</v>
      </c>
      <c r="Q54" s="41">
        <v>2.86E-2</v>
      </c>
      <c r="R54" s="41">
        <v>0</v>
      </c>
      <c r="S54" s="3">
        <f>CurrentMtgRatesDataTable82523[[#This Row],[cum_df_pct]]*100</f>
        <v>0</v>
      </c>
      <c r="T54" s="3">
        <f>CurrentMtgRatesDataTable82523[[#This Row],[pct_dq]]*100</f>
        <v>0.18638694824282354</v>
      </c>
      <c r="U54"/>
    </row>
    <row r="55" spans="3:21">
      <c r="C55" s="41" t="s">
        <v>127</v>
      </c>
      <c r="D55" s="41" t="s">
        <v>131</v>
      </c>
      <c r="E55" s="41">
        <v>44993137595.93</v>
      </c>
      <c r="F55" s="42">
        <v>41913</v>
      </c>
      <c r="G55" s="41">
        <v>186908</v>
      </c>
      <c r="H55" s="41">
        <v>195129035.28999999</v>
      </c>
      <c r="I55" s="41">
        <v>1178629.1200000001</v>
      </c>
      <c r="J55" s="41">
        <v>4.3368621464543299E-3</v>
      </c>
      <c r="K55" s="41">
        <v>2.6195753018714053E-5</v>
      </c>
      <c r="L55" s="41">
        <v>5.0818000000000003</v>
      </c>
      <c r="M55" s="41">
        <v>3.1399999999999997E-2</v>
      </c>
      <c r="N55" s="41">
        <v>1.936603912190422E-3</v>
      </c>
      <c r="O55" s="41">
        <v>1450089347.6700001</v>
      </c>
      <c r="P55" s="41">
        <v>2439587.96</v>
      </c>
      <c r="Q55" s="41">
        <v>3.3099999999999997E-2</v>
      </c>
      <c r="R55" s="41">
        <v>0</v>
      </c>
      <c r="S55" s="3">
        <f>CurrentMtgRatesDataTable82523[[#This Row],[cum_df_pct]]*100</f>
        <v>0</v>
      </c>
      <c r="T55" s="3">
        <f>CurrentMtgRatesDataTable82523[[#This Row],[pct_dq]]*100</f>
        <v>0.19366039121904219</v>
      </c>
      <c r="U55"/>
    </row>
    <row r="56" spans="3:21">
      <c r="C56" s="41" t="s">
        <v>127</v>
      </c>
      <c r="D56" s="41" t="s">
        <v>131</v>
      </c>
      <c r="E56" s="41">
        <v>44694263389.889999</v>
      </c>
      <c r="F56" s="42">
        <v>41944</v>
      </c>
      <c r="G56" s="41">
        <v>186019</v>
      </c>
      <c r="H56" s="41">
        <v>168218044.28999999</v>
      </c>
      <c r="I56" s="41">
        <v>2558821.7599999998</v>
      </c>
      <c r="J56" s="41">
        <v>3.7637502339517583E-3</v>
      </c>
      <c r="K56" s="41">
        <v>5.7251682115848774E-5</v>
      </c>
      <c r="L56" s="41">
        <v>4.4241000000000001</v>
      </c>
      <c r="M56" s="41">
        <v>6.8599999999999994E-2</v>
      </c>
      <c r="N56" s="41">
        <v>2.9607158396514222E-3</v>
      </c>
      <c r="O56" s="41">
        <v>1618307391.96</v>
      </c>
      <c r="P56" s="41">
        <v>4998409.72</v>
      </c>
      <c r="Q56" s="41">
        <v>3.6900000000000002E-2</v>
      </c>
      <c r="R56" s="41">
        <v>1E-4</v>
      </c>
      <c r="S56" s="3">
        <f>CurrentMtgRatesDataTable82523[[#This Row],[cum_df_pct]]*100</f>
        <v>0.01</v>
      </c>
      <c r="T56" s="3">
        <f>CurrentMtgRatesDataTable82523[[#This Row],[pct_dq]]*100</f>
        <v>0.29607158396514222</v>
      </c>
      <c r="U56"/>
    </row>
    <row r="57" spans="3:21">
      <c r="C57" s="41" t="s">
        <v>127</v>
      </c>
      <c r="D57" s="41" t="s">
        <v>131</v>
      </c>
      <c r="E57" s="41">
        <v>44431859263.57</v>
      </c>
      <c r="F57" s="42">
        <v>41974</v>
      </c>
      <c r="G57" s="41">
        <v>185268</v>
      </c>
      <c r="H57" s="41">
        <v>210201779.44</v>
      </c>
      <c r="I57" s="41">
        <v>2116094.7400000002</v>
      </c>
      <c r="J57" s="41">
        <v>4.7308796643661041E-3</v>
      </c>
      <c r="K57" s="41">
        <v>4.7625617632773727E-5</v>
      </c>
      <c r="L57" s="41">
        <v>5.5316000000000001</v>
      </c>
      <c r="M57" s="41">
        <v>5.7099999999999998E-2</v>
      </c>
      <c r="N57" s="41">
        <v>2.2982101265279211E-3</v>
      </c>
      <c r="O57" s="41">
        <v>1828509171.4000001</v>
      </c>
      <c r="P57" s="41">
        <v>7114504.46</v>
      </c>
      <c r="Q57" s="41">
        <v>4.1700000000000001E-2</v>
      </c>
      <c r="R57" s="41">
        <v>1E-4</v>
      </c>
      <c r="S57" s="3">
        <f>CurrentMtgRatesDataTable82523[[#This Row],[cum_df_pct]]*100</f>
        <v>0.01</v>
      </c>
      <c r="T57" s="3">
        <f>CurrentMtgRatesDataTable82523[[#This Row],[pct_dq]]*100</f>
        <v>0.22982101265279212</v>
      </c>
      <c r="U57"/>
    </row>
    <row r="58" spans="3:21">
      <c r="C58" s="41" t="s">
        <v>127</v>
      </c>
      <c r="D58" s="41" t="s">
        <v>131</v>
      </c>
      <c r="E58" s="41">
        <v>44113173116.290001</v>
      </c>
      <c r="F58" s="42">
        <v>42005</v>
      </c>
      <c r="G58" s="41">
        <v>184338</v>
      </c>
      <c r="H58" s="41">
        <v>142943567.43000001</v>
      </c>
      <c r="I58" s="41">
        <v>2657234.34</v>
      </c>
      <c r="J58" s="41">
        <v>3.2403828002391913E-3</v>
      </c>
      <c r="K58" s="41">
        <v>6.0236753610878729E-5</v>
      </c>
      <c r="L58" s="41">
        <v>3.8199000000000001</v>
      </c>
      <c r="M58" s="41">
        <v>7.22E-2</v>
      </c>
      <c r="N58" s="41">
        <v>2.3241742787289813E-3</v>
      </c>
      <c r="O58" s="41">
        <v>1971452738.8299999</v>
      </c>
      <c r="P58" s="41">
        <v>9771738.8000000007</v>
      </c>
      <c r="Q58" s="41">
        <v>4.4999999999999998E-2</v>
      </c>
      <c r="R58" s="41">
        <v>2.0000000000000001E-4</v>
      </c>
      <c r="S58" s="3">
        <f>CurrentMtgRatesDataTable82523[[#This Row],[cum_df_pct]]*100</f>
        <v>0.02</v>
      </c>
      <c r="T58" s="3">
        <f>CurrentMtgRatesDataTable82523[[#This Row],[pct_dq]]*100</f>
        <v>0.23241742787289812</v>
      </c>
      <c r="U58"/>
    </row>
    <row r="59" spans="3:21">
      <c r="C59" s="41" t="s">
        <v>127</v>
      </c>
      <c r="D59" s="41" t="s">
        <v>131</v>
      </c>
      <c r="E59" s="41">
        <v>43870427920.269997</v>
      </c>
      <c r="F59" s="42">
        <v>42036</v>
      </c>
      <c r="G59" s="41">
        <v>183704</v>
      </c>
      <c r="H59" s="41">
        <v>217961876.55000001</v>
      </c>
      <c r="I59" s="41">
        <v>3824525.7</v>
      </c>
      <c r="J59" s="41">
        <v>4.9683097905067926E-3</v>
      </c>
      <c r="K59" s="41">
        <v>8.7177761451305718E-5</v>
      </c>
      <c r="L59" s="41">
        <v>5.8017000000000003</v>
      </c>
      <c r="M59" s="41">
        <v>0.1045</v>
      </c>
      <c r="N59" s="41">
        <v>2.9684572780250764E-3</v>
      </c>
      <c r="O59" s="41">
        <v>2189414615.3800001</v>
      </c>
      <c r="P59" s="41">
        <v>13596264.5</v>
      </c>
      <c r="Q59" s="41">
        <v>0.05</v>
      </c>
      <c r="R59" s="41">
        <v>2.9999999999999997E-4</v>
      </c>
      <c r="S59" s="3">
        <f>CurrentMtgRatesDataTable82523[[#This Row],[cum_df_pct]]*100</f>
        <v>0.03</v>
      </c>
      <c r="T59" s="3">
        <f>CurrentMtgRatesDataTable82523[[#This Row],[pct_dq]]*100</f>
        <v>0.29684572780250762</v>
      </c>
      <c r="U59"/>
    </row>
    <row r="60" spans="3:21">
      <c r="C60" s="41" t="s">
        <v>127</v>
      </c>
      <c r="D60" s="41" t="s">
        <v>131</v>
      </c>
      <c r="E60" s="41">
        <v>43556458676.739998</v>
      </c>
      <c r="F60" s="42">
        <v>42064</v>
      </c>
      <c r="G60" s="41">
        <v>182819</v>
      </c>
      <c r="H60" s="41">
        <v>301601929.98000002</v>
      </c>
      <c r="I60" s="41">
        <v>3529131.6</v>
      </c>
      <c r="J60" s="41">
        <v>6.9243905299643041E-3</v>
      </c>
      <c r="K60" s="41">
        <v>8.1024300579436804E-5</v>
      </c>
      <c r="L60" s="41">
        <v>8</v>
      </c>
      <c r="M60" s="41">
        <v>9.7100000000000006E-2</v>
      </c>
      <c r="N60" s="41">
        <v>2.0173405986038838E-3</v>
      </c>
      <c r="O60" s="41">
        <v>2491016545.3600001</v>
      </c>
      <c r="P60" s="41">
        <v>17125396.100000001</v>
      </c>
      <c r="Q60" s="41">
        <v>5.6899999999999999E-2</v>
      </c>
      <c r="R60" s="41">
        <v>2.9999999999999997E-4</v>
      </c>
      <c r="S60" s="3">
        <f>CurrentMtgRatesDataTable82523[[#This Row],[cum_df_pct]]*100</f>
        <v>0.03</v>
      </c>
      <c r="T60" s="3">
        <f>CurrentMtgRatesDataTable82523[[#This Row],[pct_dq]]*100</f>
        <v>0.20173405986038837</v>
      </c>
      <c r="U60"/>
    </row>
    <row r="61" spans="3:21">
      <c r="C61" s="41" t="s">
        <v>127</v>
      </c>
      <c r="D61" s="41" t="s">
        <v>131</v>
      </c>
      <c r="E61" s="41">
        <v>43152182496.449997</v>
      </c>
      <c r="F61" s="42">
        <v>42095</v>
      </c>
      <c r="G61" s="41">
        <v>181564</v>
      </c>
      <c r="H61" s="41">
        <v>292448720.48000002</v>
      </c>
      <c r="I61" s="41">
        <v>2678773.96</v>
      </c>
      <c r="J61" s="41">
        <v>6.7771478419210631E-3</v>
      </c>
      <c r="K61" s="41">
        <v>6.2077369092985608E-5</v>
      </c>
      <c r="L61" s="41">
        <v>7.8361000000000001</v>
      </c>
      <c r="M61" s="41">
        <v>7.4399999999999994E-2</v>
      </c>
      <c r="N61" s="41">
        <v>2.0857598680531267E-3</v>
      </c>
      <c r="O61" s="41">
        <v>2783465265.8400002</v>
      </c>
      <c r="P61" s="41">
        <v>19804170.059999999</v>
      </c>
      <c r="Q61" s="41">
        <v>6.3500000000000001E-2</v>
      </c>
      <c r="R61" s="41">
        <v>4.0000000000000002E-4</v>
      </c>
      <c r="S61" s="3">
        <f>CurrentMtgRatesDataTable82523[[#This Row],[cum_df_pct]]*100</f>
        <v>0.04</v>
      </c>
      <c r="T61" s="3">
        <f>CurrentMtgRatesDataTable82523[[#This Row],[pct_dq]]*100</f>
        <v>0.20857598680531267</v>
      </c>
      <c r="U61"/>
    </row>
    <row r="62" spans="3:21">
      <c r="C62" s="41" t="s">
        <v>127</v>
      </c>
      <c r="D62" s="41" t="s">
        <v>131</v>
      </c>
      <c r="E62" s="41">
        <v>42758643582.669998</v>
      </c>
      <c r="F62" s="42">
        <v>42125</v>
      </c>
      <c r="G62" s="41">
        <v>180323</v>
      </c>
      <c r="H62" s="41">
        <v>313691639.17000002</v>
      </c>
      <c r="I62" s="41">
        <v>2151534.84</v>
      </c>
      <c r="J62" s="41">
        <v>7.3363327946431552E-3</v>
      </c>
      <c r="K62" s="41">
        <v>5.0318126575746034E-5</v>
      </c>
      <c r="L62" s="41">
        <v>8.4568999999999992</v>
      </c>
      <c r="M62" s="41">
        <v>6.0299999999999999E-2</v>
      </c>
      <c r="N62" s="41">
        <v>2.7373321371550233E-3</v>
      </c>
      <c r="O62" s="41">
        <v>3097156905.0100002</v>
      </c>
      <c r="P62" s="41">
        <v>21955704.899999999</v>
      </c>
      <c r="Q62" s="41">
        <v>7.0699999999999999E-2</v>
      </c>
      <c r="R62" s="41">
        <v>5.0000000000000001E-4</v>
      </c>
      <c r="S62" s="3">
        <f>CurrentMtgRatesDataTable82523[[#This Row],[cum_df_pct]]*100</f>
        <v>0.05</v>
      </c>
      <c r="T62" s="3">
        <f>CurrentMtgRatesDataTable82523[[#This Row],[pct_dq]]*100</f>
        <v>0.27373321371550235</v>
      </c>
      <c r="U62"/>
    </row>
    <row r="63" spans="3:21">
      <c r="C63" s="41" t="s">
        <v>127</v>
      </c>
      <c r="D63" s="41" t="s">
        <v>131</v>
      </c>
      <c r="E63" s="41">
        <v>42349243357.739998</v>
      </c>
      <c r="F63" s="42">
        <v>42156</v>
      </c>
      <c r="G63" s="41">
        <v>178982</v>
      </c>
      <c r="H63" s="41">
        <v>382718550.42000002</v>
      </c>
      <c r="I63" s="41">
        <v>2730456.82</v>
      </c>
      <c r="J63" s="41">
        <v>9.0371992525824455E-3</v>
      </c>
      <c r="K63" s="41">
        <v>6.4474748626198663E-5</v>
      </c>
      <c r="L63" s="41">
        <v>10.3215</v>
      </c>
      <c r="M63" s="41">
        <v>7.7299999999999994E-2</v>
      </c>
      <c r="N63" s="41">
        <v>2.4753375621017061E-3</v>
      </c>
      <c r="O63" s="41">
        <v>3479875455.4299998</v>
      </c>
      <c r="P63" s="41">
        <v>24686161.719999999</v>
      </c>
      <c r="Q63" s="41">
        <v>7.9399999999999998E-2</v>
      </c>
      <c r="R63" s="41">
        <v>5.0000000000000001E-4</v>
      </c>
      <c r="S63" s="3">
        <f>CurrentMtgRatesDataTable82523[[#This Row],[cum_df_pct]]*100</f>
        <v>0.05</v>
      </c>
      <c r="T63" s="3">
        <f>CurrentMtgRatesDataTable82523[[#This Row],[pct_dq]]*100</f>
        <v>0.2475337562101706</v>
      </c>
      <c r="U63"/>
    </row>
    <row r="64" spans="3:21">
      <c r="C64" s="41" t="s">
        <v>127</v>
      </c>
      <c r="D64" s="41" t="s">
        <v>131</v>
      </c>
      <c r="E64" s="41">
        <v>41865845019.120003</v>
      </c>
      <c r="F64" s="42">
        <v>42186</v>
      </c>
      <c r="G64" s="41">
        <v>177353</v>
      </c>
      <c r="H64" s="41">
        <v>340527554.31</v>
      </c>
      <c r="I64" s="41">
        <v>2533020.8199999998</v>
      </c>
      <c r="J64" s="41">
        <v>8.1337795559717502E-3</v>
      </c>
      <c r="K64" s="41">
        <v>6.050327704703386E-5</v>
      </c>
      <c r="L64" s="41">
        <v>9.3354999999999997</v>
      </c>
      <c r="M64" s="41">
        <v>7.2499999999999995E-2</v>
      </c>
      <c r="N64" s="41">
        <v>2.2512693792984648E-3</v>
      </c>
      <c r="O64" s="41">
        <v>3820403009.7399998</v>
      </c>
      <c r="P64" s="41">
        <v>27219182.539999999</v>
      </c>
      <c r="Q64" s="41">
        <v>8.72E-2</v>
      </c>
      <c r="R64" s="41">
        <v>5.9999999999999995E-4</v>
      </c>
      <c r="S64" s="3">
        <f>CurrentMtgRatesDataTable82523[[#This Row],[cum_df_pct]]*100</f>
        <v>0.06</v>
      </c>
      <c r="T64" s="3">
        <f>CurrentMtgRatesDataTable82523[[#This Row],[pct_dq]]*100</f>
        <v>0.22512693792984648</v>
      </c>
      <c r="U64"/>
    </row>
    <row r="65" spans="3:21">
      <c r="C65" s="41" t="s">
        <v>127</v>
      </c>
      <c r="D65" s="41" t="s">
        <v>131</v>
      </c>
      <c r="E65" s="41">
        <v>41420736015.080002</v>
      </c>
      <c r="F65" s="42">
        <v>42217</v>
      </c>
      <c r="G65" s="41">
        <v>175827</v>
      </c>
      <c r="H65" s="41">
        <v>278990763.60000002</v>
      </c>
      <c r="I65" s="41">
        <v>2240851.34</v>
      </c>
      <c r="J65" s="41">
        <v>6.7355337070405547E-3</v>
      </c>
      <c r="K65" s="41">
        <v>5.4099747024876038E-5</v>
      </c>
      <c r="L65" s="41">
        <v>7.7897999999999996</v>
      </c>
      <c r="M65" s="41">
        <v>6.4899999999999999E-2</v>
      </c>
      <c r="N65" s="41">
        <v>2.4639493685685268E-3</v>
      </c>
      <c r="O65" s="41">
        <v>4099393773.3400002</v>
      </c>
      <c r="P65" s="41">
        <v>29460033.879999999</v>
      </c>
      <c r="Q65" s="41">
        <v>9.3600000000000003E-2</v>
      </c>
      <c r="R65" s="41">
        <v>5.9999999999999995E-4</v>
      </c>
      <c r="S65" s="3">
        <f>CurrentMtgRatesDataTable82523[[#This Row],[cum_df_pct]]*100</f>
        <v>0.06</v>
      </c>
      <c r="T65" s="3">
        <f>CurrentMtgRatesDataTable82523[[#This Row],[pct_dq]]*100</f>
        <v>0.24639493685685268</v>
      </c>
      <c r="U65"/>
    </row>
    <row r="66" spans="3:21">
      <c r="C66" s="41" t="s">
        <v>127</v>
      </c>
      <c r="D66" s="41" t="s">
        <v>138</v>
      </c>
      <c r="E66" s="41">
        <v>13975158090.879999</v>
      </c>
      <c r="F66" s="42">
        <v>41730</v>
      </c>
      <c r="G66" s="41">
        <v>62584</v>
      </c>
      <c r="H66" s="41">
        <v>56666823.07</v>
      </c>
      <c r="I66" s="41">
        <v>0</v>
      </c>
      <c r="J66" s="41">
        <v>4.0548251906345166E-3</v>
      </c>
      <c r="K66" s="41">
        <v>0</v>
      </c>
      <c r="L66" s="41">
        <v>4.7587000000000002</v>
      </c>
      <c r="M66" s="41">
        <v>0</v>
      </c>
      <c r="N66" s="41">
        <v>1.6185182924521539E-3</v>
      </c>
      <c r="O66" s="41">
        <v>56666823.07</v>
      </c>
      <c r="P66" s="41">
        <v>0</v>
      </c>
      <c r="Q66" s="41">
        <v>4.4000000000000003E-3</v>
      </c>
      <c r="R66" s="41">
        <v>0</v>
      </c>
      <c r="S66" s="3">
        <f>CurrentMtgRatesDataTable82523[[#This Row],[cum_df_pct]]*100</f>
        <v>0</v>
      </c>
      <c r="T66" s="3">
        <f>CurrentMtgRatesDataTable82523[[#This Row],[pct_dq]]*100</f>
        <v>0.16185182924521538</v>
      </c>
      <c r="U66"/>
    </row>
    <row r="67" spans="3:21">
      <c r="C67" s="41" t="s">
        <v>127</v>
      </c>
      <c r="D67" s="41" t="s">
        <v>138</v>
      </c>
      <c r="E67" s="41">
        <v>13891379324.02</v>
      </c>
      <c r="F67" s="42">
        <v>41760</v>
      </c>
      <c r="G67" s="41">
        <v>62340</v>
      </c>
      <c r="H67" s="41">
        <v>70110171.659999996</v>
      </c>
      <c r="I67" s="41">
        <v>0</v>
      </c>
      <c r="J67" s="41">
        <v>5.0470273703325059E-3</v>
      </c>
      <c r="K67" s="41">
        <v>0</v>
      </c>
      <c r="L67" s="41">
        <v>5.8910999999999998</v>
      </c>
      <c r="M67" s="41">
        <v>0</v>
      </c>
      <c r="N67" s="41">
        <v>2.0520279264644578E-3</v>
      </c>
      <c r="O67" s="41">
        <v>126776994.73</v>
      </c>
      <c r="P67" s="41">
        <v>0</v>
      </c>
      <c r="Q67" s="41">
        <v>9.9000000000000008E-3</v>
      </c>
      <c r="R67" s="41">
        <v>0</v>
      </c>
      <c r="S67" s="3">
        <f>CurrentMtgRatesDataTable82523[[#This Row],[cum_df_pct]]*100</f>
        <v>0</v>
      </c>
      <c r="T67" s="3">
        <f>CurrentMtgRatesDataTable82523[[#This Row],[pct_dq]]*100</f>
        <v>0.20520279264644578</v>
      </c>
      <c r="U67"/>
    </row>
    <row r="68" spans="3:21">
      <c r="C68" s="41" t="s">
        <v>127</v>
      </c>
      <c r="D68" s="41" t="s">
        <v>138</v>
      </c>
      <c r="E68" s="41">
        <v>13793286662.5</v>
      </c>
      <c r="F68" s="42">
        <v>41791</v>
      </c>
      <c r="G68" s="41">
        <v>62022</v>
      </c>
      <c r="H68" s="41">
        <v>79825075.650000006</v>
      </c>
      <c r="I68" s="41">
        <v>0</v>
      </c>
      <c r="J68" s="41">
        <v>5.7872411125204507E-3</v>
      </c>
      <c r="K68" s="41">
        <v>0</v>
      </c>
      <c r="L68" s="41">
        <v>6.7278000000000002</v>
      </c>
      <c r="M68" s="41">
        <v>0</v>
      </c>
      <c r="N68" s="41">
        <v>2.5308105873638803E-3</v>
      </c>
      <c r="O68" s="41">
        <v>206602070.38</v>
      </c>
      <c r="P68" s="41">
        <v>0</v>
      </c>
      <c r="Q68" s="41">
        <v>1.6199999999999999E-2</v>
      </c>
      <c r="R68" s="41">
        <v>0</v>
      </c>
      <c r="S68" s="3">
        <f>CurrentMtgRatesDataTable82523[[#This Row],[cum_df_pct]]*100</f>
        <v>0</v>
      </c>
      <c r="T68" s="3">
        <f>CurrentMtgRatesDataTable82523[[#This Row],[pct_dq]]*100</f>
        <v>0.25308105873638803</v>
      </c>
      <c r="U68"/>
    </row>
    <row r="69" spans="3:21">
      <c r="C69" s="41" t="s">
        <v>127</v>
      </c>
      <c r="D69" s="41" t="s">
        <v>138</v>
      </c>
      <c r="E69" s="41">
        <v>13686612088.84</v>
      </c>
      <c r="F69" s="42">
        <v>41821</v>
      </c>
      <c r="G69" s="41">
        <v>61667</v>
      </c>
      <c r="H69" s="41">
        <v>85075143.510000005</v>
      </c>
      <c r="I69" s="41">
        <v>0</v>
      </c>
      <c r="J69" s="41">
        <v>6.2159388282341894E-3</v>
      </c>
      <c r="K69" s="41">
        <v>0</v>
      </c>
      <c r="L69" s="41">
        <v>7.2092999999999998</v>
      </c>
      <c r="M69" s="41">
        <v>0</v>
      </c>
      <c r="N69" s="41">
        <v>2.5368214160399073E-3</v>
      </c>
      <c r="O69" s="41">
        <v>291677213.88999999</v>
      </c>
      <c r="P69" s="41">
        <v>0</v>
      </c>
      <c r="Q69" s="41">
        <v>2.29E-2</v>
      </c>
      <c r="R69" s="41">
        <v>0</v>
      </c>
      <c r="S69" s="3">
        <f>CurrentMtgRatesDataTable82523[[#This Row],[cum_df_pct]]*100</f>
        <v>0</v>
      </c>
      <c r="T69" s="3">
        <f>CurrentMtgRatesDataTable82523[[#This Row],[pct_dq]]*100</f>
        <v>0.25368214160399072</v>
      </c>
      <c r="U69"/>
    </row>
    <row r="70" spans="3:21">
      <c r="C70" s="41" t="s">
        <v>127</v>
      </c>
      <c r="D70" s="41" t="s">
        <v>138</v>
      </c>
      <c r="E70" s="41">
        <v>13574009600.459999</v>
      </c>
      <c r="F70" s="42">
        <v>41852</v>
      </c>
      <c r="G70" s="41">
        <v>61297</v>
      </c>
      <c r="H70" s="41">
        <v>74278557.730000004</v>
      </c>
      <c r="I70" s="41">
        <v>0</v>
      </c>
      <c r="J70" s="41">
        <v>5.4721161923653588E-3</v>
      </c>
      <c r="K70" s="41">
        <v>0</v>
      </c>
      <c r="L70" s="41">
        <v>6.3723999999999998</v>
      </c>
      <c r="M70" s="41">
        <v>0</v>
      </c>
      <c r="N70" s="41">
        <v>3.7599228880956762E-3</v>
      </c>
      <c r="O70" s="41">
        <v>365955771.62</v>
      </c>
      <c r="P70" s="41">
        <v>0</v>
      </c>
      <c r="Q70" s="41">
        <v>2.8799999999999999E-2</v>
      </c>
      <c r="R70" s="41">
        <v>0</v>
      </c>
      <c r="S70" s="3">
        <f>CurrentMtgRatesDataTable82523[[#This Row],[cum_df_pct]]*100</f>
        <v>0</v>
      </c>
      <c r="T70" s="3">
        <f>CurrentMtgRatesDataTable82523[[#This Row],[pct_dq]]*100</f>
        <v>0.37599228880956764</v>
      </c>
      <c r="U70"/>
    </row>
    <row r="71" spans="3:21">
      <c r="C71" s="41" t="s">
        <v>127</v>
      </c>
      <c r="D71" s="41" t="s">
        <v>138</v>
      </c>
      <c r="E71" s="41">
        <v>13472810534.33</v>
      </c>
      <c r="F71" s="42">
        <v>41883</v>
      </c>
      <c r="G71" s="41">
        <v>60968</v>
      </c>
      <c r="H71" s="41">
        <v>67600876.5</v>
      </c>
      <c r="I71" s="41">
        <v>1459144.3</v>
      </c>
      <c r="J71" s="41">
        <v>5.0175779083173888E-3</v>
      </c>
      <c r="K71" s="41">
        <v>1.0830288871664615E-4</v>
      </c>
      <c r="L71" s="41">
        <v>5.8575999999999997</v>
      </c>
      <c r="M71" s="41">
        <v>0.1298</v>
      </c>
      <c r="N71" s="41">
        <v>2.3359019107266807E-3</v>
      </c>
      <c r="O71" s="41">
        <v>433556648.12</v>
      </c>
      <c r="P71" s="41">
        <v>1459144.3</v>
      </c>
      <c r="Q71" s="41">
        <v>3.4099999999999998E-2</v>
      </c>
      <c r="R71" s="41">
        <v>1E-4</v>
      </c>
      <c r="S71" s="3">
        <f>CurrentMtgRatesDataTable82523[[#This Row],[cum_df_pct]]*100</f>
        <v>0.01</v>
      </c>
      <c r="T71" s="3">
        <f>CurrentMtgRatesDataTable82523[[#This Row],[pct_dq]]*100</f>
        <v>0.23359019107266807</v>
      </c>
      <c r="U71"/>
    </row>
    <row r="72" spans="3:21">
      <c r="C72" s="41" t="s">
        <v>127</v>
      </c>
      <c r="D72" s="41" t="s">
        <v>138</v>
      </c>
      <c r="E72" s="41">
        <v>13376083076.65</v>
      </c>
      <c r="F72" s="42">
        <v>41913</v>
      </c>
      <c r="G72" s="41">
        <v>60637</v>
      </c>
      <c r="H72" s="41">
        <v>67743247.349999994</v>
      </c>
      <c r="I72" s="41">
        <v>0</v>
      </c>
      <c r="J72" s="41">
        <v>5.0645055777394357E-3</v>
      </c>
      <c r="K72" s="41">
        <v>0</v>
      </c>
      <c r="L72" s="41">
        <v>5.9108999999999998</v>
      </c>
      <c r="M72" s="41">
        <v>0</v>
      </c>
      <c r="N72" s="41">
        <v>2.8481514043901487E-3</v>
      </c>
      <c r="O72" s="41">
        <v>501299895.47000003</v>
      </c>
      <c r="P72" s="41">
        <v>1459144.3</v>
      </c>
      <c r="Q72" s="41">
        <v>3.95E-2</v>
      </c>
      <c r="R72" s="41">
        <v>1E-4</v>
      </c>
      <c r="S72" s="3">
        <f>CurrentMtgRatesDataTable82523[[#This Row],[cum_df_pct]]*100</f>
        <v>0.01</v>
      </c>
      <c r="T72" s="3">
        <f>CurrentMtgRatesDataTable82523[[#This Row],[pct_dq]]*100</f>
        <v>0.28481514043901485</v>
      </c>
      <c r="U72"/>
    </row>
    <row r="73" spans="3:21">
      <c r="C73" s="41" t="s">
        <v>127</v>
      </c>
      <c r="D73" s="41" t="s">
        <v>138</v>
      </c>
      <c r="E73" s="41">
        <v>13280099854.23</v>
      </c>
      <c r="F73" s="42">
        <v>41944</v>
      </c>
      <c r="G73" s="41">
        <v>60336</v>
      </c>
      <c r="H73" s="41">
        <v>64996835.159999996</v>
      </c>
      <c r="I73" s="41">
        <v>2212329.7200000002</v>
      </c>
      <c r="J73" s="41">
        <v>4.8943031960182962E-3</v>
      </c>
      <c r="K73" s="41">
        <v>1.6658984076052145E-4</v>
      </c>
      <c r="L73" s="41">
        <v>5.7176</v>
      </c>
      <c r="M73" s="41">
        <v>0.19969999999999999</v>
      </c>
      <c r="N73" s="41">
        <v>4.3142013967425799E-3</v>
      </c>
      <c r="O73" s="41">
        <v>566296730.63</v>
      </c>
      <c r="P73" s="41">
        <v>3671474.02</v>
      </c>
      <c r="Q73" s="41">
        <v>4.4600000000000001E-2</v>
      </c>
      <c r="R73" s="41">
        <v>2.0000000000000001E-4</v>
      </c>
      <c r="S73" s="3">
        <f>CurrentMtgRatesDataTable82523[[#This Row],[cum_df_pct]]*100</f>
        <v>0.02</v>
      </c>
      <c r="T73" s="3">
        <f>CurrentMtgRatesDataTable82523[[#This Row],[pct_dq]]*100</f>
        <v>0.43142013967425796</v>
      </c>
      <c r="U73"/>
    </row>
    <row r="74" spans="3:21">
      <c r="C74" s="41" t="s">
        <v>127</v>
      </c>
      <c r="D74" s="41" t="s">
        <v>138</v>
      </c>
      <c r="E74" s="41">
        <v>13188332853.969999</v>
      </c>
      <c r="F74" s="42">
        <v>41974</v>
      </c>
      <c r="G74" s="41">
        <v>60034</v>
      </c>
      <c r="H74" s="41">
        <v>79177605.450000003</v>
      </c>
      <c r="I74" s="41">
        <v>219486.42</v>
      </c>
      <c r="J74" s="41">
        <v>6.0036098820606936E-3</v>
      </c>
      <c r="K74" s="41">
        <v>1.6642468948145284E-5</v>
      </c>
      <c r="L74" s="41">
        <v>6.9710999999999999</v>
      </c>
      <c r="M74" s="41">
        <v>1.9900000000000001E-2</v>
      </c>
      <c r="N74" s="41">
        <v>3.4644909653039255E-3</v>
      </c>
      <c r="O74" s="41">
        <v>645474336.08000004</v>
      </c>
      <c r="P74" s="41">
        <v>3890960.44</v>
      </c>
      <c r="Q74" s="41">
        <v>5.0799999999999998E-2</v>
      </c>
      <c r="R74" s="41">
        <v>2.9999999999999997E-4</v>
      </c>
      <c r="S74" s="3">
        <f>CurrentMtgRatesDataTable82523[[#This Row],[cum_df_pct]]*100</f>
        <v>0.03</v>
      </c>
      <c r="T74" s="3">
        <f>CurrentMtgRatesDataTable82523[[#This Row],[pct_dq]]*100</f>
        <v>0.34644909653039258</v>
      </c>
      <c r="U74"/>
    </row>
    <row r="75" spans="3:21">
      <c r="C75" s="41" t="s">
        <v>127</v>
      </c>
      <c r="D75" s="41" t="s">
        <v>138</v>
      </c>
      <c r="E75" s="41">
        <v>13080318246.98</v>
      </c>
      <c r="F75" s="42">
        <v>42005</v>
      </c>
      <c r="G75" s="41">
        <v>59686</v>
      </c>
      <c r="H75" s="41">
        <v>62545677.549999997</v>
      </c>
      <c r="I75" s="41">
        <v>1456513.94</v>
      </c>
      <c r="J75" s="41">
        <v>4.7816632874693723E-3</v>
      </c>
      <c r="K75" s="41">
        <v>1.1135156748470411E-4</v>
      </c>
      <c r="L75" s="41">
        <v>5.5894000000000004</v>
      </c>
      <c r="M75" s="41">
        <v>0.13350000000000001</v>
      </c>
      <c r="N75" s="41">
        <v>3.4956316778115707E-3</v>
      </c>
      <c r="O75" s="41">
        <v>708020013.63</v>
      </c>
      <c r="P75" s="41">
        <v>5347474.38</v>
      </c>
      <c r="Q75" s="41">
        <v>5.57E-2</v>
      </c>
      <c r="R75" s="41">
        <v>4.0000000000000002E-4</v>
      </c>
      <c r="S75" s="3">
        <f>CurrentMtgRatesDataTable82523[[#This Row],[cum_df_pct]]*100</f>
        <v>0.04</v>
      </c>
      <c r="T75" s="3">
        <f>CurrentMtgRatesDataTable82523[[#This Row],[pct_dq]]*100</f>
        <v>0.34956316778115709</v>
      </c>
      <c r="U75"/>
    </row>
    <row r="76" spans="3:21">
      <c r="C76" s="41" t="s">
        <v>127</v>
      </c>
      <c r="D76" s="41" t="s">
        <v>138</v>
      </c>
      <c r="E76" s="41">
        <v>12990420429.969999</v>
      </c>
      <c r="F76" s="42">
        <v>42036</v>
      </c>
      <c r="G76" s="41">
        <v>59408</v>
      </c>
      <c r="H76" s="41">
        <v>94297430.280000001</v>
      </c>
      <c r="I76" s="41">
        <v>1909803.74</v>
      </c>
      <c r="J76" s="41">
        <v>7.2589975658099446E-3</v>
      </c>
      <c r="K76" s="41">
        <v>1.47016314852591E-4</v>
      </c>
      <c r="L76" s="41">
        <v>8.3712999999999997</v>
      </c>
      <c r="M76" s="41">
        <v>0.1762</v>
      </c>
      <c r="N76" s="41">
        <v>4.6285386207580081E-3</v>
      </c>
      <c r="O76" s="41">
        <v>802317443.90999997</v>
      </c>
      <c r="P76" s="41">
        <v>7257278.1200000001</v>
      </c>
      <c r="Q76" s="41">
        <v>6.3200000000000006E-2</v>
      </c>
      <c r="R76" s="41">
        <v>5.0000000000000001E-4</v>
      </c>
      <c r="S76" s="3">
        <f>CurrentMtgRatesDataTable82523[[#This Row],[cum_df_pct]]*100</f>
        <v>0.05</v>
      </c>
      <c r="T76" s="3">
        <f>CurrentMtgRatesDataTable82523[[#This Row],[pct_dq]]*100</f>
        <v>0.46285386207580081</v>
      </c>
      <c r="U76"/>
    </row>
    <row r="77" spans="3:21">
      <c r="C77" s="41" t="s">
        <v>127</v>
      </c>
      <c r="D77" s="41" t="s">
        <v>138</v>
      </c>
      <c r="E77" s="41">
        <v>12870226426.299999</v>
      </c>
      <c r="F77" s="42">
        <v>42064</v>
      </c>
      <c r="G77" s="41">
        <v>59020</v>
      </c>
      <c r="H77" s="41">
        <v>129449554.43000001</v>
      </c>
      <c r="I77" s="41">
        <v>3323702.04</v>
      </c>
      <c r="J77" s="41">
        <v>1.005806348250975E-2</v>
      </c>
      <c r="K77" s="41">
        <v>2.5824736332595474E-4</v>
      </c>
      <c r="L77" s="41">
        <v>11.4238</v>
      </c>
      <c r="M77" s="41">
        <v>0.30940000000000001</v>
      </c>
      <c r="N77" s="41">
        <v>3.081467983263868E-3</v>
      </c>
      <c r="O77" s="41">
        <v>931766998.34000003</v>
      </c>
      <c r="P77" s="41">
        <v>10580980.16</v>
      </c>
      <c r="Q77" s="41">
        <v>7.3400000000000007E-2</v>
      </c>
      <c r="R77" s="41">
        <v>8.0000000000000004E-4</v>
      </c>
      <c r="S77" s="3">
        <f>CurrentMtgRatesDataTable82523[[#This Row],[cum_df_pct]]*100</f>
        <v>0.08</v>
      </c>
      <c r="T77" s="3">
        <f>CurrentMtgRatesDataTable82523[[#This Row],[pct_dq]]*100</f>
        <v>0.30814679832638681</v>
      </c>
      <c r="U77"/>
    </row>
    <row r="78" spans="3:21">
      <c r="C78" s="41" t="s">
        <v>127</v>
      </c>
      <c r="D78" s="41" t="s">
        <v>138</v>
      </c>
      <c r="E78" s="41">
        <v>12710851299.17</v>
      </c>
      <c r="F78" s="42">
        <v>42095</v>
      </c>
      <c r="G78" s="41">
        <v>58470</v>
      </c>
      <c r="H78" s="41">
        <v>121973419.11</v>
      </c>
      <c r="I78" s="41">
        <v>2521182.3199999998</v>
      </c>
      <c r="J78" s="41">
        <v>9.5960070839601983E-3</v>
      </c>
      <c r="K78" s="41">
        <v>1.9834881713741938E-4</v>
      </c>
      <c r="L78" s="41">
        <v>10.926399999999999</v>
      </c>
      <c r="M78" s="41">
        <v>0.23769999999999999</v>
      </c>
      <c r="N78" s="41">
        <v>3.3985818442247707E-3</v>
      </c>
      <c r="O78" s="41">
        <v>1053740417.45</v>
      </c>
      <c r="P78" s="41">
        <v>13102162.48</v>
      </c>
      <c r="Q78" s="41">
        <v>8.3000000000000004E-2</v>
      </c>
      <c r="R78" s="41">
        <v>1E-3</v>
      </c>
      <c r="S78" s="3">
        <f>CurrentMtgRatesDataTable82523[[#This Row],[cum_df_pct]]*100</f>
        <v>0.1</v>
      </c>
      <c r="T78" s="3">
        <f>CurrentMtgRatesDataTable82523[[#This Row],[pct_dq]]*100</f>
        <v>0.33985818442247706</v>
      </c>
      <c r="U78"/>
    </row>
    <row r="79" spans="3:21">
      <c r="C79" s="41" t="s">
        <v>127</v>
      </c>
      <c r="D79" s="41" t="s">
        <v>138</v>
      </c>
      <c r="E79" s="41">
        <v>12560631534.57</v>
      </c>
      <c r="F79" s="42">
        <v>42125</v>
      </c>
      <c r="G79" s="41">
        <v>57934</v>
      </c>
      <c r="H79" s="41">
        <v>129110068.88</v>
      </c>
      <c r="I79" s="41">
        <v>1897229.98</v>
      </c>
      <c r="J79" s="41">
        <v>1.0278947242792434E-2</v>
      </c>
      <c r="K79" s="41">
        <v>1.5104574756279957E-4</v>
      </c>
      <c r="L79" s="41">
        <v>11.6607</v>
      </c>
      <c r="M79" s="41">
        <v>0.18110000000000001</v>
      </c>
      <c r="N79" s="41">
        <v>4.9323708938908001E-3</v>
      </c>
      <c r="O79" s="41">
        <v>1182850486.3299999</v>
      </c>
      <c r="P79" s="41">
        <v>14999392.460000001</v>
      </c>
      <c r="Q79" s="41">
        <v>9.3200000000000005E-2</v>
      </c>
      <c r="R79" s="41">
        <v>1.1000000000000001E-3</v>
      </c>
      <c r="S79" s="3">
        <f>CurrentMtgRatesDataTable82523[[#This Row],[cum_df_pct]]*100</f>
        <v>0.11</v>
      </c>
      <c r="T79" s="3">
        <f>CurrentMtgRatesDataTable82523[[#This Row],[pct_dq]]*100</f>
        <v>0.49323708938908001</v>
      </c>
      <c r="U79"/>
    </row>
    <row r="80" spans="3:21">
      <c r="C80" s="41" t="s">
        <v>127</v>
      </c>
      <c r="D80" s="41" t="s">
        <v>138</v>
      </c>
      <c r="E80" s="41">
        <v>12404299318.6</v>
      </c>
      <c r="F80" s="42">
        <v>42156</v>
      </c>
      <c r="G80" s="41">
        <v>57365</v>
      </c>
      <c r="H80" s="41">
        <v>139240721.36000001</v>
      </c>
      <c r="I80" s="41">
        <v>2457079.7200000002</v>
      </c>
      <c r="J80" s="41">
        <v>1.1225198439964385E-2</v>
      </c>
      <c r="K80" s="41">
        <v>1.9808291116578088E-4</v>
      </c>
      <c r="L80" s="41">
        <v>12.668900000000001</v>
      </c>
      <c r="M80" s="41">
        <v>0.2374</v>
      </c>
      <c r="N80" s="41">
        <v>3.7740784842076602E-3</v>
      </c>
      <c r="O80" s="41">
        <v>1322091207.6900001</v>
      </c>
      <c r="P80" s="41">
        <v>17456472.18</v>
      </c>
      <c r="Q80" s="41">
        <v>0.1041</v>
      </c>
      <c r="R80" s="41">
        <v>1.2999999999999999E-3</v>
      </c>
      <c r="S80" s="3">
        <f>CurrentMtgRatesDataTable82523[[#This Row],[cum_df_pct]]*100</f>
        <v>0.13</v>
      </c>
      <c r="T80" s="3">
        <f>CurrentMtgRatesDataTable82523[[#This Row],[pct_dq]]*100</f>
        <v>0.37740784842076602</v>
      </c>
      <c r="U80"/>
    </row>
    <row r="81" spans="3:21">
      <c r="C81" s="41" t="s">
        <v>127</v>
      </c>
      <c r="D81" s="41" t="s">
        <v>138</v>
      </c>
      <c r="E81" s="41">
        <v>12236817011.360001</v>
      </c>
      <c r="F81" s="42">
        <v>42186</v>
      </c>
      <c r="G81" s="41">
        <v>56746</v>
      </c>
      <c r="H81" s="41">
        <v>132346837.41</v>
      </c>
      <c r="I81" s="41">
        <v>952193.74</v>
      </c>
      <c r="J81" s="41">
        <v>1.0815462655618396E-2</v>
      </c>
      <c r="K81" s="41">
        <v>7.7813841550137974E-5</v>
      </c>
      <c r="L81" s="41">
        <v>12.233599999999999</v>
      </c>
      <c r="M81" s="41">
        <v>9.3299999999999994E-2</v>
      </c>
      <c r="N81" s="41">
        <v>3.8139167617423637E-3</v>
      </c>
      <c r="O81" s="41">
        <v>1454438045.0999999</v>
      </c>
      <c r="P81" s="41">
        <v>18408665.920000002</v>
      </c>
      <c r="Q81" s="41">
        <v>0.11459999999999999</v>
      </c>
      <c r="R81" s="41">
        <v>1.4E-3</v>
      </c>
      <c r="S81" s="3">
        <f>CurrentMtgRatesDataTable82523[[#This Row],[cum_df_pct]]*100</f>
        <v>0.13999999999999999</v>
      </c>
      <c r="T81" s="3">
        <f>CurrentMtgRatesDataTable82523[[#This Row],[pct_dq]]*100</f>
        <v>0.38139167617423636</v>
      </c>
      <c r="U81"/>
    </row>
    <row r="82" spans="3:21">
      <c r="C82" s="41" t="s">
        <v>127</v>
      </c>
      <c r="D82" s="41" t="s">
        <v>138</v>
      </c>
      <c r="E82" s="41">
        <v>12076788045.43</v>
      </c>
      <c r="F82" s="42">
        <v>42217</v>
      </c>
      <c r="G82" s="41">
        <v>56148</v>
      </c>
      <c r="H82" s="41">
        <v>100763161.41</v>
      </c>
      <c r="I82" s="41">
        <v>1041600.1</v>
      </c>
      <c r="J82" s="41">
        <v>8.3435397748932074E-3</v>
      </c>
      <c r="K82" s="41">
        <v>8.6248106374124358E-5</v>
      </c>
      <c r="L82" s="41">
        <v>9.5653000000000006</v>
      </c>
      <c r="M82" s="41">
        <v>0.10340000000000001</v>
      </c>
      <c r="N82" s="41">
        <v>4.180907212253903E-3</v>
      </c>
      <c r="O82" s="41">
        <v>1555201206.51</v>
      </c>
      <c r="P82" s="41">
        <v>19450266.02</v>
      </c>
      <c r="Q82" s="41">
        <v>0.1225</v>
      </c>
      <c r="R82" s="41">
        <v>1.5E-3</v>
      </c>
      <c r="S82" s="3">
        <f>CurrentMtgRatesDataTable82523[[#This Row],[cum_df_pct]]*100</f>
        <v>0.15</v>
      </c>
      <c r="T82" s="3">
        <f>CurrentMtgRatesDataTable82523[[#This Row],[pct_dq]]*100</f>
        <v>0.41809072122539032</v>
      </c>
      <c r="U82"/>
    </row>
    <row r="83" spans="3:21">
      <c r="C83" s="41" t="s">
        <v>142</v>
      </c>
      <c r="D83" s="41" t="s">
        <v>146</v>
      </c>
      <c r="E83" s="41">
        <v>136083939.11000001</v>
      </c>
      <c r="F83" s="42">
        <v>41791</v>
      </c>
      <c r="G83" s="41">
        <v>522</v>
      </c>
      <c r="H83" s="41">
        <v>854180.09</v>
      </c>
      <c r="I83" s="41">
        <v>0</v>
      </c>
      <c r="J83" s="41">
        <v>6.2768618808832777E-3</v>
      </c>
      <c r="K83" s="41">
        <v>0</v>
      </c>
      <c r="L83" s="41">
        <v>7.2774999999999999</v>
      </c>
      <c r="M83" s="41">
        <v>0</v>
      </c>
      <c r="N83" s="41">
        <v>1.3289279483144438E-3</v>
      </c>
      <c r="O83" s="41">
        <v>274119981.47000003</v>
      </c>
      <c r="P83" s="41">
        <v>0</v>
      </c>
      <c r="Q83" s="41">
        <v>4.8999999999999998E-3</v>
      </c>
      <c r="R83" s="41">
        <v>0</v>
      </c>
      <c r="S83" s="3">
        <f>CurrentMtgRatesDataTable82523[[#This Row],[cum_df_pct]]*100</f>
        <v>0</v>
      </c>
      <c r="T83" s="3">
        <f>CurrentMtgRatesDataTable82523[[#This Row],[pct_dq]]*100</f>
        <v>0.13289279483144439</v>
      </c>
      <c r="U83"/>
    </row>
    <row r="84" spans="3:21">
      <c r="C84" s="41" t="s">
        <v>142</v>
      </c>
      <c r="D84" s="41" t="s">
        <v>146</v>
      </c>
      <c r="E84" s="41">
        <v>58821087273.290001</v>
      </c>
      <c r="F84" s="42">
        <v>41821</v>
      </c>
      <c r="G84" s="41">
        <v>245289</v>
      </c>
      <c r="H84" s="41">
        <v>304590809.82999998</v>
      </c>
      <c r="I84" s="41">
        <v>0</v>
      </c>
      <c r="J84" s="41">
        <v>5.1782587495337118E-3</v>
      </c>
      <c r="K84" s="41">
        <v>0</v>
      </c>
      <c r="L84" s="41">
        <v>6.0399000000000003</v>
      </c>
      <c r="M84" s="41">
        <v>0</v>
      </c>
      <c r="N84" s="41">
        <v>1.8344617966454774E-3</v>
      </c>
      <c r="O84" s="41">
        <v>578710791.29999995</v>
      </c>
      <c r="P84" s="41">
        <v>0</v>
      </c>
      <c r="Q84" s="41">
        <v>1.04E-2</v>
      </c>
      <c r="R84" s="41">
        <v>0</v>
      </c>
      <c r="S84" s="3">
        <f>CurrentMtgRatesDataTable82523[[#This Row],[cum_df_pct]]*100</f>
        <v>0</v>
      </c>
      <c r="T84" s="3">
        <f>CurrentMtgRatesDataTable82523[[#This Row],[pct_dq]]*100</f>
        <v>0.18344617966454774</v>
      </c>
      <c r="U84"/>
    </row>
    <row r="85" spans="3:21">
      <c r="C85" s="41" t="s">
        <v>142</v>
      </c>
      <c r="D85" s="41" t="s">
        <v>146</v>
      </c>
      <c r="E85" s="41">
        <v>58394790404</v>
      </c>
      <c r="F85" s="42">
        <v>41852</v>
      </c>
      <c r="G85" s="41">
        <v>243984</v>
      </c>
      <c r="H85" s="41">
        <v>281706789.07999998</v>
      </c>
      <c r="I85" s="41">
        <v>0</v>
      </c>
      <c r="J85" s="41">
        <v>4.8241767310239934E-3</v>
      </c>
      <c r="K85" s="41">
        <v>0</v>
      </c>
      <c r="L85" s="41">
        <v>5.6378000000000004</v>
      </c>
      <c r="M85" s="41">
        <v>0</v>
      </c>
      <c r="N85" s="41">
        <v>2.4604233501993749E-3</v>
      </c>
      <c r="O85" s="41">
        <v>860417580.38</v>
      </c>
      <c r="P85" s="41">
        <v>0</v>
      </c>
      <c r="Q85" s="41">
        <v>1.55E-2</v>
      </c>
      <c r="R85" s="41">
        <v>0</v>
      </c>
      <c r="S85" s="3">
        <f>CurrentMtgRatesDataTable82523[[#This Row],[cum_df_pct]]*100</f>
        <v>0</v>
      </c>
      <c r="T85" s="3">
        <f>CurrentMtgRatesDataTable82523[[#This Row],[pct_dq]]*100</f>
        <v>0.2460423350199375</v>
      </c>
      <c r="U85"/>
    </row>
    <row r="86" spans="3:21">
      <c r="C86" s="41" t="s">
        <v>142</v>
      </c>
      <c r="D86" s="41" t="s">
        <v>146</v>
      </c>
      <c r="E86" s="41">
        <v>57991182492.190002</v>
      </c>
      <c r="F86" s="42">
        <v>41883</v>
      </c>
      <c r="G86" s="41">
        <v>242784</v>
      </c>
      <c r="H86" s="41">
        <v>261324557.78999999</v>
      </c>
      <c r="I86" s="41">
        <v>0</v>
      </c>
      <c r="J86" s="41">
        <v>4.5062808958102217E-3</v>
      </c>
      <c r="K86" s="41">
        <v>0</v>
      </c>
      <c r="L86" s="41">
        <v>5.2755000000000001</v>
      </c>
      <c r="M86" s="41">
        <v>0</v>
      </c>
      <c r="N86" s="41">
        <v>2.1563889839087418E-3</v>
      </c>
      <c r="O86" s="41">
        <v>1121742138.1700001</v>
      </c>
      <c r="P86" s="41">
        <v>0</v>
      </c>
      <c r="Q86" s="41">
        <v>2.0199999999999999E-2</v>
      </c>
      <c r="R86" s="41">
        <v>0</v>
      </c>
      <c r="S86" s="3">
        <f>CurrentMtgRatesDataTable82523[[#This Row],[cum_df_pct]]*100</f>
        <v>0</v>
      </c>
      <c r="T86" s="3">
        <f>CurrentMtgRatesDataTable82523[[#This Row],[pct_dq]]*100</f>
        <v>0.21563889839087419</v>
      </c>
      <c r="U86"/>
    </row>
    <row r="87" spans="3:21">
      <c r="C87" s="41" t="s">
        <v>142</v>
      </c>
      <c r="D87" s="41" t="s">
        <v>146</v>
      </c>
      <c r="E87" s="41">
        <v>57609407449.07</v>
      </c>
      <c r="F87" s="42">
        <v>41913</v>
      </c>
      <c r="G87" s="41">
        <v>241669</v>
      </c>
      <c r="H87" s="41">
        <v>261370643.83000001</v>
      </c>
      <c r="I87" s="41">
        <v>0</v>
      </c>
      <c r="J87" s="41">
        <v>4.5369437979563762E-3</v>
      </c>
      <c r="K87" s="41">
        <v>0</v>
      </c>
      <c r="L87" s="41">
        <v>5.3105000000000002</v>
      </c>
      <c r="M87" s="41">
        <v>0</v>
      </c>
      <c r="N87" s="41">
        <v>1.9359806845539852E-3</v>
      </c>
      <c r="O87" s="41">
        <v>1383112782</v>
      </c>
      <c r="P87" s="41">
        <v>0</v>
      </c>
      <c r="Q87" s="41">
        <v>2.5000000000000001E-2</v>
      </c>
      <c r="R87" s="41">
        <v>0</v>
      </c>
      <c r="S87" s="3">
        <f>CurrentMtgRatesDataTable82523[[#This Row],[cum_df_pct]]*100</f>
        <v>0</v>
      </c>
      <c r="T87" s="3">
        <f>CurrentMtgRatesDataTable82523[[#This Row],[pct_dq]]*100</f>
        <v>0.19359806845539854</v>
      </c>
      <c r="U87"/>
    </row>
    <row r="88" spans="3:21">
      <c r="C88" s="41" t="s">
        <v>142</v>
      </c>
      <c r="D88" s="41" t="s">
        <v>146</v>
      </c>
      <c r="E88" s="41">
        <v>57220588025.720001</v>
      </c>
      <c r="F88" s="42">
        <v>41944</v>
      </c>
      <c r="G88" s="41">
        <v>240504</v>
      </c>
      <c r="H88" s="41">
        <v>246878336.81</v>
      </c>
      <c r="I88" s="41">
        <v>1976293.54</v>
      </c>
      <c r="J88" s="41">
        <v>4.3145019184184369E-3</v>
      </c>
      <c r="K88" s="41">
        <v>3.4538155027551947E-5</v>
      </c>
      <c r="L88" s="41">
        <v>5.0561999999999996</v>
      </c>
      <c r="M88" s="41">
        <v>4.1399999999999999E-2</v>
      </c>
      <c r="N88" s="41">
        <v>3.5336197808578146E-3</v>
      </c>
      <c r="O88" s="41">
        <v>1629991118.8099999</v>
      </c>
      <c r="P88" s="41">
        <v>1976293.54</v>
      </c>
      <c r="Q88" s="41">
        <v>2.9399999999999999E-2</v>
      </c>
      <c r="R88" s="41">
        <v>0</v>
      </c>
      <c r="S88" s="3">
        <f>CurrentMtgRatesDataTable82523[[#This Row],[cum_df_pct]]*100</f>
        <v>0</v>
      </c>
      <c r="T88" s="3">
        <f>CurrentMtgRatesDataTable82523[[#This Row],[pct_dq]]*100</f>
        <v>0.35336197808578146</v>
      </c>
      <c r="U88"/>
    </row>
    <row r="89" spans="3:21">
      <c r="C89" s="41" t="s">
        <v>142</v>
      </c>
      <c r="D89" s="41" t="s">
        <v>146</v>
      </c>
      <c r="E89" s="41">
        <v>56863314883.339996</v>
      </c>
      <c r="F89" s="42">
        <v>41974</v>
      </c>
      <c r="G89" s="41">
        <v>239443</v>
      </c>
      <c r="H89" s="41">
        <v>286719558.75</v>
      </c>
      <c r="I89" s="41">
        <v>1990324.92</v>
      </c>
      <c r="J89" s="41">
        <v>5.0422589562045391E-3</v>
      </c>
      <c r="K89" s="41">
        <v>3.5001915102616221E-5</v>
      </c>
      <c r="L89" s="41">
        <v>5.8856000000000002</v>
      </c>
      <c r="M89" s="41">
        <v>4.19E-2</v>
      </c>
      <c r="N89" s="41">
        <v>2.6663581170225008E-3</v>
      </c>
      <c r="O89" s="41">
        <v>1916710677.5599999</v>
      </c>
      <c r="P89" s="41">
        <v>3966618.46</v>
      </c>
      <c r="Q89" s="41">
        <v>3.4599999999999999E-2</v>
      </c>
      <c r="R89" s="41">
        <v>0</v>
      </c>
      <c r="S89" s="3">
        <f>CurrentMtgRatesDataTable82523[[#This Row],[cum_df_pct]]*100</f>
        <v>0</v>
      </c>
      <c r="T89" s="3">
        <f>CurrentMtgRatesDataTable82523[[#This Row],[pct_dq]]*100</f>
        <v>0.26663581170225009</v>
      </c>
      <c r="U89"/>
    </row>
    <row r="90" spans="3:21">
      <c r="C90" s="41" t="s">
        <v>142</v>
      </c>
      <c r="D90" s="41" t="s">
        <v>146</v>
      </c>
      <c r="E90" s="41">
        <v>56446531345.739998</v>
      </c>
      <c r="F90" s="42">
        <v>42005</v>
      </c>
      <c r="G90" s="41">
        <v>238215</v>
      </c>
      <c r="H90" s="41">
        <v>221923606.05000001</v>
      </c>
      <c r="I90" s="41">
        <v>6304522.9199999999</v>
      </c>
      <c r="J90" s="41">
        <v>3.9315720693393593E-3</v>
      </c>
      <c r="K90" s="41">
        <v>1.1169017421786715E-4</v>
      </c>
      <c r="L90" s="41">
        <v>4.6170999999999998</v>
      </c>
      <c r="M90" s="41">
        <v>0.13389999999999999</v>
      </c>
      <c r="N90" s="41">
        <v>2.5257811234978538E-3</v>
      </c>
      <c r="O90" s="41">
        <v>2138634283.6099999</v>
      </c>
      <c r="P90" s="41">
        <v>10271141.380000001</v>
      </c>
      <c r="Q90" s="41">
        <v>3.8600000000000002E-2</v>
      </c>
      <c r="R90" s="41">
        <v>1E-4</v>
      </c>
      <c r="S90" s="3">
        <f>CurrentMtgRatesDataTable82523[[#This Row],[cum_df_pct]]*100</f>
        <v>0.01</v>
      </c>
      <c r="T90" s="3">
        <f>CurrentMtgRatesDataTable82523[[#This Row],[pct_dq]]*100</f>
        <v>0.25257811234978539</v>
      </c>
      <c r="U90"/>
    </row>
    <row r="91" spans="3:21">
      <c r="C91" s="41" t="s">
        <v>142</v>
      </c>
      <c r="D91" s="41" t="s">
        <v>146</v>
      </c>
      <c r="E91" s="41">
        <v>56100922846.230003</v>
      </c>
      <c r="F91" s="42">
        <v>42036</v>
      </c>
      <c r="G91" s="41">
        <v>237272</v>
      </c>
      <c r="H91" s="41">
        <v>327186283.49000001</v>
      </c>
      <c r="I91" s="41">
        <v>3130285.34</v>
      </c>
      <c r="J91" s="41">
        <v>5.8321016284670086E-3</v>
      </c>
      <c r="K91" s="41">
        <v>5.5797394787603861E-5</v>
      </c>
      <c r="L91" s="41">
        <v>6.7782999999999998</v>
      </c>
      <c r="M91" s="41">
        <v>6.6900000000000001E-2</v>
      </c>
      <c r="N91" s="41">
        <v>3.6600387544925804E-3</v>
      </c>
      <c r="O91" s="41">
        <v>2465820567.0999999</v>
      </c>
      <c r="P91" s="41">
        <v>13401426.720000001</v>
      </c>
      <c r="Q91" s="41">
        <v>4.4600000000000001E-2</v>
      </c>
      <c r="R91" s="41">
        <v>2.0000000000000001E-4</v>
      </c>
      <c r="S91" s="3">
        <f>CurrentMtgRatesDataTable82523[[#This Row],[cum_df_pct]]*100</f>
        <v>0.02</v>
      </c>
      <c r="T91" s="3">
        <f>CurrentMtgRatesDataTable82523[[#This Row],[pct_dq]]*100</f>
        <v>0.36600387544925805</v>
      </c>
      <c r="U91"/>
    </row>
    <row r="92" spans="3:21">
      <c r="C92" s="41" t="s">
        <v>142</v>
      </c>
      <c r="D92" s="41" t="s">
        <v>146</v>
      </c>
      <c r="E92" s="41">
        <v>55654651245.639999</v>
      </c>
      <c r="F92" s="42">
        <v>42064</v>
      </c>
      <c r="G92" s="41">
        <v>236008</v>
      </c>
      <c r="H92" s="41">
        <v>453794955.94999999</v>
      </c>
      <c r="I92" s="41">
        <v>2437867.06</v>
      </c>
      <c r="J92" s="41">
        <v>8.1537651533761142E-3</v>
      </c>
      <c r="K92" s="41">
        <v>4.3803473841568332E-5</v>
      </c>
      <c r="L92" s="41">
        <v>9.3574000000000002</v>
      </c>
      <c r="M92" s="41">
        <v>5.2499999999999998E-2</v>
      </c>
      <c r="N92" s="41">
        <v>2.5814967052058442E-3</v>
      </c>
      <c r="O92" s="41">
        <v>2919615523.0500002</v>
      </c>
      <c r="P92" s="41">
        <v>15839293.779999999</v>
      </c>
      <c r="Q92" s="41">
        <v>5.28E-2</v>
      </c>
      <c r="R92" s="41">
        <v>2.0000000000000001E-4</v>
      </c>
      <c r="S92" s="3">
        <f>CurrentMtgRatesDataTable82523[[#This Row],[cum_df_pct]]*100</f>
        <v>0.02</v>
      </c>
      <c r="T92" s="3">
        <f>CurrentMtgRatesDataTable82523[[#This Row],[pct_dq]]*100</f>
        <v>0.25814967052058441</v>
      </c>
      <c r="U92"/>
    </row>
    <row r="93" spans="3:21">
      <c r="C93" s="41" t="s">
        <v>142</v>
      </c>
      <c r="D93" s="41" t="s">
        <v>146</v>
      </c>
      <c r="E93" s="41">
        <v>55076550097.519997</v>
      </c>
      <c r="F93" s="42">
        <v>42095</v>
      </c>
      <c r="G93" s="41">
        <v>234244</v>
      </c>
      <c r="H93" s="41">
        <v>430616599.19999999</v>
      </c>
      <c r="I93" s="41">
        <v>2339766.88</v>
      </c>
      <c r="J93" s="41">
        <v>7.8185107534429598E-3</v>
      </c>
      <c r="K93" s="41">
        <v>4.2482088581386208E-5</v>
      </c>
      <c r="L93" s="41">
        <v>8.9890000000000008</v>
      </c>
      <c r="M93" s="41">
        <v>5.0900000000000001E-2</v>
      </c>
      <c r="N93" s="41">
        <v>2.5582869560732443E-3</v>
      </c>
      <c r="O93" s="41">
        <v>3350232122.25</v>
      </c>
      <c r="P93" s="41">
        <v>18179060.66</v>
      </c>
      <c r="Q93" s="41">
        <v>6.0600000000000001E-2</v>
      </c>
      <c r="R93" s="41">
        <v>2.9999999999999997E-4</v>
      </c>
      <c r="S93" s="3">
        <f>CurrentMtgRatesDataTable82523[[#This Row],[cum_df_pct]]*100</f>
        <v>0.03</v>
      </c>
      <c r="T93" s="3">
        <f>CurrentMtgRatesDataTable82523[[#This Row],[pct_dq]]*100</f>
        <v>0.25582869560732441</v>
      </c>
      <c r="U93"/>
    </row>
    <row r="94" spans="3:21">
      <c r="C94" s="41" t="s">
        <v>142</v>
      </c>
      <c r="D94" s="41" t="s">
        <v>146</v>
      </c>
      <c r="E94" s="41">
        <v>54525465211.260002</v>
      </c>
      <c r="F94" s="42">
        <v>42125</v>
      </c>
      <c r="G94" s="41">
        <v>232506</v>
      </c>
      <c r="H94" s="41">
        <v>456373617.68000001</v>
      </c>
      <c r="I94" s="41">
        <v>4673837.3</v>
      </c>
      <c r="J94" s="41">
        <v>8.3699169903781907E-3</v>
      </c>
      <c r="K94" s="41">
        <v>8.5718430496486815E-5</v>
      </c>
      <c r="L94" s="41">
        <v>9.5940999999999992</v>
      </c>
      <c r="M94" s="41">
        <v>0.1028</v>
      </c>
      <c r="N94" s="41">
        <v>3.1862049643571555E-3</v>
      </c>
      <c r="O94" s="41">
        <v>3806605739.9299998</v>
      </c>
      <c r="P94" s="41">
        <v>22852897.960000001</v>
      </c>
      <c r="Q94" s="41">
        <v>6.88E-2</v>
      </c>
      <c r="R94" s="41">
        <v>4.0000000000000002E-4</v>
      </c>
      <c r="S94" s="3">
        <f>CurrentMtgRatesDataTable82523[[#This Row],[cum_df_pct]]*100</f>
        <v>0.04</v>
      </c>
      <c r="T94" s="3">
        <f>CurrentMtgRatesDataTable82523[[#This Row],[pct_dq]]*100</f>
        <v>0.31862049643571555</v>
      </c>
      <c r="U94"/>
    </row>
    <row r="95" spans="3:21">
      <c r="C95" s="41" t="s">
        <v>142</v>
      </c>
      <c r="D95" s="41" t="s">
        <v>146</v>
      </c>
      <c r="E95" s="41">
        <v>53946058335.540001</v>
      </c>
      <c r="F95" s="42">
        <v>42156</v>
      </c>
      <c r="G95" s="41">
        <v>230566</v>
      </c>
      <c r="H95" s="41">
        <v>514001982.92000002</v>
      </c>
      <c r="I95" s="41">
        <v>3259332.08</v>
      </c>
      <c r="J95" s="41">
        <v>9.5280730192176481E-3</v>
      </c>
      <c r="K95" s="41">
        <v>6.0418354566838329E-5</v>
      </c>
      <c r="L95" s="41">
        <v>10.8531</v>
      </c>
      <c r="M95" s="41">
        <v>7.2400000000000006E-2</v>
      </c>
      <c r="N95" s="41">
        <v>3.0187063280342611E-3</v>
      </c>
      <c r="O95" s="41">
        <v>4320607722.8500004</v>
      </c>
      <c r="P95" s="41">
        <v>26112230.039999999</v>
      </c>
      <c r="Q95" s="41">
        <v>7.8100000000000003E-2</v>
      </c>
      <c r="R95" s="41">
        <v>4.0000000000000002E-4</v>
      </c>
      <c r="S95" s="3">
        <f>CurrentMtgRatesDataTable82523[[#This Row],[cum_df_pct]]*100</f>
        <v>0.04</v>
      </c>
      <c r="T95" s="3">
        <f>CurrentMtgRatesDataTable82523[[#This Row],[pct_dq]]*100</f>
        <v>0.30187063280342613</v>
      </c>
      <c r="U95"/>
    </row>
    <row r="96" spans="3:21">
      <c r="C96" s="41" t="s">
        <v>142</v>
      </c>
      <c r="D96" s="41" t="s">
        <v>146</v>
      </c>
      <c r="E96" s="41">
        <v>53311464837.720001</v>
      </c>
      <c r="F96" s="42">
        <v>42186</v>
      </c>
      <c r="G96" s="41">
        <v>228461</v>
      </c>
      <c r="H96" s="41">
        <v>438762624.76999998</v>
      </c>
      <c r="I96" s="41">
        <v>4238408.96</v>
      </c>
      <c r="J96" s="41">
        <v>8.2301738679586584E-3</v>
      </c>
      <c r="K96" s="41">
        <v>7.9502766860781431E-5</v>
      </c>
      <c r="L96" s="41">
        <v>9.4411000000000005</v>
      </c>
      <c r="M96" s="41">
        <v>9.5299999999999996E-2</v>
      </c>
      <c r="N96" s="41">
        <v>2.6981600274510824E-3</v>
      </c>
      <c r="O96" s="41">
        <v>4759370347.6199999</v>
      </c>
      <c r="P96" s="41">
        <v>30350639</v>
      </c>
      <c r="Q96" s="41">
        <v>8.6099999999999996E-2</v>
      </c>
      <c r="R96" s="41">
        <v>5.0000000000000001E-4</v>
      </c>
      <c r="S96" s="3">
        <f>CurrentMtgRatesDataTable82523[[#This Row],[cum_df_pct]]*100</f>
        <v>0.05</v>
      </c>
      <c r="T96" s="3">
        <f>CurrentMtgRatesDataTable82523[[#This Row],[pct_dq]]*100</f>
        <v>0.26981600274510825</v>
      </c>
      <c r="U96"/>
    </row>
    <row r="97" spans="3:21">
      <c r="C97" s="41" t="s">
        <v>142</v>
      </c>
      <c r="D97" s="41" t="s">
        <v>146</v>
      </c>
      <c r="E97" s="41">
        <v>52745720183.019997</v>
      </c>
      <c r="F97" s="42">
        <v>42217</v>
      </c>
      <c r="G97" s="41">
        <v>226527</v>
      </c>
      <c r="H97" s="41">
        <v>398108157.50999999</v>
      </c>
      <c r="I97" s="41">
        <v>4945762.76</v>
      </c>
      <c r="J97" s="41">
        <v>7.5476864497938867E-3</v>
      </c>
      <c r="K97" s="41">
        <v>9.3766143354170165E-5</v>
      </c>
      <c r="L97" s="41">
        <v>8.6905000000000001</v>
      </c>
      <c r="M97" s="41">
        <v>0.1124</v>
      </c>
      <c r="N97" s="41">
        <v>2.9093873386793075E-3</v>
      </c>
      <c r="O97" s="41">
        <v>5157478505.1300001</v>
      </c>
      <c r="P97" s="41">
        <v>35296401.759999998</v>
      </c>
      <c r="Q97" s="41">
        <v>9.3299999999999994E-2</v>
      </c>
      <c r="R97" s="41">
        <v>5.9999999999999995E-4</v>
      </c>
      <c r="S97" s="3">
        <f>CurrentMtgRatesDataTable82523[[#This Row],[cum_df_pct]]*100</f>
        <v>0.06</v>
      </c>
      <c r="T97" s="3">
        <f>CurrentMtgRatesDataTable82523[[#This Row],[pct_dq]]*100</f>
        <v>0.29093873386793073</v>
      </c>
      <c r="U97"/>
    </row>
    <row r="98" spans="3:21">
      <c r="C98" s="41" t="s">
        <v>142</v>
      </c>
      <c r="D98" s="41" t="s">
        <v>153</v>
      </c>
      <c r="E98" s="41">
        <v>19009515994.049999</v>
      </c>
      <c r="F98" s="42">
        <v>41791</v>
      </c>
      <c r="G98" s="41">
        <v>85810</v>
      </c>
      <c r="H98" s="41">
        <v>100050239.39</v>
      </c>
      <c r="I98" s="41">
        <v>0</v>
      </c>
      <c r="J98" s="41">
        <v>5.2631660596364387E-3</v>
      </c>
      <c r="K98" s="41">
        <v>0</v>
      </c>
      <c r="L98" s="41">
        <v>6.1360999999999999</v>
      </c>
      <c r="M98" s="41">
        <v>0</v>
      </c>
      <c r="N98" s="41">
        <v>2.0278039552435439E-3</v>
      </c>
      <c r="O98" s="41">
        <v>100050239.39</v>
      </c>
      <c r="P98" s="41">
        <v>0</v>
      </c>
      <c r="Q98" s="41">
        <v>5.7000000000000002E-3</v>
      </c>
      <c r="R98" s="41">
        <v>0</v>
      </c>
      <c r="S98" s="3">
        <f>CurrentMtgRatesDataTable82523[[#This Row],[cum_df_pct]]*100</f>
        <v>0</v>
      </c>
      <c r="T98" s="3">
        <f>CurrentMtgRatesDataTable82523[[#This Row],[pct_dq]]*100</f>
        <v>0.2027803955243544</v>
      </c>
      <c r="U98"/>
    </row>
    <row r="99" spans="3:21">
      <c r="C99" s="41" t="s">
        <v>142</v>
      </c>
      <c r="D99" s="41" t="s">
        <v>153</v>
      </c>
      <c r="E99" s="41">
        <v>18872505590.029999</v>
      </c>
      <c r="F99" s="42">
        <v>41821</v>
      </c>
      <c r="G99" s="41">
        <v>85388</v>
      </c>
      <c r="H99" s="41">
        <v>109861205.5</v>
      </c>
      <c r="I99" s="41">
        <v>0</v>
      </c>
      <c r="J99" s="41">
        <v>5.821230518434058E-3</v>
      </c>
      <c r="K99" s="41">
        <v>0</v>
      </c>
      <c r="L99" s="41">
        <v>6.7660999999999998</v>
      </c>
      <c r="M99" s="41">
        <v>0</v>
      </c>
      <c r="N99" s="41">
        <v>2.346565165856687E-3</v>
      </c>
      <c r="O99" s="41">
        <v>209911444.88999999</v>
      </c>
      <c r="P99" s="41">
        <v>0</v>
      </c>
      <c r="Q99" s="41">
        <v>1.21E-2</v>
      </c>
      <c r="R99" s="41">
        <v>0</v>
      </c>
      <c r="S99" s="3">
        <f>CurrentMtgRatesDataTable82523[[#This Row],[cum_df_pct]]*100</f>
        <v>0</v>
      </c>
      <c r="T99" s="3">
        <f>CurrentMtgRatesDataTable82523[[#This Row],[pct_dq]]*100</f>
        <v>0.23465651658566869</v>
      </c>
      <c r="U99"/>
    </row>
    <row r="100" spans="3:21">
      <c r="C100" s="41" t="s">
        <v>142</v>
      </c>
      <c r="D100" s="41" t="s">
        <v>153</v>
      </c>
      <c r="E100" s="41">
        <v>18726075279.77</v>
      </c>
      <c r="F100" s="42">
        <v>41852</v>
      </c>
      <c r="G100" s="41">
        <v>84916</v>
      </c>
      <c r="H100" s="41">
        <v>91362707.25</v>
      </c>
      <c r="I100" s="41">
        <v>0</v>
      </c>
      <c r="J100" s="41">
        <v>4.8789031275923694E-3</v>
      </c>
      <c r="K100" s="41">
        <v>0</v>
      </c>
      <c r="L100" s="41">
        <v>5.7000999999999999</v>
      </c>
      <c r="M100" s="41">
        <v>0</v>
      </c>
      <c r="N100" s="41">
        <v>3.163206766235297E-3</v>
      </c>
      <c r="O100" s="41">
        <v>301274152.13999999</v>
      </c>
      <c r="P100" s="41">
        <v>0</v>
      </c>
      <c r="Q100" s="41">
        <v>1.7299999999999999E-2</v>
      </c>
      <c r="R100" s="41">
        <v>0</v>
      </c>
      <c r="S100" s="3">
        <f>CurrentMtgRatesDataTable82523[[#This Row],[cum_df_pct]]*100</f>
        <v>0</v>
      </c>
      <c r="T100" s="3">
        <f>CurrentMtgRatesDataTable82523[[#This Row],[pct_dq]]*100</f>
        <v>0.3163206766235297</v>
      </c>
      <c r="U100"/>
    </row>
    <row r="101" spans="3:21">
      <c r="C101" s="41" t="s">
        <v>142</v>
      </c>
      <c r="D101" s="41" t="s">
        <v>153</v>
      </c>
      <c r="E101" s="41">
        <v>18598755669.990002</v>
      </c>
      <c r="F101" s="42">
        <v>41883</v>
      </c>
      <c r="G101" s="41">
        <v>84505</v>
      </c>
      <c r="H101" s="41">
        <v>90937901.480000004</v>
      </c>
      <c r="I101" s="41">
        <v>0</v>
      </c>
      <c r="J101" s="41">
        <v>4.8894615905263348E-3</v>
      </c>
      <c r="K101" s="41">
        <v>0</v>
      </c>
      <c r="L101" s="41">
        <v>5.7121000000000004</v>
      </c>
      <c r="M101" s="41">
        <v>0</v>
      </c>
      <c r="N101" s="41">
        <v>2.8536687287977333E-3</v>
      </c>
      <c r="O101" s="41">
        <v>392212053.62</v>
      </c>
      <c r="P101" s="41">
        <v>0</v>
      </c>
      <c r="Q101" s="41">
        <v>2.2599999999999999E-2</v>
      </c>
      <c r="R101" s="41">
        <v>0</v>
      </c>
      <c r="S101" s="3">
        <f>CurrentMtgRatesDataTable82523[[#This Row],[cum_df_pct]]*100</f>
        <v>0</v>
      </c>
      <c r="T101" s="3">
        <f>CurrentMtgRatesDataTable82523[[#This Row],[pct_dq]]*100</f>
        <v>0.2853668728797733</v>
      </c>
      <c r="U101"/>
    </row>
    <row r="102" spans="3:21">
      <c r="C102" s="41" t="s">
        <v>142</v>
      </c>
      <c r="D102" s="41" t="s">
        <v>153</v>
      </c>
      <c r="E102" s="41">
        <v>18471604608.700001</v>
      </c>
      <c r="F102" s="42">
        <v>41913</v>
      </c>
      <c r="G102" s="41">
        <v>84098</v>
      </c>
      <c r="H102" s="41">
        <v>95617146.180000007</v>
      </c>
      <c r="I102" s="41">
        <v>0</v>
      </c>
      <c r="J102" s="41">
        <v>5.1764396329144558E-3</v>
      </c>
      <c r="K102" s="41">
        <v>0</v>
      </c>
      <c r="L102" s="41">
        <v>6.0377999999999998</v>
      </c>
      <c r="M102" s="41">
        <v>0</v>
      </c>
      <c r="N102" s="41">
        <v>2.8893045623585431E-3</v>
      </c>
      <c r="O102" s="41">
        <v>487829199.80000001</v>
      </c>
      <c r="P102" s="41">
        <v>0</v>
      </c>
      <c r="Q102" s="41">
        <v>2.81E-2</v>
      </c>
      <c r="R102" s="41">
        <v>0</v>
      </c>
      <c r="S102" s="3">
        <f>CurrentMtgRatesDataTable82523[[#This Row],[cum_df_pct]]*100</f>
        <v>0</v>
      </c>
      <c r="T102" s="3">
        <f>CurrentMtgRatesDataTable82523[[#This Row],[pct_dq]]*100</f>
        <v>0.28893045623585428</v>
      </c>
      <c r="U102"/>
    </row>
    <row r="103" spans="3:21">
      <c r="C103" s="41" t="s">
        <v>142</v>
      </c>
      <c r="D103" s="41" t="s">
        <v>153</v>
      </c>
      <c r="E103" s="41">
        <v>18338774399.34</v>
      </c>
      <c r="F103" s="42">
        <v>41944</v>
      </c>
      <c r="G103" s="41">
        <v>83689</v>
      </c>
      <c r="H103" s="41">
        <v>93803148.769999996</v>
      </c>
      <c r="I103" s="41">
        <v>2686700.56</v>
      </c>
      <c r="J103" s="41">
        <v>5.1150173248969083E-3</v>
      </c>
      <c r="K103" s="41">
        <v>1.4650382307427766E-4</v>
      </c>
      <c r="L103" s="41">
        <v>5.9682000000000004</v>
      </c>
      <c r="M103" s="41">
        <v>0.17560000000000001</v>
      </c>
      <c r="N103" s="41">
        <v>4.5077459212855093E-3</v>
      </c>
      <c r="O103" s="41">
        <v>581632348.57000005</v>
      </c>
      <c r="P103" s="41">
        <v>2686700.56</v>
      </c>
      <c r="Q103" s="41">
        <v>3.3500000000000002E-2</v>
      </c>
      <c r="R103" s="41">
        <v>1E-4</v>
      </c>
      <c r="S103" s="3">
        <f>CurrentMtgRatesDataTable82523[[#This Row],[cum_df_pct]]*100</f>
        <v>0.01</v>
      </c>
      <c r="T103" s="3">
        <f>CurrentMtgRatesDataTable82523[[#This Row],[pct_dq]]*100</f>
        <v>0.45077459212855092</v>
      </c>
      <c r="U103"/>
    </row>
    <row r="104" spans="3:21">
      <c r="C104" s="41" t="s">
        <v>142</v>
      </c>
      <c r="D104" s="41" t="s">
        <v>153</v>
      </c>
      <c r="E104" s="41">
        <v>18210101075.09</v>
      </c>
      <c r="F104" s="42">
        <v>41974</v>
      </c>
      <c r="G104" s="41">
        <v>83291</v>
      </c>
      <c r="H104" s="41">
        <v>102259249.06999999</v>
      </c>
      <c r="I104" s="41">
        <v>1336320.78</v>
      </c>
      <c r="J104" s="41">
        <v>5.6155234201243779E-3</v>
      </c>
      <c r="K104" s="41">
        <v>7.3383490541300883E-5</v>
      </c>
      <c r="L104" s="41">
        <v>6.5343</v>
      </c>
      <c r="M104" s="41">
        <v>8.7999999999999995E-2</v>
      </c>
      <c r="N104" s="41">
        <v>3.8984829132613225E-3</v>
      </c>
      <c r="O104" s="41">
        <v>683891597.63999999</v>
      </c>
      <c r="P104" s="41">
        <v>4023021.34</v>
      </c>
      <c r="Q104" s="41">
        <v>3.9399999999999998E-2</v>
      </c>
      <c r="R104" s="41">
        <v>2.0000000000000001E-4</v>
      </c>
      <c r="S104" s="3">
        <f>CurrentMtgRatesDataTable82523[[#This Row],[cum_df_pct]]*100</f>
        <v>0.02</v>
      </c>
      <c r="T104" s="3">
        <f>CurrentMtgRatesDataTable82523[[#This Row],[pct_dq]]*100</f>
        <v>0.38984829132613225</v>
      </c>
      <c r="U104"/>
    </row>
    <row r="105" spans="3:21">
      <c r="C105" s="41" t="s">
        <v>142</v>
      </c>
      <c r="D105" s="41" t="s">
        <v>153</v>
      </c>
      <c r="E105" s="41">
        <v>18068250367.060001</v>
      </c>
      <c r="F105" s="42">
        <v>42005</v>
      </c>
      <c r="G105" s="41">
        <v>82858</v>
      </c>
      <c r="H105" s="41">
        <v>90600162.609999999</v>
      </c>
      <c r="I105" s="41">
        <v>2657649.6800000002</v>
      </c>
      <c r="J105" s="41">
        <v>5.0143295985743044E-3</v>
      </c>
      <c r="K105" s="41">
        <v>1.4708948713955877E-4</v>
      </c>
      <c r="L105" s="41">
        <v>5.8539000000000003</v>
      </c>
      <c r="M105" s="41">
        <v>0.17630000000000001</v>
      </c>
      <c r="N105" s="41">
        <v>3.8815466215731736E-3</v>
      </c>
      <c r="O105" s="41">
        <v>774491760.25</v>
      </c>
      <c r="P105" s="41">
        <v>6680671.0199999996</v>
      </c>
      <c r="Q105" s="41">
        <v>4.4600000000000001E-2</v>
      </c>
      <c r="R105" s="41">
        <v>2.9999999999999997E-4</v>
      </c>
      <c r="S105" s="3">
        <f>CurrentMtgRatesDataTable82523[[#This Row],[cum_df_pct]]*100</f>
        <v>0.03</v>
      </c>
      <c r="T105" s="3">
        <f>CurrentMtgRatesDataTable82523[[#This Row],[pct_dq]]*100</f>
        <v>0.38815466215731736</v>
      </c>
      <c r="U105"/>
    </row>
    <row r="106" spans="3:21">
      <c r="C106" s="41" t="s">
        <v>142</v>
      </c>
      <c r="D106" s="41" t="s">
        <v>153</v>
      </c>
      <c r="E106" s="41">
        <v>17941311488.529999</v>
      </c>
      <c r="F106" s="42">
        <v>42036</v>
      </c>
      <c r="G106" s="41">
        <v>82497</v>
      </c>
      <c r="H106" s="41">
        <v>154577961.37</v>
      </c>
      <c r="I106" s="41">
        <v>3402781.44</v>
      </c>
      <c r="J106" s="41">
        <v>8.6157559590235491E-3</v>
      </c>
      <c r="K106" s="41">
        <v>1.8966180048629225E-4</v>
      </c>
      <c r="L106" s="41">
        <v>9.8627000000000002</v>
      </c>
      <c r="M106" s="41">
        <v>0.2273</v>
      </c>
      <c r="N106" s="41">
        <v>4.7890126725089171E-3</v>
      </c>
      <c r="O106" s="41">
        <v>929069721.62</v>
      </c>
      <c r="P106" s="41">
        <v>10083452.460000001</v>
      </c>
      <c r="Q106" s="41">
        <v>5.3499999999999999E-2</v>
      </c>
      <c r="R106" s="41">
        <v>5.0000000000000001E-4</v>
      </c>
      <c r="S106" s="3">
        <f>CurrentMtgRatesDataTable82523[[#This Row],[cum_df_pct]]*100</f>
        <v>0.05</v>
      </c>
      <c r="T106" s="3">
        <f>CurrentMtgRatesDataTable82523[[#This Row],[pct_dq]]*100</f>
        <v>0.47890126725089172</v>
      </c>
      <c r="U106"/>
    </row>
    <row r="107" spans="3:21">
      <c r="C107" s="41" t="s">
        <v>142</v>
      </c>
      <c r="D107" s="41" t="s">
        <v>153</v>
      </c>
      <c r="E107" s="41">
        <v>17749637092.900002</v>
      </c>
      <c r="F107" s="42">
        <v>42064</v>
      </c>
      <c r="G107" s="41">
        <v>81896</v>
      </c>
      <c r="H107" s="41">
        <v>182922862.88</v>
      </c>
      <c r="I107" s="41">
        <v>3045754.6</v>
      </c>
      <c r="J107" s="41">
        <v>1.0305724107067555E-2</v>
      </c>
      <c r="K107" s="41">
        <v>1.7159531679767845E-4</v>
      </c>
      <c r="L107" s="41">
        <v>11.689399999999999</v>
      </c>
      <c r="M107" s="41">
        <v>0.20569999999999999</v>
      </c>
      <c r="N107" s="41">
        <v>3.1912203817765755E-3</v>
      </c>
      <c r="O107" s="41">
        <v>1111992584.5</v>
      </c>
      <c r="P107" s="41">
        <v>13129207.060000001</v>
      </c>
      <c r="Q107" s="41">
        <v>6.4100000000000004E-2</v>
      </c>
      <c r="R107" s="41">
        <v>6.9999999999999999E-4</v>
      </c>
      <c r="S107" s="3">
        <f>CurrentMtgRatesDataTable82523[[#This Row],[cum_df_pct]]*100</f>
        <v>6.9999999999999993E-2</v>
      </c>
      <c r="T107" s="3">
        <f>CurrentMtgRatesDataTable82523[[#This Row],[pct_dq]]*100</f>
        <v>0.31912203817765755</v>
      </c>
      <c r="U107"/>
    </row>
    <row r="108" spans="3:21">
      <c r="C108" s="41" t="s">
        <v>142</v>
      </c>
      <c r="D108" s="41" t="s">
        <v>153</v>
      </c>
      <c r="E108" s="41">
        <v>17526676590.740002</v>
      </c>
      <c r="F108" s="42">
        <v>42095</v>
      </c>
      <c r="G108" s="41">
        <v>81163</v>
      </c>
      <c r="H108" s="41">
        <v>172691786.63</v>
      </c>
      <c r="I108" s="41">
        <v>1156189.08</v>
      </c>
      <c r="J108" s="41">
        <v>9.8530822849347E-3</v>
      </c>
      <c r="K108" s="41">
        <v>6.5967388284602564E-5</v>
      </c>
      <c r="L108" s="41">
        <v>11.2035</v>
      </c>
      <c r="M108" s="41">
        <v>7.9100000000000004E-2</v>
      </c>
      <c r="N108" s="41">
        <v>3.3043007777411619E-3</v>
      </c>
      <c r="O108" s="41">
        <v>1284684371.1300001</v>
      </c>
      <c r="P108" s="41">
        <v>14285396.140000001</v>
      </c>
      <c r="Q108" s="41">
        <v>7.3999999999999996E-2</v>
      </c>
      <c r="R108" s="41">
        <v>8.0000000000000004E-4</v>
      </c>
      <c r="S108" s="3">
        <f>CurrentMtgRatesDataTable82523[[#This Row],[cum_df_pct]]*100</f>
        <v>0.08</v>
      </c>
      <c r="T108" s="3">
        <f>CurrentMtgRatesDataTable82523[[#This Row],[pct_dq]]*100</f>
        <v>0.3304300777741162</v>
      </c>
      <c r="U108"/>
    </row>
    <row r="109" spans="3:21">
      <c r="C109" s="41" t="s">
        <v>142</v>
      </c>
      <c r="D109" s="41" t="s">
        <v>153</v>
      </c>
      <c r="E109" s="41">
        <v>17317675506.950001</v>
      </c>
      <c r="F109" s="42">
        <v>42125</v>
      </c>
      <c r="G109" s="41">
        <v>80455</v>
      </c>
      <c r="H109" s="41">
        <v>203359103.74000001</v>
      </c>
      <c r="I109" s="41">
        <v>2352301.38</v>
      </c>
      <c r="J109" s="41">
        <v>1.1742863738172429E-2</v>
      </c>
      <c r="K109" s="41">
        <v>1.358323973131362E-4</v>
      </c>
      <c r="L109" s="41">
        <v>13.215999999999999</v>
      </c>
      <c r="M109" s="41">
        <v>0.1628</v>
      </c>
      <c r="N109" s="41">
        <v>4.7524845142738834E-3</v>
      </c>
      <c r="O109" s="41">
        <v>1488043474.8699999</v>
      </c>
      <c r="P109" s="41">
        <v>16637697.52</v>
      </c>
      <c r="Q109" s="41">
        <v>8.5800000000000001E-2</v>
      </c>
      <c r="R109" s="41">
        <v>8.9999999999999998E-4</v>
      </c>
      <c r="S109" s="3">
        <f>CurrentMtgRatesDataTable82523[[#This Row],[cum_df_pct]]*100</f>
        <v>0.09</v>
      </c>
      <c r="T109" s="3">
        <f>CurrentMtgRatesDataTable82523[[#This Row],[pct_dq]]*100</f>
        <v>0.47524845142738836</v>
      </c>
      <c r="U109"/>
    </row>
    <row r="110" spans="3:21">
      <c r="C110" s="41" t="s">
        <v>142</v>
      </c>
      <c r="D110" s="41" t="s">
        <v>153</v>
      </c>
      <c r="E110" s="41">
        <v>17079017721.73</v>
      </c>
      <c r="F110" s="42">
        <v>42156</v>
      </c>
      <c r="G110" s="41">
        <v>79587</v>
      </c>
      <c r="H110" s="41">
        <v>200047470.58000001</v>
      </c>
      <c r="I110" s="41">
        <v>3850668.88</v>
      </c>
      <c r="J110" s="41">
        <v>1.1713054804403378E-2</v>
      </c>
      <c r="K110" s="41">
        <v>2.2546196407424013E-4</v>
      </c>
      <c r="L110" s="41">
        <v>13.1846</v>
      </c>
      <c r="M110" s="41">
        <v>0.2702</v>
      </c>
      <c r="N110" s="41">
        <v>4.5700261983271633E-3</v>
      </c>
      <c r="O110" s="41">
        <v>1688090945.45</v>
      </c>
      <c r="P110" s="41">
        <v>20488366.399999999</v>
      </c>
      <c r="Q110" s="41">
        <v>9.7299999999999998E-2</v>
      </c>
      <c r="R110" s="41">
        <v>1.1000000000000001E-3</v>
      </c>
      <c r="S110" s="3">
        <f>CurrentMtgRatesDataTable82523[[#This Row],[cum_df_pct]]*100</f>
        <v>0.11</v>
      </c>
      <c r="T110" s="3">
        <f>CurrentMtgRatesDataTable82523[[#This Row],[pct_dq]]*100</f>
        <v>0.45700261983271634</v>
      </c>
      <c r="U110"/>
    </row>
    <row r="111" spans="3:21">
      <c r="C111" s="41" t="s">
        <v>142</v>
      </c>
      <c r="D111" s="41" t="s">
        <v>153</v>
      </c>
      <c r="E111" s="41">
        <v>16840360413.809999</v>
      </c>
      <c r="F111" s="42">
        <v>42186</v>
      </c>
      <c r="G111" s="41">
        <v>78678</v>
      </c>
      <c r="H111" s="41">
        <v>192019209.65000001</v>
      </c>
      <c r="I111" s="41">
        <v>2479619.36</v>
      </c>
      <c r="J111" s="41">
        <v>1.1402321858416636E-2</v>
      </c>
      <c r="K111" s="41">
        <v>1.4724265390226321E-4</v>
      </c>
      <c r="L111" s="41">
        <v>12.856400000000001</v>
      </c>
      <c r="M111" s="41">
        <v>0.17649999999999999</v>
      </c>
      <c r="N111" s="41">
        <v>4.4452311364198216E-3</v>
      </c>
      <c r="O111" s="41">
        <v>1880110155.0999999</v>
      </c>
      <c r="P111" s="41">
        <v>22967985.760000002</v>
      </c>
      <c r="Q111" s="41">
        <v>0.1084</v>
      </c>
      <c r="R111" s="41">
        <v>1.2999999999999999E-3</v>
      </c>
      <c r="S111" s="3">
        <f>CurrentMtgRatesDataTable82523[[#This Row],[cum_df_pct]]*100</f>
        <v>0.13</v>
      </c>
      <c r="T111" s="3">
        <f>CurrentMtgRatesDataTable82523[[#This Row],[pct_dq]]*100</f>
        <v>0.44452311364198216</v>
      </c>
      <c r="U111"/>
    </row>
    <row r="112" spans="3:21">
      <c r="C112" s="41" t="s">
        <v>142</v>
      </c>
      <c r="D112" s="41" t="s">
        <v>153</v>
      </c>
      <c r="E112" s="41">
        <v>16611645081.459999</v>
      </c>
      <c r="F112" s="42">
        <v>42217</v>
      </c>
      <c r="G112" s="41">
        <v>77814</v>
      </c>
      <c r="H112" s="41">
        <v>151775421.55000001</v>
      </c>
      <c r="I112" s="41">
        <v>3331026.86</v>
      </c>
      <c r="J112" s="41">
        <v>9.1366881970885716E-3</v>
      </c>
      <c r="K112" s="41">
        <v>2.0052359917788681E-4</v>
      </c>
      <c r="L112" s="41">
        <v>10.429500000000001</v>
      </c>
      <c r="M112" s="41">
        <v>0.24030000000000001</v>
      </c>
      <c r="N112" s="41">
        <v>4.554692665836209E-3</v>
      </c>
      <c r="O112" s="41">
        <v>2031885576.6500001</v>
      </c>
      <c r="P112" s="41">
        <v>26299012.620000001</v>
      </c>
      <c r="Q112" s="41">
        <v>0.1171</v>
      </c>
      <c r="R112" s="41">
        <v>1.5E-3</v>
      </c>
      <c r="S112" s="3">
        <f>CurrentMtgRatesDataTable82523[[#This Row],[cum_df_pct]]*100</f>
        <v>0.15</v>
      </c>
      <c r="T112" s="3">
        <f>CurrentMtgRatesDataTable82523[[#This Row],[pct_dq]]*100</f>
        <v>0.45546926658362091</v>
      </c>
      <c r="U112"/>
    </row>
    <row r="113" spans="3:21">
      <c r="C113" s="41" t="s">
        <v>157</v>
      </c>
      <c r="D113" s="41" t="s">
        <v>161</v>
      </c>
      <c r="E113" s="41">
        <v>35527112178.290001</v>
      </c>
      <c r="F113" s="42">
        <v>41944</v>
      </c>
      <c r="G113" s="41">
        <v>153851</v>
      </c>
      <c r="H113" s="41">
        <v>290976942.33999997</v>
      </c>
      <c r="I113" s="41">
        <v>0</v>
      </c>
      <c r="J113" s="41">
        <v>8.1902784802703708E-3</v>
      </c>
      <c r="K113" s="41">
        <v>0</v>
      </c>
      <c r="L113" s="41">
        <v>9.3973999999999993</v>
      </c>
      <c r="M113" s="41">
        <v>0</v>
      </c>
      <c r="N113" s="41">
        <v>3.0018273591955404E-3</v>
      </c>
      <c r="O113" s="41">
        <v>532820777.5</v>
      </c>
      <c r="P113" s="41">
        <v>0</v>
      </c>
      <c r="Q113" s="41">
        <v>1.6299999999999999E-2</v>
      </c>
      <c r="R113" s="41">
        <v>0</v>
      </c>
      <c r="S113" s="3">
        <f>CurrentMtgRatesDataTable82523[[#This Row],[cum_df_pct]]*100</f>
        <v>0</v>
      </c>
      <c r="T113" s="3">
        <f>CurrentMtgRatesDataTable82523[[#This Row],[pct_dq]]*100</f>
        <v>0.30018273591955402</v>
      </c>
      <c r="U113"/>
    </row>
    <row r="114" spans="3:21">
      <c r="C114" s="41" t="s">
        <v>157</v>
      </c>
      <c r="D114" s="41" t="s">
        <v>161</v>
      </c>
      <c r="E114" s="41">
        <v>35170933795.309998</v>
      </c>
      <c r="F114" s="42">
        <v>41974</v>
      </c>
      <c r="G114" s="41">
        <v>152775</v>
      </c>
      <c r="H114" s="41">
        <v>341276516.49000001</v>
      </c>
      <c r="I114" s="41">
        <v>0</v>
      </c>
      <c r="J114" s="41">
        <v>9.7033680844581041E-3</v>
      </c>
      <c r="K114" s="41">
        <v>0</v>
      </c>
      <c r="L114" s="41">
        <v>11.042199999999999</v>
      </c>
      <c r="M114" s="41">
        <v>0</v>
      </c>
      <c r="N114" s="41">
        <v>2.1421829960069708E-3</v>
      </c>
      <c r="O114" s="41">
        <v>874097293.99000001</v>
      </c>
      <c r="P114" s="41">
        <v>0</v>
      </c>
      <c r="Q114" s="41">
        <v>2.6800000000000001E-2</v>
      </c>
      <c r="R114" s="41">
        <v>0</v>
      </c>
      <c r="S114" s="3">
        <f>CurrentMtgRatesDataTable82523[[#This Row],[cum_df_pct]]*100</f>
        <v>0</v>
      </c>
      <c r="T114" s="3">
        <f>CurrentMtgRatesDataTable82523[[#This Row],[pct_dq]]*100</f>
        <v>0.21421829960069708</v>
      </c>
      <c r="U114"/>
    </row>
    <row r="115" spans="3:21">
      <c r="C115" s="41" t="s">
        <v>157</v>
      </c>
      <c r="D115" s="41" t="s">
        <v>161</v>
      </c>
      <c r="E115" s="41">
        <v>34751969699.669998</v>
      </c>
      <c r="F115" s="42">
        <v>42005</v>
      </c>
      <c r="G115" s="41">
        <v>151521</v>
      </c>
      <c r="H115" s="41">
        <v>283053256.07999998</v>
      </c>
      <c r="I115" s="41">
        <v>0</v>
      </c>
      <c r="J115" s="41">
        <v>8.1449557687283507E-3</v>
      </c>
      <c r="K115" s="41">
        <v>0</v>
      </c>
      <c r="L115" s="41">
        <v>9.3476999999999997</v>
      </c>
      <c r="M115" s="41">
        <v>0</v>
      </c>
      <c r="N115" s="41">
        <v>2.587924726777545E-3</v>
      </c>
      <c r="O115" s="41">
        <v>1157150550.0699999</v>
      </c>
      <c r="P115" s="41">
        <v>0</v>
      </c>
      <c r="Q115" s="41">
        <v>3.56E-2</v>
      </c>
      <c r="R115" s="41">
        <v>0</v>
      </c>
      <c r="S115" s="3">
        <f>CurrentMtgRatesDataTable82523[[#This Row],[cum_df_pct]]*100</f>
        <v>0</v>
      </c>
      <c r="T115" s="3">
        <f>CurrentMtgRatesDataTable82523[[#This Row],[pct_dq]]*100</f>
        <v>0.25879247267775451</v>
      </c>
      <c r="U115"/>
    </row>
    <row r="116" spans="3:21">
      <c r="C116" s="41" t="s">
        <v>157</v>
      </c>
      <c r="D116" s="41" t="s">
        <v>161</v>
      </c>
      <c r="E116" s="41">
        <v>34395371767.400002</v>
      </c>
      <c r="F116" s="42">
        <v>42036</v>
      </c>
      <c r="G116" s="41">
        <v>150483</v>
      </c>
      <c r="H116" s="41">
        <v>536975003.16999996</v>
      </c>
      <c r="I116" s="41">
        <v>0</v>
      </c>
      <c r="J116" s="41">
        <v>1.561183890673762E-2</v>
      </c>
      <c r="K116" s="41">
        <v>0</v>
      </c>
      <c r="L116" s="41">
        <v>17.206399999999999</v>
      </c>
      <c r="M116" s="41">
        <v>0</v>
      </c>
      <c r="N116" s="41">
        <v>3.6591657761725024E-3</v>
      </c>
      <c r="O116" s="41">
        <v>1694125553.24</v>
      </c>
      <c r="P116" s="41">
        <v>0</v>
      </c>
      <c r="Q116" s="41">
        <v>5.21E-2</v>
      </c>
      <c r="R116" s="41">
        <v>0</v>
      </c>
      <c r="S116" s="3">
        <f>CurrentMtgRatesDataTable82523[[#This Row],[cum_df_pct]]*100</f>
        <v>0</v>
      </c>
      <c r="T116" s="3">
        <f>CurrentMtgRatesDataTable82523[[#This Row],[pct_dq]]*100</f>
        <v>0.36591657761725022</v>
      </c>
      <c r="U116"/>
    </row>
    <row r="117" spans="3:21">
      <c r="C117" s="41" t="s">
        <v>157</v>
      </c>
      <c r="D117" s="41" t="s">
        <v>161</v>
      </c>
      <c r="E117" s="41">
        <v>33790528741.790001</v>
      </c>
      <c r="F117" s="42">
        <v>42064</v>
      </c>
      <c r="G117" s="41">
        <v>148614</v>
      </c>
      <c r="H117" s="41">
        <v>600482948.01999998</v>
      </c>
      <c r="I117" s="41">
        <v>920447.18</v>
      </c>
      <c r="J117" s="41">
        <v>1.7770747318237742E-2</v>
      </c>
      <c r="K117" s="41">
        <v>2.72397980816929E-5</v>
      </c>
      <c r="L117" s="41">
        <v>19.359200000000001</v>
      </c>
      <c r="M117" s="41">
        <v>3.2599999999999997E-2</v>
      </c>
      <c r="N117" s="41">
        <v>2.4114027969981858E-3</v>
      </c>
      <c r="O117" s="41">
        <v>2294608501.2600002</v>
      </c>
      <c r="P117" s="41">
        <v>920447.18</v>
      </c>
      <c r="Q117" s="41">
        <v>7.0599999999999996E-2</v>
      </c>
      <c r="R117" s="41">
        <v>0</v>
      </c>
      <c r="S117" s="3">
        <f>CurrentMtgRatesDataTable82523[[#This Row],[cum_df_pct]]*100</f>
        <v>0</v>
      </c>
      <c r="T117" s="3">
        <f>CurrentMtgRatesDataTable82523[[#This Row],[pct_dq]]*100</f>
        <v>0.24114027969981858</v>
      </c>
      <c r="U117"/>
    </row>
    <row r="118" spans="3:21">
      <c r="C118" s="41" t="s">
        <v>157</v>
      </c>
      <c r="D118" s="41" t="s">
        <v>161</v>
      </c>
      <c r="E118" s="41">
        <v>33117663494.07</v>
      </c>
      <c r="F118" s="42">
        <v>42095</v>
      </c>
      <c r="G118" s="41">
        <v>146459</v>
      </c>
      <c r="H118" s="41">
        <v>454723533.64999998</v>
      </c>
      <c r="I118" s="41">
        <v>2268387.7400000002</v>
      </c>
      <c r="J118" s="41">
        <v>1.3730543935607719E-2</v>
      </c>
      <c r="K118" s="41">
        <v>6.849480007568089E-5</v>
      </c>
      <c r="L118" s="41">
        <v>15.2875</v>
      </c>
      <c r="M118" s="41">
        <v>8.2100000000000006E-2</v>
      </c>
      <c r="N118" s="41">
        <v>2.6409779927759999E-3</v>
      </c>
      <c r="O118" s="41">
        <v>2749332034.9099998</v>
      </c>
      <c r="P118" s="41">
        <v>3188834.92</v>
      </c>
      <c r="Q118" s="41">
        <v>8.4599999999999995E-2</v>
      </c>
      <c r="R118" s="41">
        <v>0</v>
      </c>
      <c r="S118" s="3">
        <f>CurrentMtgRatesDataTable82523[[#This Row],[cum_df_pct]]*100</f>
        <v>0</v>
      </c>
      <c r="T118" s="3">
        <f>CurrentMtgRatesDataTable82523[[#This Row],[pct_dq]]*100</f>
        <v>0.26409779927760002</v>
      </c>
      <c r="U118"/>
    </row>
    <row r="119" spans="3:21">
      <c r="C119" s="3" t="s">
        <v>157</v>
      </c>
      <c r="D119" s="3" t="s">
        <v>161</v>
      </c>
      <c r="E119" s="3">
        <v>32592673756.169998</v>
      </c>
      <c r="F119" s="100">
        <v>42125</v>
      </c>
      <c r="G119" s="3">
        <v>144750</v>
      </c>
      <c r="H119" s="3">
        <v>386299077.5</v>
      </c>
      <c r="I119" s="3">
        <v>1891446.56</v>
      </c>
      <c r="J119" s="3">
        <v>1.185232854444386E-2</v>
      </c>
      <c r="K119" s="3">
        <v>5.8032874938403516E-5</v>
      </c>
      <c r="L119" s="3">
        <v>13.331300000000001</v>
      </c>
      <c r="M119" s="3">
        <v>6.9599999999999995E-2</v>
      </c>
      <c r="N119" s="3">
        <v>3.1398009726227947E-3</v>
      </c>
      <c r="O119" s="3">
        <v>3135631112.4099998</v>
      </c>
      <c r="P119" s="3">
        <v>5080281.4800000004</v>
      </c>
      <c r="Q119" s="3">
        <v>9.64E-2</v>
      </c>
      <c r="R119" s="3">
        <v>1E-4</v>
      </c>
      <c r="S119" s="96">
        <f>CurrentMtgRatesDataTable82523[[#This Row],[cum_df_pct]]*100</f>
        <v>0.01</v>
      </c>
      <c r="T119" s="96">
        <f>CurrentMtgRatesDataTable82523[[#This Row],[pct_dq]]*100</f>
        <v>0.31398009726227949</v>
      </c>
      <c r="U119"/>
    </row>
    <row r="120" spans="3:21">
      <c r="C120" s="3" t="s">
        <v>157</v>
      </c>
      <c r="D120" s="3" t="s">
        <v>161</v>
      </c>
      <c r="E120" s="3">
        <v>32136769325.73</v>
      </c>
      <c r="F120" s="100">
        <v>42156</v>
      </c>
      <c r="G120" s="3">
        <v>143204</v>
      </c>
      <c r="H120" s="3">
        <v>401427636.81999999</v>
      </c>
      <c r="I120" s="3">
        <v>867378.9</v>
      </c>
      <c r="J120" s="3">
        <v>1.2491225634762258E-2</v>
      </c>
      <c r="K120" s="3">
        <v>2.6990233249909825E-5</v>
      </c>
      <c r="L120" s="3">
        <v>14.001300000000001</v>
      </c>
      <c r="M120" s="3">
        <v>3.2300000000000002E-2</v>
      </c>
      <c r="N120" s="3">
        <v>2.931789308845213E-3</v>
      </c>
      <c r="O120" s="3">
        <v>3537058749.23</v>
      </c>
      <c r="P120" s="3">
        <v>5947660.3799999999</v>
      </c>
      <c r="Q120" s="3">
        <v>0.10879999999999999</v>
      </c>
      <c r="R120" s="3">
        <v>1E-4</v>
      </c>
      <c r="S120" s="96">
        <f>CurrentMtgRatesDataTable82523[[#This Row],[cum_df_pct]]*100</f>
        <v>0.01</v>
      </c>
      <c r="T120" s="96">
        <f>CurrentMtgRatesDataTable82523[[#This Row],[pct_dq]]*100</f>
        <v>0.29317893088452129</v>
      </c>
      <c r="U120"/>
    </row>
    <row r="121" spans="3:21">
      <c r="C121" s="3" t="s">
        <v>157</v>
      </c>
      <c r="D121" s="3" t="s">
        <v>161</v>
      </c>
      <c r="E121" s="3">
        <v>31663303921.349998</v>
      </c>
      <c r="F121" s="100">
        <v>42186</v>
      </c>
      <c r="G121" s="3">
        <v>141566</v>
      </c>
      <c r="H121" s="3">
        <v>342941414.44999999</v>
      </c>
      <c r="I121" s="3">
        <v>1711964.48</v>
      </c>
      <c r="J121" s="3">
        <v>1.0830879029612597E-2</v>
      </c>
      <c r="K121" s="3">
        <v>5.4067777773678662E-5</v>
      </c>
      <c r="L121" s="3">
        <v>12.2501</v>
      </c>
      <c r="M121" s="3">
        <v>6.4799999999999996E-2</v>
      </c>
      <c r="N121" s="3">
        <v>2.9469265605312628E-3</v>
      </c>
      <c r="O121" s="3">
        <v>3880000163.6799998</v>
      </c>
      <c r="P121" s="3">
        <v>7659624.8600000003</v>
      </c>
      <c r="Q121" s="3">
        <v>0.1193</v>
      </c>
      <c r="R121" s="3">
        <v>2.0000000000000001E-4</v>
      </c>
      <c r="S121" s="96">
        <f>CurrentMtgRatesDataTable82523[[#This Row],[cum_df_pct]]*100</f>
        <v>0.02</v>
      </c>
      <c r="T121" s="96">
        <f>CurrentMtgRatesDataTable82523[[#This Row],[pct_dq]]*100</f>
        <v>0.29469265605312628</v>
      </c>
      <c r="U121"/>
    </row>
    <row r="122" spans="3:21">
      <c r="C122" s="3" t="s">
        <v>157</v>
      </c>
      <c r="D122" s="3" t="s">
        <v>161</v>
      </c>
      <c r="E122" s="3">
        <v>31248692574.98</v>
      </c>
      <c r="F122" s="100">
        <v>42217</v>
      </c>
      <c r="G122" s="3">
        <v>140107</v>
      </c>
      <c r="H122" s="3">
        <v>280125183.30000001</v>
      </c>
      <c r="I122" s="3">
        <v>1955302.48</v>
      </c>
      <c r="J122" s="3">
        <v>8.9643809137886551E-3</v>
      </c>
      <c r="K122" s="3">
        <v>6.2572297234782831E-5</v>
      </c>
      <c r="L122" s="3">
        <v>10.2424</v>
      </c>
      <c r="M122" s="3">
        <v>7.4999999999999997E-2</v>
      </c>
      <c r="N122" s="3">
        <v>3.3517779423469858E-3</v>
      </c>
      <c r="O122" s="3">
        <v>4160125346.98</v>
      </c>
      <c r="P122" s="3">
        <v>9614927.3399999999</v>
      </c>
      <c r="Q122" s="3">
        <v>0.128</v>
      </c>
      <c r="R122" s="3">
        <v>2.0000000000000001E-4</v>
      </c>
      <c r="S122" s="96">
        <f>CurrentMtgRatesDataTable82523[[#This Row],[cum_df_pct]]*100</f>
        <v>0.02</v>
      </c>
      <c r="T122" s="96">
        <f>CurrentMtgRatesDataTable82523[[#This Row],[pct_dq]]*100</f>
        <v>0.33517779423469857</v>
      </c>
      <c r="U122"/>
    </row>
    <row r="123" spans="3:21">
      <c r="C123" s="3" t="s">
        <v>157</v>
      </c>
      <c r="D123" s="3" t="s">
        <v>168</v>
      </c>
      <c r="E123" s="3">
        <v>17873514986.919998</v>
      </c>
      <c r="F123" s="100">
        <v>41944</v>
      </c>
      <c r="G123" s="3">
        <v>80187</v>
      </c>
      <c r="H123" s="3">
        <v>144439390.81</v>
      </c>
      <c r="I123" s="3">
        <v>0</v>
      </c>
      <c r="J123" s="3">
        <v>8.0811967268722487E-3</v>
      </c>
      <c r="K123" s="3">
        <v>0</v>
      </c>
      <c r="L123" s="3">
        <v>9.2777999999999992</v>
      </c>
      <c r="M123" s="3">
        <v>0</v>
      </c>
      <c r="N123" s="3">
        <v>3.2164451056253401E-3</v>
      </c>
      <c r="O123" s="3">
        <v>264231880.72</v>
      </c>
      <c r="P123" s="3">
        <v>0</v>
      </c>
      <c r="Q123" s="3">
        <v>1.6199999999999999E-2</v>
      </c>
      <c r="R123" s="3">
        <v>0</v>
      </c>
      <c r="S123" s="96">
        <f>CurrentMtgRatesDataTable82523[[#This Row],[cum_df_pct]]*100</f>
        <v>0</v>
      </c>
      <c r="T123" s="96">
        <f>CurrentMtgRatesDataTable82523[[#This Row],[pct_dq]]*100</f>
        <v>0.32164451056253401</v>
      </c>
      <c r="U123"/>
    </row>
    <row r="124" spans="3:21">
      <c r="C124" s="3" t="s">
        <v>157</v>
      </c>
      <c r="D124" s="3" t="s">
        <v>168</v>
      </c>
      <c r="E124" s="3">
        <v>17700313229.25</v>
      </c>
      <c r="F124" s="100">
        <v>41974</v>
      </c>
      <c r="G124" s="3">
        <v>79643</v>
      </c>
      <c r="H124" s="3">
        <v>150778485.43000001</v>
      </c>
      <c r="I124" s="3">
        <v>0</v>
      </c>
      <c r="J124" s="3">
        <v>8.5184077522897483E-3</v>
      </c>
      <c r="K124" s="3">
        <v>0</v>
      </c>
      <c r="L124" s="3">
        <v>9.7565000000000008</v>
      </c>
      <c r="M124" s="3">
        <v>0</v>
      </c>
      <c r="N124" s="3">
        <v>2.5711459170560881E-3</v>
      </c>
      <c r="O124" s="3">
        <v>415010366.14999998</v>
      </c>
      <c r="P124" s="3">
        <v>0</v>
      </c>
      <c r="Q124" s="3">
        <v>2.5499999999999998E-2</v>
      </c>
      <c r="R124" s="3">
        <v>0</v>
      </c>
      <c r="S124" s="96">
        <f>CurrentMtgRatesDataTable82523[[#This Row],[cum_df_pct]]*100</f>
        <v>0</v>
      </c>
      <c r="T124" s="96">
        <f>CurrentMtgRatesDataTable82523[[#This Row],[pct_dq]]*100</f>
        <v>0.2571145917056088</v>
      </c>
      <c r="U124"/>
    </row>
    <row r="125" spans="3:21">
      <c r="C125" s="3" t="s">
        <v>157</v>
      </c>
      <c r="D125" s="3" t="s">
        <v>168</v>
      </c>
      <c r="E125" s="3">
        <v>17513118566.099998</v>
      </c>
      <c r="F125" s="100">
        <v>42005</v>
      </c>
      <c r="G125" s="3">
        <v>79070</v>
      </c>
      <c r="H125" s="3">
        <v>132517253.79000001</v>
      </c>
      <c r="I125" s="3">
        <v>0</v>
      </c>
      <c r="J125" s="3">
        <v>7.5667422275386498E-3</v>
      </c>
      <c r="K125" s="3">
        <v>0</v>
      </c>
      <c r="L125" s="3">
        <v>8.7114999999999991</v>
      </c>
      <c r="M125" s="3">
        <v>0</v>
      </c>
      <c r="N125" s="3">
        <v>3.2286578182284167E-3</v>
      </c>
      <c r="O125" s="3">
        <v>547527619.94000006</v>
      </c>
      <c r="P125" s="3">
        <v>0</v>
      </c>
      <c r="Q125" s="3">
        <v>3.3599999999999998E-2</v>
      </c>
      <c r="R125" s="3">
        <v>0</v>
      </c>
      <c r="S125" s="96">
        <f>CurrentMtgRatesDataTable82523[[#This Row],[cum_df_pct]]*100</f>
        <v>0</v>
      </c>
      <c r="T125" s="96">
        <f>CurrentMtgRatesDataTable82523[[#This Row],[pct_dq]]*100</f>
        <v>0.32286578182284165</v>
      </c>
      <c r="U125"/>
    </row>
    <row r="126" spans="3:21">
      <c r="C126" s="3" t="s">
        <v>157</v>
      </c>
      <c r="D126" s="3" t="s">
        <v>168</v>
      </c>
      <c r="E126" s="3">
        <v>17348665474.91</v>
      </c>
      <c r="F126" s="100">
        <v>42036</v>
      </c>
      <c r="G126" s="3">
        <v>78570</v>
      </c>
      <c r="H126" s="3">
        <v>260342935.68000001</v>
      </c>
      <c r="I126" s="3">
        <v>0</v>
      </c>
      <c r="J126" s="3">
        <v>1.5006510792228565E-2</v>
      </c>
      <c r="K126" s="3">
        <v>0</v>
      </c>
      <c r="L126" s="3">
        <v>16.593399999999999</v>
      </c>
      <c r="M126" s="3">
        <v>0</v>
      </c>
      <c r="N126" s="3">
        <v>4.014035593153384E-3</v>
      </c>
      <c r="O126" s="3">
        <v>807870555.62</v>
      </c>
      <c r="P126" s="3">
        <v>0</v>
      </c>
      <c r="Q126" s="3">
        <v>4.9700000000000001E-2</v>
      </c>
      <c r="R126" s="3">
        <v>0</v>
      </c>
      <c r="S126" s="96">
        <f>CurrentMtgRatesDataTable82523[[#This Row],[cum_df_pct]]*100</f>
        <v>0</v>
      </c>
      <c r="T126" s="96">
        <f>CurrentMtgRatesDataTable82523[[#This Row],[pct_dq]]*100</f>
        <v>0.40140355931533839</v>
      </c>
      <c r="U126"/>
    </row>
    <row r="127" spans="3:21">
      <c r="C127" s="3" t="s">
        <v>157</v>
      </c>
      <c r="D127" s="3" t="s">
        <v>168</v>
      </c>
      <c r="E127" s="3">
        <v>17057476557.84</v>
      </c>
      <c r="F127" s="100">
        <v>42064</v>
      </c>
      <c r="G127" s="3">
        <v>77610</v>
      </c>
      <c r="H127" s="3">
        <v>291668217.42000002</v>
      </c>
      <c r="I127" s="3">
        <v>870585.7</v>
      </c>
      <c r="J127" s="3">
        <v>1.7099142210806249E-2</v>
      </c>
      <c r="K127" s="3">
        <v>5.1038364147706199E-5</v>
      </c>
      <c r="L127" s="3">
        <v>18.6951</v>
      </c>
      <c r="M127" s="3">
        <v>6.1199999999999997E-2</v>
      </c>
      <c r="N127" s="3">
        <v>2.6874709007839864E-3</v>
      </c>
      <c r="O127" s="3">
        <v>1099538773.04</v>
      </c>
      <c r="P127" s="3">
        <v>870585.7</v>
      </c>
      <c r="Q127" s="3">
        <v>6.7599999999999993E-2</v>
      </c>
      <c r="R127" s="3">
        <v>0</v>
      </c>
      <c r="S127" s="96">
        <f>CurrentMtgRatesDataTable82523[[#This Row],[cum_df_pct]]*100</f>
        <v>0</v>
      </c>
      <c r="T127" s="96">
        <f>CurrentMtgRatesDataTable82523[[#This Row],[pct_dq]]*100</f>
        <v>0.26874709007839864</v>
      </c>
      <c r="U127"/>
    </row>
    <row r="128" spans="3:21">
      <c r="C128" s="3" t="s">
        <v>157</v>
      </c>
      <c r="D128" s="3" t="s">
        <v>168</v>
      </c>
      <c r="E128" s="3">
        <v>16732472649.879999</v>
      </c>
      <c r="F128" s="100">
        <v>42095</v>
      </c>
      <c r="G128" s="3">
        <v>76486</v>
      </c>
      <c r="H128" s="3">
        <v>223284442.75</v>
      </c>
      <c r="I128" s="3">
        <v>1131309.74</v>
      </c>
      <c r="J128" s="3">
        <v>1.3344378169451323E-2</v>
      </c>
      <c r="K128" s="3">
        <v>6.7611629414981493E-5</v>
      </c>
      <c r="L128" s="3">
        <v>14.8887</v>
      </c>
      <c r="M128" s="3">
        <v>8.1100000000000005E-2</v>
      </c>
      <c r="N128" s="3">
        <v>3.3031608302312916E-3</v>
      </c>
      <c r="O128" s="3">
        <v>1322823215.79</v>
      </c>
      <c r="P128" s="3">
        <v>2001895.44</v>
      </c>
      <c r="Q128" s="3">
        <v>8.14E-2</v>
      </c>
      <c r="R128" s="3">
        <v>1E-4</v>
      </c>
      <c r="S128" s="96">
        <f>CurrentMtgRatesDataTable82523[[#This Row],[cum_df_pct]]*100</f>
        <v>0.01</v>
      </c>
      <c r="T128" s="96">
        <f>CurrentMtgRatesDataTable82523[[#This Row],[pct_dq]]*100</f>
        <v>0.33031608302312915</v>
      </c>
      <c r="U128"/>
    </row>
    <row r="129" spans="3:21">
      <c r="C129" s="3" t="s">
        <v>157</v>
      </c>
      <c r="D129" s="3" t="s">
        <v>168</v>
      </c>
      <c r="E129" s="3">
        <v>16478343796.25</v>
      </c>
      <c r="F129" s="100">
        <v>42125</v>
      </c>
      <c r="G129" s="3">
        <v>75608</v>
      </c>
      <c r="H129" s="3">
        <v>233609306.66999999</v>
      </c>
      <c r="I129" s="3">
        <v>2427003.8199999998</v>
      </c>
      <c r="J129" s="3">
        <v>1.4176746738538299E-2</v>
      </c>
      <c r="K129" s="3">
        <v>1.4728445103520153E-4</v>
      </c>
      <c r="L129" s="3">
        <v>15.7463</v>
      </c>
      <c r="M129" s="3">
        <v>0.17649999999999999</v>
      </c>
      <c r="N129" s="3">
        <v>4.6285044069390574E-3</v>
      </c>
      <c r="O129" s="3">
        <v>1556432522.46</v>
      </c>
      <c r="P129" s="3">
        <v>4428899.26</v>
      </c>
      <c r="Q129" s="3">
        <v>9.5699999999999993E-2</v>
      </c>
      <c r="R129" s="3">
        <v>2.0000000000000001E-4</v>
      </c>
      <c r="S129" s="96">
        <f>CurrentMtgRatesDataTable82523[[#This Row],[cum_df_pct]]*100</f>
        <v>0.02</v>
      </c>
      <c r="T129" s="96">
        <f>CurrentMtgRatesDataTable82523[[#This Row],[pct_dq]]*100</f>
        <v>0.46285044069390574</v>
      </c>
      <c r="U129"/>
    </row>
    <row r="130" spans="3:21">
      <c r="C130" s="3" t="s">
        <v>157</v>
      </c>
      <c r="D130" s="3" t="s">
        <v>168</v>
      </c>
      <c r="E130" s="3">
        <v>16211433097.74</v>
      </c>
      <c r="F130" s="100">
        <v>42156</v>
      </c>
      <c r="G130" s="3">
        <v>74640</v>
      </c>
      <c r="H130" s="3">
        <v>229531666.66</v>
      </c>
      <c r="I130" s="3">
        <v>1198393.54</v>
      </c>
      <c r="J130" s="3">
        <v>1.4158628992028997E-2</v>
      </c>
      <c r="K130" s="3">
        <v>7.3922739141863114E-5</v>
      </c>
      <c r="L130" s="3">
        <v>15.7277</v>
      </c>
      <c r="M130" s="3">
        <v>8.8599999999999998E-2</v>
      </c>
      <c r="N130" s="3">
        <v>4.0173542806082466E-3</v>
      </c>
      <c r="O130" s="3">
        <v>1785964189.1199999</v>
      </c>
      <c r="P130" s="3">
        <v>5627292.7999999998</v>
      </c>
      <c r="Q130" s="3">
        <v>0.1099</v>
      </c>
      <c r="R130" s="3">
        <v>2.9999999999999997E-4</v>
      </c>
      <c r="S130" s="96">
        <f>CurrentMtgRatesDataTable82523[[#This Row],[cum_df_pct]]*100</f>
        <v>0.03</v>
      </c>
      <c r="T130" s="96">
        <f>CurrentMtgRatesDataTable82523[[#This Row],[pct_dq]]*100</f>
        <v>0.40173542806082468</v>
      </c>
      <c r="U130"/>
    </row>
    <row r="131" spans="3:21">
      <c r="C131" s="3" t="s">
        <v>157</v>
      </c>
      <c r="D131" s="3" t="s">
        <v>168</v>
      </c>
      <c r="E131" s="3">
        <v>15951325303.6</v>
      </c>
      <c r="F131" s="100">
        <v>42186</v>
      </c>
      <c r="G131" s="3">
        <v>73687</v>
      </c>
      <c r="H131" s="3">
        <v>196846248.86000001</v>
      </c>
      <c r="I131" s="3">
        <v>2798511.24</v>
      </c>
      <c r="J131" s="3">
        <v>1.2340432228259708E-2</v>
      </c>
      <c r="K131" s="3">
        <v>1.754406725921647E-4</v>
      </c>
      <c r="L131" s="3">
        <v>13.8436</v>
      </c>
      <c r="M131" s="3">
        <v>0.21029999999999999</v>
      </c>
      <c r="N131" s="3">
        <v>4.3849463996708908E-3</v>
      </c>
      <c r="O131" s="3">
        <v>1982810437.98</v>
      </c>
      <c r="P131" s="3">
        <v>8425804.0399999991</v>
      </c>
      <c r="Q131" s="3">
        <v>0.122</v>
      </c>
      <c r="R131" s="3">
        <v>5.0000000000000001E-4</v>
      </c>
      <c r="S131" s="96">
        <f>CurrentMtgRatesDataTable82523[[#This Row],[cum_df_pct]]*100</f>
        <v>0.05</v>
      </c>
      <c r="T131" s="96">
        <f>CurrentMtgRatesDataTable82523[[#This Row],[pct_dq]]*100</f>
        <v>0.43849463996708909</v>
      </c>
      <c r="U131"/>
    </row>
    <row r="132" spans="3:21">
      <c r="C132" s="3" t="s">
        <v>157</v>
      </c>
      <c r="D132" s="3" t="s">
        <v>168</v>
      </c>
      <c r="E132" s="3">
        <v>15720200676.91</v>
      </c>
      <c r="F132" s="100">
        <v>42217</v>
      </c>
      <c r="G132" s="3">
        <v>72809</v>
      </c>
      <c r="H132" s="3">
        <v>175455763.03999999</v>
      </c>
      <c r="I132" s="3">
        <v>1072197.58</v>
      </c>
      <c r="J132" s="3">
        <v>1.1161165601257961E-2</v>
      </c>
      <c r="K132" s="3">
        <v>6.8205082240130398E-5</v>
      </c>
      <c r="L132" s="3">
        <v>12.601000000000001</v>
      </c>
      <c r="M132" s="3">
        <v>8.1799999999999998E-2</v>
      </c>
      <c r="N132" s="3">
        <v>4.6298498890604643E-3</v>
      </c>
      <c r="O132" s="3">
        <v>2158266201.02</v>
      </c>
      <c r="P132" s="3">
        <v>9498001.6199999992</v>
      </c>
      <c r="Q132" s="3">
        <v>0.1328</v>
      </c>
      <c r="R132" s="3">
        <v>5.0000000000000001E-4</v>
      </c>
      <c r="S132" s="96">
        <f>CurrentMtgRatesDataTable82523[[#This Row],[cum_df_pct]]*100</f>
        <v>0.05</v>
      </c>
      <c r="T132" s="96">
        <f>CurrentMtgRatesDataTable82523[[#This Row],[pct_dq]]*100</f>
        <v>0.46298498890604645</v>
      </c>
      <c r="U132"/>
    </row>
    <row r="133" spans="3:21">
      <c r="C133" s="3" t="s">
        <v>172</v>
      </c>
      <c r="D133" s="3" t="s">
        <v>176</v>
      </c>
      <c r="E133" s="3">
        <v>30759851462.400002</v>
      </c>
      <c r="F133" s="100">
        <v>42036</v>
      </c>
      <c r="G133" s="3">
        <v>144216</v>
      </c>
      <c r="H133" s="3">
        <v>1054593306.67</v>
      </c>
      <c r="I133" s="3">
        <v>0</v>
      </c>
      <c r="J133" s="3">
        <v>3.4284733395384112E-2</v>
      </c>
      <c r="K133" s="3">
        <v>0</v>
      </c>
      <c r="L133" s="3">
        <v>34.205500000000001</v>
      </c>
      <c r="M133" s="3">
        <v>0</v>
      </c>
      <c r="N133" s="3">
        <v>4.26637271023287E-3</v>
      </c>
      <c r="O133" s="3">
        <v>1624232833.25</v>
      </c>
      <c r="P133" s="3">
        <v>0</v>
      </c>
      <c r="Q133" s="3">
        <v>6.1199999999999997E-2</v>
      </c>
      <c r="R133" s="3">
        <v>0</v>
      </c>
      <c r="S133" s="96">
        <f>CurrentMtgRatesDataTable82523[[#This Row],[cum_df_pct]]*100</f>
        <v>0</v>
      </c>
      <c r="T133" s="96">
        <f>CurrentMtgRatesDataTable82523[[#This Row],[pct_dq]]*100</f>
        <v>0.42663727102328697</v>
      </c>
      <c r="U133"/>
    </row>
    <row r="134" spans="3:21">
      <c r="C134" s="3" t="s">
        <v>172</v>
      </c>
      <c r="D134" s="3" t="s">
        <v>176</v>
      </c>
      <c r="E134" s="3">
        <v>29646838128.07</v>
      </c>
      <c r="F134" s="100">
        <v>42064</v>
      </c>
      <c r="G134" s="3">
        <v>140569</v>
      </c>
      <c r="H134" s="3">
        <v>1161068382.99</v>
      </c>
      <c r="I134" s="3">
        <v>0</v>
      </c>
      <c r="J134" s="3">
        <v>3.9163312390156232E-2</v>
      </c>
      <c r="K134" s="3">
        <v>0</v>
      </c>
      <c r="L134" s="3">
        <v>38.085099999999997</v>
      </c>
      <c r="M134" s="3">
        <v>0</v>
      </c>
      <c r="N134" s="3">
        <v>2.4192243628197358E-3</v>
      </c>
      <c r="O134" s="3">
        <v>2785301216.2399998</v>
      </c>
      <c r="P134" s="3">
        <v>0</v>
      </c>
      <c r="Q134" s="3">
        <v>0.105</v>
      </c>
      <c r="R134" s="3">
        <v>0</v>
      </c>
      <c r="S134" s="96">
        <f>CurrentMtgRatesDataTable82523[[#This Row],[cum_df_pct]]*100</f>
        <v>0</v>
      </c>
      <c r="T134" s="96">
        <f>CurrentMtgRatesDataTable82523[[#This Row],[pct_dq]]*100</f>
        <v>0.24192243628197357</v>
      </c>
      <c r="U134"/>
    </row>
    <row r="135" spans="3:21">
      <c r="C135" s="3" t="s">
        <v>172</v>
      </c>
      <c r="D135" s="3" t="s">
        <v>176</v>
      </c>
      <c r="E135" s="3">
        <v>28425220037.98</v>
      </c>
      <c r="F135" s="100">
        <v>42095</v>
      </c>
      <c r="G135" s="3">
        <v>136410</v>
      </c>
      <c r="H135" s="3">
        <v>761784011.45000005</v>
      </c>
      <c r="I135" s="3">
        <v>0</v>
      </c>
      <c r="J135" s="3">
        <v>2.6799581865405153E-2</v>
      </c>
      <c r="K135" s="3">
        <v>0</v>
      </c>
      <c r="L135" s="3">
        <v>27.818200000000001</v>
      </c>
      <c r="M135" s="3">
        <v>0</v>
      </c>
      <c r="N135" s="3">
        <v>3.4634807051082453E-3</v>
      </c>
      <c r="O135" s="3">
        <v>3547085227.6900001</v>
      </c>
      <c r="P135" s="3">
        <v>0</v>
      </c>
      <c r="Q135" s="3">
        <v>0.13370000000000001</v>
      </c>
      <c r="R135" s="3">
        <v>0</v>
      </c>
      <c r="S135" s="96">
        <f>CurrentMtgRatesDataTable82523[[#This Row],[cum_df_pct]]*100</f>
        <v>0</v>
      </c>
      <c r="T135" s="96">
        <f>CurrentMtgRatesDataTable82523[[#This Row],[pct_dq]]*100</f>
        <v>0.34634807051082456</v>
      </c>
      <c r="U135"/>
    </row>
    <row r="136" spans="3:21">
      <c r="C136" s="3" t="s">
        <v>172</v>
      </c>
      <c r="D136" s="3" t="s">
        <v>176</v>
      </c>
      <c r="E136" s="3">
        <v>27606327918.630001</v>
      </c>
      <c r="F136" s="100">
        <v>42125</v>
      </c>
      <c r="G136" s="3">
        <v>133599</v>
      </c>
      <c r="H136" s="3">
        <v>644096331.49000001</v>
      </c>
      <c r="I136" s="3">
        <v>0</v>
      </c>
      <c r="J136" s="3">
        <v>2.33314743412627E-2</v>
      </c>
      <c r="K136" s="3">
        <v>0</v>
      </c>
      <c r="L136" s="3">
        <v>24.670200000000001</v>
      </c>
      <c r="M136" s="3">
        <v>0</v>
      </c>
      <c r="N136" s="3">
        <v>4.103466117402468E-3</v>
      </c>
      <c r="O136" s="3">
        <v>4191181559.1799998</v>
      </c>
      <c r="P136" s="3">
        <v>0</v>
      </c>
      <c r="Q136" s="3">
        <v>0.158</v>
      </c>
      <c r="R136" s="3">
        <v>0</v>
      </c>
      <c r="S136" s="96">
        <f>CurrentMtgRatesDataTable82523[[#This Row],[cum_df_pct]]*100</f>
        <v>0</v>
      </c>
      <c r="T136" s="96">
        <f>CurrentMtgRatesDataTable82523[[#This Row],[pct_dq]]*100</f>
        <v>0.41034661174024678</v>
      </c>
      <c r="U136"/>
    </row>
    <row r="137" spans="3:21">
      <c r="C137" s="3" t="s">
        <v>172</v>
      </c>
      <c r="D137" s="3" t="s">
        <v>176</v>
      </c>
      <c r="E137" s="3">
        <v>26906579939.889999</v>
      </c>
      <c r="F137" s="100">
        <v>42156</v>
      </c>
      <c r="G137" s="3">
        <v>131091</v>
      </c>
      <c r="H137" s="3">
        <v>571522550.05999994</v>
      </c>
      <c r="I137" s="3">
        <v>1829578.58</v>
      </c>
      <c r="J137" s="3">
        <v>2.1240995746646219E-2</v>
      </c>
      <c r="K137" s="3">
        <v>6.7997440926618181E-5</v>
      </c>
      <c r="L137" s="3">
        <v>22.712499999999999</v>
      </c>
      <c r="M137" s="3">
        <v>8.1500000000000003E-2</v>
      </c>
      <c r="N137" s="3">
        <v>3.7792899631678614E-3</v>
      </c>
      <c r="O137" s="3">
        <v>4762704109.2399998</v>
      </c>
      <c r="P137" s="3">
        <v>1829578.58</v>
      </c>
      <c r="Q137" s="3">
        <v>0.17949999999999999</v>
      </c>
      <c r="R137" s="3">
        <v>0</v>
      </c>
      <c r="S137" s="96">
        <f>CurrentMtgRatesDataTable82523[[#This Row],[cum_df_pct]]*100</f>
        <v>0</v>
      </c>
      <c r="T137" s="96">
        <f>CurrentMtgRatesDataTable82523[[#This Row],[pct_dq]]*100</f>
        <v>0.37792899631678611</v>
      </c>
      <c r="U137"/>
    </row>
    <row r="138" spans="3:21">
      <c r="C138" s="3" t="s">
        <v>172</v>
      </c>
      <c r="D138" s="3" t="s">
        <v>176</v>
      </c>
      <c r="E138" s="3">
        <v>26277526650.84</v>
      </c>
      <c r="F138" s="100">
        <v>42186</v>
      </c>
      <c r="G138" s="3">
        <v>128749</v>
      </c>
      <c r="H138" s="3">
        <v>423884908.02999997</v>
      </c>
      <c r="I138" s="3">
        <v>1813661.36</v>
      </c>
      <c r="J138" s="3">
        <v>1.613108089137643E-2</v>
      </c>
      <c r="K138" s="3">
        <v>6.9019485132632279E-5</v>
      </c>
      <c r="L138" s="3">
        <v>17.728899999999999</v>
      </c>
      <c r="M138" s="3">
        <v>8.2699999999999996E-2</v>
      </c>
      <c r="N138" s="3">
        <v>3.4427048432698719E-3</v>
      </c>
      <c r="O138" s="3">
        <v>5186589017.2700005</v>
      </c>
      <c r="P138" s="3">
        <v>3643239.94</v>
      </c>
      <c r="Q138" s="3">
        <v>0.19550000000000001</v>
      </c>
      <c r="R138" s="3">
        <v>1E-4</v>
      </c>
      <c r="S138" s="96">
        <f>CurrentMtgRatesDataTable82523[[#This Row],[cum_df_pct]]*100</f>
        <v>0.01</v>
      </c>
      <c r="T138" s="96">
        <f>CurrentMtgRatesDataTable82523[[#This Row],[pct_dq]]*100</f>
        <v>0.3442704843269872</v>
      </c>
      <c r="U138"/>
    </row>
    <row r="139" spans="3:21">
      <c r="C139" s="3" t="s">
        <v>172</v>
      </c>
      <c r="D139" s="3" t="s">
        <v>176</v>
      </c>
      <c r="E139" s="3">
        <v>25793823611.259998</v>
      </c>
      <c r="F139" s="100">
        <v>42217</v>
      </c>
      <c r="G139" s="3">
        <v>126916</v>
      </c>
      <c r="H139" s="3">
        <v>353632202.61000001</v>
      </c>
      <c r="I139" s="3">
        <v>2924764.02</v>
      </c>
      <c r="J139" s="3">
        <v>1.3709956613630012E-2</v>
      </c>
      <c r="K139" s="3">
        <v>1.1339009152265535E-4</v>
      </c>
      <c r="L139" s="3">
        <v>15.266299999999999</v>
      </c>
      <c r="M139" s="3">
        <v>0.13589999999999999</v>
      </c>
      <c r="N139" s="3">
        <v>3.6924946671505698E-3</v>
      </c>
      <c r="O139" s="3">
        <v>5540221219.8800001</v>
      </c>
      <c r="P139" s="3">
        <v>6568003.96</v>
      </c>
      <c r="Q139" s="3">
        <v>0.20880000000000001</v>
      </c>
      <c r="R139" s="3">
        <v>2.0000000000000001E-4</v>
      </c>
      <c r="S139" s="96">
        <f>CurrentMtgRatesDataTable82523[[#This Row],[cum_df_pct]]*100</f>
        <v>0.02</v>
      </c>
      <c r="T139" s="96">
        <f>CurrentMtgRatesDataTable82523[[#This Row],[pct_dq]]*100</f>
        <v>0.36924946671505698</v>
      </c>
      <c r="U139"/>
    </row>
    <row r="140" spans="3:21">
      <c r="C140" s="3" t="s">
        <v>172</v>
      </c>
      <c r="D140" s="3" t="s">
        <v>183</v>
      </c>
      <c r="E140" s="3">
        <v>18493146955.029999</v>
      </c>
      <c r="F140" s="100">
        <v>42036</v>
      </c>
      <c r="G140" s="3">
        <v>87353</v>
      </c>
      <c r="H140" s="3">
        <v>515466404.31</v>
      </c>
      <c r="I140" s="3">
        <v>0</v>
      </c>
      <c r="J140" s="3">
        <v>2.7873374151163435E-2</v>
      </c>
      <c r="K140" s="3">
        <v>0</v>
      </c>
      <c r="L140" s="3">
        <v>28.7681</v>
      </c>
      <c r="M140" s="3">
        <v>0</v>
      </c>
      <c r="N140" s="3">
        <v>4.247644710281954E-3</v>
      </c>
      <c r="O140" s="3">
        <v>796130890.63999999</v>
      </c>
      <c r="P140" s="3">
        <v>0</v>
      </c>
      <c r="Q140" s="3">
        <v>4.9399999999999999E-2</v>
      </c>
      <c r="R140" s="3">
        <v>0</v>
      </c>
      <c r="S140" s="96">
        <f>CurrentMtgRatesDataTable82523[[#This Row],[cum_df_pct]]*100</f>
        <v>0</v>
      </c>
      <c r="T140" s="96">
        <f>CurrentMtgRatesDataTable82523[[#This Row],[pct_dq]]*100</f>
        <v>0.42476447102819542</v>
      </c>
      <c r="U140"/>
    </row>
    <row r="141" spans="3:21">
      <c r="C141" s="3" t="s">
        <v>172</v>
      </c>
      <c r="D141" s="3" t="s">
        <v>183</v>
      </c>
      <c r="E141" s="3">
        <v>17947022505.650002</v>
      </c>
      <c r="F141" s="100">
        <v>42064</v>
      </c>
      <c r="G141" s="3">
        <v>85424</v>
      </c>
      <c r="H141" s="3">
        <v>615267890.50999999</v>
      </c>
      <c r="I141" s="3">
        <v>0</v>
      </c>
      <c r="J141" s="3">
        <v>3.4282449376563946E-2</v>
      </c>
      <c r="K141" s="3">
        <v>0</v>
      </c>
      <c r="L141" s="3">
        <v>34.203600000000002</v>
      </c>
      <c r="M141" s="3">
        <v>0</v>
      </c>
      <c r="N141" s="3">
        <v>2.2750364322074064E-3</v>
      </c>
      <c r="O141" s="3">
        <v>1411398781.1500001</v>
      </c>
      <c r="P141" s="3">
        <v>0</v>
      </c>
      <c r="Q141" s="3">
        <v>8.7599999999999997E-2</v>
      </c>
      <c r="R141" s="3">
        <v>0</v>
      </c>
      <c r="S141" s="96">
        <f>CurrentMtgRatesDataTable82523[[#This Row],[cum_df_pct]]*100</f>
        <v>0</v>
      </c>
      <c r="T141" s="96">
        <f>CurrentMtgRatesDataTable82523[[#This Row],[pct_dq]]*100</f>
        <v>0.22750364322074063</v>
      </c>
      <c r="U141"/>
    </row>
    <row r="142" spans="3:21">
      <c r="C142" s="3" t="s">
        <v>172</v>
      </c>
      <c r="D142" s="3" t="s">
        <v>183</v>
      </c>
      <c r="E142" s="3">
        <v>17300263315.970001</v>
      </c>
      <c r="F142" s="100">
        <v>42095</v>
      </c>
      <c r="G142" s="3">
        <v>83074</v>
      </c>
      <c r="H142" s="3">
        <v>401816661</v>
      </c>
      <c r="I142" s="3">
        <v>0</v>
      </c>
      <c r="J142" s="3">
        <v>2.322604307583458E-2</v>
      </c>
      <c r="K142" s="3">
        <v>0</v>
      </c>
      <c r="L142" s="3">
        <v>24.572600000000001</v>
      </c>
      <c r="M142" s="3">
        <v>0</v>
      </c>
      <c r="N142" s="3">
        <v>3.7018386836275281E-3</v>
      </c>
      <c r="O142" s="3">
        <v>1813215442.1500001</v>
      </c>
      <c r="P142" s="3">
        <v>0</v>
      </c>
      <c r="Q142" s="3">
        <v>0.11260000000000001</v>
      </c>
      <c r="R142" s="3">
        <v>0</v>
      </c>
      <c r="S142" s="96">
        <f>CurrentMtgRatesDataTable82523[[#This Row],[cum_df_pct]]*100</f>
        <v>0</v>
      </c>
      <c r="T142" s="96">
        <f>CurrentMtgRatesDataTable82523[[#This Row],[pct_dq]]*100</f>
        <v>0.3701838683627528</v>
      </c>
      <c r="U142"/>
    </row>
    <row r="143" spans="3:21">
      <c r="C143" s="3" t="s">
        <v>172</v>
      </c>
      <c r="D143" s="3" t="s">
        <v>183</v>
      </c>
      <c r="E143" s="3">
        <v>16869979490.84</v>
      </c>
      <c r="F143" s="100">
        <v>42125</v>
      </c>
      <c r="G143" s="3">
        <v>81464</v>
      </c>
      <c r="H143" s="3">
        <v>379603599.13999999</v>
      </c>
      <c r="I143" s="3">
        <v>0</v>
      </c>
      <c r="J143" s="3">
        <v>2.2501722621898607E-2</v>
      </c>
      <c r="K143" s="3">
        <v>0</v>
      </c>
      <c r="L143" s="3">
        <v>23.898700000000002</v>
      </c>
      <c r="M143" s="3">
        <v>0</v>
      </c>
      <c r="N143" s="3">
        <v>4.7509371557635021E-3</v>
      </c>
      <c r="O143" s="3">
        <v>2192819041.29</v>
      </c>
      <c r="P143" s="3">
        <v>0</v>
      </c>
      <c r="Q143" s="3">
        <v>0.13619999999999999</v>
      </c>
      <c r="R143" s="3">
        <v>0</v>
      </c>
      <c r="S143" s="96">
        <f>CurrentMtgRatesDataTable82523[[#This Row],[cum_df_pct]]*100</f>
        <v>0</v>
      </c>
      <c r="T143" s="96">
        <f>CurrentMtgRatesDataTable82523[[#This Row],[pct_dq]]*100</f>
        <v>0.47509371557635022</v>
      </c>
      <c r="U143"/>
    </row>
    <row r="144" spans="3:21">
      <c r="C144" s="3" t="s">
        <v>172</v>
      </c>
      <c r="D144" s="3" t="s">
        <v>183</v>
      </c>
      <c r="E144" s="3">
        <v>16462011735.889999</v>
      </c>
      <c r="F144" s="100">
        <v>42156</v>
      </c>
      <c r="G144" s="3">
        <v>79920</v>
      </c>
      <c r="H144" s="3">
        <v>354782897.19</v>
      </c>
      <c r="I144" s="3">
        <v>1722841.02</v>
      </c>
      <c r="J144" s="3">
        <v>2.1551612456727424E-2</v>
      </c>
      <c r="K144" s="3">
        <v>1.0465555775567284E-4</v>
      </c>
      <c r="L144" s="3">
        <v>23.0063</v>
      </c>
      <c r="M144" s="3">
        <v>0.1255</v>
      </c>
      <c r="N144" s="3">
        <v>4.0570985382297311E-3</v>
      </c>
      <c r="O144" s="3">
        <v>2547601938.48</v>
      </c>
      <c r="P144" s="3">
        <v>1722841.02</v>
      </c>
      <c r="Q144" s="3">
        <v>0.15820000000000001</v>
      </c>
      <c r="R144" s="3">
        <v>1E-4</v>
      </c>
      <c r="S144" s="96">
        <f>CurrentMtgRatesDataTable82523[[#This Row],[cum_df_pct]]*100</f>
        <v>0.01</v>
      </c>
      <c r="T144" s="96">
        <f>CurrentMtgRatesDataTable82523[[#This Row],[pct_dq]]*100</f>
        <v>0.40570985382297309</v>
      </c>
      <c r="U144"/>
    </row>
    <row r="145" spans="3:21">
      <c r="C145" s="3" t="s">
        <v>172</v>
      </c>
      <c r="D145" s="3" t="s">
        <v>183</v>
      </c>
      <c r="E145" s="3">
        <v>16078512632.49</v>
      </c>
      <c r="F145" s="100">
        <v>42186</v>
      </c>
      <c r="G145" s="3">
        <v>78449</v>
      </c>
      <c r="H145" s="3">
        <v>282221121.75999999</v>
      </c>
      <c r="I145" s="3">
        <v>2025998.28</v>
      </c>
      <c r="J145" s="3">
        <v>1.7552688374278674E-2</v>
      </c>
      <c r="K145" s="3">
        <v>1.2600657326387556E-4</v>
      </c>
      <c r="L145" s="3">
        <v>19.144100000000002</v>
      </c>
      <c r="M145" s="3">
        <v>0.15110000000000001</v>
      </c>
      <c r="N145" s="3">
        <v>4.6578005803016914E-3</v>
      </c>
      <c r="O145" s="3">
        <v>2829823060.2399998</v>
      </c>
      <c r="P145" s="3">
        <v>3748839.3</v>
      </c>
      <c r="Q145" s="3">
        <v>0.1757</v>
      </c>
      <c r="R145" s="3">
        <v>2.0000000000000001E-4</v>
      </c>
      <c r="S145" s="96">
        <f>CurrentMtgRatesDataTable82523[[#This Row],[cum_df_pct]]*100</f>
        <v>0.02</v>
      </c>
      <c r="T145" s="96">
        <f>CurrentMtgRatesDataTable82523[[#This Row],[pct_dq]]*100</f>
        <v>0.46578005803016914</v>
      </c>
      <c r="U145"/>
    </row>
    <row r="146" spans="3:21">
      <c r="C146" s="3" t="s">
        <v>172</v>
      </c>
      <c r="D146" s="3" t="s">
        <v>183</v>
      </c>
      <c r="E146" s="3">
        <v>15764917496.969999</v>
      </c>
      <c r="F146" s="100">
        <v>42217</v>
      </c>
      <c r="G146" s="3">
        <v>77219</v>
      </c>
      <c r="H146" s="3">
        <v>238018688.15000001</v>
      </c>
      <c r="I146" s="3">
        <v>1634428.16</v>
      </c>
      <c r="J146" s="3">
        <v>1.5097997702540906E-2</v>
      </c>
      <c r="K146" s="3">
        <v>1.0367502147183043E-4</v>
      </c>
      <c r="L146" s="3">
        <v>16.686299999999999</v>
      </c>
      <c r="M146" s="3">
        <v>0.12429999999999999</v>
      </c>
      <c r="N146" s="3">
        <v>5.0766880622992389E-3</v>
      </c>
      <c r="O146" s="3">
        <v>3067841748.3899999</v>
      </c>
      <c r="P146" s="3">
        <v>5383267.46</v>
      </c>
      <c r="Q146" s="3">
        <v>0.1905</v>
      </c>
      <c r="R146" s="3">
        <v>2.9999999999999997E-4</v>
      </c>
      <c r="S146" s="96">
        <f>CurrentMtgRatesDataTable82523[[#This Row],[cum_df_pct]]*100</f>
        <v>0.03</v>
      </c>
      <c r="T146" s="96">
        <f>CurrentMtgRatesDataTable82523[[#This Row],[pct_dq]]*100</f>
        <v>0.50766880622992394</v>
      </c>
      <c r="U146"/>
    </row>
    <row r="147" spans="3:21">
      <c r="C147" s="3" t="s">
        <v>187</v>
      </c>
      <c r="D147" s="3" t="s">
        <v>191</v>
      </c>
      <c r="E147" s="3">
        <v>27206489792.02</v>
      </c>
      <c r="F147" s="100">
        <v>42125</v>
      </c>
      <c r="G147" s="3">
        <v>131933</v>
      </c>
      <c r="H147" s="3">
        <v>631099526.53999996</v>
      </c>
      <c r="I147" s="3">
        <v>0</v>
      </c>
      <c r="J147" s="3">
        <v>2.3196653863267185E-2</v>
      </c>
      <c r="K147" s="3">
        <v>0</v>
      </c>
      <c r="L147" s="3">
        <v>24.545400000000001</v>
      </c>
      <c r="M147" s="3">
        <v>0</v>
      </c>
      <c r="N147" s="3">
        <v>3.6024783872981576E-3</v>
      </c>
      <c r="O147" s="3">
        <v>1372183796.3399999</v>
      </c>
      <c r="P147" s="3">
        <v>0</v>
      </c>
      <c r="Q147" s="3">
        <v>5.2699999999999997E-2</v>
      </c>
      <c r="R147" s="3">
        <v>0</v>
      </c>
      <c r="S147" s="96">
        <f>CurrentMtgRatesDataTable82523[[#This Row],[cum_df_pct]]*100</f>
        <v>0</v>
      </c>
      <c r="T147" s="96">
        <f>CurrentMtgRatesDataTable82523[[#This Row],[pct_dq]]*100</f>
        <v>0.36024783872981575</v>
      </c>
      <c r="U147"/>
    </row>
    <row r="148" spans="3:21">
      <c r="C148" s="3" t="s">
        <v>187</v>
      </c>
      <c r="D148" s="3" t="s">
        <v>191</v>
      </c>
      <c r="E148" s="3">
        <v>26524723882.060001</v>
      </c>
      <c r="F148" s="100">
        <v>42156</v>
      </c>
      <c r="G148" s="3">
        <v>129579</v>
      </c>
      <c r="H148" s="3">
        <v>546422790.38</v>
      </c>
      <c r="I148" s="3">
        <v>0</v>
      </c>
      <c r="J148" s="3">
        <v>2.0600508145141264E-2</v>
      </c>
      <c r="K148" s="3">
        <v>0</v>
      </c>
      <c r="L148" s="3">
        <v>22.103400000000001</v>
      </c>
      <c r="M148" s="3">
        <v>0</v>
      </c>
      <c r="N148" s="3">
        <v>2.9729698122639113E-3</v>
      </c>
      <c r="O148" s="3">
        <v>1918606586.72</v>
      </c>
      <c r="P148" s="3">
        <v>0</v>
      </c>
      <c r="Q148" s="3">
        <v>7.3800000000000004E-2</v>
      </c>
      <c r="R148" s="3">
        <v>0</v>
      </c>
      <c r="S148" s="96">
        <f>CurrentMtgRatesDataTable82523[[#This Row],[cum_df_pct]]*100</f>
        <v>0</v>
      </c>
      <c r="T148" s="96">
        <f>CurrentMtgRatesDataTable82523[[#This Row],[pct_dq]]*100</f>
        <v>0.29729698122639114</v>
      </c>
      <c r="U148"/>
    </row>
    <row r="149" spans="3:21">
      <c r="C149" s="3" t="s">
        <v>187</v>
      </c>
      <c r="D149" s="3" t="s">
        <v>191</v>
      </c>
      <c r="E149" s="3">
        <v>25924857536.720001</v>
      </c>
      <c r="F149" s="100">
        <v>42186</v>
      </c>
      <c r="G149" s="3">
        <v>127406</v>
      </c>
      <c r="H149" s="3">
        <v>398220118.38</v>
      </c>
      <c r="I149" s="3">
        <v>0</v>
      </c>
      <c r="J149" s="3">
        <v>1.5360551849357727E-2</v>
      </c>
      <c r="K149" s="3">
        <v>0</v>
      </c>
      <c r="L149" s="3">
        <v>16.952400000000001</v>
      </c>
      <c r="M149" s="3">
        <v>0</v>
      </c>
      <c r="N149" s="3">
        <v>3.2688519761378729E-3</v>
      </c>
      <c r="O149" s="3">
        <v>2316826705.0999999</v>
      </c>
      <c r="P149" s="3">
        <v>0</v>
      </c>
      <c r="Q149" s="3">
        <v>8.9099999999999999E-2</v>
      </c>
      <c r="R149" s="3">
        <v>0</v>
      </c>
      <c r="S149" s="96">
        <f>CurrentMtgRatesDataTable82523[[#This Row],[cum_df_pct]]*100</f>
        <v>0</v>
      </c>
      <c r="T149" s="96">
        <f>CurrentMtgRatesDataTable82523[[#This Row],[pct_dq]]*100</f>
        <v>0.32688519761378731</v>
      </c>
      <c r="U149"/>
    </row>
    <row r="150" spans="3:21">
      <c r="C150" s="3" t="s">
        <v>187</v>
      </c>
      <c r="D150" s="3" t="s">
        <v>191</v>
      </c>
      <c r="E150" s="3">
        <v>25472222636.240002</v>
      </c>
      <c r="F150" s="100">
        <v>42217</v>
      </c>
      <c r="G150" s="3">
        <v>125731</v>
      </c>
      <c r="H150" s="3">
        <v>346920362.32999998</v>
      </c>
      <c r="I150" s="3">
        <v>0</v>
      </c>
      <c r="J150" s="3">
        <v>1.3619555987879412E-2</v>
      </c>
      <c r="K150" s="3">
        <v>0</v>
      </c>
      <c r="L150" s="3">
        <v>15.1731</v>
      </c>
      <c r="M150" s="3">
        <v>0</v>
      </c>
      <c r="N150" s="3">
        <v>4.0300187186630551E-3</v>
      </c>
      <c r="O150" s="3">
        <v>2663747067.4299998</v>
      </c>
      <c r="P150" s="3">
        <v>0</v>
      </c>
      <c r="Q150" s="3">
        <v>0.1024</v>
      </c>
      <c r="R150" s="3">
        <v>0</v>
      </c>
      <c r="S150" s="96">
        <f>CurrentMtgRatesDataTable82523[[#This Row],[cum_df_pct]]*100</f>
        <v>0</v>
      </c>
      <c r="T150" s="96">
        <f>CurrentMtgRatesDataTable82523[[#This Row],[pct_dq]]*100</f>
        <v>0.40300187186630548</v>
      </c>
      <c r="U150"/>
    </row>
    <row r="151" spans="3:21">
      <c r="C151" s="3" t="s">
        <v>187</v>
      </c>
      <c r="D151" s="3" t="s">
        <v>198</v>
      </c>
      <c r="E151" s="3">
        <v>16616937598.799999</v>
      </c>
      <c r="F151" s="100">
        <v>42125</v>
      </c>
      <c r="G151" s="3">
        <v>80059</v>
      </c>
      <c r="H151" s="3">
        <v>319851020.76999998</v>
      </c>
      <c r="I151" s="3">
        <v>0</v>
      </c>
      <c r="J151" s="3">
        <v>1.9248493825546904E-2</v>
      </c>
      <c r="K151" s="3">
        <v>0</v>
      </c>
      <c r="L151" s="3">
        <v>20.803100000000001</v>
      </c>
      <c r="M151" s="3">
        <v>0</v>
      </c>
      <c r="N151" s="3">
        <v>3.5251960285528324E-3</v>
      </c>
      <c r="O151" s="3">
        <v>682371859.72000003</v>
      </c>
      <c r="P151" s="3">
        <v>0</v>
      </c>
      <c r="Q151" s="3">
        <v>4.2700000000000002E-2</v>
      </c>
      <c r="R151" s="3">
        <v>0</v>
      </c>
      <c r="S151" s="96">
        <f>CurrentMtgRatesDataTable82523[[#This Row],[cum_df_pct]]*100</f>
        <v>0</v>
      </c>
      <c r="T151" s="96">
        <f>CurrentMtgRatesDataTable82523[[#This Row],[pct_dq]]*100</f>
        <v>0.35251960285528322</v>
      </c>
      <c r="U151"/>
    </row>
    <row r="152" spans="3:21">
      <c r="C152" s="3" t="s">
        <v>187</v>
      </c>
      <c r="D152" s="3" t="s">
        <v>198</v>
      </c>
      <c r="E152" s="3">
        <v>16269256589.57</v>
      </c>
      <c r="F152" s="100">
        <v>42156</v>
      </c>
      <c r="G152" s="3">
        <v>78787</v>
      </c>
      <c r="H152" s="3">
        <v>299276013.67000002</v>
      </c>
      <c r="I152" s="3">
        <v>0</v>
      </c>
      <c r="J152" s="3">
        <v>1.8395186775888812E-2</v>
      </c>
      <c r="K152" s="3">
        <v>0</v>
      </c>
      <c r="L152" s="3">
        <v>19.972300000000001</v>
      </c>
      <c r="M152" s="3">
        <v>0</v>
      </c>
      <c r="N152" s="3">
        <v>3.4817721656879444E-3</v>
      </c>
      <c r="O152" s="3">
        <v>981647873.38999999</v>
      </c>
      <c r="P152" s="3">
        <v>0</v>
      </c>
      <c r="Q152" s="3">
        <v>6.1499999999999999E-2</v>
      </c>
      <c r="R152" s="3">
        <v>0</v>
      </c>
      <c r="S152" s="96">
        <f>CurrentMtgRatesDataTable82523[[#This Row],[cum_df_pct]]*100</f>
        <v>0</v>
      </c>
      <c r="T152" s="96">
        <f>CurrentMtgRatesDataTable82523[[#This Row],[pct_dq]]*100</f>
        <v>0.34817721656879447</v>
      </c>
      <c r="U152"/>
    </row>
    <row r="153" spans="3:21">
      <c r="C153" s="3" t="s">
        <v>187</v>
      </c>
      <c r="D153" s="3" t="s">
        <v>198</v>
      </c>
      <c r="E153" s="3">
        <v>15941708275.5</v>
      </c>
      <c r="F153" s="100">
        <v>42186</v>
      </c>
      <c r="G153" s="3">
        <v>77574</v>
      </c>
      <c r="H153" s="3">
        <v>234947975.31999999</v>
      </c>
      <c r="I153" s="3">
        <v>0</v>
      </c>
      <c r="J153" s="3">
        <v>1.473794221169381E-2</v>
      </c>
      <c r="K153" s="3">
        <v>0</v>
      </c>
      <c r="L153" s="3">
        <v>16.3201</v>
      </c>
      <c r="M153" s="3">
        <v>0</v>
      </c>
      <c r="N153" s="3">
        <v>3.9151815653233318E-3</v>
      </c>
      <c r="O153" s="3">
        <v>1216595848.71</v>
      </c>
      <c r="P153" s="3">
        <v>0</v>
      </c>
      <c r="Q153" s="3">
        <v>7.6300000000000007E-2</v>
      </c>
      <c r="R153" s="3">
        <v>0</v>
      </c>
      <c r="S153" s="96">
        <f>CurrentMtgRatesDataTable82523[[#This Row],[cum_df_pct]]*100</f>
        <v>0</v>
      </c>
      <c r="T153" s="96">
        <f>CurrentMtgRatesDataTable82523[[#This Row],[pct_dq]]*100</f>
        <v>0.39151815653233318</v>
      </c>
      <c r="U153"/>
    </row>
    <row r="154" spans="3:21">
      <c r="C154" s="3" t="s">
        <v>187</v>
      </c>
      <c r="D154" s="3" t="s">
        <v>198</v>
      </c>
      <c r="E154" s="3">
        <v>15676855463.42</v>
      </c>
      <c r="F154" s="100">
        <v>42217</v>
      </c>
      <c r="G154" s="3">
        <v>76585</v>
      </c>
      <c r="H154" s="3">
        <v>204540330.72</v>
      </c>
      <c r="I154" s="3">
        <v>0</v>
      </c>
      <c r="J154" s="3">
        <v>1.3047280508343624E-2</v>
      </c>
      <c r="K154" s="3">
        <v>0</v>
      </c>
      <c r="L154" s="3">
        <v>14.5806</v>
      </c>
      <c r="M154" s="3">
        <v>0</v>
      </c>
      <c r="N154" s="3">
        <v>4.9237611700963359E-3</v>
      </c>
      <c r="O154" s="3">
        <v>1421136179.4300001</v>
      </c>
      <c r="P154" s="3">
        <v>0</v>
      </c>
      <c r="Q154" s="3">
        <v>8.9099999999999999E-2</v>
      </c>
      <c r="R154" s="3">
        <v>0</v>
      </c>
      <c r="S154" s="96">
        <f>CurrentMtgRatesDataTable82523[[#This Row],[cum_df_pct]]*100</f>
        <v>0</v>
      </c>
      <c r="T154" s="96">
        <f>CurrentMtgRatesDataTable82523[[#This Row],[pct_dq]]*100</f>
        <v>0.49237611700963357</v>
      </c>
      <c r="U154"/>
    </row>
    <row r="155" spans="3:21">
      <c r="C155" s="3" t="s">
        <v>202</v>
      </c>
      <c r="D155" s="3" t="s">
        <v>230</v>
      </c>
      <c r="E155" s="3">
        <v>27745977471.580002</v>
      </c>
      <c r="F155" s="100">
        <v>42186</v>
      </c>
      <c r="G155" s="3">
        <v>130771</v>
      </c>
      <c r="H155" s="3">
        <v>334894345.29000002</v>
      </c>
      <c r="I155" s="3">
        <v>0</v>
      </c>
      <c r="J155" s="3">
        <v>1.2070014315878033E-2</v>
      </c>
      <c r="K155" s="3">
        <v>0</v>
      </c>
      <c r="L155" s="3">
        <v>13.5601</v>
      </c>
      <c r="M155" s="3">
        <v>0</v>
      </c>
      <c r="N155" s="3">
        <v>2.7854082307664707E-3</v>
      </c>
      <c r="O155" s="3">
        <v>785277028.29999995</v>
      </c>
      <c r="P155" s="3">
        <v>0</v>
      </c>
      <c r="Q155" s="3">
        <v>2.8199999999999999E-2</v>
      </c>
      <c r="R155" s="3">
        <v>0</v>
      </c>
      <c r="S155" s="96">
        <f>CurrentMtgRatesDataTable82523[[#This Row],[cum_df_pct]]*100</f>
        <v>0</v>
      </c>
      <c r="T155" s="96">
        <f>CurrentMtgRatesDataTable82523[[#This Row],[pct_dq]]*100</f>
        <v>0.27854082307664707</v>
      </c>
      <c r="U155"/>
    </row>
    <row r="156" spans="3:21">
      <c r="C156" s="3" t="s">
        <v>202</v>
      </c>
      <c r="D156" s="3" t="s">
        <v>230</v>
      </c>
      <c r="E156" s="3">
        <v>27354849593.349998</v>
      </c>
      <c r="F156" s="100">
        <v>42217</v>
      </c>
      <c r="G156" s="3">
        <v>129402</v>
      </c>
      <c r="H156" s="3">
        <v>297209556.30000001</v>
      </c>
      <c r="I156" s="3">
        <v>0</v>
      </c>
      <c r="J156" s="3">
        <v>1.0864967664536238E-2</v>
      </c>
      <c r="K156" s="3">
        <v>0</v>
      </c>
      <c r="L156" s="3">
        <v>12.286300000000001</v>
      </c>
      <c r="M156" s="3">
        <v>0</v>
      </c>
      <c r="N156" s="3">
        <v>3.1858315423231491E-3</v>
      </c>
      <c r="O156" s="3">
        <v>1082486584.5999999</v>
      </c>
      <c r="P156" s="3">
        <v>0</v>
      </c>
      <c r="Q156" s="3">
        <v>3.8899999999999997E-2</v>
      </c>
      <c r="R156" s="3">
        <v>0</v>
      </c>
      <c r="S156" s="96">
        <f>CurrentMtgRatesDataTable82523[[#This Row],[cum_df_pct]]*100</f>
        <v>0</v>
      </c>
      <c r="T156" s="96">
        <f>CurrentMtgRatesDataTable82523[[#This Row],[pct_dq]]*100</f>
        <v>0.31858315423231492</v>
      </c>
      <c r="U156"/>
    </row>
    <row r="157" spans="3:21">
      <c r="C157" s="3" t="s">
        <v>202</v>
      </c>
      <c r="D157" s="3" t="s">
        <v>231</v>
      </c>
      <c r="E157" s="3">
        <v>19775051818.029999</v>
      </c>
      <c r="F157" s="100">
        <v>42186</v>
      </c>
      <c r="G157" s="3">
        <v>92475</v>
      </c>
      <c r="H157" s="3">
        <v>212484005</v>
      </c>
      <c r="I157" s="3">
        <v>0</v>
      </c>
      <c r="J157" s="3">
        <v>1.0745054271173473E-2</v>
      </c>
      <c r="K157" s="3">
        <v>0</v>
      </c>
      <c r="L157" s="3">
        <v>12.1586</v>
      </c>
      <c r="M157" s="3">
        <v>0</v>
      </c>
      <c r="N157" s="3">
        <v>2.9994536957885414E-3</v>
      </c>
      <c r="O157" s="3">
        <v>476701666.75</v>
      </c>
      <c r="P157" s="3">
        <v>0</v>
      </c>
      <c r="Q157" s="3">
        <v>2.41E-2</v>
      </c>
      <c r="R157" s="3">
        <v>0</v>
      </c>
      <c r="S157" s="96">
        <f>CurrentMtgRatesDataTable82523[[#This Row],[cum_df_pct]]*100</f>
        <v>0</v>
      </c>
      <c r="T157" s="96">
        <f>CurrentMtgRatesDataTable82523[[#This Row],[pct_dq]]*100</f>
        <v>0.29994536957885415</v>
      </c>
      <c r="U157"/>
    </row>
    <row r="158" spans="3:21">
      <c r="C158" s="3" t="s">
        <v>202</v>
      </c>
      <c r="D158" s="3" t="s">
        <v>231</v>
      </c>
      <c r="E158" s="3">
        <v>19527197471.060001</v>
      </c>
      <c r="F158" s="100">
        <v>42217</v>
      </c>
      <c r="G158" s="3">
        <v>91612</v>
      </c>
      <c r="H158" s="3">
        <v>200402940.16</v>
      </c>
      <c r="I158" s="3">
        <v>0</v>
      </c>
      <c r="J158" s="3">
        <v>1.0262759950935318E-2</v>
      </c>
      <c r="K158" s="3">
        <v>0</v>
      </c>
      <c r="L158" s="3">
        <v>11.6434</v>
      </c>
      <c r="M158" s="3">
        <v>0</v>
      </c>
      <c r="N158" s="3">
        <v>4.4362147772809722E-3</v>
      </c>
      <c r="O158" s="3">
        <v>677104606.90999997</v>
      </c>
      <c r="P158" s="3">
        <v>0</v>
      </c>
      <c r="Q158" s="3">
        <v>3.4200000000000001E-2</v>
      </c>
      <c r="R158" s="3">
        <v>0</v>
      </c>
      <c r="S158" s="96">
        <f>CurrentMtgRatesDataTable82523[[#This Row],[cum_df_pct]]*100</f>
        <v>0</v>
      </c>
      <c r="T158" s="96">
        <f>CurrentMtgRatesDataTable82523[[#This Row],[pct_dq]]*100</f>
        <v>0.44362147772809724</v>
      </c>
      <c r="U158"/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I48"/>
  <sheetViews>
    <sheetView workbookViewId="0">
      <selection activeCell="BE49" sqref="BE49"/>
    </sheetView>
  </sheetViews>
  <sheetFormatPr defaultRowHeight="15"/>
  <cols>
    <col min="2" max="2" width="8.42578125" bestFit="1" customWidth="1"/>
    <col min="3" max="3" width="9.140625" style="93"/>
    <col min="4" max="4" width="18.5703125" style="93" bestFit="1" customWidth="1"/>
    <col min="5" max="5" width="16.28515625" style="93" bestFit="1" customWidth="1"/>
    <col min="6" max="6" width="11" style="93" bestFit="1" customWidth="1"/>
    <col min="7" max="8" width="11" style="93" customWidth="1"/>
    <col min="9" max="9" width="10.42578125" style="93" bestFit="1" customWidth="1"/>
  </cols>
  <sheetData>
    <row r="3" spans="2:9">
      <c r="B3" s="3" t="s">
        <v>104</v>
      </c>
      <c r="C3" s="41" t="s">
        <v>105</v>
      </c>
      <c r="D3" s="41" t="s">
        <v>106</v>
      </c>
      <c r="E3" s="41" t="s">
        <v>107</v>
      </c>
      <c r="F3" s="41" t="s">
        <v>108</v>
      </c>
      <c r="G3" s="41" t="s">
        <v>33</v>
      </c>
      <c r="H3" s="41" t="s">
        <v>110</v>
      </c>
      <c r="I3" s="3" t="s">
        <v>215</v>
      </c>
    </row>
    <row r="4" spans="2:9">
      <c r="B4" s="41" t="s">
        <v>111</v>
      </c>
      <c r="C4" s="41" t="s">
        <v>112</v>
      </c>
      <c r="D4" s="41" t="s">
        <v>113</v>
      </c>
      <c r="E4" s="41" t="s">
        <v>114</v>
      </c>
      <c r="F4" s="42">
        <v>41569</v>
      </c>
      <c r="G4" s="42" t="s">
        <v>115</v>
      </c>
      <c r="H4" s="96">
        <v>1</v>
      </c>
      <c r="I4" s="3" t="str">
        <f>CurrentMtgRatesDataTable82524[[#This Row],[BloombergDealName]]</f>
        <v>CAS 2013-C01</v>
      </c>
    </row>
    <row r="5" spans="2:9">
      <c r="B5" s="41" t="s">
        <v>111</v>
      </c>
      <c r="C5" s="41" t="s">
        <v>116</v>
      </c>
      <c r="D5" s="41" t="s">
        <v>117</v>
      </c>
      <c r="E5" s="41" t="s">
        <v>118</v>
      </c>
      <c r="F5" s="42">
        <v>41569</v>
      </c>
      <c r="G5" s="42" t="s">
        <v>115</v>
      </c>
      <c r="H5" s="96">
        <v>1</v>
      </c>
      <c r="I5" s="3" t="str">
        <f>CurrentMtgRatesDataTable82524[[#This Row],[BloombergDealName]]</f>
        <v>CAS 2013-C01</v>
      </c>
    </row>
    <row r="6" spans="2:9">
      <c r="B6" s="41" t="s">
        <v>119</v>
      </c>
      <c r="C6" s="41" t="s">
        <v>120</v>
      </c>
      <c r="D6" s="41" t="s">
        <v>121</v>
      </c>
      <c r="E6" s="41" t="s">
        <v>122</v>
      </c>
      <c r="F6" s="42">
        <v>41653</v>
      </c>
      <c r="G6" s="42" t="s">
        <v>123</v>
      </c>
      <c r="H6" s="96">
        <v>1</v>
      </c>
      <c r="I6" s="3" t="str">
        <f>CurrentMtgRatesDataTable82524[[#This Row],[BloombergDealName]]</f>
        <v>CAS 2014-C01</v>
      </c>
    </row>
    <row r="7" spans="2:9">
      <c r="B7" s="41" t="s">
        <v>119</v>
      </c>
      <c r="C7" s="41" t="s">
        <v>124</v>
      </c>
      <c r="D7" s="41" t="s">
        <v>125</v>
      </c>
      <c r="E7" s="41" t="s">
        <v>126</v>
      </c>
      <c r="F7" s="42">
        <v>41653</v>
      </c>
      <c r="G7" s="42" t="s">
        <v>123</v>
      </c>
      <c r="H7" s="96">
        <v>1</v>
      </c>
      <c r="I7" s="3" t="str">
        <f>CurrentMtgRatesDataTable82524[[#This Row],[BloombergDealName]]</f>
        <v>CAS 2014-C01</v>
      </c>
    </row>
    <row r="8" spans="2:9">
      <c r="B8" s="41" t="s">
        <v>127</v>
      </c>
      <c r="C8" s="41" t="s">
        <v>128</v>
      </c>
      <c r="D8" s="41" t="s">
        <v>129</v>
      </c>
      <c r="E8" s="41" t="s">
        <v>130</v>
      </c>
      <c r="F8" s="42">
        <v>41780</v>
      </c>
      <c r="G8" s="42" t="s">
        <v>131</v>
      </c>
      <c r="H8" s="96">
        <v>1</v>
      </c>
      <c r="I8" s="3" t="str">
        <f>CurrentMtgRatesDataTable82524[[#This Row],[BloombergDealName]]</f>
        <v>CAS 2014-C02</v>
      </c>
    </row>
    <row r="9" spans="2:9">
      <c r="B9" s="41" t="s">
        <v>127</v>
      </c>
      <c r="C9" s="41" t="s">
        <v>132</v>
      </c>
      <c r="D9" s="41" t="s">
        <v>133</v>
      </c>
      <c r="E9" s="41" t="s">
        <v>134</v>
      </c>
      <c r="F9" s="42">
        <v>41780</v>
      </c>
      <c r="G9" s="42" t="s">
        <v>131</v>
      </c>
      <c r="H9" s="96">
        <v>1</v>
      </c>
      <c r="I9" s="3" t="str">
        <f>CurrentMtgRatesDataTable82524[[#This Row],[BloombergDealName]]</f>
        <v>CAS 2014-C02</v>
      </c>
    </row>
    <row r="10" spans="2:9">
      <c r="B10" s="41" t="s">
        <v>127</v>
      </c>
      <c r="C10" s="41" t="s">
        <v>135</v>
      </c>
      <c r="D10" s="41" t="s">
        <v>136</v>
      </c>
      <c r="E10" s="41" t="s">
        <v>137</v>
      </c>
      <c r="F10" s="42">
        <v>41780</v>
      </c>
      <c r="G10" s="42" t="s">
        <v>138</v>
      </c>
      <c r="H10" s="96">
        <v>2</v>
      </c>
      <c r="I10" s="3" t="str">
        <f>CurrentMtgRatesDataTable82524[[#This Row],[BloombergDealName]]</f>
        <v>CAS 2014-C02</v>
      </c>
    </row>
    <row r="11" spans="2:9">
      <c r="B11" s="41" t="s">
        <v>127</v>
      </c>
      <c r="C11" s="41" t="s">
        <v>139</v>
      </c>
      <c r="D11" s="41" t="s">
        <v>140</v>
      </c>
      <c r="E11" s="41" t="s">
        <v>141</v>
      </c>
      <c r="F11" s="42">
        <v>41780</v>
      </c>
      <c r="G11" s="42" t="s">
        <v>138</v>
      </c>
      <c r="H11" s="96">
        <v>2</v>
      </c>
      <c r="I11" s="3" t="str">
        <f>CurrentMtgRatesDataTable82524[[#This Row],[BloombergDealName]]</f>
        <v>CAS 2014-C02</v>
      </c>
    </row>
    <row r="12" spans="2:9">
      <c r="B12" s="41" t="s">
        <v>142</v>
      </c>
      <c r="C12" s="41" t="s">
        <v>143</v>
      </c>
      <c r="D12" s="41" t="s">
        <v>144</v>
      </c>
      <c r="E12" s="41" t="s">
        <v>145</v>
      </c>
      <c r="F12" s="42">
        <v>41843</v>
      </c>
      <c r="G12" s="42" t="s">
        <v>146</v>
      </c>
      <c r="H12" s="96">
        <v>1</v>
      </c>
      <c r="I12" s="3" t="str">
        <f>CurrentMtgRatesDataTable82524[[#This Row],[BloombergDealName]]</f>
        <v>CAS 2014-C03</v>
      </c>
    </row>
    <row r="13" spans="2:9">
      <c r="B13" s="41" t="s">
        <v>142</v>
      </c>
      <c r="C13" s="41" t="s">
        <v>147</v>
      </c>
      <c r="D13" s="41" t="s">
        <v>148</v>
      </c>
      <c r="E13" s="41" t="s">
        <v>149</v>
      </c>
      <c r="F13" s="42">
        <v>41843</v>
      </c>
      <c r="G13" s="42" t="s">
        <v>146</v>
      </c>
      <c r="H13" s="96">
        <v>1</v>
      </c>
      <c r="I13" s="3" t="str">
        <f>CurrentMtgRatesDataTable82524[[#This Row],[BloombergDealName]]</f>
        <v>CAS 2014-C03</v>
      </c>
    </row>
    <row r="14" spans="2:9">
      <c r="B14" s="41" t="s">
        <v>142</v>
      </c>
      <c r="C14" s="41" t="s">
        <v>150</v>
      </c>
      <c r="D14" s="41" t="s">
        <v>151</v>
      </c>
      <c r="E14" s="41" t="s">
        <v>152</v>
      </c>
      <c r="F14" s="42">
        <v>41843</v>
      </c>
      <c r="G14" s="42" t="s">
        <v>153</v>
      </c>
      <c r="H14" s="96">
        <v>2</v>
      </c>
      <c r="I14" s="3" t="str">
        <f>CurrentMtgRatesDataTable82524[[#This Row],[BloombergDealName]]</f>
        <v>CAS 2014-C03</v>
      </c>
    </row>
    <row r="15" spans="2:9">
      <c r="B15" s="41" t="s">
        <v>142</v>
      </c>
      <c r="C15" s="41" t="s">
        <v>154</v>
      </c>
      <c r="D15" s="41" t="s">
        <v>155</v>
      </c>
      <c r="E15" s="41" t="s">
        <v>156</v>
      </c>
      <c r="F15" s="42">
        <v>41843</v>
      </c>
      <c r="G15" s="42" t="s">
        <v>153</v>
      </c>
      <c r="H15" s="96">
        <v>2</v>
      </c>
      <c r="I15" s="3" t="str">
        <f>CurrentMtgRatesDataTable82524[[#This Row],[BloombergDealName]]</f>
        <v>CAS 2014-C03</v>
      </c>
    </row>
    <row r="16" spans="2:9">
      <c r="B16" s="41" t="s">
        <v>157</v>
      </c>
      <c r="C16" s="41" t="s">
        <v>158</v>
      </c>
      <c r="D16" s="41" t="s">
        <v>159</v>
      </c>
      <c r="E16" s="41" t="s">
        <v>160</v>
      </c>
      <c r="F16" s="42">
        <v>41962</v>
      </c>
      <c r="G16" s="42" t="s">
        <v>161</v>
      </c>
      <c r="H16" s="96">
        <v>1</v>
      </c>
      <c r="I16" s="3" t="str">
        <f>CurrentMtgRatesDataTable82524[[#This Row],[BloombergDealName]]</f>
        <v>CAS 2014-C04</v>
      </c>
    </row>
    <row r="17" spans="2:9">
      <c r="B17" s="41" t="s">
        <v>157</v>
      </c>
      <c r="C17" s="41" t="s">
        <v>162</v>
      </c>
      <c r="D17" s="41" t="s">
        <v>163</v>
      </c>
      <c r="E17" s="41" t="s">
        <v>164</v>
      </c>
      <c r="F17" s="42">
        <v>41962</v>
      </c>
      <c r="G17" s="42" t="s">
        <v>161</v>
      </c>
      <c r="H17" s="96">
        <v>1</v>
      </c>
      <c r="I17" s="3" t="str">
        <f>CurrentMtgRatesDataTable82524[[#This Row],[BloombergDealName]]</f>
        <v>CAS 2014-C04</v>
      </c>
    </row>
    <row r="18" spans="2:9">
      <c r="B18" s="41" t="s">
        <v>157</v>
      </c>
      <c r="C18" s="41" t="s">
        <v>165</v>
      </c>
      <c r="D18" s="41" t="s">
        <v>166</v>
      </c>
      <c r="E18" s="41" t="s">
        <v>167</v>
      </c>
      <c r="F18" s="42">
        <v>41962</v>
      </c>
      <c r="G18" s="42" t="s">
        <v>168</v>
      </c>
      <c r="H18" s="96">
        <v>2</v>
      </c>
      <c r="I18" s="3" t="str">
        <f>CurrentMtgRatesDataTable82524[[#This Row],[BloombergDealName]]</f>
        <v>CAS 2014-C04</v>
      </c>
    </row>
    <row r="19" spans="2:9">
      <c r="B19" s="41" t="s">
        <v>157</v>
      </c>
      <c r="C19" s="41" t="s">
        <v>169</v>
      </c>
      <c r="D19" s="41" t="s">
        <v>170</v>
      </c>
      <c r="E19" s="41" t="s">
        <v>171</v>
      </c>
      <c r="F19" s="42">
        <v>41962</v>
      </c>
      <c r="G19" s="42" t="s">
        <v>168</v>
      </c>
      <c r="H19" s="96">
        <v>2</v>
      </c>
      <c r="I19" s="3" t="str">
        <f>CurrentMtgRatesDataTable82524[[#This Row],[BloombergDealName]]</f>
        <v>CAS 2014-C04</v>
      </c>
    </row>
    <row r="20" spans="2:9">
      <c r="B20" s="41" t="s">
        <v>172</v>
      </c>
      <c r="C20" s="41" t="s">
        <v>173</v>
      </c>
      <c r="D20" s="41" t="s">
        <v>174</v>
      </c>
      <c r="E20" s="41" t="s">
        <v>175</v>
      </c>
      <c r="F20" s="42">
        <v>42054</v>
      </c>
      <c r="G20" s="42" t="s">
        <v>176</v>
      </c>
      <c r="H20" s="96">
        <v>1</v>
      </c>
      <c r="I20" s="3" t="str">
        <f>CurrentMtgRatesDataTable82524[[#This Row],[BloombergDealName]]</f>
        <v>CAS 2015-C01</v>
      </c>
    </row>
    <row r="21" spans="2:9">
      <c r="B21" s="41" t="s">
        <v>172</v>
      </c>
      <c r="C21" s="41" t="s">
        <v>177</v>
      </c>
      <c r="D21" s="41" t="s">
        <v>178</v>
      </c>
      <c r="E21" s="41" t="s">
        <v>179</v>
      </c>
      <c r="F21" s="42">
        <v>42054</v>
      </c>
      <c r="G21" s="42" t="s">
        <v>176</v>
      </c>
      <c r="H21" s="96">
        <v>1</v>
      </c>
      <c r="I21" s="3" t="str">
        <f>CurrentMtgRatesDataTable82524[[#This Row],[BloombergDealName]]</f>
        <v>CAS 2015-C01</v>
      </c>
    </row>
    <row r="22" spans="2:9">
      <c r="B22" s="41" t="s">
        <v>172</v>
      </c>
      <c r="C22" s="41" t="s">
        <v>180</v>
      </c>
      <c r="D22" s="41" t="s">
        <v>181</v>
      </c>
      <c r="E22" s="41" t="s">
        <v>182</v>
      </c>
      <c r="F22" s="42">
        <v>42054</v>
      </c>
      <c r="G22" s="42" t="s">
        <v>183</v>
      </c>
      <c r="H22" s="96">
        <v>2</v>
      </c>
      <c r="I22" s="3" t="str">
        <f>CurrentMtgRatesDataTable82524[[#This Row],[BloombergDealName]]</f>
        <v>CAS 2015-C01</v>
      </c>
    </row>
    <row r="23" spans="2:9">
      <c r="B23" s="41" t="s">
        <v>172</v>
      </c>
      <c r="C23" s="41" t="s">
        <v>184</v>
      </c>
      <c r="D23" s="41" t="s">
        <v>185</v>
      </c>
      <c r="E23" s="41" t="s">
        <v>186</v>
      </c>
      <c r="F23" s="42">
        <v>42054</v>
      </c>
      <c r="G23" s="42" t="s">
        <v>183</v>
      </c>
      <c r="H23" s="96">
        <v>2</v>
      </c>
      <c r="I23" s="3" t="str">
        <f>CurrentMtgRatesDataTable82524[[#This Row],[BloombergDealName]]</f>
        <v>CAS 2015-C01</v>
      </c>
    </row>
    <row r="24" spans="2:9">
      <c r="B24" s="41" t="s">
        <v>187</v>
      </c>
      <c r="C24" s="41" t="s">
        <v>188</v>
      </c>
      <c r="D24" s="41" t="s">
        <v>189</v>
      </c>
      <c r="E24" s="41" t="s">
        <v>190</v>
      </c>
      <c r="F24" s="42">
        <v>42143</v>
      </c>
      <c r="G24" s="42" t="s">
        <v>191</v>
      </c>
      <c r="H24" s="96">
        <v>1</v>
      </c>
      <c r="I24" s="3" t="str">
        <f>CurrentMtgRatesDataTable82524[[#This Row],[BloombergDealName]]</f>
        <v>CAS 2015-C02</v>
      </c>
    </row>
    <row r="25" spans="2:9">
      <c r="B25" s="41" t="s">
        <v>187</v>
      </c>
      <c r="C25" s="41" t="s">
        <v>192</v>
      </c>
      <c r="D25" s="41" t="s">
        <v>193</v>
      </c>
      <c r="E25" s="41" t="s">
        <v>194</v>
      </c>
      <c r="F25" s="42">
        <v>42143</v>
      </c>
      <c r="G25" s="42" t="s">
        <v>191</v>
      </c>
      <c r="H25" s="96">
        <v>1</v>
      </c>
      <c r="I25" s="3" t="str">
        <f>CurrentMtgRatesDataTable82524[[#This Row],[BloombergDealName]]</f>
        <v>CAS 2015-C02</v>
      </c>
    </row>
    <row r="26" spans="2:9">
      <c r="B26" s="41" t="s">
        <v>187</v>
      </c>
      <c r="C26" s="41" t="s">
        <v>195</v>
      </c>
      <c r="D26" s="41" t="s">
        <v>196</v>
      </c>
      <c r="E26" s="41" t="s">
        <v>197</v>
      </c>
      <c r="F26" s="42">
        <v>42143</v>
      </c>
      <c r="G26" s="42" t="s">
        <v>198</v>
      </c>
      <c r="H26" s="96">
        <v>2</v>
      </c>
      <c r="I26" s="3" t="str">
        <f>CurrentMtgRatesDataTable82524[[#This Row],[BloombergDealName]]</f>
        <v>CAS 2015-C02</v>
      </c>
    </row>
    <row r="27" spans="2:9">
      <c r="B27" s="41" t="s">
        <v>187</v>
      </c>
      <c r="C27" s="41" t="s">
        <v>199</v>
      </c>
      <c r="D27" s="41" t="s">
        <v>200</v>
      </c>
      <c r="E27" s="41" t="s">
        <v>201</v>
      </c>
      <c r="F27" s="42">
        <v>42143</v>
      </c>
      <c r="G27" s="42" t="s">
        <v>198</v>
      </c>
      <c r="H27" s="96">
        <v>2</v>
      </c>
      <c r="I27" s="3" t="str">
        <f>CurrentMtgRatesDataTable82524[[#This Row],[BloombergDealName]]</f>
        <v>CAS 2015-C02</v>
      </c>
    </row>
    <row r="28" spans="2:9">
      <c r="B28" s="41" t="s">
        <v>202</v>
      </c>
      <c r="C28" s="41" t="s">
        <v>203</v>
      </c>
      <c r="D28" s="41" t="s">
        <v>204</v>
      </c>
      <c r="E28" s="41" t="s">
        <v>205</v>
      </c>
      <c r="F28" s="42"/>
      <c r="G28" s="42" t="s">
        <v>230</v>
      </c>
      <c r="H28" s="96">
        <v>1</v>
      </c>
      <c r="I28" s="3" t="str">
        <f>CurrentMtgRatesDataTable82524[[#This Row],[BloombergDealName]]</f>
        <v>CAS 2015-C03</v>
      </c>
    </row>
    <row r="29" spans="2:9">
      <c r="B29" s="41" t="s">
        <v>202</v>
      </c>
      <c r="C29" s="41" t="s">
        <v>206</v>
      </c>
      <c r="D29" s="41" t="s">
        <v>207</v>
      </c>
      <c r="E29" s="41" t="s">
        <v>208</v>
      </c>
      <c r="F29" s="42"/>
      <c r="G29" s="42" t="s">
        <v>230</v>
      </c>
      <c r="H29" s="96">
        <v>1</v>
      </c>
      <c r="I29" s="3" t="str">
        <f>CurrentMtgRatesDataTable82524[[#This Row],[BloombergDealName]]</f>
        <v>CAS 2015-C03</v>
      </c>
    </row>
    <row r="30" spans="2:9">
      <c r="B30" s="41" t="s">
        <v>202</v>
      </c>
      <c r="C30" s="41" t="s">
        <v>209</v>
      </c>
      <c r="D30" s="41" t="s">
        <v>210</v>
      </c>
      <c r="E30" s="41" t="s">
        <v>211</v>
      </c>
      <c r="F30" s="42"/>
      <c r="G30" s="42" t="s">
        <v>231</v>
      </c>
      <c r="H30" s="96">
        <v>2</v>
      </c>
      <c r="I30" s="3" t="str">
        <f>CurrentMtgRatesDataTable82524[[#This Row],[BloombergDealName]]</f>
        <v>CAS 2015-C03</v>
      </c>
    </row>
    <row r="31" spans="2:9">
      <c r="B31" s="41" t="s">
        <v>202</v>
      </c>
      <c r="C31" s="41" t="s">
        <v>212</v>
      </c>
      <c r="D31" s="41" t="s">
        <v>213</v>
      </c>
      <c r="E31" s="41" t="s">
        <v>214</v>
      </c>
      <c r="F31" s="42"/>
      <c r="G31" s="42" t="s">
        <v>231</v>
      </c>
      <c r="H31" s="96">
        <v>2</v>
      </c>
      <c r="I31" s="3" t="str">
        <f>CurrentMtgRatesDataTable82524[[#This Row],[BloombergDealName]]</f>
        <v>CAS 2015-C03</v>
      </c>
    </row>
    <row r="32" spans="2:9">
      <c r="I32"/>
    </row>
    <row r="33" spans="9:9">
      <c r="I33"/>
    </row>
    <row r="34" spans="9:9">
      <c r="I34"/>
    </row>
    <row r="35" spans="9:9">
      <c r="I35"/>
    </row>
    <row r="36" spans="9:9">
      <c r="I36"/>
    </row>
    <row r="37" spans="9:9">
      <c r="I37"/>
    </row>
    <row r="38" spans="9:9">
      <c r="I38"/>
    </row>
    <row r="39" spans="9:9">
      <c r="I39"/>
    </row>
    <row r="40" spans="9:9">
      <c r="I40"/>
    </row>
    <row r="41" spans="9:9">
      <c r="I41"/>
    </row>
    <row r="42" spans="9:9">
      <c r="I42"/>
    </row>
    <row r="43" spans="9:9">
      <c r="I43"/>
    </row>
    <row r="44" spans="9:9">
      <c r="I44"/>
    </row>
    <row r="45" spans="9:9">
      <c r="I45"/>
    </row>
    <row r="46" spans="9:9">
      <c r="I46"/>
    </row>
    <row r="47" spans="9:9">
      <c r="I47"/>
    </row>
    <row r="48" spans="9:9">
      <c r="I48"/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Collateral Report</vt:lpstr>
      <vt:lpstr>Performance Report</vt:lpstr>
      <vt:lpstr>Performance Pivot</vt:lpstr>
      <vt:lpstr>Colleteral Data</vt:lpstr>
      <vt:lpstr>Performance Data</vt:lpstr>
      <vt:lpstr>Deal Pool Mapping</vt:lpstr>
      <vt:lpstr>'Performance Pivot'!CurrentCloseDate</vt:lpstr>
      <vt:lpstr>'Performance Report'!CurrentCloseDate</vt:lpstr>
      <vt:lpstr>'Performance Pivot'!DatabaseEnv</vt:lpstr>
      <vt:lpstr>'Performance Report'!DatabaseEnv</vt:lpstr>
      <vt:lpstr>LatestUpdateDate</vt:lpstr>
      <vt:lpstr>'Performance Pivot'!PDFReportDir</vt:lpstr>
      <vt:lpstr>'Performance Report'!PDFReportDir</vt:lpstr>
      <vt:lpstr>'Performance Pivot'!PDFReportName</vt:lpstr>
      <vt:lpstr>'Performance Report'!PDFReportName</vt:lpstr>
      <vt:lpstr>'Collateral Report'!Print_Area</vt:lpstr>
      <vt:lpstr>'Performance Pivot'!Print_Area</vt:lpstr>
      <vt:lpstr>'Performance Report'!Print_Area</vt:lpstr>
      <vt:lpstr>'Performance Pivot'!SaveRatesToDB</vt:lpstr>
      <vt:lpstr>'Performance Report'!SaveRatesToDB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2015-11-19T20:46:56Z</cp:lastPrinted>
  <dcterms:created xsi:type="dcterms:W3CDTF">2015-03-12T13:39:23Z</dcterms:created>
  <dcterms:modified xsi:type="dcterms:W3CDTF">2015-11-19T20:56:00Z</dcterms:modified>
</cp:coreProperties>
</file>