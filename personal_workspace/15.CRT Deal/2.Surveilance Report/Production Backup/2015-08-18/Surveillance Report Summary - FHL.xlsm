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1"/>
  </bookViews>
  <sheets>
    <sheet name="Collateral Report" sheetId="14" r:id="rId1"/>
    <sheet name="Performance Report" sheetId="17" r:id="rId2"/>
    <sheet name="Performance Pivot" sheetId="7" state="hidden" r:id="rId3"/>
    <sheet name="Colleteral Data" sheetId="15" state="hidden" r:id="rId4"/>
    <sheet name="Performance Data" sheetId="16" state="hidden" r:id="rId5"/>
    <sheet name="Deal Pool Mapping" sheetId="18" state="hidden" r:id="rId6"/>
  </sheets>
  <functionGroups builtInGroupCount="17"/>
  <definedNames>
    <definedName name="CurrentCloseDate" localSheetId="2">'Performance Pivot'!$AK$2</definedName>
    <definedName name="CurrentCloseDate" localSheetId="1">'Performance Report'!$AL$2</definedName>
    <definedName name="DatabaseEnv" localSheetId="2">'Performance Pivot'!$AK$1</definedName>
    <definedName name="DatabaseEnv" localSheetId="1">'Performance Report'!$AL$1</definedName>
    <definedName name="LatestUpdateDate">'Performance Report'!$AM$12</definedName>
    <definedName name="PDFReportDir" localSheetId="2">'Performance Pivot'!$AK$3</definedName>
    <definedName name="PDFReportDir" localSheetId="1">'Performance Report'!$AL$3</definedName>
    <definedName name="PDFReportName" localSheetId="2">'Performance Pivot'!$AK$4</definedName>
    <definedName name="PDFReportName" localSheetId="1">'Performance Report'!$AL$4</definedName>
    <definedName name="_xlnm.Print_Area" localSheetId="0">'Collateral Report'!$B$1:$S$49</definedName>
    <definedName name="_xlnm.Print_Area" localSheetId="2">'Performance Pivot'!$C$1:$AF$74</definedName>
    <definedName name="_xlnm.Print_Area" localSheetId="1">'Performance Report'!$C$1:$AH$72</definedName>
    <definedName name="Query_from_Agency_11" localSheetId="3" hidden="1">'Colleteral Data'!$B$3:$AR$18</definedName>
    <definedName name="Query_from_Agency_11" localSheetId="5" hidden="1">'Deal Pool Mapping'!$B$3:$G$48</definedName>
    <definedName name="Query_from_Agency_11" localSheetId="4" hidden="1">'Performance Data'!$C$3:$U$178</definedName>
    <definedName name="SaveRatesToDB" localSheetId="2">'Performance Pivot'!$AM$1</definedName>
    <definedName name="SaveRatesToDB" localSheetId="1">'Performance Report'!$AN$1</definedName>
  </definedNames>
  <calcPr calcId="145621"/>
  <pivotCaches>
    <pivotCache cacheId="793" r:id="rId7"/>
  </pivotCaches>
</workbook>
</file>

<file path=xl/calcChain.xml><?xml version="1.0" encoding="utf-8"?>
<calcChain xmlns="http://schemas.openxmlformats.org/spreadsheetml/2006/main">
  <c r="V4" i="16" l="1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R15" i="14" l="1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R17" i="14" l="1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C17" i="17" l="1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AM12" i="17" s="1"/>
  <c r="C46" i="17" l="1"/>
  <c r="T46" i="17"/>
  <c r="T16" i="17"/>
  <c r="AH46" i="17"/>
  <c r="E16" i="17"/>
  <c r="E46" i="17" s="1"/>
  <c r="E72" i="17" s="1"/>
  <c r="F16" i="17"/>
  <c r="W46" i="17" s="1"/>
  <c r="G16" i="17"/>
  <c r="G46" i="17" s="1"/>
  <c r="G72" i="17" s="1"/>
  <c r="H16" i="17"/>
  <c r="Y16" i="17" s="1"/>
  <c r="I16" i="17"/>
  <c r="Z16" i="17" s="1"/>
  <c r="J16" i="17"/>
  <c r="AA16" i="17" s="1"/>
  <c r="K16" i="17"/>
  <c r="AB46" i="17" s="1"/>
  <c r="L16" i="17"/>
  <c r="AC46" i="17" s="1"/>
  <c r="M16" i="17"/>
  <c r="M46" i="17" s="1"/>
  <c r="M72" i="17" s="1"/>
  <c r="N16" i="17"/>
  <c r="N46" i="17" s="1"/>
  <c r="N72" i="17" s="1"/>
  <c r="O16" i="17"/>
  <c r="O46" i="17" s="1"/>
  <c r="O72" i="17" s="1"/>
  <c r="P16" i="17"/>
  <c r="AG16" i="17" s="1"/>
  <c r="D16" i="17"/>
  <c r="U16" i="17" s="1"/>
  <c r="X16" i="17" l="1"/>
  <c r="V16" i="17"/>
  <c r="L46" i="17"/>
  <c r="L72" i="17" s="1"/>
  <c r="K46" i="17"/>
  <c r="K72" i="17" s="1"/>
  <c r="AB16" i="17"/>
  <c r="P46" i="17"/>
  <c r="P72" i="17" s="1"/>
  <c r="AF16" i="17"/>
  <c r="H46" i="17"/>
  <c r="H72" i="17" s="1"/>
  <c r="AD16" i="17"/>
  <c r="U46" i="17"/>
  <c r="Z46" i="17"/>
  <c r="W16" i="17"/>
  <c r="J46" i="17"/>
  <c r="J72" i="17" s="1"/>
  <c r="AG46" i="17"/>
  <c r="Y46" i="17"/>
  <c r="AA46" i="17"/>
  <c r="AE16" i="17"/>
  <c r="AC16" i="17"/>
  <c r="D46" i="17"/>
  <c r="D72" i="17" s="1"/>
  <c r="I46" i="17"/>
  <c r="I72" i="17" s="1"/>
  <c r="AF46" i="17"/>
  <c r="X46" i="17"/>
  <c r="AD46" i="17"/>
  <c r="V46" i="17"/>
  <c r="AE46" i="17"/>
  <c r="F46" i="17"/>
  <c r="F72" i="17" s="1"/>
  <c r="AL4" i="17"/>
  <c r="AH41" i="17"/>
  <c r="U71" i="17"/>
  <c r="V71" i="17"/>
  <c r="W71" i="17"/>
  <c r="X71" i="17"/>
  <c r="Y71" i="17"/>
  <c r="Z71" i="17"/>
  <c r="AA71" i="17"/>
  <c r="AB71" i="17"/>
  <c r="AC71" i="17"/>
  <c r="AD71" i="17"/>
  <c r="AE71" i="17"/>
  <c r="AG71" i="17"/>
  <c r="AH71" i="17"/>
  <c r="V41" i="17"/>
  <c r="W41" i="17"/>
  <c r="X41" i="17"/>
  <c r="Y41" i="17"/>
  <c r="Z41" i="17"/>
  <c r="AA41" i="17"/>
  <c r="AB41" i="17"/>
  <c r="AC41" i="17"/>
  <c r="AD41" i="17"/>
  <c r="AE41" i="17"/>
  <c r="AG41" i="17"/>
  <c r="U41" i="17"/>
  <c r="D41" i="17"/>
  <c r="E41" i="17"/>
  <c r="F41" i="17"/>
  <c r="G41" i="17"/>
  <c r="H41" i="17"/>
  <c r="I41" i="17"/>
  <c r="J41" i="17"/>
  <c r="K41" i="17"/>
  <c r="L41" i="17"/>
  <c r="M41" i="17"/>
  <c r="N41" i="17"/>
  <c r="P41" i="17"/>
  <c r="Q41" i="17"/>
  <c r="J39" i="17"/>
  <c r="P38" i="17"/>
  <c r="N37" i="17"/>
  <c r="E36" i="17"/>
  <c r="Q35" i="17"/>
  <c r="P34" i="17"/>
  <c r="G33" i="17"/>
  <c r="C62" i="17"/>
  <c r="M62" i="17" s="1"/>
  <c r="J31" i="17"/>
  <c r="C60" i="17"/>
  <c r="H60" i="17" s="1"/>
  <c r="N29" i="17"/>
  <c r="K28" i="17"/>
  <c r="D27" i="17"/>
  <c r="P26" i="17"/>
  <c r="M25" i="17"/>
  <c r="L24" i="17"/>
  <c r="J23" i="17"/>
  <c r="C52" i="17"/>
  <c r="G52" i="17" s="1"/>
  <c r="T21" i="17"/>
  <c r="AH21" i="17" s="1"/>
  <c r="M20" i="17"/>
  <c r="L19" i="17"/>
  <c r="P18" i="17"/>
  <c r="J18" i="17" l="1"/>
  <c r="D40" i="17"/>
  <c r="E44" i="14" s="1"/>
  <c r="Q30" i="17"/>
  <c r="D31" i="17"/>
  <c r="I31" i="17"/>
  <c r="O18" i="17"/>
  <c r="K35" i="17"/>
  <c r="O22" i="17"/>
  <c r="D39" i="17"/>
  <c r="E24" i="17"/>
  <c r="K39" i="17"/>
  <c r="O26" i="17"/>
  <c r="Q26" i="17"/>
  <c r="M37" i="17"/>
  <c r="F24" i="17"/>
  <c r="I18" i="17"/>
  <c r="K24" i="17"/>
  <c r="K32" i="17"/>
  <c r="I39" i="17"/>
  <c r="M32" i="17"/>
  <c r="E21" i="17"/>
  <c r="L27" i="17"/>
  <c r="Q34" i="17"/>
  <c r="Q62" i="17"/>
  <c r="N32" i="17"/>
  <c r="J22" i="17"/>
  <c r="H29" i="17"/>
  <c r="I35" i="17"/>
  <c r="Q22" i="17"/>
  <c r="Q18" i="17"/>
  <c r="M21" i="17"/>
  <c r="D23" i="17"/>
  <c r="M24" i="17"/>
  <c r="Q27" i="17"/>
  <c r="P29" i="17"/>
  <c r="K31" i="17"/>
  <c r="O33" i="17"/>
  <c r="L35" i="17"/>
  <c r="G38" i="17"/>
  <c r="L39" i="17"/>
  <c r="G21" i="17"/>
  <c r="M29" i="17"/>
  <c r="O37" i="17"/>
  <c r="H40" i="17"/>
  <c r="I44" i="14" s="1"/>
  <c r="E20" i="17"/>
  <c r="O21" i="17"/>
  <c r="I23" i="17"/>
  <c r="N24" i="17"/>
  <c r="E28" i="17"/>
  <c r="G30" i="17"/>
  <c r="L31" i="17"/>
  <c r="G34" i="17"/>
  <c r="N36" i="17"/>
  <c r="I38" i="17"/>
  <c r="Q39" i="17"/>
  <c r="O29" i="17"/>
  <c r="P37" i="17"/>
  <c r="N40" i="17"/>
  <c r="O44" i="14" s="1"/>
  <c r="F20" i="17"/>
  <c r="P21" i="17"/>
  <c r="K23" i="17"/>
  <c r="G26" i="17"/>
  <c r="F28" i="17"/>
  <c r="I30" i="17"/>
  <c r="Q31" i="17"/>
  <c r="I34" i="17"/>
  <c r="E37" i="17"/>
  <c r="J38" i="17"/>
  <c r="AF21" i="17"/>
  <c r="H21" i="17"/>
  <c r="P40" i="17"/>
  <c r="R44" i="14" s="1"/>
  <c r="K20" i="17"/>
  <c r="G22" i="17"/>
  <c r="L23" i="17"/>
  <c r="I26" i="17"/>
  <c r="E29" i="17"/>
  <c r="J30" i="17"/>
  <c r="E32" i="17"/>
  <c r="J34" i="17"/>
  <c r="G37" i="17"/>
  <c r="O38" i="17"/>
  <c r="AG21" i="17"/>
  <c r="G18" i="17"/>
  <c r="I22" i="17"/>
  <c r="Q23" i="17"/>
  <c r="J26" i="17"/>
  <c r="G29" i="17"/>
  <c r="O30" i="17"/>
  <c r="F32" i="17"/>
  <c r="O34" i="17"/>
  <c r="H37" i="17"/>
  <c r="Q38" i="17"/>
  <c r="E25" i="17"/>
  <c r="H25" i="17"/>
  <c r="E33" i="17"/>
  <c r="L17" i="17"/>
  <c r="K17" i="17"/>
  <c r="F17" i="17"/>
  <c r="E17" i="17"/>
  <c r="O17" i="17"/>
  <c r="P33" i="17"/>
  <c r="G17" i="17"/>
  <c r="D19" i="17"/>
  <c r="G25" i="17"/>
  <c r="T20" i="17"/>
  <c r="X20" i="17" s="1"/>
  <c r="L20" i="17"/>
  <c r="D20" i="17"/>
  <c r="J20" i="17"/>
  <c r="Q20" i="17"/>
  <c r="I20" i="17"/>
  <c r="P20" i="17"/>
  <c r="H20" i="17"/>
  <c r="O20" i="17"/>
  <c r="G20" i="17"/>
  <c r="L28" i="17"/>
  <c r="D28" i="17"/>
  <c r="J28" i="17"/>
  <c r="Q28" i="17"/>
  <c r="I28" i="17"/>
  <c r="P28" i="17"/>
  <c r="H28" i="17"/>
  <c r="O28" i="17"/>
  <c r="G28" i="17"/>
  <c r="L36" i="17"/>
  <c r="D36" i="17"/>
  <c r="J36" i="17"/>
  <c r="Q36" i="17"/>
  <c r="I36" i="17"/>
  <c r="P36" i="17"/>
  <c r="H36" i="17"/>
  <c r="O36" i="17"/>
  <c r="G36" i="17"/>
  <c r="M17" i="17"/>
  <c r="I19" i="17"/>
  <c r="N20" i="17"/>
  <c r="N17" i="17"/>
  <c r="K19" i="17"/>
  <c r="M28" i="17"/>
  <c r="F36" i="17"/>
  <c r="T55" i="17"/>
  <c r="AE55" i="17" s="1"/>
  <c r="N25" i="17"/>
  <c r="F25" i="17"/>
  <c r="L25" i="17"/>
  <c r="D25" i="17"/>
  <c r="K25" i="17"/>
  <c r="J25" i="17"/>
  <c r="Q25" i="17"/>
  <c r="I25" i="17"/>
  <c r="N33" i="17"/>
  <c r="F33" i="17"/>
  <c r="L33" i="17"/>
  <c r="D33" i="17"/>
  <c r="K33" i="17"/>
  <c r="J33" i="17"/>
  <c r="Q33" i="17"/>
  <c r="I33" i="17"/>
  <c r="C57" i="17"/>
  <c r="Q57" i="17" s="1"/>
  <c r="J27" i="17"/>
  <c r="P27" i="17"/>
  <c r="H27" i="17"/>
  <c r="O27" i="17"/>
  <c r="G27" i="17"/>
  <c r="N27" i="17"/>
  <c r="F27" i="17"/>
  <c r="M27" i="17"/>
  <c r="E27" i="17"/>
  <c r="O25" i="17"/>
  <c r="I27" i="17"/>
  <c r="N28" i="17"/>
  <c r="H33" i="17"/>
  <c r="K36" i="17"/>
  <c r="J19" i="17"/>
  <c r="P19" i="17"/>
  <c r="H19" i="17"/>
  <c r="O19" i="17"/>
  <c r="G19" i="17"/>
  <c r="N19" i="17"/>
  <c r="F19" i="17"/>
  <c r="M19" i="17"/>
  <c r="E19" i="17"/>
  <c r="J35" i="17"/>
  <c r="P35" i="17"/>
  <c r="H35" i="17"/>
  <c r="O35" i="17"/>
  <c r="G35" i="17"/>
  <c r="N35" i="17"/>
  <c r="F35" i="17"/>
  <c r="M35" i="17"/>
  <c r="E35" i="17"/>
  <c r="Q19" i="17"/>
  <c r="P25" i="17"/>
  <c r="K27" i="17"/>
  <c r="M33" i="17"/>
  <c r="D35" i="17"/>
  <c r="M36" i="17"/>
  <c r="E40" i="17"/>
  <c r="F44" i="14" s="1"/>
  <c r="K18" i="17"/>
  <c r="I21" i="17"/>
  <c r="Q21" i="17"/>
  <c r="K22" i="17"/>
  <c r="E23" i="17"/>
  <c r="M23" i="17"/>
  <c r="G24" i="17"/>
  <c r="O24" i="17"/>
  <c r="K26" i="17"/>
  <c r="I29" i="17"/>
  <c r="Q29" i="17"/>
  <c r="K30" i="17"/>
  <c r="E31" i="17"/>
  <c r="M31" i="17"/>
  <c r="G32" i="17"/>
  <c r="O32" i="17"/>
  <c r="K34" i="17"/>
  <c r="I37" i="17"/>
  <c r="Q37" i="17"/>
  <c r="K38" i="17"/>
  <c r="E39" i="17"/>
  <c r="M39" i="17"/>
  <c r="Q40" i="17"/>
  <c r="D18" i="17"/>
  <c r="L18" i="17"/>
  <c r="J21" i="17"/>
  <c r="D22" i="17"/>
  <c r="L22" i="17"/>
  <c r="F23" i="17"/>
  <c r="N23" i="17"/>
  <c r="H24" i="17"/>
  <c r="P24" i="17"/>
  <c r="D26" i="17"/>
  <c r="L26" i="17"/>
  <c r="J29" i="17"/>
  <c r="D30" i="17"/>
  <c r="L30" i="17"/>
  <c r="F31" i="17"/>
  <c r="N31" i="17"/>
  <c r="H32" i="17"/>
  <c r="P32" i="17"/>
  <c r="D34" i="17"/>
  <c r="L34" i="17"/>
  <c r="J37" i="17"/>
  <c r="D38" i="17"/>
  <c r="L38" i="17"/>
  <c r="F39" i="17"/>
  <c r="N39" i="17"/>
  <c r="E18" i="17"/>
  <c r="M18" i="17"/>
  <c r="K21" i="17"/>
  <c r="E22" i="17"/>
  <c r="M22" i="17"/>
  <c r="G23" i="17"/>
  <c r="O23" i="17"/>
  <c r="I24" i="17"/>
  <c r="Q24" i="17"/>
  <c r="E26" i="17"/>
  <c r="M26" i="17"/>
  <c r="K29" i="17"/>
  <c r="E30" i="17"/>
  <c r="M30" i="17"/>
  <c r="G31" i="17"/>
  <c r="O31" i="17"/>
  <c r="I32" i="17"/>
  <c r="Q32" i="17"/>
  <c r="E34" i="17"/>
  <c r="M34" i="17"/>
  <c r="K37" i="17"/>
  <c r="E38" i="17"/>
  <c r="M38" i="17"/>
  <c r="G39" i="17"/>
  <c r="O39" i="17"/>
  <c r="F40" i="17"/>
  <c r="G44" i="14" s="1"/>
  <c r="F18" i="17"/>
  <c r="N18" i="17"/>
  <c r="D21" i="17"/>
  <c r="L21" i="17"/>
  <c r="F22" i="17"/>
  <c r="N22" i="17"/>
  <c r="H23" i="17"/>
  <c r="P23" i="17"/>
  <c r="J24" i="17"/>
  <c r="F26" i="17"/>
  <c r="N26" i="17"/>
  <c r="D29" i="17"/>
  <c r="L29" i="17"/>
  <c r="F30" i="17"/>
  <c r="N30" i="17"/>
  <c r="H31" i="17"/>
  <c r="P31" i="17"/>
  <c r="J32" i="17"/>
  <c r="F34" i="17"/>
  <c r="N34" i="17"/>
  <c r="D37" i="17"/>
  <c r="L37" i="17"/>
  <c r="F38" i="17"/>
  <c r="N38" i="17"/>
  <c r="H39" i="17"/>
  <c r="P39" i="17"/>
  <c r="M40" i="17"/>
  <c r="N44" i="14" s="1"/>
  <c r="H18" i="17"/>
  <c r="F21" i="17"/>
  <c r="N21" i="17"/>
  <c r="H22" i="17"/>
  <c r="P22" i="17"/>
  <c r="D24" i="17"/>
  <c r="H26" i="17"/>
  <c r="F29" i="17"/>
  <c r="H30" i="17"/>
  <c r="P30" i="17"/>
  <c r="D32" i="17"/>
  <c r="L32" i="17"/>
  <c r="H34" i="17"/>
  <c r="F37" i="17"/>
  <c r="H38" i="17"/>
  <c r="Q52" i="17"/>
  <c r="Q60" i="17"/>
  <c r="H17" i="17"/>
  <c r="P17" i="17"/>
  <c r="I17" i="17"/>
  <c r="Q17" i="17"/>
  <c r="J17" i="17"/>
  <c r="D17" i="17"/>
  <c r="K52" i="17"/>
  <c r="K40" i="17"/>
  <c r="L44" i="14" s="1"/>
  <c r="J40" i="17"/>
  <c r="K44" i="14" s="1"/>
  <c r="L40" i="17"/>
  <c r="M44" i="14" s="1"/>
  <c r="G40" i="17"/>
  <c r="H44" i="14" s="1"/>
  <c r="O40" i="17"/>
  <c r="Q44" i="14" s="1"/>
  <c r="I40" i="17"/>
  <c r="J44" i="14" s="1"/>
  <c r="T36" i="17"/>
  <c r="Z36" i="17" s="1"/>
  <c r="C47" i="17"/>
  <c r="Q47" i="17" s="1"/>
  <c r="C66" i="17"/>
  <c r="M66" i="17" s="1"/>
  <c r="T17" i="17"/>
  <c r="T22" i="17"/>
  <c r="P52" i="17"/>
  <c r="T37" i="17"/>
  <c r="T30" i="17"/>
  <c r="T67" i="17"/>
  <c r="T29" i="17"/>
  <c r="T63" i="17"/>
  <c r="T33" i="17"/>
  <c r="T25" i="17"/>
  <c r="T51" i="17"/>
  <c r="T38" i="17"/>
  <c r="T48" i="17"/>
  <c r="C48" i="17"/>
  <c r="Q48" i="17" s="1"/>
  <c r="T18" i="17"/>
  <c r="T56" i="17"/>
  <c r="T26" i="17"/>
  <c r="T64" i="17"/>
  <c r="T34" i="17"/>
  <c r="C50" i="17"/>
  <c r="Q50" i="17" s="1"/>
  <c r="T57" i="17"/>
  <c r="T27" i="17"/>
  <c r="C58" i="17"/>
  <c r="Q58" i="17" s="1"/>
  <c r="T58" i="17"/>
  <c r="T28" i="17"/>
  <c r="C64" i="17"/>
  <c r="Q64" i="17" s="1"/>
  <c r="T50" i="17"/>
  <c r="J60" i="17"/>
  <c r="D60" i="17"/>
  <c r="L60" i="17"/>
  <c r="E60" i="17"/>
  <c r="M60" i="17"/>
  <c r="F60" i="17"/>
  <c r="N60" i="17"/>
  <c r="I60" i="17"/>
  <c r="K60" i="17"/>
  <c r="P60" i="17"/>
  <c r="C56" i="17"/>
  <c r="Q56" i="17" s="1"/>
  <c r="N62" i="17"/>
  <c r="T49" i="17"/>
  <c r="C49" i="17"/>
  <c r="Q49" i="17" s="1"/>
  <c r="T19" i="17"/>
  <c r="T65" i="17"/>
  <c r="T35" i="17"/>
  <c r="C65" i="17"/>
  <c r="Q65" i="17" s="1"/>
  <c r="T53" i="17"/>
  <c r="T23" i="17"/>
  <c r="T61" i="17"/>
  <c r="T31" i="17"/>
  <c r="C61" i="17"/>
  <c r="Q61" i="17" s="1"/>
  <c r="T69" i="17"/>
  <c r="C69" i="17"/>
  <c r="T39" i="17"/>
  <c r="W21" i="17"/>
  <c r="AE21" i="17"/>
  <c r="Z21" i="17"/>
  <c r="AA21" i="17"/>
  <c r="V21" i="17"/>
  <c r="X21" i="17"/>
  <c r="AB21" i="17"/>
  <c r="AC21" i="17"/>
  <c r="U21" i="17"/>
  <c r="Y21" i="17"/>
  <c r="AD21" i="17"/>
  <c r="C53" i="17"/>
  <c r="Q53" i="17" s="1"/>
  <c r="H62" i="17"/>
  <c r="J62" i="17"/>
  <c r="K62" i="17"/>
  <c r="D62" i="17"/>
  <c r="L62" i="17"/>
  <c r="P62" i="17"/>
  <c r="F62" i="17"/>
  <c r="G62" i="17"/>
  <c r="E62" i="17"/>
  <c r="I62" i="17"/>
  <c r="T66" i="17"/>
  <c r="G60" i="17"/>
  <c r="C51" i="17"/>
  <c r="Q51" i="17" s="1"/>
  <c r="C59" i="17"/>
  <c r="Q59" i="17" s="1"/>
  <c r="C63" i="17"/>
  <c r="Q63" i="17" s="1"/>
  <c r="T60" i="17"/>
  <c r="J52" i="17"/>
  <c r="D52" i="17"/>
  <c r="L52" i="17"/>
  <c r="E52" i="17"/>
  <c r="M52" i="17"/>
  <c r="F52" i="17"/>
  <c r="N52" i="17"/>
  <c r="H52" i="17"/>
  <c r="I52" i="17"/>
  <c r="T59" i="17"/>
  <c r="T54" i="17"/>
  <c r="C54" i="17"/>
  <c r="Q54" i="17" s="1"/>
  <c r="T62" i="17"/>
  <c r="T70" i="17"/>
  <c r="C70" i="17"/>
  <c r="T40" i="17"/>
  <c r="T32" i="17"/>
  <c r="T24" i="17"/>
  <c r="C68" i="17"/>
  <c r="T47" i="17"/>
  <c r="C55" i="17"/>
  <c r="Q55" i="17" s="1"/>
  <c r="C67" i="17"/>
  <c r="T68" i="17"/>
  <c r="T52" i="17"/>
  <c r="E43" i="14"/>
  <c r="F66" i="17" l="1"/>
  <c r="U20" i="17"/>
  <c r="AA20" i="17"/>
  <c r="AE20" i="17"/>
  <c r="W20" i="17"/>
  <c r="U36" i="17"/>
  <c r="N66" i="17"/>
  <c r="AD20" i="17"/>
  <c r="AC20" i="17"/>
  <c r="V20" i="17"/>
  <c r="AB20" i="17"/>
  <c r="Z20" i="17"/>
  <c r="W36" i="17"/>
  <c r="V36" i="17"/>
  <c r="AA36" i="17"/>
  <c r="X36" i="17"/>
  <c r="H66" i="17"/>
  <c r="AB55" i="17"/>
  <c r="F57" i="17"/>
  <c r="Z55" i="17"/>
  <c r="H57" i="17"/>
  <c r="U55" i="17"/>
  <c r="G57" i="17"/>
  <c r="Y55" i="17"/>
  <c r="I57" i="17"/>
  <c r="V55" i="17"/>
  <c r="AG56" i="17"/>
  <c r="AF56" i="17"/>
  <c r="AH56" i="17"/>
  <c r="AH60" i="17"/>
  <c r="AG60" i="17"/>
  <c r="AF60" i="17"/>
  <c r="Y37" i="17"/>
  <c r="AH37" i="17"/>
  <c r="AG37" i="17"/>
  <c r="AF37" i="17"/>
  <c r="AF70" i="17"/>
  <c r="AG70" i="17"/>
  <c r="AH70" i="17"/>
  <c r="AG31" i="17"/>
  <c r="AF31" i="17"/>
  <c r="AH31" i="17"/>
  <c r="AF50" i="17"/>
  <c r="AH50" i="17"/>
  <c r="AG50" i="17"/>
  <c r="AG18" i="17"/>
  <c r="AF18" i="17"/>
  <c r="AH18" i="17"/>
  <c r="U51" i="17"/>
  <c r="AH51" i="17"/>
  <c r="AG51" i="17"/>
  <c r="AF51" i="17"/>
  <c r="AG23" i="17"/>
  <c r="AF23" i="17"/>
  <c r="AH23" i="17"/>
  <c r="AG28" i="17"/>
  <c r="AH28" i="17"/>
  <c r="AF28" i="17"/>
  <c r="AG48" i="17"/>
  <c r="AF48" i="17"/>
  <c r="AH48" i="17"/>
  <c r="AH33" i="17"/>
  <c r="AG33" i="17"/>
  <c r="AF33" i="17"/>
  <c r="AG17" i="17"/>
  <c r="AH17" i="17"/>
  <c r="AF17" i="17"/>
  <c r="Q68" i="17"/>
  <c r="P68" i="17"/>
  <c r="O68" i="17"/>
  <c r="AF54" i="17"/>
  <c r="AH54" i="17"/>
  <c r="AG54" i="17"/>
  <c r="AA55" i="17"/>
  <c r="X55" i="17"/>
  <c r="AH53" i="17"/>
  <c r="AG53" i="17"/>
  <c r="AF53" i="17"/>
  <c r="AF58" i="17"/>
  <c r="AH58" i="17"/>
  <c r="AG58" i="17"/>
  <c r="N57" i="17"/>
  <c r="L57" i="17"/>
  <c r="AC63" i="17"/>
  <c r="AG63" i="17"/>
  <c r="AH63" i="17"/>
  <c r="AF63" i="17"/>
  <c r="G66" i="17"/>
  <c r="Q66" i="17"/>
  <c r="AH52" i="17"/>
  <c r="AG52" i="17"/>
  <c r="AF52" i="17"/>
  <c r="AG57" i="17"/>
  <c r="AF57" i="17"/>
  <c r="AH57" i="17"/>
  <c r="AG26" i="17"/>
  <c r="AF26" i="17"/>
  <c r="AH26" i="17"/>
  <c r="AH68" i="17"/>
  <c r="AG68" i="17"/>
  <c r="AF68" i="17"/>
  <c r="O70" i="17"/>
  <c r="P70" i="17"/>
  <c r="R46" i="14" s="1"/>
  <c r="Q70" i="17"/>
  <c r="AG65" i="17"/>
  <c r="AF65" i="17"/>
  <c r="AH65" i="17"/>
  <c r="AC38" i="17"/>
  <c r="AH38" i="17"/>
  <c r="AG38" i="17"/>
  <c r="AF38" i="17"/>
  <c r="Q67" i="17"/>
  <c r="O67" i="17"/>
  <c r="P67" i="17"/>
  <c r="AF62" i="17"/>
  <c r="AH62" i="17"/>
  <c r="AG62" i="17"/>
  <c r="AH61" i="17"/>
  <c r="AG61" i="17"/>
  <c r="AF61" i="17"/>
  <c r="AF47" i="17"/>
  <c r="AG47" i="17"/>
  <c r="AH47" i="17"/>
  <c r="AG49" i="17"/>
  <c r="AF49" i="17"/>
  <c r="AH49" i="17"/>
  <c r="E57" i="17"/>
  <c r="AG24" i="17"/>
  <c r="AF24" i="17"/>
  <c r="AH24" i="17"/>
  <c r="AH59" i="17"/>
  <c r="AG59" i="17"/>
  <c r="AF59" i="17"/>
  <c r="AG39" i="17"/>
  <c r="AF39" i="17"/>
  <c r="AH39" i="17"/>
  <c r="X51" i="17"/>
  <c r="AG34" i="17"/>
  <c r="AF34" i="17"/>
  <c r="AH34" i="17"/>
  <c r="P57" i="17"/>
  <c r="D57" i="17"/>
  <c r="AH29" i="17"/>
  <c r="AG29" i="17"/>
  <c r="AF29" i="17"/>
  <c r="Y20" i="17"/>
  <c r="AG20" i="17"/>
  <c r="AH20" i="17"/>
  <c r="AF20" i="17"/>
  <c r="AG40" i="17"/>
  <c r="R45" i="14" s="1"/>
  <c r="AF40" i="17"/>
  <c r="Q45" i="14" s="1"/>
  <c r="AH40" i="17"/>
  <c r="AH69" i="17"/>
  <c r="AG69" i="17"/>
  <c r="AF69" i="17"/>
  <c r="AH35" i="17"/>
  <c r="AG35" i="17"/>
  <c r="AF35" i="17"/>
  <c r="AB30" i="17"/>
  <c r="AH30" i="17"/>
  <c r="AG30" i="17"/>
  <c r="AF30" i="17"/>
  <c r="AH19" i="17"/>
  <c r="AG19" i="17"/>
  <c r="AF19" i="17"/>
  <c r="M57" i="17"/>
  <c r="AG25" i="17"/>
  <c r="AH25" i="17"/>
  <c r="AF25" i="17"/>
  <c r="Z22" i="17"/>
  <c r="AH22" i="17"/>
  <c r="AG22" i="17"/>
  <c r="AF22" i="17"/>
  <c r="AC55" i="17"/>
  <c r="AF55" i="17"/>
  <c r="AG55" i="17"/>
  <c r="AH55" i="17"/>
  <c r="AD55" i="17"/>
  <c r="AG32" i="17"/>
  <c r="AF32" i="17"/>
  <c r="AH32" i="17"/>
  <c r="AF66" i="17"/>
  <c r="AH66" i="17"/>
  <c r="AG66" i="17"/>
  <c r="W55" i="17"/>
  <c r="Q69" i="17"/>
  <c r="P69" i="17"/>
  <c r="O69" i="17"/>
  <c r="AD22" i="17"/>
  <c r="AH27" i="17"/>
  <c r="AG27" i="17"/>
  <c r="AF27" i="17"/>
  <c r="AG64" i="17"/>
  <c r="AF64" i="17"/>
  <c r="AH64" i="17"/>
  <c r="J57" i="17"/>
  <c r="K57" i="17"/>
  <c r="Y67" i="17"/>
  <c r="AH67" i="17"/>
  <c r="AG67" i="17"/>
  <c r="AF67" i="17"/>
  <c r="AE36" i="17"/>
  <c r="AG36" i="17"/>
  <c r="AH36" i="17"/>
  <c r="AF36" i="17"/>
  <c r="M47" i="17"/>
  <c r="AB36" i="17"/>
  <c r="L66" i="17"/>
  <c r="U37" i="17"/>
  <c r="AD36" i="17"/>
  <c r="I66" i="17"/>
  <c r="V51" i="17"/>
  <c r="AC36" i="17"/>
  <c r="Y36" i="17"/>
  <c r="E66" i="17"/>
  <c r="E47" i="17"/>
  <c r="F47" i="17"/>
  <c r="AB17" i="17"/>
  <c r="G47" i="17"/>
  <c r="AD29" i="17"/>
  <c r="N47" i="17"/>
  <c r="K47" i="17"/>
  <c r="AA29" i="17"/>
  <c r="AE17" i="17"/>
  <c r="AE51" i="17"/>
  <c r="Z25" i="17"/>
  <c r="AD25" i="17"/>
  <c r="P47" i="17"/>
  <c r="L47" i="17"/>
  <c r="D47" i="17"/>
  <c r="W51" i="17"/>
  <c r="H47" i="17"/>
  <c r="I47" i="17"/>
  <c r="X25" i="17"/>
  <c r="AC17" i="17"/>
  <c r="AB51" i="17"/>
  <c r="V17" i="17"/>
  <c r="J47" i="17"/>
  <c r="AA17" i="17"/>
  <c r="AA51" i="17"/>
  <c r="U17" i="17"/>
  <c r="Z17" i="17"/>
  <c r="AD17" i="17"/>
  <c r="Z63" i="17"/>
  <c r="Z51" i="17"/>
  <c r="AC29" i="17"/>
  <c r="W22" i="17"/>
  <c r="K66" i="17"/>
  <c r="D66" i="17"/>
  <c r="Y17" i="17"/>
  <c r="X29" i="17"/>
  <c r="X22" i="17"/>
  <c r="W33" i="17"/>
  <c r="W17" i="17"/>
  <c r="AA63" i="17"/>
  <c r="AC51" i="17"/>
  <c r="AB29" i="17"/>
  <c r="V22" i="17"/>
  <c r="AC22" i="17"/>
  <c r="U33" i="17"/>
  <c r="AC33" i="17"/>
  <c r="AD51" i="17"/>
  <c r="AE22" i="17"/>
  <c r="P66" i="17"/>
  <c r="X63" i="17"/>
  <c r="U29" i="17"/>
  <c r="Y51" i="17"/>
  <c r="U22" i="17"/>
  <c r="J66" i="17"/>
  <c r="AE63" i="17"/>
  <c r="AE25" i="17"/>
  <c r="W38" i="17"/>
  <c r="AC37" i="17"/>
  <c r="U25" i="17"/>
  <c r="AE67" i="17"/>
  <c r="AB22" i="17"/>
  <c r="AE38" i="17"/>
  <c r="W63" i="17"/>
  <c r="W25" i="17"/>
  <c r="AC25" i="17"/>
  <c r="AA22" i="17"/>
  <c r="X38" i="17"/>
  <c r="Y63" i="17"/>
  <c r="AA30" i="17"/>
  <c r="AB25" i="17"/>
  <c r="AA25" i="17"/>
  <c r="Y22" i="17"/>
  <c r="U63" i="17"/>
  <c r="AD63" i="17"/>
  <c r="X17" i="17"/>
  <c r="X67" i="17"/>
  <c r="U38" i="17"/>
  <c r="AD37" i="17"/>
  <c r="AD38" i="17"/>
  <c r="Z67" i="17"/>
  <c r="Y30" i="17"/>
  <c r="Z33" i="17"/>
  <c r="AB33" i="17"/>
  <c r="W30" i="17"/>
  <c r="U67" i="17"/>
  <c r="Z37" i="17"/>
  <c r="Z29" i="17"/>
  <c r="AB38" i="17"/>
  <c r="V63" i="17"/>
  <c r="AB63" i="17"/>
  <c r="AB37" i="17"/>
  <c r="Z38" i="17"/>
  <c r="AD33" i="17"/>
  <c r="V37" i="17"/>
  <c r="AD67" i="17"/>
  <c r="AA38" i="17"/>
  <c r="V30" i="17"/>
  <c r="X30" i="17"/>
  <c r="AA37" i="17"/>
  <c r="X37" i="17"/>
  <c r="AE30" i="17"/>
  <c r="AA33" i="17"/>
  <c r="V33" i="17"/>
  <c r="Y33" i="17"/>
  <c r="V29" i="17"/>
  <c r="Y29" i="17"/>
  <c r="X33" i="17"/>
  <c r="U30" i="17"/>
  <c r="AB67" i="17"/>
  <c r="AE37" i="17"/>
  <c r="AE29" i="17"/>
  <c r="Y38" i="17"/>
  <c r="AD30" i="17"/>
  <c r="V67" i="17"/>
  <c r="Z30" i="17"/>
  <c r="AC67" i="17"/>
  <c r="AE33" i="17"/>
  <c r="W67" i="17"/>
  <c r="AA67" i="17"/>
  <c r="AC30" i="17"/>
  <c r="W37" i="17"/>
  <c r="W29" i="17"/>
  <c r="V38" i="17"/>
  <c r="V25" i="17"/>
  <c r="Y25" i="17"/>
  <c r="G67" i="17"/>
  <c r="I67" i="17"/>
  <c r="J67" i="17"/>
  <c r="K67" i="17"/>
  <c r="N67" i="17"/>
  <c r="E67" i="17"/>
  <c r="F67" i="17"/>
  <c r="D67" i="17"/>
  <c r="H67" i="17"/>
  <c r="M67" i="17"/>
  <c r="L67" i="17"/>
  <c r="F64" i="17"/>
  <c r="N64" i="17"/>
  <c r="H64" i="17"/>
  <c r="I64" i="17"/>
  <c r="J64" i="17"/>
  <c r="E64" i="17"/>
  <c r="G64" i="17"/>
  <c r="L64" i="17"/>
  <c r="M64" i="17"/>
  <c r="D64" i="17"/>
  <c r="K64" i="17"/>
  <c r="P64" i="17"/>
  <c r="U58" i="17"/>
  <c r="AC58" i="17"/>
  <c r="X58" i="17"/>
  <c r="Y58" i="17"/>
  <c r="AD58" i="17"/>
  <c r="AE58" i="17"/>
  <c r="V58" i="17"/>
  <c r="W58" i="17"/>
  <c r="Z58" i="17"/>
  <c r="AA58" i="17"/>
  <c r="AB58" i="17"/>
  <c r="X28" i="17"/>
  <c r="Y28" i="17"/>
  <c r="AA28" i="17"/>
  <c r="AB28" i="17"/>
  <c r="U28" i="17"/>
  <c r="V28" i="17"/>
  <c r="W28" i="17"/>
  <c r="Z28" i="17"/>
  <c r="AC28" i="17"/>
  <c r="AD28" i="17"/>
  <c r="AE28" i="17"/>
  <c r="D58" i="17"/>
  <c r="L58" i="17"/>
  <c r="F58" i="17"/>
  <c r="N58" i="17"/>
  <c r="G58" i="17"/>
  <c r="P58" i="17"/>
  <c r="H58" i="17"/>
  <c r="E58" i="17"/>
  <c r="J58" i="17"/>
  <c r="K58" i="17"/>
  <c r="I58" i="17"/>
  <c r="M58" i="17"/>
  <c r="X32" i="17"/>
  <c r="U32" i="17"/>
  <c r="Y32" i="17"/>
  <c r="AA32" i="17"/>
  <c r="AB32" i="17"/>
  <c r="V32" i="17"/>
  <c r="W32" i="17"/>
  <c r="Z32" i="17"/>
  <c r="AC32" i="17"/>
  <c r="AD32" i="17"/>
  <c r="AE32" i="17"/>
  <c r="Z49" i="17"/>
  <c r="AB49" i="17"/>
  <c r="U49" i="17"/>
  <c r="AC49" i="17"/>
  <c r="V49" i="17"/>
  <c r="AD49" i="17"/>
  <c r="X49" i="17"/>
  <c r="Y49" i="17"/>
  <c r="W49" i="17"/>
  <c r="AA49" i="17"/>
  <c r="AE49" i="17"/>
  <c r="K55" i="17"/>
  <c r="E55" i="17"/>
  <c r="M55" i="17"/>
  <c r="F55" i="17"/>
  <c r="N55" i="17"/>
  <c r="G55" i="17"/>
  <c r="P55" i="17"/>
  <c r="J55" i="17"/>
  <c r="L55" i="17"/>
  <c r="D55" i="17"/>
  <c r="I55" i="17"/>
  <c r="H55" i="17"/>
  <c r="X40" i="17"/>
  <c r="H45" i="14" s="1"/>
  <c r="U40" i="17"/>
  <c r="E45" i="14" s="1"/>
  <c r="Y40" i="17"/>
  <c r="I45" i="14" s="1"/>
  <c r="AA40" i="17"/>
  <c r="K45" i="14" s="1"/>
  <c r="AB40" i="17"/>
  <c r="L45" i="14" s="1"/>
  <c r="V40" i="17"/>
  <c r="F45" i="14" s="1"/>
  <c r="Z40" i="17"/>
  <c r="J45" i="14" s="1"/>
  <c r="W40" i="17"/>
  <c r="G45" i="14" s="1"/>
  <c r="AC40" i="17"/>
  <c r="M45" i="14" s="1"/>
  <c r="AD40" i="17"/>
  <c r="N45" i="14" s="1"/>
  <c r="AE40" i="17"/>
  <c r="O45" i="14" s="1"/>
  <c r="Y54" i="17"/>
  <c r="AB54" i="17"/>
  <c r="U54" i="17"/>
  <c r="AC54" i="17"/>
  <c r="AE54" i="17"/>
  <c r="W54" i="17"/>
  <c r="X54" i="17"/>
  <c r="V54" i="17"/>
  <c r="Z54" i="17"/>
  <c r="AA54" i="17"/>
  <c r="AD54" i="17"/>
  <c r="K63" i="17"/>
  <c r="E63" i="17"/>
  <c r="M63" i="17"/>
  <c r="F63" i="17"/>
  <c r="N63" i="17"/>
  <c r="G63" i="17"/>
  <c r="P63" i="17"/>
  <c r="D63" i="17"/>
  <c r="I63" i="17"/>
  <c r="J63" i="17"/>
  <c r="H63" i="17"/>
  <c r="L63" i="17"/>
  <c r="E53" i="17"/>
  <c r="M53" i="17"/>
  <c r="G53" i="17"/>
  <c r="P53" i="17"/>
  <c r="H53" i="17"/>
  <c r="I53" i="17"/>
  <c r="D53" i="17"/>
  <c r="F53" i="17"/>
  <c r="K53" i="17"/>
  <c r="L53" i="17"/>
  <c r="J53" i="17"/>
  <c r="N53" i="17"/>
  <c r="AB23" i="17"/>
  <c r="AC23" i="17"/>
  <c r="W23" i="17"/>
  <c r="AE23" i="17"/>
  <c r="X23" i="17"/>
  <c r="V23" i="17"/>
  <c r="Y23" i="17"/>
  <c r="U23" i="17"/>
  <c r="Z23" i="17"/>
  <c r="AA23" i="17"/>
  <c r="AD23" i="17"/>
  <c r="AB27" i="17"/>
  <c r="AC27" i="17"/>
  <c r="W27" i="17"/>
  <c r="AE27" i="17"/>
  <c r="U27" i="17"/>
  <c r="X27" i="17"/>
  <c r="V27" i="17"/>
  <c r="Y27" i="17"/>
  <c r="Z27" i="17"/>
  <c r="AA27" i="17"/>
  <c r="AD27" i="17"/>
  <c r="X34" i="17"/>
  <c r="Y34" i="17"/>
  <c r="AA34" i="17"/>
  <c r="AB34" i="17"/>
  <c r="AD34" i="17"/>
  <c r="U34" i="17"/>
  <c r="AE34" i="17"/>
  <c r="V34" i="17"/>
  <c r="W34" i="17"/>
  <c r="Z34" i="17"/>
  <c r="AC34" i="17"/>
  <c r="W56" i="17"/>
  <c r="AE56" i="17"/>
  <c r="Z56" i="17"/>
  <c r="AA56" i="17"/>
  <c r="AD56" i="17"/>
  <c r="V56" i="17"/>
  <c r="X56" i="17"/>
  <c r="U56" i="17"/>
  <c r="Y56" i="17"/>
  <c r="AB56" i="17"/>
  <c r="AC56" i="17"/>
  <c r="X24" i="17"/>
  <c r="U24" i="17"/>
  <c r="Y24" i="17"/>
  <c r="AA24" i="17"/>
  <c r="AB24" i="17"/>
  <c r="V24" i="17"/>
  <c r="W24" i="17"/>
  <c r="Z24" i="17"/>
  <c r="AC24" i="17"/>
  <c r="AD24" i="17"/>
  <c r="AE24" i="17"/>
  <c r="I49" i="17"/>
  <c r="K49" i="17"/>
  <c r="D49" i="17"/>
  <c r="L49" i="17"/>
  <c r="E49" i="17"/>
  <c r="M49" i="17"/>
  <c r="H49" i="17"/>
  <c r="J49" i="17"/>
  <c r="P49" i="17"/>
  <c r="F49" i="17"/>
  <c r="G49" i="17"/>
  <c r="N49" i="17"/>
  <c r="H54" i="17"/>
  <c r="J54" i="17"/>
  <c r="K54" i="17"/>
  <c r="D54" i="17"/>
  <c r="L54" i="17"/>
  <c r="G54" i="17"/>
  <c r="I54" i="17"/>
  <c r="N54" i="17"/>
  <c r="P54" i="17"/>
  <c r="E54" i="17"/>
  <c r="F54" i="17"/>
  <c r="M54" i="17"/>
  <c r="V69" i="17"/>
  <c r="AD69" i="17"/>
  <c r="Y69" i="17"/>
  <c r="Z69" i="17"/>
  <c r="AB69" i="17"/>
  <c r="AC69" i="17"/>
  <c r="U69" i="17"/>
  <c r="AE69" i="17"/>
  <c r="W69" i="17"/>
  <c r="AA69" i="17"/>
  <c r="X69" i="17"/>
  <c r="E61" i="17"/>
  <c r="M61" i="17"/>
  <c r="G61" i="17"/>
  <c r="P61" i="17"/>
  <c r="H61" i="17"/>
  <c r="I61" i="17"/>
  <c r="L61" i="17"/>
  <c r="N61" i="17"/>
  <c r="D61" i="17"/>
  <c r="J61" i="17"/>
  <c r="F61" i="17"/>
  <c r="K61" i="17"/>
  <c r="V53" i="17"/>
  <c r="AD53" i="17"/>
  <c r="X53" i="17"/>
  <c r="Y53" i="17"/>
  <c r="Z53" i="17"/>
  <c r="AC53" i="17"/>
  <c r="AE53" i="17"/>
  <c r="U53" i="17"/>
  <c r="W53" i="17"/>
  <c r="AA53" i="17"/>
  <c r="AB53" i="17"/>
  <c r="Z57" i="17"/>
  <c r="U57" i="17"/>
  <c r="AC57" i="17"/>
  <c r="V57" i="17"/>
  <c r="AD57" i="17"/>
  <c r="AE57" i="17"/>
  <c r="W57" i="17"/>
  <c r="X57" i="17"/>
  <c r="Y57" i="17"/>
  <c r="AA57" i="17"/>
  <c r="AB57" i="17"/>
  <c r="U66" i="17"/>
  <c r="AC66" i="17"/>
  <c r="X66" i="17"/>
  <c r="Y66" i="17"/>
  <c r="AB66" i="17"/>
  <c r="AD66" i="17"/>
  <c r="V66" i="17"/>
  <c r="W66" i="17"/>
  <c r="Z66" i="17"/>
  <c r="AA66" i="17"/>
  <c r="AE66" i="17"/>
  <c r="AB39" i="17"/>
  <c r="AC39" i="17"/>
  <c r="W39" i="17"/>
  <c r="AE39" i="17"/>
  <c r="X39" i="17"/>
  <c r="V39" i="17"/>
  <c r="Y39" i="17"/>
  <c r="U39" i="17"/>
  <c r="Z39" i="17"/>
  <c r="AA39" i="17"/>
  <c r="AD39" i="17"/>
  <c r="V61" i="17"/>
  <c r="AD61" i="17"/>
  <c r="Y61" i="17"/>
  <c r="Z61" i="17"/>
  <c r="AC61" i="17"/>
  <c r="AE61" i="17"/>
  <c r="U61" i="17"/>
  <c r="W61" i="17"/>
  <c r="X61" i="17"/>
  <c r="AA61" i="17"/>
  <c r="AB61" i="17"/>
  <c r="W19" i="17"/>
  <c r="AE19" i="17"/>
  <c r="Z19" i="17"/>
  <c r="AA19" i="17"/>
  <c r="V19" i="17"/>
  <c r="Y19" i="17"/>
  <c r="U19" i="17"/>
  <c r="AB19" i="17"/>
  <c r="X19" i="17"/>
  <c r="AC19" i="17"/>
  <c r="AD19" i="17"/>
  <c r="X26" i="17"/>
  <c r="Y26" i="17"/>
  <c r="AA26" i="17"/>
  <c r="AB26" i="17"/>
  <c r="AD26" i="17"/>
  <c r="AE26" i="17"/>
  <c r="V26" i="17"/>
  <c r="U26" i="17"/>
  <c r="Z26" i="17"/>
  <c r="AC26" i="17"/>
  <c r="W26" i="17"/>
  <c r="F48" i="17"/>
  <c r="N48" i="17"/>
  <c r="H48" i="17"/>
  <c r="I48" i="17"/>
  <c r="J48" i="17"/>
  <c r="E48" i="17"/>
  <c r="G48" i="17"/>
  <c r="L48" i="17"/>
  <c r="M48" i="17"/>
  <c r="K48" i="17"/>
  <c r="P48" i="17"/>
  <c r="D48" i="17"/>
  <c r="E69" i="17"/>
  <c r="M69" i="17"/>
  <c r="G69" i="17"/>
  <c r="H69" i="17"/>
  <c r="I69" i="17"/>
  <c r="D69" i="17"/>
  <c r="F69" i="17"/>
  <c r="K69" i="17"/>
  <c r="L69" i="17"/>
  <c r="J69" i="17"/>
  <c r="N69" i="17"/>
  <c r="I65" i="17"/>
  <c r="K65" i="17"/>
  <c r="D65" i="17"/>
  <c r="L65" i="17"/>
  <c r="E65" i="17"/>
  <c r="M65" i="17"/>
  <c r="H65" i="17"/>
  <c r="J65" i="17"/>
  <c r="P65" i="17"/>
  <c r="N65" i="17"/>
  <c r="F65" i="17"/>
  <c r="G65" i="17"/>
  <c r="AA60" i="17"/>
  <c r="V60" i="17"/>
  <c r="AD60" i="17"/>
  <c r="W60" i="17"/>
  <c r="AE60" i="17"/>
  <c r="AC60" i="17"/>
  <c r="U60" i="17"/>
  <c r="X60" i="17"/>
  <c r="Y60" i="17"/>
  <c r="Z60" i="17"/>
  <c r="AB60" i="17"/>
  <c r="W48" i="17"/>
  <c r="AE48" i="17"/>
  <c r="Y48" i="17"/>
  <c r="Z48" i="17"/>
  <c r="AA48" i="17"/>
  <c r="AD48" i="17"/>
  <c r="U48" i="17"/>
  <c r="V48" i="17"/>
  <c r="X48" i="17"/>
  <c r="AB48" i="17"/>
  <c r="AC48" i="17"/>
  <c r="H70" i="17"/>
  <c r="I46" i="14" s="1"/>
  <c r="J70" i="17"/>
  <c r="K46" i="14" s="1"/>
  <c r="K70" i="17"/>
  <c r="L46" i="14" s="1"/>
  <c r="D70" i="17"/>
  <c r="E46" i="14" s="1"/>
  <c r="L70" i="17"/>
  <c r="M46" i="14" s="1"/>
  <c r="G70" i="17"/>
  <c r="H46" i="14" s="1"/>
  <c r="I70" i="17"/>
  <c r="J46" i="14" s="1"/>
  <c r="N70" i="17"/>
  <c r="O46" i="14" s="1"/>
  <c r="M70" i="17"/>
  <c r="N46" i="14" s="1"/>
  <c r="E70" i="17"/>
  <c r="F46" i="14" s="1"/>
  <c r="F70" i="17"/>
  <c r="G46" i="14" s="1"/>
  <c r="G59" i="17"/>
  <c r="P59" i="17"/>
  <c r="I59" i="17"/>
  <c r="J59" i="17"/>
  <c r="K59" i="17"/>
  <c r="F59" i="17"/>
  <c r="H59" i="17"/>
  <c r="M59" i="17"/>
  <c r="N59" i="17"/>
  <c r="D59" i="17"/>
  <c r="E59" i="17"/>
  <c r="L59" i="17"/>
  <c r="F56" i="17"/>
  <c r="N56" i="17"/>
  <c r="H56" i="17"/>
  <c r="I56" i="17"/>
  <c r="J56" i="17"/>
  <c r="M56" i="17"/>
  <c r="P56" i="17"/>
  <c r="D56" i="17"/>
  <c r="E56" i="17"/>
  <c r="G56" i="17"/>
  <c r="K56" i="17"/>
  <c r="L56" i="17"/>
  <c r="W64" i="17"/>
  <c r="AE64" i="17"/>
  <c r="Z64" i="17"/>
  <c r="AA64" i="17"/>
  <c r="AC64" i="17"/>
  <c r="AD64" i="17"/>
  <c r="U64" i="17"/>
  <c r="V64" i="17"/>
  <c r="X64" i="17"/>
  <c r="Y64" i="17"/>
  <c r="AB64" i="17"/>
  <c r="J68" i="17"/>
  <c r="D68" i="17"/>
  <c r="L68" i="17"/>
  <c r="E68" i="17"/>
  <c r="M68" i="17"/>
  <c r="F68" i="17"/>
  <c r="N68" i="17"/>
  <c r="H68" i="17"/>
  <c r="I68" i="17"/>
  <c r="G68" i="17"/>
  <c r="K68" i="17"/>
  <c r="Y62" i="17"/>
  <c r="AB62" i="17"/>
  <c r="U62" i="17"/>
  <c r="AC62" i="17"/>
  <c r="AD62" i="17"/>
  <c r="AE62" i="17"/>
  <c r="V62" i="17"/>
  <c r="W62" i="17"/>
  <c r="X62" i="17"/>
  <c r="Z62" i="17"/>
  <c r="AA62" i="17"/>
  <c r="AA52" i="17"/>
  <c r="U52" i="17"/>
  <c r="AC52" i="17"/>
  <c r="V52" i="17"/>
  <c r="AD52" i="17"/>
  <c r="W52" i="17"/>
  <c r="AE52" i="17"/>
  <c r="Z52" i="17"/>
  <c r="AB52" i="17"/>
  <c r="X52" i="17"/>
  <c r="Y52" i="17"/>
  <c r="Y70" i="17"/>
  <c r="AB70" i="17"/>
  <c r="U70" i="17"/>
  <c r="AC70" i="17"/>
  <c r="AA70" i="17"/>
  <c r="AD70" i="17"/>
  <c r="V70" i="17"/>
  <c r="W70" i="17"/>
  <c r="X70" i="17"/>
  <c r="Z70" i="17"/>
  <c r="AE70" i="17"/>
  <c r="AB35" i="17"/>
  <c r="AC35" i="17"/>
  <c r="W35" i="17"/>
  <c r="AE35" i="17"/>
  <c r="U35" i="17"/>
  <c r="X35" i="17"/>
  <c r="V35" i="17"/>
  <c r="Y35" i="17"/>
  <c r="Z35" i="17"/>
  <c r="AD35" i="17"/>
  <c r="AA35" i="17"/>
  <c r="D50" i="17"/>
  <c r="L50" i="17"/>
  <c r="F50" i="17"/>
  <c r="N50" i="17"/>
  <c r="G50" i="17"/>
  <c r="P50" i="17"/>
  <c r="H50" i="17"/>
  <c r="K50" i="17"/>
  <c r="M50" i="17"/>
  <c r="E50" i="17"/>
  <c r="J50" i="17"/>
  <c r="I50" i="17"/>
  <c r="AA68" i="17"/>
  <c r="V68" i="17"/>
  <c r="AD68" i="17"/>
  <c r="W68" i="17"/>
  <c r="AE68" i="17"/>
  <c r="AB68" i="17"/>
  <c r="AC68" i="17"/>
  <c r="U68" i="17"/>
  <c r="X68" i="17"/>
  <c r="Y68" i="17"/>
  <c r="Z68" i="17"/>
  <c r="AE47" i="17"/>
  <c r="W47" i="17"/>
  <c r="AB47" i="17"/>
  <c r="AA47" i="17"/>
  <c r="V47" i="17"/>
  <c r="U47" i="17"/>
  <c r="AD47" i="17"/>
  <c r="AC47" i="17"/>
  <c r="Z47" i="17"/>
  <c r="Y47" i="17"/>
  <c r="X47" i="17"/>
  <c r="X59" i="17"/>
  <c r="AA59" i="17"/>
  <c r="AB59" i="17"/>
  <c r="AD59" i="17"/>
  <c r="AE59" i="17"/>
  <c r="V59" i="17"/>
  <c r="W59" i="17"/>
  <c r="U59" i="17"/>
  <c r="Y59" i="17"/>
  <c r="Z59" i="17"/>
  <c r="AC59" i="17"/>
  <c r="G51" i="17"/>
  <c r="P51" i="17"/>
  <c r="I51" i="17"/>
  <c r="J51" i="17"/>
  <c r="K51" i="17"/>
  <c r="N51" i="17"/>
  <c r="E51" i="17"/>
  <c r="F51" i="17"/>
  <c r="D51" i="17"/>
  <c r="H51" i="17"/>
  <c r="L51" i="17"/>
  <c r="M51" i="17"/>
  <c r="AB31" i="17"/>
  <c r="AC31" i="17"/>
  <c r="W31" i="17"/>
  <c r="AE31" i="17"/>
  <c r="X31" i="17"/>
  <c r="V31" i="17"/>
  <c r="Y31" i="17"/>
  <c r="Z31" i="17"/>
  <c r="U31" i="17"/>
  <c r="AA31" i="17"/>
  <c r="AD31" i="17"/>
  <c r="Z65" i="17"/>
  <c r="U65" i="17"/>
  <c r="AC65" i="17"/>
  <c r="V65" i="17"/>
  <c r="AD65" i="17"/>
  <c r="AB65" i="17"/>
  <c r="AE65" i="17"/>
  <c r="W65" i="17"/>
  <c r="X65" i="17"/>
  <c r="Y65" i="17"/>
  <c r="AA65" i="17"/>
  <c r="U50" i="17"/>
  <c r="AC50" i="17"/>
  <c r="W50" i="17"/>
  <c r="AE50" i="17"/>
  <c r="X50" i="17"/>
  <c r="Y50" i="17"/>
  <c r="V50" i="17"/>
  <c r="AA50" i="17"/>
  <c r="AB50" i="17"/>
  <c r="Z50" i="17"/>
  <c r="AD50" i="17"/>
  <c r="AA18" i="17"/>
  <c r="V18" i="17"/>
  <c r="AD18" i="17"/>
  <c r="W18" i="17"/>
  <c r="AE18" i="17"/>
  <c r="Y18" i="17"/>
  <c r="Z18" i="17"/>
  <c r="AC18" i="17"/>
  <c r="U18" i="17"/>
  <c r="X18" i="17"/>
  <c r="AB18" i="17"/>
  <c r="Q46" i="14" l="1"/>
  <c r="P46" i="14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exec CRT_SurveillanceReports_CollateralSummary_FHL"/>
  </connection>
  <connection id="2" name="LoanLevelQuery1" type="1" refreshedVersion="4" savePassword="1" saveData="1">
    <dbPr connection="DSN=Agency" command="exec CRT_SurveillanceReports_PerformanceSummary_FHL"/>
  </connection>
  <connection id="3" name="LoanLevelQuery2" type="1" refreshedVersion="4" savePassword="1" saveData="1">
    <dbPr connection="DSN=Agency" command="select BloombergDealName,BloombergBondName,YBName,Cusip,PricingDate,RefPoolId FROM fhl.Cello_CRTDealPoolMapping"/>
  </connection>
</connections>
</file>

<file path=xl/sharedStrings.xml><?xml version="1.0" encoding="utf-8"?>
<sst xmlns="http://schemas.openxmlformats.org/spreadsheetml/2006/main" count="847" uniqueCount="287">
  <si>
    <t>Database Env</t>
  </si>
  <si>
    <t>Save Data to DB</t>
  </si>
  <si>
    <t>As of Date</t>
  </si>
  <si>
    <t>Report Name</t>
  </si>
  <si>
    <t>No</t>
  </si>
  <si>
    <t>Report Folder</t>
  </si>
  <si>
    <t>PROD</t>
  </si>
  <si>
    <t>CPR %</t>
  </si>
  <si>
    <t>CDR %</t>
  </si>
  <si>
    <t>Sum of CPR</t>
  </si>
  <si>
    <t>Column Labels</t>
  </si>
  <si>
    <t>Row Labels</t>
  </si>
  <si>
    <t>DealID</t>
  </si>
  <si>
    <t>beginDate</t>
  </si>
  <si>
    <t>CPR</t>
  </si>
  <si>
    <t>CDR</t>
  </si>
  <si>
    <t>pct_dq</t>
  </si>
  <si>
    <t>cum_pp_pct</t>
  </si>
  <si>
    <t>cum_df_pct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</si>
  <si>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</si>
  <si>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</si>
  <si>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</si>
  <si>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</si>
  <si>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</si>
  <si>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</si>
  <si>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</si>
  <si>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</si>
  <si>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</si>
  <si>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</si>
  <si>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</si>
  <si>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lateNPL</t>
  </si>
  <si>
    <t xml:space="preserve"> CurrentLoanCount 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</si>
  <si>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</si>
  <si>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</si>
  <si>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</si>
  <si>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</si>
  <si>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</si>
  <si>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</si>
  <si>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</si>
  <si>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</si>
  <si>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</si>
  <si>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</si>
  <si>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</si>
  <si>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</si>
  <si>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</si>
  <si>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</si>
  <si>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</si>
  <si>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</si>
  <si>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</si>
  <si>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</si>
  <si>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</si>
  <si>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</si>
  <si>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</si>
  <si>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</si>
  <si>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</si>
  <si>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</si>
  <si>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</si>
  <si>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</si>
  <si>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</si>
  <si>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STACR 2013-DN1</t>
  </si>
  <si>
    <t>13DN01</t>
  </si>
  <si>
    <t>STACR 2013-DN2</t>
  </si>
  <si>
    <t>13DN02</t>
  </si>
  <si>
    <t>STACR 2014-DN1</t>
  </si>
  <si>
    <t>14DN01</t>
  </si>
  <si>
    <t>STACR 2014-DN2</t>
  </si>
  <si>
    <t>14DN02</t>
  </si>
  <si>
    <t>STACR 2014-DN3</t>
  </si>
  <si>
    <t>14DN03</t>
  </si>
  <si>
    <t>STACR 2014-DN4</t>
  </si>
  <si>
    <t>14DN04</t>
  </si>
  <si>
    <t>STACR 2014-HQ1</t>
  </si>
  <si>
    <t>14HQ01</t>
  </si>
  <si>
    <t>STACR 2014-HQ2</t>
  </si>
  <si>
    <t>14HQ02</t>
  </si>
  <si>
    <t>STACR 2014-HQ3</t>
  </si>
  <si>
    <t>14HQ03</t>
  </si>
  <si>
    <t>STACR 2015-DN1</t>
  </si>
  <si>
    <t>15DN01</t>
  </si>
  <si>
    <t>STACR 2015-DNA1</t>
  </si>
  <si>
    <t>15DNA1</t>
  </si>
  <si>
    <t>STACR 2015-DNA2</t>
  </si>
  <si>
    <t>15DNA2</t>
  </si>
  <si>
    <t>STACR 2015-HQ1</t>
  </si>
  <si>
    <t>15HQ01</t>
  </si>
  <si>
    <t>STACR 2015-HQ2</t>
  </si>
  <si>
    <t>15HQ02</t>
  </si>
  <si>
    <t>smm</t>
  </si>
  <si>
    <t>mdr</t>
  </si>
  <si>
    <t>Current Balance (M)</t>
  </si>
  <si>
    <t>Original Balance (M)</t>
  </si>
  <si>
    <t xml:space="preserve">Loan Age </t>
  </si>
  <si>
    <t xml:space="preserve">Current Note Rate 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</si>
  <si>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</si>
  <si>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</si>
  <si>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</si>
  <si>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</si>
  <si>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</si>
  <si>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</si>
  <si>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</si>
  <si>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</si>
  <si>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</si>
  <si>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</si>
  <si>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</si>
  <si>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</si>
  <si>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</si>
  <si>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</si>
  <si>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Current Month</t>
  </si>
  <si>
    <t>Cum_DF100</t>
  </si>
  <si>
    <t>DLQ100</t>
  </si>
  <si>
    <t>Sum of DLQ100</t>
  </si>
  <si>
    <t>Sum of Cum_DF100</t>
  </si>
  <si>
    <t>Cumulative Default</t>
  </si>
  <si>
    <t>Close Date:</t>
  </si>
  <si>
    <t>S:\IT\Production\Monthly Reports\CRT Surveillance Report\tmp</t>
  </si>
  <si>
    <t>Date</t>
  </si>
  <si>
    <t>Loan Characteristics</t>
  </si>
  <si>
    <t>Borrower Characteristics</t>
  </si>
  <si>
    <t>Property Characteristics</t>
  </si>
  <si>
    <t>Performance</t>
  </si>
  <si>
    <t>Mortgage Insurance</t>
  </si>
  <si>
    <t>Re-Performing Loan</t>
  </si>
  <si>
    <t>Early Non-Performing Loan</t>
  </si>
  <si>
    <t>1m CPR</t>
  </si>
  <si>
    <t>1m CDR</t>
  </si>
  <si>
    <t>* Always Performing Loan: Never missed a payment</t>
  </si>
  <si>
    <t xml:space="preserve">   Re-Performing Loan: Current, but has missed one or more payments in the past</t>
  </si>
  <si>
    <t xml:space="preserve">   Early Non-Performing Loan: Delinquent by one or two payments</t>
  </si>
  <si>
    <t>Always Performing Loan*</t>
  </si>
  <si>
    <t>2nd Lien Present</t>
  </si>
  <si>
    <t>BloombergDealName</t>
  </si>
  <si>
    <t>BloombergBondName</t>
  </si>
  <si>
    <t>YBName</t>
  </si>
  <si>
    <t>Cusip</t>
  </si>
  <si>
    <t>PricingDate</t>
  </si>
  <si>
    <t>STACR 2013-DN1 M1</t>
  </si>
  <si>
    <t>STACR13.DN1(M1)</t>
  </si>
  <si>
    <t>3137G0AA7</t>
  </si>
  <si>
    <t>STACR 2013-DN1 M2</t>
  </si>
  <si>
    <t>STACR13.DN1(M2)</t>
  </si>
  <si>
    <t>3137G0AB5</t>
  </si>
  <si>
    <t>STACR 2013-DN2 M1</t>
  </si>
  <si>
    <t>STACR13.DN2(M1)</t>
  </si>
  <si>
    <t>3137G0AC3</t>
  </si>
  <si>
    <t>STACR 2013-DN2 M2</t>
  </si>
  <si>
    <t>STACR13.DN2(M2)</t>
  </si>
  <si>
    <t>3137G0AD1</t>
  </si>
  <si>
    <t>STACR 2014-DN1 M1</t>
  </si>
  <si>
    <t>STACR14.DN1(M1)</t>
  </si>
  <si>
    <t>3137G0AK5</t>
  </si>
  <si>
    <t>STACR 2014-DN1 M2</t>
  </si>
  <si>
    <t>STACR14.DN1(M2)</t>
  </si>
  <si>
    <t>3137G0AL3</t>
  </si>
  <si>
    <t>STACR 2014-DN1 M3</t>
  </si>
  <si>
    <t>STACR14.DN1(M3)</t>
  </si>
  <si>
    <t>3137G0AM1</t>
  </si>
  <si>
    <t>STACR 2014-DN2 M1</t>
  </si>
  <si>
    <t>STACR14.DN2(M1)</t>
  </si>
  <si>
    <t>3137G0AW9</t>
  </si>
  <si>
    <t>STACR 2014-DN2 M2</t>
  </si>
  <si>
    <t>STACR14.DN2(M2)</t>
  </si>
  <si>
    <t>3137G0AX7</t>
  </si>
  <si>
    <t>STACR 2014-DN2 M3</t>
  </si>
  <si>
    <t>STACR14.DN2(M3)</t>
  </si>
  <si>
    <t>3137G0AY5</t>
  </si>
  <si>
    <t>STACR 2014-DN3 M1</t>
  </si>
  <si>
    <t>STACR14.DN3(M1)</t>
  </si>
  <si>
    <t>3137G0BH1</t>
  </si>
  <si>
    <t>STACR 2014-DN3 M2</t>
  </si>
  <si>
    <t>STACR14.DN3(M2)</t>
  </si>
  <si>
    <t>3137G0BJ7</t>
  </si>
  <si>
    <t>STACR 2014-DN3 M3</t>
  </si>
  <si>
    <t>STACR14.DN3(M3)</t>
  </si>
  <si>
    <t>3137G0BK4</t>
  </si>
  <si>
    <t>STACR 2014-DN4 M1</t>
  </si>
  <si>
    <t>STACR14.DN4(M1)</t>
  </si>
  <si>
    <t>3137G0CS6</t>
  </si>
  <si>
    <t>STACR 2014-DN4 M2</t>
  </si>
  <si>
    <t>STACR14.DN4(M2)</t>
  </si>
  <si>
    <t>3137G0CT4</t>
  </si>
  <si>
    <t>STACR 2014-DN4 M3</t>
  </si>
  <si>
    <t>STACR14.DN4(M3)</t>
  </si>
  <si>
    <t>3137G0CU1</t>
  </si>
  <si>
    <t>STACR 2014-HQ1 M1</t>
  </si>
  <si>
    <t>STACR14.HQ1(M1)</t>
  </si>
  <si>
    <t>3137G0BU2</t>
  </si>
  <si>
    <t>STACR 2014-HQ1 M2</t>
  </si>
  <si>
    <t>STACR14.HQ1(M2)</t>
  </si>
  <si>
    <t>3137G0BV0</t>
  </si>
  <si>
    <t>STACR 2014-HQ1 M3</t>
  </si>
  <si>
    <t>STACR14.HQ1(M3)</t>
  </si>
  <si>
    <t>3137G0BW8</t>
  </si>
  <si>
    <t>STACR 2014-HQ2 M1</t>
  </si>
  <si>
    <t>STACR14.HQ2(M1)</t>
  </si>
  <si>
    <t>3137G0CF4</t>
  </si>
  <si>
    <t>STACR 2014-HQ2 M2</t>
  </si>
  <si>
    <t>STACR14.HQ2(M2)</t>
  </si>
  <si>
    <t>3137G0CG2</t>
  </si>
  <si>
    <t>STACR 2014-HQ2 M3</t>
  </si>
  <si>
    <t>STACR14.HQ2(M3)</t>
  </si>
  <si>
    <t>3137G0CH0</t>
  </si>
  <si>
    <t>STACR 2014-HQ3 M1</t>
  </si>
  <si>
    <t>STACR14.HQ3(M1)</t>
  </si>
  <si>
    <t>3137G0DD8</t>
  </si>
  <si>
    <t>STACR 2014-HQ3 M2</t>
  </si>
  <si>
    <t>STACR14.HQ3(M2)</t>
  </si>
  <si>
    <t>3137G0DE6</t>
  </si>
  <si>
    <t>STACR 2014-HQ3 M3</t>
  </si>
  <si>
    <t>STACR14.HQ3(M3)</t>
  </si>
  <si>
    <t>3137G0DF3</t>
  </si>
  <si>
    <t>STACR 2015-DN1 M1</t>
  </si>
  <si>
    <t>STACR15.DN1(M1)</t>
  </si>
  <si>
    <t>3137G0DQ9</t>
  </si>
  <si>
    <t>STACR 2015-DN1 M2</t>
  </si>
  <si>
    <t>STACR15.DN1(M2)</t>
  </si>
  <si>
    <t>3137G0DT3</t>
  </si>
  <si>
    <t>STACR 2015-DN1 M3</t>
  </si>
  <si>
    <t>STACR15.DN1(M3)</t>
  </si>
  <si>
    <t>3137G0DW6</t>
  </si>
  <si>
    <t>STACR 2015-DN1 B</t>
  </si>
  <si>
    <t>STACR15.DN1(B)</t>
  </si>
  <si>
    <t>3137G0DZ9</t>
  </si>
  <si>
    <t>STACR 2015-HQ1 M1</t>
  </si>
  <si>
    <t>STACR15.HQ1(M1)</t>
  </si>
  <si>
    <t>3137G0EC9</t>
  </si>
  <si>
    <t>STACR 2015-HQ1 M2</t>
  </si>
  <si>
    <t>STACR15.HQ1(M2)</t>
  </si>
  <si>
    <t>3137G0EF2</t>
  </si>
  <si>
    <t>STACR 2015-HQ1 M3</t>
  </si>
  <si>
    <t>STACR15.HQ1(M3)</t>
  </si>
  <si>
    <t>3137G0EJ4</t>
  </si>
  <si>
    <t>STACR 2015-HQ1 B</t>
  </si>
  <si>
    <t>STACR15.HQ1(B)</t>
  </si>
  <si>
    <t>3137G0EM7</t>
  </si>
  <si>
    <t>STACR 2015-DNA1 M1</t>
  </si>
  <si>
    <t>STACR15.DNA1(M1)</t>
  </si>
  <si>
    <t>3137G0EQ8</t>
  </si>
  <si>
    <t>STACR 2015-DNA1 M2</t>
  </si>
  <si>
    <t>STACR15.DNA1(M2)</t>
  </si>
  <si>
    <t>3137G0ET2</t>
  </si>
  <si>
    <t>STACR 2015-DNA1 M3</t>
  </si>
  <si>
    <t>STACR15.DNA1(M3)</t>
  </si>
  <si>
    <t>3137G0EW5</t>
  </si>
  <si>
    <t>STACR 2015-DNA1 B</t>
  </si>
  <si>
    <t>STACR15.DNA1(B)</t>
  </si>
  <si>
    <t>3137G0EZ8</t>
  </si>
  <si>
    <t>STACR 2015-HQ2 M1</t>
  </si>
  <si>
    <t>STACR15.HQ2(M1)</t>
  </si>
  <si>
    <t>3137G0FC8</t>
  </si>
  <si>
    <t>STACR 2015-HQ2 M2</t>
  </si>
  <si>
    <t>STACR15.HQ2(M2)</t>
  </si>
  <si>
    <t>3137G0FF1</t>
  </si>
  <si>
    <t>STACR 2015-HQ2 M3</t>
  </si>
  <si>
    <t>STACR15.HQ2(M3)</t>
  </si>
  <si>
    <t>3137G0FJ3</t>
  </si>
  <si>
    <t>STACR 2015-HQ2 B</t>
  </si>
  <si>
    <t>STACR15.HQ2(B)</t>
  </si>
  <si>
    <t>3137G0FM6</t>
  </si>
  <si>
    <t>STACR 2015-DNA2 M1</t>
  </si>
  <si>
    <t>STACR15.DNA2(M1)</t>
  </si>
  <si>
    <t>3137G0FQ7</t>
  </si>
  <si>
    <t>STACR 2015-DNA2 M2</t>
  </si>
  <si>
    <t>STACR15.DNA2(M2)</t>
  </si>
  <si>
    <t>3137G0FT1</t>
  </si>
  <si>
    <t>STACR 2015-DNA2 M3</t>
  </si>
  <si>
    <t>STACR15.DNA2(M3)</t>
  </si>
  <si>
    <t>3137G0FW4</t>
  </si>
  <si>
    <t>STACR 2015-DNA2 B</t>
  </si>
  <si>
    <t>STACR15.DNA2(B)</t>
  </si>
  <si>
    <t>3137G0FZ7</t>
  </si>
  <si>
    <t>Pricing Date</t>
  </si>
  <si>
    <t>WAC</t>
  </si>
  <si>
    <t>GroupId</t>
  </si>
  <si>
    <t>factorDate</t>
  </si>
  <si>
    <t>wavg_currLoanSize</t>
  </si>
  <si>
    <t>pct_second</t>
  </si>
  <si>
    <t>pct_pud</t>
  </si>
  <si>
    <t>pct_condo</t>
  </si>
  <si>
    <t>pct_mh</t>
  </si>
  <si>
    <t>pct_coop</t>
  </si>
  <si>
    <t>pct_inv</t>
  </si>
  <si>
    <t>pct_refi_nco</t>
  </si>
  <si>
    <t>pct_refi_co</t>
  </si>
  <si>
    <t>pct_retail</t>
  </si>
  <si>
    <t>pct_corres</t>
  </si>
  <si>
    <t>15HQA1</t>
  </si>
  <si>
    <t>partialCurtailment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</si>
</sst>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  <numFmt numFmtId="197" formatCode="m/yyyy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</borders>
  <cellStyleXfs count="527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0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3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19" borderId="0" applyNumberFormat="0" applyBorder="0" applyAlignment="0" applyProtection="0"/>
    <xf numFmtId="0" fontId="10" fillId="15" borderId="0" applyNumberFormat="0" applyBorder="0" applyAlignment="0" applyProtection="0"/>
    <xf numFmtId="0" fontId="11" fillId="20" borderId="0" applyNumberFormat="0" applyBorder="0" applyAlignment="0" applyProtection="0"/>
    <xf numFmtId="0" fontId="12" fillId="12" borderId="0" applyNumberFormat="0" applyBorder="0" applyAlignment="0" applyProtection="0"/>
    <xf numFmtId="0" fontId="10" fillId="17" borderId="0" applyNumberFormat="0" applyBorder="0" applyAlignment="0" applyProtection="0"/>
    <xf numFmtId="0" fontId="11" fillId="14" borderId="0" applyNumberFormat="0" applyBorder="0" applyAlignment="0" applyProtection="0"/>
    <xf numFmtId="0" fontId="12" fillId="17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2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7" borderId="0" applyNumberFormat="0" applyBorder="0" applyAlignment="0" applyProtection="0"/>
    <xf numFmtId="0" fontId="13" fillId="22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0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28" borderId="0" applyNumberFormat="0" applyBorder="0" applyAlignment="0" applyProtection="0"/>
    <xf numFmtId="0" fontId="14" fillId="28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32" borderId="0" applyNumberFormat="0" applyBorder="0" applyAlignment="0" applyProtection="0"/>
    <xf numFmtId="0" fontId="15" fillId="22" borderId="0" applyNumberFormat="0" applyBorder="0" applyAlignment="0" applyProtection="0"/>
    <xf numFmtId="0" fontId="13" fillId="33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8" borderId="0" applyNumberFormat="0" applyBorder="0" applyAlignment="0" applyProtection="0"/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38" fontId="19" fillId="11" borderId="0"/>
    <xf numFmtId="0" fontId="20" fillId="0" borderId="0" applyNumberFormat="0" applyFill="0" applyBorder="0" applyAlignment="0" applyProtection="0"/>
    <xf numFmtId="0" fontId="21" fillId="34" borderId="0">
      <alignment horizontal="left"/>
    </xf>
    <xf numFmtId="2" fontId="22" fillId="35" borderId="6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8" fillId="36" borderId="0"/>
    <xf numFmtId="167" fontId="9" fillId="0" borderId="0" applyFont="0" applyFill="0" applyBorder="0" applyAlignment="0" applyProtection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68" fontId="26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7" fillId="11" borderId="7" applyNumberFormat="0" applyAlignment="0" applyProtection="0"/>
    <xf numFmtId="0" fontId="28" fillId="13" borderId="7" applyNumberFormat="0" applyAlignment="0" applyProtection="0"/>
    <xf numFmtId="0" fontId="29" fillId="15" borderId="7" applyNumberFormat="0" applyAlignment="0" applyProtection="0"/>
    <xf numFmtId="0" fontId="30" fillId="37" borderId="8" applyNumberFormat="0"/>
    <xf numFmtId="0" fontId="31" fillId="38" borderId="9" applyBorder="0">
      <alignment horizontal="center" wrapText="1"/>
    </xf>
    <xf numFmtId="0" fontId="31" fillId="39" borderId="9" applyBorder="0">
      <alignment horizontal="center" wrapText="1"/>
    </xf>
    <xf numFmtId="0" fontId="32" fillId="40" borderId="8" applyNumberFormat="0"/>
    <xf numFmtId="0" fontId="33" fillId="41" borderId="8" applyNumberFormat="0"/>
    <xf numFmtId="0" fontId="3" fillId="41" borderId="8" applyNumberFormat="0"/>
    <xf numFmtId="0" fontId="32" fillId="40" borderId="8" applyNumberFormat="0"/>
    <xf numFmtId="0" fontId="33" fillId="40" borderId="8" applyNumberFormat="0"/>
    <xf numFmtId="0" fontId="32" fillId="37" borderId="8" applyNumberFormat="0"/>
    <xf numFmtId="0" fontId="30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4" fillId="40" borderId="10" applyNumberFormat="0" applyAlignment="0"/>
    <xf numFmtId="14" fontId="34" fillId="41" borderId="10" applyNumberFormat="0" applyAlignment="0"/>
    <xf numFmtId="14" fontId="35" fillId="41" borderId="10" applyNumberFormat="0" applyAlignment="0"/>
    <xf numFmtId="0" fontId="36" fillId="42" borderId="11" applyNumberFormat="0" applyAlignment="0" applyProtection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0" borderId="0" applyNumberFormat="0" applyFill="0" applyBorder="0" applyAlignment="0" applyProtection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0" fontId="25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8" fontId="45" fillId="0" borderId="12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3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4" fontId="8" fillId="0" borderId="0" applyFont="0" applyFill="0" applyBorder="0" applyProtection="0"/>
    <xf numFmtId="175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5" fontId="11" fillId="11" borderId="0"/>
    <xf numFmtId="14" fontId="11" fillId="0" borderId="0" applyFill="0" applyBorder="0" applyAlignment="0"/>
    <xf numFmtId="0" fontId="44" fillId="35" borderId="0">
      <alignment horizontal="left"/>
    </xf>
    <xf numFmtId="176" fontId="8" fillId="0" borderId="0" applyFill="0" applyBorder="0" applyAlignment="0" applyProtection="0"/>
    <xf numFmtId="14" fontId="8" fillId="0" borderId="0"/>
    <xf numFmtId="0" fontId="47" fillId="18" borderId="0">
      <alignment horizontal="left"/>
    </xf>
    <xf numFmtId="0" fontId="48" fillId="0" borderId="0">
      <alignment horizontal="left"/>
    </xf>
    <xf numFmtId="38" fontId="49" fillId="0" borderId="13">
      <alignment vertical="center"/>
    </xf>
    <xf numFmtId="177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8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3" applyNumberFormat="0" applyBorder="0" applyAlignment="0">
      <protection locked="0"/>
    </xf>
    <xf numFmtId="179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0" fontId="8" fillId="0" borderId="0" applyFont="0" applyFill="0" applyBorder="0" applyAlignment="0" applyProtection="0"/>
    <xf numFmtId="0" fontId="11" fillId="11" borderId="0"/>
    <xf numFmtId="0" fontId="55" fillId="10" borderId="0" applyNumberFormat="0" applyBorder="0" applyAlignment="0" applyProtection="0"/>
    <xf numFmtId="0" fontId="56" fillId="14" borderId="0" applyNumberFormat="0" applyBorder="0" applyAlignment="0" applyProtection="0"/>
    <xf numFmtId="0" fontId="57" fillId="10" borderId="0" applyNumberFormat="0" applyBorder="0" applyAlignment="0" applyProtection="0"/>
    <xf numFmtId="2" fontId="58" fillId="35" borderId="6" applyProtection="0">
      <alignment horizontal="left"/>
      <protection locked="0"/>
    </xf>
    <xf numFmtId="38" fontId="39" fillId="43" borderId="0" applyNumberFormat="0" applyBorder="0" applyAlignment="0" applyProtection="0"/>
    <xf numFmtId="0" fontId="59" fillId="0" borderId="14" applyNumberFormat="0" applyAlignment="0" applyProtection="0">
      <alignment horizontal="left" vertical="center"/>
    </xf>
    <xf numFmtId="0" fontId="59" fillId="0" borderId="15">
      <alignment horizontal="left" vertical="center"/>
    </xf>
    <xf numFmtId="0" fontId="60" fillId="15" borderId="3">
      <alignment horizontal="centerContinuous"/>
    </xf>
    <xf numFmtId="0" fontId="61" fillId="0" borderId="16" applyNumberFormat="0" applyFill="0" applyAlignment="0" applyProtection="0"/>
    <xf numFmtId="0" fontId="62" fillId="0" borderId="17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19" applyNumberFormat="0" applyFill="0" applyAlignment="0" applyProtection="0"/>
    <xf numFmtId="0" fontId="69" fillId="0" borderId="21" applyNumberFormat="0" applyFill="0" applyAlignment="0" applyProtection="0"/>
    <xf numFmtId="0" fontId="70" fillId="0" borderId="22" applyNumberFormat="0" applyFill="0" applyAlignment="0" applyProtection="0"/>
    <xf numFmtId="0" fontId="71" fillId="0" borderId="23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1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4" borderId="3" applyNumberFormat="0" applyBorder="0" applyAlignment="0" applyProtection="0"/>
    <xf numFmtId="2" fontId="74" fillId="0" borderId="24" applyNumberFormat="0" applyFill="0" applyBorder="0" applyAlignment="0">
      <alignment horizontal="center"/>
      <protection locked="0"/>
    </xf>
    <xf numFmtId="2" fontId="74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78" fillId="0" borderId="25" applyNumberFormat="0" applyFill="0" applyAlignment="0" applyProtection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" fillId="43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1" borderId="0"/>
    <xf numFmtId="0" fontId="81" fillId="7" borderId="0" applyNumberFormat="0" applyBorder="0" applyAlignment="0" applyProtection="0"/>
    <xf numFmtId="0" fontId="82" fillId="12" borderId="0" applyNumberFormat="0" applyBorder="0" applyAlignment="0" applyProtection="0"/>
    <xf numFmtId="0" fontId="83" fillId="36" borderId="0" applyNumberFormat="0" applyBorder="0" applyAlignment="0" applyProtection="0"/>
    <xf numFmtId="37" fontId="84" fillId="0" borderId="0"/>
    <xf numFmtId="0" fontId="47" fillId="11" borderId="0" applyNumberFormat="0" applyFont="0" applyFill="0" applyBorder="0" applyAlignment="0"/>
    <xf numFmtId="10" fontId="11" fillId="11" borderId="0"/>
    <xf numFmtId="181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1" borderId="0"/>
    <xf numFmtId="0" fontId="8" fillId="41" borderId="0"/>
    <xf numFmtId="0" fontId="8" fillId="0" borderId="0"/>
    <xf numFmtId="0" fontId="8" fillId="0" borderId="0"/>
    <xf numFmtId="0" fontId="32" fillId="40" borderId="0"/>
    <xf numFmtId="0" fontId="32" fillId="40" borderId="0"/>
    <xf numFmtId="0" fontId="32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32" fillId="40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3" borderId="2" applyNumberFormat="0" applyFont="0" applyAlignment="0" applyProtection="0"/>
    <xf numFmtId="0" fontId="11" fillId="9" borderId="26" applyNumberFormat="0" applyFont="0" applyAlignment="0" applyProtection="0"/>
    <xf numFmtId="0" fontId="87" fillId="9" borderId="26" applyNumberFormat="0" applyFont="0" applyAlignment="0" applyProtection="0"/>
    <xf numFmtId="0" fontId="32" fillId="3" borderId="2" applyNumberFormat="0" applyFont="0" applyAlignment="0" applyProtection="0"/>
    <xf numFmtId="0" fontId="88" fillId="0" borderId="0"/>
    <xf numFmtId="0" fontId="12" fillId="9" borderId="26" applyNumberFormat="0" applyFont="0" applyAlignment="0" applyProtection="0"/>
    <xf numFmtId="0" fontId="32" fillId="3" borderId="2" applyNumberFormat="0" applyFont="0" applyAlignment="0" applyProtection="0"/>
    <xf numFmtId="0" fontId="32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5" fillId="0" borderId="0">
      <alignment horizontal="center"/>
    </xf>
    <xf numFmtId="37" fontId="8" fillId="0" borderId="0"/>
    <xf numFmtId="183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4" fontId="89" fillId="0" borderId="0" applyNumberFormat="0" applyFill="0" applyBorder="0" applyAlignment="0" applyProtection="0"/>
    <xf numFmtId="164" fontId="25" fillId="0" borderId="0">
      <alignment horizontal="center"/>
    </xf>
    <xf numFmtId="0" fontId="32" fillId="6" borderId="0" applyNumberFormat="0" applyFont="0" applyBorder="0" applyAlignment="0" applyProtection="0"/>
    <xf numFmtId="0" fontId="89" fillId="0" borderId="27"/>
    <xf numFmtId="2" fontId="90" fillId="35" borderId="6">
      <alignment horizontal="left"/>
    </xf>
    <xf numFmtId="0" fontId="91" fillId="11" borderId="28" applyNumberFormat="0" applyAlignment="0" applyProtection="0"/>
    <xf numFmtId="0" fontId="92" fillId="13" borderId="28" applyNumberFormat="0" applyAlignment="0" applyProtection="0"/>
    <xf numFmtId="0" fontId="93" fillId="15" borderId="28" applyNumberFormat="0" applyAlignment="0" applyProtection="0"/>
    <xf numFmtId="40" fontId="11" fillId="35" borderId="0">
      <alignment horizontal="right"/>
    </xf>
    <xf numFmtId="0" fontId="94" fillId="44" borderId="0">
      <alignment horizontal="center"/>
    </xf>
    <xf numFmtId="0" fontId="37" fillId="45" borderId="6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5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186" fontId="25" fillId="0" borderId="0">
      <alignment horizontal="center"/>
    </xf>
    <xf numFmtId="187" fontId="25" fillId="0" borderId="3">
      <alignment horizontal="center"/>
    </xf>
    <xf numFmtId="0" fontId="98" fillId="0" borderId="29" applyAlignment="0">
      <alignment horizontal="center"/>
    </xf>
    <xf numFmtId="0" fontId="99" fillId="43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30">
      <alignment horizontal="center"/>
    </xf>
    <xf numFmtId="0" fontId="46" fillId="0" borderId="0">
      <alignment vertical="top"/>
    </xf>
    <xf numFmtId="188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6" applyNumberFormat="0" applyBorder="0" applyAlignment="0"/>
    <xf numFmtId="189" fontId="101" fillId="0" borderId="0" applyNumberFormat="0" applyFill="0" applyBorder="0" applyAlignment="0" applyProtection="0">
      <alignment horizontal="left"/>
    </xf>
    <xf numFmtId="0" fontId="47" fillId="32" borderId="0">
      <alignment horizontal="left"/>
    </xf>
    <xf numFmtId="0" fontId="102" fillId="0" borderId="31"/>
    <xf numFmtId="187" fontId="22" fillId="9" borderId="0">
      <alignment horizontal="center"/>
    </xf>
    <xf numFmtId="187" fontId="103" fillId="9" borderId="0">
      <alignment horizontal="center"/>
    </xf>
    <xf numFmtId="187" fontId="22" fillId="10" borderId="0">
      <alignment horizontal="center"/>
    </xf>
    <xf numFmtId="0" fontId="22" fillId="9" borderId="0">
      <alignment horizontal="left"/>
    </xf>
    <xf numFmtId="0" fontId="104" fillId="0" borderId="0" applyFont="0" applyFill="0" applyBorder="0" applyAlignment="0" applyProtection="0"/>
    <xf numFmtId="190" fontId="26" fillId="0" borderId="0" applyFont="0" applyFill="0" applyBorder="0" applyAlignment="0" applyProtection="0"/>
    <xf numFmtId="191" fontId="8" fillId="0" borderId="0"/>
    <xf numFmtId="0" fontId="8" fillId="0" borderId="0"/>
    <xf numFmtId="0" fontId="8" fillId="0" borderId="0">
      <alignment horizontal="left" wrapText="1"/>
    </xf>
    <xf numFmtId="0" fontId="22" fillId="9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5" borderId="26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2" fontId="25" fillId="0" borderId="0">
      <alignment horizontal="center"/>
    </xf>
    <xf numFmtId="187" fontId="25" fillId="0" borderId="0">
      <alignment horizontal="center"/>
    </xf>
    <xf numFmtId="0" fontId="108" fillId="46" borderId="0"/>
    <xf numFmtId="193" fontId="25" fillId="0" borderId="0">
      <alignment horizontal="center"/>
    </xf>
    <xf numFmtId="193" fontId="25" fillId="0" borderId="32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1" borderId="0"/>
    <xf numFmtId="49" fontId="11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1" borderId="0"/>
    <xf numFmtId="0" fontId="32" fillId="47" borderId="33" applyBorder="0">
      <alignment horizontal="center" wrapText="1"/>
    </xf>
    <xf numFmtId="0" fontId="31" fillId="38" borderId="9" applyBorder="0">
      <alignment horizontal="center" wrapText="1"/>
    </xf>
    <xf numFmtId="0" fontId="32" fillId="48" borderId="9" applyBorder="0">
      <alignment horizontal="center" wrapText="1"/>
    </xf>
    <xf numFmtId="0" fontId="31" fillId="39" borderId="9" applyBorder="0">
      <alignment horizontal="center" wrapText="1"/>
    </xf>
    <xf numFmtId="0" fontId="7" fillId="49" borderId="9" applyBorder="0">
      <alignment horizontal="center" wrapText="1"/>
    </xf>
    <xf numFmtId="0" fontId="31" fillId="50" borderId="9" applyBorder="0">
      <alignment horizontal="center" wrapText="1"/>
    </xf>
    <xf numFmtId="0" fontId="31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34" applyNumberFormat="0" applyFill="0" applyAlignment="0" applyProtection="0"/>
    <xf numFmtId="0" fontId="19" fillId="0" borderId="35" applyNumberFormat="0" applyFill="0" applyAlignment="0" applyProtection="0"/>
    <xf numFmtId="0" fontId="8" fillId="0" borderId="36" applyNumberFormat="0" applyFill="0" applyAlignment="0" applyProtection="0"/>
    <xf numFmtId="0" fontId="117" fillId="0" borderId="37" applyNumberFormat="0" applyFill="0" applyAlignment="0" applyProtection="0"/>
    <xf numFmtId="0" fontId="118" fillId="11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0" borderId="10"/>
    <xf numFmtId="1" fontId="122" fillId="41" borderId="10"/>
    <xf numFmtId="2" fontId="123" fillId="41" borderId="10"/>
    <xf numFmtId="0" fontId="124" fillId="40" borderId="4" applyNumberFormat="0" applyAlignment="0"/>
    <xf numFmtId="0" fontId="125" fillId="41" borderId="4" applyNumberFormat="0" applyAlignment="0"/>
    <xf numFmtId="1" fontId="126" fillId="41" borderId="10" applyNumberFormat="0"/>
    <xf numFmtId="177" fontId="127" fillId="41" borderId="10" applyNumberFormat="0"/>
    <xf numFmtId="0" fontId="8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7" fillId="0" borderId="0" xfId="0" applyFont="1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0" fontId="7" fillId="0" borderId="0" xfId="0" applyFont="1" applyAlignment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58" borderId="0" xfId="0" applyFont="1" applyFill="1"/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29" fillId="60" borderId="3" xfId="0" applyFont="1" applyFill="1" applyBorder="1" applyAlignment="1">
      <alignment horizontal="center" vertical="center"/>
    </xf>
    <xf numFmtId="194" fontId="7" fillId="0" borderId="39" xfId="525" applyNumberFormat="1" applyFont="1" applyBorder="1" applyAlignment="1">
      <alignment horizontal="center" vertical="center"/>
    </xf>
    <xf numFmtId="194" fontId="7" fillId="0" borderId="39" xfId="525" applyNumberFormat="1" applyFont="1" applyBorder="1" applyAlignment="1">
      <alignment horizontal="left" vertical="center"/>
    </xf>
    <xf numFmtId="43" fontId="7" fillId="0" borderId="39" xfId="525" applyNumberFormat="1" applyFont="1" applyBorder="1" applyAlignment="1">
      <alignment horizontal="left" vertical="center"/>
    </xf>
    <xf numFmtId="195" fontId="7" fillId="0" borderId="39" xfId="525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194" fontId="7" fillId="0" borderId="39" xfId="525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5" applyNumberFormat="1" applyFont="1" applyBorder="1" applyAlignment="1">
      <alignment horizontal="right" vertical="center"/>
    </xf>
    <xf numFmtId="196" fontId="7" fillId="0" borderId="39" xfId="526" applyNumberFormat="1" applyFont="1" applyBorder="1" applyAlignment="1">
      <alignment horizontal="right" vertical="center"/>
    </xf>
    <xf numFmtId="196" fontId="7" fillId="0" borderId="40" xfId="526" applyNumberFormat="1" applyFont="1" applyBorder="1" applyAlignment="1">
      <alignment horizontal="right" vertical="center"/>
    </xf>
    <xf numFmtId="0" fontId="130" fillId="0" borderId="0" xfId="0" applyFont="1"/>
    <xf numFmtId="14" fontId="130" fillId="0" borderId="0" xfId="0" applyNumberFormat="1" applyFont="1"/>
    <xf numFmtId="0" fontId="129" fillId="60" borderId="3" xfId="0" applyFont="1" applyFill="1" applyBorder="1" applyAlignment="1">
      <alignment horizontal="center" vertical="center" wrapText="1"/>
    </xf>
    <xf numFmtId="9" fontId="7" fillId="0" borderId="39" xfId="526" applyFont="1" applyBorder="1" applyAlignment="1">
      <alignment horizontal="right" vertical="center"/>
    </xf>
    <xf numFmtId="9" fontId="7" fillId="0" borderId="39" xfId="526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39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52" borderId="39" xfId="0" applyFont="1" applyFill="1" applyBorder="1" applyAlignment="1">
      <alignment horizontal="center" vertical="center"/>
    </xf>
    <xf numFmtId="0" fontId="5" fillId="61" borderId="41" xfId="0" applyFont="1" applyFill="1" applyBorder="1" applyAlignment="1">
      <alignment horizontal="center" vertical="center" wrapText="1"/>
    </xf>
    <xf numFmtId="0" fontId="7" fillId="55" borderId="39" xfId="0" applyFont="1" applyFill="1" applyBorder="1" applyAlignment="1">
      <alignment horizontal="center" vertical="center"/>
    </xf>
    <xf numFmtId="0" fontId="7" fillId="56" borderId="3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55" borderId="39" xfId="0" applyFont="1" applyFill="1" applyBorder="1" applyAlignment="1">
      <alignment horizontal="center" vertical="center" wrapText="1"/>
    </xf>
    <xf numFmtId="0" fontId="5" fillId="55" borderId="41" xfId="0" applyFont="1" applyFill="1" applyBorder="1" applyAlignment="1">
      <alignment horizontal="center" vertical="center" wrapText="1"/>
    </xf>
    <xf numFmtId="0" fontId="7" fillId="56" borderId="39" xfId="0" applyFont="1" applyFill="1" applyBorder="1" applyAlignment="1">
      <alignment horizontal="center" vertical="center" wrapText="1"/>
    </xf>
    <xf numFmtId="0" fontId="7" fillId="52" borderId="39" xfId="0" applyFont="1" applyFill="1" applyBorder="1" applyAlignment="1">
      <alignment horizontal="center" vertical="center" wrapText="1"/>
    </xf>
    <xf numFmtId="0" fontId="5" fillId="52" borderId="41" xfId="0" applyFont="1" applyFill="1" applyBorder="1" applyAlignment="1">
      <alignment horizontal="center" vertical="center" wrapText="1"/>
    </xf>
    <xf numFmtId="0" fontId="32" fillId="0" borderId="39" xfId="0" applyFont="1" applyFill="1" applyBorder="1" applyAlignment="1">
      <alignment horizontal="center" vertical="center" wrapText="1"/>
    </xf>
    <xf numFmtId="0" fontId="5" fillId="59" borderId="40" xfId="0" applyFont="1" applyFill="1" applyBorder="1" applyAlignment="1">
      <alignment horizontal="center" vertical="center" wrapText="1"/>
    </xf>
    <xf numFmtId="0" fontId="5" fillId="52" borderId="40" xfId="0" applyFont="1" applyFill="1" applyBorder="1" applyAlignment="1">
      <alignment horizontal="center" vertical="center" wrapText="1"/>
    </xf>
    <xf numFmtId="0" fontId="5" fillId="55" borderId="40" xfId="0" applyFont="1" applyFill="1" applyBorder="1" applyAlignment="1">
      <alignment horizontal="center" vertical="center" wrapText="1"/>
    </xf>
    <xf numFmtId="0" fontId="131" fillId="61" borderId="40" xfId="0" applyFont="1" applyFill="1" applyBorder="1" applyAlignment="1">
      <alignment horizontal="center" vertical="center" wrapText="1"/>
    </xf>
    <xf numFmtId="0" fontId="5" fillId="61" borderId="4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vertical="center"/>
    </xf>
    <xf numFmtId="0" fontId="6" fillId="5" borderId="3" xfId="1" applyFont="1" applyBorder="1" applyAlignment="1">
      <alignment horizontal="left" vertical="center"/>
    </xf>
    <xf numFmtId="0" fontId="6" fillId="5" borderId="3" xfId="1" applyFont="1" applyBorder="1" applyAlignment="1">
      <alignment horizontal="center" vertical="center"/>
    </xf>
    <xf numFmtId="14" fontId="6" fillId="5" borderId="3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14" fontId="0" fillId="0" borderId="39" xfId="0" applyNumberFormat="1" applyFont="1" applyBorder="1" applyAlignment="1">
      <alignment horizontal="center" vertical="center"/>
    </xf>
    <xf numFmtId="164" fontId="0" fillId="0" borderId="39" xfId="0" applyNumberFormat="1" applyFont="1" applyBorder="1" applyAlignment="1">
      <alignment horizontal="center" vertical="center"/>
    </xf>
    <xf numFmtId="2" fontId="0" fillId="0" borderId="39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14" fontId="0" fillId="0" borderId="40" xfId="0" applyNumberFormat="1" applyFont="1" applyBorder="1" applyAlignment="1">
      <alignment horizontal="center" vertical="center"/>
    </xf>
    <xf numFmtId="164" fontId="0" fillId="0" borderId="40" xfId="0" applyNumberFormat="1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0" fontId="7" fillId="0" borderId="0" xfId="0" applyNumberFormat="1" applyFont="1" applyAlignment="1">
      <alignment horizontal="center" vertical="center"/>
    </xf>
    <xf numFmtId="194" fontId="7" fillId="0" borderId="40" xfId="525" applyNumberFormat="1" applyFont="1" applyBorder="1" applyAlignment="1">
      <alignment horizontal="left" vertical="center"/>
    </xf>
    <xf numFmtId="194" fontId="7" fillId="0" borderId="40" xfId="525" applyNumberFormat="1" applyFont="1" applyBorder="1" applyAlignment="1">
      <alignment horizontal="right" vertical="center"/>
    </xf>
    <xf numFmtId="9" fontId="7" fillId="0" borderId="40" xfId="526" applyNumberFormat="1" applyFont="1" applyBorder="1" applyAlignment="1">
      <alignment horizontal="right" vertical="center"/>
    </xf>
    <xf numFmtId="43" fontId="7" fillId="0" borderId="40" xfId="525" applyNumberFormat="1" applyFont="1" applyBorder="1" applyAlignment="1">
      <alignment horizontal="left" vertical="center"/>
    </xf>
    <xf numFmtId="195" fontId="7" fillId="0" borderId="40" xfId="525" applyNumberFormat="1" applyFont="1" applyBorder="1" applyAlignment="1">
      <alignment horizontal="right" vertical="center"/>
    </xf>
    <xf numFmtId="194" fontId="132" fillId="0" borderId="39" xfId="525" applyNumberFormat="1" applyFont="1" applyBorder="1" applyAlignment="1">
      <alignment horizontal="left" vertical="center"/>
    </xf>
    <xf numFmtId="195" fontId="7" fillId="0" borderId="0" xfId="525" applyNumberFormat="1" applyFont="1" applyBorder="1" applyAlignment="1">
      <alignment horizontal="left" vertical="center"/>
    </xf>
    <xf numFmtId="197" fontId="0" fillId="0" borderId="39" xfId="0" applyNumberFormat="1" applyFont="1" applyBorder="1" applyAlignment="1">
      <alignment horizontal="center" vertical="center"/>
    </xf>
    <xf numFmtId="197" fontId="0" fillId="0" borderId="4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97" fontId="0" fillId="0" borderId="0" xfId="0" applyNumberFormat="1" applyFont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14" fontId="7" fillId="0" borderId="39" xfId="525" applyNumberFormat="1" applyFont="1" applyBorder="1" applyAlignment="1">
      <alignment horizontal="right" vertical="center"/>
    </xf>
    <xf numFmtId="43" fontId="7" fillId="0" borderId="39" xfId="525" applyNumberFormat="1" applyFont="1" applyBorder="1" applyAlignment="1">
      <alignment horizontal="right" vertical="center"/>
    </xf>
    <xf numFmtId="0" fontId="128" fillId="57" borderId="38" xfId="0" applyFont="1" applyFill="1" applyBorder="1" applyAlignment="1">
      <alignment horizontal="center" vertical="center"/>
    </xf>
    <xf numFmtId="0" fontId="128" fillId="51" borderId="38" xfId="0" applyFont="1" applyFill="1" applyBorder="1" applyAlignment="1">
      <alignment horizontal="center" vertical="center"/>
    </xf>
    <xf numFmtId="0" fontId="128" fillId="53" borderId="38" xfId="0" applyFont="1" applyFill="1" applyBorder="1" applyAlignment="1">
      <alignment horizontal="center" vertical="center"/>
    </xf>
    <xf numFmtId="0" fontId="128" fillId="54" borderId="38" xfId="0" applyFont="1" applyFill="1" applyBorder="1" applyAlignment="1">
      <alignment horizontal="center" vertical="center"/>
    </xf>
    <xf numFmtId="14" fontId="7" fillId="0" borderId="0" xfId="0" applyNumberFormat="1" applyFont="1"/>
    <xf numFmtId="0" fontId="7" fillId="0" borderId="0" xfId="0" applyNumberFormat="1" applyFont="1"/>
    <xf numFmtId="0" fontId="7" fillId="0" borderId="39" xfId="0" applyFont="1" applyBorder="1" applyAlignment="1">
      <alignment horizontal="center"/>
    </xf>
  </cellXfs>
  <cellStyles count="527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" xfId="525" builtinId="3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7" xfId="324"/>
    <cellStyle name="Normal 11" xfId="325"/>
    <cellStyle name="Normal 11 2" xfId="326"/>
    <cellStyle name="Normal 12" xfId="327"/>
    <cellStyle name="Normal 13" xfId="32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5" xfId="384"/>
    <cellStyle name="Normal 6" xfId="385"/>
    <cellStyle name="Normal 6 2" xfId="386"/>
    <cellStyle name="Normal 7" xfId="387"/>
    <cellStyle name="Normal 7 2" xfId="388"/>
    <cellStyle name="Normal 8" xfId="389"/>
    <cellStyle name="Normal 88" xfId="390"/>
    <cellStyle name="Normal 9" xfId="391"/>
    <cellStyle name="Normal 9 2" xfId="392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526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129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alignment wrapText="1" readingOrder="0"/>
    </dxf>
    <dxf>
      <fill>
        <patternFill patternType="solid">
          <fgColor indexed="64"/>
          <bgColor theme="9" tint="0.79998168889431442"/>
        </patternFill>
      </fill>
      <alignment vertical="center" readingOrder="0"/>
    </dxf>
    <dxf>
      <alignment vertical="center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numFmt numFmtId="2" formatCode="0.00"/>
    </dxf>
    <dxf>
      <alignment wrapText="1" readingOrder="0"/>
    </dxf>
    <dxf>
      <alignment vertical="center" readingOrder="0"/>
    </dxf>
    <dxf>
      <alignment vertical="center" readingOrder="0"/>
    </dxf>
    <dxf>
      <fill>
        <patternFill patternType="solid">
          <fgColor indexed="64"/>
          <bgColor theme="5" tint="0.79998168889431442"/>
        </patternFill>
      </fill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alignment wrapText="1" readingOrder="0"/>
    </dxf>
    <dxf>
      <alignment vertical="center" readingOrder="0"/>
    </dxf>
    <dxf>
      <alignment vertical="center" readingOrder="0"/>
    </dxf>
    <dxf>
      <fill>
        <patternFill patternType="solid">
          <fgColor indexed="64"/>
          <bgColor theme="7" tint="0.59999389629810485"/>
        </patternFill>
      </fill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color auto="1"/>
      </font>
    </dxf>
    <dxf>
      <fill>
        <patternFill patternType="none">
          <fgColor indexed="64"/>
          <bgColor indexed="65"/>
        </patternFill>
      </fill>
      <alignment wrapText="1" readingOrder="0"/>
    </dxf>
    <dxf>
      <alignment vertical="center" readingOrder="0"/>
    </dxf>
    <dxf>
      <alignment vertical="center" readingOrder="0"/>
    </dxf>
    <dxf>
      <alignment wrapText="1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color theme="0"/>
      </font>
    </dxf>
    <dxf>
      <numFmt numFmtId="164" formatCode="0.0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291353</xdr:colOff>
      <xdr:row>5</xdr:row>
      <xdr:rowOff>28576</xdr:rowOff>
    </xdr:from>
    <xdr:to>
      <xdr:col>38</xdr:col>
      <xdr:colOff>0</xdr:colOff>
      <xdr:row>7</xdr:row>
      <xdr:rowOff>13336</xdr:rowOff>
    </xdr:to>
    <xdr:sp macro="[0]!SummaryReport" textlink="">
      <xdr:nvSpPr>
        <xdr:cNvPr id="2" name="Rounded Rectangle 1"/>
        <xdr:cNvSpPr/>
      </xdr:nvSpPr>
      <xdr:spPr>
        <a:xfrm>
          <a:off x="24787412" y="981076"/>
          <a:ext cx="1568823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38</xdr:col>
      <xdr:colOff>276226</xdr:colOff>
      <xdr:row>5</xdr:row>
      <xdr:rowOff>28576</xdr:rowOff>
    </xdr:from>
    <xdr:to>
      <xdr:col>40</xdr:col>
      <xdr:colOff>47626</xdr:colOff>
      <xdr:row>7</xdr:row>
      <xdr:rowOff>13336</xdr:rowOff>
    </xdr:to>
    <xdr:sp macro="[0]!CreatePDFReport" textlink="">
      <xdr:nvSpPr>
        <xdr:cNvPr id="3" name="Rounded Rectangle 2"/>
        <xdr:cNvSpPr/>
      </xdr:nvSpPr>
      <xdr:spPr>
        <a:xfrm>
          <a:off x="27451051" y="981076"/>
          <a:ext cx="16192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327.625252314814" createdVersion="4" refreshedVersion="4" minRefreshableVersion="3" recordCount="175">
  <cacheSource type="worksheet">
    <worksheetSource name="CurrentMtgRatesDataTable82523"/>
  </cacheSource>
  <cacheFields count="21">
    <cacheField name="DealName" numFmtId="0">
      <sharedItems count="15">
        <s v="15HQA1"/>
        <s v="STACR 2013-DN1"/>
        <s v="STACR 2013-DN2"/>
        <s v="STACR 2014-DN1"/>
        <s v="STACR 2014-DN2"/>
        <s v="STACR 2014-DN3"/>
        <s v="STACR 2014-DN4"/>
        <s v="STACR 2014-HQ1"/>
        <s v="STACR 2014-HQ2"/>
        <s v="STACR 2014-HQ3"/>
        <s v="STACR 2015-DN1"/>
        <s v="STACR 2015-DNA1"/>
        <s v="STACR 2015-DNA2"/>
        <s v="STACR 2015-HQ1"/>
        <s v="STACR 2015-HQ2"/>
      </sharedItems>
    </cacheField>
    <cacheField name="RefPoolId" numFmtId="0">
      <sharedItems/>
    </cacheField>
    <cacheField name="currentBalance" numFmtId="0">
      <sharedItems containsSemiMixedTypes="0" containsString="0" containsNumber="1" minValue="6438720328.4099998" maxValue="35184267786.93"/>
    </cacheField>
    <cacheField name="beginDate" numFmtId="14">
      <sharedItems containsSemiMixedTypes="0" containsNonDate="0" containsDate="1" containsString="0" minDate="2013-06-01T00:00:00" maxDate="2015-09-02T00:00:00" count="28">
        <d v="2015-09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3-06-01T00:00:00" u="1"/>
      </sharedItems>
    </cacheField>
    <cacheField name="loanCount" numFmtId="0">
      <sharedItems containsSemiMixedTypes="0" containsString="0" containsNumber="1" containsInteger="1" minValue="30896" maxValue="147771"/>
    </cacheField>
    <cacheField name="prepaymentBalance" numFmtId="0">
      <sharedItems containsSemiMixedTypes="0" containsString="0" containsNumber="1" minValue="57812668.998420507" maxValue="1653325575.956826"/>
    </cacheField>
    <cacheField name="defaultBalance" numFmtId="0">
      <sharedItems containsSemiMixedTypes="0" containsString="0" containsNumber="1" minValue="0" maxValue="3252727.93"/>
    </cacheField>
    <cacheField name="smm" numFmtId="0">
      <sharedItems containsSemiMixedTypes="0" containsString="0" containsNumber="1" minValue="2.6584182250209633E-3" maxValue="5.9914286049798877E-2"/>
    </cacheField>
    <cacheField name="mdr" numFmtId="0">
      <sharedItems containsSemiMixedTypes="0" containsString="0" containsNumber="1" minValue="0" maxValue="2.2007627614162398E-4"/>
    </cacheField>
    <cacheField name="CPR" numFmtId="0">
      <sharedItems containsSemiMixedTypes="0" containsString="0" containsNumber="1" minValue="3.1438000000000001" maxValue="52.355800000000002"/>
    </cacheField>
    <cacheField name="CDR" numFmtId="0">
      <sharedItems containsSemiMixedTypes="0" containsString="0" containsNumber="1" minValue="0" maxValue="0.26369999999999999"/>
    </cacheField>
    <cacheField name="pct_dq" numFmtId="0">
      <sharedItems containsSemiMixedTypes="0" containsString="0" containsNumber="1" minValue="7.5054010808474543E-4" maxValue="6.7203106134422355E-3"/>
    </cacheField>
    <cacheField name="cum_prepayment" numFmtId="0">
      <sharedItems containsSemiMixedTypes="0" containsString="0" containsNumber="1" minValue="57812668.998400003" maxValue="5150815054.3080997"/>
    </cacheField>
    <cacheField name="cum_default" numFmtId="0">
      <sharedItems containsSemiMixedTypes="0" containsString="0" containsNumber="1" minValue="0" maxValue="21612962.98"/>
    </cacheField>
    <cacheField name="cum_pp_pct" numFmtId="0">
      <sharedItems containsSemiMixedTypes="0" containsString="0" containsNumber="1" minValue="7.4000000000000003E-3" maxValue="0.34710000000000002"/>
    </cacheField>
    <cacheField name="cum_df_pct" numFmtId="0">
      <sharedItems containsSemiMixedTypes="0" containsString="0" containsNumber="1" minValue="0" maxValue="8.9999999999999998E-4"/>
    </cacheField>
    <cacheField name="GroupId" numFmtId="0">
      <sharedItems containsString="0" containsBlank="1" containsNumber="1" containsInteger="1" minValue="1" maxValue="1"/>
    </cacheField>
    <cacheField name="factorDate" numFmtId="14">
      <sharedItems containsSemiMixedTypes="0" containsNonDate="0" containsDate="1" containsString="0" minDate="2013-08-01T00:00:00" maxDate="2015-10-02T00:00:00"/>
    </cacheField>
    <cacheField name="partialCurtailment" numFmtId="0">
      <sharedItems containsSemiMixedTypes="0" containsString="0" containsNumber="1" minValue="1723598.2737690406" maxValue="20681631.151264224"/>
    </cacheField>
    <cacheField name="Cum_DF100" numFmtId="0">
      <sharedItems containsSemiMixedTypes="0" containsString="0" containsNumber="1" minValue="0" maxValue="0.09"/>
    </cacheField>
    <cacheField name="DLQ100" numFmtId="0">
      <sharedItems containsSemiMixedTypes="0" containsString="0" containsNumber="1" minValue="7.5054010808474542E-2" maxValue="0.672031061344223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">
  <r>
    <x v="0"/>
    <s v="15HQA1"/>
    <n v="19376912011.73"/>
    <x v="0"/>
    <n v="89103"/>
    <n v="164260189.54988545"/>
    <n v="0"/>
    <n v="8.4771087080567301E-3"/>
    <n v="0"/>
    <n v="9.7112999999999996"/>
    <n v="0"/>
    <n v="1.7710669047382465E-3"/>
    <n v="164260189.54980001"/>
    <n v="0"/>
    <n v="8.3000000000000001E-3"/>
    <n v="0"/>
    <m/>
    <d v="2015-10-01T00:00:00"/>
    <n v="7032169.5998854432"/>
    <n v="0"/>
    <n v="0.17710669047382466"/>
  </r>
  <r>
    <x v="1"/>
    <s v="13DN01"/>
    <n v="22584361082.810001"/>
    <x v="1"/>
    <n v="96389"/>
    <n v="151263013.45618662"/>
    <n v="0"/>
    <n v="6.6976884093178923E-3"/>
    <n v="0"/>
    <n v="7.7476000000000003"/>
    <n v="0"/>
    <n v="1.2584324004468938E-3"/>
    <n v="151263013.45609999"/>
    <n v="0"/>
    <n v="7.6E-3"/>
    <n v="0"/>
    <n v="1"/>
    <d v="2013-08-01T00:00:00"/>
    <n v="11279450.706186621"/>
    <n v="0"/>
    <n v="0.12584324004468939"/>
  </r>
  <r>
    <x v="1"/>
    <s v="13DN01"/>
    <n v="22391372156.549999"/>
    <x v="2"/>
    <n v="95815"/>
    <n v="114495079.54010031"/>
    <n v="0"/>
    <n v="5.1133569992765195E-3"/>
    <n v="0"/>
    <n v="5.9663000000000004"/>
    <n v="0"/>
    <n v="1.0304957958215282E-3"/>
    <n v="265758092.9962"/>
    <n v="0"/>
    <n v="1.34E-2"/>
    <n v="0"/>
    <n v="1"/>
    <d v="2013-09-01T00:00:00"/>
    <n v="13175526.36010031"/>
    <n v="0"/>
    <n v="0.10304957958215283"/>
  </r>
  <r>
    <x v="1"/>
    <s v="13DN01"/>
    <n v="22242256898.849998"/>
    <x v="3"/>
    <n v="95391"/>
    <n v="82654621.728294268"/>
    <n v="0"/>
    <n v="3.7161076820656537E-3"/>
    <n v="0"/>
    <n v="4.3693"/>
    <n v="0"/>
    <n v="1.3690693650595515E-3"/>
    <n v="348412714.7245"/>
    <n v="0"/>
    <n v="1.7600000000000001E-2"/>
    <n v="0"/>
    <n v="1"/>
    <d v="2013-10-01T00:00:00"/>
    <n v="12506664.008294269"/>
    <n v="0"/>
    <n v="0.13690693650595515"/>
  </r>
  <r>
    <x v="1"/>
    <s v="13DN01"/>
    <n v="22126259871.459999"/>
    <x v="4"/>
    <n v="95074"/>
    <n v="87263798.528657079"/>
    <n v="0"/>
    <n v="3.9439019082125144E-3"/>
    <n v="0"/>
    <n v="4.6313000000000004"/>
    <n v="0"/>
    <n v="1.5422810248204985E-3"/>
    <n v="435676513.25319999"/>
    <n v="0"/>
    <n v="2.1999999999999999E-2"/>
    <n v="0"/>
    <n v="1"/>
    <d v="2013-11-01T00:00:00"/>
    <n v="13982674.038657084"/>
    <n v="0"/>
    <n v="0.15422810248204985"/>
  </r>
  <r>
    <x v="1"/>
    <s v="13DN01"/>
    <n v="22004407481.799999"/>
    <x v="5"/>
    <n v="94744"/>
    <n v="80096192.257098511"/>
    <n v="0"/>
    <n v="3.6400067724316884E-3"/>
    <n v="0"/>
    <n v="4.2816000000000001"/>
    <n v="0"/>
    <n v="1.5042840038923097E-3"/>
    <n v="515772705.51029998"/>
    <n v="0"/>
    <n v="2.6100000000000002E-2"/>
    <n v="0"/>
    <n v="1"/>
    <d v="2013-12-01T00:00:00"/>
    <n v="12986552.657098517"/>
    <n v="0"/>
    <n v="0.15042840038923097"/>
  </r>
  <r>
    <x v="1"/>
    <s v="13DN01"/>
    <n v="21889515190.82"/>
    <x v="6"/>
    <n v="94439"/>
    <n v="77977441.256280899"/>
    <n v="99020.6"/>
    <n v="3.5623192462929921E-3"/>
    <n v="4.5236543220256953E-6"/>
    <n v="4.1920000000000002"/>
    <n v="5.4000000000000003E-3"/>
    <n v="2.162494670044209E-3"/>
    <n v="593750146.76660001"/>
    <n v="99020.6"/>
    <n v="0.03"/>
    <n v="0"/>
    <n v="1"/>
    <d v="2014-01-01T00:00:00"/>
    <n v="8786106.5662808977"/>
    <n v="0"/>
    <n v="0.21624946700442091"/>
  </r>
  <r>
    <x v="1"/>
    <s v="13DN01"/>
    <n v="21778303317.84"/>
    <x v="7"/>
    <n v="94127"/>
    <n v="71452177.488032252"/>
    <n v="302877.99"/>
    <n v="3.2808881594325674E-3"/>
    <n v="1.3907327195314305E-5"/>
    <n v="3.8666999999999998"/>
    <n v="1.66E-2"/>
    <n v="2.1820978175591563E-3"/>
    <n v="665202324.25460005"/>
    <n v="401898.59"/>
    <n v="3.3599999999999998E-2"/>
    <n v="0"/>
    <n v="1"/>
    <d v="2014-02-01T00:00:00"/>
    <n v="13634182.498032253"/>
    <n v="0"/>
    <n v="0.21820978175591563"/>
  </r>
  <r>
    <x v="1"/>
    <s v="13DN01"/>
    <n v="21671804564.209999"/>
    <x v="8"/>
    <n v="93864"/>
    <n v="66000347.280279733"/>
    <n v="543640.77"/>
    <n v="3.0454476960943212E-3"/>
    <n v="2.5085163922980276E-5"/>
    <n v="3.5939000000000001"/>
    <n v="0.03"/>
    <n v="2.2951558377442933E-3"/>
    <n v="731202671.53489995"/>
    <n v="945539.36"/>
    <n v="3.6999999999999998E-2"/>
    <n v="0"/>
    <n v="1"/>
    <d v="2014-03-01T00:00:00"/>
    <n v="11506653.920279736"/>
    <n v="0"/>
    <n v="0.22951558377442932"/>
  </r>
  <r>
    <x v="1"/>
    <s v="13DN01"/>
    <n v="21571139506.34"/>
    <x v="9"/>
    <n v="93598"/>
    <n v="82522102.367556944"/>
    <n v="342970.55"/>
    <n v="3.8255791884940884E-3"/>
    <n v="1.5899510079159105E-5"/>
    <n v="4.4953000000000003"/>
    <n v="1.9E-2"/>
    <n v="2.8667323115603104E-3"/>
    <n v="813724773.90240002"/>
    <n v="1288509.9099999999"/>
    <n v="4.1099999999999998E-2"/>
    <n v="0"/>
    <n v="1"/>
    <d v="2014-04-01T00:00:00"/>
    <n v="12408378.537556946"/>
    <n v="0"/>
    <n v="0.28667323115603105"/>
  </r>
  <r>
    <x v="1"/>
    <s v="13DN01"/>
    <n v="21453636186.810001"/>
    <x v="10"/>
    <n v="93266"/>
    <n v="85005174.369084671"/>
    <n v="1500559.89"/>
    <n v="3.9622735106017628E-3"/>
    <n v="6.9944315123725528E-5"/>
    <n v="4.6524000000000001"/>
    <n v="8.3900000000000002E-2"/>
    <n v="1.7568089526554156E-3"/>
    <n v="898729948.27149999"/>
    <n v="2789069.8"/>
    <n v="4.5499999999999999E-2"/>
    <n v="1E-4"/>
    <n v="1"/>
    <d v="2014-05-01T00:00:00"/>
    <n v="12567284.129084667"/>
    <n v="0.01"/>
    <n v="0.17568089526554156"/>
  </r>
  <r>
    <x v="1"/>
    <s v="13DN01"/>
    <n v="21332337955.220001"/>
    <x v="11"/>
    <n v="92915"/>
    <n v="118309791.47587723"/>
    <n v="989919.88"/>
    <n v="5.5460302440467832E-3"/>
    <n v="4.6404659539802938E-5"/>
    <n v="6.4558999999999997"/>
    <n v="5.5599999999999997E-2"/>
    <n v="1.7327035385240222E-3"/>
    <n v="1017039739.7474"/>
    <n v="3778989.68"/>
    <n v="5.1400000000000001E-2"/>
    <n v="1E-4"/>
    <n v="1"/>
    <d v="2014-06-01T00:00:00"/>
    <n v="12098113.975877227"/>
    <n v="0.01"/>
    <n v="0.17327035385240222"/>
  </r>
  <r>
    <x v="1"/>
    <s v="13DN01"/>
    <n v="21177637181.139999"/>
    <x v="12"/>
    <n v="92428"/>
    <n v="146433335.55829805"/>
    <n v="890745.91"/>
    <n v="6.914526597363092E-3"/>
    <n v="4.2060684219921593E-5"/>
    <n v="7.9889999999999999"/>
    <n v="5.04E-2"/>
    <n v="1.7958908056971766E-3"/>
    <n v="1163473075.3057001"/>
    <n v="4669735.59"/>
    <n v="5.8900000000000001E-2"/>
    <n v="2.0000000000000001E-4"/>
    <n v="1"/>
    <d v="2014-07-01T00:00:00"/>
    <n v="11239111.398298066"/>
    <n v="0.02"/>
    <n v="0.17958908056971765"/>
  </r>
  <r>
    <x v="1"/>
    <s v="13DN01"/>
    <n v="20996596520.740002"/>
    <x v="13"/>
    <n v="91814"/>
    <n v="137339194.74498156"/>
    <n v="680997.81"/>
    <n v="6.5410217608039833E-3"/>
    <n v="3.2433723690757432E-5"/>
    <n v="7.5728999999999997"/>
    <n v="3.8899999999999997E-2"/>
    <n v="2.2055170143531395E-3"/>
    <n v="1300812270.0506999"/>
    <n v="5350733.4000000004"/>
    <n v="6.5799999999999997E-2"/>
    <n v="2.0000000000000001E-4"/>
    <n v="1"/>
    <d v="2014-08-01T00:00:00"/>
    <n v="12301991.234981554"/>
    <n v="0.02"/>
    <n v="0.22055170143531394"/>
  </r>
  <r>
    <x v="1"/>
    <s v="13DN01"/>
    <n v="20823941241.41"/>
    <x v="14"/>
    <n v="91234"/>
    <n v="127655063.34148733"/>
    <n v="690804.79"/>
    <n v="6.1302066626866712E-3"/>
    <n v="3.3173585249380258E-5"/>
    <n v="7.1132"/>
    <n v="3.9800000000000002E-2"/>
    <n v="2.1560240739019682E-3"/>
    <n v="1428467333.3922"/>
    <n v="6041538.1900000004"/>
    <n v="7.2300000000000003E-2"/>
    <n v="2.9999999999999997E-4"/>
    <n v="1"/>
    <d v="2014-09-01T00:00:00"/>
    <n v="11867783.85148734"/>
    <n v="0.03"/>
    <n v="0.21560240739019682"/>
  </r>
  <r>
    <x v="1"/>
    <s v="13DN01"/>
    <n v="20661068570"/>
    <x v="15"/>
    <n v="90712"/>
    <n v="99749939.030528322"/>
    <n v="532919.80000000005"/>
    <n v="4.8279177184168418E-3"/>
    <n v="2.5793428747136673E-5"/>
    <n v="5.6421000000000001"/>
    <n v="3.09E-2"/>
    <n v="2.5542416057138134E-3"/>
    <n v="1528217272.4226999"/>
    <n v="6574457.9900000002"/>
    <n v="7.7299999999999994E-2"/>
    <n v="2.9999999999999997E-4"/>
    <n v="1"/>
    <d v="2014-10-01T00:00:00"/>
    <n v="11324297.280528316"/>
    <n v="0.03"/>
    <n v="0.25542416057138134"/>
  </r>
  <r>
    <x v="1"/>
    <s v="13DN01"/>
    <n v="20526568204.119999"/>
    <x v="16"/>
    <n v="90301"/>
    <n v="125614467.00068311"/>
    <n v="872088.56"/>
    <n v="6.1196039080449087E-3"/>
    <n v="4.2485843289915278E-5"/>
    <n v="7.1013000000000002"/>
    <n v="5.0900000000000001E-2"/>
    <n v="2.4275132011593952E-3"/>
    <n v="1653831739.4233999"/>
    <n v="7446546.5499999998"/>
    <n v="8.3699999999999997E-2"/>
    <n v="2.9999999999999997E-4"/>
    <n v="1"/>
    <d v="2014-11-01T00:00:00"/>
    <n v="11473390.740683112"/>
    <n v="0.03"/>
    <n v="0.24275132011593953"/>
  </r>
  <r>
    <x v="1"/>
    <s v="13DN01"/>
    <n v="20365001794.889999"/>
    <x v="17"/>
    <n v="89760"/>
    <n v="103326093.25072974"/>
    <n v="994425.34"/>
    <n v="5.0737090176273102E-3"/>
    <n v="4.883011305452091E-5"/>
    <n v="5.9212999999999996"/>
    <n v="5.8500000000000003E-2"/>
    <n v="2.248933223344574E-3"/>
    <n v="1757157832.6740999"/>
    <n v="8440971.8900000006"/>
    <n v="8.8900000000000007E-2"/>
    <n v="4.0000000000000002E-4"/>
    <n v="1"/>
    <d v="2014-12-01T00:00:00"/>
    <n v="11446194.240729745"/>
    <n v="0.04"/>
    <n v="0.22489332233445741"/>
  </r>
  <r>
    <x v="1"/>
    <s v="13DN01"/>
    <n v="20227022657.540001"/>
    <x v="18"/>
    <n v="89344"/>
    <n v="115696901.86287563"/>
    <n v="401834.35"/>
    <n v="5.7199175489996024E-3"/>
    <n v="1.9866213471126398E-5"/>
    <n v="6.6520000000000001"/>
    <n v="2.3800000000000002E-2"/>
    <n v="3.1803855895726645E-3"/>
    <n v="1872854734.5369999"/>
    <n v="8842806.2400000002"/>
    <n v="9.4799999999999995E-2"/>
    <n v="4.0000000000000002E-4"/>
    <n v="1"/>
    <d v="2015-01-01T00:00:00"/>
    <n v="11622999.402875625"/>
    <n v="0.04"/>
    <n v="0.31803855895726646"/>
  </r>
  <r>
    <x v="1"/>
    <s v="13DN01"/>
    <n v="20076676930.209999"/>
    <x v="19"/>
    <n v="88878"/>
    <n v="101046382.20490764"/>
    <n v="1559635.07"/>
    <n v="5.0330232715385288E-3"/>
    <n v="7.7683925254242087E-5"/>
    <n v="5.8752000000000004"/>
    <n v="9.3100000000000002E-2"/>
    <n v="2.4957979816172637E-3"/>
    <n v="1973901116.7419"/>
    <n v="10402441.310000001"/>
    <n v="9.9900000000000003E-2"/>
    <n v="5.0000000000000001E-4"/>
    <n v="1"/>
    <d v="2015-02-01T00:00:00"/>
    <n v="11768229.104907634"/>
    <n v="0.05"/>
    <n v="0.24957979816172637"/>
  </r>
  <r>
    <x v="1"/>
    <s v="13DN01"/>
    <n v="19939199442.470001"/>
    <x v="20"/>
    <n v="88484"/>
    <n v="150452758.57505435"/>
    <n v="515352.31"/>
    <n v="7.5455766922414005E-3"/>
    <n v="2.5846188633948481E-5"/>
    <n v="8.6882000000000001"/>
    <n v="3.1E-2"/>
    <n v="2.4820878296941918E-3"/>
    <n v="2124353875.3169"/>
    <n v="10917793.619999999"/>
    <n v="0.1075"/>
    <n v="5.0000000000000001E-4"/>
    <n v="1"/>
    <d v="2015-03-01T00:00:00"/>
    <n v="12571065.165054355"/>
    <n v="0.05"/>
    <n v="0.24820878296941917"/>
  </r>
  <r>
    <x v="1"/>
    <s v="13DN01"/>
    <n v="19755112263.799999"/>
    <x v="21"/>
    <n v="87925"/>
    <n v="202511535.7744852"/>
    <n v="949391.26"/>
    <n v="1.0251095163127714E-2"/>
    <n v="4.8058003787692958E-5"/>
    <n v="11.6309"/>
    <n v="5.7599999999999998E-2"/>
    <n v="2.9695943994962415E-3"/>
    <n v="2326865411.0914001"/>
    <n v="11867184.880000001"/>
    <n v="0.1178"/>
    <n v="5.9999999999999995E-4"/>
    <n v="1"/>
    <d v="2015-04-01T00:00:00"/>
    <n v="10819849.334485188"/>
    <n v="0.06"/>
    <n v="0.29695943994962415"/>
  </r>
  <r>
    <x v="1"/>
    <s v="13DN01"/>
    <n v="19517918050.32"/>
    <x v="22"/>
    <n v="87132"/>
    <n v="184368780.46647617"/>
    <n v="1177926.43"/>
    <n v="9.4461294483943904E-3"/>
    <n v="6.0351028576056945E-5"/>
    <n v="10.7645"/>
    <n v="7.2300000000000003E-2"/>
    <n v="2.1921385246977463E-3"/>
    <n v="2511234191.5579"/>
    <n v="13045111.310000001"/>
    <n v="0.12709999999999999"/>
    <n v="5.9999999999999995E-4"/>
    <n v="1"/>
    <d v="2015-05-01T00:00:00"/>
    <n v="14088367.286476176"/>
    <n v="0.06"/>
    <n v="0.21921385246977462"/>
  </r>
  <r>
    <x v="1"/>
    <s v="13DN01"/>
    <n v="19298303853.59"/>
    <x v="23"/>
    <n v="86371"/>
    <n v="180816048.7632224"/>
    <n v="840844.9"/>
    <n v="9.3695306144527205E-3"/>
    <n v="4.3570922417805147E-5"/>
    <n v="10.681699999999999"/>
    <n v="5.2200000000000003E-2"/>
    <n v="2.2724679367011748E-3"/>
    <n v="2692050240.3211002"/>
    <n v="13885956.210000001"/>
    <n v="0.13619999999999999"/>
    <n v="6.9999999999999999E-4"/>
    <n v="1"/>
    <d v="2015-06-01T00:00:00"/>
    <n v="12475497.073222408"/>
    <n v="6.9999999999999993E-2"/>
    <n v="0.22724679367011746"/>
  </r>
  <r>
    <x v="1"/>
    <s v="13DN01"/>
    <n v="19082907230.220001"/>
    <x v="24"/>
    <n v="85631"/>
    <n v="202706787.08797881"/>
    <n v="2030630.68"/>
    <n v="1.0622426899763423E-2"/>
    <n v="1.06410970587556E-4"/>
    <n v="12.027900000000001"/>
    <n v="0.12759999999999999"/>
    <n v="2.5775484571924391E-3"/>
    <n v="2894757027.4091001"/>
    <n v="15916586.890000001"/>
    <n v="0.14649999999999999"/>
    <n v="8.0000000000000004E-4"/>
    <n v="1"/>
    <d v="2015-07-01T00:00:00"/>
    <n v="10847038.527978823"/>
    <n v="0.08"/>
    <n v="0.2577548457192439"/>
  </r>
  <r>
    <x v="1"/>
    <s v="13DN01"/>
    <n v="18844871637.860001"/>
    <x v="25"/>
    <n v="84793"/>
    <n v="183808478.16587281"/>
    <n v="647409.99"/>
    <n v="9.7537665258804543E-3"/>
    <n v="3.4354704157248329E-5"/>
    <n v="11.096500000000001"/>
    <n v="4.1200000000000001E-2"/>
    <n v="2.3798532673419094E-3"/>
    <n v="3078565505.5749998"/>
    <n v="16563996.880000001"/>
    <n v="0.15579999999999999"/>
    <n v="8.0000000000000004E-4"/>
    <n v="1"/>
    <d v="2015-08-01T00:00:00"/>
    <n v="11833674.255872823"/>
    <n v="0.08"/>
    <n v="0.23798532673419093"/>
  </r>
  <r>
    <x v="1"/>
    <s v="13DN01"/>
    <n v="18627223256.68"/>
    <x v="26"/>
    <n v="84007"/>
    <n v="147830049.02469999"/>
    <n v="967341.44"/>
    <n v="7.9362364957796874E-3"/>
    <n v="5.1931596388264519E-5"/>
    <n v="9.1184999999999992"/>
    <n v="6.2300000000000001E-2"/>
    <n v="2.5092007448420171E-3"/>
    <n v="3226395554.5997"/>
    <n v="17531338.32"/>
    <n v="0.1633"/>
    <n v="8.0000000000000004E-4"/>
    <n v="1"/>
    <d v="2015-09-01T00:00:00"/>
    <n v="11292552.354699994"/>
    <n v="0.08"/>
    <n v="0.25092007448420173"/>
  </r>
  <r>
    <x v="1"/>
    <s v="13DN01"/>
    <n v="18446086422.009998"/>
    <x v="0"/>
    <n v="83369"/>
    <n v="155239143.08577126"/>
    <n v="1254957.8999999999"/>
    <n v="8.4158308453189737E-3"/>
    <n v="6.8033829577127835E-5"/>
    <n v="9.6443999999999992"/>
    <n v="8.1600000000000006E-2"/>
    <n v="2.5924193585551486E-3"/>
    <n v="3381634697.6855001"/>
    <n v="18786296.219999999"/>
    <n v="0.17119999999999999"/>
    <n v="8.9999999999999998E-4"/>
    <n v="1"/>
    <d v="2015-10-01T00:00:00"/>
    <n v="11892318.245771261"/>
    <n v="0.09"/>
    <n v="0.25924193585551486"/>
  </r>
  <r>
    <x v="2"/>
    <s v="13DN02"/>
    <n v="35184267786.93"/>
    <x v="6"/>
    <n v="145598"/>
    <n v="268440587.1003477"/>
    <n v="0"/>
    <n v="7.6295629832622541E-3"/>
    <n v="0"/>
    <n v="8.7807999999999993"/>
    <n v="0"/>
    <n v="1.7407225985459115E-3"/>
    <n v="268440587.10030001"/>
    <n v="0"/>
    <n v="8.3000000000000001E-3"/>
    <n v="0"/>
    <n v="1"/>
    <d v="2014-01-01T00:00:00"/>
    <n v="13117205.000347687"/>
    <n v="0"/>
    <n v="0.17407225985459115"/>
  </r>
  <r>
    <x v="2"/>
    <s v="13DN02"/>
    <n v="34859342835.760002"/>
    <x v="7"/>
    <n v="144497"/>
    <n v="92670712.306838334"/>
    <n v="0"/>
    <n v="2.6584182250209633E-3"/>
    <n v="0"/>
    <n v="3.1438000000000001"/>
    <n v="0"/>
    <n v="1.8375837729301082E-3"/>
    <n v="361111299.40710002"/>
    <n v="0"/>
    <n v="1.12E-2"/>
    <n v="0"/>
    <n v="1"/>
    <d v="2014-02-01T00:00:00"/>
    <n v="17756065.266838327"/>
    <n v="0"/>
    <n v="0.18375837729301081"/>
  </r>
  <r>
    <x v="2"/>
    <s v="13DN02"/>
    <n v="34710539920.269997"/>
    <x v="8"/>
    <n v="144155"/>
    <n v="94388433.710357592"/>
    <n v="0"/>
    <n v="2.7193018007546847E-3"/>
    <n v="0"/>
    <n v="3.2147000000000001"/>
    <n v="0"/>
    <n v="1.7780417591245561E-3"/>
    <n v="455499733.11750001"/>
    <n v="0"/>
    <n v="1.4200000000000001E-2"/>
    <n v="0"/>
    <n v="1"/>
    <d v="2014-03-01T00:00:00"/>
    <n v="17478813.840357583"/>
    <n v="0"/>
    <n v="0.17780417591245562"/>
  </r>
  <r>
    <x v="2"/>
    <s v="13DN02"/>
    <n v="34561418507.610001"/>
    <x v="9"/>
    <n v="143801"/>
    <n v="120232665.21541533"/>
    <n v="260106.15"/>
    <n v="3.4788116462564048E-3"/>
    <n v="7.5259107187029327E-6"/>
    <n v="4.0956000000000001"/>
    <n v="8.9999999999999993E-3"/>
    <n v="2.4711399829030348E-3"/>
    <n v="575732398.33290005"/>
    <n v="260106.15"/>
    <n v="1.7899999999999999E-2"/>
    <n v="0"/>
    <n v="1"/>
    <d v="2014-04-01T00:00:00"/>
    <n v="13977369.925415328"/>
    <n v="0"/>
    <n v="0.24711399829030348"/>
  </r>
  <r>
    <x v="2"/>
    <s v="13DN02"/>
    <n v="34383902530.860001"/>
    <x v="10"/>
    <n v="143311"/>
    <n v="132411833.75668444"/>
    <n v="1118824.01"/>
    <n v="3.8509832802673602E-3"/>
    <n v="3.2539180478302043E-5"/>
    <n v="4.5244999999999997"/>
    <n v="3.9E-2"/>
    <n v="1.997778070663985E-3"/>
    <n v="708144232.08959997"/>
    <n v="1378930.16"/>
    <n v="2.1999999999999999E-2"/>
    <n v="0"/>
    <n v="1"/>
    <d v="2014-05-01T00:00:00"/>
    <n v="17565682.836684436"/>
    <n v="0"/>
    <n v="0.1997778070663985"/>
  </r>
  <r>
    <x v="2"/>
    <s v="13DN02"/>
    <n v="34194102666.93"/>
    <x v="11"/>
    <n v="142808"/>
    <n v="167949789.17725629"/>
    <n v="495173.75"/>
    <n v="4.9116594991008454E-3"/>
    <n v="1.4481261719989375E-5"/>
    <n v="5.7373000000000003"/>
    <n v="1.7299999999999999E-2"/>
    <n v="2.0514285142461345E-3"/>
    <n v="876094021.26680005"/>
    <n v="1874103.91"/>
    <n v="2.7300000000000001E-2"/>
    <n v="0"/>
    <n v="1"/>
    <d v="2014-06-01T00:00:00"/>
    <n v="14606236.967256291"/>
    <n v="0"/>
    <n v="0.20514285142461344"/>
  </r>
  <r>
    <x v="2"/>
    <s v="13DN02"/>
    <n v="33969478822.689999"/>
    <x v="12"/>
    <n v="142132"/>
    <n v="182024900.31194091"/>
    <n v="600232.69999999995"/>
    <n v="5.3584837513125727E-3"/>
    <n v="1.7669764765395017E-5"/>
    <n v="6.2439999999999998"/>
    <n v="2.12E-2"/>
    <n v="1.9721110726977891E-3"/>
    <n v="1058118921.5788"/>
    <n v="2474336.61"/>
    <n v="3.2899999999999999E-2"/>
    <n v="0"/>
    <n v="1"/>
    <d v="2014-07-01T00:00:00"/>
    <n v="13935222.161940904"/>
    <n v="0"/>
    <n v="0.19721110726977892"/>
  </r>
  <r>
    <x v="2"/>
    <s v="13DN02"/>
    <n v="33733163472.400002"/>
    <x v="13"/>
    <n v="141415"/>
    <n v="186060251.78332713"/>
    <n v="779358.81"/>
    <n v="5.5156478856647709E-3"/>
    <n v="2.3103638371706833E-5"/>
    <n v="6.4215999999999998"/>
    <n v="2.7699999999999999E-2"/>
    <n v="2.2263176989447304E-3"/>
    <n v="1244179173.3620999"/>
    <n v="3253695.42"/>
    <n v="3.8699999999999998E-2"/>
    <n v="1E-4"/>
    <n v="1"/>
    <d v="2014-08-01T00:00:00"/>
    <n v="15716663.203327136"/>
    <n v="0.01"/>
    <n v="0.22263176989447303"/>
  </r>
  <r>
    <x v="2"/>
    <s v="13DN02"/>
    <n v="33490133224.82"/>
    <x v="14"/>
    <n v="140635"/>
    <n v="172800210.87110811"/>
    <n v="722780.87"/>
    <n v="5.1597349497267304E-3"/>
    <n v="2.1581904889656789E-5"/>
    <n v="6.0189000000000004"/>
    <n v="2.58E-2"/>
    <n v="2.2033305485722383E-3"/>
    <n v="1416979384.2332001"/>
    <n v="3976476.29"/>
    <n v="4.41E-2"/>
    <n v="1E-4"/>
    <n v="1"/>
    <d v="2014-09-01T00:00:00"/>
    <n v="15516640.001108116"/>
    <n v="0.01"/>
    <n v="0.22033305485722382"/>
  </r>
  <r>
    <x v="2"/>
    <s v="13DN02"/>
    <n v="33260667256.009998"/>
    <x v="15"/>
    <n v="139941"/>
    <n v="148731494.24609643"/>
    <n v="572154.51"/>
    <n v="4.4716930391473595E-3"/>
    <n v="1.7202135651581529E-5"/>
    <n v="5.2359999999999998"/>
    <n v="2.06E-2"/>
    <n v="2.5588074191332274E-3"/>
    <n v="1565710878.4793"/>
    <n v="4548630.8"/>
    <n v="4.8800000000000003E-2"/>
    <n v="1E-4"/>
    <n v="1"/>
    <d v="2014-10-01T00:00:00"/>
    <n v="15930724.886096422"/>
    <n v="0.01"/>
    <n v="0.25588074191332272"/>
  </r>
  <r>
    <x v="2"/>
    <s v="13DN02"/>
    <n v="33055593115.669998"/>
    <x v="16"/>
    <n v="139324"/>
    <n v="164700018.77868724"/>
    <n v="1498860.31"/>
    <n v="4.9825159150029353E-3"/>
    <n v="4.5343621720992976E-5"/>
    <n v="5.8178000000000001"/>
    <n v="5.4300000000000001E-2"/>
    <n v="2.5020117939070796E-3"/>
    <n v="1730410897.2579999"/>
    <n v="6047491.1100000003"/>
    <n v="5.3900000000000003E-2"/>
    <n v="1E-4"/>
    <n v="1"/>
    <d v="2014-11-01T00:00:00"/>
    <n v="14801292.888687229"/>
    <n v="0.01"/>
    <n v="0.25020117939070796"/>
  </r>
  <r>
    <x v="2"/>
    <s v="13DN02"/>
    <n v="32833580707.720001"/>
    <x v="17"/>
    <n v="138650"/>
    <n v="142279027.05726314"/>
    <n v="1553912.54"/>
    <n v="4.3333387340178144E-3"/>
    <n v="4.7326928909542785E-5"/>
    <n v="5.0777999999999999"/>
    <n v="5.67E-2"/>
    <n v="2.1441935921246271E-3"/>
    <n v="1872689924.3153"/>
    <n v="7601403.6500000004"/>
    <n v="5.8299999999999998E-2"/>
    <n v="2.0000000000000001E-4"/>
    <n v="1"/>
    <d v="2014-12-01T00:00:00"/>
    <n v="15871856.337263126"/>
    <n v="0.02"/>
    <n v="0.21441935921246272"/>
  </r>
  <r>
    <x v="2"/>
    <s v="13DN02"/>
    <n v="32634637088.779999"/>
    <x v="18"/>
    <n v="138086"/>
    <n v="159786619.5055522"/>
    <n v="1328887.02"/>
    <n v="4.8962278658366901E-3"/>
    <n v="4.072014088542998E-5"/>
    <n v="5.7198000000000002"/>
    <n v="4.8800000000000003E-2"/>
    <n v="3.1347728617816361E-3"/>
    <n v="2032476543.8208001"/>
    <n v="8930290.6699999999"/>
    <n v="6.3299999999999995E-2"/>
    <n v="2.0000000000000001E-4"/>
    <n v="1"/>
    <d v="2015-01-01T00:00:00"/>
    <n v="17167058.515552197"/>
    <n v="0.02"/>
    <n v="0.31347728617816362"/>
  </r>
  <r>
    <x v="2"/>
    <s v="13DN02"/>
    <n v="32417706750.169998"/>
    <x v="19"/>
    <n v="137459"/>
    <n v="121533130.71384099"/>
    <n v="753052.33"/>
    <n v="3.7489737213815613E-3"/>
    <n v="2.3229660746932721E-5"/>
    <n v="4.4070999999999998"/>
    <n v="2.7799999999999998E-2"/>
    <n v="2.4974412994088618E-3"/>
    <n v="2154009674.5346999"/>
    <n v="9683343"/>
    <n v="6.7100000000000007E-2"/>
    <n v="2.9999999999999997E-4"/>
    <n v="1"/>
    <d v="2015-02-01T00:00:00"/>
    <n v="18022273.633840989"/>
    <n v="0.03"/>
    <n v="0.24974412994088618"/>
  </r>
  <r>
    <x v="2"/>
    <s v="13DN02"/>
    <n v="32239798911.360001"/>
    <x v="20"/>
    <n v="137023"/>
    <n v="145258277.0039669"/>
    <n v="2259765.79"/>
    <n v="4.5055577859942466E-3"/>
    <n v="7.0092428188308275E-5"/>
    <n v="5.2746000000000004"/>
    <n v="8.4000000000000005E-2"/>
    <n v="2.5887270816875988E-3"/>
    <n v="2299267951.5386"/>
    <n v="11943108.789999999"/>
    <n v="7.1599999999999997E-2"/>
    <n v="2.9999999999999997E-4"/>
    <n v="1"/>
    <d v="2015-03-01T00:00:00"/>
    <n v="16158561.573966891"/>
    <n v="0.03"/>
    <n v="0.2588727081687599"/>
  </r>
  <r>
    <x v="2"/>
    <s v="13DN02"/>
    <n v="32038687612.509998"/>
    <x v="21"/>
    <n v="136465"/>
    <n v="219069654.08820438"/>
    <n v="1168297.3"/>
    <n v="6.8376600420631851E-3"/>
    <n v="3.6465204634156744E-5"/>
    <n v="7.9035000000000002"/>
    <n v="4.3700000000000003E-2"/>
    <n v="3.0448566589197255E-3"/>
    <n v="2518337605.6268001"/>
    <n v="13111406.09"/>
    <n v="7.85E-2"/>
    <n v="4.0000000000000002E-4"/>
    <n v="1"/>
    <d v="2015-04-01T00:00:00"/>
    <n v="16363651.868204368"/>
    <n v="0.04"/>
    <n v="0.30448566589197257"/>
  </r>
  <r>
    <x v="2"/>
    <s v="13DN02"/>
    <n v="31763545472.23"/>
    <x v="22"/>
    <n v="135631"/>
    <n v="224734858.3046625"/>
    <n v="1673286.98"/>
    <n v="7.0752447487684288E-3"/>
    <n v="5.2679477530709191E-5"/>
    <n v="8.1675000000000004"/>
    <n v="6.3100000000000003E-2"/>
    <n v="2.1134393866292481E-3"/>
    <n v="2743072463.9315"/>
    <n v="14784693.07"/>
    <n v="8.5500000000000007E-2"/>
    <n v="4.0000000000000002E-4"/>
    <n v="1"/>
    <d v="2015-05-01T00:00:00"/>
    <n v="20348392.964662503"/>
    <n v="0.04"/>
    <n v="0.21134393866292481"/>
  </r>
  <r>
    <x v="2"/>
    <s v="13DN02"/>
    <n v="31481839071.779999"/>
    <x v="23"/>
    <n v="134755"/>
    <n v="237023969.8034279"/>
    <n v="2931733.85"/>
    <n v="7.5289111688488924E-3"/>
    <n v="9.3124605691411981E-5"/>
    <n v="8.6698000000000004"/>
    <n v="0.1116"/>
    <n v="2.2965921277708907E-3"/>
    <n v="2980096433.7349"/>
    <n v="17716426.920000002"/>
    <n v="9.2899999999999996E-2"/>
    <n v="5.0000000000000001E-4"/>
    <n v="1"/>
    <d v="2015-06-01T00:00:00"/>
    <n v="16539436.363427904"/>
    <n v="0.05"/>
    <n v="0.22965921277708906"/>
  </r>
  <r>
    <x v="2"/>
    <s v="13DN02"/>
    <n v="31187038920.860001"/>
    <x v="24"/>
    <n v="133785"/>
    <n v="263259494.80081221"/>
    <n v="577183.81000000006"/>
    <n v="8.4413110032298209E-3"/>
    <n v="1.8507169323277449E-5"/>
    <n v="9.6722000000000001"/>
    <n v="2.2200000000000001E-2"/>
    <n v="3.2067372969835704E-3"/>
    <n v="3243355928.5356998"/>
    <n v="18293610.73"/>
    <n v="0.1011"/>
    <n v="5.0000000000000001E-4"/>
    <n v="1"/>
    <d v="2015-07-01T00:00:00"/>
    <n v="16278028.430812212"/>
    <n v="0.05"/>
    <n v="0.32067372969835706"/>
  </r>
  <r>
    <x v="2"/>
    <s v="13DN02"/>
    <n v="30868963894.860001"/>
    <x v="25"/>
    <n v="132693"/>
    <n v="257662161.51114503"/>
    <n v="1385892.7"/>
    <n v="8.346965009539839E-3"/>
    <n v="4.4895990183550194E-5"/>
    <n v="9.5690000000000008"/>
    <n v="5.3800000000000001E-2"/>
    <n v="2.6933136992603642E-3"/>
    <n v="3501018090.0468998"/>
    <n v="19679503.43"/>
    <n v="0.1091"/>
    <n v="5.9999999999999995E-4"/>
    <n v="1"/>
    <d v="2015-08-01T00:00:00"/>
    <n v="15483146.661145035"/>
    <n v="0.06"/>
    <n v="0.2693313699260364"/>
  </r>
  <r>
    <x v="2"/>
    <s v="13DN02"/>
    <n v="30555510851.52"/>
    <x v="26"/>
    <n v="131626"/>
    <n v="220605129.18851912"/>
    <n v="813417.58"/>
    <n v="7.2198147908741316E-3"/>
    <n v="2.6620977929404708E-5"/>
    <n v="8.3277999999999999"/>
    <n v="3.1899999999999998E-2"/>
    <n v="2.467735371416611E-3"/>
    <n v="3721623219.2354002"/>
    <n v="20492921.010000002"/>
    <n v="0.11600000000000001"/>
    <n v="5.9999999999999995E-4"/>
    <n v="1"/>
    <d v="2015-09-01T00:00:00"/>
    <n v="17479731.608519122"/>
    <n v="0.06"/>
    <n v="0.24677353714166109"/>
  </r>
  <r>
    <x v="2"/>
    <s v="13DN02"/>
    <n v="30281225447.799999"/>
    <x v="0"/>
    <n v="130718"/>
    <n v="196888879.68217266"/>
    <n v="1120041.97"/>
    <n v="6.5020116184392089E-3"/>
    <n v="3.6988000103588069E-5"/>
    <n v="7.5293000000000001"/>
    <n v="4.4299999999999999E-2"/>
    <n v="2.657795934934567E-3"/>
    <n v="3918512098.9176002"/>
    <n v="21612962.98"/>
    <n v="0.1221"/>
    <n v="5.9999999999999995E-4"/>
    <n v="1"/>
    <d v="2015-10-01T00:00:00"/>
    <n v="17431523.612172648"/>
    <n v="0.06"/>
    <n v="0.2657795934934567"/>
  </r>
  <r>
    <x v="3"/>
    <s v="14DN01"/>
    <n v="32312170855.900002"/>
    <x v="9"/>
    <n v="139513"/>
    <n v="221484669.732867"/>
    <n v="0"/>
    <n v="6.8545276861961529E-3"/>
    <n v="0"/>
    <n v="7.9222999999999999"/>
    <n v="0"/>
    <n v="1.5133682685102268E-3"/>
    <n v="221484669.73280001"/>
    <n v="0"/>
    <n v="7.4000000000000003E-3"/>
    <n v="0"/>
    <n v="1"/>
    <d v="2014-04-01T00:00:00"/>
    <n v="14349742.282866994"/>
    <n v="0"/>
    <n v="0.15133682685102268"/>
  </r>
  <r>
    <x v="3"/>
    <s v="14DN01"/>
    <n v="32038558514.889999"/>
    <x v="10"/>
    <n v="138574"/>
    <n v="122877501.33147874"/>
    <n v="0"/>
    <n v="3.8353005574321055E-3"/>
    <n v="0"/>
    <n v="4.5065"/>
    <n v="0"/>
    <n v="1.1308922754174791E-3"/>
    <n v="344362171.0643"/>
    <n v="0"/>
    <n v="1.1599999999999999E-2"/>
    <n v="0"/>
    <n v="1"/>
    <d v="2014-05-01T00:00:00"/>
    <n v="17170763.571478743"/>
    <n v="0"/>
    <n v="0.11308922754174791"/>
  </r>
  <r>
    <x v="3"/>
    <s v="14DN01"/>
    <n v="31865279462.52"/>
    <x v="11"/>
    <n v="138094"/>
    <n v="144821257.93066663"/>
    <n v="0"/>
    <n v="4.5447979861907581E-3"/>
    <n v="0"/>
    <n v="5.3193999999999999"/>
    <n v="0"/>
    <n v="1.373448526992423E-3"/>
    <n v="489183428.995"/>
    <n v="0"/>
    <n v="1.6500000000000001E-2"/>
    <n v="0"/>
    <n v="1"/>
    <d v="2014-06-01T00:00:00"/>
    <n v="16498737.030666625"/>
    <n v="0"/>
    <n v="0.13734485269924229"/>
  </r>
  <r>
    <x v="3"/>
    <s v="14DN01"/>
    <n v="31667475693.279999"/>
    <x v="12"/>
    <n v="137486"/>
    <n v="164517874.10917449"/>
    <n v="412038.9"/>
    <n v="5.1951685604067904E-3"/>
    <n v="1.3011422318307384E-5"/>
    <n v="6.0590999999999999"/>
    <n v="1.5599999999999999E-2"/>
    <n v="1.683875900197364E-3"/>
    <n v="653701303.10409999"/>
    <n v="412038.9"/>
    <n v="2.1999999999999999E-2"/>
    <n v="0"/>
    <n v="1"/>
    <d v="2014-07-01T00:00:00"/>
    <n v="14501598.819174482"/>
    <n v="0"/>
    <n v="0.16838759001973638"/>
  </r>
  <r>
    <x v="3"/>
    <s v="14DN01"/>
    <n v="31454431558.75"/>
    <x v="13"/>
    <n v="136821"/>
    <n v="159979061.93641013"/>
    <n v="83561.429999999993"/>
    <n v="5.0860579577667528E-3"/>
    <n v="2.6565868737422743E-6"/>
    <n v="5.9353999999999996"/>
    <n v="3.0999999999999999E-3"/>
    <n v="2.0143466653230447E-3"/>
    <n v="813680365.04050004"/>
    <n v="495600.33"/>
    <n v="2.75E-2"/>
    <n v="0"/>
    <n v="1"/>
    <d v="2014-08-01T00:00:00"/>
    <n v="16469928.516410124"/>
    <n v="0"/>
    <n v="0.20143466653230446"/>
  </r>
  <r>
    <x v="3"/>
    <s v="14DN01"/>
    <n v="31244385455.200001"/>
    <x v="14"/>
    <n v="136164"/>
    <n v="143483340.84959134"/>
    <n v="681878.67"/>
    <n v="4.5922919833173235E-3"/>
    <n v="2.1824038465333776E-5"/>
    <n v="5.3735999999999997"/>
    <n v="2.6100000000000002E-2"/>
    <n v="2.1581050002306207E-3"/>
    <n v="957163705.8901"/>
    <n v="1177479"/>
    <n v="3.2300000000000002E-2"/>
    <n v="0"/>
    <n v="1"/>
    <d v="2014-09-01T00:00:00"/>
    <n v="14986366.699591346"/>
    <n v="0"/>
    <n v="0.21581050002306207"/>
  </r>
  <r>
    <x v="3"/>
    <s v="14DN01"/>
    <n v="31050179453.919998"/>
    <x v="15"/>
    <n v="135572"/>
    <n v="135255855.79489452"/>
    <n v="1164150.3500000001"/>
    <n v="4.3560410333737653E-3"/>
    <n v="3.7492548206610423E-5"/>
    <n v="5.1037999999999997"/>
    <n v="4.4900000000000002E-2"/>
    <n v="2.4979319116369262E-3"/>
    <n v="1092419561.6849999"/>
    <n v="2341629.35"/>
    <n v="3.6900000000000002E-2"/>
    <n v="0"/>
    <n v="1"/>
    <d v="2014-10-01T00:00:00"/>
    <n v="14448638.09489453"/>
    <n v="0"/>
    <n v="0.24979319116369261"/>
  </r>
  <r>
    <x v="3"/>
    <s v="14DN01"/>
    <n v="30864009327.299999"/>
    <x v="16"/>
    <n v="135011"/>
    <n v="148388314.9740434"/>
    <n v="736099.11"/>
    <n v="4.807810722205496E-3"/>
    <n v="2.3849756594937964E-5"/>
    <n v="5.6192000000000002"/>
    <n v="2.86E-2"/>
    <n v="2.4241376279594707E-3"/>
    <n v="1240807876.6591001"/>
    <n v="3077728.46"/>
    <n v="4.19E-2"/>
    <n v="1E-4"/>
    <n v="1"/>
    <d v="2014-11-01T00:00:00"/>
    <n v="13734724.204043385"/>
    <n v="0.01"/>
    <n v="0.24241376279594706"/>
  </r>
  <r>
    <x v="3"/>
    <s v="14DN01"/>
    <n v="30665146300.130001"/>
    <x v="17"/>
    <n v="134366"/>
    <n v="139520986.34032962"/>
    <n v="1092294.03"/>
    <n v="4.5498229480072016E-3"/>
    <n v="3.5620049528195775E-5"/>
    <n v="5.3251999999999997"/>
    <n v="4.2700000000000002E-2"/>
    <n v="1.9412218212618683E-3"/>
    <n v="1380328862.9993999"/>
    <n v="4170022.49"/>
    <n v="4.6600000000000003E-2"/>
    <n v="1E-4"/>
    <n v="1"/>
    <d v="2014-12-01T00:00:00"/>
    <n v="14730842.970329605"/>
    <n v="0.01"/>
    <n v="0.19412218212618684"/>
  </r>
  <r>
    <x v="3"/>
    <s v="14DN01"/>
    <n v="30475372228.66"/>
    <x v="18"/>
    <n v="133821"/>
    <n v="150318649.77106684"/>
    <n v="543257.96"/>
    <n v="4.9324631260681514E-3"/>
    <n v="1.7826130421767355E-5"/>
    <n v="5.7609000000000004"/>
    <n v="2.1299999999999999E-2"/>
    <n v="3.1485687682515661E-3"/>
    <n v="1530647512.7704999"/>
    <n v="4713280.45"/>
    <n v="5.1700000000000003E-2"/>
    <n v="1E-4"/>
    <n v="1"/>
    <d v="2015-01-01T00:00:00"/>
    <n v="15227283.681066839"/>
    <n v="0.01"/>
    <n v="0.31485687682515662"/>
  </r>
  <r>
    <x v="3"/>
    <s v="14DN01"/>
    <n v="30274833486.439999"/>
    <x v="19"/>
    <n v="133208"/>
    <n v="123410535.8723557"/>
    <n v="1663331.74"/>
    <n v="4.0763406982116312E-3"/>
    <n v="5.4941069807865368E-5"/>
    <n v="4.7834000000000003"/>
    <n v="6.59E-2"/>
    <n v="2.47230211599758E-3"/>
    <n v="1654058048.6428001"/>
    <n v="6376612.1900000004"/>
    <n v="5.5899999999999998E-2"/>
    <n v="2.0000000000000001E-4"/>
    <n v="1"/>
    <d v="2015-02-01T00:00:00"/>
    <n v="15041063.782355694"/>
    <n v="0.02"/>
    <n v="0.247230211599758"/>
  </r>
  <r>
    <x v="3"/>
    <s v="14DN01"/>
    <n v="30100359859.959999"/>
    <x v="20"/>
    <n v="132713"/>
    <n v="167730791.65303394"/>
    <n v="589675.86"/>
    <n v="5.5723849293958854E-3"/>
    <n v="1.9590325921132812E-5"/>
    <n v="6.4855999999999998"/>
    <n v="2.35E-2"/>
    <n v="2.510955390621049E-3"/>
    <n v="1821788840.2959001"/>
    <n v="6966288.0499999998"/>
    <n v="6.1499999999999999E-2"/>
    <n v="2.0000000000000001E-4"/>
    <n v="1"/>
    <d v="2015-03-01T00:00:00"/>
    <n v="14790289.653033936"/>
    <n v="0.02"/>
    <n v="0.25109553906210491"/>
  </r>
  <r>
    <x v="3"/>
    <s v="14DN01"/>
    <n v="29884165860.82"/>
    <x v="21"/>
    <n v="132085"/>
    <n v="211909820.3245059"/>
    <n v="776531.93"/>
    <n v="7.0910401619184169E-3"/>
    <n v="2.5984728287767994E-5"/>
    <n v="8.1851000000000003"/>
    <n v="3.1099999999999999E-2"/>
    <n v="3.1281199406860386E-3"/>
    <n v="2033698660.6204"/>
    <n v="7742819.9800000004"/>
    <n v="6.8699999999999997E-2"/>
    <n v="2.0000000000000001E-4"/>
    <n v="1"/>
    <d v="2015-04-01T00:00:00"/>
    <n v="14910383.734505886"/>
    <n v="0.02"/>
    <n v="0.31281199406860388"/>
  </r>
  <r>
    <x v="3"/>
    <s v="14DN01"/>
    <n v="29622381783.93"/>
    <x v="22"/>
    <n v="131250"/>
    <n v="224890956.46533403"/>
    <n v="564733.91"/>
    <n v="7.5919268783219956E-3"/>
    <n v="1.9064432904796516E-5"/>
    <n v="8.7393000000000001"/>
    <n v="2.2800000000000001E-2"/>
    <n v="2.3417835714895979E-3"/>
    <n v="2258589617.0857"/>
    <n v="8307553.8899999997"/>
    <n v="7.6300000000000007E-2"/>
    <n v="2.0000000000000001E-4"/>
    <n v="1"/>
    <d v="2015-05-01T00:00:00"/>
    <n v="18407373.545334037"/>
    <n v="0.02"/>
    <n v="0.23417835714895979"/>
  </r>
  <r>
    <x v="3"/>
    <s v="14DN01"/>
    <n v="29346853284.540001"/>
    <x v="23"/>
    <n v="130339"/>
    <n v="253339747.24867108"/>
    <n v="1555789.72"/>
    <n v="8.6326034615142582E-3"/>
    <n v="5.3013851431205883E-5"/>
    <n v="9.8811"/>
    <n v="6.3500000000000001E-2"/>
    <n v="2.4385021377300183E-3"/>
    <n v="2511929364.3344002"/>
    <n v="9863343.6099999994"/>
    <n v="8.48E-2"/>
    <n v="2.9999999999999997E-4"/>
    <n v="1"/>
    <d v="2015-06-01T00:00:00"/>
    <n v="15998811.388671072"/>
    <n v="0.03"/>
    <n v="0.24385021377300184"/>
  </r>
  <r>
    <x v="3"/>
    <s v="14DN01"/>
    <n v="29042673167.91"/>
    <x v="24"/>
    <n v="129302"/>
    <n v="263455147.37822482"/>
    <n v="651600.99"/>
    <n v="9.0713119228061703E-3"/>
    <n v="2.2435985359638686E-5"/>
    <n v="10.358499999999999"/>
    <n v="2.69E-2"/>
    <n v="2.8050422056194813E-3"/>
    <n v="2775384511.7126002"/>
    <n v="10514944.6"/>
    <n v="9.3799999999999994E-2"/>
    <n v="2.9999999999999997E-4"/>
    <n v="1"/>
    <d v="2015-07-01T00:00:00"/>
    <n v="14933591.908224819"/>
    <n v="0.03"/>
    <n v="0.28050422056194813"/>
  </r>
  <r>
    <x v="3"/>
    <s v="14DN01"/>
    <n v="28730000635.919998"/>
    <x v="25"/>
    <n v="128194"/>
    <n v="261802104.10077462"/>
    <n v="718587.41"/>
    <n v="9.1124990708650964E-3"/>
    <n v="2.5011743616238496E-5"/>
    <n v="10.4032"/>
    <n v="0.03"/>
    <n v="3.2520699489016246E-3"/>
    <n v="3037186615.8133998"/>
    <n v="11233532.01"/>
    <n v="0.1026"/>
    <n v="2.9999999999999997E-4"/>
    <n v="1"/>
    <d v="2015-08-01T00:00:00"/>
    <n v="14911561.940774625"/>
    <n v="0.03"/>
    <n v="0.32520699489016247"/>
  </r>
  <r>
    <x v="3"/>
    <s v="14DN01"/>
    <n v="28419059377.82"/>
    <x v="26"/>
    <n v="127071"/>
    <n v="210685989.4539184"/>
    <n v="1465843.73"/>
    <n v="7.4135454890653704E-3"/>
    <n v="5.157960052485184E-5"/>
    <n v="8.5422999999999991"/>
    <n v="6.1800000000000001E-2"/>
    <n v="2.9936563011793171E-3"/>
    <n v="3247872605.2673001"/>
    <n v="12699375.74"/>
    <n v="0.10970000000000001"/>
    <n v="4.0000000000000002E-4"/>
    <n v="1"/>
    <d v="2015-09-01T00:00:00"/>
    <n v="14573061.583918383"/>
    <n v="0.04"/>
    <n v="0.29936563011793171"/>
  </r>
  <r>
    <x v="3"/>
    <s v="14DN01"/>
    <n v="28159710844.290001"/>
    <x v="0"/>
    <n v="126169"/>
    <n v="201701309.55321351"/>
    <n v="534949.53"/>
    <n v="7.1627620989621376E-3"/>
    <n v="1.8996982353903422E-5"/>
    <n v="8.2645999999999997"/>
    <n v="2.2700000000000001E-2"/>
    <n v="3.3311377573687264E-3"/>
    <n v="3449573914.8204999"/>
    <n v="13234325.27"/>
    <n v="0.11650000000000001"/>
    <n v="4.0000000000000002E-4"/>
    <n v="1"/>
    <d v="2015-10-01T00:00:00"/>
    <n v="15553634.853213517"/>
    <n v="0.04"/>
    <n v="0.33311377573687262"/>
  </r>
  <r>
    <x v="4"/>
    <s v="14DN02"/>
    <n v="28039544680.09"/>
    <x v="11"/>
    <n v="116677"/>
    <n v="383703000.69896942"/>
    <n v="0"/>
    <n v="1.3684352049105307E-2"/>
    <n v="0"/>
    <n v="15.2399"/>
    <n v="0"/>
    <n v="1.5725828401668065E-3"/>
    <n v="383703000.69889998"/>
    <n v="0"/>
    <n v="1.6E-2"/>
    <n v="0"/>
    <n v="1"/>
    <d v="2014-06-01T00:00:00"/>
    <n v="14143086.328969413"/>
    <n v="0"/>
    <n v="0.15725828401668066"/>
  </r>
  <r>
    <x v="4"/>
    <s v="14DN02"/>
    <n v="27609728254.779999"/>
    <x v="12"/>
    <n v="115265"/>
    <n v="221408131.80500329"/>
    <n v="0"/>
    <n v="8.01920720703477E-3"/>
    <n v="0"/>
    <n v="9.2096999999999998"/>
    <n v="0"/>
    <n v="1.6088244911396338E-3"/>
    <n v="605111132.50390005"/>
    <n v="0"/>
    <n v="2.53E-2"/>
    <n v="0"/>
    <n v="1"/>
    <d v="2014-07-01T00:00:00"/>
    <n v="13971598.695003282"/>
    <n v="0"/>
    <n v="0.16088244911396338"/>
  </r>
  <r>
    <x v="4"/>
    <s v="14DN02"/>
    <n v="27348284475.400002"/>
    <x v="13"/>
    <n v="114528"/>
    <n v="217149634.09621337"/>
    <n v="0"/>
    <n v="7.9401555988472036E-3"/>
    <n v="0"/>
    <n v="9.1228999999999996"/>
    <n v="0"/>
    <n v="1.8208898837802382E-3"/>
    <n v="822260766.60010004"/>
    <n v="0"/>
    <n v="3.4299999999999997E-2"/>
    <n v="0"/>
    <n v="1"/>
    <d v="2014-08-01T00:00:00"/>
    <n v="14428234.586213375"/>
    <n v="0"/>
    <n v="0.18208898837802381"/>
  </r>
  <r>
    <x v="4"/>
    <s v="14DN02"/>
    <n v="27089577370.52"/>
    <x v="14"/>
    <n v="113774"/>
    <n v="195946951.45562413"/>
    <n v="968154.6"/>
    <n v="7.2332967316375242E-3"/>
    <n v="3.5739007174530004E-5"/>
    <n v="8.3428000000000004"/>
    <n v="4.2799999999999998E-2"/>
    <n v="1.761613143582386E-3"/>
    <n v="1018207718.0558"/>
    <n v="968154.6"/>
    <n v="4.2500000000000003E-2"/>
    <n v="0"/>
    <n v="1"/>
    <d v="2014-09-01T00:00:00"/>
    <n v="13464111.245624145"/>
    <n v="0"/>
    <n v="0.17616131435823859"/>
  </r>
  <r>
    <x v="4"/>
    <s v="14DN02"/>
    <n v="26851958095.509998"/>
    <x v="15"/>
    <n v="113066"/>
    <n v="174791170.75765356"/>
    <n v="77670.52"/>
    <n v="6.509438534647533E-3"/>
    <n v="2.8925458517301774E-6"/>
    <n v="7.5376000000000003"/>
    <n v="3.3999999999999998E-3"/>
    <n v="2.2266552669020319E-3"/>
    <n v="1192998888.8134"/>
    <n v="1045825.12"/>
    <n v="4.9799999999999997E-2"/>
    <n v="0"/>
    <n v="1"/>
    <d v="2014-10-01T00:00:00"/>
    <n v="12355167.337653574"/>
    <n v="0"/>
    <n v="0.22266552669020317"/>
  </r>
  <r>
    <x v="4"/>
    <s v="14DN02"/>
    <n v="26637069814.950001"/>
    <x v="16"/>
    <n v="112446"/>
    <n v="185568064.55472222"/>
    <n v="867798.01"/>
    <n v="6.9665344515699142E-3"/>
    <n v="3.2578583756722003E-5"/>
    <n v="8.0467999999999993"/>
    <n v="3.9E-2"/>
    <n v="2.3712214274615984E-3"/>
    <n v="1378566953.3680999"/>
    <n v="1913623.13"/>
    <n v="5.7599999999999998E-2"/>
    <n v="0"/>
    <n v="1"/>
    <d v="2014-11-01T00:00:00"/>
    <n v="12970217.834722212"/>
    <n v="0"/>
    <n v="0.23712214274615984"/>
  </r>
  <r>
    <x v="4"/>
    <s v="14DN02"/>
    <n v="26409684178.889999"/>
    <x v="17"/>
    <n v="111769"/>
    <n v="252079130.48196706"/>
    <n v="552007.49"/>
    <n v="9.5449505860982983E-3"/>
    <n v="2.0901707353291072E-5"/>
    <n v="10.8713"/>
    <n v="2.5000000000000001E-2"/>
    <n v="2.269243128545389E-3"/>
    <n v="1630646083.8501"/>
    <n v="2465630.62"/>
    <n v="6.8099999999999994E-2"/>
    <n v="1E-4"/>
    <n v="1"/>
    <d v="2014-12-01T00:00:00"/>
    <n v="12566634.521967068"/>
    <n v="0.01"/>
    <n v="0.2269243128545389"/>
  </r>
  <r>
    <x v="4"/>
    <s v="14DN02"/>
    <n v="26117688939.689999"/>
    <x v="18"/>
    <n v="110925"/>
    <n v="273443403.60795206"/>
    <n v="491931.43"/>
    <n v="1.046966307927847E-2"/>
    <n v="1.8835182206815843E-5"/>
    <n v="11.864800000000001"/>
    <n v="2.2499999999999999E-2"/>
    <n v="3.5758023853357255E-3"/>
    <n v="1904089487.4581001"/>
    <n v="2957562.05"/>
    <n v="7.9600000000000004E-2"/>
    <n v="1E-4"/>
    <n v="1"/>
    <d v="2015-01-01T00:00:00"/>
    <n v="13156773.95795206"/>
    <n v="0.01"/>
    <n v="0.35758023853357257"/>
  </r>
  <r>
    <x v="4"/>
    <s v="14DN02"/>
    <n v="25803566156.799999"/>
    <x v="19"/>
    <n v="110015"/>
    <n v="229515555.51209578"/>
    <n v="701717.69"/>
    <n v="8.8947223076610155E-3"/>
    <n v="2.7194601154580204E-5"/>
    <n v="10.166600000000001"/>
    <n v="3.2599999999999997E-2"/>
    <n v="2.8644847975992458E-3"/>
    <n v="2133605042.9702001"/>
    <n v="3659279.74"/>
    <n v="8.9200000000000002E-2"/>
    <n v="1E-4"/>
    <n v="1"/>
    <d v="2015-02-01T00:00:00"/>
    <n v="12577981.742095789"/>
    <n v="0.01"/>
    <n v="0.2864484797599246"/>
  </r>
  <r>
    <x v="4"/>
    <s v="14DN02"/>
    <n v="25533693163.25"/>
    <x v="20"/>
    <n v="109248"/>
    <n v="421595000.77826172"/>
    <n v="773623.07"/>
    <n v="1.6511320868578962E-2"/>
    <n v="3.0298126677321248E-5"/>
    <n v="18.1097"/>
    <n v="3.6299999999999999E-2"/>
    <n v="2.8439285894025848E-3"/>
    <n v="2555200043.7484002"/>
    <n v="4432902.8099999996"/>
    <n v="0.10680000000000001"/>
    <n v="1E-4"/>
    <n v="1"/>
    <d v="2015-03-01T00:00:00"/>
    <n v="13057796.708261721"/>
    <n v="0.01"/>
    <n v="0.28439285894025845"/>
  </r>
  <r>
    <x v="4"/>
    <s v="14DN02"/>
    <n v="25073337969.040001"/>
    <x v="21"/>
    <n v="107817"/>
    <n v="472407407.25592828"/>
    <n v="726228"/>
    <n v="1.8841025787601415E-2"/>
    <n v="2.8964153113427904E-5"/>
    <n v="20.407399999999999"/>
    <n v="3.4700000000000002E-2"/>
    <n v="3.4115434528749775E-3"/>
    <n v="3027607451.0043001"/>
    <n v="5159130.8099999996"/>
    <n v="0.12659999999999999"/>
    <n v="2.0000000000000001E-4"/>
    <n v="1"/>
    <d v="2015-04-01T00:00:00"/>
    <n v="13346158.495928306"/>
    <n v="0.02"/>
    <n v="0.34115434528749777"/>
  </r>
  <r>
    <x v="4"/>
    <s v="14DN02"/>
    <n v="24561922452.779999"/>
    <x v="22"/>
    <n v="106156"/>
    <n v="320422167.07276398"/>
    <n v="851866.76"/>
    <n v="1.3045484028734794E-2"/>
    <n v="3.4682413872029094E-5"/>
    <n v="14.578799999999999"/>
    <n v="4.1599999999999998E-2"/>
    <n v="2.5986266568794503E-3"/>
    <n v="3348029618.0770998"/>
    <n v="6010997.5700000003"/>
    <n v="0.14000000000000001"/>
    <n v="2.0000000000000001E-4"/>
    <n v="1"/>
    <d v="2015-05-01T00:00:00"/>
    <n v="14627925.352763999"/>
    <n v="0.02"/>
    <n v="0.25986266568794503"/>
  </r>
  <r>
    <x v="4"/>
    <s v="14DN02"/>
    <n v="24201903933.830002"/>
    <x v="23"/>
    <n v="104991"/>
    <n v="309546276.9310661"/>
    <n v="1062221.53"/>
    <n v="1.2790162202832932E-2"/>
    <n v="4.3889998609373923E-5"/>
    <n v="14.3132"/>
    <n v="5.2600000000000001E-2"/>
    <n v="2.8626337667243236E-3"/>
    <n v="3657575895.0082002"/>
    <n v="7073219.0999999996"/>
    <n v="0.15290000000000001"/>
    <n v="2.0000000000000001E-4"/>
    <n v="1"/>
    <d v="2015-06-01T00:00:00"/>
    <n v="13061135.811066097"/>
    <n v="0.02"/>
    <n v="0.28626337667243235"/>
  </r>
  <r>
    <x v="4"/>
    <s v="14DN02"/>
    <n v="23852978020.849998"/>
    <x v="24"/>
    <n v="103861"/>
    <n v="297623961.30184621"/>
    <n v="1003683.14"/>
    <n v="1.2477434098236779E-2"/>
    <n v="4.2077896484148679E-5"/>
    <n v="13.9869"/>
    <n v="5.04E-2"/>
    <n v="3.3860890945943958E-3"/>
    <n v="3955199856.3099999"/>
    <n v="8076902.2400000002"/>
    <n v="0.16539999999999999"/>
    <n v="2.9999999999999997E-4"/>
    <n v="1"/>
    <d v="2015-07-01T00:00:00"/>
    <n v="11578676.721846217"/>
    <n v="0.03"/>
    <n v="0.33860890945943956"/>
  </r>
  <r>
    <x v="4"/>
    <s v="14DN02"/>
    <n v="23516001945.110001"/>
    <x v="25"/>
    <n v="102690"/>
    <n v="254969385.97257987"/>
    <n v="935339.45"/>
    <n v="1.0842378163078826E-2"/>
    <n v="3.9774594856014533E-5"/>
    <n v="12.2623"/>
    <n v="4.7699999999999999E-2"/>
    <n v="3.5701651150551171E-3"/>
    <n v="4210169242.2825999"/>
    <n v="9012241.6899999995"/>
    <n v="0.17599999999999999"/>
    <n v="2.9999999999999997E-4"/>
    <n v="1"/>
    <d v="2015-08-01T00:00:00"/>
    <n v="11609004.332579864"/>
    <n v="0.03"/>
    <n v="0.35701651150551172"/>
  </r>
  <r>
    <x v="4"/>
    <s v="14DN02"/>
    <n v="23222576327.450001"/>
    <x v="26"/>
    <n v="101666"/>
    <n v="221363768.96805647"/>
    <n v="1979537.29"/>
    <n v="9.5322657506521254E-3"/>
    <n v="8.5241932767817364E-5"/>
    <n v="10.8576"/>
    <n v="0.1022"/>
    <n v="2.8879615910972572E-3"/>
    <n v="4431533011.2507"/>
    <n v="10991778.98"/>
    <n v="0.18529999999999999"/>
    <n v="4.0000000000000002E-4"/>
    <n v="1"/>
    <d v="2015-09-01T00:00:00"/>
    <n v="12534974.908056468"/>
    <n v="0.04"/>
    <n v="0.28879615910972573"/>
  </r>
  <r>
    <x v="4"/>
    <s v="14DN02"/>
    <n v="22962451528.080002"/>
    <x v="0"/>
    <n v="100758"/>
    <n v="211191999.71721393"/>
    <n v="1581498.49"/>
    <n v="9.1972757986643738E-3"/>
    <n v="6.8873242391651404E-5"/>
    <n v="10.495200000000001"/>
    <n v="8.2600000000000007E-2"/>
    <n v="3.1272172003145109E-3"/>
    <n v="4642725010.9679003"/>
    <n v="12573277.470000001"/>
    <n v="0.19409999999999999"/>
    <n v="5.0000000000000001E-4"/>
    <n v="1"/>
    <d v="2015-10-01T00:00:00"/>
    <n v="12317946.377213934"/>
    <n v="0.05"/>
    <n v="0.3127217200314511"/>
  </r>
  <r>
    <x v="5"/>
    <s v="14DN03"/>
    <n v="19673327276.75"/>
    <x v="15"/>
    <n v="87222"/>
    <n v="688502017.20530057"/>
    <n v="0"/>
    <n v="3.4996724627204996E-2"/>
    <n v="0"/>
    <n v="34.785299999999999"/>
    <n v="0"/>
    <n v="2.108271959111732E-3"/>
    <n v="688502017.20529997"/>
    <n v="0"/>
    <n v="4.6399999999999997E-2"/>
    <n v="0"/>
    <n v="1"/>
    <d v="2014-10-01T00:00:00"/>
    <n v="10830092.295300558"/>
    <n v="0"/>
    <n v="0.21082719591117319"/>
  </r>
  <r>
    <x v="5"/>
    <s v="14DN03"/>
    <n v="18959026495.110001"/>
    <x v="16"/>
    <n v="84869"/>
    <n v="232715721.50368032"/>
    <n v="0"/>
    <n v="1.227466618941133E-2"/>
    <n v="0"/>
    <n v="13.774699999999999"/>
    <n v="0"/>
    <n v="2.5311011972253472E-3"/>
    <n v="921217738.70889997"/>
    <n v="0"/>
    <n v="6.2E-2"/>
    <n v="0"/>
    <n v="1"/>
    <d v="2014-11-01T00:00:00"/>
    <n v="10396526.133680305"/>
    <n v="0"/>
    <n v="0.25311011972253472"/>
  </r>
  <r>
    <x v="5"/>
    <s v="14DN03"/>
    <n v="18700722950.959999"/>
    <x v="17"/>
    <n v="84088"/>
    <n v="402387905.76197129"/>
    <n v="0"/>
    <n v="2.1517237960113983E-2"/>
    <n v="0"/>
    <n v="22.973800000000001"/>
    <n v="0"/>
    <n v="2.5227434101727157E-3"/>
    <n v="1323605644.4709001"/>
    <n v="0"/>
    <n v="8.9200000000000002E-2"/>
    <n v="0"/>
    <n v="1"/>
    <d v="2014-12-01T00:00:00"/>
    <n v="9341364.5819712654"/>
    <n v="0"/>
    <n v="0.25227434101727159"/>
  </r>
  <r>
    <x v="5"/>
    <s v="14DN03"/>
    <n v="18273757066.580002"/>
    <x v="18"/>
    <n v="82804"/>
    <n v="393704331.57545274"/>
    <n v="651418.92000000004"/>
    <n v="2.1544793998355148E-2"/>
    <n v="3.5647782644070983E-5"/>
    <n v="22.9998"/>
    <n v="4.2700000000000002E-2"/>
    <n v="4.0740804804807089E-3"/>
    <n v="1717309976.0464001"/>
    <n v="651418.92000000004"/>
    <n v="0.1157"/>
    <n v="0"/>
    <n v="1"/>
    <d v="2015-01-01T00:00:00"/>
    <n v="9233670.5854527354"/>
    <n v="0"/>
    <n v="0.4074080480480709"/>
  </r>
  <r>
    <x v="5"/>
    <s v="14DN03"/>
    <n v="17854723101.439999"/>
    <x v="19"/>
    <n v="81501"/>
    <n v="327684779.75974113"/>
    <n v="0"/>
    <n v="1.8352834591610835E-2"/>
    <n v="0"/>
    <n v="19.930800000000001"/>
    <n v="0"/>
    <n v="3.6228581951395864E-3"/>
    <n v="2044994755.8060999"/>
    <n v="651418.92000000004"/>
    <n v="0.13780000000000001"/>
    <n v="0"/>
    <n v="1"/>
    <d v="2015-02-01T00:00:00"/>
    <n v="9440748.1297411509"/>
    <n v="0"/>
    <n v="0.36228581951395866"/>
  </r>
  <r>
    <x v="5"/>
    <s v="14DN03"/>
    <n v="17502640487.57"/>
    <x v="20"/>
    <n v="80430"/>
    <n v="673375497.11212575"/>
    <n v="599297.27"/>
    <n v="3.8472794867171187E-2"/>
    <n v="3.4240391924041863E-5"/>
    <n v="37.548999999999999"/>
    <n v="4.1000000000000002E-2"/>
    <n v="3.7548234962988844E-3"/>
    <n v="2718370252.9182"/>
    <n v="1250716.19"/>
    <n v="0.1832"/>
    <n v="0"/>
    <n v="1"/>
    <d v="2015-03-01T00:00:00"/>
    <n v="8749688.7121257149"/>
    <n v="0"/>
    <n v="0.37548234962988841"/>
  </r>
  <r>
    <x v="5"/>
    <s v="14DN03"/>
    <n v="16806094470.57"/>
    <x v="21"/>
    <n v="78205"/>
    <n v="684463430.45291185"/>
    <n v="645947.04"/>
    <n v="4.0727096450130652E-2"/>
    <n v="3.8435285552580375E-5"/>
    <n v="39.283499999999997"/>
    <n v="4.6100000000000002E-2"/>
    <n v="4.7436455346365862E-3"/>
    <n v="3402833683.3710999"/>
    <n v="1896663.23"/>
    <n v="0.2293"/>
    <n v="1E-4"/>
    <n v="1"/>
    <d v="2015-04-01T00:00:00"/>
    <n v="9635959.1329118796"/>
    <n v="0.01"/>
    <n v="0.47436455346365863"/>
  </r>
  <r>
    <x v="5"/>
    <s v="14DN03"/>
    <n v="16098208030.52"/>
    <x v="22"/>
    <n v="75849"/>
    <n v="435979282.86998951"/>
    <n v="1299799"/>
    <n v="2.7082472908999091E-2"/>
    <n v="8.0741843908077159E-5"/>
    <n v="28.069600000000001"/>
    <n v="9.6799999999999997E-2"/>
    <n v="3.9850514932082024E-3"/>
    <n v="3838812966.2410998"/>
    <n v="3196462.23"/>
    <n v="0.25869999999999999"/>
    <n v="2.0000000000000001E-4"/>
    <n v="1"/>
    <d v="2015-05-01T00:00:00"/>
    <n v="11641866.519989537"/>
    <n v="0.02"/>
    <n v="0.39850514932082026"/>
  </r>
  <r>
    <x v="5"/>
    <s v="14DN03"/>
    <n v="15638257078.51"/>
    <x v="23"/>
    <n v="74283"/>
    <n v="379347667.61427748"/>
    <n v="778404.67"/>
    <n v="2.4257669234481045E-2"/>
    <n v="4.9775666565149326E-5"/>
    <n v="25.523"/>
    <n v="5.9700000000000003E-2"/>
    <n v="4.0309554871447431E-3"/>
    <n v="4218160633.8554001"/>
    <n v="3974866.9"/>
    <n v="0.28420000000000001"/>
    <n v="2.0000000000000001E-4"/>
    <n v="1"/>
    <d v="2015-06-01T00:00:00"/>
    <n v="10200232.484277468"/>
    <n v="0.02"/>
    <n v="0.40309554871447428"/>
  </r>
  <r>
    <x v="5"/>
    <s v="14DN03"/>
    <n v="15236316428.049999"/>
    <x v="24"/>
    <n v="72925"/>
    <n v="310112016.01463276"/>
    <n v="1387142.57"/>
    <n v="2.0353477002073659E-2"/>
    <n v="9.1041858873859821E-5"/>
    <n v="21.8673"/>
    <n v="0.1091"/>
    <n v="5.2144966754387803E-3"/>
    <n v="4528272649.8699999"/>
    <n v="5362009.47"/>
    <n v="0.30509999999999998"/>
    <n v="2.9999999999999997E-4"/>
    <n v="1"/>
    <d v="2015-07-01T00:00:00"/>
    <n v="8153699.6146327797"/>
    <n v="0.03"/>
    <n v="0.521449667543878"/>
  </r>
  <r>
    <x v="5"/>
    <s v="14DN03"/>
    <n v="14903591509.59"/>
    <x v="25"/>
    <n v="71708"/>
    <n v="234073661.14102265"/>
    <n v="2346985.0099999998"/>
    <n v="1.5705855933477744E-2"/>
    <n v="1.5747781388732963E-4"/>
    <n v="17.301200000000001"/>
    <n v="0.1888"/>
    <n v="5.0057755368559725E-3"/>
    <n v="4762346311.0110998"/>
    <n v="7708994.4800000004"/>
    <n v="0.32090000000000002"/>
    <n v="5.0000000000000001E-4"/>
    <n v="1"/>
    <d v="2015-08-01T00:00:00"/>
    <n v="9102425.6410226431"/>
    <n v="0.05"/>
    <n v="0.5005775536855972"/>
  </r>
  <r>
    <x v="5"/>
    <s v="14DN03"/>
    <n v="14646073086.91"/>
    <x v="26"/>
    <n v="70758"/>
    <n v="188604997.34443745"/>
    <n v="855351.23"/>
    <n v="1.2877513052492144E-2"/>
    <n v="5.8401403906995E-5"/>
    <n v="14.4041"/>
    <n v="7.0000000000000007E-2"/>
    <n v="5.4953301347331028E-3"/>
    <n v="4950951308.3555002"/>
    <n v="8564345.7100000009"/>
    <n v="0.33360000000000001"/>
    <n v="5.0000000000000001E-4"/>
    <n v="1"/>
    <d v="2015-09-01T00:00:00"/>
    <n v="9527405.1344374456"/>
    <n v="0.05"/>
    <n v="0.54953301347331029"/>
  </r>
  <r>
    <x v="5"/>
    <s v="14DN03"/>
    <n v="14436065244.309999"/>
    <x v="0"/>
    <n v="69973"/>
    <n v="199863745.95265245"/>
    <n v="530256"/>
    <n v="1.3844752193221701E-2"/>
    <n v="3.6731338562563047E-5"/>
    <n v="15.405200000000001"/>
    <n v="4.3999999999999997E-2"/>
    <n v="5.5651263990834044E-3"/>
    <n v="5150815054.3080997"/>
    <n v="9094601.7100000009"/>
    <n v="0.34710000000000002"/>
    <n v="5.9999999999999995E-4"/>
    <n v="1"/>
    <d v="2015-10-01T00:00:00"/>
    <n v="8718368.1726524439"/>
    <n v="0.06"/>
    <n v="0.55651263990834043"/>
  </r>
  <r>
    <x v="6"/>
    <s v="14DN04"/>
    <n v="15740708858.99"/>
    <x v="16"/>
    <n v="69780"/>
    <n v="197742885.88737267"/>
    <n v="0"/>
    <n v="1.2562514665560036E-2"/>
    <n v="0"/>
    <n v="14.075799999999999"/>
    <n v="0"/>
    <n v="1.8931953044147801E-3"/>
    <n v="197742885.88730001"/>
    <n v="0"/>
    <n v="1.61E-2"/>
    <n v="0"/>
    <n v="1"/>
    <d v="2014-11-01T00:00:00"/>
    <n v="11399941.587372664"/>
    <n v="0"/>
    <n v="0.18931953044147801"/>
  </r>
  <r>
    <x v="6"/>
    <s v="14DN04"/>
    <n v="15522385738.57"/>
    <x v="17"/>
    <n v="69127"/>
    <n v="330961384.40286112"/>
    <n v="0"/>
    <n v="2.1321553914260022E-2"/>
    <n v="0"/>
    <n v="22.788799999999998"/>
    <n v="0"/>
    <n v="1.7013657980666157E-3"/>
    <n v="528704270.2902"/>
    <n v="0"/>
    <n v="4.3200000000000002E-2"/>
    <n v="0"/>
    <n v="1"/>
    <d v="2014-12-01T00:00:00"/>
    <n v="8635207.9628611393"/>
    <n v="0"/>
    <n v="0.17013657980666155"/>
  </r>
  <r>
    <x v="6"/>
    <s v="14DN04"/>
    <n v="15171194093.5"/>
    <x v="18"/>
    <n v="68132"/>
    <n v="313161765.23925549"/>
    <n v="0"/>
    <n v="2.0641866639451119E-2"/>
    <n v="0"/>
    <n v="22.142800000000001"/>
    <n v="0"/>
    <n v="3.4702441156267711E-3"/>
    <n v="841866035.52939999"/>
    <n v="0"/>
    <n v="6.8900000000000003E-2"/>
    <n v="0"/>
    <n v="1"/>
    <d v="2015-01-01T00:00:00"/>
    <n v="8133497.3092554826"/>
    <n v="0"/>
    <n v="0.3470244115626771"/>
  </r>
  <r>
    <x v="6"/>
    <s v="14DN04"/>
    <n v="14838043875"/>
    <x v="19"/>
    <n v="67165"/>
    <n v="298093530.06055266"/>
    <n v="0"/>
    <n v="2.0089813224154023E-2"/>
    <n v="0"/>
    <n v="21.6145"/>
    <n v="0"/>
    <n v="2.7193111410044272E-3"/>
    <n v="1139959565.5899999"/>
    <n v="0"/>
    <n v="9.3299999999999994E-2"/>
    <n v="0"/>
    <n v="1"/>
    <d v="2015-02-01T00:00:00"/>
    <n v="9427075.3505526315"/>
    <n v="0"/>
    <n v="0.27193111410044274"/>
  </r>
  <r>
    <x v="6"/>
    <s v="14DN04"/>
    <n v="14519089510.52"/>
    <x v="20"/>
    <n v="66213"/>
    <n v="529032261.08841604"/>
    <n v="0"/>
    <n v="3.6437013540353114E-2"/>
    <n v="0"/>
    <n v="35.9437"/>
    <n v="0"/>
    <n v="2.9792978635924646E-3"/>
    <n v="1668991826.6784"/>
    <n v="0"/>
    <n v="0.1366"/>
    <n v="0"/>
    <n v="1"/>
    <d v="2015-03-01T00:00:00"/>
    <n v="7293332.1384160686"/>
    <n v="0"/>
    <n v="0.29792978635924644"/>
  </r>
  <r>
    <x v="6"/>
    <s v="14DN04"/>
    <n v="13971658579.58"/>
    <x v="21"/>
    <n v="64470"/>
    <n v="618316682.93807089"/>
    <n v="222479.34"/>
    <n v="4.4255066742166123E-2"/>
    <n v="1.5923616994560708E-5"/>
    <n v="41.909599999999998"/>
    <n v="1.9099999999999999E-2"/>
    <n v="4.0507928888784319E-3"/>
    <n v="2287308509.6164999"/>
    <n v="222479.34"/>
    <n v="0.18720000000000001"/>
    <n v="0"/>
    <n v="1"/>
    <d v="2015-04-01T00:00:00"/>
    <n v="7373813.0880708648"/>
    <n v="0"/>
    <n v="0.40507928888784317"/>
  </r>
  <r>
    <x v="6"/>
    <s v="14DN04"/>
    <n v="13334670468.51"/>
    <x v="22"/>
    <n v="62417"/>
    <n v="356516548.33457476"/>
    <n v="0"/>
    <n v="2.6736059895630215E-2"/>
    <n v="0"/>
    <n v="27.761600000000001"/>
    <n v="0"/>
    <n v="3.4823485199472425E-3"/>
    <n v="2643825057.9510999"/>
    <n v="222479.34"/>
    <n v="0.21640000000000001"/>
    <n v="0"/>
    <n v="1"/>
    <d v="2015-05-01T00:00:00"/>
    <n v="9925254.9145747833"/>
    <n v="0"/>
    <n v="0.34823485199472426"/>
  </r>
  <r>
    <x v="6"/>
    <s v="14DN04"/>
    <n v="12960092254.6"/>
    <x v="23"/>
    <n v="61190"/>
    <n v="294050052.52598476"/>
    <n v="738752.75"/>
    <n v="2.2688885754005021E-2"/>
    <n v="5.7002121241674822E-5"/>
    <n v="24.0733"/>
    <n v="6.83E-2"/>
    <n v="3.8334413794289287E-3"/>
    <n v="2937875110.4770002"/>
    <n v="961232.09"/>
    <n v="0.2404"/>
    <n v="0"/>
    <n v="1"/>
    <d v="2015-06-01T00:00:00"/>
    <n v="7531835.4259847552"/>
    <n v="0"/>
    <n v="0.38334413794289285"/>
  </r>
  <r>
    <x v="6"/>
    <s v="14DN04"/>
    <n v="12647606750.530001"/>
    <x v="24"/>
    <n v="60127"/>
    <n v="274331422.1310553"/>
    <n v="54403.1"/>
    <n v="2.1690382025797834E-2"/>
    <n v="4.3014541069376803E-6"/>
    <n v="23.1372"/>
    <n v="5.1000000000000004E-3"/>
    <n v="4.6020475239365675E-3"/>
    <n v="3212206532.6080999"/>
    <n v="1015635.19"/>
    <n v="0.26290000000000002"/>
    <n v="0"/>
    <n v="1"/>
    <d v="2015-07-01T00:00:00"/>
    <n v="6895523.7910552723"/>
    <n v="0"/>
    <n v="0.46020475239365677"/>
  </r>
  <r>
    <x v="6"/>
    <s v="14DN04"/>
    <n v="12356174994.129999"/>
    <x v="25"/>
    <n v="59082"/>
    <n v="204345130.84756091"/>
    <n v="168517.6"/>
    <n v="1.6537895501207968E-2"/>
    <n v="1.3638330638733832E-5"/>
    <n v="18.136199999999999"/>
    <n v="1.6299999999999999E-2"/>
    <n v="4.8527008041311616E-3"/>
    <n v="3416551663.4556999"/>
    <n v="1184152.79"/>
    <n v="0.27960000000000002"/>
    <n v="0"/>
    <n v="1"/>
    <d v="2015-08-01T00:00:00"/>
    <n v="7888139.9575609164"/>
    <n v="0"/>
    <n v="0.48527008041311614"/>
  </r>
  <r>
    <x v="6"/>
    <s v="14DN04"/>
    <n v="12134517377.190001"/>
    <x v="26"/>
    <n v="58276"/>
    <n v="168868566.82760599"/>
    <n v="1865471.5"/>
    <n v="1.3916380979851629E-2"/>
    <n v="1.5373264893968027E-4"/>
    <n v="15.478899999999999"/>
    <n v="0.18429999999999999"/>
    <n v="4.4704856554057745E-3"/>
    <n v="3585420230.2832999"/>
    <n v="3049624.29"/>
    <n v="0.29349999999999998"/>
    <n v="2.0000000000000001E-4"/>
    <n v="1"/>
    <d v="2015-09-01T00:00:00"/>
    <n v="6384568.3276060028"/>
    <n v="0.02"/>
    <n v="0.44704856554057748"/>
  </r>
  <r>
    <x v="6"/>
    <s v="14DN04"/>
    <n v="11947094432.530001"/>
    <x v="0"/>
    <n v="57589"/>
    <n v="167791541.51475462"/>
    <n v="698057.31"/>
    <n v="1.4044548024822292E-2"/>
    <n v="5.8429044312172102E-5"/>
    <n v="15.6106"/>
    <n v="7.0000000000000007E-2"/>
    <n v="4.8407804781829978E-3"/>
    <n v="3753211771.7979999"/>
    <n v="3747681.6"/>
    <n v="0.30719999999999997"/>
    <n v="2.9999999999999997E-4"/>
    <n v="1"/>
    <d v="2015-10-01T00:00:00"/>
    <n v="7738941.8847546158"/>
    <n v="0.03"/>
    <n v="0.48407804781829977"/>
  </r>
  <r>
    <x v="7"/>
    <s v="14HQ01"/>
    <n v="9940429900.0400009"/>
    <x v="15"/>
    <n v="45112"/>
    <n v="258576691.73924199"/>
    <n v="0"/>
    <n v="2.6012626650905861E-2"/>
    <n v="0"/>
    <n v="27.114699999999999"/>
    <n v="0"/>
    <n v="2.5850697241873409E-3"/>
    <n v="258576691.7392"/>
    <n v="0"/>
    <n v="3.3000000000000002E-2"/>
    <n v="0"/>
    <n v="1"/>
    <d v="2014-10-01T00:00:00"/>
    <n v="3078150.5892419741"/>
    <n v="0"/>
    <n v="0.2585069724187341"/>
  </r>
  <r>
    <x v="7"/>
    <s v="14HQ01"/>
    <n v="9668617060.4899998"/>
    <x v="16"/>
    <n v="44147"/>
    <n v="99712188.399724573"/>
    <n v="0"/>
    <n v="1.0312973176607659E-2"/>
    <n v="0"/>
    <n v="11.697100000000001"/>
    <n v="0"/>
    <n v="3.0410772953407125E-3"/>
    <n v="358288880.13889998"/>
    <n v="0"/>
    <n v="4.58E-2"/>
    <n v="0"/>
    <n v="1"/>
    <d v="2014-11-01T00:00:00"/>
    <n v="3186179.2697245665"/>
    <n v="0"/>
    <n v="0.30410772953407122"/>
  </r>
  <r>
    <x v="7"/>
    <s v="14HQ01"/>
    <n v="9556067688.0200005"/>
    <x v="17"/>
    <n v="43762"/>
    <n v="157572280.84608743"/>
    <n v="0"/>
    <n v="1.6489238669126268E-2"/>
    <n v="0"/>
    <n v="18.087599999999998"/>
    <n v="0"/>
    <n v="3.4783031195635074E-3"/>
    <n v="515861160.98500001"/>
    <n v="0"/>
    <n v="6.59E-2"/>
    <n v="0"/>
    <n v="1"/>
    <d v="2014-12-01T00:00:00"/>
    <n v="3703144.7960874401"/>
    <n v="0"/>
    <n v="0.34783031195635072"/>
  </r>
  <r>
    <x v="7"/>
    <s v="14HQ01"/>
    <n v="9385514861.4400005"/>
    <x v="18"/>
    <n v="43202"/>
    <n v="159651453.06462628"/>
    <n v="337571.16"/>
    <n v="1.7010409702780151E-2"/>
    <n v="3.5967250063914681E-5"/>
    <n v="18.606999999999999"/>
    <n v="4.3099999999999999E-2"/>
    <n v="5.075642298081778E-3"/>
    <n v="675512614.04960001"/>
    <n v="337571.16"/>
    <n v="8.6300000000000002E-2"/>
    <n v="0"/>
    <n v="1"/>
    <d v="2015-01-01T00:00:00"/>
    <n v="3153447.1046262709"/>
    <n v="0"/>
    <n v="0.50756422980817784"/>
  </r>
  <r>
    <x v="7"/>
    <s v="14HQ01"/>
    <n v="9212632603.0100002"/>
    <x v="19"/>
    <n v="42618"/>
    <n v="131563927.13049649"/>
    <n v="1497510.51"/>
    <n v="1.4280817742315179E-2"/>
    <n v="1.6254968308523728E-4"/>
    <n v="15.853"/>
    <n v="0.1948"/>
    <n v="4.1982281912949981E-3"/>
    <n v="807076541.18009996"/>
    <n v="1835081.67"/>
    <n v="0.1032"/>
    <n v="2.0000000000000001E-4"/>
    <n v="1"/>
    <d v="2015-02-01T00:00:00"/>
    <n v="2303113.4604964852"/>
    <n v="0.02"/>
    <n v="0.41982281912949981"/>
  </r>
  <r>
    <x v="7"/>
    <s v="14HQ01"/>
    <n v="9066975658.4200001"/>
    <x v="20"/>
    <n v="42132"/>
    <n v="272526758.544599"/>
    <n v="0"/>
    <n v="3.0057074024624569E-2"/>
    <n v="0"/>
    <n v="30.6647"/>
    <n v="0"/>
    <n v="5.1623364386704984E-3"/>
    <n v="1079603299.7247"/>
    <n v="1835081.67"/>
    <n v="0.13800000000000001"/>
    <n v="2.0000000000000001E-4"/>
    <n v="1"/>
    <d v="2015-03-01T00:00:00"/>
    <n v="2814231.024599026"/>
    <n v="0.02"/>
    <n v="0.51623364386704984"/>
  </r>
  <r>
    <x v="7"/>
    <s v="14HQ01"/>
    <n v="8782262327.0300007"/>
    <x v="21"/>
    <n v="41141"/>
    <n v="295214292.39120054"/>
    <n v="793770.14"/>
    <n v="3.3614834241809381E-2"/>
    <n v="9.0383332954760244E-5"/>
    <n v="33.655700000000003"/>
    <n v="0.1084"/>
    <n v="5.6874028297093223E-3"/>
    <n v="1374817592.1159"/>
    <n v="2628851.81"/>
    <n v="0.17580000000000001"/>
    <n v="2.9999999999999997E-4"/>
    <n v="1"/>
    <d v="2015-04-01T00:00:00"/>
    <n v="2413133.0112005635"/>
    <n v="0.03"/>
    <n v="0.56874028297093226"/>
  </r>
  <r>
    <x v="7"/>
    <s v="14HQ01"/>
    <n v="8474595278.0200005"/>
    <x v="22"/>
    <n v="40029"/>
    <n v="180278370.77320015"/>
    <n v="1277554.23"/>
    <n v="2.1272800040466392E-2"/>
    <n v="1.5075106103456154E-4"/>
    <n v="22.742599999999999"/>
    <n v="0.1807"/>
    <n v="4.1814244500746498E-3"/>
    <n v="1555095962.8891001"/>
    <n v="3906406.04"/>
    <n v="0.1988"/>
    <n v="4.0000000000000002E-4"/>
    <n v="1"/>
    <d v="2015-05-01T00:00:00"/>
    <n v="3557361.1332001458"/>
    <n v="0.04"/>
    <n v="0.418142445007465"/>
  </r>
  <r>
    <x v="7"/>
    <s v="14HQ01"/>
    <n v="8281394201.75"/>
    <x v="23"/>
    <n v="39324"/>
    <n v="172167947.34239084"/>
    <n v="1580228.66"/>
    <n v="2.0789729742125885E-2"/>
    <n v="1.9081674190392611E-4"/>
    <n v="22.283799999999999"/>
    <n v="0.22869999999999999"/>
    <n v="5.0240731664733303E-3"/>
    <n v="1727263910.2314999"/>
    <n v="5486634.7000000002"/>
    <n v="0.22090000000000001"/>
    <n v="6.9999999999999999E-4"/>
    <n v="1"/>
    <d v="2015-06-01T00:00:00"/>
    <n v="2863254.3923908221"/>
    <n v="6.9999999999999993E-2"/>
    <n v="0.50240731664733307"/>
  </r>
  <r>
    <x v="7"/>
    <s v="14HQ01"/>
    <n v="8096216510.6300001"/>
    <x v="24"/>
    <n v="38647"/>
    <n v="164988606.19009739"/>
    <n v="438173.31"/>
    <n v="2.0378482464429418E-2"/>
    <n v="5.4120750034870783E-5"/>
    <n v="21.891200000000001"/>
    <n v="6.4899999999999999E-2"/>
    <n v="6.0385130716070412E-3"/>
    <n v="1892252516.4216001"/>
    <n v="5924808.0099999998"/>
    <n v="0.24199999999999999"/>
    <n v="6.9999999999999999E-4"/>
    <n v="1"/>
    <d v="2015-07-01T00:00:00"/>
    <n v="2322500.8700973783"/>
    <n v="6.9999999999999993E-2"/>
    <n v="0.60385130716070412"/>
  </r>
  <r>
    <x v="7"/>
    <s v="14HQ01"/>
    <n v="7919678628.1700001"/>
    <x v="25"/>
    <n v="37981"/>
    <n v="135384314.52017525"/>
    <n v="889090.28"/>
    <n v="1.7094672760914604E-2"/>
    <n v="1.1226342907874307E-4"/>
    <n v="18.6906"/>
    <n v="0.1346"/>
    <n v="6.3429161887099874E-3"/>
    <n v="2027636830.9418001"/>
    <n v="6813898.29"/>
    <n v="0.25929999999999997"/>
    <n v="8.0000000000000004E-4"/>
    <n v="1"/>
    <d v="2015-08-01T00:00:00"/>
    <n v="2603828.6101752408"/>
    <n v="0.08"/>
    <n v="0.63429161887099872"/>
  </r>
  <r>
    <x v="7"/>
    <s v="14HQ01"/>
    <n v="7772404701.54"/>
    <x v="26"/>
    <n v="37409"/>
    <n v="112935917.91110042"/>
    <n v="329162.06"/>
    <n v="1.4530370232615867E-2"/>
    <n v="4.235009274990285E-5"/>
    <n v="16.1083"/>
    <n v="5.0799999999999998E-2"/>
    <n v="5.6222035686512573E-3"/>
    <n v="2140572748.8529"/>
    <n v="7143060.3499999996"/>
    <n v="0.2737"/>
    <n v="8.9999999999999998E-4"/>
    <n v="1"/>
    <d v="2015-09-01T00:00:00"/>
    <n v="2706951.7511004196"/>
    <n v="0.09"/>
    <n v="0.56222035686512573"/>
  </r>
  <r>
    <x v="7"/>
    <s v="14HQ01"/>
    <n v="7648488238.3999996"/>
    <x v="0"/>
    <n v="36939"/>
    <n v="109646579.79874627"/>
    <n v="234411.17"/>
    <n v="1.4335719214191198E-2"/>
    <n v="3.0648039546313912E-5"/>
    <n v="15.9092"/>
    <n v="3.6700000000000003E-2"/>
    <n v="6.0113112927552984E-3"/>
    <n v="2250219328.6515999"/>
    <n v="7377471.5199999996"/>
    <n v="0.28770000000000001"/>
    <n v="8.9999999999999998E-4"/>
    <n v="1"/>
    <d v="2015-10-01T00:00:00"/>
    <n v="2662253.9087462677"/>
    <n v="0.09"/>
    <n v="0.60113112927552981"/>
  </r>
  <r>
    <x v="8"/>
    <s v="14HQ02"/>
    <n v="33311753569.889999"/>
    <x v="16"/>
    <n v="147771"/>
    <n v="555040180.74057996"/>
    <n v="172175.28"/>
    <n v="1.6661992277772871E-2"/>
    <n v="5.1686045178848429E-6"/>
    <n v="18.260100000000001"/>
    <n v="6.1999999999999998E-3"/>
    <n v="1.9376712761330968E-3"/>
    <n v="555040180.74049997"/>
    <n v="172175.28"/>
    <n v="1.8200000000000001E-2"/>
    <n v="0"/>
    <n v="1"/>
    <d v="2014-11-01T00:00:00"/>
    <n v="9387017.1805800088"/>
    <n v="0"/>
    <n v="0.19376712761330969"/>
  </r>
  <r>
    <x v="8"/>
    <s v="14HQ02"/>
    <n v="32702854732.900002"/>
    <x v="17"/>
    <n v="145469"/>
    <n v="211971797.44763729"/>
    <n v="0"/>
    <n v="6.4817521032617268E-3"/>
    <n v="0"/>
    <n v="7.5067000000000004"/>
    <n v="0"/>
    <n v="1.8158945598182616E-3"/>
    <n v="767011978.1882"/>
    <n v="172175.28"/>
    <n v="2.5100000000000001E-2"/>
    <n v="0"/>
    <n v="1"/>
    <d v="2014-12-01T00:00:00"/>
    <n v="11502108.697637284"/>
    <n v="0"/>
    <n v="0.18158945598182616"/>
  </r>
  <r>
    <x v="8"/>
    <s v="14HQ02"/>
    <n v="32439664423.18"/>
    <x v="18"/>
    <n v="144665"/>
    <n v="224543353.97407466"/>
    <n v="0"/>
    <n v="6.9218765966526322E-3"/>
    <n v="0"/>
    <n v="7.9972000000000003"/>
    <n v="0"/>
    <n v="3.0956968305825552E-3"/>
    <n v="991555332.16219997"/>
    <n v="172175.28"/>
    <n v="3.2500000000000001E-2"/>
    <n v="0"/>
    <n v="1"/>
    <d v="2015-01-01T00:00:00"/>
    <n v="10152742.714074666"/>
    <n v="0"/>
    <n v="0.3095696830582555"/>
  </r>
  <r>
    <x v="8"/>
    <s v="14HQ02"/>
    <n v="32163282682.549999"/>
    <x v="19"/>
    <n v="143797"/>
    <n v="186890953.52152473"/>
    <n v="697801.46"/>
    <n v="5.8106927506787519E-3"/>
    <n v="2.1695592047841187E-5"/>
    <n v="6.7542"/>
    <n v="2.5999999999999999E-2"/>
    <n v="2.571606395291067E-3"/>
    <n v="1178446285.6838"/>
    <n v="869976.74"/>
    <n v="3.8600000000000002E-2"/>
    <n v="0"/>
    <n v="1"/>
    <d v="2015-02-01T00:00:00"/>
    <n v="10162599.761524731"/>
    <n v="0"/>
    <n v="0.25716063952910667"/>
  </r>
  <r>
    <x v="8"/>
    <s v="14HQ02"/>
    <n v="31924370768.91"/>
    <x v="20"/>
    <n v="143082"/>
    <n v="331425387.7009384"/>
    <n v="1736088.91"/>
    <n v="1.0381579330099176E-2"/>
    <n v="5.4381303943842012E-5"/>
    <n v="11.7706"/>
    <n v="6.5199999999999994E-2"/>
    <n v="2.9207395505131081E-3"/>
    <n v="1509871673.3847001"/>
    <n v="2606065.65"/>
    <n v="4.9500000000000002E-2"/>
    <n v="0"/>
    <n v="1"/>
    <d v="2015-03-01T00:00:00"/>
    <n v="10969997.940938387"/>
    <n v="0"/>
    <n v="0.29207395505131079"/>
  </r>
  <r>
    <x v="8"/>
    <s v="14HQ02"/>
    <n v="31541680808.580002"/>
    <x v="21"/>
    <n v="141849"/>
    <n v="408245799.66475695"/>
    <n v="2205360.34"/>
    <n v="1.2943057858657472E-2"/>
    <n v="6.991892262761392E-5"/>
    <n v="14.472300000000001"/>
    <n v="8.3799999999999999E-2"/>
    <n v="3.3675156205089335E-3"/>
    <n v="1918117473.0495"/>
    <n v="4811425.99"/>
    <n v="6.2899999999999998E-2"/>
    <n v="1E-4"/>
    <n v="1"/>
    <d v="2015-04-01T00:00:00"/>
    <n v="11113716.674756959"/>
    <n v="0.01"/>
    <n v="0.33675156205089335"/>
  </r>
  <r>
    <x v="8"/>
    <s v="14HQ02"/>
    <n v="31080609964.099998"/>
    <x v="22"/>
    <n v="140266"/>
    <n v="346722153.68206829"/>
    <n v="1554543.77"/>
    <n v="1.1155577515452673E-2"/>
    <n v="5.0016514212417096E-5"/>
    <n v="12.5951"/>
    <n v="0.06"/>
    <n v="2.5092646801360271E-3"/>
    <n v="2264839626.7315001"/>
    <n v="6365969.7599999998"/>
    <n v="7.4300000000000005E-2"/>
    <n v="2.0000000000000001E-4"/>
    <n v="1"/>
    <d v="2015-05-01T00:00:00"/>
    <n v="13102285.252068263"/>
    <n v="0.02"/>
    <n v="0.25092646801360269"/>
  </r>
  <r>
    <x v="8"/>
    <s v="14HQ02"/>
    <n v="30681406216.549999"/>
    <x v="23"/>
    <n v="138896"/>
    <n v="347960548.76959467"/>
    <n v="1547448.28"/>
    <n v="1.1341088681323207E-2"/>
    <n v="5.0436028553517985E-5"/>
    <n v="12.791600000000001"/>
    <n v="6.0499999999999998E-2"/>
    <n v="2.9310412901313262E-3"/>
    <n v="2612800175.5011001"/>
    <n v="7913418.04"/>
    <n v="8.5699999999999998E-2"/>
    <n v="2.0000000000000001E-4"/>
    <n v="1"/>
    <d v="2015-06-01T00:00:00"/>
    <n v="11727901.499594681"/>
    <n v="0.02"/>
    <n v="0.2931041290131326"/>
  </r>
  <r>
    <x v="8"/>
    <s v="14HQ02"/>
    <n v="30281605272.830002"/>
    <x v="24"/>
    <n v="137461"/>
    <n v="354745330.62694341"/>
    <n v="1536908.01"/>
    <n v="1.1714878634430806E-2"/>
    <n v="5.0753848620402634E-5"/>
    <n v="13.186500000000001"/>
    <n v="6.08E-2"/>
    <n v="3.720971494239072E-3"/>
    <n v="2967545506.1280999"/>
    <n v="9450326.0500000007"/>
    <n v="9.74E-2"/>
    <n v="2.9999999999999997E-4"/>
    <n v="1"/>
    <d v="2015-07-01T00:00:00"/>
    <n v="9504941.2969434205"/>
    <n v="0.03"/>
    <n v="0.3720971494239072"/>
  </r>
  <r>
    <x v="8"/>
    <s v="14HQ02"/>
    <n v="29875609801.369999"/>
    <x v="25"/>
    <n v="135963"/>
    <n v="323646857.82485408"/>
    <n v="2043367.79"/>
    <n v="1.0833146502335583E-2"/>
    <n v="6.839585212102676E-5"/>
    <n v="12.2525"/>
    <n v="8.2000000000000003E-2"/>
    <n v="3.6970535501817618E-3"/>
    <n v="3291192363.9528999"/>
    <n v="11493693.84"/>
    <n v="0.108"/>
    <n v="2.9999999999999997E-4"/>
    <n v="1"/>
    <d v="2015-08-01T00:00:00"/>
    <n v="10598959.924854057"/>
    <n v="0.03"/>
    <n v="0.3697053550181762"/>
  </r>
  <r>
    <x v="8"/>
    <s v="14HQ02"/>
    <n v="29500630953.099998"/>
    <x v="26"/>
    <n v="134566"/>
    <n v="284924690.60868526"/>
    <n v="3005330.5"/>
    <n v="9.6582575152937417E-3"/>
    <n v="1.018734312760247E-4"/>
    <n v="10.993600000000001"/>
    <n v="0.1221"/>
    <n v="3.6414265891730555E-3"/>
    <n v="3576117054.5616002"/>
    <n v="14499024.34"/>
    <n v="0.1174"/>
    <n v="4.0000000000000002E-4"/>
    <n v="1"/>
    <d v="2015-09-01T00:00:00"/>
    <n v="11253280.268685244"/>
    <n v="0.04"/>
    <n v="0.36414265891730557"/>
  </r>
  <r>
    <x v="8"/>
    <s v="14HQ02"/>
    <n v="29164762441.799999"/>
    <x v="0"/>
    <n v="133335"/>
    <n v="277342847.26417929"/>
    <n v="3252727.93"/>
    <n v="9.5095184751678771E-3"/>
    <n v="1.1152938195505655E-4"/>
    <n v="10.833"/>
    <n v="0.13370000000000001"/>
    <n v="4.1481829149619936E-3"/>
    <n v="3853459901.8257999"/>
    <n v="17751752.27"/>
    <n v="0.1265"/>
    <n v="5.0000000000000001E-4"/>
    <n v="1"/>
    <d v="2015-10-01T00:00:00"/>
    <n v="11332454.834179306"/>
    <n v="0.05"/>
    <n v="0.41481829149619937"/>
  </r>
  <r>
    <x v="9"/>
    <s v="14HQ03"/>
    <n v="8000610178.8900003"/>
    <x v="16"/>
    <n v="36226"/>
    <n v="57812668.998420507"/>
    <n v="0"/>
    <n v="7.2260324782429794E-3"/>
    <n v="0"/>
    <n v="8.3346999999999998"/>
    <n v="0"/>
    <n v="1.6508230928247041E-3"/>
    <n v="57812668.998400003"/>
    <n v="0"/>
    <n v="8.8000000000000005E-3"/>
    <n v="0"/>
    <n v="1"/>
    <d v="2014-11-01T00:00:00"/>
    <n v="3091391.9884205097"/>
    <n v="0"/>
    <n v="0.16508230928247042"/>
  </r>
  <r>
    <x v="9"/>
    <s v="14HQ03"/>
    <n v="7932337047.4300003"/>
    <x v="17"/>
    <n v="36025"/>
    <n v="121433940.52068634"/>
    <n v="0"/>
    <n v="1.5308721729118881E-2"/>
    <n v="0"/>
    <n v="16.899899999999999"/>
    <n v="0"/>
    <n v="1.7848004850710344E-3"/>
    <n v="179246609.51910001"/>
    <n v="0"/>
    <n v="2.7300000000000001E-2"/>
    <n v="0"/>
    <n v="1"/>
    <d v="2014-12-01T00:00:00"/>
    <n v="2893082.95068635"/>
    <n v="0"/>
    <n v="0.17848004850710344"/>
  </r>
  <r>
    <x v="9"/>
    <s v="14HQ03"/>
    <n v="7800430279.4899998"/>
    <x v="18"/>
    <n v="35630"/>
    <n v="106328485.75895104"/>
    <n v="0"/>
    <n v="1.3631105201789317E-2"/>
    <n v="0"/>
    <n v="15.185"/>
    <n v="0"/>
    <n v="3.1661858557903494E-3"/>
    <n v="285575095.278"/>
    <n v="0"/>
    <n v="4.36E-2"/>
    <n v="0"/>
    <n v="1"/>
    <d v="2015-01-01T00:00:00"/>
    <n v="3376512.2889510342"/>
    <n v="0"/>
    <n v="0.31661858557903494"/>
  </r>
  <r>
    <x v="9"/>
    <s v="14HQ03"/>
    <n v="7683642798.5"/>
    <x v="19"/>
    <n v="35266"/>
    <n v="112788196.02796765"/>
    <n v="0"/>
    <n v="1.4679000441039002E-2"/>
    <n v="0"/>
    <n v="16.260000000000002"/>
    <n v="0"/>
    <n v="3.3879402156854442E-3"/>
    <n v="398363291.30599999"/>
    <n v="0"/>
    <n v="6.08E-2"/>
    <n v="0"/>
    <n v="1"/>
    <d v="2015-02-01T00:00:00"/>
    <n v="2476183.0979676442"/>
    <n v="0"/>
    <n v="0.33879402156854443"/>
  </r>
  <r>
    <x v="9"/>
    <s v="14HQ03"/>
    <n v="7560282083.3699999"/>
    <x v="20"/>
    <n v="34867"/>
    <n v="207872487.93407756"/>
    <n v="0"/>
    <n v="2.7495334914992786E-2"/>
    <n v="0"/>
    <n v="28.434999999999999"/>
    <n v="0"/>
    <n v="3.9987890619187167E-3"/>
    <n v="606235779.24010003"/>
    <n v="0"/>
    <n v="9.2499999999999999E-2"/>
    <n v="0"/>
    <n v="1"/>
    <d v="2015-03-01T00:00:00"/>
    <n v="2300417.3440775704"/>
    <n v="0"/>
    <n v="0.39987890619187166"/>
  </r>
  <r>
    <x v="9"/>
    <s v="14HQ03"/>
    <n v="7342769532.79"/>
    <x v="21"/>
    <n v="34126"/>
    <n v="259048455.31784421"/>
    <n v="1143031.8799999999"/>
    <n v="3.5279393444262806E-2"/>
    <n v="1.5566767755622137E-4"/>
    <n v="35.014099999999999"/>
    <n v="0.18659999999999999"/>
    <n v="4.8882000789642003E-3"/>
    <n v="865284234.55789995"/>
    <n v="1143031.8799999999"/>
    <n v="0.1321"/>
    <n v="1E-4"/>
    <n v="1"/>
    <d v="2015-04-01T00:00:00"/>
    <n v="2121101.1678442201"/>
    <n v="0.01"/>
    <n v="0.48882000789642005"/>
  </r>
  <r>
    <x v="9"/>
    <s v="14HQ03"/>
    <n v="7073056405.8999996"/>
    <x v="22"/>
    <n v="33186"/>
    <n v="148931398.52597862"/>
    <n v="600270.37"/>
    <n v="2.1056158749384112E-2"/>
    <n v="8.4867182665089962E-5"/>
    <n v="22.537099999999999"/>
    <n v="0.1017"/>
    <n v="3.7001957948714849E-3"/>
    <n v="1014215633.0839"/>
    <n v="1743302.25"/>
    <n v="0.15479999999999999"/>
    <n v="2.0000000000000001E-4"/>
    <n v="1"/>
    <d v="2015-05-01T00:00:00"/>
    <n v="2705690.1059786361"/>
    <n v="0.02"/>
    <n v="0.37001957948714848"/>
  </r>
  <r>
    <x v="9"/>
    <s v="14HQ03"/>
    <n v="6913666895.29"/>
    <x v="23"/>
    <n v="32636"/>
    <n v="136529973.6468398"/>
    <n v="631441.91"/>
    <n v="1.9747837972907273E-2"/>
    <n v="9.1332417306679283E-5"/>
    <n v="21.285599999999999"/>
    <n v="0.1095"/>
    <n v="4.3768078138989837E-3"/>
    <n v="1150745606.7307"/>
    <n v="2374744.16"/>
    <n v="0.1757"/>
    <n v="2.9999999999999997E-4"/>
    <n v="1"/>
    <d v="2015-06-01T00:00:00"/>
    <n v="2330981.1668397933"/>
    <n v="0.03"/>
    <n v="0.43768078138989835"/>
  </r>
  <r>
    <x v="9"/>
    <s v="14HQ03"/>
    <n v="6767148341.4099998"/>
    <x v="24"/>
    <n v="32117"/>
    <n v="124241608.64817961"/>
    <n v="927611.53"/>
    <n v="1.8359521969972464E-2"/>
    <n v="1.3707569026139056E-4"/>
    <n v="19.9374"/>
    <n v="0.1643"/>
    <n v="5.7942973305399777E-3"/>
    <n v="1274987215.3789001"/>
    <n v="3302355.69"/>
    <n v="0.19470000000000001"/>
    <n v="5.0000000000000001E-4"/>
    <n v="1"/>
    <d v="2015-07-01T00:00:00"/>
    <n v="1887881.6981796056"/>
    <n v="0.05"/>
    <n v="0.57942973305399781"/>
  </r>
  <r>
    <x v="9"/>
    <s v="14HQ03"/>
    <n v="6632739546.4499998"/>
    <x v="25"/>
    <n v="31630"/>
    <n v="90475796.303769037"/>
    <n v="1459708.62"/>
    <n v="1.3640788345472398E-2"/>
    <n v="2.2007627614162398E-4"/>
    <n v="15.195"/>
    <n v="0.26369999999999999"/>
    <n v="5.3953086517852713E-3"/>
    <n v="1365463011.6826999"/>
    <n v="4762064.3099999996"/>
    <n v="0.20849999999999999"/>
    <n v="6.9999999999999999E-4"/>
    <n v="1"/>
    <d v="2015-08-01T00:00:00"/>
    <n v="1723598.2737690406"/>
    <n v="6.9999999999999993E-2"/>
    <n v="0.53953086517852711"/>
  </r>
  <r>
    <x v="9"/>
    <s v="14HQ03"/>
    <n v="6531730329.0900002"/>
    <x v="26"/>
    <n v="31247"/>
    <n v="83147221.017009094"/>
    <n v="1028773.68"/>
    <n v="1.2729738802396817E-2"/>
    <n v="1.5750400401838522E-4"/>
    <n v="14.2502"/>
    <n v="0.1888"/>
    <n v="5.7403589479211896E-3"/>
    <n v="1448610232.6997001"/>
    <n v="5790837.9900000002"/>
    <n v="0.22120000000000001"/>
    <n v="8.0000000000000004E-4"/>
    <n v="1"/>
    <d v="2015-09-01T00:00:00"/>
    <n v="2289436.8170090988"/>
    <n v="0.08"/>
    <n v="0.57403589479211892"/>
  </r>
  <r>
    <x v="9"/>
    <s v="14HQ03"/>
    <n v="6438720328.4099998"/>
    <x v="0"/>
    <n v="30896"/>
    <n v="95724709.092577711"/>
    <n v="676663.79"/>
    <n v="1.4867039444189729E-2"/>
    <n v="1.0509289975126124E-4"/>
    <n v="16.451499999999999"/>
    <n v="0.126"/>
    <n v="6.7203106134422355E-3"/>
    <n v="1544334941.7923"/>
    <n v="6467501.7800000003"/>
    <n v="0.23580000000000001"/>
    <n v="8.9999999999999998E-4"/>
    <n v="1"/>
    <d v="2015-10-01T00:00:00"/>
    <n v="2123702.582577717"/>
    <n v="0.09"/>
    <n v="0.67203106134422352"/>
  </r>
  <r>
    <x v="10"/>
    <s v="15DN01"/>
    <n v="27594847322.099998"/>
    <x v="20"/>
    <n v="121129"/>
    <n v="1653325575.956826"/>
    <n v="0"/>
    <n v="5.9914286049798877E-2"/>
    <n v="0"/>
    <n v="52.355800000000002"/>
    <n v="0"/>
    <n v="1.6282007062969602E-3"/>
    <n v="1653325575.9568"/>
    <n v="0"/>
    <n v="7.1999999999999995E-2"/>
    <n v="0"/>
    <n v="1"/>
    <d v="2015-03-01T00:00:00"/>
    <n v="17072131.74682593"/>
    <n v="0"/>
    <n v="0.16282007062969603"/>
  </r>
  <r>
    <x v="10"/>
    <s v="15DN01"/>
    <n v="25907738596.080002"/>
    <x v="21"/>
    <n v="116083"/>
    <n v="1024886401.3342497"/>
    <n v="0"/>
    <n v="3.955908376693755E-2"/>
    <n v="0"/>
    <n v="38.3904"/>
    <n v="0"/>
    <n v="3.2878214682499638E-3"/>
    <n v="2678211977.2909999"/>
    <n v="0"/>
    <n v="0.1166"/>
    <n v="0"/>
    <n v="1"/>
    <d v="2015-04-01T00:00:00"/>
    <n v="14776274.19424976"/>
    <n v="0"/>
    <n v="0.3287821468249964"/>
  </r>
  <r>
    <x v="10"/>
    <s v="15DN01"/>
    <n v="24847898745.950001"/>
    <x v="22"/>
    <n v="112863"/>
    <n v="578688779.16778004"/>
    <n v="0"/>
    <n v="2.3289244096026489E-2"/>
    <n v="0"/>
    <n v="24.6311"/>
    <n v="0"/>
    <n v="2.0729003291835792E-3"/>
    <n v="3256900756.4587998"/>
    <n v="0"/>
    <n v="0.14180000000000001"/>
    <n v="0"/>
    <n v="1"/>
    <d v="2015-05-01T00:00:00"/>
    <n v="17969785.417780075"/>
    <n v="0"/>
    <n v="0.20729003291835793"/>
  </r>
  <r>
    <x v="10"/>
    <s v="15DN01"/>
    <n v="24235181840.02"/>
    <x v="23"/>
    <n v="110952"/>
    <n v="530434890.12425309"/>
    <n v="0"/>
    <n v="2.1886977932566457E-2"/>
    <n v="0"/>
    <n v="23.322399999999998"/>
    <n v="0"/>
    <n v="2.71682245978748E-3"/>
    <n v="3787335646.5830998"/>
    <n v="0"/>
    <n v="0.16489999999999999"/>
    <n v="0"/>
    <n v="1"/>
    <d v="2015-06-01T00:00:00"/>
    <n v="16200997.16425311"/>
    <n v="0"/>
    <n v="0.27168224597874802"/>
  </r>
  <r>
    <x v="10"/>
    <s v="15DN01"/>
    <n v="23671232853.060001"/>
    <x v="24"/>
    <n v="109136"/>
    <n v="434151122.69739175"/>
    <n v="551845.68999999994"/>
    <n v="1.8340874993389652E-2"/>
    <n v="2.3312925584636899E-5"/>
    <n v="19.9191"/>
    <n v="2.7900000000000001E-2"/>
    <n v="3.489617024713682E-3"/>
    <n v="4221486769.2804999"/>
    <n v="551845.68999999994"/>
    <n v="0.18379999999999999"/>
    <n v="0"/>
    <n v="1"/>
    <d v="2015-07-01T00:00:00"/>
    <n v="14938556.817391731"/>
    <n v="0"/>
    <n v="0.34896170247136821"/>
  </r>
  <r>
    <x v="10"/>
    <s v="15DN01"/>
    <n v="23204440894.529999"/>
    <x v="25"/>
    <n v="107563"/>
    <n v="302331537.80251056"/>
    <n v="434760.44"/>
    <n v="1.3029037811196707E-2"/>
    <n v="1.8736087715971918E-5"/>
    <n v="14.5617"/>
    <n v="2.24E-2"/>
    <n v="3.4387796117427731E-3"/>
    <n v="4523818307.0830002"/>
    <n v="986606.13"/>
    <n v="0.19700000000000001"/>
    <n v="0"/>
    <n v="1"/>
    <d v="2015-08-01T00:00:00"/>
    <n v="15930179.27251053"/>
    <n v="0"/>
    <n v="0.34387796117427732"/>
  </r>
  <r>
    <x v="10"/>
    <s v="15DN01"/>
    <n v="22870169426.880001"/>
    <x v="26"/>
    <n v="106395"/>
    <n v="262585706.34744516"/>
    <n v="424063.6"/>
    <n v="1.1481581156929264E-2"/>
    <n v="1.8542215061231041E-5"/>
    <n v="12.940200000000001"/>
    <n v="2.2200000000000001E-2"/>
    <n v="3.5320936851065618E-3"/>
    <n v="4786404013.4303999"/>
    <n v="1410669.73"/>
    <n v="0.2084"/>
    <n v="0"/>
    <n v="1"/>
    <d v="2015-09-01T00:00:00"/>
    <n v="12980998.217445148"/>
    <n v="0"/>
    <n v="0.35320936851065621"/>
  </r>
  <r>
    <x v="10"/>
    <s v="15DN01"/>
    <n v="22575290741.830002"/>
    <x v="0"/>
    <n v="105356"/>
    <n v="285601044.61883855"/>
    <n v="552515.16"/>
    <n v="1.2651046132028117E-2"/>
    <n v="2.4474331972887449E-5"/>
    <n v="14.168200000000001"/>
    <n v="2.93E-2"/>
    <n v="3.9789972757054487E-3"/>
    <n v="5072005058.0492001"/>
    <n v="1963184.89"/>
    <n v="0.2208"/>
    <n v="0"/>
    <n v="1"/>
    <d v="2015-10-01T00:00:00"/>
    <n v="14168097.078838564"/>
    <n v="0"/>
    <n v="0.39789972757054487"/>
  </r>
  <r>
    <x v="11"/>
    <s v="15DNA1"/>
    <n v="31802513580.400002"/>
    <x v="23"/>
    <n v="135794"/>
    <n v="490913672.82104492"/>
    <n v="0"/>
    <n v="1.5436316742070246E-2"/>
    <n v="0"/>
    <n v="17.0291"/>
    <n v="0"/>
    <n v="7.5054010808474543E-4"/>
    <n v="490913672.82099998"/>
    <n v="0"/>
    <n v="1.52E-2"/>
    <n v="0"/>
    <n v="1"/>
    <d v="2015-06-01T00:00:00"/>
    <n v="17135028.091044895"/>
    <n v="0"/>
    <n v="7.5054010808474542E-2"/>
  </r>
  <r>
    <x v="11"/>
    <s v="15DNA1"/>
    <n v="31255911118.709999"/>
    <x v="24"/>
    <n v="133819"/>
    <n v="298337269.77606767"/>
    <n v="0"/>
    <n v="9.5449871431673283E-3"/>
    <n v="0"/>
    <n v="10.8714"/>
    <n v="0"/>
    <n v="1.1732460740217733E-3"/>
    <n v="789250942.59710002"/>
    <n v="0"/>
    <n v="2.4400000000000002E-2"/>
    <n v="0"/>
    <n v="1"/>
    <d v="2015-07-01T00:00:00"/>
    <n v="16348494.77606768"/>
    <n v="0"/>
    <n v="0.11732460740217733"/>
  </r>
  <r>
    <x v="11"/>
    <s v="15DNA1"/>
    <n v="30902656949.099998"/>
    <x v="25"/>
    <n v="132605"/>
    <n v="272463548.73453063"/>
    <n v="0"/>
    <n v="8.8168324549991739E-3"/>
    <n v="0"/>
    <n v="10.081899999999999"/>
    <n v="0"/>
    <n v="1.2083104272070521E-3"/>
    <n v="1061714491.3316"/>
    <n v="0"/>
    <n v="3.2800000000000003E-2"/>
    <n v="0"/>
    <n v="1"/>
    <d v="2015-08-01T00:00:00"/>
    <n v="16625400.504530638"/>
    <n v="0"/>
    <n v="0.1208310427207052"/>
  </r>
  <r>
    <x v="11"/>
    <s v="15DNA1"/>
    <n v="30575343028.310001"/>
    <x v="26"/>
    <n v="131496"/>
    <n v="218231853.00379854"/>
    <n v="0"/>
    <n v="7.1375111900375274E-3"/>
    <n v="0"/>
    <n v="8.2365999999999993"/>
    <n v="0"/>
    <n v="1.0078302425411327E-3"/>
    <n v="1279946344.3354001"/>
    <n v="0"/>
    <n v="3.9600000000000003E-2"/>
    <n v="0"/>
    <n v="1"/>
    <d v="2015-09-01T00:00:00"/>
    <n v="16372366.593798529"/>
    <n v="0"/>
    <n v="0.10078302425411327"/>
  </r>
  <r>
    <x v="11"/>
    <s v="15DNA1"/>
    <n v="30303664565.369999"/>
    <x v="0"/>
    <n v="130586"/>
    <n v="218457226.39398825"/>
    <n v="1215475.57"/>
    <n v="7.2089375832002107E-3"/>
    <n v="4.0109854284389233E-5"/>
    <n v="8.3157999999999994"/>
    <n v="4.8099999999999997E-2"/>
    <n v="1.314417958068289E-3"/>
    <n v="1498403570.7293999"/>
    <n v="1215475.57"/>
    <n v="4.6399999999999997E-2"/>
    <n v="0"/>
    <n v="1"/>
    <d v="2015-10-01T00:00:00"/>
    <n v="18181547.753988259"/>
    <n v="0"/>
    <n v="0.13144179580682891"/>
  </r>
  <r>
    <x v="12"/>
    <s v="15DNA2"/>
    <n v="31928168573.73"/>
    <x v="25"/>
    <n v="141967"/>
    <n v="762138953.47351575"/>
    <n v="0"/>
    <n v="2.3870425004602104E-2"/>
    <n v="0"/>
    <n v="25.1676"/>
    <n v="0"/>
    <n v="1.8896133215620811E-3"/>
    <n v="762138953.47350001"/>
    <n v="0"/>
    <n v="2.4400000000000002E-2"/>
    <n v="0"/>
    <n v="1"/>
    <d v="2015-08-01T00:00:00"/>
    <n v="20654620.663515732"/>
    <n v="0"/>
    <n v="0.18896133215620811"/>
  </r>
  <r>
    <x v="12"/>
    <s v="15DNA2"/>
    <n v="31122805030.990002"/>
    <x v="26"/>
    <n v="139266"/>
    <n v="285973245.78126425"/>
    <n v="0"/>
    <n v="9.1885434329107302E-3"/>
    <n v="0"/>
    <n v="10.4857"/>
    <n v="0"/>
    <n v="2.2078166643906215E-3"/>
    <n v="1048112199.2546999"/>
    <n v="0"/>
    <n v="3.3599999999999998E-2"/>
    <n v="0"/>
    <n v="1"/>
    <d v="2015-09-01T00:00:00"/>
    <n v="20681631.151264224"/>
    <n v="0"/>
    <n v="0.22078166643906216"/>
  </r>
  <r>
    <x v="12"/>
    <s v="15DNA2"/>
    <n v="30794011188.389999"/>
    <x v="0"/>
    <n v="138202"/>
    <n v="309684496.71577102"/>
    <n v="0"/>
    <n v="1.005664688569473E-2"/>
    <n v="0"/>
    <n v="11.4223"/>
    <n v="0"/>
    <n v="2.7808821028903843E-3"/>
    <n v="1357796695.9705"/>
    <n v="0"/>
    <n v="4.3499999999999997E-2"/>
    <n v="0"/>
    <n v="1"/>
    <d v="2015-10-01T00:00:00"/>
    <n v="19656745.995770991"/>
    <n v="0"/>
    <n v="0.27808821028903841"/>
  </r>
  <r>
    <x v="13"/>
    <s v="15HQ01"/>
    <n v="16527604803.85"/>
    <x v="22"/>
    <n v="75508"/>
    <n v="684492392.82001936"/>
    <n v="0"/>
    <n v="4.1415099219977186E-2"/>
    <n v="0"/>
    <n v="39.804000000000002"/>
    <n v="0"/>
    <n v="1.6196510612211845E-3"/>
    <n v="684492392.82000005"/>
    <n v="0"/>
    <n v="4.5199999999999997E-2"/>
    <n v="0"/>
    <n v="1"/>
    <d v="2015-05-01T00:00:00"/>
    <n v="7038313.9300193684"/>
    <n v="0"/>
    <n v="0.16196510612211845"/>
  </r>
  <r>
    <x v="13"/>
    <s v="15HQ01"/>
    <n v="15821156242.959999"/>
    <x v="23"/>
    <n v="73077"/>
    <n v="251363370.72856423"/>
    <n v="0"/>
    <n v="1.5887800288958927E-2"/>
    <n v="0"/>
    <n v="17.484500000000001"/>
    <n v="0"/>
    <n v="1.9136133532258008E-3"/>
    <n v="935855763.54849994"/>
    <n v="0"/>
    <n v="6.1800000000000001E-2"/>
    <n v="0"/>
    <n v="1"/>
    <d v="2015-06-01T00:00:00"/>
    <n v="5435958.5985642187"/>
    <n v="0"/>
    <n v="0.1913613353225801"/>
  </r>
  <r>
    <x v="13"/>
    <s v="15HQ01"/>
    <n v="15548062345.92"/>
    <x v="24"/>
    <n v="72137"/>
    <n v="219312744.52380025"/>
    <n v="0"/>
    <n v="1.4105471128455475E-2"/>
    <n v="0"/>
    <n v="15.6732"/>
    <n v="0"/>
    <n v="2.6125791475655694E-3"/>
    <n v="1155168508.0723"/>
    <n v="0"/>
    <n v="7.6399999999999996E-2"/>
    <n v="0"/>
    <n v="1"/>
    <d v="2015-07-01T00:00:00"/>
    <n v="5260609.7838002518"/>
    <n v="0"/>
    <n v="0.26125791475655696"/>
  </r>
  <r>
    <x v="13"/>
    <s v="15HQ01"/>
    <n v="15307704367.93"/>
    <x v="25"/>
    <n v="71306"/>
    <n v="181152202.59310973"/>
    <n v="0"/>
    <n v="1.1834054162466572E-2"/>
    <n v="0"/>
    <n v="13.311999999999999"/>
    <n v="0"/>
    <n v="3.159629562831728E-3"/>
    <n v="1336320710.6654"/>
    <n v="0"/>
    <n v="8.8300000000000003E-2"/>
    <n v="0"/>
    <n v="1"/>
    <d v="2015-08-01T00:00:00"/>
    <n v="5034689.7631097361"/>
    <n v="0"/>
    <n v="0.31596295628317278"/>
  </r>
  <r>
    <x v="13"/>
    <s v="15HQ01"/>
    <n v="15105272694.459999"/>
    <x v="26"/>
    <n v="70599"/>
    <n v="157044433.74154019"/>
    <n v="323927.98"/>
    <n v="1.0396663265744134E-2"/>
    <n v="2.1444695938445628E-5"/>
    <n v="11.7867"/>
    <n v="2.5700000000000001E-2"/>
    <n v="3.9150748196482088E-3"/>
    <n v="1493365144.4070001"/>
    <n v="323927.98"/>
    <n v="9.8699999999999996E-2"/>
    <n v="0"/>
    <n v="1"/>
    <d v="2015-09-01T00:00:00"/>
    <n v="4596581.3915401967"/>
    <n v="0"/>
    <n v="0.39150748196482088"/>
  </r>
  <r>
    <x v="13"/>
    <s v="15HQ01"/>
    <n v="14927511456.639999"/>
    <x v="0"/>
    <n v="69951"/>
    <n v="188385215.49443871"/>
    <n v="820719.74"/>
    <n v="1.2620001400879308E-2"/>
    <n v="5.4980345678109027E-5"/>
    <n v="14.1358"/>
    <n v="6.59E-2"/>
    <n v="4.5051384509295338E-3"/>
    <n v="1681750359.9014001"/>
    <n v="1144647.72"/>
    <n v="0.11119999999999999"/>
    <n v="0"/>
    <n v="1"/>
    <d v="2015-10-01T00:00:00"/>
    <n v="5285207.4444387015"/>
    <n v="0"/>
    <n v="0.45051384509295339"/>
  </r>
  <r>
    <x v="14"/>
    <s v="15HQ02"/>
    <n v="30324752420.939999"/>
    <x v="23"/>
    <n v="137280"/>
    <n v="345128294.15028518"/>
    <n v="0"/>
    <n v="1.13810754119122E-2"/>
    <n v="0"/>
    <n v="12.834"/>
    <n v="0"/>
    <n v="1.0286290716246872E-3"/>
    <n v="345128294.15020001"/>
    <n v="0"/>
    <n v="1.14E-2"/>
    <n v="0"/>
    <n v="1"/>
    <d v="2015-06-01T00:00:00"/>
    <n v="11608291.950285176"/>
    <n v="0"/>
    <n v="0.10286290716246872"/>
  </r>
  <r>
    <x v="14"/>
    <s v="15HQ02"/>
    <n v="29929673811.75"/>
    <x v="24"/>
    <n v="135863"/>
    <n v="349114156.65828335"/>
    <n v="0"/>
    <n v="1.1664482508366854E-2"/>
    <n v="0"/>
    <n v="13.1333"/>
    <n v="0"/>
    <n v="1.6480840372752412E-3"/>
    <n v="694242450.80850005"/>
    <n v="0"/>
    <n v="2.3E-2"/>
    <n v="0"/>
    <n v="1"/>
    <d v="2015-07-01T00:00:00"/>
    <n v="9417106.5482833646"/>
    <n v="0"/>
    <n v="0.16480840372752412"/>
  </r>
  <r>
    <x v="14"/>
    <s v="15HQ02"/>
    <n v="29531552788.639999"/>
    <x v="25"/>
    <n v="134396"/>
    <n v="319629831.1053797"/>
    <n v="0"/>
    <n v="1.0823333042898196E-2"/>
    <n v="0"/>
    <n v="12.242000000000001"/>
    <n v="0"/>
    <n v="1.8794026635588906E-3"/>
    <n v="1013872281.9139"/>
    <n v="0"/>
    <n v="3.3599999999999998E-2"/>
    <n v="0"/>
    <n v="1"/>
    <d v="2015-08-01T00:00:00"/>
    <n v="10509217.865379704"/>
    <n v="0"/>
    <n v="0.18794026635588906"/>
  </r>
  <r>
    <x v="14"/>
    <s v="15HQ02"/>
    <n v="29163164646.68"/>
    <x v="26"/>
    <n v="133029"/>
    <n v="282747417.62557614"/>
    <n v="0"/>
    <n v="9.6953612905574943E-3"/>
    <n v="0"/>
    <n v="11.0336"/>
    <n v="0"/>
    <n v="1.874338201023146E-3"/>
    <n v="1296619699.5395"/>
    <n v="0"/>
    <n v="4.2999999999999997E-2"/>
    <n v="0"/>
    <n v="1"/>
    <d v="2015-09-01T00:00:00"/>
    <n v="11030285.075576115"/>
    <n v="0"/>
    <n v="0.1874338201023146"/>
  </r>
  <r>
    <x v="14"/>
    <s v="15HQ02"/>
    <n v="28832939886.130001"/>
    <x v="0"/>
    <n v="131820"/>
    <n v="274878802.42634457"/>
    <n v="0"/>
    <n v="9.5334989602837619E-3"/>
    <n v="0"/>
    <n v="10.859"/>
    <n v="0"/>
    <n v="2.4309686107907968E-3"/>
    <n v="1571498501.9658"/>
    <n v="0"/>
    <n v="5.21E-2"/>
    <n v="0"/>
    <n v="1"/>
    <d v="2015-10-01T00:00:00"/>
    <n v="11245184.086344559"/>
    <n v="0"/>
    <n v="0.243096861079079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7" cacheId="79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H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axis="axisRow"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dataField="1"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CDR %" fld="10" baseField="0" baseItem="0" numFmtId="2"/>
  </dataFields>
  <formats count="11"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type="all" dataOnly="0" outline="0" fieldPosition="0"/>
    </format>
    <format dxfId="84">
      <pivotArea type="all" dataOnly="0" outline="0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dataOnly="0" labelOnly="1" fieldPosition="0">
        <references count="1">
          <reference field="3" count="0"/>
        </references>
      </pivotArea>
    </format>
    <format dxfId="80">
      <pivotArea field="3" type="button" dataOnly="0" labelOnly="1" outline="0" axis="axisRow" fieldPosition="0"/>
    </format>
    <format dxfId="79">
      <pivotArea field="3" type="button" dataOnly="0" labelOnly="1" outline="0" axis="axisRow" fieldPosition="0"/>
    </format>
    <format dxfId="7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6" cacheId="79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I16:AX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axis="axisRow"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Sum of Cum_DF100" fld="19" baseField="0" baseItem="0"/>
  </dataFields>
  <formats count="13">
    <format dxfId="100">
      <pivotArea outline="0" collapsedLevelsAreSubtotals="1" fieldPosition="0"/>
    </format>
    <format dxfId="99">
      <pivotArea type="all" dataOnly="0" outline="0" fieldPosition="0"/>
    </format>
    <format dxfId="98">
      <pivotArea field="3" type="button" dataOnly="0" labelOnly="1" outline="0" axis="axisRow" fieldPosition="0"/>
    </format>
    <format dxfId="97">
      <pivotArea type="all" dataOnly="0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field="3" type="button" dataOnly="0" labelOnly="1" outline="0" axis="axisRow" fieldPosition="0"/>
    </format>
    <format dxfId="92">
      <pivotArea outline="0" collapsedLevelsAreSubtotals="1" fieldPosition="0"/>
    </format>
    <format dxfId="9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90">
      <pivotArea field="3" type="button" dataOnly="0" labelOnly="1" outline="0" axis="axisRow" fieldPosition="0"/>
    </format>
    <format dxfId="8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8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5" cacheId="79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Z16:BO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axis="axisRow"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showAll="0" defaultSubtotal="0"/>
    <pivotField dataField="1" showAll="0" defaultSubtotal="0"/>
  </pivotFields>
  <rowFields count="1">
    <field x="3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Sum of DLQ100" fld="20" baseField="0" baseItem="0"/>
  </dataFields>
  <formats count="14">
    <format dxfId="114">
      <pivotArea outline="0" collapsedLevelsAreSubtotals="1" fieldPosition="0"/>
    </format>
    <format dxfId="113">
      <pivotArea type="all" dataOnly="0" outline="0" fieldPosition="0"/>
    </format>
    <format dxfId="112">
      <pivotArea field="3" type="button" dataOnly="0" labelOnly="1" outline="0" axis="axisRow" fieldPosition="0"/>
    </format>
    <format dxfId="111">
      <pivotArea field="3" type="button" dataOnly="0" labelOnly="1" outline="0" axis="axisRow" fieldPosition="0"/>
    </format>
    <format dxfId="110">
      <pivotArea type="all" dataOnly="0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fieldPosition="0">
        <references count="1">
          <reference field="3" count="0"/>
        </references>
      </pivotArea>
    </format>
    <format dxfId="106">
      <pivotArea field="3" type="button" dataOnly="0" labelOnly="1" outline="0" axis="axisRow" fieldPosition="0"/>
    </format>
    <format dxfId="105">
      <pivotArea outline="0" collapsedLevelsAreSubtotals="1" fieldPosition="0"/>
    </format>
    <format dxfId="10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3">
      <pivotArea field="3" type="button" dataOnly="0" labelOnly="1" outline="0" axis="axisRow" fieldPosition="0"/>
    </format>
    <format dxfId="10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8" cacheId="79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R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axis="axisRow"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numFmtId="14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Sum of CPR" fld="9" baseField="0" baseItem="0" numFmtId="164"/>
  </dataFields>
  <formats count="14">
    <format dxfId="128">
      <pivotArea outline="0" collapsedLevelsAreSubtotals="1" fieldPosition="0"/>
    </format>
    <format dxfId="127">
      <pivotArea field="3" type="button" dataOnly="0" labelOnly="1" outline="0" axis="axisRow" fieldPosition="0"/>
    </format>
    <format dxfId="126">
      <pivotArea field="3" type="button" dataOnly="0" labelOnly="1" outline="0" axis="axisRow" fieldPosition="0"/>
    </format>
    <format dxfId="125">
      <pivotArea type="all" dataOnly="0" outline="0" fieldPosition="0"/>
    </format>
    <format dxfId="124">
      <pivotArea type="all" dataOnly="0" outline="0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fieldPosition="0">
        <references count="1">
          <reference field="3" count="0"/>
        </references>
      </pivotArea>
    </format>
    <format dxfId="120">
      <pivotArea field="3" type="button" dataOnly="0" labelOnly="1" outline="0" axis="axisRow" fieldPosition="0"/>
    </format>
    <format dxfId="11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18">
      <pivotArea field="3" type="button" dataOnly="0" labelOnly="1" outline="0" axis="axisRow" fieldPosition="0"/>
    </format>
    <format dxfId="11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16">
      <pivotArea field="3" type="button" dataOnly="0" labelOnly="1" outline="0" axis="axisRow" fieldPosition="0"/>
    </format>
    <format dxfId="115">
      <pivotArea field="3" type="button" dataOnly="0" labelOnly="1" outline="0" axis="axisRow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20">
    <queryTableFields count="43">
      <queryTableField id="77" name="DealName" tableColumnId="1"/>
      <queryTableField id="78" name="RefPoolId" tableColumnId="2"/>
      <queryTableField id="79" name="CurrentLoanCount" tableColumnId="3"/>
      <queryTableField id="80" name="CurrentBalance" tableColumnId="4"/>
      <queryTableField id="81" name="OriginalBalance" tableColumnId="5"/>
      <queryTableField id="82" name="wavg_loanAge" tableColumnId="6"/>
      <queryTableField id="83" name="wavg_origNoteRate" tableColumnId="7"/>
      <queryTableField id="84" name="wavg_currentNoteRate" tableColumnId="8"/>
      <queryTableField id="85" name="wavg_origLTV" tableColumnId="9"/>
      <queryTableField id="86" name="wavg_origCLTV" tableColumnId="10"/>
      <queryTableField id="87" name="wavg_currentLTV" tableColumnId="11"/>
      <queryTableField id="88" name="wavg_origDTI" tableColumnId="12"/>
      <queryTableField id="89" name="wavg_origFICO" tableColumnId="13"/>
      <queryTableField id="90" name="wavg_origLoanSize" tableColumnId="14"/>
      <queryTableField id="91" name="pct_mi" tableColumnId="15"/>
      <queryTableField id="92" name="pct_2nd" tableColumnId="16"/>
      <queryTableField id="93" name="pct_firstTimeHomeBuyer" tableColumnId="17"/>
      <queryTableField id="94" name="pct_multiple_borrowers" tableColumnId="18"/>
      <queryTableField id="95" name="pct_multiple_units" tableColumnId="19"/>
      <queryTableField id="96" name="pct_sfr" tableColumnId="20"/>
      <queryTableField id="97" name="pct_owner" tableColumnId="21"/>
      <queryTableField id="98" name="pct_purchase" tableColumnId="22"/>
      <queryTableField id="99" name="pct_broker" tableColumnId="23"/>
      <queryTableField id="100" name="pct_current" tableColumnId="24"/>
      <queryTableField id="101" name="pct_delinquent" tableColumnId="25"/>
      <queryTableField id="102" name="pct_APL" tableColumnId="26"/>
      <queryTableField id="103" name="pct_RPL" tableColumnId="27"/>
      <queryTableField id="104" name="pct_earlyNPL" tableColumnId="28"/>
      <queryTableField id="105" name="pct_lateNPL" tableColumnId="29"/>
      <queryTableField id="106" name="pct_modified" tableColumnId="30"/>
      <queryTableField id="107" name="GroupId" tableColumnId="31"/>
      <queryTableField id="108" name="factorDate" tableColumnId="32"/>
      <queryTableField id="109" name="wavg_currLoanSize" tableColumnId="33"/>
      <queryTableField id="110" name="pct_second" tableColumnId="34"/>
      <queryTableField id="111" name="pct_pud" tableColumnId="35"/>
      <queryTableField id="112" name="pct_condo" tableColumnId="36"/>
      <queryTableField id="113" name="pct_mh" tableColumnId="37"/>
      <queryTableField id="114" name="pct_coop" tableColumnId="38"/>
      <queryTableField id="115" name="pct_inv" tableColumnId="39"/>
      <queryTableField id="116" name="pct_refi_nco" tableColumnId="40"/>
      <queryTableField id="117" name="pct_refi_co" tableColumnId="41"/>
      <queryTableField id="118" name="pct_retail" tableColumnId="42"/>
      <queryTableField id="119" name="pct_corres" tableColumnId="43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25" unboundColumnsRight="2">
    <queryTableFields count="21">
      <queryTableField id="77" name="DealName" tableColumnId="1"/>
      <queryTableField id="78" name="RefPoolId" tableColumnId="2"/>
      <queryTableField id="80" name="CurrentBalance" tableColumnId="4"/>
      <queryTableField id="107" name="beginDate" tableColumnId="31"/>
      <queryTableField id="108" name="loanCount" tableColumnId="32"/>
      <queryTableField id="109" name="prepaymentBalance" tableColumnId="33"/>
      <queryTableField id="110" name="defaultBalance" tableColumnId="34"/>
      <queryTableField id="111" name="smm" tableColumnId="35"/>
      <queryTableField id="112" name="mdr" tableColumnId="36"/>
      <queryTableField id="113" name="CPR" tableColumnId="37"/>
      <queryTableField id="114" name="CDR" tableColumnId="38"/>
      <queryTableField id="115" name="pct_dq" tableColumnId="39"/>
      <queryTableField id="116" name="cum_prepayment" tableColumnId="40"/>
      <queryTableField id="117" name="cum_default" tableColumnId="41"/>
      <queryTableField id="118" name="cum_pp_pct" tableColumnId="42"/>
      <queryTableField id="119" name="cum_df_pct" tableColumnId="43"/>
      <queryTableField id="122" name="GroupId" tableColumnId="3"/>
      <queryTableField id="123" name="factorDate" tableColumnId="5"/>
      <queryTableField id="124" name="partialCurtailment" tableColumnId="6"/>
      <queryTableField id="120" dataBound="0" tableColumnId="44"/>
      <queryTableField id="121" dataBound="0" tableColumnId="4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113">
    <queryTableFields count="6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2" name="RefPoolId" tableColumnId="2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52" displayName="CurrentMtgRatesDataTable8252" ref="B3:AR18" tableType="queryTable" totalsRowShown="0" headerRowDxfId="76" dataDxfId="75">
  <tableColumns count="43">
    <tableColumn id="1" uniqueName="1" name="DealName" queryTableFieldId="77" dataDxfId="69"/>
    <tableColumn id="2" uniqueName="2" name="RefPoolId" queryTableFieldId="78" dataDxfId="68"/>
    <tableColumn id="3" uniqueName="3" name="CurrentLoanCount" queryTableFieldId="79" dataDxfId="67"/>
    <tableColumn id="4" uniqueName="4" name="CurrentBalance" queryTableFieldId="80" dataDxfId="66"/>
    <tableColumn id="5" uniqueName="5" name="OriginalBalance" queryTableFieldId="81" dataDxfId="65"/>
    <tableColumn id="6" uniqueName="6" name="wavg_loanAge" queryTableFieldId="82" dataDxfId="64"/>
    <tableColumn id="7" uniqueName="7" name="wavg_origNoteRate" queryTableFieldId="83" dataDxfId="63"/>
    <tableColumn id="8" uniqueName="8" name="wavg_currentNoteRate" queryTableFieldId="84" dataDxfId="62"/>
    <tableColumn id="9" uniqueName="9" name="wavg_origLTV" queryTableFieldId="85" dataDxfId="61"/>
    <tableColumn id="10" uniqueName="10" name="wavg_origCLTV" queryTableFieldId="86" dataDxfId="60"/>
    <tableColumn id="11" uniqueName="11" name="wavg_currentLTV" queryTableFieldId="87" dataDxfId="59"/>
    <tableColumn id="12" uniqueName="12" name="wavg_origDTI" queryTableFieldId="88" dataDxfId="58"/>
    <tableColumn id="13" uniqueName="13" name="wavg_origFICO" queryTableFieldId="89" dataDxfId="57"/>
    <tableColumn id="14" uniqueName="14" name="wavg_origLoanSize" queryTableFieldId="90" dataDxfId="56"/>
    <tableColumn id="15" uniqueName="15" name="pct_mi" queryTableFieldId="91" dataDxfId="55"/>
    <tableColumn id="16" uniqueName="16" name="pct_2nd" queryTableFieldId="92" dataDxfId="54"/>
    <tableColumn id="17" uniqueName="17" name="pct_firstTimeHomeBuyer" queryTableFieldId="93" dataDxfId="53"/>
    <tableColumn id="18" uniqueName="18" name="pct_multiple_borrowers" queryTableFieldId="94" dataDxfId="52"/>
    <tableColumn id="19" uniqueName="19" name="pct_multiple_units" queryTableFieldId="95" dataDxfId="51"/>
    <tableColumn id="20" uniqueName="20" name="pct_sfr" queryTableFieldId="96" dataDxfId="50"/>
    <tableColumn id="21" uniqueName="21" name="pct_owner" queryTableFieldId="97" dataDxfId="49"/>
    <tableColumn id="22" uniqueName="22" name="pct_purchase" queryTableFieldId="98" dataDxfId="48"/>
    <tableColumn id="23" uniqueName="23" name="pct_broker" queryTableFieldId="99" dataDxfId="47"/>
    <tableColumn id="24" uniqueName="24" name="pct_current" queryTableFieldId="100" dataDxfId="46"/>
    <tableColumn id="25" uniqueName="25" name="pct_delinquent" queryTableFieldId="101" dataDxfId="45"/>
    <tableColumn id="26" uniqueName="26" name="pct_APL" queryTableFieldId="102" dataDxfId="44"/>
    <tableColumn id="27" uniqueName="27" name="pct_RPL" queryTableFieldId="103" dataDxfId="43"/>
    <tableColumn id="28" uniqueName="28" name="pct_earlyNPL" queryTableFieldId="104" dataDxfId="42"/>
    <tableColumn id="29" uniqueName="29" name="pct_lateNPL" queryTableFieldId="105" dataDxfId="41"/>
    <tableColumn id="30" uniqueName="30" name="pct_modified" queryTableFieldId="106" dataDxfId="40"/>
    <tableColumn id="31" uniqueName="31" name="GroupId" queryTableFieldId="107" dataDxfId="39"/>
    <tableColumn id="32" uniqueName="32" name="factorDate" queryTableFieldId="108" dataDxfId="38"/>
    <tableColumn id="33" uniqueName="33" name="wavg_currLoanSize" queryTableFieldId="109" dataDxfId="37"/>
    <tableColumn id="34" uniqueName="34" name="pct_second" queryTableFieldId="110" dataDxfId="36"/>
    <tableColumn id="35" uniqueName="35" name="pct_pud" queryTableFieldId="111" dataDxfId="35"/>
    <tableColumn id="36" uniqueName="36" name="pct_condo" queryTableFieldId="112" dataDxfId="34"/>
    <tableColumn id="37" uniqueName="37" name="pct_mh" queryTableFieldId="113" dataDxfId="33"/>
    <tableColumn id="38" uniqueName="38" name="pct_coop" queryTableFieldId="114" dataDxfId="32"/>
    <tableColumn id="39" uniqueName="39" name="pct_inv" queryTableFieldId="115" dataDxfId="31"/>
    <tableColumn id="40" uniqueName="40" name="pct_refi_nco" queryTableFieldId="116" dataDxfId="30"/>
    <tableColumn id="41" uniqueName="41" name="pct_refi_co" queryTableFieldId="117" dataDxfId="29"/>
    <tableColumn id="42" uniqueName="42" name="pct_retail" queryTableFieldId="118" dataDxfId="28"/>
    <tableColumn id="43" uniqueName="43" name="pct_corres" queryTableFieldId="119" dataDxfId="2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C3:W178" tableType="queryTable" totalsRowShown="0" headerRowDxfId="74" dataDxfId="73">
  <tableColumns count="21">
    <tableColumn id="1" uniqueName="1" name="DealName" queryTableFieldId="77" dataDxfId="26"/>
    <tableColumn id="2" uniqueName="2" name="RefPoolId" queryTableFieldId="78" dataDxfId="25"/>
    <tableColumn id="4" uniqueName="4" name="currentBalance" queryTableFieldId="80" dataDxfId="24"/>
    <tableColumn id="31" uniqueName="31" name="beginDate" queryTableFieldId="107" dataDxfId="23"/>
    <tableColumn id="32" uniqueName="32" name="loanCount" queryTableFieldId="108" dataDxfId="22"/>
    <tableColumn id="33" uniqueName="33" name="prepaymentBalance" queryTableFieldId="109" dataDxfId="21"/>
    <tableColumn id="34" uniqueName="34" name="defaultBalance" queryTableFieldId="110" dataDxfId="20"/>
    <tableColumn id="35" uniqueName="35" name="smm" queryTableFieldId="111" dataDxfId="19"/>
    <tableColumn id="36" uniqueName="36" name="mdr" queryTableFieldId="112" dataDxfId="18"/>
    <tableColumn id="37" uniqueName="37" name="CPR" queryTableFieldId="113" dataDxfId="17"/>
    <tableColumn id="38" uniqueName="38" name="CDR" queryTableFieldId="114" dataDxfId="16"/>
    <tableColumn id="39" uniqueName="39" name="pct_dq" queryTableFieldId="115" dataDxfId="15"/>
    <tableColumn id="40" uniqueName="40" name="cum_prepayment" queryTableFieldId="116" dataDxfId="14"/>
    <tableColumn id="41" uniqueName="41" name="cum_default" queryTableFieldId="117" dataDxfId="13"/>
    <tableColumn id="42" uniqueName="42" name="cum_pp_pct" queryTableFieldId="118" dataDxfId="12"/>
    <tableColumn id="43" uniqueName="43" name="cum_df_pct" queryTableFieldId="119" dataDxfId="11"/>
    <tableColumn id="3" uniqueName="3" name="GroupId" queryTableFieldId="122" dataDxfId="10"/>
    <tableColumn id="5" uniqueName="5" name="factorDate" queryTableFieldId="123" dataDxfId="9"/>
    <tableColumn id="6" uniqueName="6" name="partialCurtailment" queryTableFieldId="124" dataDxfId="8"/>
    <tableColumn id="44" uniqueName="44" name="Cum_DF100" queryTableFieldId="120" dataDxfId="7">
      <calculatedColumnFormula>CurrentMtgRatesDataTable82523[[#This Row],[cum_df_pct]]*100</calculatedColumnFormula>
    </tableColumn>
    <tableColumn id="45" uniqueName="45" name="DLQ100" queryTableFieldId="121" dataDxfId="6">
      <calculatedColumnFormula>CurrentMtgRatesDataTable82523[[#This Row],[pct_dq]]*100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524" displayName="CurrentMtgRatesDataTable82524" ref="B3:G48" tableType="queryTable" totalsRowShown="0" headerRowDxfId="72" dataDxfId="71">
  <tableColumns count="6">
    <tableColumn id="1" uniqueName="1" name="BloombergDealName" queryTableFieldId="107" dataDxfId="5"/>
    <tableColumn id="3" uniqueName="3" name="BloombergBondName" queryTableFieldId="108" dataDxfId="4"/>
    <tableColumn id="4" uniqueName="4" name="YBName" queryTableFieldId="109" dataDxfId="3"/>
    <tableColumn id="5" uniqueName="5" name="Cusip" queryTableFieldId="110" dataDxfId="2"/>
    <tableColumn id="6" uniqueName="6" name="PricingDate" queryTableFieldId="111" dataDxfId="1"/>
    <tableColumn id="2" uniqueName="2" name="RefPoolId" queryTableFieldId="11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4:AA77"/>
  <sheetViews>
    <sheetView showGridLines="0" zoomScale="85" zoomScaleNormal="85" workbookViewId="0">
      <selection activeCell="U22" sqref="U22"/>
    </sheetView>
  </sheetViews>
  <sheetFormatPr defaultRowHeight="15"/>
  <cols>
    <col min="1" max="1" width="12.28515625" customWidth="1"/>
    <col min="2" max="2" width="6" customWidth="1"/>
    <col min="3" max="3" width="24" hidden="1" customWidth="1"/>
    <col min="4" max="4" width="23.5703125" bestFit="1" customWidth="1"/>
    <col min="5" max="18" width="10.7109375" style="34" customWidth="1"/>
    <col min="19" max="19" width="6.140625" customWidth="1"/>
    <col min="20" max="23" width="10.42578125" customWidth="1"/>
    <col min="24" max="24" width="14.85546875" bestFit="1" customWidth="1"/>
  </cols>
  <sheetData>
    <row r="4" spans="1:27">
      <c r="X4" t="s">
        <v>107</v>
      </c>
    </row>
    <row r="12" spans="1:27" s="2" customFormat="1" ht="30" customHeight="1">
      <c r="A12" s="23"/>
      <c r="B12"/>
      <c r="C12"/>
      <c r="D12" s="29" t="s">
        <v>12</v>
      </c>
      <c r="E12" s="42" t="s">
        <v>59</v>
      </c>
      <c r="F12" s="42" t="s">
        <v>61</v>
      </c>
      <c r="G12" s="42" t="s">
        <v>63</v>
      </c>
      <c r="H12" s="42" t="s">
        <v>65</v>
      </c>
      <c r="I12" s="42" t="s">
        <v>67</v>
      </c>
      <c r="J12" s="42" t="s">
        <v>69</v>
      </c>
      <c r="K12" s="42" t="s">
        <v>71</v>
      </c>
      <c r="L12" s="42" t="s">
        <v>73</v>
      </c>
      <c r="M12" s="42" t="s">
        <v>75</v>
      </c>
      <c r="N12" s="42" t="s">
        <v>77</v>
      </c>
      <c r="O12" s="42" t="s">
        <v>79</v>
      </c>
      <c r="P12" s="42" t="s">
        <v>81</v>
      </c>
      <c r="Q12" s="42" t="s">
        <v>83</v>
      </c>
      <c r="R12" s="42" t="s">
        <v>85</v>
      </c>
      <c r="S12"/>
      <c r="T12"/>
      <c r="U12"/>
      <c r="V12"/>
      <c r="W12"/>
      <c r="X12"/>
      <c r="Y12"/>
      <c r="Z12"/>
      <c r="AA12"/>
    </row>
    <row r="13" spans="1:27" s="2" customFormat="1" hidden="1">
      <c r="A13" s="23"/>
      <c r="B13"/>
      <c r="C13"/>
      <c r="D13" s="30" t="s">
        <v>31</v>
      </c>
      <c r="E13" s="35">
        <v>84793</v>
      </c>
      <c r="F13" s="35">
        <v>132693</v>
      </c>
      <c r="G13" s="35">
        <v>128194</v>
      </c>
      <c r="H13" s="35">
        <v>102690</v>
      </c>
      <c r="I13" s="35">
        <v>71708</v>
      </c>
      <c r="J13" s="35">
        <v>59082</v>
      </c>
      <c r="K13" s="35">
        <v>37981</v>
      </c>
      <c r="L13" s="35">
        <v>135963</v>
      </c>
      <c r="M13" s="35">
        <v>31630</v>
      </c>
      <c r="N13" s="35">
        <v>107563</v>
      </c>
      <c r="O13" s="35">
        <v>132605</v>
      </c>
      <c r="P13" s="35">
        <v>141967</v>
      </c>
      <c r="Q13" s="35">
        <v>71306</v>
      </c>
      <c r="R13" s="35">
        <v>134396</v>
      </c>
      <c r="S13"/>
      <c r="T13"/>
      <c r="U13"/>
      <c r="V13"/>
      <c r="W13"/>
      <c r="X13"/>
      <c r="Y13"/>
      <c r="Z13"/>
      <c r="AA13"/>
    </row>
    <row r="14" spans="1:27" s="2" customFormat="1">
      <c r="A14" s="23"/>
      <c r="B14"/>
      <c r="C14"/>
      <c r="D14" s="90" t="s">
        <v>116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/>
      <c r="T14"/>
      <c r="U14"/>
      <c r="V14"/>
      <c r="W14"/>
      <c r="X14"/>
      <c r="Y14"/>
      <c r="Z14"/>
      <c r="AA14"/>
    </row>
    <row r="15" spans="1:27" s="2" customFormat="1">
      <c r="A15" s="23"/>
      <c r="B15" s="96"/>
      <c r="C15" s="96" t="s">
        <v>134</v>
      </c>
      <c r="D15" s="31" t="s">
        <v>270</v>
      </c>
      <c r="E15" s="97">
        <f>VLOOKUP(E$12,CurrentMtgRatesDataTable82524[#All],MATCH($C15,CurrentMtgRatesDataTable82524[#Headers],0),FALSE)</f>
        <v>41478</v>
      </c>
      <c r="F15" s="98">
        <f>VLOOKUP(F$12,CurrentMtgRatesDataTable82524[#All],MATCH($C15,CurrentMtgRatesDataTable82524[#Headers],0),FALSE)</f>
        <v>41585</v>
      </c>
      <c r="G15" s="98">
        <f>VLOOKUP(G$12,CurrentMtgRatesDataTable82524[#All],MATCH($C15,CurrentMtgRatesDataTable82524[#Headers],0),FALSE)</f>
        <v>41676</v>
      </c>
      <c r="H15" s="98">
        <f>VLOOKUP(H$12,CurrentMtgRatesDataTable82524[#All],MATCH($C15,CurrentMtgRatesDataTable82524[#Headers],0),FALSE)</f>
        <v>41736</v>
      </c>
      <c r="I15" s="98">
        <f>VLOOKUP(I$12,CurrentMtgRatesDataTable82524[#All],MATCH($C15,CurrentMtgRatesDataTable82524[#Headers],0),FALSE)</f>
        <v>41857</v>
      </c>
      <c r="J15" s="98">
        <f>VLOOKUP(J$12,CurrentMtgRatesDataTable82524[#All],MATCH($C15,CurrentMtgRatesDataTable82524[#Headers],0),FALSE)</f>
        <v>41935</v>
      </c>
      <c r="K15" s="98">
        <f>VLOOKUP(K$12,CurrentMtgRatesDataTable82524[#All],MATCH($C15,CurrentMtgRatesDataTable82524[#Headers],0),FALSE)</f>
        <v>41857</v>
      </c>
      <c r="L15" s="98">
        <f>VLOOKUP(L$12,CurrentMtgRatesDataTable82524[#All],MATCH($C15,CurrentMtgRatesDataTable82524[#Headers],0),FALSE)</f>
        <v>41893</v>
      </c>
      <c r="M15" s="98">
        <f>VLOOKUP(M$12,CurrentMtgRatesDataTable82524[#All],MATCH($C15,CurrentMtgRatesDataTable82524[#Headers],0),FALSE)</f>
        <v>41936</v>
      </c>
      <c r="N15" s="98">
        <f>VLOOKUP(N$12,CurrentMtgRatesDataTable82524[#All],MATCH($C15,CurrentMtgRatesDataTable82524[#Headers],0),FALSE)</f>
        <v>42032</v>
      </c>
      <c r="O15" s="98">
        <f>VLOOKUP(O$12,CurrentMtgRatesDataTable82524[#All],MATCH($C15,CurrentMtgRatesDataTable82524[#Headers],0),FALSE)</f>
        <v>42116</v>
      </c>
      <c r="P15" s="98">
        <f>VLOOKUP(P$12,CurrentMtgRatesDataTable82524[#All],MATCH($C15,CurrentMtgRatesDataTable82524[#Headers],0),FALSE)</f>
        <v>42179</v>
      </c>
      <c r="Q15" s="98">
        <f>VLOOKUP(Q$12,CurrentMtgRatesDataTable82524[#All],MATCH($C15,CurrentMtgRatesDataTable82524[#Headers],0),FALSE)</f>
        <v>42087</v>
      </c>
      <c r="R15" s="98">
        <f>VLOOKUP(R$12,CurrentMtgRatesDataTable82524[#All],MATCH($C15,CurrentMtgRatesDataTable82524[#Headers],0),FALSE)</f>
        <v>42157</v>
      </c>
      <c r="S15" s="96"/>
      <c r="T15" s="96"/>
      <c r="U15" s="96"/>
      <c r="V15" s="96"/>
      <c r="W15" s="96"/>
      <c r="X15" s="96"/>
      <c r="Y15" s="96"/>
      <c r="Z15" s="96"/>
      <c r="AA15" s="96"/>
    </row>
    <row r="16" spans="1:27" s="18" customFormat="1" ht="16.5" customHeight="1">
      <c r="A16" s="24"/>
      <c r="B16" s="3"/>
      <c r="C16" t="s">
        <v>22</v>
      </c>
      <c r="D16" s="31" t="s">
        <v>89</v>
      </c>
      <c r="E16" s="35">
        <f>VLOOKUP(E$12,CurrentMtgRatesDataTable8252[#All],MATCH($C16,CurrentMtgRatesDataTable8252[#Headers],0),FALSE)/1000000</f>
        <v>18256.62532418</v>
      </c>
      <c r="F16" s="35">
        <f>VLOOKUP(F$12,CurrentMtgRatesDataTable8252[#All],MATCH($C16,CurrentMtgRatesDataTable8252[#Headers],0),FALSE)/1000000</f>
        <v>30029.232386479998</v>
      </c>
      <c r="G16" s="35">
        <f>VLOOKUP(G$12,CurrentMtgRatesDataTable8252[#All],MATCH($C16,CurrentMtgRatesDataTable8252[#Headers],0),FALSE)/1000000</f>
        <v>27909.111737400002</v>
      </c>
      <c r="H16" s="35">
        <f>VLOOKUP(H$12,CurrentMtgRatesDataTable8252[#All],MATCH($C16,CurrentMtgRatesDataTable8252[#Headers],0),FALSE)/1000000</f>
        <v>22712.47722769</v>
      </c>
      <c r="I16" s="35">
        <f>VLOOKUP(I$12,CurrentMtgRatesDataTable8252[#All],MATCH($C16,CurrentMtgRatesDataTable8252[#Headers],0),FALSE)/1000000</f>
        <v>14214.856277590001</v>
      </c>
      <c r="J16" s="35">
        <f>VLOOKUP(J$12,CurrentMtgRatesDataTable8252[#All],MATCH($C16,CurrentMtgRatesDataTable8252[#Headers],0),FALSE)/1000000</f>
        <v>11761.195171490001</v>
      </c>
      <c r="K16" s="35">
        <f>VLOOKUP(K$12,CurrentMtgRatesDataTable8252[#All],MATCH($C16,CurrentMtgRatesDataTable8252[#Headers],0),FALSE)/1000000</f>
        <v>7527.8052363900006</v>
      </c>
      <c r="L16" s="35">
        <f>VLOOKUP(L$12,CurrentMtgRatesDataTable8252[#All],MATCH($C16,CurrentMtgRatesDataTable8252[#Headers],0),FALSE)/1000000</f>
        <v>28835.018767830003</v>
      </c>
      <c r="M16" s="35">
        <f>VLOOKUP(M$12,CurrentMtgRatesDataTable8252[#All],MATCH($C16,CurrentMtgRatesDataTable8252[#Headers],0),FALSE)/1000000</f>
        <v>6333.38702431</v>
      </c>
      <c r="N16" s="35">
        <f>VLOOKUP(N$12,CurrentMtgRatesDataTable8252[#All],MATCH($C16,CurrentMtgRatesDataTable8252[#Headers],0),FALSE)/1000000</f>
        <v>22257.631923860001</v>
      </c>
      <c r="O16" s="35">
        <f>VLOOKUP(O$12,CurrentMtgRatesDataTable8252[#All],MATCH($C16,CurrentMtgRatesDataTable8252[#Headers],0),FALSE)/1000000</f>
        <v>30029.45753037</v>
      </c>
      <c r="P16" s="35">
        <f>VLOOKUP(P$12,CurrentMtgRatesDataTable8252[#All],MATCH($C16,CurrentMtgRatesDataTable8252[#Headers],0),FALSE)/1000000</f>
        <v>30441.227295820001</v>
      </c>
      <c r="Q16" s="35">
        <f>VLOOKUP(Q$12,CurrentMtgRatesDataTable8252[#All],MATCH($C16,CurrentMtgRatesDataTable8252[#Headers],0),FALSE)/1000000</f>
        <v>14717.491970290001</v>
      </c>
      <c r="R16" s="35">
        <f>VLOOKUP(R$12,CurrentMtgRatesDataTable8252[#All],MATCH($C16,CurrentMtgRatesDataTable8252[#Headers],0),FALSE)/1000000</f>
        <v>28509.36746007</v>
      </c>
      <c r="S16"/>
      <c r="T16"/>
      <c r="U16"/>
      <c r="V16"/>
      <c r="W16"/>
      <c r="X16"/>
      <c r="Y16"/>
      <c r="Z16"/>
      <c r="AA16"/>
    </row>
    <row r="17" spans="1:27" s="11" customFormat="1" ht="16.5" customHeight="1">
      <c r="A17" s="25"/>
      <c r="B17" s="9"/>
      <c r="C17" t="s">
        <v>23</v>
      </c>
      <c r="D17" s="31" t="s">
        <v>90</v>
      </c>
      <c r="E17" s="35">
        <f>VLOOKUP(E$12,CurrentMtgRatesDataTable8252[#All],MATCH($C17,CurrentMtgRatesDataTable8252[#Headers],0),FALSE)/1000000</f>
        <v>19751.61</v>
      </c>
      <c r="F17" s="35">
        <f>VLOOKUP(F$12,CurrentMtgRatesDataTable8252[#All],MATCH($C17,CurrentMtgRatesDataTable8252[#Headers],0),FALSE)/1000000</f>
        <v>32071.031999999999</v>
      </c>
      <c r="G17" s="35">
        <f>VLOOKUP(G$12,CurrentMtgRatesDataTable8252[#All],MATCH($C17,CurrentMtgRatesDataTable8252[#Headers],0),FALSE)/1000000</f>
        <v>29587.128000000001</v>
      </c>
      <c r="H17" s="35">
        <f>VLOOKUP(H$12,CurrentMtgRatesDataTable8252[#All],MATCH($C17,CurrentMtgRatesDataTable8252[#Headers],0),FALSE)/1000000</f>
        <v>23912.401999999998</v>
      </c>
      <c r="I17" s="35">
        <f>VLOOKUP(I$12,CurrentMtgRatesDataTable8252[#All],MATCH($C17,CurrentMtgRatesDataTable8252[#Headers],0),FALSE)/1000000</f>
        <v>14837.880999999999</v>
      </c>
      <c r="J17" s="35">
        <f>VLOOKUP(J$12,CurrentMtgRatesDataTable8252[#All],MATCH($C17,CurrentMtgRatesDataTable8252[#Headers],0),FALSE)/1000000</f>
        <v>12215.846</v>
      </c>
      <c r="K17" s="35">
        <f>VLOOKUP(K$12,CurrentMtgRatesDataTable8252[#All],MATCH($C17,CurrentMtgRatesDataTable8252[#Headers],0),FALSE)/1000000</f>
        <v>7818.8339999999998</v>
      </c>
      <c r="L17" s="35">
        <f>VLOOKUP(L$12,CurrentMtgRatesDataTable8252[#All],MATCH($C17,CurrentMtgRatesDataTable8252[#Headers],0),FALSE)/1000000</f>
        <v>30454.55</v>
      </c>
      <c r="M17" s="35">
        <f>VLOOKUP(M$12,CurrentMtgRatesDataTable8252[#All],MATCH($C17,CurrentMtgRatesDataTable8252[#Headers],0),FALSE)/1000000</f>
        <v>6548.1859999999997</v>
      </c>
      <c r="N17" s="35">
        <f>VLOOKUP(N$12,CurrentMtgRatesDataTable8252[#All],MATCH($C17,CurrentMtgRatesDataTable8252[#Headers],0),FALSE)/1000000</f>
        <v>22960.666000000001</v>
      </c>
      <c r="O17" s="35">
        <f>VLOOKUP(O$12,CurrentMtgRatesDataTable8252[#All],MATCH($C17,CurrentMtgRatesDataTable8252[#Headers],0),FALSE)/1000000</f>
        <v>32289.098999999998</v>
      </c>
      <c r="P17" s="35">
        <f>VLOOKUP(P$12,CurrentMtgRatesDataTable8252[#All],MATCH($C17,CurrentMtgRatesDataTable8252[#Headers],0),FALSE)/1000000</f>
        <v>31189.271000000001</v>
      </c>
      <c r="Q17" s="35">
        <f>VLOOKUP(Q$12,CurrentMtgRatesDataTable8252[#All],MATCH($C17,CurrentMtgRatesDataTable8252[#Headers],0),FALSE)/1000000</f>
        <v>15119.366</v>
      </c>
      <c r="R17" s="35">
        <f>VLOOKUP(R$12,CurrentMtgRatesDataTable8252[#All],MATCH($C17,CurrentMtgRatesDataTable8252[#Headers],0),FALSE)/1000000</f>
        <v>30112.903999999999</v>
      </c>
      <c r="S17"/>
      <c r="T17"/>
      <c r="U17"/>
      <c r="V17"/>
      <c r="W17"/>
      <c r="X17"/>
      <c r="Y17"/>
      <c r="Z17"/>
      <c r="AA17"/>
    </row>
    <row r="18" spans="1:27" s="11" customFormat="1" ht="16.5" customHeight="1">
      <c r="A18" s="25"/>
      <c r="B18" s="9"/>
      <c r="C18" t="s">
        <v>34</v>
      </c>
      <c r="D18" s="31" t="s">
        <v>91</v>
      </c>
      <c r="E18" s="37">
        <f>VLOOKUP(E$12,CurrentMtgRatesDataTable8252[#All],MATCH($C18,CurrentMtgRatesDataTable8252[#Headers],0),FALSE)</f>
        <v>37.158956941958841</v>
      </c>
      <c r="F18" s="37">
        <f>VLOOKUP(F$12,CurrentMtgRatesDataTable8252[#All],MATCH($C18,CurrentMtgRatesDataTable8252[#Headers],0),FALSE)</f>
        <v>31.388218267144207</v>
      </c>
      <c r="G18" s="37">
        <f>VLOOKUP(G$12,CurrentMtgRatesDataTable8252[#All],MATCH($C18,CurrentMtgRatesDataTable8252[#Headers],0),FALSE)</f>
        <v>28.215493470318172</v>
      </c>
      <c r="H18" s="37">
        <f>VLOOKUP(H$12,CurrentMtgRatesDataTable8252[#All],MATCH($C18,CurrentMtgRatesDataTable8252[#Headers],0),FALSE)</f>
        <v>25.54758734158057</v>
      </c>
      <c r="I18" s="37">
        <f>VLOOKUP(I$12,CurrentMtgRatesDataTable8252[#All],MATCH($C18,CurrentMtgRatesDataTable8252[#Headers],0),FALSE)</f>
        <v>22.158644602562408</v>
      </c>
      <c r="J18" s="37">
        <f>VLOOKUP(J$12,CurrentMtgRatesDataTable8252[#All],MATCH($C18,CurrentMtgRatesDataTable8252[#Headers],0),FALSE)</f>
        <v>19.383446224296325</v>
      </c>
      <c r="K18" s="37">
        <f>VLOOKUP(K$12,CurrentMtgRatesDataTable8252[#All],MATCH($C18,CurrentMtgRatesDataTable8252[#Headers],0),FALSE)</f>
        <v>22.221768728035077</v>
      </c>
      <c r="L18" s="37">
        <f>VLOOKUP(L$12,CurrentMtgRatesDataTable8252[#All],MATCH($C18,CurrentMtgRatesDataTable8252[#Headers],0),FALSE)</f>
        <v>28.220900804672489</v>
      </c>
      <c r="M18" s="37">
        <f>VLOOKUP(M$12,CurrentMtgRatesDataTable8252[#All],MATCH($C18,CurrentMtgRatesDataTable8252[#Headers],0),FALSE)</f>
        <v>19.380626188599713</v>
      </c>
      <c r="N18" s="37">
        <f>VLOOKUP(N$12,CurrentMtgRatesDataTable8252[#All],MATCH($C18,CurrentMtgRatesDataTable8252[#Headers],0),FALSE)</f>
        <v>15.500970891122826</v>
      </c>
      <c r="O18" s="37">
        <f>VLOOKUP(O$12,CurrentMtgRatesDataTable8252[#All],MATCH($C18,CurrentMtgRatesDataTable8252[#Headers],0),FALSE)</f>
        <v>34.457177765229872</v>
      </c>
      <c r="P18" s="37">
        <f>VLOOKUP(P$12,CurrentMtgRatesDataTable8252[#All],MATCH($C18,CurrentMtgRatesDataTable8252[#Headers],0),FALSE)</f>
        <v>11.767274467375277</v>
      </c>
      <c r="Q18" s="37">
        <f>VLOOKUP(Q$12,CurrentMtgRatesDataTable8252[#All],MATCH($C18,CurrentMtgRatesDataTable8252[#Headers],0),FALSE)</f>
        <v>15.452963291070757</v>
      </c>
      <c r="R18" s="37">
        <f>VLOOKUP(R$12,CurrentMtgRatesDataTable8252[#All],MATCH($C18,CurrentMtgRatesDataTable8252[#Headers],0),FALSE)</f>
        <v>28.223249982662868</v>
      </c>
      <c r="S18"/>
      <c r="T18"/>
      <c r="U18"/>
      <c r="V18"/>
      <c r="W18"/>
      <c r="X18"/>
      <c r="Y18"/>
      <c r="Z18"/>
      <c r="AA18"/>
    </row>
    <row r="19" spans="1:27" s="11" customFormat="1" ht="16.5" customHeight="1">
      <c r="A19" s="25"/>
      <c r="B19" s="9"/>
      <c r="C19" t="s">
        <v>35</v>
      </c>
      <c r="D19" s="32" t="s">
        <v>271</v>
      </c>
      <c r="E19" s="99">
        <f>VLOOKUP(E$12,CurrentMtgRatesDataTable8252[#All],MATCH($C19,CurrentMtgRatesDataTable8252[#Headers],0),FALSE)</f>
        <v>3.8279329679221803</v>
      </c>
      <c r="F19" s="99">
        <f>VLOOKUP(F$12,CurrentMtgRatesDataTable8252[#All],MATCH($C19,CurrentMtgRatesDataTable8252[#Headers],0),FALSE)</f>
        <v>3.5931553800561598</v>
      </c>
      <c r="G19" s="99">
        <f>VLOOKUP(G$12,CurrentMtgRatesDataTable8252[#All],MATCH($C19,CurrentMtgRatesDataTable8252[#Headers],0),FALSE)</f>
        <v>3.7145689614972772</v>
      </c>
      <c r="H19" s="99">
        <f>VLOOKUP(H$12,CurrentMtgRatesDataTable8252[#All],MATCH($C19,CurrentMtgRatesDataTable8252[#Headers],0),FALSE)</f>
        <v>3.9691765723109245</v>
      </c>
      <c r="I19" s="99">
        <f>VLOOKUP(I$12,CurrentMtgRatesDataTable8252[#All],MATCH($C19,CurrentMtgRatesDataTable8252[#Headers],0),FALSE)</f>
        <v>4.5334170151982116</v>
      </c>
      <c r="J19" s="99">
        <f>VLOOKUP(J$12,CurrentMtgRatesDataTable8252[#All],MATCH($C19,CurrentMtgRatesDataTable8252[#Headers],0),FALSE)</f>
        <v>4.5644921026890621</v>
      </c>
      <c r="K19" s="99">
        <f>VLOOKUP(K$12,CurrentMtgRatesDataTable8252[#All],MATCH($C19,CurrentMtgRatesDataTable8252[#Headers],0),FALSE)</f>
        <v>4.5484015702611034</v>
      </c>
      <c r="L19" s="99">
        <f>VLOOKUP(L$12,CurrentMtgRatesDataTable8252[#All],MATCH($C19,CurrentMtgRatesDataTable8252[#Headers],0),FALSE)</f>
        <v>3.7935690192175691</v>
      </c>
      <c r="M19" s="99">
        <f>VLOOKUP(M$12,CurrentMtgRatesDataTable8252[#All],MATCH($C19,CurrentMtgRatesDataTable8252[#Headers],0),FALSE)</f>
        <v>4.558263081596226</v>
      </c>
      <c r="N19" s="99">
        <f>VLOOKUP(N$12,CurrentMtgRatesDataTable8252[#All],MATCH($C19,CurrentMtgRatesDataTable8252[#Headers],0),FALSE)</f>
        <v>4.5170746985586749</v>
      </c>
      <c r="O19" s="99">
        <f>VLOOKUP(O$12,CurrentMtgRatesDataTable8252[#All],MATCH($C19,CurrentMtgRatesDataTable8252[#Headers],0),FALSE)</f>
        <v>3.6638975339031008</v>
      </c>
      <c r="P19" s="99">
        <f>VLOOKUP(P$12,CurrentMtgRatesDataTable8252[#All],MATCH($C19,CurrentMtgRatesDataTable8252[#Headers],0),FALSE)</f>
        <v>4.3762329171521586</v>
      </c>
      <c r="Q19" s="99">
        <f>VLOOKUP(Q$12,CurrentMtgRatesDataTable8252[#All],MATCH($C19,CurrentMtgRatesDataTable8252[#Headers],0),FALSE)</f>
        <v>4.5382218012060518</v>
      </c>
      <c r="R19" s="99">
        <f>VLOOKUP(R$12,CurrentMtgRatesDataTable8252[#All],MATCH($C19,CurrentMtgRatesDataTable8252[#Headers],0),FALSE)</f>
        <v>3.7924525263465831</v>
      </c>
      <c r="S19"/>
      <c r="T19"/>
      <c r="U19"/>
      <c r="V19"/>
      <c r="W19"/>
      <c r="X19"/>
      <c r="Y19"/>
      <c r="Z19"/>
      <c r="AA19"/>
    </row>
    <row r="20" spans="1:27" s="11" customFormat="1" ht="16.5" customHeight="1">
      <c r="A20" s="25"/>
      <c r="B20" s="9"/>
      <c r="C20" t="s">
        <v>36</v>
      </c>
      <c r="D20" s="88" t="s">
        <v>92</v>
      </c>
      <c r="E20" s="89">
        <f>VLOOKUP(E$12,CurrentMtgRatesDataTable8252[#All],MATCH($C20,CurrentMtgRatesDataTable8252[#Headers],0),FALSE)</f>
        <v>3.8279325512780047</v>
      </c>
      <c r="F20" s="89">
        <f>VLOOKUP(F$12,CurrentMtgRatesDataTable8252[#All],MATCH($C20,CurrentMtgRatesDataTable8252[#Headers],0),FALSE)</f>
        <v>3.5931754473303075</v>
      </c>
      <c r="G20" s="89">
        <f>VLOOKUP(G$12,CurrentMtgRatesDataTable8252[#All],MATCH($C20,CurrentMtgRatesDataTable8252[#Headers],0),FALSE)</f>
        <v>3.7145773141616667</v>
      </c>
      <c r="H20" s="89">
        <f>VLOOKUP(H$12,CurrentMtgRatesDataTable8252[#All],MATCH($C20,CurrentMtgRatesDataTable8252[#Headers],0),FALSE)</f>
        <v>3.9691856197751418</v>
      </c>
      <c r="I20" s="89">
        <f>VLOOKUP(I$12,CurrentMtgRatesDataTable8252[#All],MATCH($C20,CurrentMtgRatesDataTable8252[#Headers],0),FALSE)</f>
        <v>4.5333885209324531</v>
      </c>
      <c r="J20" s="89">
        <f>VLOOKUP(J$12,CurrentMtgRatesDataTable8252[#All],MATCH($C20,CurrentMtgRatesDataTable8252[#Headers],0),FALSE)</f>
        <v>4.5644921026890621</v>
      </c>
      <c r="K20" s="89">
        <f>VLOOKUP(K$12,CurrentMtgRatesDataTable8252[#All],MATCH($C20,CurrentMtgRatesDataTable8252[#Headers],0),FALSE)</f>
        <v>4.5482757174772237</v>
      </c>
      <c r="L20" s="89">
        <f>VLOOKUP(L$12,CurrentMtgRatesDataTable8252[#All],MATCH($C20,CurrentMtgRatesDataTable8252[#Headers],0),FALSE)</f>
        <v>3.7935689782436381</v>
      </c>
      <c r="M20" s="89">
        <f>VLOOKUP(M$12,CurrentMtgRatesDataTable8252[#All],MATCH($C20,CurrentMtgRatesDataTable8252[#Headers],0),FALSE)</f>
        <v>4.5581602842634164</v>
      </c>
      <c r="N20" s="89">
        <f>VLOOKUP(N$12,CurrentMtgRatesDataTable8252[#All],MATCH($C20,CurrentMtgRatesDataTable8252[#Headers],0),FALSE)</f>
        <v>4.5170626494253598</v>
      </c>
      <c r="O20" s="89">
        <f>VLOOKUP(O$12,CurrentMtgRatesDataTable8252[#All],MATCH($C20,CurrentMtgRatesDataTable8252[#Headers],0),FALSE)</f>
        <v>3.6638977492423068</v>
      </c>
      <c r="P20" s="89">
        <f>VLOOKUP(P$12,CurrentMtgRatesDataTable8252[#All],MATCH($C20,CurrentMtgRatesDataTable8252[#Headers],0),FALSE)</f>
        <v>4.3762329171521586</v>
      </c>
      <c r="Q20" s="89">
        <f>VLOOKUP(Q$12,CurrentMtgRatesDataTable8252[#All],MATCH($C20,CurrentMtgRatesDataTable8252[#Headers],0),FALSE)</f>
        <v>4.5382218012060518</v>
      </c>
      <c r="R20" s="89">
        <f>VLOOKUP(R$12,CurrentMtgRatesDataTable8252[#All],MATCH($C20,CurrentMtgRatesDataTable8252[#Headers],0),FALSE)</f>
        <v>3.7924525263465831</v>
      </c>
      <c r="S20"/>
      <c r="T20"/>
      <c r="U20"/>
      <c r="V20"/>
      <c r="W20"/>
      <c r="X20"/>
      <c r="Y20"/>
      <c r="Z20"/>
      <c r="AA20"/>
    </row>
    <row r="21" spans="1:27" s="11" customFormat="1" ht="16.5" customHeight="1">
      <c r="A21" s="25"/>
      <c r="B21" s="9"/>
      <c r="D21" s="90" t="s">
        <v>117</v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/>
      <c r="T21"/>
      <c r="U21"/>
      <c r="V21"/>
      <c r="W21"/>
      <c r="X21"/>
      <c r="Y21"/>
      <c r="Z21"/>
      <c r="AA21"/>
    </row>
    <row r="22" spans="1:27" s="11" customFormat="1" ht="16.5" customHeight="1">
      <c r="A22" s="25"/>
      <c r="B22" s="9"/>
      <c r="C22" t="s">
        <v>37</v>
      </c>
      <c r="D22" s="33" t="s">
        <v>93</v>
      </c>
      <c r="E22" s="37">
        <f>VLOOKUP(E$12,CurrentMtgRatesDataTable8252[#All],MATCH($C22,CurrentMtgRatesDataTable8252[#Headers],0),FALSE)</f>
        <v>74.824159827939383</v>
      </c>
      <c r="F22" s="37">
        <f>VLOOKUP(F$12,CurrentMtgRatesDataTable8252[#All],MATCH($C22,CurrentMtgRatesDataTable8252[#Headers],0),FALSE)</f>
        <v>74.282098713834387</v>
      </c>
      <c r="G22" s="37">
        <f>VLOOKUP(G$12,CurrentMtgRatesDataTable8252[#All],MATCH($C22,CurrentMtgRatesDataTable8252[#Headers],0),FALSE)</f>
        <v>74.826218372921176</v>
      </c>
      <c r="H22" s="37">
        <f>VLOOKUP(H$12,CurrentMtgRatesDataTable8252[#All],MATCH($C22,CurrentMtgRatesDataTable8252[#Headers],0),FALSE)</f>
        <v>75.276457769006143</v>
      </c>
      <c r="I22" s="37">
        <f>VLOOKUP(I$12,CurrentMtgRatesDataTable8252[#All],MATCH($C22,CurrentMtgRatesDataTable8252[#Headers],0),FALSE)</f>
        <v>75.918245046356034</v>
      </c>
      <c r="J22" s="37">
        <f>VLOOKUP(J$12,CurrentMtgRatesDataTable8252[#All],MATCH($C22,CurrentMtgRatesDataTable8252[#Headers],0),FALSE)</f>
        <v>75.889037091591376</v>
      </c>
      <c r="K22" s="37">
        <f>VLOOKUP(K$12,CurrentMtgRatesDataTable8252[#All],MATCH($C22,CurrentMtgRatesDataTable8252[#Headers],0),FALSE)</f>
        <v>92.322162037869489</v>
      </c>
      <c r="L22" s="37">
        <f>VLOOKUP(L$12,CurrentMtgRatesDataTable8252[#All],MATCH($C22,CurrentMtgRatesDataTable8252[#Headers],0),FALSE)</f>
        <v>91.537989753893171</v>
      </c>
      <c r="M22" s="37">
        <f>VLOOKUP(M$12,CurrentMtgRatesDataTable8252[#All],MATCH($C22,CurrentMtgRatesDataTable8252[#Headers],0),FALSE)</f>
        <v>92.377851649565144</v>
      </c>
      <c r="N22" s="37">
        <f>VLOOKUP(N$12,CurrentMtgRatesDataTable8252[#All],MATCH($C22,CurrentMtgRatesDataTable8252[#Headers],0),FALSE)</f>
        <v>76.230095646932227</v>
      </c>
      <c r="O22" s="37">
        <f>VLOOKUP(O$12,CurrentMtgRatesDataTable8252[#All],MATCH($C22,CurrentMtgRatesDataTable8252[#Headers],0),FALSE)</f>
        <v>74.46033045788289</v>
      </c>
      <c r="P22" s="37">
        <f>VLOOKUP(P$12,CurrentMtgRatesDataTable8252[#All],MATCH($C22,CurrentMtgRatesDataTable8252[#Headers],0),FALSE)</f>
        <v>75.988497771662836</v>
      </c>
      <c r="Q22" s="37">
        <f>VLOOKUP(Q$12,CurrentMtgRatesDataTable8252[#All],MATCH($C22,CurrentMtgRatesDataTable8252[#Headers],0),FALSE)</f>
        <v>92.493764635475912</v>
      </c>
      <c r="R22" s="37">
        <f>VLOOKUP(R$12,CurrentMtgRatesDataTable8252[#All],MATCH($C22,CurrentMtgRatesDataTable8252[#Headers],0),FALSE)</f>
        <v>91.535044020634075</v>
      </c>
      <c r="S22"/>
      <c r="T22"/>
      <c r="U22"/>
      <c r="V22"/>
      <c r="W22"/>
      <c r="X22"/>
      <c r="Y22"/>
      <c r="Z22"/>
      <c r="AA22"/>
    </row>
    <row r="23" spans="1:27" s="11" customFormat="1" ht="16.5" customHeight="1">
      <c r="A23" s="25"/>
      <c r="B23" s="9"/>
      <c r="C23" t="s">
        <v>39</v>
      </c>
      <c r="D23" s="33" t="s">
        <v>94</v>
      </c>
      <c r="E23" s="37">
        <f>VLOOKUP(E$12,CurrentMtgRatesDataTable8252[#All],MATCH($C23,CurrentMtgRatesDataTable8252[#Headers],0),FALSE)</f>
        <v>59.083151357347639</v>
      </c>
      <c r="F23" s="37">
        <f>VLOOKUP(F$12,CurrentMtgRatesDataTable8252[#All],MATCH($C23,CurrentMtgRatesDataTable8252[#Headers],0),FALSE)</f>
        <v>59.999710425973227</v>
      </c>
      <c r="G23" s="37">
        <f>VLOOKUP(G$12,CurrentMtgRatesDataTable8252[#All],MATCH($C23,CurrentMtgRatesDataTable8252[#Headers],0),FALSE)</f>
        <v>61.878268764295534</v>
      </c>
      <c r="H23" s="37">
        <f>VLOOKUP(H$12,CurrentMtgRatesDataTable8252[#All],MATCH($C23,CurrentMtgRatesDataTable8252[#Headers],0),FALSE)</f>
        <v>64.170025130475238</v>
      </c>
      <c r="I23" s="37">
        <f>VLOOKUP(I$12,CurrentMtgRatesDataTable8252[#All],MATCH($C23,CurrentMtgRatesDataTable8252[#Headers],0),FALSE)</f>
        <v>66.562747676638011</v>
      </c>
      <c r="J23" s="37">
        <f>VLOOKUP(J$12,CurrentMtgRatesDataTable8252[#All],MATCH($C23,CurrentMtgRatesDataTable8252[#Headers],0),FALSE)</f>
        <v>67.518049057996691</v>
      </c>
      <c r="K23" s="37">
        <f>VLOOKUP(K$12,CurrentMtgRatesDataTable8252[#All],MATCH($C23,CurrentMtgRatesDataTable8252[#Headers],0),FALSE)</f>
        <v>81.639692239957341</v>
      </c>
      <c r="L23" s="37">
        <f>VLOOKUP(L$12,CurrentMtgRatesDataTable8252[#All],MATCH($C23,CurrentMtgRatesDataTable8252[#Headers],0),FALSE)</f>
        <v>77.469676329682144</v>
      </c>
      <c r="M23" s="37">
        <f>VLOOKUP(M$12,CurrentMtgRatesDataTable8252[#All],MATCH($C23,CurrentMtgRatesDataTable8252[#Headers],0),FALSE)</f>
        <v>82.725642453139926</v>
      </c>
      <c r="N23" s="37">
        <f>VLOOKUP(N$12,CurrentMtgRatesDataTable8252[#All],MATCH($C23,CurrentMtgRatesDataTable8252[#Headers],0),FALSE)</f>
        <v>69.784177495488038</v>
      </c>
      <c r="O23" s="37">
        <f>VLOOKUP(O$12,CurrentMtgRatesDataTable8252[#All],MATCH($C23,CurrentMtgRatesDataTable8252[#Headers],0),FALSE)</f>
        <v>59.240009124167095</v>
      </c>
      <c r="P23" s="37">
        <f>VLOOKUP(P$12,CurrentMtgRatesDataTable8252[#All],MATCH($C23,CurrentMtgRatesDataTable8252[#Headers],0),FALSE)</f>
        <v>71.51255120219011</v>
      </c>
      <c r="Q23" s="37">
        <f>VLOOKUP(Q$12,CurrentMtgRatesDataTable8252[#All],MATCH($C23,CurrentMtgRatesDataTable8252[#Headers],0),FALSE)</f>
        <v>85.132151781173945</v>
      </c>
      <c r="R23" s="37">
        <f>VLOOKUP(R$12,CurrentMtgRatesDataTable8252[#All],MATCH($C23,CurrentMtgRatesDataTable8252[#Headers],0),FALSE)</f>
        <v>77.461398008387121</v>
      </c>
      <c r="S23"/>
      <c r="T23"/>
      <c r="U23"/>
      <c r="V23"/>
      <c r="W23"/>
      <c r="X23"/>
      <c r="Y23"/>
      <c r="Z23"/>
      <c r="AA23"/>
    </row>
    <row r="24" spans="1:27" s="11" customFormat="1" ht="16.5" customHeight="1">
      <c r="A24" s="25"/>
      <c r="B24" s="9"/>
      <c r="C24" t="s">
        <v>40</v>
      </c>
      <c r="D24" s="33" t="s">
        <v>95</v>
      </c>
      <c r="E24" s="37">
        <f>VLOOKUP(E$12,CurrentMtgRatesDataTable8252[#All],MATCH($C24,CurrentMtgRatesDataTable8252[#Headers],0),FALSE)</f>
        <v>32.200736609453017</v>
      </c>
      <c r="F24" s="37">
        <f>VLOOKUP(F$12,CurrentMtgRatesDataTable8252[#All],MATCH($C24,CurrentMtgRatesDataTable8252[#Headers],0),FALSE)</f>
        <v>32.132615896462042</v>
      </c>
      <c r="G24" s="37">
        <f>VLOOKUP(G$12,CurrentMtgRatesDataTable8252[#All],MATCH($C24,CurrentMtgRatesDataTable8252[#Headers],0),FALSE)</f>
        <v>32.831364577453996</v>
      </c>
      <c r="H24" s="37">
        <f>VLOOKUP(H$12,CurrentMtgRatesDataTable8252[#All],MATCH($C24,CurrentMtgRatesDataTable8252[#Headers],0),FALSE)</f>
        <v>33.055225392345612</v>
      </c>
      <c r="I24" s="37">
        <f>VLOOKUP(I$12,CurrentMtgRatesDataTable8252[#All],MATCH($C24,CurrentMtgRatesDataTable8252[#Headers],0),FALSE)</f>
        <v>34.453972033404483</v>
      </c>
      <c r="J24" s="37">
        <f>VLOOKUP(J$12,CurrentMtgRatesDataTable8252[#All],MATCH($C24,CurrentMtgRatesDataTable8252[#Headers],0),FALSE)</f>
        <v>34.754187047212845</v>
      </c>
      <c r="K24" s="37">
        <f>VLOOKUP(K$12,CurrentMtgRatesDataTable8252[#All],MATCH($C24,CurrentMtgRatesDataTable8252[#Headers],0),FALSE)</f>
        <v>34.691613529545393</v>
      </c>
      <c r="L24" s="37">
        <f>VLOOKUP(L$12,CurrentMtgRatesDataTable8252[#All],MATCH($C24,CurrentMtgRatesDataTable8252[#Headers],0),FALSE)</f>
        <v>33.134979334975924</v>
      </c>
      <c r="M24" s="37">
        <f>VLOOKUP(M$12,CurrentMtgRatesDataTable8252[#All],MATCH($C24,CurrentMtgRatesDataTable8252[#Headers],0),FALSE)</f>
        <v>34.88189665427852</v>
      </c>
      <c r="N24" s="37">
        <f>VLOOKUP(N$12,CurrentMtgRatesDataTable8252[#All],MATCH($C24,CurrentMtgRatesDataTable8252[#Headers],0),FALSE)</f>
        <v>34.451421066598691</v>
      </c>
      <c r="O24" s="37">
        <f>VLOOKUP(O$12,CurrentMtgRatesDataTable8252[#All],MATCH($C24,CurrentMtgRatesDataTable8252[#Headers],0),FALSE)</f>
        <v>31.985258037942167</v>
      </c>
      <c r="P24" s="37">
        <f>VLOOKUP(P$12,CurrentMtgRatesDataTable8252[#All],MATCH($C24,CurrentMtgRatesDataTable8252[#Headers],0),FALSE)</f>
        <v>34.592679916719959</v>
      </c>
      <c r="Q24" s="37">
        <f>VLOOKUP(Q$12,CurrentMtgRatesDataTable8252[#All],MATCH($C24,CurrentMtgRatesDataTable8252[#Headers],0),FALSE)</f>
        <v>34.716567926887222</v>
      </c>
      <c r="R24" s="37">
        <f>VLOOKUP(R$12,CurrentMtgRatesDataTable8252[#All],MATCH($C24,CurrentMtgRatesDataTable8252[#Headers],0),FALSE)</f>
        <v>33.107605596415169</v>
      </c>
      <c r="S24"/>
      <c r="T24"/>
      <c r="U24"/>
      <c r="V24"/>
      <c r="W24"/>
      <c r="X24"/>
      <c r="Y24"/>
      <c r="Z24"/>
      <c r="AA24"/>
    </row>
    <row r="25" spans="1:27" s="9" customFormat="1" ht="16.5" customHeight="1">
      <c r="A25" s="26"/>
      <c r="C25" t="s">
        <v>41</v>
      </c>
      <c r="D25" s="33" t="s">
        <v>96</v>
      </c>
      <c r="E25" s="37">
        <f>VLOOKUP(E$12,CurrentMtgRatesDataTable8252[#All],MATCH($C25,CurrentMtgRatesDataTable8252[#Headers],0),FALSE)</f>
        <v>766.78906408702051</v>
      </c>
      <c r="F25" s="37">
        <f>VLOOKUP(F$12,CurrentMtgRatesDataTable8252[#All],MATCH($C25,CurrentMtgRatesDataTable8252[#Headers],0),FALSE)</f>
        <v>764.34899718068277</v>
      </c>
      <c r="G25" s="37">
        <f>VLOOKUP(G$12,CurrentMtgRatesDataTable8252[#All],MATCH($C25,CurrentMtgRatesDataTable8252[#Headers],0),FALSE)</f>
        <v>761.45826987729288</v>
      </c>
      <c r="H25" s="37">
        <f>VLOOKUP(H$12,CurrentMtgRatesDataTable8252[#All],MATCH($C25,CurrentMtgRatesDataTable8252[#Headers],0),FALSE)</f>
        <v>760.15776183008484</v>
      </c>
      <c r="I25" s="37">
        <f>VLOOKUP(I$12,CurrentMtgRatesDataTable8252[#All],MATCH($C25,CurrentMtgRatesDataTable8252[#Headers],0),FALSE)</f>
        <v>753.89579953359953</v>
      </c>
      <c r="J25" s="37">
        <f>VLOOKUP(J$12,CurrentMtgRatesDataTable8252[#All],MATCH($C25,CurrentMtgRatesDataTable8252[#Headers],0),FALSE)</f>
        <v>751.68914404682505</v>
      </c>
      <c r="K25" s="37">
        <f>VLOOKUP(K$12,CurrentMtgRatesDataTable8252[#All],MATCH($C25,CurrentMtgRatesDataTable8252[#Headers],0),FALSE)</f>
        <v>751.4753213005821</v>
      </c>
      <c r="L25" s="37">
        <f>VLOOKUP(L$12,CurrentMtgRatesDataTable8252[#All],MATCH($C25,CurrentMtgRatesDataTable8252[#Headers],0),FALSE)</f>
        <v>757.20190179671272</v>
      </c>
      <c r="M25" s="37">
        <f>VLOOKUP(M$12,CurrentMtgRatesDataTable8252[#All],MATCH($C25,CurrentMtgRatesDataTable8252[#Headers],0),FALSE)</f>
        <v>748.71708673752096</v>
      </c>
      <c r="N25" s="37">
        <f>VLOOKUP(N$12,CurrentMtgRatesDataTable8252[#All],MATCH($C25,CurrentMtgRatesDataTable8252[#Headers],0),FALSE)</f>
        <v>752.4714247875603</v>
      </c>
      <c r="O25" s="37">
        <f>VLOOKUP(O$12,CurrentMtgRatesDataTable8252[#All],MATCH($C25,CurrentMtgRatesDataTable8252[#Headers],0),FALSE)</f>
        <v>766.43933235995314</v>
      </c>
      <c r="P25" s="37">
        <f>VLOOKUP(P$12,CurrentMtgRatesDataTable8252[#All],MATCH($C25,CurrentMtgRatesDataTable8252[#Headers],0),FALSE)</f>
        <v>751.83790715325472</v>
      </c>
      <c r="Q25" s="37">
        <f>VLOOKUP(Q$12,CurrentMtgRatesDataTable8252[#All],MATCH($C25,CurrentMtgRatesDataTable8252[#Headers],0),FALSE)</f>
        <v>748.30327676789977</v>
      </c>
      <c r="R25" s="37">
        <f>VLOOKUP(R$12,CurrentMtgRatesDataTable8252[#All],MATCH($C25,CurrentMtgRatesDataTable8252[#Headers],0),FALSE)</f>
        <v>757.50235616687144</v>
      </c>
      <c r="S25"/>
      <c r="T25"/>
      <c r="U25"/>
      <c r="V25"/>
      <c r="W25"/>
      <c r="X25"/>
      <c r="Y25"/>
      <c r="Z25"/>
      <c r="AA25"/>
    </row>
    <row r="26" spans="1:27" s="9" customFormat="1" ht="16.5" customHeight="1">
      <c r="A26" s="26"/>
      <c r="C26" t="s">
        <v>42</v>
      </c>
      <c r="D26" s="85" t="s">
        <v>97</v>
      </c>
      <c r="E26" s="86">
        <f>VLOOKUP(E$12,CurrentMtgRatesDataTable8252[#All],MATCH($C26,CurrentMtgRatesDataTable8252[#Headers],0),FALSE)</f>
        <v>306200.31181180547</v>
      </c>
      <c r="F26" s="86">
        <f>VLOOKUP(F$12,CurrentMtgRatesDataTable8252[#All],MATCH($C26,CurrentMtgRatesDataTable8252[#Headers],0),FALSE)</f>
        <v>313518.67011079518</v>
      </c>
      <c r="G26" s="86">
        <f>VLOOKUP(G$12,CurrentMtgRatesDataTable8252[#All],MATCH($C26,CurrentMtgRatesDataTable8252[#Headers],0),FALSE)</f>
        <v>302502.82730629417</v>
      </c>
      <c r="H26" s="86">
        <f>VLOOKUP(H$12,CurrentMtgRatesDataTable8252[#All],MATCH($C26,CurrentMtgRatesDataTable8252[#Headers],0),FALSE)</f>
        <v>303241.73245390318</v>
      </c>
      <c r="I26" s="86">
        <f>VLOOKUP(I$12,CurrentMtgRatesDataTable8252[#All],MATCH($C26,CurrentMtgRatesDataTable8252[#Headers],0),FALSE)</f>
        <v>279085.11361776816</v>
      </c>
      <c r="J26" s="86">
        <f>VLOOKUP(J$12,CurrentMtgRatesDataTable8252[#All],MATCH($C26,CurrentMtgRatesDataTable8252[#Headers],0),FALSE)</f>
        <v>279090.7362547887</v>
      </c>
      <c r="K26" s="86">
        <f>VLOOKUP(K$12,CurrentMtgRatesDataTable8252[#All],MATCH($C26,CurrentMtgRatesDataTable8252[#Headers],0),FALSE)</f>
        <v>256550.04147634082</v>
      </c>
      <c r="L26" s="86">
        <f>VLOOKUP(L$12,CurrentMtgRatesDataTable8252[#All],MATCH($C26,CurrentMtgRatesDataTable8252[#Headers],0),FALSE)</f>
        <v>274009.91835262644</v>
      </c>
      <c r="M26" s="86">
        <f>VLOOKUP(M$12,CurrentMtgRatesDataTable8252[#All],MATCH($C26,CurrentMtgRatesDataTable8252[#Headers],0),FALSE)</f>
        <v>257559.23962159187</v>
      </c>
      <c r="N26" s="86">
        <f>VLOOKUP(N$12,CurrentMtgRatesDataTable8252[#All],MATCH($C26,CurrentMtgRatesDataTable8252[#Headers],0),FALSE)</f>
        <v>283627.13964395673</v>
      </c>
      <c r="O26" s="86">
        <f>VLOOKUP(O$12,CurrentMtgRatesDataTable8252[#All],MATCH($C26,CurrentMtgRatesDataTable8252[#Headers],0),FALSE)</f>
        <v>314707.73653529125</v>
      </c>
      <c r="P26" s="86">
        <f>VLOOKUP(P$12,CurrentMtgRatesDataTable8252[#All],MATCH($C26,CurrentMtgRatesDataTable8252[#Headers],0),FALSE)</f>
        <v>292140.53860429296</v>
      </c>
      <c r="Q26" s="86">
        <f>VLOOKUP(Q$12,CurrentMtgRatesDataTable8252[#All],MATCH($C26,CurrentMtgRatesDataTable8252[#Headers],0),FALSE)</f>
        <v>260199.60561034246</v>
      </c>
      <c r="R26" s="86">
        <f>VLOOKUP(R$12,CurrentMtgRatesDataTable8252[#All],MATCH($C26,CurrentMtgRatesDataTable8252[#Headers],0),FALSE)</f>
        <v>273989.32090037578</v>
      </c>
      <c r="S26"/>
      <c r="T26"/>
      <c r="U26"/>
      <c r="V26"/>
      <c r="W26"/>
      <c r="X26"/>
      <c r="Y26"/>
      <c r="Z26"/>
      <c r="AA26"/>
    </row>
    <row r="27" spans="1:27" s="9" customFormat="1" ht="16.5" customHeight="1">
      <c r="A27" s="26"/>
      <c r="D27" s="90" t="s">
        <v>118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/>
      <c r="T27"/>
      <c r="U27"/>
      <c r="V27"/>
      <c r="W27"/>
      <c r="X27"/>
      <c r="Y27"/>
      <c r="Z27"/>
      <c r="AA27"/>
    </row>
    <row r="28" spans="1:27" s="9" customFormat="1" ht="16.5" customHeight="1">
      <c r="A28" s="26"/>
      <c r="C28" t="s">
        <v>43</v>
      </c>
      <c r="D28" s="33" t="s">
        <v>120</v>
      </c>
      <c r="E28" s="43">
        <f>VLOOKUP(E$12,CurrentMtgRatesDataTable8252[#All],MATCH($C28,CurrentMtgRatesDataTable8252[#Headers],0),FALSE)</f>
        <v>0</v>
      </c>
      <c r="F28" s="43">
        <f>VLOOKUP(F$12,CurrentMtgRatesDataTable8252[#All],MATCH($C28,CurrentMtgRatesDataTable8252[#Headers],0),FALSE)</f>
        <v>0</v>
      </c>
      <c r="G28" s="43">
        <f>VLOOKUP(G$12,CurrentMtgRatesDataTable8252[#All],MATCH($C28,CurrentMtgRatesDataTable8252[#Headers],0),FALSE)</f>
        <v>0</v>
      </c>
      <c r="H28" s="43">
        <f>VLOOKUP(H$12,CurrentMtgRatesDataTable8252[#All],MATCH($C28,CurrentMtgRatesDataTable8252[#Headers],0),FALSE)</f>
        <v>0</v>
      </c>
      <c r="I28" s="43">
        <f>VLOOKUP(I$12,CurrentMtgRatesDataTable8252[#All],MATCH($C28,CurrentMtgRatesDataTable8252[#Headers],0),FALSE)</f>
        <v>0</v>
      </c>
      <c r="J28" s="43">
        <f>VLOOKUP(J$12,CurrentMtgRatesDataTable8252[#All],MATCH($C28,CurrentMtgRatesDataTable8252[#Headers],0),FALSE)</f>
        <v>0</v>
      </c>
      <c r="K28" s="43">
        <f>VLOOKUP(K$12,CurrentMtgRatesDataTable8252[#All],MATCH($C28,CurrentMtgRatesDataTable8252[#Headers],0),FALSE)</f>
        <v>0.99797958035942846</v>
      </c>
      <c r="L28" s="43">
        <f>VLOOKUP(L$12,CurrentMtgRatesDataTable8252[#All],MATCH($C28,CurrentMtgRatesDataTable8252[#Headers],0),FALSE)</f>
        <v>0.99928837176402696</v>
      </c>
      <c r="M28" s="43">
        <f>VLOOKUP(M$12,CurrentMtgRatesDataTable8252[#All],MATCH($C28,CurrentMtgRatesDataTable8252[#Headers],0),FALSE)</f>
        <v>0.99786892357782753</v>
      </c>
      <c r="N28" s="43">
        <f>VLOOKUP(N$12,CurrentMtgRatesDataTable8252[#All],MATCH($C28,CurrentMtgRatesDataTable8252[#Headers],0),FALSE)</f>
        <v>0</v>
      </c>
      <c r="O28" s="43">
        <f>VLOOKUP(O$12,CurrentMtgRatesDataTable8252[#All],MATCH($C28,CurrentMtgRatesDataTable8252[#Headers],0),FALSE)</f>
        <v>0</v>
      </c>
      <c r="P28" s="43">
        <f>VLOOKUP(P$12,CurrentMtgRatesDataTable8252[#All],MATCH($C28,CurrentMtgRatesDataTable8252[#Headers],0),FALSE)</f>
        <v>0</v>
      </c>
      <c r="Q28" s="43">
        <f>VLOOKUP(Q$12,CurrentMtgRatesDataTable8252[#All],MATCH($C28,CurrentMtgRatesDataTable8252[#Headers],0),FALSE)</f>
        <v>0.9982824983162194</v>
      </c>
      <c r="R28" s="43">
        <f>VLOOKUP(R$12,CurrentMtgRatesDataTable8252[#All],MATCH($C28,CurrentMtgRatesDataTable8252[#Headers],0),FALSE)</f>
        <v>0.99929447901051571</v>
      </c>
      <c r="S28"/>
      <c r="T28"/>
      <c r="U28"/>
      <c r="V28"/>
      <c r="W28"/>
      <c r="X28"/>
      <c r="Y28"/>
      <c r="Z28"/>
      <c r="AA28"/>
    </row>
    <row r="29" spans="1:27" s="9" customFormat="1" ht="16.5" customHeight="1">
      <c r="A29" s="26"/>
      <c r="C29" t="s">
        <v>44</v>
      </c>
      <c r="D29" s="33" t="s">
        <v>129</v>
      </c>
      <c r="E29" s="44">
        <f>VLOOKUP(E$12,CurrentMtgRatesDataTable8252[#All],MATCH($C29,CurrentMtgRatesDataTable8252[#Headers],0),FALSE)</f>
        <v>5.4522159359410974E-2</v>
      </c>
      <c r="F29" s="44">
        <f>VLOOKUP(F$12,CurrentMtgRatesDataTable8252[#All],MATCH($C29,CurrentMtgRatesDataTable8252[#Headers],0),FALSE)</f>
        <v>4.5128731710109928E-2</v>
      </c>
      <c r="G29" s="44">
        <f>VLOOKUP(G$12,CurrentMtgRatesDataTable8252[#All],MATCH($C29,CurrentMtgRatesDataTable8252[#Headers],0),FALSE)</f>
        <v>5.3837403089274288E-2</v>
      </c>
      <c r="H29" s="44">
        <f>VLOOKUP(H$12,CurrentMtgRatesDataTable8252[#All],MATCH($C29,CurrentMtgRatesDataTable8252[#Headers],0),FALSE)</f>
        <v>5.319382637253954E-2</v>
      </c>
      <c r="I29" s="44">
        <f>VLOOKUP(I$12,CurrentMtgRatesDataTable8252[#All],MATCH($C29,CurrentMtgRatesDataTable8252[#Headers],0),FALSE)</f>
        <v>6.0826006205431063E-2</v>
      </c>
      <c r="J29" s="44">
        <f>VLOOKUP(J$12,CurrentMtgRatesDataTable8252[#All],MATCH($C29,CurrentMtgRatesDataTable8252[#Headers],0),FALSE)</f>
        <v>5.8430739767490671E-2</v>
      </c>
      <c r="K29" s="44">
        <f>VLOOKUP(K$12,CurrentMtgRatesDataTable8252[#All],MATCH($C29,CurrentMtgRatesDataTable8252[#Headers],0),FALSE)</f>
        <v>4.2745958881145671E-3</v>
      </c>
      <c r="L29" s="44">
        <f>VLOOKUP(L$12,CurrentMtgRatesDataTable8252[#All],MATCH($C29,CurrentMtgRatesDataTable8252[#Headers],0),FALSE)</f>
        <v>3.7637864463983292E-3</v>
      </c>
      <c r="M29" s="44">
        <f>VLOOKUP(M$12,CurrentMtgRatesDataTable8252[#All],MATCH($C29,CurrentMtgRatesDataTable8252[#Headers],0),FALSE)</f>
        <v>4.4149780682392979E-3</v>
      </c>
      <c r="N29" s="44">
        <f>VLOOKUP(N$12,CurrentMtgRatesDataTable8252[#All],MATCH($C29,CurrentMtgRatesDataTable8252[#Headers],0),FALSE)</f>
        <v>6.0079034340868684E-2</v>
      </c>
      <c r="O29" s="44">
        <f>VLOOKUP(O$12,CurrentMtgRatesDataTable8252[#All],MATCH($C29,CurrentMtgRatesDataTable8252[#Headers],0),FALSE)</f>
        <v>4.9236157264735729E-2</v>
      </c>
      <c r="P29" s="44">
        <f>VLOOKUP(P$12,CurrentMtgRatesDataTable8252[#All],MATCH($C29,CurrentMtgRatesDataTable8252[#Headers],0),FALSE)</f>
        <v>5.4214541021038821E-2</v>
      </c>
      <c r="Q29" s="44">
        <f>VLOOKUP(Q$12,CurrentMtgRatesDataTable8252[#All],MATCH($C29,CurrentMtgRatesDataTable8252[#Headers],0),FALSE)</f>
        <v>4.114745673532494E-3</v>
      </c>
      <c r="R29" s="44">
        <f>VLOOKUP(R$12,CurrentMtgRatesDataTable8252[#All],MATCH($C29,CurrentMtgRatesDataTable8252[#Headers],0),FALSE)</f>
        <v>3.7349060409402209E-3</v>
      </c>
      <c r="S29"/>
      <c r="T29"/>
      <c r="U29"/>
      <c r="V29"/>
      <c r="W29"/>
      <c r="X29"/>
      <c r="Y29"/>
      <c r="Z29"/>
      <c r="AA29"/>
    </row>
    <row r="30" spans="1:27" s="9" customFormat="1" ht="16.5" customHeight="1">
      <c r="A30" s="26"/>
      <c r="C30" t="s">
        <v>45</v>
      </c>
      <c r="D30" s="33" t="s">
        <v>98</v>
      </c>
      <c r="E30" s="44">
        <f>VLOOKUP(E$12,CurrentMtgRatesDataTable8252[#All],MATCH($C30,CurrentMtgRatesDataTable8252[#Headers],0),FALSE)</f>
        <v>0.10500468348556109</v>
      </c>
      <c r="F30" s="44">
        <f>VLOOKUP(F$12,CurrentMtgRatesDataTable8252[#All],MATCH($C30,CurrentMtgRatesDataTable8252[#Headers],0),FALSE)</f>
        <v>7.4777871568605159E-2</v>
      </c>
      <c r="G30" s="44">
        <f>VLOOKUP(G$12,CurrentMtgRatesDataTable8252[#All],MATCH($C30,CurrentMtgRatesDataTable8252[#Headers],0),FALSE)</f>
        <v>0.11268477120665898</v>
      </c>
      <c r="H30" s="44">
        <f>VLOOKUP(H$12,CurrentMtgRatesDataTable8252[#All],MATCH($C30,CurrentMtgRatesDataTable8252[#Headers],0),FALSE)</f>
        <v>0.15066934887216818</v>
      </c>
      <c r="I30" s="44">
        <f>VLOOKUP(I$12,CurrentMtgRatesDataTable8252[#All],MATCH($C30,CurrentMtgRatesDataTable8252[#Headers],0),FALSE)</f>
        <v>0.19011910305421584</v>
      </c>
      <c r="J30" s="44">
        <f>VLOOKUP(J$12,CurrentMtgRatesDataTable8252[#All],MATCH($C30,CurrentMtgRatesDataTable8252[#Headers],0),FALSE)</f>
        <v>0.17481953363839289</v>
      </c>
      <c r="K30" s="44">
        <f>VLOOKUP(K$12,CurrentMtgRatesDataTable8252[#All],MATCH($C30,CurrentMtgRatesDataTable8252[#Headers],0),FALSE)</f>
        <v>0.39756863947707854</v>
      </c>
      <c r="L30" s="44">
        <f>VLOOKUP(L$12,CurrentMtgRatesDataTable8252[#All],MATCH($C30,CurrentMtgRatesDataTable8252[#Headers],0),FALSE)</f>
        <v>0.29757312693248278</v>
      </c>
      <c r="M30" s="44">
        <f>VLOOKUP(M$12,CurrentMtgRatesDataTable8252[#All],MATCH($C30,CurrentMtgRatesDataTable8252[#Headers],0),FALSE)</f>
        <v>0.39640370129180896</v>
      </c>
      <c r="N30" s="44">
        <f>VLOOKUP(N$12,CurrentMtgRatesDataTable8252[#All],MATCH($C30,CurrentMtgRatesDataTable8252[#Headers],0),FALSE)</f>
        <v>0.19491284492665994</v>
      </c>
      <c r="O30" s="44">
        <f>VLOOKUP(O$12,CurrentMtgRatesDataTable8252[#All],MATCH($C30,CurrentMtgRatesDataTable8252[#Headers],0),FALSE)</f>
        <v>8.1583115790630614E-2</v>
      </c>
      <c r="P30" s="44">
        <f>VLOOKUP(P$12,CurrentMtgRatesDataTable8252[#All],MATCH($C30,CurrentMtgRatesDataTable8252[#Headers],0),FALSE)</f>
        <v>0.17279360893449514</v>
      </c>
      <c r="Q30" s="44">
        <f>VLOOKUP(Q$12,CurrentMtgRatesDataTable8252[#All],MATCH($C30,CurrentMtgRatesDataTable8252[#Headers],0),FALSE)</f>
        <v>0.4068378907029237</v>
      </c>
      <c r="R30" s="44">
        <f>VLOOKUP(R$12,CurrentMtgRatesDataTable8252[#All],MATCH($C30,CurrentMtgRatesDataTable8252[#Headers],0),FALSE)</f>
        <v>0.29816972133934283</v>
      </c>
      <c r="S30"/>
      <c r="T30"/>
      <c r="U30"/>
      <c r="V30"/>
      <c r="W30"/>
      <c r="X30"/>
      <c r="Y30"/>
      <c r="Z30"/>
      <c r="AA30"/>
    </row>
    <row r="31" spans="1:27" s="9" customFormat="1" ht="16.5" customHeight="1">
      <c r="A31" s="26"/>
      <c r="C31" t="s">
        <v>46</v>
      </c>
      <c r="D31" s="33" t="s">
        <v>99</v>
      </c>
      <c r="E31" s="44">
        <f>VLOOKUP(E$12,CurrentMtgRatesDataTable8252[#All],MATCH($C31,CurrentMtgRatesDataTable8252[#Headers],0),FALSE)</f>
        <v>0.63151672366852629</v>
      </c>
      <c r="F31" s="44">
        <f>VLOOKUP(F$12,CurrentMtgRatesDataTable8252[#All],MATCH($C31,CurrentMtgRatesDataTable8252[#Headers],0),FALSE)</f>
        <v>0.60978891767757426</v>
      </c>
      <c r="G31" s="44">
        <f>VLOOKUP(G$12,CurrentMtgRatesDataTable8252[#All],MATCH($C31,CurrentMtgRatesDataTable8252[#Headers],0),FALSE)</f>
        <v>0.58697055929434327</v>
      </c>
      <c r="H31" s="44">
        <f>VLOOKUP(H$12,CurrentMtgRatesDataTable8252[#All],MATCH($C31,CurrentMtgRatesDataTable8252[#Headers],0),FALSE)</f>
        <v>0.58887002190338744</v>
      </c>
      <c r="I31" s="44">
        <f>VLOOKUP(I$12,CurrentMtgRatesDataTable8252[#All],MATCH($C31,CurrentMtgRatesDataTable8252[#Headers],0),FALSE)</f>
        <v>0.55697024594485023</v>
      </c>
      <c r="J31" s="44">
        <f>VLOOKUP(J$12,CurrentMtgRatesDataTable8252[#All],MATCH($C31,CurrentMtgRatesDataTable8252[#Headers],0),FALSE)</f>
        <v>0.5475392555860602</v>
      </c>
      <c r="K31" s="44">
        <f>VLOOKUP(K$12,CurrentMtgRatesDataTable8252[#All],MATCH($C31,CurrentMtgRatesDataTable8252[#Headers],0),FALSE)</f>
        <v>0.54200422721306152</v>
      </c>
      <c r="L31" s="44">
        <f>VLOOKUP(L$12,CurrentMtgRatesDataTable8252[#All],MATCH($C31,CurrentMtgRatesDataTable8252[#Headers],0),FALSE)</f>
        <v>0.56691234670454138</v>
      </c>
      <c r="M31" s="44">
        <f>VLOOKUP(M$12,CurrentMtgRatesDataTable8252[#All],MATCH($C31,CurrentMtgRatesDataTable8252[#Headers],0),FALSE)</f>
        <v>0.53924986292655663</v>
      </c>
      <c r="N31" s="44">
        <f>VLOOKUP(N$12,CurrentMtgRatesDataTable8252[#All],MATCH($C31,CurrentMtgRatesDataTable8252[#Headers],0),FALSE)</f>
        <v>0.55254820061051513</v>
      </c>
      <c r="O31" s="44">
        <f>VLOOKUP(O$12,CurrentMtgRatesDataTable8252[#All],MATCH($C31,CurrentMtgRatesDataTable8252[#Headers],0),FALSE)</f>
        <v>0.62421161199607733</v>
      </c>
      <c r="P31" s="44">
        <f>VLOOKUP(P$12,CurrentMtgRatesDataTable8252[#All],MATCH($C31,CurrentMtgRatesDataTable8252[#Headers],0),FALSE)</f>
        <v>0.55503069900568791</v>
      </c>
      <c r="Q31" s="44">
        <f>VLOOKUP(Q$12,CurrentMtgRatesDataTable8252[#All],MATCH($C31,CurrentMtgRatesDataTable8252[#Headers],0),FALSE)</f>
        <v>0.54580839911215628</v>
      </c>
      <c r="R31" s="44">
        <f>VLOOKUP(R$12,CurrentMtgRatesDataTable8252[#All],MATCH($C31,CurrentMtgRatesDataTable8252[#Headers],0),FALSE)</f>
        <v>0.56836499702263876</v>
      </c>
      <c r="S31"/>
      <c r="T31"/>
      <c r="U31"/>
      <c r="V31"/>
      <c r="W31"/>
      <c r="X31"/>
      <c r="Y31"/>
      <c r="Z31"/>
      <c r="AA31"/>
    </row>
    <row r="32" spans="1:27" s="9" customFormat="1" ht="16.5" customHeight="1">
      <c r="A32" s="26"/>
      <c r="C32" t="s">
        <v>47</v>
      </c>
      <c r="D32" s="33" t="s">
        <v>100</v>
      </c>
      <c r="E32" s="44">
        <f>VLOOKUP(E$12,CurrentMtgRatesDataTable8252[#All],MATCH($C32,CurrentMtgRatesDataTable8252[#Headers],0),FALSE)</f>
        <v>2.3810625757009925E-2</v>
      </c>
      <c r="F32" s="44">
        <f>VLOOKUP(F$12,CurrentMtgRatesDataTable8252[#All],MATCH($C32,CurrentMtgRatesDataTable8252[#Headers],0),FALSE)</f>
        <v>2.8939486739969478E-2</v>
      </c>
      <c r="G32" s="44">
        <f>VLOOKUP(G$12,CurrentMtgRatesDataTable8252[#All],MATCH($C32,CurrentMtgRatesDataTable8252[#Headers],0),FALSE)</f>
        <v>3.2471710511143143E-2</v>
      </c>
      <c r="H32" s="44">
        <f>VLOOKUP(H$12,CurrentMtgRatesDataTable8252[#All],MATCH($C32,CurrentMtgRatesDataTable8252[#Headers],0),FALSE)</f>
        <v>2.9468035651524182E-2</v>
      </c>
      <c r="I32" s="44">
        <f>VLOOKUP(I$12,CurrentMtgRatesDataTable8252[#All],MATCH($C32,CurrentMtgRatesDataTable8252[#Headers],0),FALSE)</f>
        <v>3.5293112123892426E-2</v>
      </c>
      <c r="J32" s="44">
        <f>VLOOKUP(J$12,CurrentMtgRatesDataTable8252[#All],MATCH($C32,CurrentMtgRatesDataTable8252[#Headers],0),FALSE)</f>
        <v>3.6859836231684512E-2</v>
      </c>
      <c r="K32" s="44">
        <f>VLOOKUP(K$12,CurrentMtgRatesDataTable8252[#All],MATCH($C32,CurrentMtgRatesDataTable8252[#Headers],0),FALSE)</f>
        <v>0</v>
      </c>
      <c r="L32" s="44">
        <f>VLOOKUP(L$12,CurrentMtgRatesDataTable8252[#All],MATCH($C32,CurrentMtgRatesDataTable8252[#Headers],0),FALSE)</f>
        <v>0</v>
      </c>
      <c r="M32" s="44">
        <f>VLOOKUP(M$12,CurrentMtgRatesDataTable8252[#All],MATCH($C32,CurrentMtgRatesDataTable8252[#Headers],0),FALSE)</f>
        <v>0</v>
      </c>
      <c r="N32" s="44">
        <f>VLOOKUP(N$12,CurrentMtgRatesDataTable8252[#All],MATCH($C32,CurrentMtgRatesDataTable8252[#Headers],0),FALSE)</f>
        <v>3.4065092690171002E-2</v>
      </c>
      <c r="O32" s="44">
        <f>VLOOKUP(O$12,CurrentMtgRatesDataTable8252[#All],MATCH($C32,CurrentMtgRatesDataTable8252[#Headers],0),FALSE)</f>
        <v>2.5552070254482074E-2</v>
      </c>
      <c r="P32" s="44">
        <f>VLOOKUP(P$12,CurrentMtgRatesDataTable8252[#All],MATCH($C32,CurrentMtgRatesDataTable8252[#Headers],0),FALSE)</f>
        <v>3.3287941096880269E-2</v>
      </c>
      <c r="Q32" s="44">
        <f>VLOOKUP(Q$12,CurrentMtgRatesDataTable8252[#All],MATCH($C32,CurrentMtgRatesDataTable8252[#Headers],0),FALSE)</f>
        <v>0</v>
      </c>
      <c r="R32" s="44">
        <f>VLOOKUP(R$12,CurrentMtgRatesDataTable8252[#All],MATCH($C32,CurrentMtgRatesDataTable8252[#Headers],0),FALSE)</f>
        <v>0</v>
      </c>
      <c r="S32"/>
      <c r="T32"/>
      <c r="U32"/>
      <c r="V32"/>
      <c r="W32"/>
      <c r="X32"/>
      <c r="Y32"/>
      <c r="Z32"/>
      <c r="AA32"/>
    </row>
    <row r="33" spans="1:27" s="9" customFormat="1" ht="16.5" customHeight="1">
      <c r="A33" s="26"/>
      <c r="C33" t="s">
        <v>48</v>
      </c>
      <c r="D33" s="33" t="s">
        <v>101</v>
      </c>
      <c r="E33" s="44">
        <f>VLOOKUP(E$12,CurrentMtgRatesDataTable8252[#All],MATCH($C33,CurrentMtgRatesDataTable8252[#Headers],0),FALSE)</f>
        <v>0.71663874667470306</v>
      </c>
      <c r="F33" s="44">
        <f>VLOOKUP(F$12,CurrentMtgRatesDataTable8252[#All],MATCH($C33,CurrentMtgRatesDataTable8252[#Headers],0),FALSE)</f>
        <v>0.67482816507003607</v>
      </c>
      <c r="G33" s="44">
        <f>VLOOKUP(G$12,CurrentMtgRatesDataTable8252[#All],MATCH($C33,CurrentMtgRatesDataTable8252[#Headers],0),FALSE)</f>
        <v>0.65849781608069535</v>
      </c>
      <c r="H33" s="44">
        <f>VLOOKUP(H$12,CurrentMtgRatesDataTable8252[#All],MATCH($C33,CurrentMtgRatesDataTable8252[#Headers],0),FALSE)</f>
        <v>0.63820609612491208</v>
      </c>
      <c r="I33" s="44">
        <f>VLOOKUP(I$12,CurrentMtgRatesDataTable8252[#All],MATCH($C33,CurrentMtgRatesDataTable8252[#Headers],0),FALSE)</f>
        <v>0.63250034995037785</v>
      </c>
      <c r="J33" s="44">
        <f>VLOOKUP(J$12,CurrentMtgRatesDataTable8252[#All],MATCH($C33,CurrentMtgRatesDataTable8252[#Headers],0),FALSE)</f>
        <v>0.63321811433357111</v>
      </c>
      <c r="K33" s="44">
        <f>VLOOKUP(K$12,CurrentMtgRatesDataTable8252[#All],MATCH($C33,CurrentMtgRatesDataTable8252[#Headers],0),FALSE)</f>
        <v>0.61021500203064183</v>
      </c>
      <c r="L33" s="44">
        <f>VLOOKUP(L$12,CurrentMtgRatesDataTable8252[#All],MATCH($C33,CurrentMtgRatesDataTable8252[#Headers],0),FALSE)</f>
        <v>0.62240976508026147</v>
      </c>
      <c r="M33" s="44">
        <f>VLOOKUP(M$12,CurrentMtgRatesDataTable8252[#All],MATCH($C33,CurrentMtgRatesDataTable8252[#Headers],0),FALSE)</f>
        <v>0.59835390255230203</v>
      </c>
      <c r="N33" s="44">
        <f>VLOOKUP(N$12,CurrentMtgRatesDataTable8252[#All],MATCH($C33,CurrentMtgRatesDataTable8252[#Headers],0),FALSE)</f>
        <v>0.61991055472747458</v>
      </c>
      <c r="O33" s="44">
        <f>VLOOKUP(O$12,CurrentMtgRatesDataTable8252[#All],MATCH($C33,CurrentMtgRatesDataTable8252[#Headers],0),FALSE)</f>
        <v>0.70279592754801146</v>
      </c>
      <c r="P33" s="44">
        <f>VLOOKUP(P$12,CurrentMtgRatesDataTable8252[#All],MATCH($C33,CurrentMtgRatesDataTable8252[#Headers],0),FALSE)</f>
        <v>0.62801813960684549</v>
      </c>
      <c r="Q33" s="44">
        <f>VLOOKUP(Q$12,CurrentMtgRatesDataTable8252[#All],MATCH($C33,CurrentMtgRatesDataTable8252[#Headers],0),FALSE)</f>
        <v>0.59823661243326032</v>
      </c>
      <c r="R33" s="44">
        <f>VLOOKUP(R$12,CurrentMtgRatesDataTable8252[#All],MATCH($C33,CurrentMtgRatesDataTable8252[#Headers],0),FALSE)</f>
        <v>0.62216109420536569</v>
      </c>
      <c r="S33"/>
      <c r="T33"/>
      <c r="U33"/>
      <c r="V33"/>
      <c r="W33"/>
      <c r="X33"/>
      <c r="Y33"/>
      <c r="Z33"/>
      <c r="AA33"/>
    </row>
    <row r="34" spans="1:27" s="9" customFormat="1" ht="16.5" customHeight="1">
      <c r="A34" s="26"/>
      <c r="C34" t="s">
        <v>49</v>
      </c>
      <c r="D34" s="33" t="s">
        <v>102</v>
      </c>
      <c r="E34" s="44">
        <f>VLOOKUP(E$12,CurrentMtgRatesDataTable8252[#All],MATCH($C34,CurrentMtgRatesDataTable8252[#Headers],0),FALSE)</f>
        <v>0.8942062906844066</v>
      </c>
      <c r="F34" s="44">
        <f>VLOOKUP(F$12,CurrentMtgRatesDataTable8252[#All],MATCH($C34,CurrentMtgRatesDataTable8252[#Headers],0),FALSE)</f>
        <v>0.88674857824633713</v>
      </c>
      <c r="G34" s="44">
        <f>VLOOKUP(G$12,CurrentMtgRatesDataTable8252[#All],MATCH($C34,CurrentMtgRatesDataTable8252[#Headers],0),FALSE)</f>
        <v>0.85779894141662416</v>
      </c>
      <c r="H34" s="44">
        <f>VLOOKUP(H$12,CurrentMtgRatesDataTable8252[#All],MATCH($C34,CurrentMtgRatesDataTable8252[#Headers],0),FALSE)</f>
        <v>0.87872426389262925</v>
      </c>
      <c r="I34" s="44">
        <f>VLOOKUP(I$12,CurrentMtgRatesDataTable8252[#All],MATCH($C34,CurrentMtgRatesDataTable8252[#Headers],0),FALSE)</f>
        <v>0.85359167045529605</v>
      </c>
      <c r="J34" s="44">
        <f>VLOOKUP(J$12,CurrentMtgRatesDataTable8252[#All],MATCH($C34,CurrentMtgRatesDataTable8252[#Headers],0),FALSE)</f>
        <v>0.84353232235522346</v>
      </c>
      <c r="K34" s="44">
        <f>VLOOKUP(K$12,CurrentMtgRatesDataTable8252[#All],MATCH($C34,CurrentMtgRatesDataTable8252[#Headers],0),FALSE)</f>
        <v>0.9955061392042307</v>
      </c>
      <c r="L34" s="44">
        <f>VLOOKUP(L$12,CurrentMtgRatesDataTable8252[#All],MATCH($C34,CurrentMtgRatesDataTable8252[#Headers],0),FALSE)</f>
        <v>0.9960358085531219</v>
      </c>
      <c r="M34" s="44">
        <f>VLOOKUP(M$12,CurrentMtgRatesDataTable8252[#All],MATCH($C34,CurrentMtgRatesDataTable8252[#Headers],0),FALSE)</f>
        <v>0.99498960881780996</v>
      </c>
      <c r="N34" s="44">
        <f>VLOOKUP(N$12,CurrentMtgRatesDataTable8252[#All],MATCH($C34,CurrentMtgRatesDataTable8252[#Headers],0),FALSE)</f>
        <v>0.84931939667917855</v>
      </c>
      <c r="O34" s="44">
        <f>VLOOKUP(O$12,CurrentMtgRatesDataTable8252[#All],MATCH($C34,CurrentMtgRatesDataTable8252[#Headers],0),FALSE)</f>
        <v>0.89232293790023187</v>
      </c>
      <c r="P34" s="44">
        <f>VLOOKUP(P$12,CurrentMtgRatesDataTable8252[#All],MATCH($C34,CurrentMtgRatesDataTable8252[#Headers],0),FALSE)</f>
        <v>0.85449477313852551</v>
      </c>
      <c r="Q34" s="44">
        <f>VLOOKUP(Q$12,CurrentMtgRatesDataTable8252[#All],MATCH($C34,CurrentMtgRatesDataTable8252[#Headers],0),FALSE)</f>
        <v>0.99490075494374319</v>
      </c>
      <c r="R34" s="44">
        <f>VLOOKUP(R$12,CurrentMtgRatesDataTable8252[#All],MATCH($C34,CurrentMtgRatesDataTable8252[#Headers],0),FALSE)</f>
        <v>0.99607476000276984</v>
      </c>
      <c r="S34"/>
      <c r="T34"/>
      <c r="U34"/>
      <c r="V34"/>
      <c r="W34"/>
      <c r="X34"/>
      <c r="Y34"/>
      <c r="Z34"/>
      <c r="AA34"/>
    </row>
    <row r="35" spans="1:27" s="9" customFormat="1" ht="16.5" customHeight="1">
      <c r="A35" s="26"/>
      <c r="C35" t="s">
        <v>50</v>
      </c>
      <c r="D35" s="33" t="s">
        <v>103</v>
      </c>
      <c r="E35" s="44">
        <f>VLOOKUP(E$12,CurrentMtgRatesDataTable8252[#All],MATCH($C35,CurrentMtgRatesDataTable8252[#Headers],0),FALSE)</f>
        <v>0.40107985751736325</v>
      </c>
      <c r="F35" s="44">
        <f>VLOOKUP(F$12,CurrentMtgRatesDataTable8252[#All],MATCH($C35,CurrentMtgRatesDataTable8252[#Headers],0),FALSE)</f>
        <v>0.26756965004465255</v>
      </c>
      <c r="G35" s="44">
        <f>VLOOKUP(G$12,CurrentMtgRatesDataTable8252[#All],MATCH($C35,CurrentMtgRatesDataTable8252[#Headers],0),FALSE)</f>
        <v>0.40779939936348109</v>
      </c>
      <c r="H35" s="44">
        <f>VLOOKUP(H$12,CurrentMtgRatesDataTable8252[#All],MATCH($C35,CurrentMtgRatesDataTable8252[#Headers],0),FALSE)</f>
        <v>0.52048336839003262</v>
      </c>
      <c r="I35" s="44">
        <f>VLOOKUP(I$12,CurrentMtgRatesDataTable8252[#All],MATCH($C35,CurrentMtgRatesDataTable8252[#Headers],0),FALSE)</f>
        <v>0.63734931167774089</v>
      </c>
      <c r="J35" s="44">
        <f>VLOOKUP(J$12,CurrentMtgRatesDataTable8252[#All],MATCH($C35,CurrentMtgRatesDataTable8252[#Headers],0),FALSE)</f>
        <v>0.61110253927785618</v>
      </c>
      <c r="K35" s="44">
        <f>VLOOKUP(K$12,CurrentMtgRatesDataTable8252[#All],MATCH($C35,CurrentMtgRatesDataTable8252[#Headers],0),FALSE)</f>
        <v>0.90675818504749162</v>
      </c>
      <c r="L35" s="44">
        <f>VLOOKUP(L$12,CurrentMtgRatesDataTable8252[#All],MATCH($C35,CurrentMtgRatesDataTable8252[#Headers],0),FALSE)</f>
        <v>0.71714993719097953</v>
      </c>
      <c r="M35" s="44">
        <f>VLOOKUP(M$12,CurrentMtgRatesDataTable8252[#All],MATCH($C35,CurrentMtgRatesDataTable8252[#Headers],0),FALSE)</f>
        <v>0.89971252276672631</v>
      </c>
      <c r="N35" s="44">
        <f>VLOOKUP(N$12,CurrentMtgRatesDataTable8252[#All],MATCH($C35,CurrentMtgRatesDataTable8252[#Headers],0),FALSE)</f>
        <v>0.67498847549926344</v>
      </c>
      <c r="O35" s="44">
        <f>VLOOKUP(O$12,CurrentMtgRatesDataTable8252[#All],MATCH($C35,CurrentMtgRatesDataTable8252[#Headers],0),FALSE)</f>
        <v>0.30733558139590827</v>
      </c>
      <c r="P35" s="44">
        <f>VLOOKUP(P$12,CurrentMtgRatesDataTable8252[#All],MATCH($C35,CurrentMtgRatesDataTable8252[#Headers],0),FALSE)</f>
        <v>0.62515111722821803</v>
      </c>
      <c r="Q35" s="44">
        <f>VLOOKUP(Q$12,CurrentMtgRatesDataTable8252[#All],MATCH($C35,CurrentMtgRatesDataTable8252[#Headers],0),FALSE)</f>
        <v>0.9260622498217298</v>
      </c>
      <c r="R35" s="44">
        <f>VLOOKUP(R$12,CurrentMtgRatesDataTable8252[#All],MATCH($C35,CurrentMtgRatesDataTable8252[#Headers],0),FALSE)</f>
        <v>0.71687164917617641</v>
      </c>
      <c r="S35"/>
      <c r="T35"/>
      <c r="U35"/>
      <c r="V35"/>
      <c r="W35"/>
      <c r="X35"/>
      <c r="Y35"/>
      <c r="Z35"/>
      <c r="AA35"/>
    </row>
    <row r="36" spans="1:27" s="9" customFormat="1" ht="16.5" customHeight="1">
      <c r="A36" s="26"/>
      <c r="C36" t="s">
        <v>51</v>
      </c>
      <c r="D36" s="88" t="s">
        <v>104</v>
      </c>
      <c r="E36" s="87">
        <f>VLOOKUP(E$12,CurrentMtgRatesDataTable8252[#All],MATCH($C36,CurrentMtgRatesDataTable8252[#Headers],0),FALSE)</f>
        <v>0.14142088520874901</v>
      </c>
      <c r="F36" s="87">
        <f>VLOOKUP(F$12,CurrentMtgRatesDataTable8252[#All],MATCH($C36,CurrentMtgRatesDataTable8252[#Headers],0),FALSE)</f>
        <v>0.12261876268798018</v>
      </c>
      <c r="G36" s="87">
        <f>VLOOKUP(G$12,CurrentMtgRatesDataTable8252[#All],MATCH($C36,CurrentMtgRatesDataTable8252[#Headers],0),FALSE)</f>
        <v>0.12296581016410775</v>
      </c>
      <c r="H36" s="87">
        <f>VLOOKUP(H$12,CurrentMtgRatesDataTable8252[#All],MATCH($C36,CurrentMtgRatesDataTable8252[#Headers],0),FALSE)</f>
        <v>9.8773680282878029E-2</v>
      </c>
      <c r="I36" s="87">
        <f>VLOOKUP(I$12,CurrentMtgRatesDataTable8252[#All],MATCH($C36,CurrentMtgRatesDataTable8252[#Headers],0),FALSE)</f>
        <v>0.12324427472488091</v>
      </c>
      <c r="J36" s="87">
        <f>VLOOKUP(J$12,CurrentMtgRatesDataTable8252[#All],MATCH($C36,CurrentMtgRatesDataTable8252[#Headers],0),FALSE)</f>
        <v>0.11628928296976207</v>
      </c>
      <c r="K36" s="87">
        <f>VLOOKUP(K$12,CurrentMtgRatesDataTable8252[#All],MATCH($C36,CurrentMtgRatesDataTable8252[#Headers],0),FALSE)</f>
        <v>7.8313825282056965E-2</v>
      </c>
      <c r="L36" s="87">
        <f>VLOOKUP(L$12,CurrentMtgRatesDataTable8252[#All],MATCH($C36,CurrentMtgRatesDataTable8252[#Headers],0),FALSE)</f>
        <v>7.6660078936593407E-2</v>
      </c>
      <c r="M36" s="87">
        <f>VLOOKUP(M$12,CurrentMtgRatesDataTable8252[#All],MATCH($C36,CurrentMtgRatesDataTable8252[#Headers],0),FALSE)</f>
        <v>8.7626857543963613E-2</v>
      </c>
      <c r="N36" s="87">
        <f>VLOOKUP(N$12,CurrentMtgRatesDataTable8252[#All],MATCH($C36,CurrentMtgRatesDataTable8252[#Headers],0),FALSE)</f>
        <v>0.12939700401562429</v>
      </c>
      <c r="O36" s="87">
        <f>VLOOKUP(O$12,CurrentMtgRatesDataTable8252[#All],MATCH($C36,CurrentMtgRatesDataTable8252[#Headers],0),FALSE)</f>
        <v>0.12605026578558248</v>
      </c>
      <c r="P36" s="87">
        <f>VLOOKUP(P$12,CurrentMtgRatesDataTable8252[#All],MATCH($C36,CurrentMtgRatesDataTable8252[#Headers],0),FALSE)</f>
        <v>0.11928600958866778</v>
      </c>
      <c r="Q36" s="87">
        <f>VLOOKUP(Q$12,CurrentMtgRatesDataTable8252[#All],MATCH($C36,CurrentMtgRatesDataTable8252[#Headers],0),FALSE)</f>
        <v>0.10164496559467279</v>
      </c>
      <c r="R36" s="87">
        <f>VLOOKUP(R$12,CurrentMtgRatesDataTable8252[#All],MATCH($C36,CurrentMtgRatesDataTable8252[#Headers],0),FALSE)</f>
        <v>7.6409788042861457E-2</v>
      </c>
      <c r="S36"/>
      <c r="T36"/>
      <c r="U36"/>
      <c r="V36"/>
      <c r="W36"/>
      <c r="X36"/>
      <c r="Y36"/>
      <c r="Z36"/>
      <c r="AA36"/>
    </row>
    <row r="37" spans="1:27" s="9" customFormat="1" ht="16.5" customHeight="1">
      <c r="A37" s="26"/>
      <c r="D37" s="90" t="s">
        <v>119</v>
      </c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/>
      <c r="T37"/>
      <c r="U37"/>
      <c r="V37"/>
      <c r="W37"/>
      <c r="X37"/>
      <c r="Y37"/>
      <c r="Z37"/>
      <c r="AA37"/>
    </row>
    <row r="38" spans="1:27" s="9" customFormat="1" ht="16.5" customHeight="1">
      <c r="A38" s="26"/>
      <c r="C38" t="s">
        <v>52</v>
      </c>
      <c r="D38" s="33" t="s">
        <v>105</v>
      </c>
      <c r="E38" s="38">
        <f>VLOOKUP(E$12,CurrentMtgRatesDataTable8252[#All],MATCH($C38,CurrentMtgRatesDataTable8252[#Headers],0),FALSE)</f>
        <v>0.9973851212777658</v>
      </c>
      <c r="F38" s="38">
        <f>VLOOKUP(F$12,CurrentMtgRatesDataTable8252[#All],MATCH($C38,CurrentMtgRatesDataTable8252[#Headers],0),FALSE)</f>
        <v>0.99732456645424705</v>
      </c>
      <c r="G38" s="38">
        <f>VLOOKUP(G$12,CurrentMtgRatesDataTable8252[#All],MATCH($C38,CurrentMtgRatesDataTable8252[#Headers],0),FALSE)</f>
        <v>0.99664610215901051</v>
      </c>
      <c r="H38" s="38">
        <f>VLOOKUP(H$12,CurrentMtgRatesDataTable8252[#All],MATCH($C38,CurrentMtgRatesDataTable8252[#Headers],0),FALSE)</f>
        <v>0.99684302174081729</v>
      </c>
      <c r="I38" s="38">
        <f>VLOOKUP(I$12,CurrentMtgRatesDataTable8252[#All],MATCH($C38,CurrentMtgRatesDataTable8252[#Headers],0),FALSE)</f>
        <v>0.99435531180807668</v>
      </c>
      <c r="J38" s="38">
        <f>VLOOKUP(J$12,CurrentMtgRatesDataTable8252[#All],MATCH($C38,CurrentMtgRatesDataTable8252[#Headers],0),FALSE)</f>
        <v>0.99508948207321657</v>
      </c>
      <c r="K38" s="38">
        <f>VLOOKUP(K$12,CurrentMtgRatesDataTable8252[#All],MATCH($C38,CurrentMtgRatesDataTable8252[#Headers],0),FALSE)</f>
        <v>0.9938986043132505</v>
      </c>
      <c r="L38" s="38">
        <f>VLOOKUP(L$12,CurrentMtgRatesDataTable8252[#All],MATCH($C38,CurrentMtgRatesDataTable8252[#Headers],0),FALSE)</f>
        <v>0.99581080806076094</v>
      </c>
      <c r="M38" s="38">
        <f>VLOOKUP(M$12,CurrentMtgRatesDataTable8252[#All],MATCH($C38,CurrentMtgRatesDataTable8252[#Headers],0),FALSE)</f>
        <v>0.99317661546434421</v>
      </c>
      <c r="N38" s="38">
        <f>VLOOKUP(N$12,CurrentMtgRatesDataTable8252[#All],MATCH($C38,CurrentMtgRatesDataTable8252[#Headers],0),FALSE)</f>
        <v>0.99597036497248148</v>
      </c>
      <c r="O38" s="38">
        <f>VLOOKUP(O$12,CurrentMtgRatesDataTable8252[#All],MATCH($C38,CurrentMtgRatesDataTable8252[#Headers],0),FALSE)</f>
        <v>0.99867623592168464</v>
      </c>
      <c r="P38" s="38">
        <f>VLOOKUP(P$12,CurrentMtgRatesDataTable8252[#All],MATCH($C38,CurrentMtgRatesDataTable8252[#Headers],0),FALSE)</f>
        <v>0.99719172786401622</v>
      </c>
      <c r="Q38" s="38">
        <f>VLOOKUP(Q$12,CurrentMtgRatesDataTable8252[#All],MATCH($C38,CurrentMtgRatesDataTable8252[#Headers],0),FALSE)</f>
        <v>0.99544182017999916</v>
      </c>
      <c r="R38" s="38">
        <f>VLOOKUP(R$12,CurrentMtgRatesDataTable8252[#All],MATCH($C38,CurrentMtgRatesDataTable8252[#Headers],0),FALSE)</f>
        <v>0.99754520272019298</v>
      </c>
      <c r="S38"/>
      <c r="T38"/>
      <c r="U38"/>
      <c r="V38"/>
      <c r="W38"/>
      <c r="X38"/>
      <c r="Y38"/>
      <c r="Z38"/>
      <c r="AA38"/>
    </row>
    <row r="39" spans="1:27" s="9" customFormat="1" ht="16.5" customHeight="1">
      <c r="A39" s="26"/>
      <c r="C39" t="s">
        <v>53</v>
      </c>
      <c r="D39" s="33" t="s">
        <v>106</v>
      </c>
      <c r="E39" s="38">
        <f>VLOOKUP(E$12,CurrentMtgRatesDataTable8252[#All],MATCH($C39,CurrentMtgRatesDataTable8252[#Headers],0),FALSE)</f>
        <v>2.6148787222341815E-3</v>
      </c>
      <c r="F39" s="38">
        <f>VLOOKUP(F$12,CurrentMtgRatesDataTable8252[#All],MATCH($C39,CurrentMtgRatesDataTable8252[#Headers],0),FALSE)</f>
        <v>2.6754335457529663E-3</v>
      </c>
      <c r="G39" s="38">
        <f>VLOOKUP(G$12,CurrentMtgRatesDataTable8252[#All],MATCH($C39,CurrentMtgRatesDataTable8252[#Headers],0),FALSE)</f>
        <v>3.3538978409894797E-3</v>
      </c>
      <c r="H39" s="38">
        <f>VLOOKUP(H$12,CurrentMtgRatesDataTable8252[#All],MATCH($C39,CurrentMtgRatesDataTable8252[#Headers],0),FALSE)</f>
        <v>3.1569782591827225E-3</v>
      </c>
      <c r="I39" s="38">
        <f>VLOOKUP(I$12,CurrentMtgRatesDataTable8252[#All],MATCH($C39,CurrentMtgRatesDataTable8252[#Headers],0),FALSE)</f>
        <v>5.6446881919233654E-3</v>
      </c>
      <c r="J39" s="38">
        <f>VLOOKUP(J$12,CurrentMtgRatesDataTable8252[#All],MATCH($C39,CurrentMtgRatesDataTable8252[#Headers],0),FALSE)</f>
        <v>4.9105179267833988E-3</v>
      </c>
      <c r="K39" s="38">
        <f>VLOOKUP(K$12,CurrentMtgRatesDataTable8252[#All],MATCH($C39,CurrentMtgRatesDataTable8252[#Headers],0),FALSE)</f>
        <v>6.1013956867494671E-3</v>
      </c>
      <c r="L39" s="38">
        <f>VLOOKUP(L$12,CurrentMtgRatesDataTable8252[#All],MATCH($C39,CurrentMtgRatesDataTable8252[#Headers],0),FALSE)</f>
        <v>4.1891919392390443E-3</v>
      </c>
      <c r="M39" s="38">
        <f>VLOOKUP(M$12,CurrentMtgRatesDataTable8252[#All],MATCH($C39,CurrentMtgRatesDataTable8252[#Headers],0),FALSE)</f>
        <v>6.8233845356558062E-3</v>
      </c>
      <c r="N39" s="38">
        <f>VLOOKUP(N$12,CurrentMtgRatesDataTable8252[#All],MATCH($C39,CurrentMtgRatesDataTable8252[#Headers],0),FALSE)</f>
        <v>4.0296350275184894E-3</v>
      </c>
      <c r="O39" s="38">
        <f>VLOOKUP(O$12,CurrentMtgRatesDataTable8252[#All],MATCH($C39,CurrentMtgRatesDataTable8252[#Headers],0),FALSE)</f>
        <v>1.3237640783153436E-3</v>
      </c>
      <c r="P39" s="38">
        <f>VLOOKUP(P$12,CurrentMtgRatesDataTable8252[#All],MATCH($C39,CurrentMtgRatesDataTable8252[#Headers],0),FALSE)</f>
        <v>2.8082721359837743E-3</v>
      </c>
      <c r="Q39" s="38">
        <f>VLOOKUP(Q$12,CurrentMtgRatesDataTable8252[#All],MATCH($C39,CurrentMtgRatesDataTable8252[#Headers],0),FALSE)</f>
        <v>4.5581798200008206E-3</v>
      </c>
      <c r="R39" s="38">
        <f>VLOOKUP(R$12,CurrentMtgRatesDataTable8252[#All],MATCH($C39,CurrentMtgRatesDataTable8252[#Headers],0),FALSE)</f>
        <v>2.4547972798070689E-3</v>
      </c>
      <c r="S39"/>
      <c r="T39"/>
      <c r="U39"/>
      <c r="V39"/>
      <c r="W39"/>
      <c r="X39"/>
      <c r="Y39"/>
      <c r="Z39"/>
      <c r="AA39"/>
    </row>
    <row r="40" spans="1:27" s="9" customFormat="1" ht="16.5" customHeight="1">
      <c r="A40" s="26"/>
      <c r="C40" t="s">
        <v>54</v>
      </c>
      <c r="D40" s="33" t="s">
        <v>128</v>
      </c>
      <c r="E40" s="38">
        <f>VLOOKUP(E$12,CurrentMtgRatesDataTable8252[#All],MATCH($C40,CurrentMtgRatesDataTable8252[#Headers],0),FALSE)</f>
        <v>0.97544472001042526</v>
      </c>
      <c r="F40" s="38">
        <f>VLOOKUP(F$12,CurrentMtgRatesDataTable8252[#All],MATCH($C40,CurrentMtgRatesDataTable8252[#Headers],0),FALSE)</f>
        <v>0.97731979416374837</v>
      </c>
      <c r="G40" s="38">
        <f>VLOOKUP(G$12,CurrentMtgRatesDataTable8252[#All],MATCH($C40,CurrentMtgRatesDataTable8252[#Headers],0),FALSE)</f>
        <v>0.97769488890842093</v>
      </c>
      <c r="H40" s="38">
        <f>VLOOKUP(H$12,CurrentMtgRatesDataTable8252[#All],MATCH($C40,CurrentMtgRatesDataTable8252[#Headers],0),FALSE)</f>
        <v>0.97814302362030414</v>
      </c>
      <c r="I40" s="38">
        <f>VLOOKUP(I$12,CurrentMtgRatesDataTable8252[#All],MATCH($C40,CurrentMtgRatesDataTable8252[#Headers],0),FALSE)</f>
        <v>0.97430952315109065</v>
      </c>
      <c r="J40" s="38">
        <f>VLOOKUP(J$12,CurrentMtgRatesDataTable8252[#All],MATCH($C40,CurrentMtgRatesDataTable8252[#Headers],0),FALSE)</f>
        <v>0.97672160954154841</v>
      </c>
      <c r="K40" s="38">
        <f>VLOOKUP(K$12,CurrentMtgRatesDataTable8252[#All],MATCH($C40,CurrentMtgRatesDataTable8252[#Headers],0),FALSE)</f>
        <v>0.97457851233120218</v>
      </c>
      <c r="L40" s="38">
        <f>VLOOKUP(L$12,CurrentMtgRatesDataTable8252[#All],MATCH($C40,CurrentMtgRatesDataTable8252[#Headers],0),FALSE)</f>
        <v>0.98316195844957521</v>
      </c>
      <c r="M40" s="38">
        <f>VLOOKUP(M$12,CurrentMtgRatesDataTable8252[#All],MATCH($C40,CurrentMtgRatesDataTable8252[#Headers],0),FALSE)</f>
        <v>0.97794410188674386</v>
      </c>
      <c r="N40" s="38">
        <f>VLOOKUP(N$12,CurrentMtgRatesDataTable8252[#All],MATCH($C40,CurrentMtgRatesDataTable8252[#Headers],0),FALSE)</f>
        <v>0.9838764836844438</v>
      </c>
      <c r="O40" s="38">
        <f>VLOOKUP(O$12,CurrentMtgRatesDataTable8252[#All],MATCH($C40,CurrentMtgRatesDataTable8252[#Headers],0),FALSE)</f>
        <v>0.99539346044962351</v>
      </c>
      <c r="P40" s="38">
        <f>VLOOKUP(P$12,CurrentMtgRatesDataTable8252[#All],MATCH($C40,CurrentMtgRatesDataTable8252[#Headers],0),FALSE)</f>
        <v>0.9931638770872232</v>
      </c>
      <c r="Q40" s="38">
        <f>VLOOKUP(Q$12,CurrentMtgRatesDataTable8252[#All],MATCH($C40,CurrentMtgRatesDataTable8252[#Headers],0),FALSE)</f>
        <v>0.98775594584296222</v>
      </c>
      <c r="R40" s="38">
        <f>VLOOKUP(R$12,CurrentMtgRatesDataTable8252[#All],MATCH($C40,CurrentMtgRatesDataTable8252[#Headers],0),FALSE)</f>
        <v>0.993711090853169</v>
      </c>
      <c r="S40"/>
      <c r="T40"/>
      <c r="U40"/>
      <c r="V40"/>
      <c r="W40"/>
      <c r="X40"/>
      <c r="Y40"/>
      <c r="Z40"/>
      <c r="AA40"/>
    </row>
    <row r="41" spans="1:27" s="9" customFormat="1" ht="16.5" customHeight="1">
      <c r="A41" s="26"/>
      <c r="C41" t="s">
        <v>55</v>
      </c>
      <c r="D41" s="33" t="s">
        <v>121</v>
      </c>
      <c r="E41" s="38">
        <f>VLOOKUP(E$12,CurrentMtgRatesDataTable8252[#All],MATCH($C41,CurrentMtgRatesDataTable8252[#Headers],0),FALSE)</f>
        <v>2.1940401267340526E-2</v>
      </c>
      <c r="F41" s="38">
        <f>VLOOKUP(F$12,CurrentMtgRatesDataTable8252[#All],MATCH($C41,CurrentMtgRatesDataTable8252[#Headers],0),FALSE)</f>
        <v>2.0004772290498657E-2</v>
      </c>
      <c r="G41" s="38">
        <f>VLOOKUP(G$12,CurrentMtgRatesDataTable8252[#All],MATCH($C41,CurrentMtgRatesDataTable8252[#Headers],0),FALSE)</f>
        <v>1.8951213250589578E-2</v>
      </c>
      <c r="H41" s="38">
        <f>VLOOKUP(H$12,CurrentMtgRatesDataTable8252[#All],MATCH($C41,CurrentMtgRatesDataTable8252[#Headers],0),FALSE)</f>
        <v>1.8699998120513119E-2</v>
      </c>
      <c r="I41" s="38">
        <f>VLOOKUP(I$12,CurrentMtgRatesDataTable8252[#All],MATCH($C41,CurrentMtgRatesDataTable8252[#Headers],0),FALSE)</f>
        <v>2.0045788656986009E-2</v>
      </c>
      <c r="J41" s="38">
        <f>VLOOKUP(J$12,CurrentMtgRatesDataTable8252[#All],MATCH($C41,CurrentMtgRatesDataTable8252[#Headers],0),FALSE)</f>
        <v>1.8367872531668213E-2</v>
      </c>
      <c r="K41" s="38">
        <f>VLOOKUP(K$12,CurrentMtgRatesDataTable8252[#All],MATCH($C41,CurrentMtgRatesDataTable8252[#Headers],0),FALSE)</f>
        <v>1.9320091982048346E-2</v>
      </c>
      <c r="L41" s="38">
        <f>VLOOKUP(L$12,CurrentMtgRatesDataTable8252[#All],MATCH($C41,CurrentMtgRatesDataTable8252[#Headers],0),FALSE)</f>
        <v>1.2648849611185739E-2</v>
      </c>
      <c r="M41" s="38">
        <f>VLOOKUP(M$12,CurrentMtgRatesDataTable8252[#All],MATCH($C41,CurrentMtgRatesDataTable8252[#Headers],0),FALSE)</f>
        <v>1.5232513577600358E-2</v>
      </c>
      <c r="N41" s="38">
        <f>VLOOKUP(N$12,CurrentMtgRatesDataTable8252[#All],MATCH($C41,CurrentMtgRatesDataTable8252[#Headers],0),FALSE)</f>
        <v>1.2093881288037655E-2</v>
      </c>
      <c r="O41" s="38">
        <f>VLOOKUP(O$12,CurrentMtgRatesDataTable8252[#All],MATCH($C41,CurrentMtgRatesDataTable8252[#Headers],0),FALSE)</f>
        <v>3.2827754720611288E-3</v>
      </c>
      <c r="P41" s="38">
        <f>VLOOKUP(P$12,CurrentMtgRatesDataTable8252[#All],MATCH($C41,CurrentMtgRatesDataTable8252[#Headers],0),FALSE)</f>
        <v>4.0278507767929714E-3</v>
      </c>
      <c r="Q41" s="38">
        <f>VLOOKUP(Q$12,CurrentMtgRatesDataTable8252[#All],MATCH($C41,CurrentMtgRatesDataTable8252[#Headers],0),FALSE)</f>
        <v>7.6858743370369987E-3</v>
      </c>
      <c r="R41" s="38">
        <f>VLOOKUP(R$12,CurrentMtgRatesDataTable8252[#All],MATCH($C41,CurrentMtgRatesDataTable8252[#Headers],0),FALSE)</f>
        <v>3.8341118670239208E-3</v>
      </c>
      <c r="S41"/>
      <c r="T41"/>
      <c r="U41"/>
      <c r="V41"/>
      <c r="W41"/>
      <c r="X41"/>
      <c r="Y41"/>
      <c r="Z41"/>
      <c r="AA41"/>
    </row>
    <row r="42" spans="1:27" s="9" customFormat="1" ht="16.5" customHeight="1">
      <c r="A42" s="26"/>
      <c r="C42" t="s">
        <v>56</v>
      </c>
      <c r="D42" s="33" t="s">
        <v>122</v>
      </c>
      <c r="E42" s="38">
        <f>VLOOKUP(E$12,CurrentMtgRatesDataTable8252[#All],MATCH($C42,CurrentMtgRatesDataTable8252[#Headers],0),FALSE)</f>
        <v>2.3669458595268014E-3</v>
      </c>
      <c r="F42" s="38">
        <f>VLOOKUP(F$12,CurrentMtgRatesDataTable8252[#All],MATCH($C42,CurrentMtgRatesDataTable8252[#Headers],0),FALSE)</f>
        <v>2.3962329817127483E-3</v>
      </c>
      <c r="G42" s="38">
        <f>VLOOKUP(G$12,CurrentMtgRatesDataTable8252[#All],MATCH($C42,CurrentMtgRatesDataTable8252[#Headers],0),FALSE)</f>
        <v>3.0152225825672077E-3</v>
      </c>
      <c r="H42" s="38">
        <f>VLOOKUP(H$12,CurrentMtgRatesDataTable8252[#All],MATCH($C42,CurrentMtgRatesDataTable8252[#Headers],0),FALSE)</f>
        <v>2.9515128811344543E-3</v>
      </c>
      <c r="I42" s="38">
        <f>VLOOKUP(I$12,CurrentMtgRatesDataTable8252[#All],MATCH($C42,CurrentMtgRatesDataTable8252[#Headers],0),FALSE)</f>
        <v>4.9888904456811874E-3</v>
      </c>
      <c r="J42" s="38">
        <f>VLOOKUP(J$12,CurrentMtgRatesDataTable8252[#All],MATCH($C42,CurrentMtgRatesDataTable8252[#Headers],0),FALSE)</f>
        <v>4.2924580923865609E-3</v>
      </c>
      <c r="K42" s="38">
        <f>VLOOKUP(K$12,CurrentMtgRatesDataTable8252[#All],MATCH($C42,CurrentMtgRatesDataTable8252[#Headers],0),FALSE)</f>
        <v>5.2588256134246591E-3</v>
      </c>
      <c r="L42" s="38">
        <f>VLOOKUP(L$12,CurrentMtgRatesDataTable8252[#All],MATCH($C42,CurrentMtgRatesDataTable8252[#Headers],0),FALSE)</f>
        <v>3.6933459443007173E-3</v>
      </c>
      <c r="M42" s="38">
        <f>VLOOKUP(M$12,CurrentMtgRatesDataTable8252[#All],MATCH($C42,CurrentMtgRatesDataTable8252[#Headers],0),FALSE)</f>
        <v>6.1940028044115717E-3</v>
      </c>
      <c r="N42" s="38">
        <f>VLOOKUP(N$12,CurrentMtgRatesDataTable8252[#All],MATCH($C42,CurrentMtgRatesDataTable8252[#Headers],0),FALSE)</f>
        <v>3.7404863650724674E-3</v>
      </c>
      <c r="O42" s="38">
        <f>VLOOKUP(O$12,CurrentMtgRatesDataTable8252[#All],MATCH($C42,CurrentMtgRatesDataTable8252[#Headers],0),FALSE)</f>
        <v>1.264370912514855E-3</v>
      </c>
      <c r="P42" s="38">
        <f>VLOOKUP(P$12,CurrentMtgRatesDataTable8252[#All],MATCH($C42,CurrentMtgRatesDataTable8252[#Headers],0),FALSE)</f>
        <v>2.7426988336789063E-3</v>
      </c>
      <c r="Q42" s="38">
        <f>VLOOKUP(Q$12,CurrentMtgRatesDataTable8252[#All],MATCH($C42,CurrentMtgRatesDataTable8252[#Headers],0),FALSE)</f>
        <v>4.0493306244233467E-3</v>
      </c>
      <c r="R42" s="38">
        <f>VLOOKUP(R$12,CurrentMtgRatesDataTable8252[#All],MATCH($C42,CurrentMtgRatesDataTable8252[#Headers],0),FALSE)</f>
        <v>2.2467093038704244E-3</v>
      </c>
      <c r="S42"/>
      <c r="T42"/>
      <c r="U42"/>
      <c r="V42"/>
      <c r="W42"/>
      <c r="X42"/>
      <c r="Y42"/>
      <c r="Z42"/>
      <c r="AA42"/>
    </row>
    <row r="43" spans="1:27" ht="17.25" hidden="1" customHeight="1">
      <c r="A43" s="27"/>
      <c r="C43" t="s">
        <v>57</v>
      </c>
      <c r="D43" s="33" t="s">
        <v>30</v>
      </c>
      <c r="E43" s="38">
        <f>VLOOKUP(E$12,'Colleteral Data'!$B:$AE,25,0)</f>
        <v>2.6148787222341815E-3</v>
      </c>
      <c r="F43" s="38">
        <v>2.3376657585846399E-4</v>
      </c>
      <c r="G43" s="38">
        <v>1.7949095982798801E-4</v>
      </c>
      <c r="H43" s="38">
        <v>3.0297486310089101E-4</v>
      </c>
      <c r="I43" s="38">
        <v>5.2744818488495004E-4</v>
      </c>
      <c r="J43" s="38">
        <v>4.1838795278117502E-4</v>
      </c>
      <c r="K43" s="38">
        <v>7.0756564162437999E-4</v>
      </c>
      <c r="L43" s="38">
        <v>5.06785179303878E-4</v>
      </c>
      <c r="M43" s="38">
        <v>8.2037433882238401E-4</v>
      </c>
      <c r="N43" s="38">
        <v>1.20989493466391E-4</v>
      </c>
      <c r="O43" s="38">
        <v>5.4205781812194099E-5</v>
      </c>
      <c r="P43" s="38">
        <v>0</v>
      </c>
      <c r="Q43" s="38">
        <v>1.09827689351133E-4</v>
      </c>
      <c r="R43" s="38">
        <v>0</v>
      </c>
    </row>
    <row r="44" spans="1:27" ht="17.25" customHeight="1">
      <c r="A44" s="27"/>
      <c r="D44" s="33" t="s">
        <v>123</v>
      </c>
      <c r="E44" s="38">
        <f>'Performance Report'!D40/100</f>
        <v>9.6443999999999988E-2</v>
      </c>
      <c r="F44" s="38">
        <f>'Performance Report'!E40/100</f>
        <v>7.5292999999999999E-2</v>
      </c>
      <c r="G44" s="38">
        <f>'Performance Report'!F40/100</f>
        <v>8.2645999999999997E-2</v>
      </c>
      <c r="H44" s="38">
        <f>'Performance Report'!G40/100</f>
        <v>0.104952</v>
      </c>
      <c r="I44" s="38">
        <f>'Performance Report'!H40/100</f>
        <v>0.15405199999999999</v>
      </c>
      <c r="J44" s="38">
        <f>'Performance Report'!I40/100</f>
        <v>0.15610599999999999</v>
      </c>
      <c r="K44" s="38">
        <f>'Performance Report'!J40/100</f>
        <v>0.15909200000000001</v>
      </c>
      <c r="L44" s="38">
        <f>'Performance Report'!K40/100</f>
        <v>0.10833</v>
      </c>
      <c r="M44" s="38">
        <f>'Performance Report'!L40/100</f>
        <v>0.16451499999999999</v>
      </c>
      <c r="N44" s="38">
        <f>'Performance Report'!M40/100</f>
        <v>0.141682</v>
      </c>
      <c r="O44" s="38">
        <f>'Performance Report'!N40/100</f>
        <v>8.3157999999999996E-2</v>
      </c>
      <c r="P44" s="38">
        <v>0</v>
      </c>
      <c r="Q44" s="38">
        <f>'Performance Report'!O40/100</f>
        <v>0.11422300000000001</v>
      </c>
      <c r="R44" s="38">
        <f>'Performance Report'!P40/100</f>
        <v>0.14135799999999998</v>
      </c>
    </row>
    <row r="45" spans="1:27" ht="17.25" customHeight="1">
      <c r="A45" s="27"/>
      <c r="D45" s="33" t="s">
        <v>124</v>
      </c>
      <c r="E45" s="38">
        <f>'Performance Report'!U40/100</f>
        <v>8.160000000000001E-4</v>
      </c>
      <c r="F45" s="38">
        <f>'Performance Report'!V40/100</f>
        <v>4.4299999999999998E-4</v>
      </c>
      <c r="G45" s="38">
        <f>'Performance Report'!W40/100</f>
        <v>2.2700000000000002E-4</v>
      </c>
      <c r="H45" s="38">
        <f>'Performance Report'!X40/100</f>
        <v>8.2600000000000002E-4</v>
      </c>
      <c r="I45" s="38">
        <f>'Performance Report'!Y40/100</f>
        <v>4.3999999999999996E-4</v>
      </c>
      <c r="J45" s="38">
        <f>'Performance Report'!Z40/100</f>
        <v>7.000000000000001E-4</v>
      </c>
      <c r="K45" s="38">
        <f>'Performance Report'!AA40/100</f>
        <v>3.6700000000000003E-4</v>
      </c>
      <c r="L45" s="38">
        <f>'Performance Report'!AB40/100</f>
        <v>1.3370000000000001E-3</v>
      </c>
      <c r="M45" s="38">
        <f>'Performance Report'!AC40/100</f>
        <v>1.2600000000000001E-3</v>
      </c>
      <c r="N45" s="38">
        <f>'Performance Report'!AD40/100</f>
        <v>2.9300000000000002E-4</v>
      </c>
      <c r="O45" s="38">
        <f>'Performance Report'!AE40/100</f>
        <v>4.8099999999999998E-4</v>
      </c>
      <c r="P45" s="38">
        <v>0</v>
      </c>
      <c r="Q45" s="38">
        <f>'Performance Report'!AF40/100</f>
        <v>0</v>
      </c>
      <c r="R45" s="38">
        <f>'Performance Report'!AG40/100</f>
        <v>6.5899999999999997E-4</v>
      </c>
    </row>
    <row r="46" spans="1:27" ht="17.25" customHeight="1">
      <c r="A46" s="27"/>
      <c r="D46" s="88" t="s">
        <v>112</v>
      </c>
      <c r="E46" s="39">
        <f>'Performance Report'!D70/100</f>
        <v>8.9999999999999998E-4</v>
      </c>
      <c r="F46" s="39">
        <f>'Performance Report'!E70/100</f>
        <v>5.9999999999999995E-4</v>
      </c>
      <c r="G46" s="39">
        <f>'Performance Report'!F70/100</f>
        <v>4.0000000000000002E-4</v>
      </c>
      <c r="H46" s="39">
        <f>'Performance Report'!G70/100</f>
        <v>5.0000000000000001E-4</v>
      </c>
      <c r="I46" s="39">
        <f>'Performance Report'!H70/100</f>
        <v>5.9999999999999995E-4</v>
      </c>
      <c r="J46" s="39">
        <f>'Performance Report'!I70/100</f>
        <v>2.9999999999999997E-4</v>
      </c>
      <c r="K46" s="39">
        <f>'Performance Report'!J70/100</f>
        <v>8.9999999999999998E-4</v>
      </c>
      <c r="L46" s="39">
        <f>'Performance Report'!K70/100</f>
        <v>5.0000000000000001E-4</v>
      </c>
      <c r="M46" s="39">
        <f>'Performance Report'!L70/100</f>
        <v>8.9999999999999998E-4</v>
      </c>
      <c r="N46" s="39">
        <f>'Performance Report'!M70/100</f>
        <v>0</v>
      </c>
      <c r="O46" s="39">
        <f>'Performance Report'!N70/100</f>
        <v>0</v>
      </c>
      <c r="P46" s="39">
        <f>'Performance Report'!O70/100</f>
        <v>0</v>
      </c>
      <c r="Q46" s="39">
        <f>'Performance Report'!O70/100</f>
        <v>0</v>
      </c>
      <c r="R46" s="39">
        <f>'Performance Report'!P70/100</f>
        <v>0</v>
      </c>
    </row>
    <row r="47" spans="1:27" ht="17.25" customHeight="1">
      <c r="A47" s="27"/>
      <c r="D47" s="91" t="s">
        <v>125</v>
      </c>
    </row>
    <row r="48" spans="1:27" ht="17.25" customHeight="1">
      <c r="A48" s="27"/>
      <c r="D48" s="91" t="s">
        <v>126</v>
      </c>
    </row>
    <row r="49" spans="1:27" ht="17.25" customHeight="1">
      <c r="A49" s="27"/>
      <c r="D49" s="91" t="s">
        <v>127</v>
      </c>
    </row>
    <row r="50" spans="1:27" ht="17.25" hidden="1" customHeight="1">
      <c r="A50" s="27"/>
    </row>
    <row r="51" spans="1:27" s="3" customFormat="1" ht="16.5" customHeight="1">
      <c r="A51" s="28"/>
      <c r="D51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/>
      <c r="T51"/>
      <c r="U51"/>
      <c r="V51"/>
      <c r="W51"/>
      <c r="X51"/>
      <c r="Y51"/>
      <c r="Z51"/>
      <c r="AA51"/>
    </row>
    <row r="52" spans="1:27" s="9" customFormat="1" ht="16.5" customHeight="1">
      <c r="A52" s="26"/>
      <c r="D52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/>
      <c r="T52"/>
      <c r="U52"/>
      <c r="V52"/>
      <c r="W52"/>
      <c r="X52"/>
      <c r="Y52"/>
      <c r="Z52"/>
      <c r="AA52"/>
    </row>
    <row r="53" spans="1:27" s="9" customFormat="1" ht="16.5" customHeight="1">
      <c r="A53" s="26"/>
      <c r="D53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/>
      <c r="T53"/>
      <c r="U53"/>
      <c r="V53"/>
      <c r="W53"/>
      <c r="X53"/>
      <c r="Y53"/>
      <c r="Z53"/>
      <c r="AA53"/>
    </row>
    <row r="54" spans="1:27" s="9" customFormat="1" ht="16.5" customHeight="1">
      <c r="A54" s="26"/>
      <c r="D5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/>
      <c r="T54"/>
      <c r="U54"/>
      <c r="V54"/>
      <c r="W54"/>
      <c r="X54"/>
      <c r="Y54"/>
      <c r="Z54"/>
      <c r="AA54"/>
    </row>
    <row r="55" spans="1:27" s="9" customFormat="1" ht="16.5" customHeight="1">
      <c r="A55" s="26"/>
      <c r="D55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/>
      <c r="T55"/>
      <c r="U55"/>
      <c r="V55"/>
      <c r="W55"/>
      <c r="X55"/>
      <c r="Y55"/>
      <c r="Z55"/>
      <c r="AA55"/>
    </row>
    <row r="56" spans="1:27" s="9" customFormat="1" ht="16.5" customHeight="1">
      <c r="A56" s="26"/>
      <c r="D56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/>
      <c r="T56"/>
      <c r="U56"/>
      <c r="V56"/>
      <c r="W56"/>
      <c r="X56"/>
      <c r="Y56"/>
      <c r="Z56"/>
      <c r="AA56"/>
    </row>
    <row r="57" spans="1:27" s="9" customFormat="1" ht="16.5" customHeight="1">
      <c r="A57" s="26"/>
      <c r="D57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/>
      <c r="T57"/>
      <c r="U57"/>
      <c r="V57"/>
      <c r="W57"/>
      <c r="X57"/>
      <c r="Y57"/>
      <c r="Z57"/>
      <c r="AA57"/>
    </row>
    <row r="58" spans="1:27" s="9" customFormat="1" ht="16.5" customHeight="1">
      <c r="A58" s="26"/>
      <c r="D58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/>
      <c r="T58"/>
      <c r="U58"/>
      <c r="V58"/>
      <c r="W58"/>
      <c r="X58"/>
      <c r="Y58"/>
      <c r="Z58"/>
      <c r="AA58"/>
    </row>
    <row r="59" spans="1:27" s="9" customFormat="1" ht="16.5" customHeight="1">
      <c r="A59" s="26"/>
      <c r="D59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/>
      <c r="T59"/>
      <c r="U59"/>
      <c r="V59"/>
      <c r="W59"/>
      <c r="X59"/>
      <c r="Y59"/>
      <c r="Z59"/>
      <c r="AA59"/>
    </row>
    <row r="60" spans="1:27" s="9" customFormat="1" ht="16.5" customHeight="1">
      <c r="A60" s="26"/>
      <c r="D60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/>
      <c r="T60"/>
      <c r="U60"/>
      <c r="V60"/>
      <c r="W60"/>
      <c r="X60"/>
      <c r="Y60"/>
      <c r="Z60"/>
      <c r="AA60"/>
    </row>
    <row r="61" spans="1:27" s="9" customFormat="1" ht="16.5" customHeight="1">
      <c r="A61" s="26"/>
      <c r="D61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/>
      <c r="T61"/>
      <c r="U61"/>
      <c r="V61"/>
      <c r="W61"/>
      <c r="X61"/>
      <c r="Y61"/>
      <c r="Z61"/>
      <c r="AA61"/>
    </row>
    <row r="62" spans="1:27" s="9" customFormat="1" ht="16.5" customHeight="1">
      <c r="A62" s="26"/>
      <c r="D62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/>
      <c r="T62"/>
      <c r="U62"/>
      <c r="V62"/>
      <c r="W62"/>
      <c r="X62"/>
      <c r="Y62"/>
      <c r="Z62"/>
      <c r="AA62"/>
    </row>
    <row r="63" spans="1:27" s="9" customFormat="1" ht="16.5" customHeight="1">
      <c r="A63" s="26"/>
      <c r="D63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/>
      <c r="T63"/>
      <c r="U63"/>
      <c r="V63"/>
      <c r="W63"/>
      <c r="X63"/>
      <c r="Y63"/>
      <c r="Z63"/>
      <c r="AA63"/>
    </row>
    <row r="64" spans="1:27" s="9" customFormat="1" ht="16.5" customHeight="1">
      <c r="A64" s="26"/>
      <c r="D6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/>
      <c r="T64"/>
      <c r="U64"/>
      <c r="V64"/>
      <c r="W64"/>
      <c r="X64"/>
      <c r="Y64"/>
      <c r="Z64"/>
      <c r="AA64"/>
    </row>
    <row r="65" spans="1:27" s="9" customFormat="1" ht="16.5" customHeight="1">
      <c r="A65" s="26"/>
      <c r="D65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/>
      <c r="T65"/>
      <c r="U65"/>
      <c r="V65"/>
      <c r="W65"/>
      <c r="X65"/>
      <c r="Y65"/>
      <c r="Z65"/>
      <c r="AA65"/>
    </row>
    <row r="66" spans="1:27" s="9" customFormat="1" ht="16.5" customHeight="1">
      <c r="A66" s="26"/>
      <c r="D66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/>
      <c r="T66"/>
      <c r="U66"/>
      <c r="V66"/>
      <c r="W66"/>
      <c r="X66"/>
      <c r="Y66"/>
      <c r="Z66"/>
      <c r="AA66"/>
    </row>
    <row r="67" spans="1:27" s="9" customFormat="1" ht="16.5" customHeight="1">
      <c r="A67" s="26"/>
      <c r="D67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/>
      <c r="T67"/>
      <c r="U67"/>
      <c r="V67"/>
      <c r="W67"/>
      <c r="X67"/>
      <c r="Y67"/>
      <c r="Z67"/>
      <c r="AA67"/>
    </row>
    <row r="68" spans="1:27" s="9" customFormat="1" ht="16.5" customHeight="1">
      <c r="A68" s="26"/>
      <c r="D68"/>
      <c r="E68" s="34"/>
      <c r="F68" s="34"/>
      <c r="G68" s="34"/>
      <c r="H68" s="22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/>
      <c r="T68"/>
      <c r="U68"/>
      <c r="V68"/>
      <c r="W68"/>
      <c r="X68"/>
      <c r="Y68"/>
      <c r="Z68"/>
      <c r="AA68"/>
    </row>
    <row r="69" spans="1:27" s="9" customFormat="1" ht="16.5" customHeight="1">
      <c r="A69" s="26"/>
      <c r="D69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/>
      <c r="T69"/>
      <c r="U69"/>
      <c r="V69"/>
      <c r="W69"/>
      <c r="X69"/>
      <c r="Y69"/>
      <c r="Z69"/>
      <c r="AA69"/>
    </row>
    <row r="70" spans="1:27" s="9" customFormat="1" ht="16.5" customHeight="1">
      <c r="A70" s="26"/>
      <c r="D70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/>
      <c r="T70"/>
      <c r="U70"/>
      <c r="V70"/>
      <c r="W70"/>
      <c r="X70"/>
      <c r="Y70"/>
      <c r="Z70"/>
      <c r="AA70"/>
    </row>
    <row r="71" spans="1:27" s="9" customFormat="1" ht="16.5" customHeight="1">
      <c r="A71" s="26"/>
      <c r="D71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/>
      <c r="T71"/>
      <c r="U71"/>
      <c r="V71"/>
      <c r="W71"/>
      <c r="X71"/>
      <c r="Y71"/>
      <c r="Z71"/>
      <c r="AA71"/>
    </row>
    <row r="72" spans="1:27" s="9" customFormat="1" ht="16.5" customHeight="1">
      <c r="A72" s="26"/>
      <c r="D72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/>
      <c r="T72"/>
      <c r="U72"/>
      <c r="V72"/>
      <c r="W72"/>
      <c r="X72"/>
      <c r="Y72"/>
      <c r="Z72"/>
      <c r="AA72"/>
    </row>
    <row r="73" spans="1:27" s="9" customFormat="1" ht="16.5" customHeight="1">
      <c r="A73" s="21"/>
      <c r="D73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/>
      <c r="T73"/>
      <c r="U73"/>
      <c r="V73"/>
      <c r="W73"/>
      <c r="X73"/>
      <c r="Y73"/>
      <c r="Z73"/>
      <c r="AA73"/>
    </row>
    <row r="74" spans="1:27" s="9" customFormat="1" ht="16.5" customHeight="1">
      <c r="A74" s="21"/>
      <c r="D7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/>
      <c r="T74"/>
      <c r="U74"/>
      <c r="V74"/>
      <c r="W74"/>
      <c r="X74"/>
      <c r="Y74"/>
      <c r="Z74"/>
      <c r="AA74"/>
    </row>
    <row r="75" spans="1:27" s="9" customFormat="1" ht="16.5" customHeight="1">
      <c r="A75" s="21"/>
      <c r="D75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/>
      <c r="T75"/>
      <c r="U75"/>
      <c r="V75"/>
      <c r="W75"/>
      <c r="X75"/>
      <c r="Y75"/>
      <c r="Z75"/>
      <c r="AA75"/>
    </row>
    <row r="76" spans="1:27" hidden="1">
      <c r="D76" s="5"/>
      <c r="E76" s="36">
        <v>1E-3</v>
      </c>
      <c r="F76" s="36">
        <v>1E-3</v>
      </c>
      <c r="G76" s="36">
        <v>1E-3</v>
      </c>
      <c r="H76" s="36"/>
      <c r="I76" s="36"/>
      <c r="J76" s="36"/>
      <c r="K76" s="36"/>
      <c r="L76" s="36"/>
      <c r="M76" s="36"/>
      <c r="N76" s="36"/>
      <c r="O76" s="36"/>
      <c r="P76" s="36"/>
      <c r="S76" s="8"/>
      <c r="T76" s="8">
        <v>0.01</v>
      </c>
      <c r="U76" s="8"/>
      <c r="V76" s="8"/>
      <c r="W76" s="8"/>
    </row>
    <row r="77" spans="1:27">
      <c r="D77" s="5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S77" s="8"/>
      <c r="T77" s="8"/>
      <c r="U77" s="8"/>
      <c r="V77" s="8"/>
      <c r="W77" s="8"/>
    </row>
  </sheetData>
  <pageMargins left="0.25" right="0.25" top="0.255" bottom="0.25" header="0.1" footer="0.1"/>
  <pageSetup scale="72" orientation="landscape" horizontalDpi="300" verticalDpi="300" r:id="rId1"/>
  <headerFooter scaleWithDoc="0">
    <oddHeader>&amp;L&amp;G&amp;R&amp;"-,Bold"&amp;10&amp;K2E398A
&amp;C&amp;"-,Bold"&amp;15&amp;K2E398A
Deal Collateral Summary: 9/2015</oddHeader>
    <oddFooter xml:space="preserve">&amp;L&amp;10&amp;K2E398AReport created on &amp;D &amp;T&amp;C&amp;G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B1:AU72"/>
  <sheetViews>
    <sheetView showGridLines="0" tabSelected="1" topLeftCell="D1" zoomScale="85" zoomScaleNormal="85" workbookViewId="0">
      <selection activeCell="AJ40" sqref="AJ40"/>
    </sheetView>
  </sheetViews>
  <sheetFormatPr defaultRowHeight="15"/>
  <cols>
    <col min="1" max="1" width="9.140625" style="52" customWidth="1"/>
    <col min="2" max="2" width="9.140625" style="52"/>
    <col min="3" max="3" width="16.42578125" style="52" customWidth="1"/>
    <col min="4" max="16" width="11" style="52" customWidth="1"/>
    <col min="17" max="17" width="11" style="52" hidden="1" customWidth="1"/>
    <col min="18" max="19" width="2.85546875" style="52" customWidth="1"/>
    <col min="20" max="20" width="15.140625" style="52" customWidth="1"/>
    <col min="21" max="33" width="11" style="52" customWidth="1"/>
    <col min="34" max="34" width="11" style="52" hidden="1" customWidth="1"/>
    <col min="35" max="35" width="13.28515625" style="52" customWidth="1"/>
    <col min="36" max="36" width="14.5703125" style="52" customWidth="1"/>
    <col min="37" max="37" width="13.28515625" style="52" bestFit="1" customWidth="1"/>
    <col min="38" max="38" width="14.5703125" style="52" customWidth="1"/>
    <col min="39" max="39" width="13.28515625" style="52" customWidth="1"/>
    <col min="40" max="40" width="14.42578125" style="52" customWidth="1"/>
    <col min="41" max="41" width="13.28515625" style="52" bestFit="1" customWidth="1"/>
    <col min="42" max="42" width="15.5703125" style="52" bestFit="1" customWidth="1"/>
    <col min="43" max="43" width="13.28515625" style="52" bestFit="1" customWidth="1"/>
    <col min="44" max="44" width="14.5703125" style="52" bestFit="1" customWidth="1"/>
    <col min="45" max="45" width="13.28515625" style="52" bestFit="1" customWidth="1"/>
    <col min="46" max="46" width="14.5703125" style="52" bestFit="1" customWidth="1"/>
    <col min="47" max="47" width="13.28515625" style="52" bestFit="1" customWidth="1"/>
    <col min="48" max="16384" width="9.140625" style="52"/>
  </cols>
  <sheetData>
    <row r="1" spans="2:40">
      <c r="AK1" s="64" t="s">
        <v>0</v>
      </c>
      <c r="AL1" s="65" t="s">
        <v>6</v>
      </c>
      <c r="AM1" s="52" t="s">
        <v>1</v>
      </c>
      <c r="AN1" s="66" t="s">
        <v>4</v>
      </c>
    </row>
    <row r="2" spans="2:40">
      <c r="AK2" s="64" t="s">
        <v>2</v>
      </c>
      <c r="AL2" s="67">
        <v>42326</v>
      </c>
    </row>
    <row r="3" spans="2:40">
      <c r="AK3" s="64" t="s">
        <v>5</v>
      </c>
      <c r="AL3" s="65" t="s">
        <v>114</v>
      </c>
    </row>
    <row r="4" spans="2:40">
      <c r="AK4" s="64" t="s">
        <v>3</v>
      </c>
      <c r="AL4" s="65" t="str">
        <f>PDFReportDir &amp; "\Surveillance Report Summary-FHL " &amp; TEXT(CurrentCloseDate, "yyyy-mm-dd") &amp; ".pdf"</f>
        <v>S:\IT\Production\Monthly Reports\CRT Surveillance Report\tmp\Surveillance Report Summary-FHL 2015-11-18.pdf</v>
      </c>
    </row>
    <row r="5" spans="2:40">
      <c r="AK5" s="68"/>
    </row>
    <row r="6" spans="2:40">
      <c r="AK6" s="68"/>
    </row>
    <row r="7" spans="2:40">
      <c r="AK7" s="68"/>
    </row>
    <row r="8" spans="2:40">
      <c r="AK8" s="68"/>
    </row>
    <row r="9" spans="2:40">
      <c r="AK9" s="68"/>
    </row>
    <row r="10" spans="2:40">
      <c r="AK10" s="68"/>
    </row>
    <row r="11" spans="2:40">
      <c r="AL11" s="94"/>
      <c r="AM11" s="95"/>
    </row>
    <row r="12" spans="2:40" ht="13.5" customHeight="1">
      <c r="AL12" s="94" t="s">
        <v>113</v>
      </c>
      <c r="AM12" s="95">
        <f>C40</f>
        <v>42248</v>
      </c>
    </row>
    <row r="13" spans="2:40">
      <c r="AL13" s="94"/>
      <c r="AM13" s="94"/>
    </row>
    <row r="14" spans="2:40" s="69" customFormat="1" ht="18" customHeight="1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</row>
    <row r="15" spans="2:40" ht="19.5" customHeight="1">
      <c r="C15" s="100" t="s">
        <v>7</v>
      </c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70"/>
      <c r="S15" s="70"/>
      <c r="T15" s="101" t="s">
        <v>8</v>
      </c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</row>
    <row r="16" spans="2:40" ht="25.5">
      <c r="C16" s="62" t="s">
        <v>115</v>
      </c>
      <c r="D16" s="63" t="str">
        <f>'Performance Pivot'!D17</f>
        <v>STACR 2013-DN1</v>
      </c>
      <c r="E16" s="63" t="str">
        <f>'Performance Pivot'!E17</f>
        <v>STACR 2013-DN2</v>
      </c>
      <c r="F16" s="63" t="str">
        <f>'Performance Pivot'!F17</f>
        <v>STACR 2014-DN1</v>
      </c>
      <c r="G16" s="63" t="str">
        <f>'Performance Pivot'!G17</f>
        <v>STACR 2014-DN2</v>
      </c>
      <c r="H16" s="63" t="str">
        <f>'Performance Pivot'!H17</f>
        <v>STACR 2014-DN3</v>
      </c>
      <c r="I16" s="63" t="str">
        <f>'Performance Pivot'!I17</f>
        <v>STACR 2014-DN4</v>
      </c>
      <c r="J16" s="63" t="str">
        <f>'Performance Pivot'!J17</f>
        <v>STACR 2014-HQ1</v>
      </c>
      <c r="K16" s="63" t="str">
        <f>'Performance Pivot'!K17</f>
        <v>STACR 2014-HQ2</v>
      </c>
      <c r="L16" s="63" t="str">
        <f>'Performance Pivot'!L17</f>
        <v>STACR 2014-HQ3</v>
      </c>
      <c r="M16" s="63" t="str">
        <f>'Performance Pivot'!M17</f>
        <v>STACR 2015-DN1</v>
      </c>
      <c r="N16" s="63" t="str">
        <f>'Performance Pivot'!N17</f>
        <v>STACR 2015-DNA1</v>
      </c>
      <c r="O16" s="63" t="str">
        <f>'Performance Pivot'!O17</f>
        <v>STACR 2015-DNA2</v>
      </c>
      <c r="P16" s="63" t="str">
        <f>'Performance Pivot'!P17</f>
        <v>STACR 2015-HQ1</v>
      </c>
      <c r="Q16" s="49" t="s">
        <v>85</v>
      </c>
      <c r="R16" s="70"/>
      <c r="S16" s="70"/>
      <c r="T16" s="60" t="str">
        <f>C16</f>
        <v>Date</v>
      </c>
      <c r="U16" s="60" t="str">
        <f>D16</f>
        <v>STACR 2013-DN1</v>
      </c>
      <c r="V16" s="60" t="str">
        <f t="shared" ref="V16:AG16" si="0">E16</f>
        <v>STACR 2013-DN2</v>
      </c>
      <c r="W16" s="60" t="str">
        <f t="shared" si="0"/>
        <v>STACR 2014-DN1</v>
      </c>
      <c r="X16" s="60" t="str">
        <f t="shared" si="0"/>
        <v>STACR 2014-DN2</v>
      </c>
      <c r="Y16" s="60" t="str">
        <f t="shared" si="0"/>
        <v>STACR 2014-DN3</v>
      </c>
      <c r="Z16" s="60" t="str">
        <f t="shared" si="0"/>
        <v>STACR 2014-DN4</v>
      </c>
      <c r="AA16" s="60" t="str">
        <f t="shared" si="0"/>
        <v>STACR 2014-HQ1</v>
      </c>
      <c r="AB16" s="60" t="str">
        <f t="shared" si="0"/>
        <v>STACR 2014-HQ2</v>
      </c>
      <c r="AC16" s="60" t="str">
        <f t="shared" si="0"/>
        <v>STACR 2014-HQ3</v>
      </c>
      <c r="AD16" s="60" t="str">
        <f t="shared" si="0"/>
        <v>STACR 2015-DN1</v>
      </c>
      <c r="AE16" s="60" t="str">
        <f t="shared" si="0"/>
        <v>STACR 2015-DNA1</v>
      </c>
      <c r="AF16" s="60" t="str">
        <f t="shared" si="0"/>
        <v>STACR 2015-DNA2</v>
      </c>
      <c r="AG16" s="60" t="str">
        <f t="shared" si="0"/>
        <v>STACR 2015-HQ1</v>
      </c>
      <c r="AH16" s="57" t="s">
        <v>85</v>
      </c>
    </row>
    <row r="17" spans="3:34" s="45" customFormat="1" ht="21" customHeight="1">
      <c r="C17" s="92">
        <f>'Performance Pivot'!C41</f>
        <v>41548</v>
      </c>
      <c r="D17" s="72">
        <f>IF(VLOOKUP($C17,'Performance Pivot'!$C:$P,2,0)="","",VLOOKUP($C17,'Performance Pivot'!$C:$P,2,0))</f>
        <v>4.6313000000000004</v>
      </c>
      <c r="E17" s="72" t="str">
        <f>IF(VLOOKUP($C17,'Performance Pivot'!$C:$P,3,0)="","",VLOOKUP($C17,'Performance Pivot'!$C:$P,3,0))</f>
        <v/>
      </c>
      <c r="F17" s="72" t="str">
        <f>IF(VLOOKUP($C17,'Performance Pivot'!$C:$P,4,0)="","",VLOOKUP($C17,'Performance Pivot'!$C:$P,4,0))</f>
        <v/>
      </c>
      <c r="G17" s="72" t="str">
        <f>IF(VLOOKUP($C17,'Performance Pivot'!$C:$P,5,0)="","",VLOOKUP($C17,'Performance Pivot'!$C:$P,5,0))</f>
        <v/>
      </c>
      <c r="H17" s="72" t="str">
        <f>IF(VLOOKUP($C17,'Performance Pivot'!$C:$P,6,0)="","",VLOOKUP($C17,'Performance Pivot'!$C:$P,6,0))</f>
        <v/>
      </c>
      <c r="I17" s="72" t="str">
        <f>IF(VLOOKUP($C17,'Performance Pivot'!$C:$P,7,0)="","",VLOOKUP($C17,'Performance Pivot'!$C:$P,7,0))</f>
        <v/>
      </c>
      <c r="J17" s="72" t="str">
        <f>IF(VLOOKUP($C17,'Performance Pivot'!$C:$P,8,0)="","",VLOOKUP($C17,'Performance Pivot'!$C:$P,8,0))</f>
        <v/>
      </c>
      <c r="K17" s="72" t="str">
        <f>IF(VLOOKUP($C17,'Performance Pivot'!$C:$P,9,0)="","",VLOOKUP($C17,'Performance Pivot'!$C:$P,9,0))</f>
        <v/>
      </c>
      <c r="L17" s="72" t="str">
        <f>IF(VLOOKUP($C17,'Performance Pivot'!$C:$P,10,0)="","",VLOOKUP($C17,'Performance Pivot'!$C:$P,10,0))</f>
        <v/>
      </c>
      <c r="M17" s="72" t="str">
        <f>IF(VLOOKUP($C17,'Performance Pivot'!$C:$P,11,0)="","",VLOOKUP($C17,'Performance Pivot'!$C:$P,11,0))</f>
        <v/>
      </c>
      <c r="N17" s="72" t="str">
        <f>IF(VLOOKUP($C17,'Performance Pivot'!$C:$P,12,0)="","",VLOOKUP($C17,'Performance Pivot'!$C:$P,12,0))</f>
        <v/>
      </c>
      <c r="O17" s="72" t="str">
        <f>IF(VLOOKUP($C17,'Performance Pivot'!$C:$P,13,0)="","",VLOOKUP($C17,'Performance Pivot'!$C:$P,13,0))</f>
        <v/>
      </c>
      <c r="P17" s="72" t="str">
        <f>IF(VLOOKUP($C17,'Performance Pivot'!$C:$P,14,0)="","",VLOOKUP($C17,'Performance Pivot'!$C:$P,14,0))</f>
        <v/>
      </c>
      <c r="Q17" s="72" t="str">
        <f>IF(VLOOKUP($C17,'Performance Pivot'!$C:$Q,15,0)="","",VLOOKUP($C17,'Performance Pivot'!$C:$Q,15,0))</f>
        <v/>
      </c>
      <c r="R17" s="47"/>
      <c r="S17" s="47"/>
      <c r="T17" s="92">
        <f>C17</f>
        <v>41548</v>
      </c>
      <c r="U17" s="73">
        <f>IF(VLOOKUP($T17,'Performance Pivot'!$S:$AF,2,0)="","",VLOOKUP($T17,'Performance Pivot'!$S:$AF,2,0))</f>
        <v>0</v>
      </c>
      <c r="V17" s="73" t="str">
        <f>IF(VLOOKUP($T17,'Performance Pivot'!$S:$AF,3,0)="","",VLOOKUP($T17,'Performance Pivot'!$S:$AF,3,0))</f>
        <v/>
      </c>
      <c r="W17" s="73" t="str">
        <f>IF(VLOOKUP($T17,'Performance Pivot'!$S:$AF,4,0)="","",VLOOKUP($T17,'Performance Pivot'!$S:$AF,4,0))</f>
        <v/>
      </c>
      <c r="X17" s="73" t="str">
        <f>IF(VLOOKUP($T17,'Performance Pivot'!$S:$AF,5,0)="","",VLOOKUP($T17,'Performance Pivot'!$S:$AF,5,0))</f>
        <v/>
      </c>
      <c r="Y17" s="73" t="str">
        <f>IF(VLOOKUP($T17,'Performance Pivot'!$S:$AF,6,0)="","",VLOOKUP($T17,'Performance Pivot'!$S:$AF,6,0))</f>
        <v/>
      </c>
      <c r="Z17" s="73" t="str">
        <f>IF(VLOOKUP($T17,'Performance Pivot'!$S:$AF,7,0)="","",VLOOKUP($T17,'Performance Pivot'!$S:$AF,7,0))</f>
        <v/>
      </c>
      <c r="AA17" s="73" t="str">
        <f>IF(VLOOKUP($T17,'Performance Pivot'!$S:$AF,8,0)="","",VLOOKUP($T17,'Performance Pivot'!$S:$AF,8,0))</f>
        <v/>
      </c>
      <c r="AB17" s="73" t="str">
        <f>IF(VLOOKUP($T17,'Performance Pivot'!$S:$AF,9,0)="","",VLOOKUP($T17,'Performance Pivot'!$S:$AF,9,0))</f>
        <v/>
      </c>
      <c r="AC17" s="73" t="str">
        <f>IF(VLOOKUP($T17,'Performance Pivot'!$S:$AF,10,0)="","",VLOOKUP($T17,'Performance Pivot'!$S:$AF,10,0))</f>
        <v/>
      </c>
      <c r="AD17" s="73" t="str">
        <f>IF(VLOOKUP($T17,'Performance Pivot'!$S:$AF,11,0)="","",VLOOKUP($T17,'Performance Pivot'!$S:$AF,11,0))</f>
        <v/>
      </c>
      <c r="AE17" s="73" t="str">
        <f>IF(VLOOKUP($T17,'Performance Pivot'!$S:$AF,12,0)="","",VLOOKUP($T17,'Performance Pivot'!$S:$AF,12,0))</f>
        <v/>
      </c>
      <c r="AF17" s="73" t="str">
        <f>IF(VLOOKUP($T17,'Performance Pivot'!$S:$AF,13,0)="","",VLOOKUP($T17,'Performance Pivot'!$S:$AF,13,0))</f>
        <v/>
      </c>
      <c r="AG17" s="73" t="str">
        <f>IF(VLOOKUP($T17,'Performance Pivot'!$S:$AF,14,0)="","",VLOOKUP($T17,'Performance Pivot'!$S:$AF,14,0))</f>
        <v/>
      </c>
      <c r="AH17" s="73" t="str">
        <f>IF(VLOOKUP($T17,'Performance Pivot'!$S:$AG,15,0)="","",VLOOKUP($T17,'Performance Pivot'!$S:$AG,15,0))</f>
        <v/>
      </c>
    </row>
    <row r="18" spans="3:34" s="74" customFormat="1" ht="21" customHeight="1">
      <c r="C18" s="92">
        <f>'Performance Pivot'!C40</f>
        <v>41579</v>
      </c>
      <c r="D18" s="72">
        <f>IF(VLOOKUP($C18,'Performance Pivot'!$C:$P,2,0)="","",VLOOKUP($C18,'Performance Pivot'!$C:$P,2,0))</f>
        <v>4.2816000000000001</v>
      </c>
      <c r="E18" s="72" t="str">
        <f>IF(VLOOKUP($C18,'Performance Pivot'!$C:$P,3,0)="","",VLOOKUP($C18,'Performance Pivot'!$C:$P,3,0))</f>
        <v/>
      </c>
      <c r="F18" s="72" t="str">
        <f>IF(VLOOKUP($C18,'Performance Pivot'!$C:$P,4,0)="","",VLOOKUP($C18,'Performance Pivot'!$C:$P,4,0))</f>
        <v/>
      </c>
      <c r="G18" s="72" t="str">
        <f>IF(VLOOKUP($C18,'Performance Pivot'!$C:$P,5,0)="","",VLOOKUP($C18,'Performance Pivot'!$C:$P,5,0))</f>
        <v/>
      </c>
      <c r="H18" s="72" t="str">
        <f>IF(VLOOKUP($C18,'Performance Pivot'!$C:$P,6,0)="","",VLOOKUP($C18,'Performance Pivot'!$C:$P,6,0))</f>
        <v/>
      </c>
      <c r="I18" s="72" t="str">
        <f>IF(VLOOKUP($C18,'Performance Pivot'!$C:$P,7,0)="","",VLOOKUP($C18,'Performance Pivot'!$C:$P,7,0))</f>
        <v/>
      </c>
      <c r="J18" s="72" t="str">
        <f>IF(VLOOKUP($C18,'Performance Pivot'!$C:$P,8,0)="","",VLOOKUP($C18,'Performance Pivot'!$C:$P,8,0))</f>
        <v/>
      </c>
      <c r="K18" s="72" t="str">
        <f>IF(VLOOKUP($C18,'Performance Pivot'!$C:$P,9,0)="","",VLOOKUP($C18,'Performance Pivot'!$C:$P,9,0))</f>
        <v/>
      </c>
      <c r="L18" s="72" t="str">
        <f>IF(VLOOKUP($C18,'Performance Pivot'!$C:$P,10,0)="","",VLOOKUP($C18,'Performance Pivot'!$C:$P,10,0))</f>
        <v/>
      </c>
      <c r="M18" s="72" t="str">
        <f>IF(VLOOKUP($C18,'Performance Pivot'!$C:$P,11,0)="","",VLOOKUP($C18,'Performance Pivot'!$C:$P,11,0))</f>
        <v/>
      </c>
      <c r="N18" s="72" t="str">
        <f>IF(VLOOKUP($C18,'Performance Pivot'!$C:$P,12,0)="","",VLOOKUP($C18,'Performance Pivot'!$C:$P,12,0))</f>
        <v/>
      </c>
      <c r="O18" s="72" t="str">
        <f>IF(VLOOKUP($C18,'Performance Pivot'!$C:$P,13,0)="","",VLOOKUP($C18,'Performance Pivot'!$C:$P,13,0))</f>
        <v/>
      </c>
      <c r="P18" s="72" t="str">
        <f>IF(VLOOKUP($C18,'Performance Pivot'!$C:$P,14,0)="","",VLOOKUP($C18,'Performance Pivot'!$C:$P,14,0))</f>
        <v/>
      </c>
      <c r="Q18" s="72" t="str">
        <f>IF(VLOOKUP($C18,'Performance Pivot'!$C:$Q,15,0)="","",VLOOKUP($C18,'Performance Pivot'!$C:$Q,15,0))</f>
        <v/>
      </c>
      <c r="R18" s="75"/>
      <c r="S18" s="75"/>
      <c r="T18" s="92">
        <f t="shared" ref="T18:T40" si="1">C18</f>
        <v>41579</v>
      </c>
      <c r="U18" s="73">
        <f>IF(VLOOKUP($T18,'Performance Pivot'!$S:$AF,2,0)="","",VLOOKUP($T18,'Performance Pivot'!$S:$AF,2,0))</f>
        <v>0</v>
      </c>
      <c r="V18" s="73" t="str">
        <f>IF(VLOOKUP($T18,'Performance Pivot'!$S:$AF,3,0)="","",VLOOKUP($T18,'Performance Pivot'!$S:$AF,3,0))</f>
        <v/>
      </c>
      <c r="W18" s="73" t="str">
        <f>IF(VLOOKUP($T18,'Performance Pivot'!$S:$AF,4,0)="","",VLOOKUP($T18,'Performance Pivot'!$S:$AF,4,0))</f>
        <v/>
      </c>
      <c r="X18" s="73" t="str">
        <f>IF(VLOOKUP($T18,'Performance Pivot'!$S:$AF,5,0)="","",VLOOKUP($T18,'Performance Pivot'!$S:$AF,5,0))</f>
        <v/>
      </c>
      <c r="Y18" s="73" t="str">
        <f>IF(VLOOKUP($T18,'Performance Pivot'!$S:$AF,6,0)="","",VLOOKUP($T18,'Performance Pivot'!$S:$AF,6,0))</f>
        <v/>
      </c>
      <c r="Z18" s="73" t="str">
        <f>IF(VLOOKUP($T18,'Performance Pivot'!$S:$AF,7,0)="","",VLOOKUP($T18,'Performance Pivot'!$S:$AF,7,0))</f>
        <v/>
      </c>
      <c r="AA18" s="73" t="str">
        <f>IF(VLOOKUP($T18,'Performance Pivot'!$S:$AF,8,0)="","",VLOOKUP($T18,'Performance Pivot'!$S:$AF,8,0))</f>
        <v/>
      </c>
      <c r="AB18" s="73" t="str">
        <f>IF(VLOOKUP($T18,'Performance Pivot'!$S:$AF,9,0)="","",VLOOKUP($T18,'Performance Pivot'!$S:$AF,9,0))</f>
        <v/>
      </c>
      <c r="AC18" s="73" t="str">
        <f>IF(VLOOKUP($T18,'Performance Pivot'!$S:$AF,10,0)="","",VLOOKUP($T18,'Performance Pivot'!$S:$AF,10,0))</f>
        <v/>
      </c>
      <c r="AD18" s="73" t="str">
        <f>IF(VLOOKUP($T18,'Performance Pivot'!$S:$AF,11,0)="","",VLOOKUP($T18,'Performance Pivot'!$S:$AF,11,0))</f>
        <v/>
      </c>
      <c r="AE18" s="73" t="str">
        <f>IF(VLOOKUP($T18,'Performance Pivot'!$S:$AF,12,0)="","",VLOOKUP($T18,'Performance Pivot'!$S:$AF,12,0))</f>
        <v/>
      </c>
      <c r="AF18" s="73" t="str">
        <f>IF(VLOOKUP($T18,'Performance Pivot'!$S:$AF,13,0)="","",VLOOKUP($T18,'Performance Pivot'!$S:$AF,13,0))</f>
        <v/>
      </c>
      <c r="AG18" s="73" t="str">
        <f>IF(VLOOKUP($T18,'Performance Pivot'!$S:$AF,14,0)="","",VLOOKUP($T18,'Performance Pivot'!$S:$AF,14,0))</f>
        <v/>
      </c>
      <c r="AH18" s="73" t="str">
        <f>IF(VLOOKUP($T18,'Performance Pivot'!$S:$AG,15,0)="","",VLOOKUP($T18,'Performance Pivot'!$S:$AG,15,0))</f>
        <v/>
      </c>
    </row>
    <row r="19" spans="3:34" s="74" customFormat="1" ht="21" customHeight="1">
      <c r="C19" s="92">
        <f>'Performance Pivot'!C39</f>
        <v>41609</v>
      </c>
      <c r="D19" s="72">
        <f>IF(VLOOKUP($C19,'Performance Pivot'!$C:$P,2,0)="","",VLOOKUP($C19,'Performance Pivot'!$C:$P,2,0))</f>
        <v>4.1920000000000002</v>
      </c>
      <c r="E19" s="72">
        <f>IF(VLOOKUP($C19,'Performance Pivot'!$C:$P,3,0)="","",VLOOKUP($C19,'Performance Pivot'!$C:$P,3,0))</f>
        <v>8.7807999999999993</v>
      </c>
      <c r="F19" s="72" t="str">
        <f>IF(VLOOKUP($C19,'Performance Pivot'!$C:$P,4,0)="","",VLOOKUP($C19,'Performance Pivot'!$C:$P,4,0))</f>
        <v/>
      </c>
      <c r="G19" s="72" t="str">
        <f>IF(VLOOKUP($C19,'Performance Pivot'!$C:$P,5,0)="","",VLOOKUP($C19,'Performance Pivot'!$C:$P,5,0))</f>
        <v/>
      </c>
      <c r="H19" s="72" t="str">
        <f>IF(VLOOKUP($C19,'Performance Pivot'!$C:$P,6,0)="","",VLOOKUP($C19,'Performance Pivot'!$C:$P,6,0))</f>
        <v/>
      </c>
      <c r="I19" s="72" t="str">
        <f>IF(VLOOKUP($C19,'Performance Pivot'!$C:$P,7,0)="","",VLOOKUP($C19,'Performance Pivot'!$C:$P,7,0))</f>
        <v/>
      </c>
      <c r="J19" s="72" t="str">
        <f>IF(VLOOKUP($C19,'Performance Pivot'!$C:$P,8,0)="","",VLOOKUP($C19,'Performance Pivot'!$C:$P,8,0))</f>
        <v/>
      </c>
      <c r="K19" s="72" t="str">
        <f>IF(VLOOKUP($C19,'Performance Pivot'!$C:$P,9,0)="","",VLOOKUP($C19,'Performance Pivot'!$C:$P,9,0))</f>
        <v/>
      </c>
      <c r="L19" s="72" t="str">
        <f>IF(VLOOKUP($C19,'Performance Pivot'!$C:$P,10,0)="","",VLOOKUP($C19,'Performance Pivot'!$C:$P,10,0))</f>
        <v/>
      </c>
      <c r="M19" s="72" t="str">
        <f>IF(VLOOKUP($C19,'Performance Pivot'!$C:$P,11,0)="","",VLOOKUP($C19,'Performance Pivot'!$C:$P,11,0))</f>
        <v/>
      </c>
      <c r="N19" s="72" t="str">
        <f>IF(VLOOKUP($C19,'Performance Pivot'!$C:$P,12,0)="","",VLOOKUP($C19,'Performance Pivot'!$C:$P,12,0))</f>
        <v/>
      </c>
      <c r="O19" s="72" t="str">
        <f>IF(VLOOKUP($C19,'Performance Pivot'!$C:$P,13,0)="","",VLOOKUP($C19,'Performance Pivot'!$C:$P,13,0))</f>
        <v/>
      </c>
      <c r="P19" s="72" t="str">
        <f>IF(VLOOKUP($C19,'Performance Pivot'!$C:$P,14,0)="","",VLOOKUP($C19,'Performance Pivot'!$C:$P,14,0))</f>
        <v/>
      </c>
      <c r="Q19" s="72" t="str">
        <f>IF(VLOOKUP($C19,'Performance Pivot'!$C:$Q,15,0)="","",VLOOKUP($C19,'Performance Pivot'!$C:$Q,15,0))</f>
        <v/>
      </c>
      <c r="R19" s="75"/>
      <c r="S19" s="75"/>
      <c r="T19" s="92">
        <f t="shared" si="1"/>
        <v>41609</v>
      </c>
      <c r="U19" s="73">
        <f>IF(VLOOKUP($T19,'Performance Pivot'!$S:$AF,2,0)="","",VLOOKUP($T19,'Performance Pivot'!$S:$AF,2,0))</f>
        <v>5.4000000000000003E-3</v>
      </c>
      <c r="V19" s="73">
        <f>IF(VLOOKUP($T19,'Performance Pivot'!$S:$AF,3,0)="","",VLOOKUP($T19,'Performance Pivot'!$S:$AF,3,0))</f>
        <v>0</v>
      </c>
      <c r="W19" s="73" t="str">
        <f>IF(VLOOKUP($T19,'Performance Pivot'!$S:$AF,4,0)="","",VLOOKUP($T19,'Performance Pivot'!$S:$AF,4,0))</f>
        <v/>
      </c>
      <c r="X19" s="73" t="str">
        <f>IF(VLOOKUP($T19,'Performance Pivot'!$S:$AF,5,0)="","",VLOOKUP($T19,'Performance Pivot'!$S:$AF,5,0))</f>
        <v/>
      </c>
      <c r="Y19" s="73" t="str">
        <f>IF(VLOOKUP($T19,'Performance Pivot'!$S:$AF,6,0)="","",VLOOKUP($T19,'Performance Pivot'!$S:$AF,6,0))</f>
        <v/>
      </c>
      <c r="Z19" s="73" t="str">
        <f>IF(VLOOKUP($T19,'Performance Pivot'!$S:$AF,7,0)="","",VLOOKUP($T19,'Performance Pivot'!$S:$AF,7,0))</f>
        <v/>
      </c>
      <c r="AA19" s="73" t="str">
        <f>IF(VLOOKUP($T19,'Performance Pivot'!$S:$AF,8,0)="","",VLOOKUP($T19,'Performance Pivot'!$S:$AF,8,0))</f>
        <v/>
      </c>
      <c r="AB19" s="73" t="str">
        <f>IF(VLOOKUP($T19,'Performance Pivot'!$S:$AF,9,0)="","",VLOOKUP($T19,'Performance Pivot'!$S:$AF,9,0))</f>
        <v/>
      </c>
      <c r="AC19" s="73" t="str">
        <f>IF(VLOOKUP($T19,'Performance Pivot'!$S:$AF,10,0)="","",VLOOKUP($T19,'Performance Pivot'!$S:$AF,10,0))</f>
        <v/>
      </c>
      <c r="AD19" s="73" t="str">
        <f>IF(VLOOKUP($T19,'Performance Pivot'!$S:$AF,11,0)="","",VLOOKUP($T19,'Performance Pivot'!$S:$AF,11,0))</f>
        <v/>
      </c>
      <c r="AE19" s="73" t="str">
        <f>IF(VLOOKUP($T19,'Performance Pivot'!$S:$AF,12,0)="","",VLOOKUP($T19,'Performance Pivot'!$S:$AF,12,0))</f>
        <v/>
      </c>
      <c r="AF19" s="73" t="str">
        <f>IF(VLOOKUP($T19,'Performance Pivot'!$S:$AF,13,0)="","",VLOOKUP($T19,'Performance Pivot'!$S:$AF,13,0))</f>
        <v/>
      </c>
      <c r="AG19" s="73" t="str">
        <f>IF(VLOOKUP($T19,'Performance Pivot'!$S:$AF,14,0)="","",VLOOKUP($T19,'Performance Pivot'!$S:$AF,14,0))</f>
        <v/>
      </c>
      <c r="AH19" s="73" t="str">
        <f>IF(VLOOKUP($T19,'Performance Pivot'!$S:$AG,15,0)="","",VLOOKUP($T19,'Performance Pivot'!$S:$AG,15,0))</f>
        <v/>
      </c>
    </row>
    <row r="20" spans="3:34" s="74" customFormat="1" ht="21" customHeight="1">
      <c r="C20" s="92">
        <f>'Performance Pivot'!C38</f>
        <v>41640</v>
      </c>
      <c r="D20" s="72">
        <f>IF(VLOOKUP($C20,'Performance Pivot'!$C:$P,2,0)="","",VLOOKUP($C20,'Performance Pivot'!$C:$P,2,0))</f>
        <v>3.8666999999999998</v>
      </c>
      <c r="E20" s="72">
        <f>IF(VLOOKUP($C20,'Performance Pivot'!$C:$P,3,0)="","",VLOOKUP($C20,'Performance Pivot'!$C:$P,3,0))</f>
        <v>3.1438000000000001</v>
      </c>
      <c r="F20" s="72" t="str">
        <f>IF(VLOOKUP($C20,'Performance Pivot'!$C:$P,4,0)="","",VLOOKUP($C20,'Performance Pivot'!$C:$P,4,0))</f>
        <v/>
      </c>
      <c r="G20" s="72" t="str">
        <f>IF(VLOOKUP($C20,'Performance Pivot'!$C:$P,5,0)="","",VLOOKUP($C20,'Performance Pivot'!$C:$P,5,0))</f>
        <v/>
      </c>
      <c r="H20" s="72" t="str">
        <f>IF(VLOOKUP($C20,'Performance Pivot'!$C:$P,6,0)="","",VLOOKUP($C20,'Performance Pivot'!$C:$P,6,0))</f>
        <v/>
      </c>
      <c r="I20" s="72" t="str">
        <f>IF(VLOOKUP($C20,'Performance Pivot'!$C:$P,7,0)="","",VLOOKUP($C20,'Performance Pivot'!$C:$P,7,0))</f>
        <v/>
      </c>
      <c r="J20" s="72" t="str">
        <f>IF(VLOOKUP($C20,'Performance Pivot'!$C:$P,8,0)="","",VLOOKUP($C20,'Performance Pivot'!$C:$P,8,0))</f>
        <v/>
      </c>
      <c r="K20" s="72" t="str">
        <f>IF(VLOOKUP($C20,'Performance Pivot'!$C:$P,9,0)="","",VLOOKUP($C20,'Performance Pivot'!$C:$P,9,0))</f>
        <v/>
      </c>
      <c r="L20" s="72" t="str">
        <f>IF(VLOOKUP($C20,'Performance Pivot'!$C:$P,10,0)="","",VLOOKUP($C20,'Performance Pivot'!$C:$P,10,0))</f>
        <v/>
      </c>
      <c r="M20" s="72" t="str">
        <f>IF(VLOOKUP($C20,'Performance Pivot'!$C:$P,11,0)="","",VLOOKUP($C20,'Performance Pivot'!$C:$P,11,0))</f>
        <v/>
      </c>
      <c r="N20" s="72" t="str">
        <f>IF(VLOOKUP($C20,'Performance Pivot'!$C:$P,12,0)="","",VLOOKUP($C20,'Performance Pivot'!$C:$P,12,0))</f>
        <v/>
      </c>
      <c r="O20" s="72" t="str">
        <f>IF(VLOOKUP($C20,'Performance Pivot'!$C:$P,13,0)="","",VLOOKUP($C20,'Performance Pivot'!$C:$P,13,0))</f>
        <v/>
      </c>
      <c r="P20" s="72" t="str">
        <f>IF(VLOOKUP($C20,'Performance Pivot'!$C:$P,14,0)="","",VLOOKUP($C20,'Performance Pivot'!$C:$P,14,0))</f>
        <v/>
      </c>
      <c r="Q20" s="72" t="str">
        <f>IF(VLOOKUP($C20,'Performance Pivot'!$C:$Q,15,0)="","",VLOOKUP($C20,'Performance Pivot'!$C:$Q,15,0))</f>
        <v/>
      </c>
      <c r="R20" s="75"/>
      <c r="S20" s="75"/>
      <c r="T20" s="92">
        <f t="shared" si="1"/>
        <v>41640</v>
      </c>
      <c r="U20" s="73">
        <f>IF(VLOOKUP($T20,'Performance Pivot'!$S:$AF,2,0)="","",VLOOKUP($T20,'Performance Pivot'!$S:$AF,2,0))</f>
        <v>1.66E-2</v>
      </c>
      <c r="V20" s="73">
        <f>IF(VLOOKUP($T20,'Performance Pivot'!$S:$AF,3,0)="","",VLOOKUP($T20,'Performance Pivot'!$S:$AF,3,0))</f>
        <v>0</v>
      </c>
      <c r="W20" s="73" t="str">
        <f>IF(VLOOKUP($T20,'Performance Pivot'!$S:$AF,4,0)="","",VLOOKUP($T20,'Performance Pivot'!$S:$AF,4,0))</f>
        <v/>
      </c>
      <c r="X20" s="73" t="str">
        <f>IF(VLOOKUP($T20,'Performance Pivot'!$S:$AF,5,0)="","",VLOOKUP($T20,'Performance Pivot'!$S:$AF,5,0))</f>
        <v/>
      </c>
      <c r="Y20" s="73" t="str">
        <f>IF(VLOOKUP($T20,'Performance Pivot'!$S:$AF,6,0)="","",VLOOKUP($T20,'Performance Pivot'!$S:$AF,6,0))</f>
        <v/>
      </c>
      <c r="Z20" s="73" t="str">
        <f>IF(VLOOKUP($T20,'Performance Pivot'!$S:$AF,7,0)="","",VLOOKUP($T20,'Performance Pivot'!$S:$AF,7,0))</f>
        <v/>
      </c>
      <c r="AA20" s="73" t="str">
        <f>IF(VLOOKUP($T20,'Performance Pivot'!$S:$AF,8,0)="","",VLOOKUP($T20,'Performance Pivot'!$S:$AF,8,0))</f>
        <v/>
      </c>
      <c r="AB20" s="73" t="str">
        <f>IF(VLOOKUP($T20,'Performance Pivot'!$S:$AF,9,0)="","",VLOOKUP($T20,'Performance Pivot'!$S:$AF,9,0))</f>
        <v/>
      </c>
      <c r="AC20" s="73" t="str">
        <f>IF(VLOOKUP($T20,'Performance Pivot'!$S:$AF,10,0)="","",VLOOKUP($T20,'Performance Pivot'!$S:$AF,10,0))</f>
        <v/>
      </c>
      <c r="AD20" s="73" t="str">
        <f>IF(VLOOKUP($T20,'Performance Pivot'!$S:$AF,11,0)="","",VLOOKUP($T20,'Performance Pivot'!$S:$AF,11,0))</f>
        <v/>
      </c>
      <c r="AE20" s="73" t="str">
        <f>IF(VLOOKUP($T20,'Performance Pivot'!$S:$AF,12,0)="","",VLOOKUP($T20,'Performance Pivot'!$S:$AF,12,0))</f>
        <v/>
      </c>
      <c r="AF20" s="73" t="str">
        <f>IF(VLOOKUP($T20,'Performance Pivot'!$S:$AF,13,0)="","",VLOOKUP($T20,'Performance Pivot'!$S:$AF,13,0))</f>
        <v/>
      </c>
      <c r="AG20" s="73" t="str">
        <f>IF(VLOOKUP($T20,'Performance Pivot'!$S:$AF,14,0)="","",VLOOKUP($T20,'Performance Pivot'!$S:$AF,14,0))</f>
        <v/>
      </c>
      <c r="AH20" s="73" t="str">
        <f>IF(VLOOKUP($T20,'Performance Pivot'!$S:$AG,15,0)="","",VLOOKUP($T20,'Performance Pivot'!$S:$AG,15,0))</f>
        <v/>
      </c>
    </row>
    <row r="21" spans="3:34" s="74" customFormat="1" ht="21" customHeight="1">
      <c r="C21" s="92">
        <f>'Performance Pivot'!C37</f>
        <v>41671</v>
      </c>
      <c r="D21" s="72">
        <f>IF(VLOOKUP($C21,'Performance Pivot'!$C:$P,2,0)="","",VLOOKUP($C21,'Performance Pivot'!$C:$P,2,0))</f>
        <v>3.5939000000000001</v>
      </c>
      <c r="E21" s="72">
        <f>IF(VLOOKUP($C21,'Performance Pivot'!$C:$P,3,0)="","",VLOOKUP($C21,'Performance Pivot'!$C:$P,3,0))</f>
        <v>3.2147000000000001</v>
      </c>
      <c r="F21" s="72" t="str">
        <f>IF(VLOOKUP($C21,'Performance Pivot'!$C:$P,4,0)="","",VLOOKUP($C21,'Performance Pivot'!$C:$P,4,0))</f>
        <v/>
      </c>
      <c r="G21" s="72" t="str">
        <f>IF(VLOOKUP($C21,'Performance Pivot'!$C:$P,5,0)="","",VLOOKUP($C21,'Performance Pivot'!$C:$P,5,0))</f>
        <v/>
      </c>
      <c r="H21" s="72" t="str">
        <f>IF(VLOOKUP($C21,'Performance Pivot'!$C:$P,6,0)="","",VLOOKUP($C21,'Performance Pivot'!$C:$P,6,0))</f>
        <v/>
      </c>
      <c r="I21" s="72" t="str">
        <f>IF(VLOOKUP($C21,'Performance Pivot'!$C:$P,7,0)="","",VLOOKUP($C21,'Performance Pivot'!$C:$P,7,0))</f>
        <v/>
      </c>
      <c r="J21" s="72" t="str">
        <f>IF(VLOOKUP($C21,'Performance Pivot'!$C:$P,8,0)="","",VLOOKUP($C21,'Performance Pivot'!$C:$P,8,0))</f>
        <v/>
      </c>
      <c r="K21" s="72" t="str">
        <f>IF(VLOOKUP($C21,'Performance Pivot'!$C:$P,9,0)="","",VLOOKUP($C21,'Performance Pivot'!$C:$P,9,0))</f>
        <v/>
      </c>
      <c r="L21" s="72" t="str">
        <f>IF(VLOOKUP($C21,'Performance Pivot'!$C:$P,10,0)="","",VLOOKUP($C21,'Performance Pivot'!$C:$P,10,0))</f>
        <v/>
      </c>
      <c r="M21" s="72" t="str">
        <f>IF(VLOOKUP($C21,'Performance Pivot'!$C:$P,11,0)="","",VLOOKUP($C21,'Performance Pivot'!$C:$P,11,0))</f>
        <v/>
      </c>
      <c r="N21" s="72" t="str">
        <f>IF(VLOOKUP($C21,'Performance Pivot'!$C:$P,12,0)="","",VLOOKUP($C21,'Performance Pivot'!$C:$P,12,0))</f>
        <v/>
      </c>
      <c r="O21" s="72" t="str">
        <f>IF(VLOOKUP($C21,'Performance Pivot'!$C:$P,13,0)="","",VLOOKUP($C21,'Performance Pivot'!$C:$P,13,0))</f>
        <v/>
      </c>
      <c r="P21" s="72" t="str">
        <f>IF(VLOOKUP($C21,'Performance Pivot'!$C:$P,14,0)="","",VLOOKUP($C21,'Performance Pivot'!$C:$P,14,0))</f>
        <v/>
      </c>
      <c r="Q21" s="72" t="str">
        <f>IF(VLOOKUP($C21,'Performance Pivot'!$C:$Q,15,0)="","",VLOOKUP($C21,'Performance Pivot'!$C:$Q,15,0))</f>
        <v/>
      </c>
      <c r="R21" s="75"/>
      <c r="S21" s="75"/>
      <c r="T21" s="92">
        <f t="shared" si="1"/>
        <v>41671</v>
      </c>
      <c r="U21" s="73">
        <f>IF(VLOOKUP($T21,'Performance Pivot'!$S:$AF,2,0)="","",VLOOKUP($T21,'Performance Pivot'!$S:$AF,2,0))</f>
        <v>0.03</v>
      </c>
      <c r="V21" s="73">
        <f>IF(VLOOKUP($T21,'Performance Pivot'!$S:$AF,3,0)="","",VLOOKUP($T21,'Performance Pivot'!$S:$AF,3,0))</f>
        <v>0</v>
      </c>
      <c r="W21" s="73" t="str">
        <f>IF(VLOOKUP($T21,'Performance Pivot'!$S:$AF,4,0)="","",VLOOKUP($T21,'Performance Pivot'!$S:$AF,4,0))</f>
        <v/>
      </c>
      <c r="X21" s="73" t="str">
        <f>IF(VLOOKUP($T21,'Performance Pivot'!$S:$AF,5,0)="","",VLOOKUP($T21,'Performance Pivot'!$S:$AF,5,0))</f>
        <v/>
      </c>
      <c r="Y21" s="73" t="str">
        <f>IF(VLOOKUP($T21,'Performance Pivot'!$S:$AF,6,0)="","",VLOOKUP($T21,'Performance Pivot'!$S:$AF,6,0))</f>
        <v/>
      </c>
      <c r="Z21" s="73" t="str">
        <f>IF(VLOOKUP($T21,'Performance Pivot'!$S:$AF,7,0)="","",VLOOKUP($T21,'Performance Pivot'!$S:$AF,7,0))</f>
        <v/>
      </c>
      <c r="AA21" s="73" t="str">
        <f>IF(VLOOKUP($T21,'Performance Pivot'!$S:$AF,8,0)="","",VLOOKUP($T21,'Performance Pivot'!$S:$AF,8,0))</f>
        <v/>
      </c>
      <c r="AB21" s="73" t="str">
        <f>IF(VLOOKUP($T21,'Performance Pivot'!$S:$AF,9,0)="","",VLOOKUP($T21,'Performance Pivot'!$S:$AF,9,0))</f>
        <v/>
      </c>
      <c r="AC21" s="73" t="str">
        <f>IF(VLOOKUP($T21,'Performance Pivot'!$S:$AF,10,0)="","",VLOOKUP($T21,'Performance Pivot'!$S:$AF,10,0))</f>
        <v/>
      </c>
      <c r="AD21" s="73" t="str">
        <f>IF(VLOOKUP($T21,'Performance Pivot'!$S:$AF,11,0)="","",VLOOKUP($T21,'Performance Pivot'!$S:$AF,11,0))</f>
        <v/>
      </c>
      <c r="AE21" s="73" t="str">
        <f>IF(VLOOKUP($T21,'Performance Pivot'!$S:$AF,12,0)="","",VLOOKUP($T21,'Performance Pivot'!$S:$AF,12,0))</f>
        <v/>
      </c>
      <c r="AF21" s="73" t="str">
        <f>IF(VLOOKUP($T21,'Performance Pivot'!$S:$AF,13,0)="","",VLOOKUP($T21,'Performance Pivot'!$S:$AF,13,0))</f>
        <v/>
      </c>
      <c r="AG21" s="73" t="str">
        <f>IF(VLOOKUP($T21,'Performance Pivot'!$S:$AF,14,0)="","",VLOOKUP($T21,'Performance Pivot'!$S:$AF,14,0))</f>
        <v/>
      </c>
      <c r="AH21" s="73" t="str">
        <f>IF(VLOOKUP($T21,'Performance Pivot'!$S:$AG,15,0)="","",VLOOKUP($T21,'Performance Pivot'!$S:$AG,15,0))</f>
        <v/>
      </c>
    </row>
    <row r="22" spans="3:34" s="74" customFormat="1" ht="21" customHeight="1">
      <c r="C22" s="92">
        <f>'Performance Pivot'!C36</f>
        <v>41699</v>
      </c>
      <c r="D22" s="72">
        <f>IF(VLOOKUP($C22,'Performance Pivot'!$C:$P,2,0)="","",VLOOKUP($C22,'Performance Pivot'!$C:$P,2,0))</f>
        <v>4.4953000000000003</v>
      </c>
      <c r="E22" s="72">
        <f>IF(VLOOKUP($C22,'Performance Pivot'!$C:$P,3,0)="","",VLOOKUP($C22,'Performance Pivot'!$C:$P,3,0))</f>
        <v>4.0956000000000001</v>
      </c>
      <c r="F22" s="72">
        <f>IF(VLOOKUP($C22,'Performance Pivot'!$C:$P,4,0)="","",VLOOKUP($C22,'Performance Pivot'!$C:$P,4,0))</f>
        <v>7.9222999999999999</v>
      </c>
      <c r="G22" s="72" t="str">
        <f>IF(VLOOKUP($C22,'Performance Pivot'!$C:$P,5,0)="","",VLOOKUP($C22,'Performance Pivot'!$C:$P,5,0))</f>
        <v/>
      </c>
      <c r="H22" s="72" t="str">
        <f>IF(VLOOKUP($C22,'Performance Pivot'!$C:$P,6,0)="","",VLOOKUP($C22,'Performance Pivot'!$C:$P,6,0))</f>
        <v/>
      </c>
      <c r="I22" s="72" t="str">
        <f>IF(VLOOKUP($C22,'Performance Pivot'!$C:$P,7,0)="","",VLOOKUP($C22,'Performance Pivot'!$C:$P,7,0))</f>
        <v/>
      </c>
      <c r="J22" s="72" t="str">
        <f>IF(VLOOKUP($C22,'Performance Pivot'!$C:$P,8,0)="","",VLOOKUP($C22,'Performance Pivot'!$C:$P,8,0))</f>
        <v/>
      </c>
      <c r="K22" s="72" t="str">
        <f>IF(VLOOKUP($C22,'Performance Pivot'!$C:$P,9,0)="","",VLOOKUP($C22,'Performance Pivot'!$C:$P,9,0))</f>
        <v/>
      </c>
      <c r="L22" s="72" t="str">
        <f>IF(VLOOKUP($C22,'Performance Pivot'!$C:$P,10,0)="","",VLOOKUP($C22,'Performance Pivot'!$C:$P,10,0))</f>
        <v/>
      </c>
      <c r="M22" s="72" t="str">
        <f>IF(VLOOKUP($C22,'Performance Pivot'!$C:$P,11,0)="","",VLOOKUP($C22,'Performance Pivot'!$C:$P,11,0))</f>
        <v/>
      </c>
      <c r="N22" s="72" t="str">
        <f>IF(VLOOKUP($C22,'Performance Pivot'!$C:$P,12,0)="","",VLOOKUP($C22,'Performance Pivot'!$C:$P,12,0))</f>
        <v/>
      </c>
      <c r="O22" s="72" t="str">
        <f>IF(VLOOKUP($C22,'Performance Pivot'!$C:$P,13,0)="","",VLOOKUP($C22,'Performance Pivot'!$C:$P,13,0))</f>
        <v/>
      </c>
      <c r="P22" s="72" t="str">
        <f>IF(VLOOKUP($C22,'Performance Pivot'!$C:$P,14,0)="","",VLOOKUP($C22,'Performance Pivot'!$C:$P,14,0))</f>
        <v/>
      </c>
      <c r="Q22" s="72" t="str">
        <f>IF(VLOOKUP($C22,'Performance Pivot'!$C:$Q,15,0)="","",VLOOKUP($C22,'Performance Pivot'!$C:$Q,15,0))</f>
        <v/>
      </c>
      <c r="R22" s="75"/>
      <c r="S22" s="75"/>
      <c r="T22" s="92">
        <f t="shared" si="1"/>
        <v>41699</v>
      </c>
      <c r="U22" s="73">
        <f>IF(VLOOKUP($T22,'Performance Pivot'!$S:$AF,2,0)="","",VLOOKUP($T22,'Performance Pivot'!$S:$AF,2,0))</f>
        <v>1.9E-2</v>
      </c>
      <c r="V22" s="73">
        <f>IF(VLOOKUP($T22,'Performance Pivot'!$S:$AF,3,0)="","",VLOOKUP($T22,'Performance Pivot'!$S:$AF,3,0))</f>
        <v>8.9999999999999993E-3</v>
      </c>
      <c r="W22" s="73">
        <f>IF(VLOOKUP($T22,'Performance Pivot'!$S:$AF,4,0)="","",VLOOKUP($T22,'Performance Pivot'!$S:$AF,4,0))</f>
        <v>0</v>
      </c>
      <c r="X22" s="73" t="str">
        <f>IF(VLOOKUP($T22,'Performance Pivot'!$S:$AF,5,0)="","",VLOOKUP($T22,'Performance Pivot'!$S:$AF,5,0))</f>
        <v/>
      </c>
      <c r="Y22" s="73" t="str">
        <f>IF(VLOOKUP($T22,'Performance Pivot'!$S:$AF,6,0)="","",VLOOKUP($T22,'Performance Pivot'!$S:$AF,6,0))</f>
        <v/>
      </c>
      <c r="Z22" s="73" t="str">
        <f>IF(VLOOKUP($T22,'Performance Pivot'!$S:$AF,7,0)="","",VLOOKUP($T22,'Performance Pivot'!$S:$AF,7,0))</f>
        <v/>
      </c>
      <c r="AA22" s="73" t="str">
        <f>IF(VLOOKUP($T22,'Performance Pivot'!$S:$AF,8,0)="","",VLOOKUP($T22,'Performance Pivot'!$S:$AF,8,0))</f>
        <v/>
      </c>
      <c r="AB22" s="73" t="str">
        <f>IF(VLOOKUP($T22,'Performance Pivot'!$S:$AF,9,0)="","",VLOOKUP($T22,'Performance Pivot'!$S:$AF,9,0))</f>
        <v/>
      </c>
      <c r="AC22" s="73" t="str">
        <f>IF(VLOOKUP($T22,'Performance Pivot'!$S:$AF,10,0)="","",VLOOKUP($T22,'Performance Pivot'!$S:$AF,10,0))</f>
        <v/>
      </c>
      <c r="AD22" s="73" t="str">
        <f>IF(VLOOKUP($T22,'Performance Pivot'!$S:$AF,11,0)="","",VLOOKUP($T22,'Performance Pivot'!$S:$AF,11,0))</f>
        <v/>
      </c>
      <c r="AE22" s="73" t="str">
        <f>IF(VLOOKUP($T22,'Performance Pivot'!$S:$AF,12,0)="","",VLOOKUP($T22,'Performance Pivot'!$S:$AF,12,0))</f>
        <v/>
      </c>
      <c r="AF22" s="73" t="str">
        <f>IF(VLOOKUP($T22,'Performance Pivot'!$S:$AF,13,0)="","",VLOOKUP($T22,'Performance Pivot'!$S:$AF,13,0))</f>
        <v/>
      </c>
      <c r="AG22" s="73" t="str">
        <f>IF(VLOOKUP($T22,'Performance Pivot'!$S:$AF,14,0)="","",VLOOKUP($T22,'Performance Pivot'!$S:$AF,14,0))</f>
        <v/>
      </c>
      <c r="AH22" s="73" t="str">
        <f>IF(VLOOKUP($T22,'Performance Pivot'!$S:$AG,15,0)="","",VLOOKUP($T22,'Performance Pivot'!$S:$AG,15,0))</f>
        <v/>
      </c>
    </row>
    <row r="23" spans="3:34" s="74" customFormat="1" ht="21" customHeight="1">
      <c r="C23" s="92">
        <f>'Performance Pivot'!C35</f>
        <v>41730</v>
      </c>
      <c r="D23" s="72">
        <f>IF(VLOOKUP($C23,'Performance Pivot'!$C:$P,2,0)="","",VLOOKUP($C23,'Performance Pivot'!$C:$P,2,0))</f>
        <v>4.6524000000000001</v>
      </c>
      <c r="E23" s="72">
        <f>IF(VLOOKUP($C23,'Performance Pivot'!$C:$P,3,0)="","",VLOOKUP($C23,'Performance Pivot'!$C:$P,3,0))</f>
        <v>4.5244999999999997</v>
      </c>
      <c r="F23" s="72">
        <f>IF(VLOOKUP($C23,'Performance Pivot'!$C:$P,4,0)="","",VLOOKUP($C23,'Performance Pivot'!$C:$P,4,0))</f>
        <v>4.5065</v>
      </c>
      <c r="G23" s="72" t="str">
        <f>IF(VLOOKUP($C23,'Performance Pivot'!$C:$P,5,0)="","",VLOOKUP($C23,'Performance Pivot'!$C:$P,5,0))</f>
        <v/>
      </c>
      <c r="H23" s="72" t="str">
        <f>IF(VLOOKUP($C23,'Performance Pivot'!$C:$P,6,0)="","",VLOOKUP($C23,'Performance Pivot'!$C:$P,6,0))</f>
        <v/>
      </c>
      <c r="I23" s="72" t="str">
        <f>IF(VLOOKUP($C23,'Performance Pivot'!$C:$P,7,0)="","",VLOOKUP($C23,'Performance Pivot'!$C:$P,7,0))</f>
        <v/>
      </c>
      <c r="J23" s="72" t="str">
        <f>IF(VLOOKUP($C23,'Performance Pivot'!$C:$P,8,0)="","",VLOOKUP($C23,'Performance Pivot'!$C:$P,8,0))</f>
        <v/>
      </c>
      <c r="K23" s="72" t="str">
        <f>IF(VLOOKUP($C23,'Performance Pivot'!$C:$P,9,0)="","",VLOOKUP($C23,'Performance Pivot'!$C:$P,9,0))</f>
        <v/>
      </c>
      <c r="L23" s="72" t="str">
        <f>IF(VLOOKUP($C23,'Performance Pivot'!$C:$P,10,0)="","",VLOOKUP($C23,'Performance Pivot'!$C:$P,10,0))</f>
        <v/>
      </c>
      <c r="M23" s="72" t="str">
        <f>IF(VLOOKUP($C23,'Performance Pivot'!$C:$P,11,0)="","",VLOOKUP($C23,'Performance Pivot'!$C:$P,11,0))</f>
        <v/>
      </c>
      <c r="N23" s="72" t="str">
        <f>IF(VLOOKUP($C23,'Performance Pivot'!$C:$P,12,0)="","",VLOOKUP($C23,'Performance Pivot'!$C:$P,12,0))</f>
        <v/>
      </c>
      <c r="O23" s="72" t="str">
        <f>IF(VLOOKUP($C23,'Performance Pivot'!$C:$P,13,0)="","",VLOOKUP($C23,'Performance Pivot'!$C:$P,13,0))</f>
        <v/>
      </c>
      <c r="P23" s="72" t="str">
        <f>IF(VLOOKUP($C23,'Performance Pivot'!$C:$P,14,0)="","",VLOOKUP($C23,'Performance Pivot'!$C:$P,14,0))</f>
        <v/>
      </c>
      <c r="Q23" s="72" t="str">
        <f>IF(VLOOKUP($C23,'Performance Pivot'!$C:$Q,15,0)="","",VLOOKUP($C23,'Performance Pivot'!$C:$Q,15,0))</f>
        <v/>
      </c>
      <c r="R23" s="75"/>
      <c r="S23" s="75"/>
      <c r="T23" s="92">
        <f t="shared" si="1"/>
        <v>41730</v>
      </c>
      <c r="U23" s="73">
        <f>IF(VLOOKUP($T23,'Performance Pivot'!$S:$AF,2,0)="","",VLOOKUP($T23,'Performance Pivot'!$S:$AF,2,0))</f>
        <v>8.3900000000000002E-2</v>
      </c>
      <c r="V23" s="73">
        <f>IF(VLOOKUP($T23,'Performance Pivot'!$S:$AF,3,0)="","",VLOOKUP($T23,'Performance Pivot'!$S:$AF,3,0))</f>
        <v>3.9E-2</v>
      </c>
      <c r="W23" s="73">
        <f>IF(VLOOKUP($T23,'Performance Pivot'!$S:$AF,4,0)="","",VLOOKUP($T23,'Performance Pivot'!$S:$AF,4,0))</f>
        <v>0</v>
      </c>
      <c r="X23" s="73" t="str">
        <f>IF(VLOOKUP($T23,'Performance Pivot'!$S:$AF,5,0)="","",VLOOKUP($T23,'Performance Pivot'!$S:$AF,5,0))</f>
        <v/>
      </c>
      <c r="Y23" s="73" t="str">
        <f>IF(VLOOKUP($T23,'Performance Pivot'!$S:$AF,6,0)="","",VLOOKUP($T23,'Performance Pivot'!$S:$AF,6,0))</f>
        <v/>
      </c>
      <c r="Z23" s="73" t="str">
        <f>IF(VLOOKUP($T23,'Performance Pivot'!$S:$AF,7,0)="","",VLOOKUP($T23,'Performance Pivot'!$S:$AF,7,0))</f>
        <v/>
      </c>
      <c r="AA23" s="73" t="str">
        <f>IF(VLOOKUP($T23,'Performance Pivot'!$S:$AF,8,0)="","",VLOOKUP($T23,'Performance Pivot'!$S:$AF,8,0))</f>
        <v/>
      </c>
      <c r="AB23" s="73" t="str">
        <f>IF(VLOOKUP($T23,'Performance Pivot'!$S:$AF,9,0)="","",VLOOKUP($T23,'Performance Pivot'!$S:$AF,9,0))</f>
        <v/>
      </c>
      <c r="AC23" s="73" t="str">
        <f>IF(VLOOKUP($T23,'Performance Pivot'!$S:$AF,10,0)="","",VLOOKUP($T23,'Performance Pivot'!$S:$AF,10,0))</f>
        <v/>
      </c>
      <c r="AD23" s="73" t="str">
        <f>IF(VLOOKUP($T23,'Performance Pivot'!$S:$AF,11,0)="","",VLOOKUP($T23,'Performance Pivot'!$S:$AF,11,0))</f>
        <v/>
      </c>
      <c r="AE23" s="73" t="str">
        <f>IF(VLOOKUP($T23,'Performance Pivot'!$S:$AF,12,0)="","",VLOOKUP($T23,'Performance Pivot'!$S:$AF,12,0))</f>
        <v/>
      </c>
      <c r="AF23" s="73" t="str">
        <f>IF(VLOOKUP($T23,'Performance Pivot'!$S:$AF,13,0)="","",VLOOKUP($T23,'Performance Pivot'!$S:$AF,13,0))</f>
        <v/>
      </c>
      <c r="AG23" s="73" t="str">
        <f>IF(VLOOKUP($T23,'Performance Pivot'!$S:$AF,14,0)="","",VLOOKUP($T23,'Performance Pivot'!$S:$AF,14,0))</f>
        <v/>
      </c>
      <c r="AH23" s="73" t="str">
        <f>IF(VLOOKUP($T23,'Performance Pivot'!$S:$AG,15,0)="","",VLOOKUP($T23,'Performance Pivot'!$S:$AG,15,0))</f>
        <v/>
      </c>
    </row>
    <row r="24" spans="3:34" s="74" customFormat="1" ht="21" customHeight="1">
      <c r="C24" s="92">
        <f>'Performance Pivot'!C34</f>
        <v>41760</v>
      </c>
      <c r="D24" s="72">
        <f>IF(VLOOKUP($C24,'Performance Pivot'!$C:$P,2,0)="","",VLOOKUP($C24,'Performance Pivot'!$C:$P,2,0))</f>
        <v>6.4558999999999997</v>
      </c>
      <c r="E24" s="72">
        <f>IF(VLOOKUP($C24,'Performance Pivot'!$C:$P,3,0)="","",VLOOKUP($C24,'Performance Pivot'!$C:$P,3,0))</f>
        <v>5.7373000000000003</v>
      </c>
      <c r="F24" s="72">
        <f>IF(VLOOKUP($C24,'Performance Pivot'!$C:$P,4,0)="","",VLOOKUP($C24,'Performance Pivot'!$C:$P,4,0))</f>
        <v>5.3193999999999999</v>
      </c>
      <c r="G24" s="72">
        <f>IF(VLOOKUP($C24,'Performance Pivot'!$C:$P,5,0)="","",VLOOKUP($C24,'Performance Pivot'!$C:$P,5,0))</f>
        <v>15.2399</v>
      </c>
      <c r="H24" s="72" t="str">
        <f>IF(VLOOKUP($C24,'Performance Pivot'!$C:$P,6,0)="","",VLOOKUP($C24,'Performance Pivot'!$C:$P,6,0))</f>
        <v/>
      </c>
      <c r="I24" s="72" t="str">
        <f>IF(VLOOKUP($C24,'Performance Pivot'!$C:$P,7,0)="","",VLOOKUP($C24,'Performance Pivot'!$C:$P,7,0))</f>
        <v/>
      </c>
      <c r="J24" s="72" t="str">
        <f>IF(VLOOKUP($C24,'Performance Pivot'!$C:$P,8,0)="","",VLOOKUP($C24,'Performance Pivot'!$C:$P,8,0))</f>
        <v/>
      </c>
      <c r="K24" s="72" t="str">
        <f>IF(VLOOKUP($C24,'Performance Pivot'!$C:$P,9,0)="","",VLOOKUP($C24,'Performance Pivot'!$C:$P,9,0))</f>
        <v/>
      </c>
      <c r="L24" s="72" t="str">
        <f>IF(VLOOKUP($C24,'Performance Pivot'!$C:$P,10,0)="","",VLOOKUP($C24,'Performance Pivot'!$C:$P,10,0))</f>
        <v/>
      </c>
      <c r="M24" s="72" t="str">
        <f>IF(VLOOKUP($C24,'Performance Pivot'!$C:$P,11,0)="","",VLOOKUP($C24,'Performance Pivot'!$C:$P,11,0))</f>
        <v/>
      </c>
      <c r="N24" s="72" t="str">
        <f>IF(VLOOKUP($C24,'Performance Pivot'!$C:$P,12,0)="","",VLOOKUP($C24,'Performance Pivot'!$C:$P,12,0))</f>
        <v/>
      </c>
      <c r="O24" s="72" t="str">
        <f>IF(VLOOKUP($C24,'Performance Pivot'!$C:$P,13,0)="","",VLOOKUP($C24,'Performance Pivot'!$C:$P,13,0))</f>
        <v/>
      </c>
      <c r="P24" s="72" t="str">
        <f>IF(VLOOKUP($C24,'Performance Pivot'!$C:$P,14,0)="","",VLOOKUP($C24,'Performance Pivot'!$C:$P,14,0))</f>
        <v/>
      </c>
      <c r="Q24" s="72" t="str">
        <f>IF(VLOOKUP($C24,'Performance Pivot'!$C:$Q,15,0)="","",VLOOKUP($C24,'Performance Pivot'!$C:$Q,15,0))</f>
        <v/>
      </c>
      <c r="R24" s="75"/>
      <c r="S24" s="75"/>
      <c r="T24" s="92">
        <f t="shared" si="1"/>
        <v>41760</v>
      </c>
      <c r="U24" s="73">
        <f>IF(VLOOKUP($T24,'Performance Pivot'!$S:$AF,2,0)="","",VLOOKUP($T24,'Performance Pivot'!$S:$AF,2,0))</f>
        <v>5.5599999999999997E-2</v>
      </c>
      <c r="V24" s="73">
        <f>IF(VLOOKUP($T24,'Performance Pivot'!$S:$AF,3,0)="","",VLOOKUP($T24,'Performance Pivot'!$S:$AF,3,0))</f>
        <v>1.7299999999999999E-2</v>
      </c>
      <c r="W24" s="73">
        <f>IF(VLOOKUP($T24,'Performance Pivot'!$S:$AF,4,0)="","",VLOOKUP($T24,'Performance Pivot'!$S:$AF,4,0))</f>
        <v>0</v>
      </c>
      <c r="X24" s="73">
        <f>IF(VLOOKUP($T24,'Performance Pivot'!$S:$AF,5,0)="","",VLOOKUP($T24,'Performance Pivot'!$S:$AF,5,0))</f>
        <v>0</v>
      </c>
      <c r="Y24" s="73" t="str">
        <f>IF(VLOOKUP($T24,'Performance Pivot'!$S:$AF,6,0)="","",VLOOKUP($T24,'Performance Pivot'!$S:$AF,6,0))</f>
        <v/>
      </c>
      <c r="Z24" s="73" t="str">
        <f>IF(VLOOKUP($T24,'Performance Pivot'!$S:$AF,7,0)="","",VLOOKUP($T24,'Performance Pivot'!$S:$AF,7,0))</f>
        <v/>
      </c>
      <c r="AA24" s="73" t="str">
        <f>IF(VLOOKUP($T24,'Performance Pivot'!$S:$AF,8,0)="","",VLOOKUP($T24,'Performance Pivot'!$S:$AF,8,0))</f>
        <v/>
      </c>
      <c r="AB24" s="73" t="str">
        <f>IF(VLOOKUP($T24,'Performance Pivot'!$S:$AF,9,0)="","",VLOOKUP($T24,'Performance Pivot'!$S:$AF,9,0))</f>
        <v/>
      </c>
      <c r="AC24" s="73" t="str">
        <f>IF(VLOOKUP($T24,'Performance Pivot'!$S:$AF,10,0)="","",VLOOKUP($T24,'Performance Pivot'!$S:$AF,10,0))</f>
        <v/>
      </c>
      <c r="AD24" s="73" t="str">
        <f>IF(VLOOKUP($T24,'Performance Pivot'!$S:$AF,11,0)="","",VLOOKUP($T24,'Performance Pivot'!$S:$AF,11,0))</f>
        <v/>
      </c>
      <c r="AE24" s="73" t="str">
        <f>IF(VLOOKUP($T24,'Performance Pivot'!$S:$AF,12,0)="","",VLOOKUP($T24,'Performance Pivot'!$S:$AF,12,0))</f>
        <v/>
      </c>
      <c r="AF24" s="73" t="str">
        <f>IF(VLOOKUP($T24,'Performance Pivot'!$S:$AF,13,0)="","",VLOOKUP($T24,'Performance Pivot'!$S:$AF,13,0))</f>
        <v/>
      </c>
      <c r="AG24" s="73" t="str">
        <f>IF(VLOOKUP($T24,'Performance Pivot'!$S:$AF,14,0)="","",VLOOKUP($T24,'Performance Pivot'!$S:$AF,14,0))</f>
        <v/>
      </c>
      <c r="AH24" s="73" t="str">
        <f>IF(VLOOKUP($T24,'Performance Pivot'!$S:$AG,15,0)="","",VLOOKUP($T24,'Performance Pivot'!$S:$AG,15,0))</f>
        <v/>
      </c>
    </row>
    <row r="25" spans="3:34" s="74" customFormat="1" ht="21" customHeight="1">
      <c r="C25" s="92">
        <f>'Performance Pivot'!C33</f>
        <v>41791</v>
      </c>
      <c r="D25" s="72">
        <f>IF(VLOOKUP($C25,'Performance Pivot'!$C:$P,2,0)="","",VLOOKUP($C25,'Performance Pivot'!$C:$P,2,0))</f>
        <v>7.9889999999999999</v>
      </c>
      <c r="E25" s="72">
        <f>IF(VLOOKUP($C25,'Performance Pivot'!$C:$P,3,0)="","",VLOOKUP($C25,'Performance Pivot'!$C:$P,3,0))</f>
        <v>6.2439999999999998</v>
      </c>
      <c r="F25" s="72">
        <f>IF(VLOOKUP($C25,'Performance Pivot'!$C:$P,4,0)="","",VLOOKUP($C25,'Performance Pivot'!$C:$P,4,0))</f>
        <v>6.0590999999999999</v>
      </c>
      <c r="G25" s="72">
        <f>IF(VLOOKUP($C25,'Performance Pivot'!$C:$P,5,0)="","",VLOOKUP($C25,'Performance Pivot'!$C:$P,5,0))</f>
        <v>9.2096999999999998</v>
      </c>
      <c r="H25" s="72" t="str">
        <f>IF(VLOOKUP($C25,'Performance Pivot'!$C:$P,6,0)="","",VLOOKUP($C25,'Performance Pivot'!$C:$P,6,0))</f>
        <v/>
      </c>
      <c r="I25" s="72" t="str">
        <f>IF(VLOOKUP($C25,'Performance Pivot'!$C:$P,7,0)="","",VLOOKUP($C25,'Performance Pivot'!$C:$P,7,0))</f>
        <v/>
      </c>
      <c r="J25" s="72" t="str">
        <f>IF(VLOOKUP($C25,'Performance Pivot'!$C:$P,8,0)="","",VLOOKUP($C25,'Performance Pivot'!$C:$P,8,0))</f>
        <v/>
      </c>
      <c r="K25" s="72" t="str">
        <f>IF(VLOOKUP($C25,'Performance Pivot'!$C:$P,9,0)="","",VLOOKUP($C25,'Performance Pivot'!$C:$P,9,0))</f>
        <v/>
      </c>
      <c r="L25" s="72" t="str">
        <f>IF(VLOOKUP($C25,'Performance Pivot'!$C:$P,10,0)="","",VLOOKUP($C25,'Performance Pivot'!$C:$P,10,0))</f>
        <v/>
      </c>
      <c r="M25" s="72" t="str">
        <f>IF(VLOOKUP($C25,'Performance Pivot'!$C:$P,11,0)="","",VLOOKUP($C25,'Performance Pivot'!$C:$P,11,0))</f>
        <v/>
      </c>
      <c r="N25" s="72" t="str">
        <f>IF(VLOOKUP($C25,'Performance Pivot'!$C:$P,12,0)="","",VLOOKUP($C25,'Performance Pivot'!$C:$P,12,0))</f>
        <v/>
      </c>
      <c r="O25" s="72" t="str">
        <f>IF(VLOOKUP($C25,'Performance Pivot'!$C:$P,13,0)="","",VLOOKUP($C25,'Performance Pivot'!$C:$P,13,0))</f>
        <v/>
      </c>
      <c r="P25" s="72" t="str">
        <f>IF(VLOOKUP($C25,'Performance Pivot'!$C:$P,14,0)="","",VLOOKUP($C25,'Performance Pivot'!$C:$P,14,0))</f>
        <v/>
      </c>
      <c r="Q25" s="72" t="str">
        <f>IF(VLOOKUP($C25,'Performance Pivot'!$C:$Q,15,0)="","",VLOOKUP($C25,'Performance Pivot'!$C:$Q,15,0))</f>
        <v/>
      </c>
      <c r="R25" s="75"/>
      <c r="S25" s="75"/>
      <c r="T25" s="92">
        <f t="shared" si="1"/>
        <v>41791</v>
      </c>
      <c r="U25" s="73">
        <f>IF(VLOOKUP($T25,'Performance Pivot'!$S:$AF,2,0)="","",VLOOKUP($T25,'Performance Pivot'!$S:$AF,2,0))</f>
        <v>5.04E-2</v>
      </c>
      <c r="V25" s="73">
        <f>IF(VLOOKUP($T25,'Performance Pivot'!$S:$AF,3,0)="","",VLOOKUP($T25,'Performance Pivot'!$S:$AF,3,0))</f>
        <v>2.12E-2</v>
      </c>
      <c r="W25" s="73">
        <f>IF(VLOOKUP($T25,'Performance Pivot'!$S:$AF,4,0)="","",VLOOKUP($T25,'Performance Pivot'!$S:$AF,4,0))</f>
        <v>1.5599999999999999E-2</v>
      </c>
      <c r="X25" s="73">
        <f>IF(VLOOKUP($T25,'Performance Pivot'!$S:$AF,5,0)="","",VLOOKUP($T25,'Performance Pivot'!$S:$AF,5,0))</f>
        <v>0</v>
      </c>
      <c r="Y25" s="73" t="str">
        <f>IF(VLOOKUP($T25,'Performance Pivot'!$S:$AF,6,0)="","",VLOOKUP($T25,'Performance Pivot'!$S:$AF,6,0))</f>
        <v/>
      </c>
      <c r="Z25" s="73" t="str">
        <f>IF(VLOOKUP($T25,'Performance Pivot'!$S:$AF,7,0)="","",VLOOKUP($T25,'Performance Pivot'!$S:$AF,7,0))</f>
        <v/>
      </c>
      <c r="AA25" s="73" t="str">
        <f>IF(VLOOKUP($T25,'Performance Pivot'!$S:$AF,8,0)="","",VLOOKUP($T25,'Performance Pivot'!$S:$AF,8,0))</f>
        <v/>
      </c>
      <c r="AB25" s="73" t="str">
        <f>IF(VLOOKUP($T25,'Performance Pivot'!$S:$AF,9,0)="","",VLOOKUP($T25,'Performance Pivot'!$S:$AF,9,0))</f>
        <v/>
      </c>
      <c r="AC25" s="73" t="str">
        <f>IF(VLOOKUP($T25,'Performance Pivot'!$S:$AF,10,0)="","",VLOOKUP($T25,'Performance Pivot'!$S:$AF,10,0))</f>
        <v/>
      </c>
      <c r="AD25" s="73" t="str">
        <f>IF(VLOOKUP($T25,'Performance Pivot'!$S:$AF,11,0)="","",VLOOKUP($T25,'Performance Pivot'!$S:$AF,11,0))</f>
        <v/>
      </c>
      <c r="AE25" s="73" t="str">
        <f>IF(VLOOKUP($T25,'Performance Pivot'!$S:$AF,12,0)="","",VLOOKUP($T25,'Performance Pivot'!$S:$AF,12,0))</f>
        <v/>
      </c>
      <c r="AF25" s="73" t="str">
        <f>IF(VLOOKUP($T25,'Performance Pivot'!$S:$AF,13,0)="","",VLOOKUP($T25,'Performance Pivot'!$S:$AF,13,0))</f>
        <v/>
      </c>
      <c r="AG25" s="73" t="str">
        <f>IF(VLOOKUP($T25,'Performance Pivot'!$S:$AF,14,0)="","",VLOOKUP($T25,'Performance Pivot'!$S:$AF,14,0))</f>
        <v/>
      </c>
      <c r="AH25" s="73" t="str">
        <f>IF(VLOOKUP($T25,'Performance Pivot'!$S:$AG,15,0)="","",VLOOKUP($T25,'Performance Pivot'!$S:$AG,15,0))</f>
        <v/>
      </c>
    </row>
    <row r="26" spans="3:34" s="74" customFormat="1" ht="21" customHeight="1">
      <c r="C26" s="92">
        <f>'Performance Pivot'!C32</f>
        <v>41821</v>
      </c>
      <c r="D26" s="72">
        <f>IF(VLOOKUP($C26,'Performance Pivot'!$C:$P,2,0)="","",VLOOKUP($C26,'Performance Pivot'!$C:$P,2,0))</f>
        <v>7.5728999999999997</v>
      </c>
      <c r="E26" s="72">
        <f>IF(VLOOKUP($C26,'Performance Pivot'!$C:$P,3,0)="","",VLOOKUP($C26,'Performance Pivot'!$C:$P,3,0))</f>
        <v>6.4215999999999998</v>
      </c>
      <c r="F26" s="72">
        <f>IF(VLOOKUP($C26,'Performance Pivot'!$C:$P,4,0)="","",VLOOKUP($C26,'Performance Pivot'!$C:$P,4,0))</f>
        <v>5.9353999999999996</v>
      </c>
      <c r="G26" s="72">
        <f>IF(VLOOKUP($C26,'Performance Pivot'!$C:$P,5,0)="","",VLOOKUP($C26,'Performance Pivot'!$C:$P,5,0))</f>
        <v>9.1228999999999996</v>
      </c>
      <c r="H26" s="72" t="str">
        <f>IF(VLOOKUP($C26,'Performance Pivot'!$C:$P,6,0)="","",VLOOKUP($C26,'Performance Pivot'!$C:$P,6,0))</f>
        <v/>
      </c>
      <c r="I26" s="72" t="str">
        <f>IF(VLOOKUP($C26,'Performance Pivot'!$C:$P,7,0)="","",VLOOKUP($C26,'Performance Pivot'!$C:$P,7,0))</f>
        <v/>
      </c>
      <c r="J26" s="72" t="str">
        <f>IF(VLOOKUP($C26,'Performance Pivot'!$C:$P,8,0)="","",VLOOKUP($C26,'Performance Pivot'!$C:$P,8,0))</f>
        <v/>
      </c>
      <c r="K26" s="72" t="str">
        <f>IF(VLOOKUP($C26,'Performance Pivot'!$C:$P,9,0)="","",VLOOKUP($C26,'Performance Pivot'!$C:$P,9,0))</f>
        <v/>
      </c>
      <c r="L26" s="72" t="str">
        <f>IF(VLOOKUP($C26,'Performance Pivot'!$C:$P,10,0)="","",VLOOKUP($C26,'Performance Pivot'!$C:$P,10,0))</f>
        <v/>
      </c>
      <c r="M26" s="72" t="str">
        <f>IF(VLOOKUP($C26,'Performance Pivot'!$C:$P,11,0)="","",VLOOKUP($C26,'Performance Pivot'!$C:$P,11,0))</f>
        <v/>
      </c>
      <c r="N26" s="72" t="str">
        <f>IF(VLOOKUP($C26,'Performance Pivot'!$C:$P,12,0)="","",VLOOKUP($C26,'Performance Pivot'!$C:$P,12,0))</f>
        <v/>
      </c>
      <c r="O26" s="72" t="str">
        <f>IF(VLOOKUP($C26,'Performance Pivot'!$C:$P,13,0)="","",VLOOKUP($C26,'Performance Pivot'!$C:$P,13,0))</f>
        <v/>
      </c>
      <c r="P26" s="72" t="str">
        <f>IF(VLOOKUP($C26,'Performance Pivot'!$C:$P,14,0)="","",VLOOKUP($C26,'Performance Pivot'!$C:$P,14,0))</f>
        <v/>
      </c>
      <c r="Q26" s="72" t="str">
        <f>IF(VLOOKUP($C26,'Performance Pivot'!$C:$Q,15,0)="","",VLOOKUP($C26,'Performance Pivot'!$C:$Q,15,0))</f>
        <v/>
      </c>
      <c r="R26" s="75"/>
      <c r="S26" s="75"/>
      <c r="T26" s="92">
        <f t="shared" si="1"/>
        <v>41821</v>
      </c>
      <c r="U26" s="73">
        <f>IF(VLOOKUP($T26,'Performance Pivot'!$S:$AF,2,0)="","",VLOOKUP($T26,'Performance Pivot'!$S:$AF,2,0))</f>
        <v>3.8899999999999997E-2</v>
      </c>
      <c r="V26" s="73">
        <f>IF(VLOOKUP($T26,'Performance Pivot'!$S:$AF,3,0)="","",VLOOKUP($T26,'Performance Pivot'!$S:$AF,3,0))</f>
        <v>2.7699999999999999E-2</v>
      </c>
      <c r="W26" s="73">
        <f>IF(VLOOKUP($T26,'Performance Pivot'!$S:$AF,4,0)="","",VLOOKUP($T26,'Performance Pivot'!$S:$AF,4,0))</f>
        <v>3.0999999999999999E-3</v>
      </c>
      <c r="X26" s="73">
        <f>IF(VLOOKUP($T26,'Performance Pivot'!$S:$AF,5,0)="","",VLOOKUP($T26,'Performance Pivot'!$S:$AF,5,0))</f>
        <v>0</v>
      </c>
      <c r="Y26" s="73" t="str">
        <f>IF(VLOOKUP($T26,'Performance Pivot'!$S:$AF,6,0)="","",VLOOKUP($T26,'Performance Pivot'!$S:$AF,6,0))</f>
        <v/>
      </c>
      <c r="Z26" s="73" t="str">
        <f>IF(VLOOKUP($T26,'Performance Pivot'!$S:$AF,7,0)="","",VLOOKUP($T26,'Performance Pivot'!$S:$AF,7,0))</f>
        <v/>
      </c>
      <c r="AA26" s="73" t="str">
        <f>IF(VLOOKUP($T26,'Performance Pivot'!$S:$AF,8,0)="","",VLOOKUP($T26,'Performance Pivot'!$S:$AF,8,0))</f>
        <v/>
      </c>
      <c r="AB26" s="73" t="str">
        <f>IF(VLOOKUP($T26,'Performance Pivot'!$S:$AF,9,0)="","",VLOOKUP($T26,'Performance Pivot'!$S:$AF,9,0))</f>
        <v/>
      </c>
      <c r="AC26" s="73" t="str">
        <f>IF(VLOOKUP($T26,'Performance Pivot'!$S:$AF,10,0)="","",VLOOKUP($T26,'Performance Pivot'!$S:$AF,10,0))</f>
        <v/>
      </c>
      <c r="AD26" s="73" t="str">
        <f>IF(VLOOKUP($T26,'Performance Pivot'!$S:$AF,11,0)="","",VLOOKUP($T26,'Performance Pivot'!$S:$AF,11,0))</f>
        <v/>
      </c>
      <c r="AE26" s="73" t="str">
        <f>IF(VLOOKUP($T26,'Performance Pivot'!$S:$AF,12,0)="","",VLOOKUP($T26,'Performance Pivot'!$S:$AF,12,0))</f>
        <v/>
      </c>
      <c r="AF26" s="73" t="str">
        <f>IF(VLOOKUP($T26,'Performance Pivot'!$S:$AF,13,0)="","",VLOOKUP($T26,'Performance Pivot'!$S:$AF,13,0))</f>
        <v/>
      </c>
      <c r="AG26" s="73" t="str">
        <f>IF(VLOOKUP($T26,'Performance Pivot'!$S:$AF,14,0)="","",VLOOKUP($T26,'Performance Pivot'!$S:$AF,14,0))</f>
        <v/>
      </c>
      <c r="AH26" s="73" t="str">
        <f>IF(VLOOKUP($T26,'Performance Pivot'!$S:$AG,15,0)="","",VLOOKUP($T26,'Performance Pivot'!$S:$AG,15,0))</f>
        <v/>
      </c>
    </row>
    <row r="27" spans="3:34" s="74" customFormat="1" ht="21" customHeight="1">
      <c r="C27" s="92">
        <f>'Performance Pivot'!C31</f>
        <v>41852</v>
      </c>
      <c r="D27" s="72">
        <f>IF(VLOOKUP($C27,'Performance Pivot'!$C:$P,2,0)="","",VLOOKUP($C27,'Performance Pivot'!$C:$P,2,0))</f>
        <v>7.1132</v>
      </c>
      <c r="E27" s="72">
        <f>IF(VLOOKUP($C27,'Performance Pivot'!$C:$P,3,0)="","",VLOOKUP($C27,'Performance Pivot'!$C:$P,3,0))</f>
        <v>6.0189000000000004</v>
      </c>
      <c r="F27" s="72">
        <f>IF(VLOOKUP($C27,'Performance Pivot'!$C:$P,4,0)="","",VLOOKUP($C27,'Performance Pivot'!$C:$P,4,0))</f>
        <v>5.3735999999999997</v>
      </c>
      <c r="G27" s="72">
        <f>IF(VLOOKUP($C27,'Performance Pivot'!$C:$P,5,0)="","",VLOOKUP($C27,'Performance Pivot'!$C:$P,5,0))</f>
        <v>8.3428000000000004</v>
      </c>
      <c r="H27" s="72" t="str">
        <f>IF(VLOOKUP($C27,'Performance Pivot'!$C:$P,6,0)="","",VLOOKUP($C27,'Performance Pivot'!$C:$P,6,0))</f>
        <v/>
      </c>
      <c r="I27" s="72" t="str">
        <f>IF(VLOOKUP($C27,'Performance Pivot'!$C:$P,7,0)="","",VLOOKUP($C27,'Performance Pivot'!$C:$P,7,0))</f>
        <v/>
      </c>
      <c r="J27" s="72" t="str">
        <f>IF(VLOOKUP($C27,'Performance Pivot'!$C:$P,8,0)="","",VLOOKUP($C27,'Performance Pivot'!$C:$P,8,0))</f>
        <v/>
      </c>
      <c r="K27" s="72" t="str">
        <f>IF(VLOOKUP($C27,'Performance Pivot'!$C:$P,9,0)="","",VLOOKUP($C27,'Performance Pivot'!$C:$P,9,0))</f>
        <v/>
      </c>
      <c r="L27" s="72" t="str">
        <f>IF(VLOOKUP($C27,'Performance Pivot'!$C:$P,10,0)="","",VLOOKUP($C27,'Performance Pivot'!$C:$P,10,0))</f>
        <v/>
      </c>
      <c r="M27" s="72" t="str">
        <f>IF(VLOOKUP($C27,'Performance Pivot'!$C:$P,11,0)="","",VLOOKUP($C27,'Performance Pivot'!$C:$P,11,0))</f>
        <v/>
      </c>
      <c r="N27" s="72" t="str">
        <f>IF(VLOOKUP($C27,'Performance Pivot'!$C:$P,12,0)="","",VLOOKUP($C27,'Performance Pivot'!$C:$P,12,0))</f>
        <v/>
      </c>
      <c r="O27" s="72" t="str">
        <f>IF(VLOOKUP($C27,'Performance Pivot'!$C:$P,13,0)="","",VLOOKUP($C27,'Performance Pivot'!$C:$P,13,0))</f>
        <v/>
      </c>
      <c r="P27" s="72" t="str">
        <f>IF(VLOOKUP($C27,'Performance Pivot'!$C:$P,14,0)="","",VLOOKUP($C27,'Performance Pivot'!$C:$P,14,0))</f>
        <v/>
      </c>
      <c r="Q27" s="72" t="str">
        <f>IF(VLOOKUP($C27,'Performance Pivot'!$C:$Q,15,0)="","",VLOOKUP($C27,'Performance Pivot'!$C:$Q,15,0))</f>
        <v/>
      </c>
      <c r="R27" s="75"/>
      <c r="S27" s="75"/>
      <c r="T27" s="92">
        <f t="shared" si="1"/>
        <v>41852</v>
      </c>
      <c r="U27" s="73">
        <f>IF(VLOOKUP($T27,'Performance Pivot'!$S:$AF,2,0)="","",VLOOKUP($T27,'Performance Pivot'!$S:$AF,2,0))</f>
        <v>3.9800000000000002E-2</v>
      </c>
      <c r="V27" s="73">
        <f>IF(VLOOKUP($T27,'Performance Pivot'!$S:$AF,3,0)="","",VLOOKUP($T27,'Performance Pivot'!$S:$AF,3,0))</f>
        <v>2.58E-2</v>
      </c>
      <c r="W27" s="73">
        <f>IF(VLOOKUP($T27,'Performance Pivot'!$S:$AF,4,0)="","",VLOOKUP($T27,'Performance Pivot'!$S:$AF,4,0))</f>
        <v>2.6100000000000002E-2</v>
      </c>
      <c r="X27" s="73">
        <f>IF(VLOOKUP($T27,'Performance Pivot'!$S:$AF,5,0)="","",VLOOKUP($T27,'Performance Pivot'!$S:$AF,5,0))</f>
        <v>4.2799999999999998E-2</v>
      </c>
      <c r="Y27" s="73" t="str">
        <f>IF(VLOOKUP($T27,'Performance Pivot'!$S:$AF,6,0)="","",VLOOKUP($T27,'Performance Pivot'!$S:$AF,6,0))</f>
        <v/>
      </c>
      <c r="Z27" s="73" t="str">
        <f>IF(VLOOKUP($T27,'Performance Pivot'!$S:$AF,7,0)="","",VLOOKUP($T27,'Performance Pivot'!$S:$AF,7,0))</f>
        <v/>
      </c>
      <c r="AA27" s="73" t="str">
        <f>IF(VLOOKUP($T27,'Performance Pivot'!$S:$AF,8,0)="","",VLOOKUP($T27,'Performance Pivot'!$S:$AF,8,0))</f>
        <v/>
      </c>
      <c r="AB27" s="73" t="str">
        <f>IF(VLOOKUP($T27,'Performance Pivot'!$S:$AF,9,0)="","",VLOOKUP($T27,'Performance Pivot'!$S:$AF,9,0))</f>
        <v/>
      </c>
      <c r="AC27" s="73" t="str">
        <f>IF(VLOOKUP($T27,'Performance Pivot'!$S:$AF,10,0)="","",VLOOKUP($T27,'Performance Pivot'!$S:$AF,10,0))</f>
        <v/>
      </c>
      <c r="AD27" s="73" t="str">
        <f>IF(VLOOKUP($T27,'Performance Pivot'!$S:$AF,11,0)="","",VLOOKUP($T27,'Performance Pivot'!$S:$AF,11,0))</f>
        <v/>
      </c>
      <c r="AE27" s="73" t="str">
        <f>IF(VLOOKUP($T27,'Performance Pivot'!$S:$AF,12,0)="","",VLOOKUP($T27,'Performance Pivot'!$S:$AF,12,0))</f>
        <v/>
      </c>
      <c r="AF27" s="73" t="str">
        <f>IF(VLOOKUP($T27,'Performance Pivot'!$S:$AF,13,0)="","",VLOOKUP($T27,'Performance Pivot'!$S:$AF,13,0))</f>
        <v/>
      </c>
      <c r="AG27" s="73" t="str">
        <f>IF(VLOOKUP($T27,'Performance Pivot'!$S:$AF,14,0)="","",VLOOKUP($T27,'Performance Pivot'!$S:$AF,14,0))</f>
        <v/>
      </c>
      <c r="AH27" s="73" t="str">
        <f>IF(VLOOKUP($T27,'Performance Pivot'!$S:$AG,15,0)="","",VLOOKUP($T27,'Performance Pivot'!$S:$AG,15,0))</f>
        <v/>
      </c>
    </row>
    <row r="28" spans="3:34" s="74" customFormat="1" ht="21" customHeight="1">
      <c r="C28" s="92">
        <f>'Performance Pivot'!C30</f>
        <v>41883</v>
      </c>
      <c r="D28" s="72">
        <f>IF(VLOOKUP($C28,'Performance Pivot'!$C:$P,2,0)="","",VLOOKUP($C28,'Performance Pivot'!$C:$P,2,0))</f>
        <v>5.6421000000000001</v>
      </c>
      <c r="E28" s="72">
        <f>IF(VLOOKUP($C28,'Performance Pivot'!$C:$P,3,0)="","",VLOOKUP($C28,'Performance Pivot'!$C:$P,3,0))</f>
        <v>5.2359999999999998</v>
      </c>
      <c r="F28" s="72">
        <f>IF(VLOOKUP($C28,'Performance Pivot'!$C:$P,4,0)="","",VLOOKUP($C28,'Performance Pivot'!$C:$P,4,0))</f>
        <v>5.1037999999999997</v>
      </c>
      <c r="G28" s="72">
        <f>IF(VLOOKUP($C28,'Performance Pivot'!$C:$P,5,0)="","",VLOOKUP($C28,'Performance Pivot'!$C:$P,5,0))</f>
        <v>7.5376000000000003</v>
      </c>
      <c r="H28" s="72">
        <f>IF(VLOOKUP($C28,'Performance Pivot'!$C:$P,6,0)="","",VLOOKUP($C28,'Performance Pivot'!$C:$P,6,0))</f>
        <v>34.785299999999999</v>
      </c>
      <c r="I28" s="72" t="str">
        <f>IF(VLOOKUP($C28,'Performance Pivot'!$C:$P,7,0)="","",VLOOKUP($C28,'Performance Pivot'!$C:$P,7,0))</f>
        <v/>
      </c>
      <c r="J28" s="72">
        <f>IF(VLOOKUP($C28,'Performance Pivot'!$C:$P,8,0)="","",VLOOKUP($C28,'Performance Pivot'!$C:$P,8,0))</f>
        <v>27.114699999999999</v>
      </c>
      <c r="K28" s="72" t="str">
        <f>IF(VLOOKUP($C28,'Performance Pivot'!$C:$P,9,0)="","",VLOOKUP($C28,'Performance Pivot'!$C:$P,9,0))</f>
        <v/>
      </c>
      <c r="L28" s="72" t="str">
        <f>IF(VLOOKUP($C28,'Performance Pivot'!$C:$P,10,0)="","",VLOOKUP($C28,'Performance Pivot'!$C:$P,10,0))</f>
        <v/>
      </c>
      <c r="M28" s="72" t="str">
        <f>IF(VLOOKUP($C28,'Performance Pivot'!$C:$P,11,0)="","",VLOOKUP($C28,'Performance Pivot'!$C:$P,11,0))</f>
        <v/>
      </c>
      <c r="N28" s="72" t="str">
        <f>IF(VLOOKUP($C28,'Performance Pivot'!$C:$P,12,0)="","",VLOOKUP($C28,'Performance Pivot'!$C:$P,12,0))</f>
        <v/>
      </c>
      <c r="O28" s="72" t="str">
        <f>IF(VLOOKUP($C28,'Performance Pivot'!$C:$P,13,0)="","",VLOOKUP($C28,'Performance Pivot'!$C:$P,13,0))</f>
        <v/>
      </c>
      <c r="P28" s="72" t="str">
        <f>IF(VLOOKUP($C28,'Performance Pivot'!$C:$P,14,0)="","",VLOOKUP($C28,'Performance Pivot'!$C:$P,14,0))</f>
        <v/>
      </c>
      <c r="Q28" s="72" t="str">
        <f>IF(VLOOKUP($C28,'Performance Pivot'!$C:$Q,15,0)="","",VLOOKUP($C28,'Performance Pivot'!$C:$Q,15,0))</f>
        <v/>
      </c>
      <c r="R28" s="75"/>
      <c r="S28" s="75"/>
      <c r="T28" s="92">
        <f t="shared" si="1"/>
        <v>41883</v>
      </c>
      <c r="U28" s="73">
        <f>IF(VLOOKUP($T28,'Performance Pivot'!$S:$AF,2,0)="","",VLOOKUP($T28,'Performance Pivot'!$S:$AF,2,0))</f>
        <v>3.09E-2</v>
      </c>
      <c r="V28" s="73">
        <f>IF(VLOOKUP($T28,'Performance Pivot'!$S:$AF,3,0)="","",VLOOKUP($T28,'Performance Pivot'!$S:$AF,3,0))</f>
        <v>2.06E-2</v>
      </c>
      <c r="W28" s="73">
        <f>IF(VLOOKUP($T28,'Performance Pivot'!$S:$AF,4,0)="","",VLOOKUP($T28,'Performance Pivot'!$S:$AF,4,0))</f>
        <v>4.4900000000000002E-2</v>
      </c>
      <c r="X28" s="73">
        <f>IF(VLOOKUP($T28,'Performance Pivot'!$S:$AF,5,0)="","",VLOOKUP($T28,'Performance Pivot'!$S:$AF,5,0))</f>
        <v>3.3999999999999998E-3</v>
      </c>
      <c r="Y28" s="73">
        <f>IF(VLOOKUP($T28,'Performance Pivot'!$S:$AF,6,0)="","",VLOOKUP($T28,'Performance Pivot'!$S:$AF,6,0))</f>
        <v>0</v>
      </c>
      <c r="Z28" s="73" t="str">
        <f>IF(VLOOKUP($T28,'Performance Pivot'!$S:$AF,7,0)="","",VLOOKUP($T28,'Performance Pivot'!$S:$AF,7,0))</f>
        <v/>
      </c>
      <c r="AA28" s="73">
        <f>IF(VLOOKUP($T28,'Performance Pivot'!$S:$AF,8,0)="","",VLOOKUP($T28,'Performance Pivot'!$S:$AF,8,0))</f>
        <v>0</v>
      </c>
      <c r="AB28" s="73" t="str">
        <f>IF(VLOOKUP($T28,'Performance Pivot'!$S:$AF,9,0)="","",VLOOKUP($T28,'Performance Pivot'!$S:$AF,9,0))</f>
        <v/>
      </c>
      <c r="AC28" s="73" t="str">
        <f>IF(VLOOKUP($T28,'Performance Pivot'!$S:$AF,10,0)="","",VLOOKUP($T28,'Performance Pivot'!$S:$AF,10,0))</f>
        <v/>
      </c>
      <c r="AD28" s="73" t="str">
        <f>IF(VLOOKUP($T28,'Performance Pivot'!$S:$AF,11,0)="","",VLOOKUP($T28,'Performance Pivot'!$S:$AF,11,0))</f>
        <v/>
      </c>
      <c r="AE28" s="73" t="str">
        <f>IF(VLOOKUP($T28,'Performance Pivot'!$S:$AF,12,0)="","",VLOOKUP($T28,'Performance Pivot'!$S:$AF,12,0))</f>
        <v/>
      </c>
      <c r="AF28" s="73" t="str">
        <f>IF(VLOOKUP($T28,'Performance Pivot'!$S:$AF,13,0)="","",VLOOKUP($T28,'Performance Pivot'!$S:$AF,13,0))</f>
        <v/>
      </c>
      <c r="AG28" s="73" t="str">
        <f>IF(VLOOKUP($T28,'Performance Pivot'!$S:$AF,14,0)="","",VLOOKUP($T28,'Performance Pivot'!$S:$AF,14,0))</f>
        <v/>
      </c>
      <c r="AH28" s="73" t="str">
        <f>IF(VLOOKUP($T28,'Performance Pivot'!$S:$AG,15,0)="","",VLOOKUP($T28,'Performance Pivot'!$S:$AG,15,0))</f>
        <v/>
      </c>
    </row>
    <row r="29" spans="3:34" s="74" customFormat="1" ht="21" customHeight="1">
      <c r="C29" s="92">
        <f>'Performance Pivot'!C29</f>
        <v>41913</v>
      </c>
      <c r="D29" s="72">
        <f>IF(VLOOKUP($C29,'Performance Pivot'!$C:$P,2,0)="","",VLOOKUP($C29,'Performance Pivot'!$C:$P,2,0))</f>
        <v>7.1013000000000002</v>
      </c>
      <c r="E29" s="72">
        <f>IF(VLOOKUP($C29,'Performance Pivot'!$C:$P,3,0)="","",VLOOKUP($C29,'Performance Pivot'!$C:$P,3,0))</f>
        <v>5.8178000000000001</v>
      </c>
      <c r="F29" s="72">
        <f>IF(VLOOKUP($C29,'Performance Pivot'!$C:$P,4,0)="","",VLOOKUP($C29,'Performance Pivot'!$C:$P,4,0))</f>
        <v>5.6192000000000002</v>
      </c>
      <c r="G29" s="72">
        <f>IF(VLOOKUP($C29,'Performance Pivot'!$C:$P,5,0)="","",VLOOKUP($C29,'Performance Pivot'!$C:$P,5,0))</f>
        <v>8.0467999999999993</v>
      </c>
      <c r="H29" s="72">
        <f>IF(VLOOKUP($C29,'Performance Pivot'!$C:$P,6,0)="","",VLOOKUP($C29,'Performance Pivot'!$C:$P,6,0))</f>
        <v>13.774699999999999</v>
      </c>
      <c r="I29" s="72">
        <f>IF(VLOOKUP($C29,'Performance Pivot'!$C:$P,7,0)="","",VLOOKUP($C29,'Performance Pivot'!$C:$P,7,0))</f>
        <v>14.075799999999999</v>
      </c>
      <c r="J29" s="72">
        <f>IF(VLOOKUP($C29,'Performance Pivot'!$C:$P,8,0)="","",VLOOKUP($C29,'Performance Pivot'!$C:$P,8,0))</f>
        <v>11.697100000000001</v>
      </c>
      <c r="K29" s="72">
        <f>IF(VLOOKUP($C29,'Performance Pivot'!$C:$P,9,0)="","",VLOOKUP($C29,'Performance Pivot'!$C:$P,9,0))</f>
        <v>18.260100000000001</v>
      </c>
      <c r="L29" s="72">
        <f>IF(VLOOKUP($C29,'Performance Pivot'!$C:$P,10,0)="","",VLOOKUP($C29,'Performance Pivot'!$C:$P,10,0))</f>
        <v>8.3346999999999998</v>
      </c>
      <c r="M29" s="72" t="str">
        <f>IF(VLOOKUP($C29,'Performance Pivot'!$C:$P,11,0)="","",VLOOKUP($C29,'Performance Pivot'!$C:$P,11,0))</f>
        <v/>
      </c>
      <c r="N29" s="72" t="str">
        <f>IF(VLOOKUP($C29,'Performance Pivot'!$C:$P,12,0)="","",VLOOKUP($C29,'Performance Pivot'!$C:$P,12,0))</f>
        <v/>
      </c>
      <c r="O29" s="72" t="str">
        <f>IF(VLOOKUP($C29,'Performance Pivot'!$C:$P,13,0)="","",VLOOKUP($C29,'Performance Pivot'!$C:$P,13,0))</f>
        <v/>
      </c>
      <c r="P29" s="72" t="str">
        <f>IF(VLOOKUP($C29,'Performance Pivot'!$C:$P,14,0)="","",VLOOKUP($C29,'Performance Pivot'!$C:$P,14,0))</f>
        <v/>
      </c>
      <c r="Q29" s="72" t="str">
        <f>IF(VLOOKUP($C29,'Performance Pivot'!$C:$Q,15,0)="","",VLOOKUP($C29,'Performance Pivot'!$C:$Q,15,0))</f>
        <v/>
      </c>
      <c r="R29" s="75"/>
      <c r="S29" s="75"/>
      <c r="T29" s="92">
        <f t="shared" si="1"/>
        <v>41913</v>
      </c>
      <c r="U29" s="73">
        <f>IF(VLOOKUP($T29,'Performance Pivot'!$S:$AF,2,0)="","",VLOOKUP($T29,'Performance Pivot'!$S:$AF,2,0))</f>
        <v>5.0900000000000001E-2</v>
      </c>
      <c r="V29" s="73">
        <f>IF(VLOOKUP($T29,'Performance Pivot'!$S:$AF,3,0)="","",VLOOKUP($T29,'Performance Pivot'!$S:$AF,3,0))</f>
        <v>5.4300000000000001E-2</v>
      </c>
      <c r="W29" s="73">
        <f>IF(VLOOKUP($T29,'Performance Pivot'!$S:$AF,4,0)="","",VLOOKUP($T29,'Performance Pivot'!$S:$AF,4,0))</f>
        <v>2.86E-2</v>
      </c>
      <c r="X29" s="73">
        <f>IF(VLOOKUP($T29,'Performance Pivot'!$S:$AF,5,0)="","",VLOOKUP($T29,'Performance Pivot'!$S:$AF,5,0))</f>
        <v>3.9E-2</v>
      </c>
      <c r="Y29" s="73">
        <f>IF(VLOOKUP($T29,'Performance Pivot'!$S:$AF,6,0)="","",VLOOKUP($T29,'Performance Pivot'!$S:$AF,6,0))</f>
        <v>0</v>
      </c>
      <c r="Z29" s="73">
        <f>IF(VLOOKUP($T29,'Performance Pivot'!$S:$AF,7,0)="","",VLOOKUP($T29,'Performance Pivot'!$S:$AF,7,0))</f>
        <v>0</v>
      </c>
      <c r="AA29" s="73">
        <f>IF(VLOOKUP($T29,'Performance Pivot'!$S:$AF,8,0)="","",VLOOKUP($T29,'Performance Pivot'!$S:$AF,8,0))</f>
        <v>0</v>
      </c>
      <c r="AB29" s="73">
        <f>IF(VLOOKUP($T29,'Performance Pivot'!$S:$AF,9,0)="","",VLOOKUP($T29,'Performance Pivot'!$S:$AF,9,0))</f>
        <v>6.1999999999999998E-3</v>
      </c>
      <c r="AC29" s="73">
        <f>IF(VLOOKUP($T29,'Performance Pivot'!$S:$AF,10,0)="","",VLOOKUP($T29,'Performance Pivot'!$S:$AF,10,0))</f>
        <v>0</v>
      </c>
      <c r="AD29" s="73" t="str">
        <f>IF(VLOOKUP($T29,'Performance Pivot'!$S:$AF,11,0)="","",VLOOKUP($T29,'Performance Pivot'!$S:$AF,11,0))</f>
        <v/>
      </c>
      <c r="AE29" s="73" t="str">
        <f>IF(VLOOKUP($T29,'Performance Pivot'!$S:$AF,12,0)="","",VLOOKUP($T29,'Performance Pivot'!$S:$AF,12,0))</f>
        <v/>
      </c>
      <c r="AF29" s="73" t="str">
        <f>IF(VLOOKUP($T29,'Performance Pivot'!$S:$AF,13,0)="","",VLOOKUP($T29,'Performance Pivot'!$S:$AF,13,0))</f>
        <v/>
      </c>
      <c r="AG29" s="73" t="str">
        <f>IF(VLOOKUP($T29,'Performance Pivot'!$S:$AF,14,0)="","",VLOOKUP($T29,'Performance Pivot'!$S:$AF,14,0))</f>
        <v/>
      </c>
      <c r="AH29" s="73" t="str">
        <f>IF(VLOOKUP($T29,'Performance Pivot'!$S:$AG,15,0)="","",VLOOKUP($T29,'Performance Pivot'!$S:$AG,15,0))</f>
        <v/>
      </c>
    </row>
    <row r="30" spans="3:34" s="74" customFormat="1" ht="21" customHeight="1">
      <c r="C30" s="92">
        <f>'Performance Pivot'!C28</f>
        <v>41944</v>
      </c>
      <c r="D30" s="72">
        <f>IF(VLOOKUP($C30,'Performance Pivot'!$C:$P,2,0)="","",VLOOKUP($C30,'Performance Pivot'!$C:$P,2,0))</f>
        <v>5.9212999999999996</v>
      </c>
      <c r="E30" s="72">
        <f>IF(VLOOKUP($C30,'Performance Pivot'!$C:$P,3,0)="","",VLOOKUP($C30,'Performance Pivot'!$C:$P,3,0))</f>
        <v>5.0777999999999999</v>
      </c>
      <c r="F30" s="72">
        <f>IF(VLOOKUP($C30,'Performance Pivot'!$C:$P,4,0)="","",VLOOKUP($C30,'Performance Pivot'!$C:$P,4,0))</f>
        <v>5.3251999999999997</v>
      </c>
      <c r="G30" s="72">
        <f>IF(VLOOKUP($C30,'Performance Pivot'!$C:$P,5,0)="","",VLOOKUP($C30,'Performance Pivot'!$C:$P,5,0))</f>
        <v>10.8713</v>
      </c>
      <c r="H30" s="72">
        <f>IF(VLOOKUP($C30,'Performance Pivot'!$C:$P,6,0)="","",VLOOKUP($C30,'Performance Pivot'!$C:$P,6,0))</f>
        <v>22.973800000000001</v>
      </c>
      <c r="I30" s="72">
        <f>IF(VLOOKUP($C30,'Performance Pivot'!$C:$P,7,0)="","",VLOOKUP($C30,'Performance Pivot'!$C:$P,7,0))</f>
        <v>22.788799999999998</v>
      </c>
      <c r="J30" s="72">
        <f>IF(VLOOKUP($C30,'Performance Pivot'!$C:$P,8,0)="","",VLOOKUP($C30,'Performance Pivot'!$C:$P,8,0))</f>
        <v>18.087599999999998</v>
      </c>
      <c r="K30" s="72">
        <f>IF(VLOOKUP($C30,'Performance Pivot'!$C:$P,9,0)="","",VLOOKUP($C30,'Performance Pivot'!$C:$P,9,0))</f>
        <v>7.5067000000000004</v>
      </c>
      <c r="L30" s="72">
        <f>IF(VLOOKUP($C30,'Performance Pivot'!$C:$P,10,0)="","",VLOOKUP($C30,'Performance Pivot'!$C:$P,10,0))</f>
        <v>16.899899999999999</v>
      </c>
      <c r="M30" s="72" t="str">
        <f>IF(VLOOKUP($C30,'Performance Pivot'!$C:$P,11,0)="","",VLOOKUP($C30,'Performance Pivot'!$C:$P,11,0))</f>
        <v/>
      </c>
      <c r="N30" s="72" t="str">
        <f>IF(VLOOKUP($C30,'Performance Pivot'!$C:$P,12,0)="","",VLOOKUP($C30,'Performance Pivot'!$C:$P,12,0))</f>
        <v/>
      </c>
      <c r="O30" s="72" t="str">
        <f>IF(VLOOKUP($C30,'Performance Pivot'!$C:$P,13,0)="","",VLOOKUP($C30,'Performance Pivot'!$C:$P,13,0))</f>
        <v/>
      </c>
      <c r="P30" s="72" t="str">
        <f>IF(VLOOKUP($C30,'Performance Pivot'!$C:$P,14,0)="","",VLOOKUP($C30,'Performance Pivot'!$C:$P,14,0))</f>
        <v/>
      </c>
      <c r="Q30" s="72" t="str">
        <f>IF(VLOOKUP($C30,'Performance Pivot'!$C:$Q,15,0)="","",VLOOKUP($C30,'Performance Pivot'!$C:$Q,15,0))</f>
        <v/>
      </c>
      <c r="R30" s="75"/>
      <c r="S30" s="75"/>
      <c r="T30" s="92">
        <f t="shared" si="1"/>
        <v>41944</v>
      </c>
      <c r="U30" s="73">
        <f>IF(VLOOKUP($T30,'Performance Pivot'!$S:$AF,2,0)="","",VLOOKUP($T30,'Performance Pivot'!$S:$AF,2,0))</f>
        <v>5.8500000000000003E-2</v>
      </c>
      <c r="V30" s="73">
        <f>IF(VLOOKUP($T30,'Performance Pivot'!$S:$AF,3,0)="","",VLOOKUP($T30,'Performance Pivot'!$S:$AF,3,0))</f>
        <v>5.67E-2</v>
      </c>
      <c r="W30" s="73">
        <f>IF(VLOOKUP($T30,'Performance Pivot'!$S:$AF,4,0)="","",VLOOKUP($T30,'Performance Pivot'!$S:$AF,4,0))</f>
        <v>4.2700000000000002E-2</v>
      </c>
      <c r="X30" s="73">
        <f>IF(VLOOKUP($T30,'Performance Pivot'!$S:$AF,5,0)="","",VLOOKUP($T30,'Performance Pivot'!$S:$AF,5,0))</f>
        <v>2.5000000000000001E-2</v>
      </c>
      <c r="Y30" s="73">
        <f>IF(VLOOKUP($T30,'Performance Pivot'!$S:$AF,6,0)="","",VLOOKUP($T30,'Performance Pivot'!$S:$AF,6,0))</f>
        <v>0</v>
      </c>
      <c r="Z30" s="73">
        <f>IF(VLOOKUP($T30,'Performance Pivot'!$S:$AF,7,0)="","",VLOOKUP($T30,'Performance Pivot'!$S:$AF,7,0))</f>
        <v>0</v>
      </c>
      <c r="AA30" s="73">
        <f>IF(VLOOKUP($T30,'Performance Pivot'!$S:$AF,8,0)="","",VLOOKUP($T30,'Performance Pivot'!$S:$AF,8,0))</f>
        <v>0</v>
      </c>
      <c r="AB30" s="73">
        <f>IF(VLOOKUP($T30,'Performance Pivot'!$S:$AF,9,0)="","",VLOOKUP($T30,'Performance Pivot'!$S:$AF,9,0))</f>
        <v>0</v>
      </c>
      <c r="AC30" s="73">
        <f>IF(VLOOKUP($T30,'Performance Pivot'!$S:$AF,10,0)="","",VLOOKUP($T30,'Performance Pivot'!$S:$AF,10,0))</f>
        <v>0</v>
      </c>
      <c r="AD30" s="73" t="str">
        <f>IF(VLOOKUP($T30,'Performance Pivot'!$S:$AF,11,0)="","",VLOOKUP($T30,'Performance Pivot'!$S:$AF,11,0))</f>
        <v/>
      </c>
      <c r="AE30" s="73" t="str">
        <f>IF(VLOOKUP($T30,'Performance Pivot'!$S:$AF,12,0)="","",VLOOKUP($T30,'Performance Pivot'!$S:$AF,12,0))</f>
        <v/>
      </c>
      <c r="AF30" s="73" t="str">
        <f>IF(VLOOKUP($T30,'Performance Pivot'!$S:$AF,13,0)="","",VLOOKUP($T30,'Performance Pivot'!$S:$AF,13,0))</f>
        <v/>
      </c>
      <c r="AG30" s="73" t="str">
        <f>IF(VLOOKUP($T30,'Performance Pivot'!$S:$AF,14,0)="","",VLOOKUP($T30,'Performance Pivot'!$S:$AF,14,0))</f>
        <v/>
      </c>
      <c r="AH30" s="73" t="str">
        <f>IF(VLOOKUP($T30,'Performance Pivot'!$S:$AG,15,0)="","",VLOOKUP($T30,'Performance Pivot'!$S:$AG,15,0))</f>
        <v/>
      </c>
    </row>
    <row r="31" spans="3:34" s="74" customFormat="1" ht="21" customHeight="1">
      <c r="C31" s="92">
        <f>'Performance Pivot'!C27</f>
        <v>41974</v>
      </c>
      <c r="D31" s="72">
        <f>IF(VLOOKUP($C31,'Performance Pivot'!$C:$P,2,0)="","",VLOOKUP($C31,'Performance Pivot'!$C:$P,2,0))</f>
        <v>6.6520000000000001</v>
      </c>
      <c r="E31" s="72">
        <f>IF(VLOOKUP($C31,'Performance Pivot'!$C:$P,3,0)="","",VLOOKUP($C31,'Performance Pivot'!$C:$P,3,0))</f>
        <v>5.7198000000000002</v>
      </c>
      <c r="F31" s="72">
        <f>IF(VLOOKUP($C31,'Performance Pivot'!$C:$P,4,0)="","",VLOOKUP($C31,'Performance Pivot'!$C:$P,4,0))</f>
        <v>5.7609000000000004</v>
      </c>
      <c r="G31" s="72">
        <f>IF(VLOOKUP($C31,'Performance Pivot'!$C:$P,5,0)="","",VLOOKUP($C31,'Performance Pivot'!$C:$P,5,0))</f>
        <v>11.864800000000001</v>
      </c>
      <c r="H31" s="72">
        <f>IF(VLOOKUP($C31,'Performance Pivot'!$C:$P,6,0)="","",VLOOKUP($C31,'Performance Pivot'!$C:$P,6,0))</f>
        <v>22.9998</v>
      </c>
      <c r="I31" s="72">
        <f>IF(VLOOKUP($C31,'Performance Pivot'!$C:$P,7,0)="","",VLOOKUP($C31,'Performance Pivot'!$C:$P,7,0))</f>
        <v>22.142800000000001</v>
      </c>
      <c r="J31" s="72">
        <f>IF(VLOOKUP($C31,'Performance Pivot'!$C:$P,8,0)="","",VLOOKUP($C31,'Performance Pivot'!$C:$P,8,0))</f>
        <v>18.606999999999999</v>
      </c>
      <c r="K31" s="72">
        <f>IF(VLOOKUP($C31,'Performance Pivot'!$C:$P,9,0)="","",VLOOKUP($C31,'Performance Pivot'!$C:$P,9,0))</f>
        <v>7.9972000000000003</v>
      </c>
      <c r="L31" s="72">
        <f>IF(VLOOKUP($C31,'Performance Pivot'!$C:$P,10,0)="","",VLOOKUP($C31,'Performance Pivot'!$C:$P,10,0))</f>
        <v>15.185</v>
      </c>
      <c r="M31" s="72" t="str">
        <f>IF(VLOOKUP($C31,'Performance Pivot'!$C:$P,11,0)="","",VLOOKUP($C31,'Performance Pivot'!$C:$P,11,0))</f>
        <v/>
      </c>
      <c r="N31" s="72" t="str">
        <f>IF(VLOOKUP($C31,'Performance Pivot'!$C:$P,12,0)="","",VLOOKUP($C31,'Performance Pivot'!$C:$P,12,0))</f>
        <v/>
      </c>
      <c r="O31" s="72" t="str">
        <f>IF(VLOOKUP($C31,'Performance Pivot'!$C:$P,13,0)="","",VLOOKUP($C31,'Performance Pivot'!$C:$P,13,0))</f>
        <v/>
      </c>
      <c r="P31" s="72" t="str">
        <f>IF(VLOOKUP($C31,'Performance Pivot'!$C:$P,14,0)="","",VLOOKUP($C31,'Performance Pivot'!$C:$P,14,0))</f>
        <v/>
      </c>
      <c r="Q31" s="72" t="str">
        <f>IF(VLOOKUP($C31,'Performance Pivot'!$C:$Q,15,0)="","",VLOOKUP($C31,'Performance Pivot'!$C:$Q,15,0))</f>
        <v/>
      </c>
      <c r="R31" s="75"/>
      <c r="S31" s="75"/>
      <c r="T31" s="92">
        <f t="shared" si="1"/>
        <v>41974</v>
      </c>
      <c r="U31" s="73">
        <f>IF(VLOOKUP($T31,'Performance Pivot'!$S:$AF,2,0)="","",VLOOKUP($T31,'Performance Pivot'!$S:$AF,2,0))</f>
        <v>2.3800000000000002E-2</v>
      </c>
      <c r="V31" s="73">
        <f>IF(VLOOKUP($T31,'Performance Pivot'!$S:$AF,3,0)="","",VLOOKUP($T31,'Performance Pivot'!$S:$AF,3,0))</f>
        <v>4.8800000000000003E-2</v>
      </c>
      <c r="W31" s="73">
        <f>IF(VLOOKUP($T31,'Performance Pivot'!$S:$AF,4,0)="","",VLOOKUP($T31,'Performance Pivot'!$S:$AF,4,0))</f>
        <v>2.1299999999999999E-2</v>
      </c>
      <c r="X31" s="73">
        <f>IF(VLOOKUP($T31,'Performance Pivot'!$S:$AF,5,0)="","",VLOOKUP($T31,'Performance Pivot'!$S:$AF,5,0))</f>
        <v>2.2499999999999999E-2</v>
      </c>
      <c r="Y31" s="73">
        <f>IF(VLOOKUP($T31,'Performance Pivot'!$S:$AF,6,0)="","",VLOOKUP($T31,'Performance Pivot'!$S:$AF,6,0))</f>
        <v>4.2700000000000002E-2</v>
      </c>
      <c r="Z31" s="73">
        <f>IF(VLOOKUP($T31,'Performance Pivot'!$S:$AF,7,0)="","",VLOOKUP($T31,'Performance Pivot'!$S:$AF,7,0))</f>
        <v>0</v>
      </c>
      <c r="AA31" s="73">
        <f>IF(VLOOKUP($T31,'Performance Pivot'!$S:$AF,8,0)="","",VLOOKUP($T31,'Performance Pivot'!$S:$AF,8,0))</f>
        <v>4.3099999999999999E-2</v>
      </c>
      <c r="AB31" s="73">
        <f>IF(VLOOKUP($T31,'Performance Pivot'!$S:$AF,9,0)="","",VLOOKUP($T31,'Performance Pivot'!$S:$AF,9,0))</f>
        <v>0</v>
      </c>
      <c r="AC31" s="73">
        <f>IF(VLOOKUP($T31,'Performance Pivot'!$S:$AF,10,0)="","",VLOOKUP($T31,'Performance Pivot'!$S:$AF,10,0))</f>
        <v>0</v>
      </c>
      <c r="AD31" s="73" t="str">
        <f>IF(VLOOKUP($T31,'Performance Pivot'!$S:$AF,11,0)="","",VLOOKUP($T31,'Performance Pivot'!$S:$AF,11,0))</f>
        <v/>
      </c>
      <c r="AE31" s="73" t="str">
        <f>IF(VLOOKUP($T31,'Performance Pivot'!$S:$AF,12,0)="","",VLOOKUP($T31,'Performance Pivot'!$S:$AF,12,0))</f>
        <v/>
      </c>
      <c r="AF31" s="73" t="str">
        <f>IF(VLOOKUP($T31,'Performance Pivot'!$S:$AF,13,0)="","",VLOOKUP($T31,'Performance Pivot'!$S:$AF,13,0))</f>
        <v/>
      </c>
      <c r="AG31" s="73" t="str">
        <f>IF(VLOOKUP($T31,'Performance Pivot'!$S:$AF,14,0)="","",VLOOKUP($T31,'Performance Pivot'!$S:$AF,14,0))</f>
        <v/>
      </c>
      <c r="AH31" s="73" t="str">
        <f>IF(VLOOKUP($T31,'Performance Pivot'!$S:$AG,15,0)="","",VLOOKUP($T31,'Performance Pivot'!$S:$AG,15,0))</f>
        <v/>
      </c>
    </row>
    <row r="32" spans="3:34" s="74" customFormat="1" ht="21" customHeight="1">
      <c r="C32" s="92">
        <f>'Performance Pivot'!C26</f>
        <v>42005</v>
      </c>
      <c r="D32" s="72">
        <f>IF(VLOOKUP($C32,'Performance Pivot'!$C:$P,2,0)="","",VLOOKUP($C32,'Performance Pivot'!$C:$P,2,0))</f>
        <v>5.8752000000000004</v>
      </c>
      <c r="E32" s="72">
        <f>IF(VLOOKUP($C32,'Performance Pivot'!$C:$P,3,0)="","",VLOOKUP($C32,'Performance Pivot'!$C:$P,3,0))</f>
        <v>4.4070999999999998</v>
      </c>
      <c r="F32" s="72">
        <f>IF(VLOOKUP($C32,'Performance Pivot'!$C:$P,4,0)="","",VLOOKUP($C32,'Performance Pivot'!$C:$P,4,0))</f>
        <v>4.7834000000000003</v>
      </c>
      <c r="G32" s="72">
        <f>IF(VLOOKUP($C32,'Performance Pivot'!$C:$P,5,0)="","",VLOOKUP($C32,'Performance Pivot'!$C:$P,5,0))</f>
        <v>10.166600000000001</v>
      </c>
      <c r="H32" s="72">
        <f>IF(VLOOKUP($C32,'Performance Pivot'!$C:$P,6,0)="","",VLOOKUP($C32,'Performance Pivot'!$C:$P,6,0))</f>
        <v>19.930800000000001</v>
      </c>
      <c r="I32" s="72">
        <f>IF(VLOOKUP($C32,'Performance Pivot'!$C:$P,7,0)="","",VLOOKUP($C32,'Performance Pivot'!$C:$P,7,0))</f>
        <v>21.6145</v>
      </c>
      <c r="J32" s="72">
        <f>IF(VLOOKUP($C32,'Performance Pivot'!$C:$P,8,0)="","",VLOOKUP($C32,'Performance Pivot'!$C:$P,8,0))</f>
        <v>15.853</v>
      </c>
      <c r="K32" s="72">
        <f>IF(VLOOKUP($C32,'Performance Pivot'!$C:$P,9,0)="","",VLOOKUP($C32,'Performance Pivot'!$C:$P,9,0))</f>
        <v>6.7542</v>
      </c>
      <c r="L32" s="72">
        <f>IF(VLOOKUP($C32,'Performance Pivot'!$C:$P,10,0)="","",VLOOKUP($C32,'Performance Pivot'!$C:$P,10,0))</f>
        <v>16.260000000000002</v>
      </c>
      <c r="M32" s="72" t="str">
        <f>IF(VLOOKUP($C32,'Performance Pivot'!$C:$P,11,0)="","",VLOOKUP($C32,'Performance Pivot'!$C:$P,11,0))</f>
        <v/>
      </c>
      <c r="N32" s="72" t="str">
        <f>IF(VLOOKUP($C32,'Performance Pivot'!$C:$P,12,0)="","",VLOOKUP($C32,'Performance Pivot'!$C:$P,12,0))</f>
        <v/>
      </c>
      <c r="O32" s="72" t="str">
        <f>IF(VLOOKUP($C32,'Performance Pivot'!$C:$P,13,0)="","",VLOOKUP($C32,'Performance Pivot'!$C:$P,13,0))</f>
        <v/>
      </c>
      <c r="P32" s="72" t="str">
        <f>IF(VLOOKUP($C32,'Performance Pivot'!$C:$P,14,0)="","",VLOOKUP($C32,'Performance Pivot'!$C:$P,14,0))</f>
        <v/>
      </c>
      <c r="Q32" s="72" t="str">
        <f>IF(VLOOKUP($C32,'Performance Pivot'!$C:$Q,15,0)="","",VLOOKUP($C32,'Performance Pivot'!$C:$Q,15,0))</f>
        <v/>
      </c>
      <c r="R32" s="75"/>
      <c r="S32" s="75"/>
      <c r="T32" s="92">
        <f t="shared" si="1"/>
        <v>42005</v>
      </c>
      <c r="U32" s="73">
        <f>IF(VLOOKUP($T32,'Performance Pivot'!$S:$AF,2,0)="","",VLOOKUP($T32,'Performance Pivot'!$S:$AF,2,0))</f>
        <v>9.3100000000000002E-2</v>
      </c>
      <c r="V32" s="73">
        <f>IF(VLOOKUP($T32,'Performance Pivot'!$S:$AF,3,0)="","",VLOOKUP($T32,'Performance Pivot'!$S:$AF,3,0))</f>
        <v>2.7799999999999998E-2</v>
      </c>
      <c r="W32" s="73">
        <f>IF(VLOOKUP($T32,'Performance Pivot'!$S:$AF,4,0)="","",VLOOKUP($T32,'Performance Pivot'!$S:$AF,4,0))</f>
        <v>6.59E-2</v>
      </c>
      <c r="X32" s="73">
        <f>IF(VLOOKUP($T32,'Performance Pivot'!$S:$AF,5,0)="","",VLOOKUP($T32,'Performance Pivot'!$S:$AF,5,0))</f>
        <v>3.2599999999999997E-2</v>
      </c>
      <c r="Y32" s="73">
        <f>IF(VLOOKUP($T32,'Performance Pivot'!$S:$AF,6,0)="","",VLOOKUP($T32,'Performance Pivot'!$S:$AF,6,0))</f>
        <v>0</v>
      </c>
      <c r="Z32" s="73">
        <f>IF(VLOOKUP($T32,'Performance Pivot'!$S:$AF,7,0)="","",VLOOKUP($T32,'Performance Pivot'!$S:$AF,7,0))</f>
        <v>0</v>
      </c>
      <c r="AA32" s="73">
        <f>IF(VLOOKUP($T32,'Performance Pivot'!$S:$AF,8,0)="","",VLOOKUP($T32,'Performance Pivot'!$S:$AF,8,0))</f>
        <v>0.1948</v>
      </c>
      <c r="AB32" s="73">
        <f>IF(VLOOKUP($T32,'Performance Pivot'!$S:$AF,9,0)="","",VLOOKUP($T32,'Performance Pivot'!$S:$AF,9,0))</f>
        <v>2.5999999999999999E-2</v>
      </c>
      <c r="AC32" s="73">
        <f>IF(VLOOKUP($T32,'Performance Pivot'!$S:$AF,10,0)="","",VLOOKUP($T32,'Performance Pivot'!$S:$AF,10,0))</f>
        <v>0</v>
      </c>
      <c r="AD32" s="73" t="str">
        <f>IF(VLOOKUP($T32,'Performance Pivot'!$S:$AF,11,0)="","",VLOOKUP($T32,'Performance Pivot'!$S:$AF,11,0))</f>
        <v/>
      </c>
      <c r="AE32" s="73" t="str">
        <f>IF(VLOOKUP($T32,'Performance Pivot'!$S:$AF,12,0)="","",VLOOKUP($T32,'Performance Pivot'!$S:$AF,12,0))</f>
        <v/>
      </c>
      <c r="AF32" s="73" t="str">
        <f>IF(VLOOKUP($T32,'Performance Pivot'!$S:$AF,13,0)="","",VLOOKUP($T32,'Performance Pivot'!$S:$AF,13,0))</f>
        <v/>
      </c>
      <c r="AG32" s="73" t="str">
        <f>IF(VLOOKUP($T32,'Performance Pivot'!$S:$AF,14,0)="","",VLOOKUP($T32,'Performance Pivot'!$S:$AF,14,0))</f>
        <v/>
      </c>
      <c r="AH32" s="73" t="str">
        <f>IF(VLOOKUP($T32,'Performance Pivot'!$S:$AG,15,0)="","",VLOOKUP($T32,'Performance Pivot'!$S:$AG,15,0))</f>
        <v/>
      </c>
    </row>
    <row r="33" spans="3:47" s="74" customFormat="1" ht="21" customHeight="1">
      <c r="C33" s="92">
        <f>'Performance Pivot'!C25</f>
        <v>42036</v>
      </c>
      <c r="D33" s="72">
        <f>IF(VLOOKUP($C33,'Performance Pivot'!$C:$P,2,0)="","",VLOOKUP($C33,'Performance Pivot'!$C:$P,2,0))</f>
        <v>8.6882000000000001</v>
      </c>
      <c r="E33" s="72">
        <f>IF(VLOOKUP($C33,'Performance Pivot'!$C:$P,3,0)="","",VLOOKUP($C33,'Performance Pivot'!$C:$P,3,0))</f>
        <v>5.2746000000000004</v>
      </c>
      <c r="F33" s="72">
        <f>IF(VLOOKUP($C33,'Performance Pivot'!$C:$P,4,0)="","",VLOOKUP($C33,'Performance Pivot'!$C:$P,4,0))</f>
        <v>6.4855999999999998</v>
      </c>
      <c r="G33" s="72">
        <f>IF(VLOOKUP($C33,'Performance Pivot'!$C:$P,5,0)="","",VLOOKUP($C33,'Performance Pivot'!$C:$P,5,0))</f>
        <v>18.1097</v>
      </c>
      <c r="H33" s="72">
        <f>IF(VLOOKUP($C33,'Performance Pivot'!$C:$P,6,0)="","",VLOOKUP($C33,'Performance Pivot'!$C:$P,6,0))</f>
        <v>37.548999999999999</v>
      </c>
      <c r="I33" s="72">
        <f>IF(VLOOKUP($C33,'Performance Pivot'!$C:$P,7,0)="","",VLOOKUP($C33,'Performance Pivot'!$C:$P,7,0))</f>
        <v>35.9437</v>
      </c>
      <c r="J33" s="72">
        <f>IF(VLOOKUP($C33,'Performance Pivot'!$C:$P,8,0)="","",VLOOKUP($C33,'Performance Pivot'!$C:$P,8,0))</f>
        <v>30.6647</v>
      </c>
      <c r="K33" s="72">
        <f>IF(VLOOKUP($C33,'Performance Pivot'!$C:$P,9,0)="","",VLOOKUP($C33,'Performance Pivot'!$C:$P,9,0))</f>
        <v>11.7706</v>
      </c>
      <c r="L33" s="72">
        <f>IF(VLOOKUP($C33,'Performance Pivot'!$C:$P,10,0)="","",VLOOKUP($C33,'Performance Pivot'!$C:$P,10,0))</f>
        <v>28.434999999999999</v>
      </c>
      <c r="M33" s="72">
        <f>IF(VLOOKUP($C33,'Performance Pivot'!$C:$P,11,0)="","",VLOOKUP($C33,'Performance Pivot'!$C:$P,11,0))</f>
        <v>52.355800000000002</v>
      </c>
      <c r="N33" s="72" t="str">
        <f>IF(VLOOKUP($C33,'Performance Pivot'!$C:$P,12,0)="","",VLOOKUP($C33,'Performance Pivot'!$C:$P,12,0))</f>
        <v/>
      </c>
      <c r="O33" s="72" t="str">
        <f>IF(VLOOKUP($C33,'Performance Pivot'!$C:$P,13,0)="","",VLOOKUP($C33,'Performance Pivot'!$C:$P,13,0))</f>
        <v/>
      </c>
      <c r="P33" s="72" t="str">
        <f>IF(VLOOKUP($C33,'Performance Pivot'!$C:$P,14,0)="","",VLOOKUP($C33,'Performance Pivot'!$C:$P,14,0))</f>
        <v/>
      </c>
      <c r="Q33" s="72" t="str">
        <f>IF(VLOOKUP($C33,'Performance Pivot'!$C:$Q,15,0)="","",VLOOKUP($C33,'Performance Pivot'!$C:$Q,15,0))</f>
        <v/>
      </c>
      <c r="R33" s="75"/>
      <c r="S33" s="75"/>
      <c r="T33" s="92">
        <f t="shared" si="1"/>
        <v>42036</v>
      </c>
      <c r="U33" s="73">
        <f>IF(VLOOKUP($T33,'Performance Pivot'!$S:$AF,2,0)="","",VLOOKUP($T33,'Performance Pivot'!$S:$AF,2,0))</f>
        <v>3.1E-2</v>
      </c>
      <c r="V33" s="73">
        <f>IF(VLOOKUP($T33,'Performance Pivot'!$S:$AF,3,0)="","",VLOOKUP($T33,'Performance Pivot'!$S:$AF,3,0))</f>
        <v>8.4000000000000005E-2</v>
      </c>
      <c r="W33" s="73">
        <f>IF(VLOOKUP($T33,'Performance Pivot'!$S:$AF,4,0)="","",VLOOKUP($T33,'Performance Pivot'!$S:$AF,4,0))</f>
        <v>2.35E-2</v>
      </c>
      <c r="X33" s="73">
        <f>IF(VLOOKUP($T33,'Performance Pivot'!$S:$AF,5,0)="","",VLOOKUP($T33,'Performance Pivot'!$S:$AF,5,0))</f>
        <v>3.6299999999999999E-2</v>
      </c>
      <c r="Y33" s="73">
        <f>IF(VLOOKUP($T33,'Performance Pivot'!$S:$AF,6,0)="","",VLOOKUP($T33,'Performance Pivot'!$S:$AF,6,0))</f>
        <v>4.1000000000000002E-2</v>
      </c>
      <c r="Z33" s="73">
        <f>IF(VLOOKUP($T33,'Performance Pivot'!$S:$AF,7,0)="","",VLOOKUP($T33,'Performance Pivot'!$S:$AF,7,0))</f>
        <v>0</v>
      </c>
      <c r="AA33" s="73">
        <f>IF(VLOOKUP($T33,'Performance Pivot'!$S:$AF,8,0)="","",VLOOKUP($T33,'Performance Pivot'!$S:$AF,8,0))</f>
        <v>0</v>
      </c>
      <c r="AB33" s="73">
        <f>IF(VLOOKUP($T33,'Performance Pivot'!$S:$AF,9,0)="","",VLOOKUP($T33,'Performance Pivot'!$S:$AF,9,0))</f>
        <v>6.5199999999999994E-2</v>
      </c>
      <c r="AC33" s="73">
        <f>IF(VLOOKUP($T33,'Performance Pivot'!$S:$AF,10,0)="","",VLOOKUP($T33,'Performance Pivot'!$S:$AF,10,0))</f>
        <v>0</v>
      </c>
      <c r="AD33" s="73">
        <f>IF(VLOOKUP($T33,'Performance Pivot'!$S:$AF,11,0)="","",VLOOKUP($T33,'Performance Pivot'!$S:$AF,11,0))</f>
        <v>0</v>
      </c>
      <c r="AE33" s="73" t="str">
        <f>IF(VLOOKUP($T33,'Performance Pivot'!$S:$AF,12,0)="","",VLOOKUP($T33,'Performance Pivot'!$S:$AF,12,0))</f>
        <v/>
      </c>
      <c r="AF33" s="73" t="str">
        <f>IF(VLOOKUP($T33,'Performance Pivot'!$S:$AF,13,0)="","",VLOOKUP($T33,'Performance Pivot'!$S:$AF,13,0))</f>
        <v/>
      </c>
      <c r="AG33" s="73" t="str">
        <f>IF(VLOOKUP($T33,'Performance Pivot'!$S:$AF,14,0)="","",VLOOKUP($T33,'Performance Pivot'!$S:$AF,14,0))</f>
        <v/>
      </c>
      <c r="AH33" s="73" t="str">
        <f>IF(VLOOKUP($T33,'Performance Pivot'!$S:$AG,15,0)="","",VLOOKUP($T33,'Performance Pivot'!$S:$AG,15,0))</f>
        <v/>
      </c>
    </row>
    <row r="34" spans="3:47" s="74" customFormat="1" ht="21" customHeight="1">
      <c r="C34" s="92">
        <f>'Performance Pivot'!C24</f>
        <v>42064</v>
      </c>
      <c r="D34" s="72">
        <f>IF(VLOOKUP($C34,'Performance Pivot'!$C:$P,2,0)="","",VLOOKUP($C34,'Performance Pivot'!$C:$P,2,0))</f>
        <v>11.6309</v>
      </c>
      <c r="E34" s="72">
        <f>IF(VLOOKUP($C34,'Performance Pivot'!$C:$P,3,0)="","",VLOOKUP($C34,'Performance Pivot'!$C:$P,3,0))</f>
        <v>7.9035000000000002</v>
      </c>
      <c r="F34" s="72">
        <f>IF(VLOOKUP($C34,'Performance Pivot'!$C:$P,4,0)="","",VLOOKUP($C34,'Performance Pivot'!$C:$P,4,0))</f>
        <v>8.1851000000000003</v>
      </c>
      <c r="G34" s="72">
        <f>IF(VLOOKUP($C34,'Performance Pivot'!$C:$P,5,0)="","",VLOOKUP($C34,'Performance Pivot'!$C:$P,5,0))</f>
        <v>20.407399999999999</v>
      </c>
      <c r="H34" s="72">
        <f>IF(VLOOKUP($C34,'Performance Pivot'!$C:$P,6,0)="","",VLOOKUP($C34,'Performance Pivot'!$C:$P,6,0))</f>
        <v>39.283499999999997</v>
      </c>
      <c r="I34" s="72">
        <f>IF(VLOOKUP($C34,'Performance Pivot'!$C:$P,7,0)="","",VLOOKUP($C34,'Performance Pivot'!$C:$P,7,0))</f>
        <v>41.909599999999998</v>
      </c>
      <c r="J34" s="72">
        <f>IF(VLOOKUP($C34,'Performance Pivot'!$C:$P,8,0)="","",VLOOKUP($C34,'Performance Pivot'!$C:$P,8,0))</f>
        <v>33.655700000000003</v>
      </c>
      <c r="K34" s="72">
        <f>IF(VLOOKUP($C34,'Performance Pivot'!$C:$P,9,0)="","",VLOOKUP($C34,'Performance Pivot'!$C:$P,9,0))</f>
        <v>14.472300000000001</v>
      </c>
      <c r="L34" s="72">
        <f>IF(VLOOKUP($C34,'Performance Pivot'!$C:$P,10,0)="","",VLOOKUP($C34,'Performance Pivot'!$C:$P,10,0))</f>
        <v>35.014099999999999</v>
      </c>
      <c r="M34" s="72">
        <f>IF(VLOOKUP($C34,'Performance Pivot'!$C:$P,11,0)="","",VLOOKUP($C34,'Performance Pivot'!$C:$P,11,0))</f>
        <v>38.3904</v>
      </c>
      <c r="N34" s="72" t="str">
        <f>IF(VLOOKUP($C34,'Performance Pivot'!$C:$P,12,0)="","",VLOOKUP($C34,'Performance Pivot'!$C:$P,12,0))</f>
        <v/>
      </c>
      <c r="O34" s="72" t="str">
        <f>IF(VLOOKUP($C34,'Performance Pivot'!$C:$P,13,0)="","",VLOOKUP($C34,'Performance Pivot'!$C:$P,13,0))</f>
        <v/>
      </c>
      <c r="P34" s="72" t="str">
        <f>IF(VLOOKUP($C34,'Performance Pivot'!$C:$P,14,0)="","",VLOOKUP($C34,'Performance Pivot'!$C:$P,14,0))</f>
        <v/>
      </c>
      <c r="Q34" s="72" t="str">
        <f>IF(VLOOKUP($C34,'Performance Pivot'!$C:$Q,15,0)="","",VLOOKUP($C34,'Performance Pivot'!$C:$Q,15,0))</f>
        <v/>
      </c>
      <c r="R34" s="75"/>
      <c r="S34" s="75"/>
      <c r="T34" s="92">
        <f t="shared" si="1"/>
        <v>42064</v>
      </c>
      <c r="U34" s="73">
        <f>IF(VLOOKUP($T34,'Performance Pivot'!$S:$AF,2,0)="","",VLOOKUP($T34,'Performance Pivot'!$S:$AF,2,0))</f>
        <v>5.7599999999999998E-2</v>
      </c>
      <c r="V34" s="73">
        <f>IF(VLOOKUP($T34,'Performance Pivot'!$S:$AF,3,0)="","",VLOOKUP($T34,'Performance Pivot'!$S:$AF,3,0))</f>
        <v>4.3700000000000003E-2</v>
      </c>
      <c r="W34" s="73">
        <f>IF(VLOOKUP($T34,'Performance Pivot'!$S:$AF,4,0)="","",VLOOKUP($T34,'Performance Pivot'!$S:$AF,4,0))</f>
        <v>3.1099999999999999E-2</v>
      </c>
      <c r="X34" s="73">
        <f>IF(VLOOKUP($T34,'Performance Pivot'!$S:$AF,5,0)="","",VLOOKUP($T34,'Performance Pivot'!$S:$AF,5,0))</f>
        <v>3.4700000000000002E-2</v>
      </c>
      <c r="Y34" s="73">
        <f>IF(VLOOKUP($T34,'Performance Pivot'!$S:$AF,6,0)="","",VLOOKUP($T34,'Performance Pivot'!$S:$AF,6,0))</f>
        <v>4.6100000000000002E-2</v>
      </c>
      <c r="Z34" s="73">
        <f>IF(VLOOKUP($T34,'Performance Pivot'!$S:$AF,7,0)="","",VLOOKUP($T34,'Performance Pivot'!$S:$AF,7,0))</f>
        <v>1.9099999999999999E-2</v>
      </c>
      <c r="AA34" s="73">
        <f>IF(VLOOKUP($T34,'Performance Pivot'!$S:$AF,8,0)="","",VLOOKUP($T34,'Performance Pivot'!$S:$AF,8,0))</f>
        <v>0.1084</v>
      </c>
      <c r="AB34" s="73">
        <f>IF(VLOOKUP($T34,'Performance Pivot'!$S:$AF,9,0)="","",VLOOKUP($T34,'Performance Pivot'!$S:$AF,9,0))</f>
        <v>8.3799999999999999E-2</v>
      </c>
      <c r="AC34" s="73">
        <f>IF(VLOOKUP($T34,'Performance Pivot'!$S:$AF,10,0)="","",VLOOKUP($T34,'Performance Pivot'!$S:$AF,10,0))</f>
        <v>0.18659999999999999</v>
      </c>
      <c r="AD34" s="73">
        <f>IF(VLOOKUP($T34,'Performance Pivot'!$S:$AF,11,0)="","",VLOOKUP($T34,'Performance Pivot'!$S:$AF,11,0))</f>
        <v>0</v>
      </c>
      <c r="AE34" s="73" t="str">
        <f>IF(VLOOKUP($T34,'Performance Pivot'!$S:$AF,12,0)="","",VLOOKUP($T34,'Performance Pivot'!$S:$AF,12,0))</f>
        <v/>
      </c>
      <c r="AF34" s="73" t="str">
        <f>IF(VLOOKUP($T34,'Performance Pivot'!$S:$AF,13,0)="","",VLOOKUP($T34,'Performance Pivot'!$S:$AF,13,0))</f>
        <v/>
      </c>
      <c r="AG34" s="73" t="str">
        <f>IF(VLOOKUP($T34,'Performance Pivot'!$S:$AF,14,0)="","",VLOOKUP($T34,'Performance Pivot'!$S:$AF,14,0))</f>
        <v/>
      </c>
      <c r="AH34" s="73" t="str">
        <f>IF(VLOOKUP($T34,'Performance Pivot'!$S:$AG,15,0)="","",VLOOKUP($T34,'Performance Pivot'!$S:$AG,15,0))</f>
        <v/>
      </c>
    </row>
    <row r="35" spans="3:47" s="74" customFormat="1" ht="21" customHeight="1">
      <c r="C35" s="92">
        <f>'Performance Pivot'!C23</f>
        <v>42095</v>
      </c>
      <c r="D35" s="72">
        <f>IF(VLOOKUP($C35,'Performance Pivot'!$C:$P,2,0)="","",VLOOKUP($C35,'Performance Pivot'!$C:$P,2,0))</f>
        <v>10.7645</v>
      </c>
      <c r="E35" s="72">
        <f>IF(VLOOKUP($C35,'Performance Pivot'!$C:$P,3,0)="","",VLOOKUP($C35,'Performance Pivot'!$C:$P,3,0))</f>
        <v>8.1675000000000004</v>
      </c>
      <c r="F35" s="72">
        <f>IF(VLOOKUP($C35,'Performance Pivot'!$C:$P,4,0)="","",VLOOKUP($C35,'Performance Pivot'!$C:$P,4,0))</f>
        <v>8.7393000000000001</v>
      </c>
      <c r="G35" s="72">
        <f>IF(VLOOKUP($C35,'Performance Pivot'!$C:$P,5,0)="","",VLOOKUP($C35,'Performance Pivot'!$C:$P,5,0))</f>
        <v>14.578799999999999</v>
      </c>
      <c r="H35" s="72">
        <f>IF(VLOOKUP($C35,'Performance Pivot'!$C:$P,6,0)="","",VLOOKUP($C35,'Performance Pivot'!$C:$P,6,0))</f>
        <v>28.069600000000001</v>
      </c>
      <c r="I35" s="72">
        <f>IF(VLOOKUP($C35,'Performance Pivot'!$C:$P,7,0)="","",VLOOKUP($C35,'Performance Pivot'!$C:$P,7,0))</f>
        <v>27.761600000000001</v>
      </c>
      <c r="J35" s="72">
        <f>IF(VLOOKUP($C35,'Performance Pivot'!$C:$P,8,0)="","",VLOOKUP($C35,'Performance Pivot'!$C:$P,8,0))</f>
        <v>22.742599999999999</v>
      </c>
      <c r="K35" s="72">
        <f>IF(VLOOKUP($C35,'Performance Pivot'!$C:$P,9,0)="","",VLOOKUP($C35,'Performance Pivot'!$C:$P,9,0))</f>
        <v>12.5951</v>
      </c>
      <c r="L35" s="72">
        <f>IF(VLOOKUP($C35,'Performance Pivot'!$C:$P,10,0)="","",VLOOKUP($C35,'Performance Pivot'!$C:$P,10,0))</f>
        <v>22.537099999999999</v>
      </c>
      <c r="M35" s="72">
        <f>IF(VLOOKUP($C35,'Performance Pivot'!$C:$P,11,0)="","",VLOOKUP($C35,'Performance Pivot'!$C:$P,11,0))</f>
        <v>24.6311</v>
      </c>
      <c r="N35" s="72" t="str">
        <f>IF(VLOOKUP($C35,'Performance Pivot'!$C:$P,12,0)="","",VLOOKUP($C35,'Performance Pivot'!$C:$P,12,0))</f>
        <v/>
      </c>
      <c r="O35" s="72" t="str">
        <f>IF(VLOOKUP($C35,'Performance Pivot'!$C:$P,13,0)="","",VLOOKUP($C35,'Performance Pivot'!$C:$P,13,0))</f>
        <v/>
      </c>
      <c r="P35" s="72">
        <f>IF(VLOOKUP($C35,'Performance Pivot'!$C:$P,14,0)="","",VLOOKUP($C35,'Performance Pivot'!$C:$P,14,0))</f>
        <v>39.804000000000002</v>
      </c>
      <c r="Q35" s="72" t="str">
        <f>IF(VLOOKUP($C35,'Performance Pivot'!$C:$Q,15,0)="","",VLOOKUP($C35,'Performance Pivot'!$C:$Q,15,0))</f>
        <v/>
      </c>
      <c r="R35" s="75"/>
      <c r="S35" s="75"/>
      <c r="T35" s="92">
        <f t="shared" si="1"/>
        <v>42095</v>
      </c>
      <c r="U35" s="73">
        <f>IF(VLOOKUP($T35,'Performance Pivot'!$S:$AF,2,0)="","",VLOOKUP($T35,'Performance Pivot'!$S:$AF,2,0))</f>
        <v>7.2300000000000003E-2</v>
      </c>
      <c r="V35" s="73">
        <f>IF(VLOOKUP($T35,'Performance Pivot'!$S:$AF,3,0)="","",VLOOKUP($T35,'Performance Pivot'!$S:$AF,3,0))</f>
        <v>6.3100000000000003E-2</v>
      </c>
      <c r="W35" s="73">
        <f>IF(VLOOKUP($T35,'Performance Pivot'!$S:$AF,4,0)="","",VLOOKUP($T35,'Performance Pivot'!$S:$AF,4,0))</f>
        <v>2.2800000000000001E-2</v>
      </c>
      <c r="X35" s="73">
        <f>IF(VLOOKUP($T35,'Performance Pivot'!$S:$AF,5,0)="","",VLOOKUP($T35,'Performance Pivot'!$S:$AF,5,0))</f>
        <v>4.1599999999999998E-2</v>
      </c>
      <c r="Y35" s="73">
        <f>IF(VLOOKUP($T35,'Performance Pivot'!$S:$AF,6,0)="","",VLOOKUP($T35,'Performance Pivot'!$S:$AF,6,0))</f>
        <v>9.6799999999999997E-2</v>
      </c>
      <c r="Z35" s="73">
        <f>IF(VLOOKUP($T35,'Performance Pivot'!$S:$AF,7,0)="","",VLOOKUP($T35,'Performance Pivot'!$S:$AF,7,0))</f>
        <v>0</v>
      </c>
      <c r="AA35" s="73">
        <f>IF(VLOOKUP($T35,'Performance Pivot'!$S:$AF,8,0)="","",VLOOKUP($T35,'Performance Pivot'!$S:$AF,8,0))</f>
        <v>0.1807</v>
      </c>
      <c r="AB35" s="73">
        <f>IF(VLOOKUP($T35,'Performance Pivot'!$S:$AF,9,0)="","",VLOOKUP($T35,'Performance Pivot'!$S:$AF,9,0))</f>
        <v>0.06</v>
      </c>
      <c r="AC35" s="73">
        <f>IF(VLOOKUP($T35,'Performance Pivot'!$S:$AF,10,0)="","",VLOOKUP($T35,'Performance Pivot'!$S:$AF,10,0))</f>
        <v>0.1017</v>
      </c>
      <c r="AD35" s="73">
        <f>IF(VLOOKUP($T35,'Performance Pivot'!$S:$AF,11,0)="","",VLOOKUP($T35,'Performance Pivot'!$S:$AF,11,0))</f>
        <v>0</v>
      </c>
      <c r="AE35" s="73" t="str">
        <f>IF(VLOOKUP($T35,'Performance Pivot'!$S:$AF,12,0)="","",VLOOKUP($T35,'Performance Pivot'!$S:$AF,12,0))</f>
        <v/>
      </c>
      <c r="AF35" s="73" t="str">
        <f>IF(VLOOKUP($T35,'Performance Pivot'!$S:$AF,13,0)="","",VLOOKUP($T35,'Performance Pivot'!$S:$AF,13,0))</f>
        <v/>
      </c>
      <c r="AG35" s="73">
        <f>IF(VLOOKUP($T35,'Performance Pivot'!$S:$AF,14,0)="","",VLOOKUP($T35,'Performance Pivot'!$S:$AF,14,0))</f>
        <v>0</v>
      </c>
      <c r="AH35" s="73" t="str">
        <f>IF(VLOOKUP($T35,'Performance Pivot'!$S:$AG,15,0)="","",VLOOKUP($T35,'Performance Pivot'!$S:$AG,15,0))</f>
        <v/>
      </c>
    </row>
    <row r="36" spans="3:47" s="74" customFormat="1" ht="21" customHeight="1">
      <c r="C36" s="92">
        <f>'Performance Pivot'!C22</f>
        <v>42125</v>
      </c>
      <c r="D36" s="72">
        <f>IF(VLOOKUP($C36,'Performance Pivot'!$C:$P,2,0)="","",VLOOKUP($C36,'Performance Pivot'!$C:$P,2,0))</f>
        <v>10.681699999999999</v>
      </c>
      <c r="E36" s="72">
        <f>IF(VLOOKUP($C36,'Performance Pivot'!$C:$P,3,0)="","",VLOOKUP($C36,'Performance Pivot'!$C:$P,3,0))</f>
        <v>8.6698000000000004</v>
      </c>
      <c r="F36" s="72">
        <f>IF(VLOOKUP($C36,'Performance Pivot'!$C:$P,4,0)="","",VLOOKUP($C36,'Performance Pivot'!$C:$P,4,0))</f>
        <v>9.8811</v>
      </c>
      <c r="G36" s="72">
        <f>IF(VLOOKUP($C36,'Performance Pivot'!$C:$P,5,0)="","",VLOOKUP($C36,'Performance Pivot'!$C:$P,5,0))</f>
        <v>14.3132</v>
      </c>
      <c r="H36" s="72">
        <f>IF(VLOOKUP($C36,'Performance Pivot'!$C:$P,6,0)="","",VLOOKUP($C36,'Performance Pivot'!$C:$P,6,0))</f>
        <v>25.523</v>
      </c>
      <c r="I36" s="72">
        <f>IF(VLOOKUP($C36,'Performance Pivot'!$C:$P,7,0)="","",VLOOKUP($C36,'Performance Pivot'!$C:$P,7,0))</f>
        <v>24.0733</v>
      </c>
      <c r="J36" s="72">
        <f>IF(VLOOKUP($C36,'Performance Pivot'!$C:$P,8,0)="","",VLOOKUP($C36,'Performance Pivot'!$C:$P,8,0))</f>
        <v>22.283799999999999</v>
      </c>
      <c r="K36" s="72">
        <f>IF(VLOOKUP($C36,'Performance Pivot'!$C:$P,9,0)="","",VLOOKUP($C36,'Performance Pivot'!$C:$P,9,0))</f>
        <v>12.791600000000001</v>
      </c>
      <c r="L36" s="72">
        <f>IF(VLOOKUP($C36,'Performance Pivot'!$C:$P,10,0)="","",VLOOKUP($C36,'Performance Pivot'!$C:$P,10,0))</f>
        <v>21.285599999999999</v>
      </c>
      <c r="M36" s="72">
        <f>IF(VLOOKUP($C36,'Performance Pivot'!$C:$P,11,0)="","",VLOOKUP($C36,'Performance Pivot'!$C:$P,11,0))</f>
        <v>23.322399999999998</v>
      </c>
      <c r="N36" s="72">
        <f>IF(VLOOKUP($C36,'Performance Pivot'!$C:$P,12,0)="","",VLOOKUP($C36,'Performance Pivot'!$C:$P,12,0))</f>
        <v>17.0291</v>
      </c>
      <c r="O36" s="72" t="str">
        <f>IF(VLOOKUP($C36,'Performance Pivot'!$C:$P,13,0)="","",VLOOKUP($C36,'Performance Pivot'!$C:$P,13,0))</f>
        <v/>
      </c>
      <c r="P36" s="72">
        <f>IF(VLOOKUP($C36,'Performance Pivot'!$C:$P,14,0)="","",VLOOKUP($C36,'Performance Pivot'!$C:$P,14,0))</f>
        <v>17.484500000000001</v>
      </c>
      <c r="Q36" s="72">
        <f>IF(VLOOKUP($C36,'Performance Pivot'!$C:$Q,15,0)="","",VLOOKUP($C36,'Performance Pivot'!$C:$Q,15,0))</f>
        <v>12.834</v>
      </c>
      <c r="R36" s="75"/>
      <c r="S36" s="75"/>
      <c r="T36" s="92">
        <f t="shared" si="1"/>
        <v>42125</v>
      </c>
      <c r="U36" s="73">
        <f>IF(VLOOKUP($T36,'Performance Pivot'!$S:$AF,2,0)="","",VLOOKUP($T36,'Performance Pivot'!$S:$AF,2,0))</f>
        <v>5.2200000000000003E-2</v>
      </c>
      <c r="V36" s="73">
        <f>IF(VLOOKUP($T36,'Performance Pivot'!$S:$AF,3,0)="","",VLOOKUP($T36,'Performance Pivot'!$S:$AF,3,0))</f>
        <v>0.1116</v>
      </c>
      <c r="W36" s="73">
        <f>IF(VLOOKUP($T36,'Performance Pivot'!$S:$AF,4,0)="","",VLOOKUP($T36,'Performance Pivot'!$S:$AF,4,0))</f>
        <v>6.3500000000000001E-2</v>
      </c>
      <c r="X36" s="73">
        <f>IF(VLOOKUP($T36,'Performance Pivot'!$S:$AF,5,0)="","",VLOOKUP($T36,'Performance Pivot'!$S:$AF,5,0))</f>
        <v>5.2600000000000001E-2</v>
      </c>
      <c r="Y36" s="73">
        <f>IF(VLOOKUP($T36,'Performance Pivot'!$S:$AF,6,0)="","",VLOOKUP($T36,'Performance Pivot'!$S:$AF,6,0))</f>
        <v>5.9700000000000003E-2</v>
      </c>
      <c r="Z36" s="73">
        <f>IF(VLOOKUP($T36,'Performance Pivot'!$S:$AF,7,0)="","",VLOOKUP($T36,'Performance Pivot'!$S:$AF,7,0))</f>
        <v>6.83E-2</v>
      </c>
      <c r="AA36" s="73">
        <f>IF(VLOOKUP($T36,'Performance Pivot'!$S:$AF,8,0)="","",VLOOKUP($T36,'Performance Pivot'!$S:$AF,8,0))</f>
        <v>0.22869999999999999</v>
      </c>
      <c r="AB36" s="73">
        <f>IF(VLOOKUP($T36,'Performance Pivot'!$S:$AF,9,0)="","",VLOOKUP($T36,'Performance Pivot'!$S:$AF,9,0))</f>
        <v>6.0499999999999998E-2</v>
      </c>
      <c r="AC36" s="73">
        <f>IF(VLOOKUP($T36,'Performance Pivot'!$S:$AF,10,0)="","",VLOOKUP($T36,'Performance Pivot'!$S:$AF,10,0))</f>
        <v>0.1095</v>
      </c>
      <c r="AD36" s="73">
        <f>IF(VLOOKUP($T36,'Performance Pivot'!$S:$AF,11,0)="","",VLOOKUP($T36,'Performance Pivot'!$S:$AF,11,0))</f>
        <v>0</v>
      </c>
      <c r="AE36" s="73">
        <f>IF(VLOOKUP($T36,'Performance Pivot'!$S:$AF,12,0)="","",VLOOKUP($T36,'Performance Pivot'!$S:$AF,12,0))</f>
        <v>0</v>
      </c>
      <c r="AF36" s="73" t="str">
        <f>IF(VLOOKUP($T36,'Performance Pivot'!$S:$AF,13,0)="","",VLOOKUP($T36,'Performance Pivot'!$S:$AF,13,0))</f>
        <v/>
      </c>
      <c r="AG36" s="73">
        <f>IF(VLOOKUP($T36,'Performance Pivot'!$S:$AF,14,0)="","",VLOOKUP($T36,'Performance Pivot'!$S:$AF,14,0))</f>
        <v>0</v>
      </c>
      <c r="AH36" s="73">
        <f>IF(VLOOKUP($T36,'Performance Pivot'!$S:$AG,15,0)="","",VLOOKUP($T36,'Performance Pivot'!$S:$AG,15,0))</f>
        <v>0</v>
      </c>
    </row>
    <row r="37" spans="3:47" s="74" customFormat="1" ht="21" customHeight="1">
      <c r="C37" s="92">
        <f>'Performance Pivot'!C21</f>
        <v>42156</v>
      </c>
      <c r="D37" s="72">
        <f>IF(VLOOKUP($C37,'Performance Pivot'!$C:$P,2,0)="","",VLOOKUP($C37,'Performance Pivot'!$C:$P,2,0))</f>
        <v>12.027900000000001</v>
      </c>
      <c r="E37" s="72">
        <f>IF(VLOOKUP($C37,'Performance Pivot'!$C:$P,3,0)="","",VLOOKUP($C37,'Performance Pivot'!$C:$P,3,0))</f>
        <v>9.6722000000000001</v>
      </c>
      <c r="F37" s="72">
        <f>IF(VLOOKUP($C37,'Performance Pivot'!$C:$P,4,0)="","",VLOOKUP($C37,'Performance Pivot'!$C:$P,4,0))</f>
        <v>10.358499999999999</v>
      </c>
      <c r="G37" s="72">
        <f>IF(VLOOKUP($C37,'Performance Pivot'!$C:$P,5,0)="","",VLOOKUP($C37,'Performance Pivot'!$C:$P,5,0))</f>
        <v>13.9869</v>
      </c>
      <c r="H37" s="72">
        <f>IF(VLOOKUP($C37,'Performance Pivot'!$C:$P,6,0)="","",VLOOKUP($C37,'Performance Pivot'!$C:$P,6,0))</f>
        <v>21.8673</v>
      </c>
      <c r="I37" s="72">
        <f>IF(VLOOKUP($C37,'Performance Pivot'!$C:$P,7,0)="","",VLOOKUP($C37,'Performance Pivot'!$C:$P,7,0))</f>
        <v>23.1372</v>
      </c>
      <c r="J37" s="72">
        <f>IF(VLOOKUP($C37,'Performance Pivot'!$C:$P,8,0)="","",VLOOKUP($C37,'Performance Pivot'!$C:$P,8,0))</f>
        <v>21.891200000000001</v>
      </c>
      <c r="K37" s="72">
        <f>IF(VLOOKUP($C37,'Performance Pivot'!$C:$P,9,0)="","",VLOOKUP($C37,'Performance Pivot'!$C:$P,9,0))</f>
        <v>13.186500000000001</v>
      </c>
      <c r="L37" s="72">
        <f>IF(VLOOKUP($C37,'Performance Pivot'!$C:$P,10,0)="","",VLOOKUP($C37,'Performance Pivot'!$C:$P,10,0))</f>
        <v>19.9374</v>
      </c>
      <c r="M37" s="72">
        <f>IF(VLOOKUP($C37,'Performance Pivot'!$C:$P,11,0)="","",VLOOKUP($C37,'Performance Pivot'!$C:$P,11,0))</f>
        <v>19.9191</v>
      </c>
      <c r="N37" s="72">
        <f>IF(VLOOKUP($C37,'Performance Pivot'!$C:$P,12,0)="","",VLOOKUP($C37,'Performance Pivot'!$C:$P,12,0))</f>
        <v>10.8714</v>
      </c>
      <c r="O37" s="72" t="str">
        <f>IF(VLOOKUP($C37,'Performance Pivot'!$C:$P,13,0)="","",VLOOKUP($C37,'Performance Pivot'!$C:$P,13,0))</f>
        <v/>
      </c>
      <c r="P37" s="72">
        <f>IF(VLOOKUP($C37,'Performance Pivot'!$C:$P,14,0)="","",VLOOKUP($C37,'Performance Pivot'!$C:$P,14,0))</f>
        <v>15.6732</v>
      </c>
      <c r="Q37" s="72">
        <f>IF(VLOOKUP($C37,'Performance Pivot'!$C:$Q,15,0)="","",VLOOKUP($C37,'Performance Pivot'!$C:$Q,15,0))</f>
        <v>13.1333</v>
      </c>
      <c r="R37" s="75"/>
      <c r="S37" s="75"/>
      <c r="T37" s="92">
        <f t="shared" si="1"/>
        <v>42156</v>
      </c>
      <c r="U37" s="73">
        <f>IF(VLOOKUP($T37,'Performance Pivot'!$S:$AF,2,0)="","",VLOOKUP($T37,'Performance Pivot'!$S:$AF,2,0))</f>
        <v>0.12759999999999999</v>
      </c>
      <c r="V37" s="73">
        <f>IF(VLOOKUP($T37,'Performance Pivot'!$S:$AF,3,0)="","",VLOOKUP($T37,'Performance Pivot'!$S:$AF,3,0))</f>
        <v>2.2200000000000001E-2</v>
      </c>
      <c r="W37" s="73">
        <f>IF(VLOOKUP($T37,'Performance Pivot'!$S:$AF,4,0)="","",VLOOKUP($T37,'Performance Pivot'!$S:$AF,4,0))</f>
        <v>2.69E-2</v>
      </c>
      <c r="X37" s="73">
        <f>IF(VLOOKUP($T37,'Performance Pivot'!$S:$AF,5,0)="","",VLOOKUP($T37,'Performance Pivot'!$S:$AF,5,0))</f>
        <v>5.04E-2</v>
      </c>
      <c r="Y37" s="73">
        <f>IF(VLOOKUP($T37,'Performance Pivot'!$S:$AF,6,0)="","",VLOOKUP($T37,'Performance Pivot'!$S:$AF,6,0))</f>
        <v>0.1091</v>
      </c>
      <c r="Z37" s="73">
        <f>IF(VLOOKUP($T37,'Performance Pivot'!$S:$AF,7,0)="","",VLOOKUP($T37,'Performance Pivot'!$S:$AF,7,0))</f>
        <v>5.1000000000000004E-3</v>
      </c>
      <c r="AA37" s="73">
        <f>IF(VLOOKUP($T37,'Performance Pivot'!$S:$AF,8,0)="","",VLOOKUP($T37,'Performance Pivot'!$S:$AF,8,0))</f>
        <v>6.4899999999999999E-2</v>
      </c>
      <c r="AB37" s="73">
        <f>IF(VLOOKUP($T37,'Performance Pivot'!$S:$AF,9,0)="","",VLOOKUP($T37,'Performance Pivot'!$S:$AF,9,0))</f>
        <v>6.08E-2</v>
      </c>
      <c r="AC37" s="73">
        <f>IF(VLOOKUP($T37,'Performance Pivot'!$S:$AF,10,0)="","",VLOOKUP($T37,'Performance Pivot'!$S:$AF,10,0))</f>
        <v>0.1643</v>
      </c>
      <c r="AD37" s="73">
        <f>IF(VLOOKUP($T37,'Performance Pivot'!$S:$AF,11,0)="","",VLOOKUP($T37,'Performance Pivot'!$S:$AF,11,0))</f>
        <v>2.7900000000000001E-2</v>
      </c>
      <c r="AE37" s="73">
        <f>IF(VLOOKUP($T37,'Performance Pivot'!$S:$AF,12,0)="","",VLOOKUP($T37,'Performance Pivot'!$S:$AF,12,0))</f>
        <v>0</v>
      </c>
      <c r="AF37" s="73" t="str">
        <f>IF(VLOOKUP($T37,'Performance Pivot'!$S:$AF,13,0)="","",VLOOKUP($T37,'Performance Pivot'!$S:$AF,13,0))</f>
        <v/>
      </c>
      <c r="AG37" s="73">
        <f>IF(VLOOKUP($T37,'Performance Pivot'!$S:$AF,14,0)="","",VLOOKUP($T37,'Performance Pivot'!$S:$AF,14,0))</f>
        <v>0</v>
      </c>
      <c r="AH37" s="73">
        <f>IF(VLOOKUP($T37,'Performance Pivot'!$S:$AG,15,0)="","",VLOOKUP($T37,'Performance Pivot'!$S:$AG,15,0))</f>
        <v>0</v>
      </c>
    </row>
    <row r="38" spans="3:47" s="74" customFormat="1" ht="21" customHeight="1">
      <c r="C38" s="92">
        <f>'Performance Pivot'!C20</f>
        <v>42186</v>
      </c>
      <c r="D38" s="72">
        <f>IF(VLOOKUP($C38,'Performance Pivot'!$C:$P,2,0)="","",VLOOKUP($C38,'Performance Pivot'!$C:$P,2,0))</f>
        <v>11.096500000000001</v>
      </c>
      <c r="E38" s="72">
        <f>IF(VLOOKUP($C38,'Performance Pivot'!$C:$P,3,0)="","",VLOOKUP($C38,'Performance Pivot'!$C:$P,3,0))</f>
        <v>9.5690000000000008</v>
      </c>
      <c r="F38" s="72">
        <f>IF(VLOOKUP($C38,'Performance Pivot'!$C:$P,4,0)="","",VLOOKUP($C38,'Performance Pivot'!$C:$P,4,0))</f>
        <v>10.4032</v>
      </c>
      <c r="G38" s="72">
        <f>IF(VLOOKUP($C38,'Performance Pivot'!$C:$P,5,0)="","",VLOOKUP($C38,'Performance Pivot'!$C:$P,5,0))</f>
        <v>12.2623</v>
      </c>
      <c r="H38" s="72">
        <f>IF(VLOOKUP($C38,'Performance Pivot'!$C:$P,6,0)="","",VLOOKUP($C38,'Performance Pivot'!$C:$P,6,0))</f>
        <v>17.301200000000001</v>
      </c>
      <c r="I38" s="72">
        <f>IF(VLOOKUP($C38,'Performance Pivot'!$C:$P,7,0)="","",VLOOKUP($C38,'Performance Pivot'!$C:$P,7,0))</f>
        <v>18.136199999999999</v>
      </c>
      <c r="J38" s="72">
        <f>IF(VLOOKUP($C38,'Performance Pivot'!$C:$P,8,0)="","",VLOOKUP($C38,'Performance Pivot'!$C:$P,8,0))</f>
        <v>18.6906</v>
      </c>
      <c r="K38" s="72">
        <f>IF(VLOOKUP($C38,'Performance Pivot'!$C:$P,9,0)="","",VLOOKUP($C38,'Performance Pivot'!$C:$P,9,0))</f>
        <v>12.2525</v>
      </c>
      <c r="L38" s="72">
        <f>IF(VLOOKUP($C38,'Performance Pivot'!$C:$P,10,0)="","",VLOOKUP($C38,'Performance Pivot'!$C:$P,10,0))</f>
        <v>15.195</v>
      </c>
      <c r="M38" s="72">
        <f>IF(VLOOKUP($C38,'Performance Pivot'!$C:$P,11,0)="","",VLOOKUP($C38,'Performance Pivot'!$C:$P,11,0))</f>
        <v>14.5617</v>
      </c>
      <c r="N38" s="72">
        <f>IF(VLOOKUP($C38,'Performance Pivot'!$C:$P,12,0)="","",VLOOKUP($C38,'Performance Pivot'!$C:$P,12,0))</f>
        <v>10.081899999999999</v>
      </c>
      <c r="O38" s="72">
        <f>IF(VLOOKUP($C38,'Performance Pivot'!$C:$P,13,0)="","",VLOOKUP($C38,'Performance Pivot'!$C:$P,13,0))</f>
        <v>25.1676</v>
      </c>
      <c r="P38" s="72">
        <f>IF(VLOOKUP($C38,'Performance Pivot'!$C:$P,14,0)="","",VLOOKUP($C38,'Performance Pivot'!$C:$P,14,0))</f>
        <v>13.311999999999999</v>
      </c>
      <c r="Q38" s="72">
        <f>IF(VLOOKUP($C38,'Performance Pivot'!$C:$Q,15,0)="","",VLOOKUP($C38,'Performance Pivot'!$C:$Q,15,0))</f>
        <v>12.242000000000001</v>
      </c>
      <c r="R38" s="75"/>
      <c r="S38" s="75"/>
      <c r="T38" s="92">
        <f t="shared" si="1"/>
        <v>42186</v>
      </c>
      <c r="U38" s="73">
        <f>IF(VLOOKUP($T38,'Performance Pivot'!$S:$AF,2,0)="","",VLOOKUP($T38,'Performance Pivot'!$S:$AF,2,0))</f>
        <v>4.1200000000000001E-2</v>
      </c>
      <c r="V38" s="73">
        <f>IF(VLOOKUP($T38,'Performance Pivot'!$S:$AF,3,0)="","",VLOOKUP($T38,'Performance Pivot'!$S:$AF,3,0))</f>
        <v>5.3800000000000001E-2</v>
      </c>
      <c r="W38" s="73">
        <f>IF(VLOOKUP($T38,'Performance Pivot'!$S:$AF,4,0)="","",VLOOKUP($T38,'Performance Pivot'!$S:$AF,4,0))</f>
        <v>0.03</v>
      </c>
      <c r="X38" s="73">
        <f>IF(VLOOKUP($T38,'Performance Pivot'!$S:$AF,5,0)="","",VLOOKUP($T38,'Performance Pivot'!$S:$AF,5,0))</f>
        <v>4.7699999999999999E-2</v>
      </c>
      <c r="Y38" s="73">
        <f>IF(VLOOKUP($T38,'Performance Pivot'!$S:$AF,6,0)="","",VLOOKUP($T38,'Performance Pivot'!$S:$AF,6,0))</f>
        <v>0.1888</v>
      </c>
      <c r="Z38" s="73">
        <f>IF(VLOOKUP($T38,'Performance Pivot'!$S:$AF,7,0)="","",VLOOKUP($T38,'Performance Pivot'!$S:$AF,7,0))</f>
        <v>1.6299999999999999E-2</v>
      </c>
      <c r="AA38" s="73">
        <f>IF(VLOOKUP($T38,'Performance Pivot'!$S:$AF,8,0)="","",VLOOKUP($T38,'Performance Pivot'!$S:$AF,8,0))</f>
        <v>0.1346</v>
      </c>
      <c r="AB38" s="73">
        <f>IF(VLOOKUP($T38,'Performance Pivot'!$S:$AF,9,0)="","",VLOOKUP($T38,'Performance Pivot'!$S:$AF,9,0))</f>
        <v>8.2000000000000003E-2</v>
      </c>
      <c r="AC38" s="73">
        <f>IF(VLOOKUP($T38,'Performance Pivot'!$S:$AF,10,0)="","",VLOOKUP($T38,'Performance Pivot'!$S:$AF,10,0))</f>
        <v>0.26369999999999999</v>
      </c>
      <c r="AD38" s="73">
        <f>IF(VLOOKUP($T38,'Performance Pivot'!$S:$AF,11,0)="","",VLOOKUP($T38,'Performance Pivot'!$S:$AF,11,0))</f>
        <v>2.24E-2</v>
      </c>
      <c r="AE38" s="73">
        <f>IF(VLOOKUP($T38,'Performance Pivot'!$S:$AF,12,0)="","",VLOOKUP($T38,'Performance Pivot'!$S:$AF,12,0))</f>
        <v>0</v>
      </c>
      <c r="AF38" s="73">
        <f>IF(VLOOKUP($T38,'Performance Pivot'!$S:$AF,13,0)="","",VLOOKUP($T38,'Performance Pivot'!$S:$AF,13,0))</f>
        <v>0</v>
      </c>
      <c r="AG38" s="73">
        <f>IF(VLOOKUP($T38,'Performance Pivot'!$S:$AF,14,0)="","",VLOOKUP($T38,'Performance Pivot'!$S:$AF,14,0))</f>
        <v>0</v>
      </c>
      <c r="AH38" s="73">
        <f>IF(VLOOKUP($T38,'Performance Pivot'!$S:$AG,15,0)="","",VLOOKUP($T38,'Performance Pivot'!$S:$AG,15,0))</f>
        <v>0</v>
      </c>
    </row>
    <row r="39" spans="3:47" s="74" customFormat="1" ht="21" customHeight="1">
      <c r="C39" s="92">
        <f>'Performance Pivot'!C19</f>
        <v>42217</v>
      </c>
      <c r="D39" s="72">
        <f>IF(VLOOKUP($C39,'Performance Pivot'!$C:$P,2,0)="","",VLOOKUP($C39,'Performance Pivot'!$C:$P,2,0))</f>
        <v>9.1184999999999992</v>
      </c>
      <c r="E39" s="72">
        <f>IF(VLOOKUP($C39,'Performance Pivot'!$C:$P,3,0)="","",VLOOKUP($C39,'Performance Pivot'!$C:$P,3,0))</f>
        <v>8.3277999999999999</v>
      </c>
      <c r="F39" s="72">
        <f>IF(VLOOKUP($C39,'Performance Pivot'!$C:$P,4,0)="","",VLOOKUP($C39,'Performance Pivot'!$C:$P,4,0))</f>
        <v>8.5422999999999991</v>
      </c>
      <c r="G39" s="72">
        <f>IF(VLOOKUP($C39,'Performance Pivot'!$C:$P,5,0)="","",VLOOKUP($C39,'Performance Pivot'!$C:$P,5,0))</f>
        <v>10.8576</v>
      </c>
      <c r="H39" s="72">
        <f>IF(VLOOKUP($C39,'Performance Pivot'!$C:$P,6,0)="","",VLOOKUP($C39,'Performance Pivot'!$C:$P,6,0))</f>
        <v>14.4041</v>
      </c>
      <c r="I39" s="72">
        <f>IF(VLOOKUP($C39,'Performance Pivot'!$C:$P,7,0)="","",VLOOKUP($C39,'Performance Pivot'!$C:$P,7,0))</f>
        <v>15.478899999999999</v>
      </c>
      <c r="J39" s="72">
        <f>IF(VLOOKUP($C39,'Performance Pivot'!$C:$P,8,0)="","",VLOOKUP($C39,'Performance Pivot'!$C:$P,8,0))</f>
        <v>16.1083</v>
      </c>
      <c r="K39" s="72">
        <f>IF(VLOOKUP($C39,'Performance Pivot'!$C:$P,9,0)="","",VLOOKUP($C39,'Performance Pivot'!$C:$P,9,0))</f>
        <v>10.993600000000001</v>
      </c>
      <c r="L39" s="72">
        <f>IF(VLOOKUP($C39,'Performance Pivot'!$C:$P,10,0)="","",VLOOKUP($C39,'Performance Pivot'!$C:$P,10,0))</f>
        <v>14.2502</v>
      </c>
      <c r="M39" s="72">
        <f>IF(VLOOKUP($C39,'Performance Pivot'!$C:$P,11,0)="","",VLOOKUP($C39,'Performance Pivot'!$C:$P,11,0))</f>
        <v>12.940200000000001</v>
      </c>
      <c r="N39" s="72">
        <f>IF(VLOOKUP($C39,'Performance Pivot'!$C:$P,12,0)="","",VLOOKUP($C39,'Performance Pivot'!$C:$P,12,0))</f>
        <v>8.2365999999999993</v>
      </c>
      <c r="O39" s="72">
        <f>IF(VLOOKUP($C39,'Performance Pivot'!$C:$P,13,0)="","",VLOOKUP($C39,'Performance Pivot'!$C:$P,13,0))</f>
        <v>10.4857</v>
      </c>
      <c r="P39" s="72">
        <f>IF(VLOOKUP($C39,'Performance Pivot'!$C:$P,14,0)="","",VLOOKUP($C39,'Performance Pivot'!$C:$P,14,0))</f>
        <v>11.7867</v>
      </c>
      <c r="Q39" s="72">
        <f>IF(VLOOKUP($C39,'Performance Pivot'!$C:$Q,15,0)="","",VLOOKUP($C39,'Performance Pivot'!$C:$Q,15,0))</f>
        <v>11.0336</v>
      </c>
      <c r="R39" s="75"/>
      <c r="S39" s="75"/>
      <c r="T39" s="92">
        <f t="shared" si="1"/>
        <v>42217</v>
      </c>
      <c r="U39" s="73">
        <f>IF(VLOOKUP($T39,'Performance Pivot'!$S:$AF,2,0)="","",VLOOKUP($T39,'Performance Pivot'!$S:$AF,2,0))</f>
        <v>6.2300000000000001E-2</v>
      </c>
      <c r="V39" s="73">
        <f>IF(VLOOKUP($T39,'Performance Pivot'!$S:$AF,3,0)="","",VLOOKUP($T39,'Performance Pivot'!$S:$AF,3,0))</f>
        <v>3.1899999999999998E-2</v>
      </c>
      <c r="W39" s="73">
        <f>IF(VLOOKUP($T39,'Performance Pivot'!$S:$AF,4,0)="","",VLOOKUP($T39,'Performance Pivot'!$S:$AF,4,0))</f>
        <v>6.1800000000000001E-2</v>
      </c>
      <c r="X39" s="73">
        <f>IF(VLOOKUP($T39,'Performance Pivot'!$S:$AF,5,0)="","",VLOOKUP($T39,'Performance Pivot'!$S:$AF,5,0))</f>
        <v>0.1022</v>
      </c>
      <c r="Y39" s="73">
        <f>IF(VLOOKUP($T39,'Performance Pivot'!$S:$AF,6,0)="","",VLOOKUP($T39,'Performance Pivot'!$S:$AF,6,0))</f>
        <v>7.0000000000000007E-2</v>
      </c>
      <c r="Z39" s="73">
        <f>IF(VLOOKUP($T39,'Performance Pivot'!$S:$AF,7,0)="","",VLOOKUP($T39,'Performance Pivot'!$S:$AF,7,0))</f>
        <v>0.18429999999999999</v>
      </c>
      <c r="AA39" s="73">
        <f>IF(VLOOKUP($T39,'Performance Pivot'!$S:$AF,8,0)="","",VLOOKUP($T39,'Performance Pivot'!$S:$AF,8,0))</f>
        <v>5.0799999999999998E-2</v>
      </c>
      <c r="AB39" s="73">
        <f>IF(VLOOKUP($T39,'Performance Pivot'!$S:$AF,9,0)="","",VLOOKUP($T39,'Performance Pivot'!$S:$AF,9,0))</f>
        <v>0.1221</v>
      </c>
      <c r="AC39" s="73">
        <f>IF(VLOOKUP($T39,'Performance Pivot'!$S:$AF,10,0)="","",VLOOKUP($T39,'Performance Pivot'!$S:$AF,10,0))</f>
        <v>0.1888</v>
      </c>
      <c r="AD39" s="73">
        <f>IF(VLOOKUP($T39,'Performance Pivot'!$S:$AF,11,0)="","",VLOOKUP($T39,'Performance Pivot'!$S:$AF,11,0))</f>
        <v>2.2200000000000001E-2</v>
      </c>
      <c r="AE39" s="73">
        <f>IF(VLOOKUP($T39,'Performance Pivot'!$S:$AF,12,0)="","",VLOOKUP($T39,'Performance Pivot'!$S:$AF,12,0))</f>
        <v>0</v>
      </c>
      <c r="AF39" s="73">
        <f>IF(VLOOKUP($T39,'Performance Pivot'!$S:$AF,13,0)="","",VLOOKUP($T39,'Performance Pivot'!$S:$AF,13,0))</f>
        <v>0</v>
      </c>
      <c r="AG39" s="73">
        <f>IF(VLOOKUP($T39,'Performance Pivot'!$S:$AF,14,0)="","",VLOOKUP($T39,'Performance Pivot'!$S:$AF,14,0))</f>
        <v>2.5700000000000001E-2</v>
      </c>
      <c r="AH39" s="73">
        <f>IF(VLOOKUP($T39,'Performance Pivot'!$S:$AG,15,0)="","",VLOOKUP($T39,'Performance Pivot'!$S:$AG,15,0))</f>
        <v>0</v>
      </c>
    </row>
    <row r="40" spans="3:47" s="74" customFormat="1" ht="21" customHeight="1">
      <c r="C40" s="93">
        <f>'Performance Pivot'!C18</f>
        <v>42248</v>
      </c>
      <c r="D40" s="77">
        <f>IF(VLOOKUP($C40,'Performance Pivot'!$C:$Q,2,0)="","",VLOOKUP($C40,'Performance Pivot'!$C:$Q,2,0))</f>
        <v>9.6443999999999992</v>
      </c>
      <c r="E40" s="77">
        <f>IF(VLOOKUP($C40,'Performance Pivot'!$C:$P,3,0)="","",VLOOKUP($C40,'Performance Pivot'!$C:$P,3,0))</f>
        <v>7.5293000000000001</v>
      </c>
      <c r="F40" s="77">
        <f>IF(VLOOKUP($C40,'Performance Pivot'!$C:$P,4,0)="","",VLOOKUP($C40,'Performance Pivot'!$C:$P,4,0))</f>
        <v>8.2645999999999997</v>
      </c>
      <c r="G40" s="77">
        <f>IF(VLOOKUP($C40,'Performance Pivot'!$C:$P,5,0)="","",VLOOKUP($C40,'Performance Pivot'!$C:$P,5,0))</f>
        <v>10.495200000000001</v>
      </c>
      <c r="H40" s="77">
        <f>IF(VLOOKUP($C40,'Performance Pivot'!$C:$P,6,0)="","",VLOOKUP($C40,'Performance Pivot'!$C:$P,6,0))</f>
        <v>15.405200000000001</v>
      </c>
      <c r="I40" s="77">
        <f>IF(VLOOKUP($C40,'Performance Pivot'!$C:$P,7,0)="","",VLOOKUP($C40,'Performance Pivot'!$C:$P,7,0))</f>
        <v>15.6106</v>
      </c>
      <c r="J40" s="77">
        <f>IF(VLOOKUP($C40,'Performance Pivot'!$C:$P,8,0)="","",VLOOKUP($C40,'Performance Pivot'!$C:$P,8,0))</f>
        <v>15.9092</v>
      </c>
      <c r="K40" s="77">
        <f>IF(VLOOKUP($C40,'Performance Pivot'!$C:$P,9,0)="","",VLOOKUP($C40,'Performance Pivot'!$C:$P,9,0))</f>
        <v>10.833</v>
      </c>
      <c r="L40" s="77">
        <f>IF(VLOOKUP($C40,'Performance Pivot'!$C:$P,10,0)="","",VLOOKUP($C40,'Performance Pivot'!$C:$P,10,0))</f>
        <v>16.451499999999999</v>
      </c>
      <c r="M40" s="77">
        <f>IF(VLOOKUP($C40,'Performance Pivot'!$C:$P,11,0)="","",VLOOKUP($C40,'Performance Pivot'!$C:$P,11,0))</f>
        <v>14.168200000000001</v>
      </c>
      <c r="N40" s="77">
        <f>IF(VLOOKUP($C40,'Performance Pivot'!$C:$P,12,0)="","",VLOOKUP($C40,'Performance Pivot'!$C:$P,12,0))</f>
        <v>8.3157999999999994</v>
      </c>
      <c r="O40" s="77">
        <f>IF(VLOOKUP($C40,'Performance Pivot'!$C:$P,13,0)="","",VLOOKUP($C40,'Performance Pivot'!$C:$P,13,0))</f>
        <v>11.4223</v>
      </c>
      <c r="P40" s="77">
        <f>IF(VLOOKUP($C40,'Performance Pivot'!$C:$P,14,0)="","",VLOOKUP($C40,'Performance Pivot'!$C:$P,14,0))</f>
        <v>14.1358</v>
      </c>
      <c r="Q40" s="77">
        <f>IF(VLOOKUP($C40,'Performance Pivot'!$C:$Q,15,0)="","",VLOOKUP($C40,'Performance Pivot'!$C:$Q,15,0))</f>
        <v>10.859</v>
      </c>
      <c r="R40" s="75"/>
      <c r="S40" s="75"/>
      <c r="T40" s="93">
        <f t="shared" si="1"/>
        <v>42248</v>
      </c>
      <c r="U40" s="78">
        <f>IF(VLOOKUP($T40,'Performance Pivot'!$S:$AF,2,0)="","",VLOOKUP($T40,'Performance Pivot'!$S:$AF,2,0))</f>
        <v>8.1600000000000006E-2</v>
      </c>
      <c r="V40" s="78">
        <f>IF(VLOOKUP($T40,'Performance Pivot'!$S:$AF,3,0)="","",VLOOKUP($T40,'Performance Pivot'!$S:$AF,3,0))</f>
        <v>4.4299999999999999E-2</v>
      </c>
      <c r="W40" s="78">
        <f>IF(VLOOKUP($T40,'Performance Pivot'!$S:$AF,4,0)="","",VLOOKUP($T40,'Performance Pivot'!$S:$AF,4,0))</f>
        <v>2.2700000000000001E-2</v>
      </c>
      <c r="X40" s="78">
        <f>IF(VLOOKUP($T40,'Performance Pivot'!$S:$AF,5,0)="","",VLOOKUP($T40,'Performance Pivot'!$S:$AF,5,0))</f>
        <v>8.2600000000000007E-2</v>
      </c>
      <c r="Y40" s="78">
        <f>IF(VLOOKUP($T40,'Performance Pivot'!$S:$AF,6,0)="","",VLOOKUP($T40,'Performance Pivot'!$S:$AF,6,0))</f>
        <v>4.3999999999999997E-2</v>
      </c>
      <c r="Z40" s="78">
        <f>IF(VLOOKUP($T40,'Performance Pivot'!$S:$AF,7,0)="","",VLOOKUP($T40,'Performance Pivot'!$S:$AF,7,0))</f>
        <v>7.0000000000000007E-2</v>
      </c>
      <c r="AA40" s="78">
        <f>IF(VLOOKUP($T40,'Performance Pivot'!$S:$AF,8,0)="","",VLOOKUP($T40,'Performance Pivot'!$S:$AF,8,0))</f>
        <v>3.6700000000000003E-2</v>
      </c>
      <c r="AB40" s="78">
        <f>IF(VLOOKUP($T40,'Performance Pivot'!$S:$AF,9,0)="","",VLOOKUP($T40,'Performance Pivot'!$S:$AF,9,0))</f>
        <v>0.13370000000000001</v>
      </c>
      <c r="AC40" s="78">
        <f>IF(VLOOKUP($T40,'Performance Pivot'!$S:$AF,10,0)="","",VLOOKUP($T40,'Performance Pivot'!$S:$AF,10,0))</f>
        <v>0.126</v>
      </c>
      <c r="AD40" s="78">
        <f>IF(VLOOKUP($T40,'Performance Pivot'!$S:$AF,11,0)="","",VLOOKUP($T40,'Performance Pivot'!$S:$AF,11,0))</f>
        <v>2.93E-2</v>
      </c>
      <c r="AE40" s="78">
        <f>IF(VLOOKUP($T40,'Performance Pivot'!$S:$AF,12,0)="","",VLOOKUP($T40,'Performance Pivot'!$S:$AF,12,0))</f>
        <v>4.8099999999999997E-2</v>
      </c>
      <c r="AF40" s="78">
        <f>IF(VLOOKUP($T40,'Performance Pivot'!$S:$AF,13,0)="","",VLOOKUP($T40,'Performance Pivot'!$S:$AF,13,0))</f>
        <v>0</v>
      </c>
      <c r="AG40" s="78">
        <f>IF(VLOOKUP($T40,'Performance Pivot'!$S:$AF,14,0)="","",VLOOKUP($T40,'Performance Pivot'!$S:$AF,14,0))</f>
        <v>6.59E-2</v>
      </c>
      <c r="AH40" s="78">
        <f>IF(VLOOKUP($T40,'Performance Pivot'!$S:$AG,15,0)="","",VLOOKUP($T40,'Performance Pivot'!$S:$AG,15,0))</f>
        <v>0</v>
      </c>
    </row>
    <row r="41" spans="3:47" ht="17.25" hidden="1" customHeight="1">
      <c r="C41" s="79"/>
      <c r="D41" s="52" t="e">
        <f>VLOOKUP($C41,'Performance Pivot'!$C:$P,2,0)</f>
        <v>#N/A</v>
      </c>
      <c r="E41" s="52" t="e">
        <f>VLOOKUP($C41,'Performance Pivot'!$C:$P,3,0)</f>
        <v>#N/A</v>
      </c>
      <c r="F41" s="52" t="e">
        <f>VLOOKUP($C41,'Performance Pivot'!$C:$P,4,0)</f>
        <v>#N/A</v>
      </c>
      <c r="G41" s="52" t="e">
        <f>VLOOKUP($C41,'Performance Pivot'!$C:$P,5,0)</f>
        <v>#N/A</v>
      </c>
      <c r="H41" s="52" t="e">
        <f>VLOOKUP($C41,'Performance Pivot'!$C:$P,6,0)</f>
        <v>#N/A</v>
      </c>
      <c r="I41" s="52" t="e">
        <f>VLOOKUP($C41,'Performance Pivot'!$C:$P,7,0)</f>
        <v>#N/A</v>
      </c>
      <c r="J41" s="52" t="e">
        <f>VLOOKUP($C41,'Performance Pivot'!$C:$P,8,0)</f>
        <v>#N/A</v>
      </c>
      <c r="K41" s="52" t="e">
        <f>VLOOKUP($C41,'Performance Pivot'!$C:$P,9,0)</f>
        <v>#N/A</v>
      </c>
      <c r="L41" s="52" t="e">
        <f>VLOOKUP($C41,'Performance Pivot'!$C:$P,10,0)</f>
        <v>#N/A</v>
      </c>
      <c r="M41" s="52" t="e">
        <f>VLOOKUP($C41,'Performance Pivot'!$C:$P,11,0)</f>
        <v>#N/A</v>
      </c>
      <c r="N41" s="52" t="e">
        <f>VLOOKUP($C41,'Performance Pivot'!$C:$P,12,0)</f>
        <v>#N/A</v>
      </c>
      <c r="P41" s="52" t="e">
        <f>VLOOKUP($C41,'Performance Pivot'!$C:$P,13,0)</f>
        <v>#N/A</v>
      </c>
      <c r="Q41" s="52" t="e">
        <f>VLOOKUP($C41,'Performance Pivot'!$C:$P,14,0)</f>
        <v>#N/A</v>
      </c>
      <c r="R41" s="70"/>
      <c r="S41" s="70"/>
      <c r="T41" s="79"/>
      <c r="U41" s="73" t="e">
        <f>IF(VLOOKUP($T41,'Performance Pivot'!$S:$AF,2,0)="","",VLOOKUP($T41,'Performance Pivot'!$S:$AF,2,0))</f>
        <v>#N/A</v>
      </c>
      <c r="V41" s="73" t="e">
        <f>IF(VLOOKUP($T41,'Performance Pivot'!$S:$AF,3,0)="","",VLOOKUP($T41,'Performance Pivot'!$S:$AF,3,0))</f>
        <v>#N/A</v>
      </c>
      <c r="W41" s="73" t="e">
        <f>IF(VLOOKUP($T41,'Performance Pivot'!$S:$AF,4,0)="","",VLOOKUP($T41,'Performance Pivot'!$S:$AF,4,0))</f>
        <v>#N/A</v>
      </c>
      <c r="X41" s="73" t="e">
        <f>IF(VLOOKUP($T41,'Performance Pivot'!$S:$AF,5,0)="","",VLOOKUP($T41,'Performance Pivot'!$S:$AF,5,0))</f>
        <v>#N/A</v>
      </c>
      <c r="Y41" s="73" t="e">
        <f>IF(VLOOKUP($T41,'Performance Pivot'!$S:$AF,6,0)="","",VLOOKUP($T41,'Performance Pivot'!$S:$AF,6,0))</f>
        <v>#N/A</v>
      </c>
      <c r="Z41" s="73" t="e">
        <f>IF(VLOOKUP($T41,'Performance Pivot'!$S:$AF,7,0)="","",VLOOKUP($T41,'Performance Pivot'!$S:$AF,7,0))</f>
        <v>#N/A</v>
      </c>
      <c r="AA41" s="73" t="e">
        <f>IF(VLOOKUP($T41,'Performance Pivot'!$S:$AF,8,0)="","",VLOOKUP($T41,'Performance Pivot'!$S:$AF,8,0))</f>
        <v>#N/A</v>
      </c>
      <c r="AB41" s="73" t="e">
        <f>IF(VLOOKUP($T41,'Performance Pivot'!$S:$AF,9,0)="","",VLOOKUP($T41,'Performance Pivot'!$S:$AF,9,0))</f>
        <v>#N/A</v>
      </c>
      <c r="AC41" s="73" t="e">
        <f>IF(VLOOKUP($T41,'Performance Pivot'!$S:$AF,10,0)="","",VLOOKUP($T41,'Performance Pivot'!$S:$AF,10,0))</f>
        <v>#N/A</v>
      </c>
      <c r="AD41" s="73" t="e">
        <f>IF(VLOOKUP($T41,'Performance Pivot'!$S:$AF,11,0)="","",VLOOKUP($T41,'Performance Pivot'!$S:$AF,11,0))</f>
        <v>#N/A</v>
      </c>
      <c r="AE41" s="73" t="e">
        <f>IF(VLOOKUP($T41,'Performance Pivot'!$S:$AF,12,0)="","",VLOOKUP($T41,'Performance Pivot'!$S:$AF,12,0))</f>
        <v>#N/A</v>
      </c>
      <c r="AF41" s="73"/>
      <c r="AG41" s="73" t="e">
        <f>IF(VLOOKUP($T41,'Performance Pivot'!$S:$AF,13,0)="","",VLOOKUP($T41,'Performance Pivot'!$S:$AF,13,0))</f>
        <v>#N/A</v>
      </c>
      <c r="AH41" s="73" t="e">
        <f>IF(VLOOKUP($T41,'Performance Pivot'!$S:$AG,15,0)="","",VLOOKUP($T41,'Performance Pivot'!$S:$AG,15,0))</f>
        <v>#N/A</v>
      </c>
    </row>
    <row r="42" spans="3:47" ht="17.25" customHeight="1">
      <c r="C42" s="79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70"/>
      <c r="S42" s="70"/>
      <c r="T42" s="79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</row>
    <row r="43" spans="3:47" ht="17.25" customHeight="1">
      <c r="C43" s="79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70"/>
      <c r="S43" s="70"/>
      <c r="T43" s="79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</row>
    <row r="44" spans="3:47" ht="17.25" customHeight="1">
      <c r="C44" s="79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</row>
    <row r="45" spans="3:47" ht="17.25" customHeight="1">
      <c r="C45" s="102" t="s">
        <v>19</v>
      </c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70"/>
      <c r="S45" s="70"/>
      <c r="T45" s="103" t="s">
        <v>20</v>
      </c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</row>
    <row r="46" spans="3:47" ht="25.5">
      <c r="C46" s="61" t="str">
        <f>C16</f>
        <v>Date</v>
      </c>
      <c r="D46" s="61" t="str">
        <f>D16</f>
        <v>STACR 2013-DN1</v>
      </c>
      <c r="E46" s="61" t="str">
        <f t="shared" ref="E46:P46" si="2">E16</f>
        <v>STACR 2013-DN2</v>
      </c>
      <c r="F46" s="61" t="str">
        <f t="shared" si="2"/>
        <v>STACR 2014-DN1</v>
      </c>
      <c r="G46" s="61" t="str">
        <f t="shared" si="2"/>
        <v>STACR 2014-DN2</v>
      </c>
      <c r="H46" s="61" t="str">
        <f t="shared" si="2"/>
        <v>STACR 2014-DN3</v>
      </c>
      <c r="I46" s="61" t="str">
        <f t="shared" si="2"/>
        <v>STACR 2014-DN4</v>
      </c>
      <c r="J46" s="61" t="str">
        <f t="shared" si="2"/>
        <v>STACR 2014-HQ1</v>
      </c>
      <c r="K46" s="61" t="str">
        <f t="shared" si="2"/>
        <v>STACR 2014-HQ2</v>
      </c>
      <c r="L46" s="61" t="str">
        <f t="shared" si="2"/>
        <v>STACR 2014-HQ3</v>
      </c>
      <c r="M46" s="61" t="str">
        <f t="shared" si="2"/>
        <v>STACR 2015-DN1</v>
      </c>
      <c r="N46" s="61" t="str">
        <f t="shared" si="2"/>
        <v>STACR 2015-DNA1</v>
      </c>
      <c r="O46" s="61" t="str">
        <f t="shared" si="2"/>
        <v>STACR 2015-DNA2</v>
      </c>
      <c r="P46" s="61" t="str">
        <f t="shared" si="2"/>
        <v>STACR 2015-HQ1</v>
      </c>
      <c r="Q46" s="54" t="s">
        <v>85</v>
      </c>
      <c r="R46" s="47"/>
      <c r="S46" s="47"/>
      <c r="T46" s="59" t="str">
        <f>C16</f>
        <v>Date</v>
      </c>
      <c r="U46" s="59" t="str">
        <f>D16</f>
        <v>STACR 2013-DN1</v>
      </c>
      <c r="V46" s="59" t="str">
        <f t="shared" ref="V46:AH46" si="3">E16</f>
        <v>STACR 2013-DN2</v>
      </c>
      <c r="W46" s="59" t="str">
        <f t="shared" si="3"/>
        <v>STACR 2014-DN1</v>
      </c>
      <c r="X46" s="59" t="str">
        <f t="shared" si="3"/>
        <v>STACR 2014-DN2</v>
      </c>
      <c r="Y46" s="59" t="str">
        <f t="shared" si="3"/>
        <v>STACR 2014-DN3</v>
      </c>
      <c r="Z46" s="59" t="str">
        <f t="shared" si="3"/>
        <v>STACR 2014-DN4</v>
      </c>
      <c r="AA46" s="59" t="str">
        <f t="shared" si="3"/>
        <v>STACR 2014-HQ1</v>
      </c>
      <c r="AB46" s="59" t="str">
        <f t="shared" si="3"/>
        <v>STACR 2014-HQ2</v>
      </c>
      <c r="AC46" s="59" t="str">
        <f t="shared" si="3"/>
        <v>STACR 2014-HQ3</v>
      </c>
      <c r="AD46" s="59" t="str">
        <f t="shared" si="3"/>
        <v>STACR 2015-DN1</v>
      </c>
      <c r="AE46" s="59" t="str">
        <f t="shared" si="3"/>
        <v>STACR 2015-DNA1</v>
      </c>
      <c r="AF46" s="59" t="str">
        <f t="shared" si="3"/>
        <v>STACR 2015-DNA2</v>
      </c>
      <c r="AG46" s="59" t="str">
        <f t="shared" si="3"/>
        <v>STACR 2015-HQ1</v>
      </c>
      <c r="AH46" s="59" t="str">
        <f t="shared" si="3"/>
        <v>STACR 2015-HQ2</v>
      </c>
    </row>
    <row r="47" spans="3:47" s="74" customFormat="1" ht="21" customHeight="1">
      <c r="C47" s="71">
        <f>C17</f>
        <v>41548</v>
      </c>
      <c r="D47" s="73">
        <f>IF(VLOOKUP($C47,'Performance Pivot'!$AI:$AV,2,0)="","",VLOOKUP($C47,'Performance Pivot'!$AI:$AV,2,0))</f>
        <v>0</v>
      </c>
      <c r="E47" s="73" t="str">
        <f>IF(VLOOKUP($C47,'Performance Pivot'!$AI:$AV,3,0)="","",VLOOKUP($C47,'Performance Pivot'!$AI:$AV,3,0))</f>
        <v/>
      </c>
      <c r="F47" s="73" t="str">
        <f>IF(VLOOKUP($C47,'Performance Pivot'!$AI:$AV,4,0)="","",VLOOKUP($C47,'Performance Pivot'!$AI:$AV,4,0))</f>
        <v/>
      </c>
      <c r="G47" s="73" t="str">
        <f>IF(VLOOKUP($C47,'Performance Pivot'!$AI:$AV,5,0)="","",VLOOKUP($C47,'Performance Pivot'!$AI:$AV,5,0))</f>
        <v/>
      </c>
      <c r="H47" s="73" t="str">
        <f>IF(VLOOKUP($C47,'Performance Pivot'!$AI:$AV,6,0)="","",VLOOKUP($C47,'Performance Pivot'!$AI:$AV,6,0))</f>
        <v/>
      </c>
      <c r="I47" s="73" t="str">
        <f>IF(VLOOKUP($C47,'Performance Pivot'!$AI:$AV,7,0)="","",VLOOKUP($C47,'Performance Pivot'!$AI:$AV,7,0))</f>
        <v/>
      </c>
      <c r="J47" s="73" t="str">
        <f>IF(VLOOKUP($C47,'Performance Pivot'!$AI:$AV,8,0)="","",VLOOKUP($C47,'Performance Pivot'!$AI:$AV,8,0))</f>
        <v/>
      </c>
      <c r="K47" s="73" t="str">
        <f>IF(VLOOKUP($C47,'Performance Pivot'!$AI:$AV,9,0)="","",VLOOKUP($C47,'Performance Pivot'!$AI:$AV,9,0))</f>
        <v/>
      </c>
      <c r="L47" s="73" t="str">
        <f>IF(VLOOKUP($C47,'Performance Pivot'!$AI:$AV,10,0)="","",VLOOKUP($C47,'Performance Pivot'!$AI:$AV,10,0))</f>
        <v/>
      </c>
      <c r="M47" s="73" t="str">
        <f>IF(VLOOKUP($C47,'Performance Pivot'!$AI:$AV,11,0)="","",VLOOKUP($C47,'Performance Pivot'!$AI:$AV,11,0))</f>
        <v/>
      </c>
      <c r="N47" s="73" t="str">
        <f>IF(VLOOKUP($C47,'Performance Pivot'!$AI:$AV,12,0)="","",VLOOKUP($C47,'Performance Pivot'!$AI:$AV,12,0))</f>
        <v/>
      </c>
      <c r="O47" s="73"/>
      <c r="P47" s="73" t="str">
        <f>IF(VLOOKUP($C47,'Performance Pivot'!$AI:$AV,13,0)="","",VLOOKUP($C47,'Performance Pivot'!$AI:$AV,13,0))</f>
        <v/>
      </c>
      <c r="Q47" s="73" t="str">
        <f>IF(VLOOKUP($C47,'Performance Pivot'!$AI:$AW,15,0)="","",VLOOKUP($C47,'Performance Pivot'!$AI:$AW,15,0))</f>
        <v/>
      </c>
      <c r="R47" s="52"/>
      <c r="S47" s="52"/>
      <c r="T47" s="92">
        <f>C17</f>
        <v>41548</v>
      </c>
      <c r="U47" s="73">
        <f>IF(VLOOKUP($T47,'Performance Pivot'!$AZ:$BM,2,0)="","",VLOOKUP($T47,'Performance Pivot'!$AZ:$BM,2,0))</f>
        <v>0.15422810248204985</v>
      </c>
      <c r="V47" s="73" t="str">
        <f>IF(VLOOKUP($T47,'Performance Pivot'!$AZ:$BM,3,0)="","",VLOOKUP($T47,'Performance Pivot'!$AZ:$BM,3,0))</f>
        <v/>
      </c>
      <c r="W47" s="73" t="str">
        <f>IF(VLOOKUP($T47,'Performance Pivot'!$AZ:$BM,4,0)="","",VLOOKUP($T47,'Performance Pivot'!$AZ:$BM,4,0))</f>
        <v/>
      </c>
      <c r="X47" s="73" t="str">
        <f>IF(VLOOKUP($T47,'Performance Pivot'!$AZ:$BM,5,0)="","",VLOOKUP($T47,'Performance Pivot'!$AZ:$BM,5,0))</f>
        <v/>
      </c>
      <c r="Y47" s="73" t="str">
        <f>IF(VLOOKUP($T47,'Performance Pivot'!$AZ:$BM,6,0)="","",VLOOKUP($T47,'Performance Pivot'!$AZ:$BM,6,0))</f>
        <v/>
      </c>
      <c r="Z47" s="73" t="str">
        <f>IF(VLOOKUP($T47,'Performance Pivot'!$AZ:$BM,7,0)="","",VLOOKUP($T47,'Performance Pivot'!$AZ:$BM,7,0))</f>
        <v/>
      </c>
      <c r="AA47" s="73" t="str">
        <f>IF(VLOOKUP($T47,'Performance Pivot'!$AZ:$BM,8,0)="","",VLOOKUP($T47,'Performance Pivot'!$AZ:$BM,8,0))</f>
        <v/>
      </c>
      <c r="AB47" s="73" t="str">
        <f>IF(VLOOKUP($T47,'Performance Pivot'!$AZ:$BM,9,0)="","",VLOOKUP($T47,'Performance Pivot'!$AZ:$BM,9,0))</f>
        <v/>
      </c>
      <c r="AC47" s="73" t="str">
        <f>IF(VLOOKUP($T47,'Performance Pivot'!$AZ:$BM,10,0)="","",VLOOKUP($T47,'Performance Pivot'!$AZ:$BM,10,0))</f>
        <v/>
      </c>
      <c r="AD47" s="73" t="str">
        <f>IF(VLOOKUP($T47,'Performance Pivot'!$AZ:$BM,11,0)="","",VLOOKUP($T47,'Performance Pivot'!$AZ:$BM,11,0))</f>
        <v/>
      </c>
      <c r="AE47" s="73" t="str">
        <f>IF(VLOOKUP($T47,'Performance Pivot'!$AZ:$BM,12,0)="","",VLOOKUP($T47,'Performance Pivot'!$AZ:$BM,12,0))</f>
        <v/>
      </c>
      <c r="AF47" s="73" t="str">
        <f>IF(VLOOKUP($T47,'Performance Pivot'!$AZ:$BM,13,0)="","",VLOOKUP($T47,'Performance Pivot'!$AZ:$BM,13,0))</f>
        <v/>
      </c>
      <c r="AG47" s="73" t="str">
        <f>IF(VLOOKUP($T47,'Performance Pivot'!$AZ:$BM,14,0)="","",VLOOKUP($T47,'Performance Pivot'!$AZ:$BM,14,0))</f>
        <v/>
      </c>
      <c r="AH47" s="73" t="str">
        <f>IF(VLOOKUP($T47,'Performance Pivot'!$AZ:$BN,15,0)="","",VLOOKUP($T47,'Performance Pivot'!$AZ:$BN,15,0))</f>
        <v/>
      </c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</row>
    <row r="48" spans="3:47" s="74" customFormat="1" ht="21" customHeight="1">
      <c r="C48" s="71">
        <f t="shared" ref="C48:C70" si="4">C18</f>
        <v>41579</v>
      </c>
      <c r="D48" s="73">
        <f>IF(VLOOKUP($C48,'Performance Pivot'!$AI:$AV,2,0)="","",VLOOKUP($C48,'Performance Pivot'!$AI:$AV,2,0))</f>
        <v>0</v>
      </c>
      <c r="E48" s="73" t="str">
        <f>IF(VLOOKUP($C48,'Performance Pivot'!$AI:$AV,3,0)="","",VLOOKUP($C48,'Performance Pivot'!$AI:$AV,3,0))</f>
        <v/>
      </c>
      <c r="F48" s="73" t="str">
        <f>IF(VLOOKUP($C48,'Performance Pivot'!$AI:$AV,4,0)="","",VLOOKUP($C48,'Performance Pivot'!$AI:$AV,4,0))</f>
        <v/>
      </c>
      <c r="G48" s="73" t="str">
        <f>IF(VLOOKUP($C48,'Performance Pivot'!$AI:$AV,5,0)="","",VLOOKUP($C48,'Performance Pivot'!$AI:$AV,5,0))</f>
        <v/>
      </c>
      <c r="H48" s="73" t="str">
        <f>IF(VLOOKUP($C48,'Performance Pivot'!$AI:$AV,6,0)="","",VLOOKUP($C48,'Performance Pivot'!$AI:$AV,6,0))</f>
        <v/>
      </c>
      <c r="I48" s="73" t="str">
        <f>IF(VLOOKUP($C48,'Performance Pivot'!$AI:$AV,7,0)="","",VLOOKUP($C48,'Performance Pivot'!$AI:$AV,7,0))</f>
        <v/>
      </c>
      <c r="J48" s="73" t="str">
        <f>IF(VLOOKUP($C48,'Performance Pivot'!$AI:$AV,8,0)="","",VLOOKUP($C48,'Performance Pivot'!$AI:$AV,8,0))</f>
        <v/>
      </c>
      <c r="K48" s="73" t="str">
        <f>IF(VLOOKUP($C48,'Performance Pivot'!$AI:$AV,9,0)="","",VLOOKUP($C48,'Performance Pivot'!$AI:$AV,9,0))</f>
        <v/>
      </c>
      <c r="L48" s="73" t="str">
        <f>IF(VLOOKUP($C48,'Performance Pivot'!$AI:$AV,10,0)="","",VLOOKUP($C48,'Performance Pivot'!$AI:$AV,10,0))</f>
        <v/>
      </c>
      <c r="M48" s="73" t="str">
        <f>IF(VLOOKUP($C48,'Performance Pivot'!$AI:$AV,11,0)="","",VLOOKUP($C48,'Performance Pivot'!$AI:$AV,11,0))</f>
        <v/>
      </c>
      <c r="N48" s="73" t="str">
        <f>IF(VLOOKUP($C48,'Performance Pivot'!$AI:$AV,12,0)="","",VLOOKUP($C48,'Performance Pivot'!$AI:$AV,12,0))</f>
        <v/>
      </c>
      <c r="O48" s="73"/>
      <c r="P48" s="73" t="str">
        <f>IF(VLOOKUP($C48,'Performance Pivot'!$AI:$AV,13,0)="","",VLOOKUP($C48,'Performance Pivot'!$AI:$AV,13,0))</f>
        <v/>
      </c>
      <c r="Q48" s="73" t="str">
        <f>IF(VLOOKUP($C48,'Performance Pivot'!$AI:$AW,15,0)="","",VLOOKUP($C48,'Performance Pivot'!$AI:$AW,15,0))</f>
        <v/>
      </c>
      <c r="R48" s="52"/>
      <c r="S48" s="52"/>
      <c r="T48" s="92">
        <f t="shared" ref="T48:T70" si="5">C18</f>
        <v>41579</v>
      </c>
      <c r="U48" s="73">
        <f>IF(VLOOKUP($T48,'Performance Pivot'!$AZ:$BM,2,0)="","",VLOOKUP($T48,'Performance Pivot'!$AZ:$BM,2,0))</f>
        <v>0.15042840038923097</v>
      </c>
      <c r="V48" s="73" t="str">
        <f>IF(VLOOKUP($T48,'Performance Pivot'!$AZ:$BM,3,0)="","",VLOOKUP($T48,'Performance Pivot'!$AZ:$BM,3,0))</f>
        <v/>
      </c>
      <c r="W48" s="73" t="str">
        <f>IF(VLOOKUP($T48,'Performance Pivot'!$AZ:$BM,4,0)="","",VLOOKUP($T48,'Performance Pivot'!$AZ:$BM,4,0))</f>
        <v/>
      </c>
      <c r="X48" s="73" t="str">
        <f>IF(VLOOKUP($T48,'Performance Pivot'!$AZ:$BM,5,0)="","",VLOOKUP($T48,'Performance Pivot'!$AZ:$BM,5,0))</f>
        <v/>
      </c>
      <c r="Y48" s="73" t="str">
        <f>IF(VLOOKUP($T48,'Performance Pivot'!$AZ:$BM,6,0)="","",VLOOKUP($T48,'Performance Pivot'!$AZ:$BM,6,0))</f>
        <v/>
      </c>
      <c r="Z48" s="73" t="str">
        <f>IF(VLOOKUP($T48,'Performance Pivot'!$AZ:$BM,7,0)="","",VLOOKUP($T48,'Performance Pivot'!$AZ:$BM,7,0))</f>
        <v/>
      </c>
      <c r="AA48" s="73" t="str">
        <f>IF(VLOOKUP($T48,'Performance Pivot'!$AZ:$BM,8,0)="","",VLOOKUP($T48,'Performance Pivot'!$AZ:$BM,8,0))</f>
        <v/>
      </c>
      <c r="AB48" s="73" t="str">
        <f>IF(VLOOKUP($T48,'Performance Pivot'!$AZ:$BM,9,0)="","",VLOOKUP($T48,'Performance Pivot'!$AZ:$BM,9,0))</f>
        <v/>
      </c>
      <c r="AC48" s="73" t="str">
        <f>IF(VLOOKUP($T48,'Performance Pivot'!$AZ:$BM,10,0)="","",VLOOKUP($T48,'Performance Pivot'!$AZ:$BM,10,0))</f>
        <v/>
      </c>
      <c r="AD48" s="73" t="str">
        <f>IF(VLOOKUP($T48,'Performance Pivot'!$AZ:$BM,11,0)="","",VLOOKUP($T48,'Performance Pivot'!$AZ:$BM,11,0))</f>
        <v/>
      </c>
      <c r="AE48" s="73" t="str">
        <f>IF(VLOOKUP($T48,'Performance Pivot'!$AZ:$BM,12,0)="","",VLOOKUP($T48,'Performance Pivot'!$AZ:$BM,12,0))</f>
        <v/>
      </c>
      <c r="AF48" s="73" t="str">
        <f>IF(VLOOKUP($T48,'Performance Pivot'!$AZ:$BM,13,0)="","",VLOOKUP($T48,'Performance Pivot'!$AZ:$BM,13,0))</f>
        <v/>
      </c>
      <c r="AG48" s="73" t="str">
        <f>IF(VLOOKUP($T48,'Performance Pivot'!$AZ:$BM,14,0)="","",VLOOKUP($T48,'Performance Pivot'!$AZ:$BM,14,0))</f>
        <v/>
      </c>
      <c r="AH48" s="73" t="str">
        <f>IF(VLOOKUP($T48,'Performance Pivot'!$AZ:$BN,15,0)="","",VLOOKUP($T48,'Performance Pivot'!$AZ:$BN,15,0))</f>
        <v/>
      </c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</row>
    <row r="49" spans="3:47" s="74" customFormat="1" ht="21" customHeight="1">
      <c r="C49" s="71">
        <f t="shared" si="4"/>
        <v>41609</v>
      </c>
      <c r="D49" s="73">
        <f>IF(VLOOKUP($C49,'Performance Pivot'!$AI:$AV,2,0)="","",VLOOKUP($C49,'Performance Pivot'!$AI:$AV,2,0))</f>
        <v>0</v>
      </c>
      <c r="E49" s="73">
        <f>IF(VLOOKUP($C49,'Performance Pivot'!$AI:$AV,3,0)="","",VLOOKUP($C49,'Performance Pivot'!$AI:$AV,3,0))</f>
        <v>0</v>
      </c>
      <c r="F49" s="73" t="str">
        <f>IF(VLOOKUP($C49,'Performance Pivot'!$AI:$AV,4,0)="","",VLOOKUP($C49,'Performance Pivot'!$AI:$AV,4,0))</f>
        <v/>
      </c>
      <c r="G49" s="73" t="str">
        <f>IF(VLOOKUP($C49,'Performance Pivot'!$AI:$AV,5,0)="","",VLOOKUP($C49,'Performance Pivot'!$AI:$AV,5,0))</f>
        <v/>
      </c>
      <c r="H49" s="73" t="str">
        <f>IF(VLOOKUP($C49,'Performance Pivot'!$AI:$AV,6,0)="","",VLOOKUP($C49,'Performance Pivot'!$AI:$AV,6,0))</f>
        <v/>
      </c>
      <c r="I49" s="73" t="str">
        <f>IF(VLOOKUP($C49,'Performance Pivot'!$AI:$AV,7,0)="","",VLOOKUP($C49,'Performance Pivot'!$AI:$AV,7,0))</f>
        <v/>
      </c>
      <c r="J49" s="73" t="str">
        <f>IF(VLOOKUP($C49,'Performance Pivot'!$AI:$AV,8,0)="","",VLOOKUP($C49,'Performance Pivot'!$AI:$AV,8,0))</f>
        <v/>
      </c>
      <c r="K49" s="73" t="str">
        <f>IF(VLOOKUP($C49,'Performance Pivot'!$AI:$AV,9,0)="","",VLOOKUP($C49,'Performance Pivot'!$AI:$AV,9,0))</f>
        <v/>
      </c>
      <c r="L49" s="73" t="str">
        <f>IF(VLOOKUP($C49,'Performance Pivot'!$AI:$AV,10,0)="","",VLOOKUP($C49,'Performance Pivot'!$AI:$AV,10,0))</f>
        <v/>
      </c>
      <c r="M49" s="73" t="str">
        <f>IF(VLOOKUP($C49,'Performance Pivot'!$AI:$AV,11,0)="","",VLOOKUP($C49,'Performance Pivot'!$AI:$AV,11,0))</f>
        <v/>
      </c>
      <c r="N49" s="73" t="str">
        <f>IF(VLOOKUP($C49,'Performance Pivot'!$AI:$AV,12,0)="","",VLOOKUP($C49,'Performance Pivot'!$AI:$AV,12,0))</f>
        <v/>
      </c>
      <c r="O49" s="73"/>
      <c r="P49" s="73" t="str">
        <f>IF(VLOOKUP($C49,'Performance Pivot'!$AI:$AV,13,0)="","",VLOOKUP($C49,'Performance Pivot'!$AI:$AV,13,0))</f>
        <v/>
      </c>
      <c r="Q49" s="73" t="str">
        <f>IF(VLOOKUP($C49,'Performance Pivot'!$AI:$AW,15,0)="","",VLOOKUP($C49,'Performance Pivot'!$AI:$AW,15,0))</f>
        <v/>
      </c>
      <c r="R49" s="52"/>
      <c r="S49" s="52"/>
      <c r="T49" s="92">
        <f t="shared" si="5"/>
        <v>41609</v>
      </c>
      <c r="U49" s="73">
        <f>IF(VLOOKUP($T49,'Performance Pivot'!$AZ:$BM,2,0)="","",VLOOKUP($T49,'Performance Pivot'!$AZ:$BM,2,0))</f>
        <v>0.21624946700442091</v>
      </c>
      <c r="V49" s="73">
        <f>IF(VLOOKUP($T49,'Performance Pivot'!$AZ:$BM,3,0)="","",VLOOKUP($T49,'Performance Pivot'!$AZ:$BM,3,0))</f>
        <v>0.17407225985459115</v>
      </c>
      <c r="W49" s="73" t="str">
        <f>IF(VLOOKUP($T49,'Performance Pivot'!$AZ:$BM,4,0)="","",VLOOKUP($T49,'Performance Pivot'!$AZ:$BM,4,0))</f>
        <v/>
      </c>
      <c r="X49" s="73" t="str">
        <f>IF(VLOOKUP($T49,'Performance Pivot'!$AZ:$BM,5,0)="","",VLOOKUP($T49,'Performance Pivot'!$AZ:$BM,5,0))</f>
        <v/>
      </c>
      <c r="Y49" s="73" t="str">
        <f>IF(VLOOKUP($T49,'Performance Pivot'!$AZ:$BM,6,0)="","",VLOOKUP($T49,'Performance Pivot'!$AZ:$BM,6,0))</f>
        <v/>
      </c>
      <c r="Z49" s="73" t="str">
        <f>IF(VLOOKUP($T49,'Performance Pivot'!$AZ:$BM,7,0)="","",VLOOKUP($T49,'Performance Pivot'!$AZ:$BM,7,0))</f>
        <v/>
      </c>
      <c r="AA49" s="73" t="str">
        <f>IF(VLOOKUP($T49,'Performance Pivot'!$AZ:$BM,8,0)="","",VLOOKUP($T49,'Performance Pivot'!$AZ:$BM,8,0))</f>
        <v/>
      </c>
      <c r="AB49" s="73" t="str">
        <f>IF(VLOOKUP($T49,'Performance Pivot'!$AZ:$BM,9,0)="","",VLOOKUP($T49,'Performance Pivot'!$AZ:$BM,9,0))</f>
        <v/>
      </c>
      <c r="AC49" s="73" t="str">
        <f>IF(VLOOKUP($T49,'Performance Pivot'!$AZ:$BM,10,0)="","",VLOOKUP($T49,'Performance Pivot'!$AZ:$BM,10,0))</f>
        <v/>
      </c>
      <c r="AD49" s="73" t="str">
        <f>IF(VLOOKUP($T49,'Performance Pivot'!$AZ:$BM,11,0)="","",VLOOKUP($T49,'Performance Pivot'!$AZ:$BM,11,0))</f>
        <v/>
      </c>
      <c r="AE49" s="73" t="str">
        <f>IF(VLOOKUP($T49,'Performance Pivot'!$AZ:$BM,12,0)="","",VLOOKUP($T49,'Performance Pivot'!$AZ:$BM,12,0))</f>
        <v/>
      </c>
      <c r="AF49" s="73" t="str">
        <f>IF(VLOOKUP($T49,'Performance Pivot'!$AZ:$BM,13,0)="","",VLOOKUP($T49,'Performance Pivot'!$AZ:$BM,13,0))</f>
        <v/>
      </c>
      <c r="AG49" s="73" t="str">
        <f>IF(VLOOKUP($T49,'Performance Pivot'!$AZ:$BM,14,0)="","",VLOOKUP($T49,'Performance Pivot'!$AZ:$BM,14,0))</f>
        <v/>
      </c>
      <c r="AH49" s="73" t="str">
        <f>IF(VLOOKUP($T49,'Performance Pivot'!$AZ:$BN,15,0)="","",VLOOKUP($T49,'Performance Pivot'!$AZ:$BN,15,0))</f>
        <v/>
      </c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</row>
    <row r="50" spans="3:47" s="74" customFormat="1" ht="21" customHeight="1">
      <c r="C50" s="71">
        <f t="shared" si="4"/>
        <v>41640</v>
      </c>
      <c r="D50" s="73">
        <f>IF(VLOOKUP($C50,'Performance Pivot'!$AI:$AV,2,0)="","",VLOOKUP($C50,'Performance Pivot'!$AI:$AV,2,0))</f>
        <v>0</v>
      </c>
      <c r="E50" s="73">
        <f>IF(VLOOKUP($C50,'Performance Pivot'!$AI:$AV,3,0)="","",VLOOKUP($C50,'Performance Pivot'!$AI:$AV,3,0))</f>
        <v>0</v>
      </c>
      <c r="F50" s="73" t="str">
        <f>IF(VLOOKUP($C50,'Performance Pivot'!$AI:$AV,4,0)="","",VLOOKUP($C50,'Performance Pivot'!$AI:$AV,4,0))</f>
        <v/>
      </c>
      <c r="G50" s="73" t="str">
        <f>IF(VLOOKUP($C50,'Performance Pivot'!$AI:$AV,5,0)="","",VLOOKUP($C50,'Performance Pivot'!$AI:$AV,5,0))</f>
        <v/>
      </c>
      <c r="H50" s="73" t="str">
        <f>IF(VLOOKUP($C50,'Performance Pivot'!$AI:$AV,6,0)="","",VLOOKUP($C50,'Performance Pivot'!$AI:$AV,6,0))</f>
        <v/>
      </c>
      <c r="I50" s="73" t="str">
        <f>IF(VLOOKUP($C50,'Performance Pivot'!$AI:$AV,7,0)="","",VLOOKUP($C50,'Performance Pivot'!$AI:$AV,7,0))</f>
        <v/>
      </c>
      <c r="J50" s="73" t="str">
        <f>IF(VLOOKUP($C50,'Performance Pivot'!$AI:$AV,8,0)="","",VLOOKUP($C50,'Performance Pivot'!$AI:$AV,8,0))</f>
        <v/>
      </c>
      <c r="K50" s="73" t="str">
        <f>IF(VLOOKUP($C50,'Performance Pivot'!$AI:$AV,9,0)="","",VLOOKUP($C50,'Performance Pivot'!$AI:$AV,9,0))</f>
        <v/>
      </c>
      <c r="L50" s="73" t="str">
        <f>IF(VLOOKUP($C50,'Performance Pivot'!$AI:$AV,10,0)="","",VLOOKUP($C50,'Performance Pivot'!$AI:$AV,10,0))</f>
        <v/>
      </c>
      <c r="M50" s="73" t="str">
        <f>IF(VLOOKUP($C50,'Performance Pivot'!$AI:$AV,11,0)="","",VLOOKUP($C50,'Performance Pivot'!$AI:$AV,11,0))</f>
        <v/>
      </c>
      <c r="N50" s="73" t="str">
        <f>IF(VLOOKUP($C50,'Performance Pivot'!$AI:$AV,12,0)="","",VLOOKUP($C50,'Performance Pivot'!$AI:$AV,12,0))</f>
        <v/>
      </c>
      <c r="O50" s="73"/>
      <c r="P50" s="73" t="str">
        <f>IF(VLOOKUP($C50,'Performance Pivot'!$AI:$AV,13,0)="","",VLOOKUP($C50,'Performance Pivot'!$AI:$AV,13,0))</f>
        <v/>
      </c>
      <c r="Q50" s="73" t="str">
        <f>IF(VLOOKUP($C50,'Performance Pivot'!$AI:$AW,15,0)="","",VLOOKUP($C50,'Performance Pivot'!$AI:$AW,15,0))</f>
        <v/>
      </c>
      <c r="R50" s="52"/>
      <c r="S50" s="52"/>
      <c r="T50" s="92">
        <f t="shared" si="5"/>
        <v>41640</v>
      </c>
      <c r="U50" s="73">
        <f>IF(VLOOKUP($T50,'Performance Pivot'!$AZ:$BM,2,0)="","",VLOOKUP($T50,'Performance Pivot'!$AZ:$BM,2,0))</f>
        <v>0.21820978175591563</v>
      </c>
      <c r="V50" s="73">
        <f>IF(VLOOKUP($T50,'Performance Pivot'!$AZ:$BM,3,0)="","",VLOOKUP($T50,'Performance Pivot'!$AZ:$BM,3,0))</f>
        <v>0.18375837729301081</v>
      </c>
      <c r="W50" s="73" t="str">
        <f>IF(VLOOKUP($T50,'Performance Pivot'!$AZ:$BM,4,0)="","",VLOOKUP($T50,'Performance Pivot'!$AZ:$BM,4,0))</f>
        <v/>
      </c>
      <c r="X50" s="73" t="str">
        <f>IF(VLOOKUP($T50,'Performance Pivot'!$AZ:$BM,5,0)="","",VLOOKUP($T50,'Performance Pivot'!$AZ:$BM,5,0))</f>
        <v/>
      </c>
      <c r="Y50" s="73" t="str">
        <f>IF(VLOOKUP($T50,'Performance Pivot'!$AZ:$BM,6,0)="","",VLOOKUP($T50,'Performance Pivot'!$AZ:$BM,6,0))</f>
        <v/>
      </c>
      <c r="Z50" s="73" t="str">
        <f>IF(VLOOKUP($T50,'Performance Pivot'!$AZ:$BM,7,0)="","",VLOOKUP($T50,'Performance Pivot'!$AZ:$BM,7,0))</f>
        <v/>
      </c>
      <c r="AA50" s="73" t="str">
        <f>IF(VLOOKUP($T50,'Performance Pivot'!$AZ:$BM,8,0)="","",VLOOKUP($T50,'Performance Pivot'!$AZ:$BM,8,0))</f>
        <v/>
      </c>
      <c r="AB50" s="73" t="str">
        <f>IF(VLOOKUP($T50,'Performance Pivot'!$AZ:$BM,9,0)="","",VLOOKUP($T50,'Performance Pivot'!$AZ:$BM,9,0))</f>
        <v/>
      </c>
      <c r="AC50" s="73" t="str">
        <f>IF(VLOOKUP($T50,'Performance Pivot'!$AZ:$BM,10,0)="","",VLOOKUP($T50,'Performance Pivot'!$AZ:$BM,10,0))</f>
        <v/>
      </c>
      <c r="AD50" s="73" t="str">
        <f>IF(VLOOKUP($T50,'Performance Pivot'!$AZ:$BM,11,0)="","",VLOOKUP($T50,'Performance Pivot'!$AZ:$BM,11,0))</f>
        <v/>
      </c>
      <c r="AE50" s="73" t="str">
        <f>IF(VLOOKUP($T50,'Performance Pivot'!$AZ:$BM,12,0)="","",VLOOKUP($T50,'Performance Pivot'!$AZ:$BM,12,0))</f>
        <v/>
      </c>
      <c r="AF50" s="73" t="str">
        <f>IF(VLOOKUP($T50,'Performance Pivot'!$AZ:$BM,13,0)="","",VLOOKUP($T50,'Performance Pivot'!$AZ:$BM,13,0))</f>
        <v/>
      </c>
      <c r="AG50" s="73" t="str">
        <f>IF(VLOOKUP($T50,'Performance Pivot'!$AZ:$BM,14,0)="","",VLOOKUP($T50,'Performance Pivot'!$AZ:$BM,14,0))</f>
        <v/>
      </c>
      <c r="AH50" s="73" t="str">
        <f>IF(VLOOKUP($T50,'Performance Pivot'!$AZ:$BN,15,0)="","",VLOOKUP($T50,'Performance Pivot'!$AZ:$BN,15,0))</f>
        <v/>
      </c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</row>
    <row r="51" spans="3:47" s="74" customFormat="1" ht="21" customHeight="1">
      <c r="C51" s="71">
        <f t="shared" si="4"/>
        <v>41671</v>
      </c>
      <c r="D51" s="73">
        <f>IF(VLOOKUP($C51,'Performance Pivot'!$AI:$AV,2,0)="","",VLOOKUP($C51,'Performance Pivot'!$AI:$AV,2,0))</f>
        <v>0</v>
      </c>
      <c r="E51" s="73">
        <f>IF(VLOOKUP($C51,'Performance Pivot'!$AI:$AV,3,0)="","",VLOOKUP($C51,'Performance Pivot'!$AI:$AV,3,0))</f>
        <v>0</v>
      </c>
      <c r="F51" s="73" t="str">
        <f>IF(VLOOKUP($C51,'Performance Pivot'!$AI:$AV,4,0)="","",VLOOKUP($C51,'Performance Pivot'!$AI:$AV,4,0))</f>
        <v/>
      </c>
      <c r="G51" s="73" t="str">
        <f>IF(VLOOKUP($C51,'Performance Pivot'!$AI:$AV,5,0)="","",VLOOKUP($C51,'Performance Pivot'!$AI:$AV,5,0))</f>
        <v/>
      </c>
      <c r="H51" s="73" t="str">
        <f>IF(VLOOKUP($C51,'Performance Pivot'!$AI:$AV,6,0)="","",VLOOKUP($C51,'Performance Pivot'!$AI:$AV,6,0))</f>
        <v/>
      </c>
      <c r="I51" s="73" t="str">
        <f>IF(VLOOKUP($C51,'Performance Pivot'!$AI:$AV,7,0)="","",VLOOKUP($C51,'Performance Pivot'!$AI:$AV,7,0))</f>
        <v/>
      </c>
      <c r="J51" s="73" t="str">
        <f>IF(VLOOKUP($C51,'Performance Pivot'!$AI:$AV,8,0)="","",VLOOKUP($C51,'Performance Pivot'!$AI:$AV,8,0))</f>
        <v/>
      </c>
      <c r="K51" s="73" t="str">
        <f>IF(VLOOKUP($C51,'Performance Pivot'!$AI:$AV,9,0)="","",VLOOKUP($C51,'Performance Pivot'!$AI:$AV,9,0))</f>
        <v/>
      </c>
      <c r="L51" s="73" t="str">
        <f>IF(VLOOKUP($C51,'Performance Pivot'!$AI:$AV,10,0)="","",VLOOKUP($C51,'Performance Pivot'!$AI:$AV,10,0))</f>
        <v/>
      </c>
      <c r="M51" s="73" t="str">
        <f>IF(VLOOKUP($C51,'Performance Pivot'!$AI:$AV,11,0)="","",VLOOKUP($C51,'Performance Pivot'!$AI:$AV,11,0))</f>
        <v/>
      </c>
      <c r="N51" s="73" t="str">
        <f>IF(VLOOKUP($C51,'Performance Pivot'!$AI:$AV,12,0)="","",VLOOKUP($C51,'Performance Pivot'!$AI:$AV,12,0))</f>
        <v/>
      </c>
      <c r="O51" s="73"/>
      <c r="P51" s="73" t="str">
        <f>IF(VLOOKUP($C51,'Performance Pivot'!$AI:$AV,13,0)="","",VLOOKUP($C51,'Performance Pivot'!$AI:$AV,13,0))</f>
        <v/>
      </c>
      <c r="Q51" s="73" t="str">
        <f>IF(VLOOKUP($C51,'Performance Pivot'!$AI:$AW,15,0)="","",VLOOKUP($C51,'Performance Pivot'!$AI:$AW,15,0))</f>
        <v/>
      </c>
      <c r="R51" s="52"/>
      <c r="S51" s="52"/>
      <c r="T51" s="92">
        <f t="shared" si="5"/>
        <v>41671</v>
      </c>
      <c r="U51" s="73">
        <f>IF(VLOOKUP($T51,'Performance Pivot'!$AZ:$BM,2,0)="","",VLOOKUP($T51,'Performance Pivot'!$AZ:$BM,2,0))</f>
        <v>0.22951558377442932</v>
      </c>
      <c r="V51" s="73">
        <f>IF(VLOOKUP($T51,'Performance Pivot'!$AZ:$BM,3,0)="","",VLOOKUP($T51,'Performance Pivot'!$AZ:$BM,3,0))</f>
        <v>0.17780417591245562</v>
      </c>
      <c r="W51" s="73" t="str">
        <f>IF(VLOOKUP($T51,'Performance Pivot'!$AZ:$BM,4,0)="","",VLOOKUP($T51,'Performance Pivot'!$AZ:$BM,4,0))</f>
        <v/>
      </c>
      <c r="X51" s="73" t="str">
        <f>IF(VLOOKUP($T51,'Performance Pivot'!$AZ:$BM,5,0)="","",VLOOKUP($T51,'Performance Pivot'!$AZ:$BM,5,0))</f>
        <v/>
      </c>
      <c r="Y51" s="73" t="str">
        <f>IF(VLOOKUP($T51,'Performance Pivot'!$AZ:$BM,6,0)="","",VLOOKUP($T51,'Performance Pivot'!$AZ:$BM,6,0))</f>
        <v/>
      </c>
      <c r="Z51" s="73" t="str">
        <f>IF(VLOOKUP($T51,'Performance Pivot'!$AZ:$BM,7,0)="","",VLOOKUP($T51,'Performance Pivot'!$AZ:$BM,7,0))</f>
        <v/>
      </c>
      <c r="AA51" s="73" t="str">
        <f>IF(VLOOKUP($T51,'Performance Pivot'!$AZ:$BM,8,0)="","",VLOOKUP($T51,'Performance Pivot'!$AZ:$BM,8,0))</f>
        <v/>
      </c>
      <c r="AB51" s="73" t="str">
        <f>IF(VLOOKUP($T51,'Performance Pivot'!$AZ:$BM,9,0)="","",VLOOKUP($T51,'Performance Pivot'!$AZ:$BM,9,0))</f>
        <v/>
      </c>
      <c r="AC51" s="73" t="str">
        <f>IF(VLOOKUP($T51,'Performance Pivot'!$AZ:$BM,10,0)="","",VLOOKUP($T51,'Performance Pivot'!$AZ:$BM,10,0))</f>
        <v/>
      </c>
      <c r="AD51" s="73" t="str">
        <f>IF(VLOOKUP($T51,'Performance Pivot'!$AZ:$BM,11,0)="","",VLOOKUP($T51,'Performance Pivot'!$AZ:$BM,11,0))</f>
        <v/>
      </c>
      <c r="AE51" s="73" t="str">
        <f>IF(VLOOKUP($T51,'Performance Pivot'!$AZ:$BM,12,0)="","",VLOOKUP($T51,'Performance Pivot'!$AZ:$BM,12,0))</f>
        <v/>
      </c>
      <c r="AF51" s="73" t="str">
        <f>IF(VLOOKUP($T51,'Performance Pivot'!$AZ:$BM,13,0)="","",VLOOKUP($T51,'Performance Pivot'!$AZ:$BM,13,0))</f>
        <v/>
      </c>
      <c r="AG51" s="73" t="str">
        <f>IF(VLOOKUP($T51,'Performance Pivot'!$AZ:$BM,14,0)="","",VLOOKUP($T51,'Performance Pivot'!$AZ:$BM,14,0))</f>
        <v/>
      </c>
      <c r="AH51" s="73" t="str">
        <f>IF(VLOOKUP($T51,'Performance Pivot'!$AZ:$BN,15,0)="","",VLOOKUP($T51,'Performance Pivot'!$AZ:$BN,15,0))</f>
        <v/>
      </c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</row>
    <row r="52" spans="3:47" s="74" customFormat="1" ht="21" customHeight="1">
      <c r="C52" s="71">
        <f t="shared" si="4"/>
        <v>41699</v>
      </c>
      <c r="D52" s="73">
        <f>IF(VLOOKUP($C52,'Performance Pivot'!$AI:$AV,2,0)="","",VLOOKUP($C52,'Performance Pivot'!$AI:$AV,2,0))</f>
        <v>0</v>
      </c>
      <c r="E52" s="73">
        <f>IF(VLOOKUP($C52,'Performance Pivot'!$AI:$AV,3,0)="","",VLOOKUP($C52,'Performance Pivot'!$AI:$AV,3,0))</f>
        <v>0</v>
      </c>
      <c r="F52" s="73">
        <f>IF(VLOOKUP($C52,'Performance Pivot'!$AI:$AV,4,0)="","",VLOOKUP($C52,'Performance Pivot'!$AI:$AV,4,0))</f>
        <v>0</v>
      </c>
      <c r="G52" s="73" t="str">
        <f>IF(VLOOKUP($C52,'Performance Pivot'!$AI:$AV,5,0)="","",VLOOKUP($C52,'Performance Pivot'!$AI:$AV,5,0))</f>
        <v/>
      </c>
      <c r="H52" s="73" t="str">
        <f>IF(VLOOKUP($C52,'Performance Pivot'!$AI:$AV,6,0)="","",VLOOKUP($C52,'Performance Pivot'!$AI:$AV,6,0))</f>
        <v/>
      </c>
      <c r="I52" s="73" t="str">
        <f>IF(VLOOKUP($C52,'Performance Pivot'!$AI:$AV,7,0)="","",VLOOKUP($C52,'Performance Pivot'!$AI:$AV,7,0))</f>
        <v/>
      </c>
      <c r="J52" s="73" t="str">
        <f>IF(VLOOKUP($C52,'Performance Pivot'!$AI:$AV,8,0)="","",VLOOKUP($C52,'Performance Pivot'!$AI:$AV,8,0))</f>
        <v/>
      </c>
      <c r="K52" s="73" t="str">
        <f>IF(VLOOKUP($C52,'Performance Pivot'!$AI:$AV,9,0)="","",VLOOKUP($C52,'Performance Pivot'!$AI:$AV,9,0))</f>
        <v/>
      </c>
      <c r="L52" s="73" t="str">
        <f>IF(VLOOKUP($C52,'Performance Pivot'!$AI:$AV,10,0)="","",VLOOKUP($C52,'Performance Pivot'!$AI:$AV,10,0))</f>
        <v/>
      </c>
      <c r="M52" s="73" t="str">
        <f>IF(VLOOKUP($C52,'Performance Pivot'!$AI:$AV,11,0)="","",VLOOKUP($C52,'Performance Pivot'!$AI:$AV,11,0))</f>
        <v/>
      </c>
      <c r="N52" s="73" t="str">
        <f>IF(VLOOKUP($C52,'Performance Pivot'!$AI:$AV,12,0)="","",VLOOKUP($C52,'Performance Pivot'!$AI:$AV,12,0))</f>
        <v/>
      </c>
      <c r="O52" s="73"/>
      <c r="P52" s="73" t="str">
        <f>IF(VLOOKUP($C52,'Performance Pivot'!$AI:$AV,13,0)="","",VLOOKUP($C52,'Performance Pivot'!$AI:$AV,13,0))</f>
        <v/>
      </c>
      <c r="Q52" s="73" t="str">
        <f>IF(VLOOKUP($C52,'Performance Pivot'!$AI:$AW,15,0)="","",VLOOKUP($C52,'Performance Pivot'!$AI:$AW,15,0))</f>
        <v/>
      </c>
      <c r="R52" s="52"/>
      <c r="S52" s="52"/>
      <c r="T52" s="92">
        <f t="shared" si="5"/>
        <v>41699</v>
      </c>
      <c r="U52" s="73">
        <f>IF(VLOOKUP($T52,'Performance Pivot'!$AZ:$BM,2,0)="","",VLOOKUP($T52,'Performance Pivot'!$AZ:$BM,2,0))</f>
        <v>0.28667323115603105</v>
      </c>
      <c r="V52" s="73">
        <f>IF(VLOOKUP($T52,'Performance Pivot'!$AZ:$BM,3,0)="","",VLOOKUP($T52,'Performance Pivot'!$AZ:$BM,3,0))</f>
        <v>0.24711399829030348</v>
      </c>
      <c r="W52" s="73">
        <f>IF(VLOOKUP($T52,'Performance Pivot'!$AZ:$BM,4,0)="","",VLOOKUP($T52,'Performance Pivot'!$AZ:$BM,4,0))</f>
        <v>0.15133682685102268</v>
      </c>
      <c r="X52" s="73" t="str">
        <f>IF(VLOOKUP($T52,'Performance Pivot'!$AZ:$BM,5,0)="","",VLOOKUP($T52,'Performance Pivot'!$AZ:$BM,5,0))</f>
        <v/>
      </c>
      <c r="Y52" s="73" t="str">
        <f>IF(VLOOKUP($T52,'Performance Pivot'!$AZ:$BM,6,0)="","",VLOOKUP($T52,'Performance Pivot'!$AZ:$BM,6,0))</f>
        <v/>
      </c>
      <c r="Z52" s="73" t="str">
        <f>IF(VLOOKUP($T52,'Performance Pivot'!$AZ:$BM,7,0)="","",VLOOKUP($T52,'Performance Pivot'!$AZ:$BM,7,0))</f>
        <v/>
      </c>
      <c r="AA52" s="73" t="str">
        <f>IF(VLOOKUP($T52,'Performance Pivot'!$AZ:$BM,8,0)="","",VLOOKUP($T52,'Performance Pivot'!$AZ:$BM,8,0))</f>
        <v/>
      </c>
      <c r="AB52" s="73" t="str">
        <f>IF(VLOOKUP($T52,'Performance Pivot'!$AZ:$BM,9,0)="","",VLOOKUP($T52,'Performance Pivot'!$AZ:$BM,9,0))</f>
        <v/>
      </c>
      <c r="AC52" s="73" t="str">
        <f>IF(VLOOKUP($T52,'Performance Pivot'!$AZ:$BM,10,0)="","",VLOOKUP($T52,'Performance Pivot'!$AZ:$BM,10,0))</f>
        <v/>
      </c>
      <c r="AD52" s="73" t="str">
        <f>IF(VLOOKUP($T52,'Performance Pivot'!$AZ:$BM,11,0)="","",VLOOKUP($T52,'Performance Pivot'!$AZ:$BM,11,0))</f>
        <v/>
      </c>
      <c r="AE52" s="73" t="str">
        <f>IF(VLOOKUP($T52,'Performance Pivot'!$AZ:$BM,12,0)="","",VLOOKUP($T52,'Performance Pivot'!$AZ:$BM,12,0))</f>
        <v/>
      </c>
      <c r="AF52" s="73" t="str">
        <f>IF(VLOOKUP($T52,'Performance Pivot'!$AZ:$BM,13,0)="","",VLOOKUP($T52,'Performance Pivot'!$AZ:$BM,13,0))</f>
        <v/>
      </c>
      <c r="AG52" s="73" t="str">
        <f>IF(VLOOKUP($T52,'Performance Pivot'!$AZ:$BM,14,0)="","",VLOOKUP($T52,'Performance Pivot'!$AZ:$BM,14,0))</f>
        <v/>
      </c>
      <c r="AH52" s="73" t="str">
        <f>IF(VLOOKUP($T52,'Performance Pivot'!$AZ:$BN,15,0)="","",VLOOKUP($T52,'Performance Pivot'!$AZ:$BN,15,0))</f>
        <v/>
      </c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</row>
    <row r="53" spans="3:47" s="74" customFormat="1" ht="21" customHeight="1">
      <c r="C53" s="71">
        <f t="shared" si="4"/>
        <v>41730</v>
      </c>
      <c r="D53" s="73">
        <f>IF(VLOOKUP($C53,'Performance Pivot'!$AI:$AV,2,0)="","",VLOOKUP($C53,'Performance Pivot'!$AI:$AV,2,0))</f>
        <v>0.01</v>
      </c>
      <c r="E53" s="73">
        <f>IF(VLOOKUP($C53,'Performance Pivot'!$AI:$AV,3,0)="","",VLOOKUP($C53,'Performance Pivot'!$AI:$AV,3,0))</f>
        <v>0</v>
      </c>
      <c r="F53" s="73">
        <f>IF(VLOOKUP($C53,'Performance Pivot'!$AI:$AV,4,0)="","",VLOOKUP($C53,'Performance Pivot'!$AI:$AV,4,0))</f>
        <v>0</v>
      </c>
      <c r="G53" s="73" t="str">
        <f>IF(VLOOKUP($C53,'Performance Pivot'!$AI:$AV,5,0)="","",VLOOKUP($C53,'Performance Pivot'!$AI:$AV,5,0))</f>
        <v/>
      </c>
      <c r="H53" s="73" t="str">
        <f>IF(VLOOKUP($C53,'Performance Pivot'!$AI:$AV,6,0)="","",VLOOKUP($C53,'Performance Pivot'!$AI:$AV,6,0))</f>
        <v/>
      </c>
      <c r="I53" s="73" t="str">
        <f>IF(VLOOKUP($C53,'Performance Pivot'!$AI:$AV,7,0)="","",VLOOKUP($C53,'Performance Pivot'!$AI:$AV,7,0))</f>
        <v/>
      </c>
      <c r="J53" s="73" t="str">
        <f>IF(VLOOKUP($C53,'Performance Pivot'!$AI:$AV,8,0)="","",VLOOKUP($C53,'Performance Pivot'!$AI:$AV,8,0))</f>
        <v/>
      </c>
      <c r="K53" s="73" t="str">
        <f>IF(VLOOKUP($C53,'Performance Pivot'!$AI:$AV,9,0)="","",VLOOKUP($C53,'Performance Pivot'!$AI:$AV,9,0))</f>
        <v/>
      </c>
      <c r="L53" s="73" t="str">
        <f>IF(VLOOKUP($C53,'Performance Pivot'!$AI:$AV,10,0)="","",VLOOKUP($C53,'Performance Pivot'!$AI:$AV,10,0))</f>
        <v/>
      </c>
      <c r="M53" s="73" t="str">
        <f>IF(VLOOKUP($C53,'Performance Pivot'!$AI:$AV,11,0)="","",VLOOKUP($C53,'Performance Pivot'!$AI:$AV,11,0))</f>
        <v/>
      </c>
      <c r="N53" s="73" t="str">
        <f>IF(VLOOKUP($C53,'Performance Pivot'!$AI:$AV,12,0)="","",VLOOKUP($C53,'Performance Pivot'!$AI:$AV,12,0))</f>
        <v/>
      </c>
      <c r="O53" s="73"/>
      <c r="P53" s="73" t="str">
        <f>IF(VLOOKUP($C53,'Performance Pivot'!$AI:$AV,13,0)="","",VLOOKUP($C53,'Performance Pivot'!$AI:$AV,13,0))</f>
        <v/>
      </c>
      <c r="Q53" s="73" t="str">
        <f>IF(VLOOKUP($C53,'Performance Pivot'!$AI:$AW,15,0)="","",VLOOKUP($C53,'Performance Pivot'!$AI:$AW,15,0))</f>
        <v/>
      </c>
      <c r="R53" s="52"/>
      <c r="S53" s="52"/>
      <c r="T53" s="92">
        <f t="shared" si="5"/>
        <v>41730</v>
      </c>
      <c r="U53" s="73">
        <f>IF(VLOOKUP($T53,'Performance Pivot'!$AZ:$BM,2,0)="","",VLOOKUP($T53,'Performance Pivot'!$AZ:$BM,2,0))</f>
        <v>0.17568089526554156</v>
      </c>
      <c r="V53" s="73">
        <f>IF(VLOOKUP($T53,'Performance Pivot'!$AZ:$BM,3,0)="","",VLOOKUP($T53,'Performance Pivot'!$AZ:$BM,3,0))</f>
        <v>0.1997778070663985</v>
      </c>
      <c r="W53" s="73">
        <f>IF(VLOOKUP($T53,'Performance Pivot'!$AZ:$BM,4,0)="","",VLOOKUP($T53,'Performance Pivot'!$AZ:$BM,4,0))</f>
        <v>0.11308922754174791</v>
      </c>
      <c r="X53" s="73" t="str">
        <f>IF(VLOOKUP($T53,'Performance Pivot'!$AZ:$BM,5,0)="","",VLOOKUP($T53,'Performance Pivot'!$AZ:$BM,5,0))</f>
        <v/>
      </c>
      <c r="Y53" s="73" t="str">
        <f>IF(VLOOKUP($T53,'Performance Pivot'!$AZ:$BM,6,0)="","",VLOOKUP($T53,'Performance Pivot'!$AZ:$BM,6,0))</f>
        <v/>
      </c>
      <c r="Z53" s="73" t="str">
        <f>IF(VLOOKUP($T53,'Performance Pivot'!$AZ:$BM,7,0)="","",VLOOKUP($T53,'Performance Pivot'!$AZ:$BM,7,0))</f>
        <v/>
      </c>
      <c r="AA53" s="73" t="str">
        <f>IF(VLOOKUP($T53,'Performance Pivot'!$AZ:$BM,8,0)="","",VLOOKUP($T53,'Performance Pivot'!$AZ:$BM,8,0))</f>
        <v/>
      </c>
      <c r="AB53" s="73" t="str">
        <f>IF(VLOOKUP($T53,'Performance Pivot'!$AZ:$BM,9,0)="","",VLOOKUP($T53,'Performance Pivot'!$AZ:$BM,9,0))</f>
        <v/>
      </c>
      <c r="AC53" s="73" t="str">
        <f>IF(VLOOKUP($T53,'Performance Pivot'!$AZ:$BM,10,0)="","",VLOOKUP($T53,'Performance Pivot'!$AZ:$BM,10,0))</f>
        <v/>
      </c>
      <c r="AD53" s="73" t="str">
        <f>IF(VLOOKUP($T53,'Performance Pivot'!$AZ:$BM,11,0)="","",VLOOKUP($T53,'Performance Pivot'!$AZ:$BM,11,0))</f>
        <v/>
      </c>
      <c r="AE53" s="73" t="str">
        <f>IF(VLOOKUP($T53,'Performance Pivot'!$AZ:$BM,12,0)="","",VLOOKUP($T53,'Performance Pivot'!$AZ:$BM,12,0))</f>
        <v/>
      </c>
      <c r="AF53" s="73" t="str">
        <f>IF(VLOOKUP($T53,'Performance Pivot'!$AZ:$BM,13,0)="","",VLOOKUP($T53,'Performance Pivot'!$AZ:$BM,13,0))</f>
        <v/>
      </c>
      <c r="AG53" s="73" t="str">
        <f>IF(VLOOKUP($T53,'Performance Pivot'!$AZ:$BM,14,0)="","",VLOOKUP($T53,'Performance Pivot'!$AZ:$BM,14,0))</f>
        <v/>
      </c>
      <c r="AH53" s="73" t="str">
        <f>IF(VLOOKUP($T53,'Performance Pivot'!$AZ:$BN,15,0)="","",VLOOKUP($T53,'Performance Pivot'!$AZ:$BN,15,0))</f>
        <v/>
      </c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</row>
    <row r="54" spans="3:47" s="74" customFormat="1" ht="21" customHeight="1">
      <c r="C54" s="71">
        <f t="shared" si="4"/>
        <v>41760</v>
      </c>
      <c r="D54" s="73">
        <f>IF(VLOOKUP($C54,'Performance Pivot'!$AI:$AV,2,0)="","",VLOOKUP($C54,'Performance Pivot'!$AI:$AV,2,0))</f>
        <v>0.01</v>
      </c>
      <c r="E54" s="73">
        <f>IF(VLOOKUP($C54,'Performance Pivot'!$AI:$AV,3,0)="","",VLOOKUP($C54,'Performance Pivot'!$AI:$AV,3,0))</f>
        <v>0</v>
      </c>
      <c r="F54" s="73">
        <f>IF(VLOOKUP($C54,'Performance Pivot'!$AI:$AV,4,0)="","",VLOOKUP($C54,'Performance Pivot'!$AI:$AV,4,0))</f>
        <v>0</v>
      </c>
      <c r="G54" s="73">
        <f>IF(VLOOKUP($C54,'Performance Pivot'!$AI:$AV,5,0)="","",VLOOKUP($C54,'Performance Pivot'!$AI:$AV,5,0))</f>
        <v>0</v>
      </c>
      <c r="H54" s="73" t="str">
        <f>IF(VLOOKUP($C54,'Performance Pivot'!$AI:$AV,6,0)="","",VLOOKUP($C54,'Performance Pivot'!$AI:$AV,6,0))</f>
        <v/>
      </c>
      <c r="I54" s="73" t="str">
        <f>IF(VLOOKUP($C54,'Performance Pivot'!$AI:$AV,7,0)="","",VLOOKUP($C54,'Performance Pivot'!$AI:$AV,7,0))</f>
        <v/>
      </c>
      <c r="J54" s="73" t="str">
        <f>IF(VLOOKUP($C54,'Performance Pivot'!$AI:$AV,8,0)="","",VLOOKUP($C54,'Performance Pivot'!$AI:$AV,8,0))</f>
        <v/>
      </c>
      <c r="K54" s="73" t="str">
        <f>IF(VLOOKUP($C54,'Performance Pivot'!$AI:$AV,9,0)="","",VLOOKUP($C54,'Performance Pivot'!$AI:$AV,9,0))</f>
        <v/>
      </c>
      <c r="L54" s="73" t="str">
        <f>IF(VLOOKUP($C54,'Performance Pivot'!$AI:$AV,10,0)="","",VLOOKUP($C54,'Performance Pivot'!$AI:$AV,10,0))</f>
        <v/>
      </c>
      <c r="M54" s="73" t="str">
        <f>IF(VLOOKUP($C54,'Performance Pivot'!$AI:$AV,11,0)="","",VLOOKUP($C54,'Performance Pivot'!$AI:$AV,11,0))</f>
        <v/>
      </c>
      <c r="N54" s="73" t="str">
        <f>IF(VLOOKUP($C54,'Performance Pivot'!$AI:$AV,12,0)="","",VLOOKUP($C54,'Performance Pivot'!$AI:$AV,12,0))</f>
        <v/>
      </c>
      <c r="O54" s="73"/>
      <c r="P54" s="73" t="str">
        <f>IF(VLOOKUP($C54,'Performance Pivot'!$AI:$AV,13,0)="","",VLOOKUP($C54,'Performance Pivot'!$AI:$AV,13,0))</f>
        <v/>
      </c>
      <c r="Q54" s="73" t="str">
        <f>IF(VLOOKUP($C54,'Performance Pivot'!$AI:$AW,15,0)="","",VLOOKUP($C54,'Performance Pivot'!$AI:$AW,15,0))</f>
        <v/>
      </c>
      <c r="R54" s="52"/>
      <c r="S54" s="52"/>
      <c r="T54" s="92">
        <f t="shared" si="5"/>
        <v>41760</v>
      </c>
      <c r="U54" s="73">
        <f>IF(VLOOKUP($T54,'Performance Pivot'!$AZ:$BM,2,0)="","",VLOOKUP($T54,'Performance Pivot'!$AZ:$BM,2,0))</f>
        <v>0.17327035385240222</v>
      </c>
      <c r="V54" s="73">
        <f>IF(VLOOKUP($T54,'Performance Pivot'!$AZ:$BM,3,0)="","",VLOOKUP($T54,'Performance Pivot'!$AZ:$BM,3,0))</f>
        <v>0.20514285142461344</v>
      </c>
      <c r="W54" s="73">
        <f>IF(VLOOKUP($T54,'Performance Pivot'!$AZ:$BM,4,0)="","",VLOOKUP($T54,'Performance Pivot'!$AZ:$BM,4,0))</f>
        <v>0.13734485269924229</v>
      </c>
      <c r="X54" s="73">
        <f>IF(VLOOKUP($T54,'Performance Pivot'!$AZ:$BM,5,0)="","",VLOOKUP($T54,'Performance Pivot'!$AZ:$BM,5,0))</f>
        <v>0.15725828401668066</v>
      </c>
      <c r="Y54" s="73" t="str">
        <f>IF(VLOOKUP($T54,'Performance Pivot'!$AZ:$BM,6,0)="","",VLOOKUP($T54,'Performance Pivot'!$AZ:$BM,6,0))</f>
        <v/>
      </c>
      <c r="Z54" s="73" t="str">
        <f>IF(VLOOKUP($T54,'Performance Pivot'!$AZ:$BM,7,0)="","",VLOOKUP($T54,'Performance Pivot'!$AZ:$BM,7,0))</f>
        <v/>
      </c>
      <c r="AA54" s="73" t="str">
        <f>IF(VLOOKUP($T54,'Performance Pivot'!$AZ:$BM,8,0)="","",VLOOKUP($T54,'Performance Pivot'!$AZ:$BM,8,0))</f>
        <v/>
      </c>
      <c r="AB54" s="73" t="str">
        <f>IF(VLOOKUP($T54,'Performance Pivot'!$AZ:$BM,9,0)="","",VLOOKUP($T54,'Performance Pivot'!$AZ:$BM,9,0))</f>
        <v/>
      </c>
      <c r="AC54" s="73" t="str">
        <f>IF(VLOOKUP($T54,'Performance Pivot'!$AZ:$BM,10,0)="","",VLOOKUP($T54,'Performance Pivot'!$AZ:$BM,10,0))</f>
        <v/>
      </c>
      <c r="AD54" s="73" t="str">
        <f>IF(VLOOKUP($T54,'Performance Pivot'!$AZ:$BM,11,0)="","",VLOOKUP($T54,'Performance Pivot'!$AZ:$BM,11,0))</f>
        <v/>
      </c>
      <c r="AE54" s="73" t="str">
        <f>IF(VLOOKUP($T54,'Performance Pivot'!$AZ:$BM,12,0)="","",VLOOKUP($T54,'Performance Pivot'!$AZ:$BM,12,0))</f>
        <v/>
      </c>
      <c r="AF54" s="73" t="str">
        <f>IF(VLOOKUP($T54,'Performance Pivot'!$AZ:$BM,13,0)="","",VLOOKUP($T54,'Performance Pivot'!$AZ:$BM,13,0))</f>
        <v/>
      </c>
      <c r="AG54" s="73" t="str">
        <f>IF(VLOOKUP($T54,'Performance Pivot'!$AZ:$BM,14,0)="","",VLOOKUP($T54,'Performance Pivot'!$AZ:$BM,14,0))</f>
        <v/>
      </c>
      <c r="AH54" s="73" t="str">
        <f>IF(VLOOKUP($T54,'Performance Pivot'!$AZ:$BN,15,0)="","",VLOOKUP($T54,'Performance Pivot'!$AZ:$BN,15,0))</f>
        <v/>
      </c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</row>
    <row r="55" spans="3:47" s="74" customFormat="1" ht="21" customHeight="1">
      <c r="C55" s="71">
        <f t="shared" si="4"/>
        <v>41791</v>
      </c>
      <c r="D55" s="73">
        <f>IF(VLOOKUP($C55,'Performance Pivot'!$AI:$AV,2,0)="","",VLOOKUP($C55,'Performance Pivot'!$AI:$AV,2,0))</f>
        <v>0.02</v>
      </c>
      <c r="E55" s="73">
        <f>IF(VLOOKUP($C55,'Performance Pivot'!$AI:$AV,3,0)="","",VLOOKUP($C55,'Performance Pivot'!$AI:$AV,3,0))</f>
        <v>0</v>
      </c>
      <c r="F55" s="73">
        <f>IF(VLOOKUP($C55,'Performance Pivot'!$AI:$AV,4,0)="","",VLOOKUP($C55,'Performance Pivot'!$AI:$AV,4,0))</f>
        <v>0</v>
      </c>
      <c r="G55" s="73">
        <f>IF(VLOOKUP($C55,'Performance Pivot'!$AI:$AV,5,0)="","",VLOOKUP($C55,'Performance Pivot'!$AI:$AV,5,0))</f>
        <v>0</v>
      </c>
      <c r="H55" s="73" t="str">
        <f>IF(VLOOKUP($C55,'Performance Pivot'!$AI:$AV,6,0)="","",VLOOKUP($C55,'Performance Pivot'!$AI:$AV,6,0))</f>
        <v/>
      </c>
      <c r="I55" s="73" t="str">
        <f>IF(VLOOKUP($C55,'Performance Pivot'!$AI:$AV,7,0)="","",VLOOKUP($C55,'Performance Pivot'!$AI:$AV,7,0))</f>
        <v/>
      </c>
      <c r="J55" s="73" t="str">
        <f>IF(VLOOKUP($C55,'Performance Pivot'!$AI:$AV,8,0)="","",VLOOKUP($C55,'Performance Pivot'!$AI:$AV,8,0))</f>
        <v/>
      </c>
      <c r="K55" s="73" t="str">
        <f>IF(VLOOKUP($C55,'Performance Pivot'!$AI:$AV,9,0)="","",VLOOKUP($C55,'Performance Pivot'!$AI:$AV,9,0))</f>
        <v/>
      </c>
      <c r="L55" s="73" t="str">
        <f>IF(VLOOKUP($C55,'Performance Pivot'!$AI:$AV,10,0)="","",VLOOKUP($C55,'Performance Pivot'!$AI:$AV,10,0))</f>
        <v/>
      </c>
      <c r="M55" s="73" t="str">
        <f>IF(VLOOKUP($C55,'Performance Pivot'!$AI:$AV,11,0)="","",VLOOKUP($C55,'Performance Pivot'!$AI:$AV,11,0))</f>
        <v/>
      </c>
      <c r="N55" s="73" t="str">
        <f>IF(VLOOKUP($C55,'Performance Pivot'!$AI:$AV,12,0)="","",VLOOKUP($C55,'Performance Pivot'!$AI:$AV,12,0))</f>
        <v/>
      </c>
      <c r="O55" s="73"/>
      <c r="P55" s="73" t="str">
        <f>IF(VLOOKUP($C55,'Performance Pivot'!$AI:$AV,13,0)="","",VLOOKUP($C55,'Performance Pivot'!$AI:$AV,13,0))</f>
        <v/>
      </c>
      <c r="Q55" s="73" t="str">
        <f>IF(VLOOKUP($C55,'Performance Pivot'!$AI:$AW,15,0)="","",VLOOKUP($C55,'Performance Pivot'!$AI:$AW,15,0))</f>
        <v/>
      </c>
      <c r="R55" s="52"/>
      <c r="S55" s="52"/>
      <c r="T55" s="92">
        <f t="shared" si="5"/>
        <v>41791</v>
      </c>
      <c r="U55" s="73">
        <f>IF(VLOOKUP($T55,'Performance Pivot'!$AZ:$BM,2,0)="","",VLOOKUP($T55,'Performance Pivot'!$AZ:$BM,2,0))</f>
        <v>0.17958908056971765</v>
      </c>
      <c r="V55" s="73">
        <f>IF(VLOOKUP($T55,'Performance Pivot'!$AZ:$BM,3,0)="","",VLOOKUP($T55,'Performance Pivot'!$AZ:$BM,3,0))</f>
        <v>0.19721110726977892</v>
      </c>
      <c r="W55" s="73">
        <f>IF(VLOOKUP($T55,'Performance Pivot'!$AZ:$BM,4,0)="","",VLOOKUP($T55,'Performance Pivot'!$AZ:$BM,4,0))</f>
        <v>0.16838759001973638</v>
      </c>
      <c r="X55" s="73">
        <f>IF(VLOOKUP($T55,'Performance Pivot'!$AZ:$BM,5,0)="","",VLOOKUP($T55,'Performance Pivot'!$AZ:$BM,5,0))</f>
        <v>0.16088244911396338</v>
      </c>
      <c r="Y55" s="73" t="str">
        <f>IF(VLOOKUP($T55,'Performance Pivot'!$AZ:$BM,6,0)="","",VLOOKUP($T55,'Performance Pivot'!$AZ:$BM,6,0))</f>
        <v/>
      </c>
      <c r="Z55" s="73" t="str">
        <f>IF(VLOOKUP($T55,'Performance Pivot'!$AZ:$BM,7,0)="","",VLOOKUP($T55,'Performance Pivot'!$AZ:$BM,7,0))</f>
        <v/>
      </c>
      <c r="AA55" s="73" t="str">
        <f>IF(VLOOKUP($T55,'Performance Pivot'!$AZ:$BM,8,0)="","",VLOOKUP($T55,'Performance Pivot'!$AZ:$BM,8,0))</f>
        <v/>
      </c>
      <c r="AB55" s="73" t="str">
        <f>IF(VLOOKUP($T55,'Performance Pivot'!$AZ:$BM,9,0)="","",VLOOKUP($T55,'Performance Pivot'!$AZ:$BM,9,0))</f>
        <v/>
      </c>
      <c r="AC55" s="73" t="str">
        <f>IF(VLOOKUP($T55,'Performance Pivot'!$AZ:$BM,10,0)="","",VLOOKUP($T55,'Performance Pivot'!$AZ:$BM,10,0))</f>
        <v/>
      </c>
      <c r="AD55" s="73" t="str">
        <f>IF(VLOOKUP($T55,'Performance Pivot'!$AZ:$BM,11,0)="","",VLOOKUP($T55,'Performance Pivot'!$AZ:$BM,11,0))</f>
        <v/>
      </c>
      <c r="AE55" s="73" t="str">
        <f>IF(VLOOKUP($T55,'Performance Pivot'!$AZ:$BM,12,0)="","",VLOOKUP($T55,'Performance Pivot'!$AZ:$BM,12,0))</f>
        <v/>
      </c>
      <c r="AF55" s="73" t="str">
        <f>IF(VLOOKUP($T55,'Performance Pivot'!$AZ:$BM,13,0)="","",VLOOKUP($T55,'Performance Pivot'!$AZ:$BM,13,0))</f>
        <v/>
      </c>
      <c r="AG55" s="73" t="str">
        <f>IF(VLOOKUP($T55,'Performance Pivot'!$AZ:$BM,14,0)="","",VLOOKUP($T55,'Performance Pivot'!$AZ:$BM,14,0))</f>
        <v/>
      </c>
      <c r="AH55" s="73" t="str">
        <f>IF(VLOOKUP($T55,'Performance Pivot'!$AZ:$BN,15,0)="","",VLOOKUP($T55,'Performance Pivot'!$AZ:$BN,15,0))</f>
        <v/>
      </c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</row>
    <row r="56" spans="3:47" s="74" customFormat="1" ht="21" customHeight="1">
      <c r="C56" s="71">
        <f t="shared" si="4"/>
        <v>41821</v>
      </c>
      <c r="D56" s="73">
        <f>IF(VLOOKUP($C56,'Performance Pivot'!$AI:$AV,2,0)="","",VLOOKUP($C56,'Performance Pivot'!$AI:$AV,2,0))</f>
        <v>0.02</v>
      </c>
      <c r="E56" s="73">
        <f>IF(VLOOKUP($C56,'Performance Pivot'!$AI:$AV,3,0)="","",VLOOKUP($C56,'Performance Pivot'!$AI:$AV,3,0))</f>
        <v>0.01</v>
      </c>
      <c r="F56" s="73">
        <f>IF(VLOOKUP($C56,'Performance Pivot'!$AI:$AV,4,0)="","",VLOOKUP($C56,'Performance Pivot'!$AI:$AV,4,0))</f>
        <v>0</v>
      </c>
      <c r="G56" s="73">
        <f>IF(VLOOKUP($C56,'Performance Pivot'!$AI:$AV,5,0)="","",VLOOKUP($C56,'Performance Pivot'!$AI:$AV,5,0))</f>
        <v>0</v>
      </c>
      <c r="H56" s="73" t="str">
        <f>IF(VLOOKUP($C56,'Performance Pivot'!$AI:$AV,6,0)="","",VLOOKUP($C56,'Performance Pivot'!$AI:$AV,6,0))</f>
        <v/>
      </c>
      <c r="I56" s="73" t="str">
        <f>IF(VLOOKUP($C56,'Performance Pivot'!$AI:$AV,7,0)="","",VLOOKUP($C56,'Performance Pivot'!$AI:$AV,7,0))</f>
        <v/>
      </c>
      <c r="J56" s="73" t="str">
        <f>IF(VLOOKUP($C56,'Performance Pivot'!$AI:$AV,8,0)="","",VLOOKUP($C56,'Performance Pivot'!$AI:$AV,8,0))</f>
        <v/>
      </c>
      <c r="K56" s="73" t="str">
        <f>IF(VLOOKUP($C56,'Performance Pivot'!$AI:$AV,9,0)="","",VLOOKUP($C56,'Performance Pivot'!$AI:$AV,9,0))</f>
        <v/>
      </c>
      <c r="L56" s="73" t="str">
        <f>IF(VLOOKUP($C56,'Performance Pivot'!$AI:$AV,10,0)="","",VLOOKUP($C56,'Performance Pivot'!$AI:$AV,10,0))</f>
        <v/>
      </c>
      <c r="M56" s="73" t="str">
        <f>IF(VLOOKUP($C56,'Performance Pivot'!$AI:$AV,11,0)="","",VLOOKUP($C56,'Performance Pivot'!$AI:$AV,11,0))</f>
        <v/>
      </c>
      <c r="N56" s="73" t="str">
        <f>IF(VLOOKUP($C56,'Performance Pivot'!$AI:$AV,12,0)="","",VLOOKUP($C56,'Performance Pivot'!$AI:$AV,12,0))</f>
        <v/>
      </c>
      <c r="O56" s="73"/>
      <c r="P56" s="73" t="str">
        <f>IF(VLOOKUP($C56,'Performance Pivot'!$AI:$AV,13,0)="","",VLOOKUP($C56,'Performance Pivot'!$AI:$AV,13,0))</f>
        <v/>
      </c>
      <c r="Q56" s="73" t="str">
        <f>IF(VLOOKUP($C56,'Performance Pivot'!$AI:$AW,15,0)="","",VLOOKUP($C56,'Performance Pivot'!$AI:$AW,15,0))</f>
        <v/>
      </c>
      <c r="R56" s="52"/>
      <c r="S56" s="52"/>
      <c r="T56" s="92">
        <f t="shared" si="5"/>
        <v>41821</v>
      </c>
      <c r="U56" s="73">
        <f>IF(VLOOKUP($T56,'Performance Pivot'!$AZ:$BM,2,0)="","",VLOOKUP($T56,'Performance Pivot'!$AZ:$BM,2,0))</f>
        <v>0.22055170143531394</v>
      </c>
      <c r="V56" s="73">
        <f>IF(VLOOKUP($T56,'Performance Pivot'!$AZ:$BM,3,0)="","",VLOOKUP($T56,'Performance Pivot'!$AZ:$BM,3,0))</f>
        <v>0.22263176989447303</v>
      </c>
      <c r="W56" s="73">
        <f>IF(VLOOKUP($T56,'Performance Pivot'!$AZ:$BM,4,0)="","",VLOOKUP($T56,'Performance Pivot'!$AZ:$BM,4,0))</f>
        <v>0.20143466653230446</v>
      </c>
      <c r="X56" s="73">
        <f>IF(VLOOKUP($T56,'Performance Pivot'!$AZ:$BM,5,0)="","",VLOOKUP($T56,'Performance Pivot'!$AZ:$BM,5,0))</f>
        <v>0.18208898837802381</v>
      </c>
      <c r="Y56" s="73" t="str">
        <f>IF(VLOOKUP($T56,'Performance Pivot'!$AZ:$BM,6,0)="","",VLOOKUP($T56,'Performance Pivot'!$AZ:$BM,6,0))</f>
        <v/>
      </c>
      <c r="Z56" s="73" t="str">
        <f>IF(VLOOKUP($T56,'Performance Pivot'!$AZ:$BM,7,0)="","",VLOOKUP($T56,'Performance Pivot'!$AZ:$BM,7,0))</f>
        <v/>
      </c>
      <c r="AA56" s="73" t="str">
        <f>IF(VLOOKUP($T56,'Performance Pivot'!$AZ:$BM,8,0)="","",VLOOKUP($T56,'Performance Pivot'!$AZ:$BM,8,0))</f>
        <v/>
      </c>
      <c r="AB56" s="73" t="str">
        <f>IF(VLOOKUP($T56,'Performance Pivot'!$AZ:$BM,9,0)="","",VLOOKUP($T56,'Performance Pivot'!$AZ:$BM,9,0))</f>
        <v/>
      </c>
      <c r="AC56" s="73" t="str">
        <f>IF(VLOOKUP($T56,'Performance Pivot'!$AZ:$BM,10,0)="","",VLOOKUP($T56,'Performance Pivot'!$AZ:$BM,10,0))</f>
        <v/>
      </c>
      <c r="AD56" s="73" t="str">
        <f>IF(VLOOKUP($T56,'Performance Pivot'!$AZ:$BM,11,0)="","",VLOOKUP($T56,'Performance Pivot'!$AZ:$BM,11,0))</f>
        <v/>
      </c>
      <c r="AE56" s="73" t="str">
        <f>IF(VLOOKUP($T56,'Performance Pivot'!$AZ:$BM,12,0)="","",VLOOKUP($T56,'Performance Pivot'!$AZ:$BM,12,0))</f>
        <v/>
      </c>
      <c r="AF56" s="73" t="str">
        <f>IF(VLOOKUP($T56,'Performance Pivot'!$AZ:$BM,13,0)="","",VLOOKUP($T56,'Performance Pivot'!$AZ:$BM,13,0))</f>
        <v/>
      </c>
      <c r="AG56" s="73" t="str">
        <f>IF(VLOOKUP($T56,'Performance Pivot'!$AZ:$BM,14,0)="","",VLOOKUP($T56,'Performance Pivot'!$AZ:$BM,14,0))</f>
        <v/>
      </c>
      <c r="AH56" s="73" t="str">
        <f>IF(VLOOKUP($T56,'Performance Pivot'!$AZ:$BN,15,0)="","",VLOOKUP($T56,'Performance Pivot'!$AZ:$BN,15,0))</f>
        <v/>
      </c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</row>
    <row r="57" spans="3:47" s="74" customFormat="1" ht="21" customHeight="1">
      <c r="C57" s="71">
        <f t="shared" si="4"/>
        <v>41852</v>
      </c>
      <c r="D57" s="73">
        <f>IF(VLOOKUP($C57,'Performance Pivot'!$AI:$AV,2,0)="","",VLOOKUP($C57,'Performance Pivot'!$AI:$AV,2,0))</f>
        <v>0.03</v>
      </c>
      <c r="E57" s="73">
        <f>IF(VLOOKUP($C57,'Performance Pivot'!$AI:$AV,3,0)="","",VLOOKUP($C57,'Performance Pivot'!$AI:$AV,3,0))</f>
        <v>0.01</v>
      </c>
      <c r="F57" s="73">
        <f>IF(VLOOKUP($C57,'Performance Pivot'!$AI:$AV,4,0)="","",VLOOKUP($C57,'Performance Pivot'!$AI:$AV,4,0))</f>
        <v>0</v>
      </c>
      <c r="G57" s="73">
        <f>IF(VLOOKUP($C57,'Performance Pivot'!$AI:$AV,5,0)="","",VLOOKUP($C57,'Performance Pivot'!$AI:$AV,5,0))</f>
        <v>0</v>
      </c>
      <c r="H57" s="73" t="str">
        <f>IF(VLOOKUP($C57,'Performance Pivot'!$AI:$AV,6,0)="","",VLOOKUP($C57,'Performance Pivot'!$AI:$AV,6,0))</f>
        <v/>
      </c>
      <c r="I57" s="73" t="str">
        <f>IF(VLOOKUP($C57,'Performance Pivot'!$AI:$AV,7,0)="","",VLOOKUP($C57,'Performance Pivot'!$AI:$AV,7,0))</f>
        <v/>
      </c>
      <c r="J57" s="73" t="str">
        <f>IF(VLOOKUP($C57,'Performance Pivot'!$AI:$AV,8,0)="","",VLOOKUP($C57,'Performance Pivot'!$AI:$AV,8,0))</f>
        <v/>
      </c>
      <c r="K57" s="73" t="str">
        <f>IF(VLOOKUP($C57,'Performance Pivot'!$AI:$AV,9,0)="","",VLOOKUP($C57,'Performance Pivot'!$AI:$AV,9,0))</f>
        <v/>
      </c>
      <c r="L57" s="73" t="str">
        <f>IF(VLOOKUP($C57,'Performance Pivot'!$AI:$AV,10,0)="","",VLOOKUP($C57,'Performance Pivot'!$AI:$AV,10,0))</f>
        <v/>
      </c>
      <c r="M57" s="73" t="str">
        <f>IF(VLOOKUP($C57,'Performance Pivot'!$AI:$AV,11,0)="","",VLOOKUP($C57,'Performance Pivot'!$AI:$AV,11,0))</f>
        <v/>
      </c>
      <c r="N57" s="73" t="str">
        <f>IF(VLOOKUP($C57,'Performance Pivot'!$AI:$AV,12,0)="","",VLOOKUP($C57,'Performance Pivot'!$AI:$AV,12,0))</f>
        <v/>
      </c>
      <c r="O57" s="73"/>
      <c r="P57" s="73" t="str">
        <f>IF(VLOOKUP($C57,'Performance Pivot'!$AI:$AV,13,0)="","",VLOOKUP($C57,'Performance Pivot'!$AI:$AV,13,0))</f>
        <v/>
      </c>
      <c r="Q57" s="73" t="str">
        <f>IF(VLOOKUP($C57,'Performance Pivot'!$AI:$AW,15,0)="","",VLOOKUP($C57,'Performance Pivot'!$AI:$AW,15,0))</f>
        <v/>
      </c>
      <c r="R57" s="52"/>
      <c r="S57" s="52"/>
      <c r="T57" s="92">
        <f t="shared" si="5"/>
        <v>41852</v>
      </c>
      <c r="U57" s="73">
        <f>IF(VLOOKUP($T57,'Performance Pivot'!$AZ:$BM,2,0)="","",VLOOKUP($T57,'Performance Pivot'!$AZ:$BM,2,0))</f>
        <v>0.21560240739019682</v>
      </c>
      <c r="V57" s="73">
        <f>IF(VLOOKUP($T57,'Performance Pivot'!$AZ:$BM,3,0)="","",VLOOKUP($T57,'Performance Pivot'!$AZ:$BM,3,0))</f>
        <v>0.22033305485722382</v>
      </c>
      <c r="W57" s="73">
        <f>IF(VLOOKUP($T57,'Performance Pivot'!$AZ:$BM,4,0)="","",VLOOKUP($T57,'Performance Pivot'!$AZ:$BM,4,0))</f>
        <v>0.21581050002306207</v>
      </c>
      <c r="X57" s="73">
        <f>IF(VLOOKUP($T57,'Performance Pivot'!$AZ:$BM,5,0)="","",VLOOKUP($T57,'Performance Pivot'!$AZ:$BM,5,0))</f>
        <v>0.17616131435823859</v>
      </c>
      <c r="Y57" s="73" t="str">
        <f>IF(VLOOKUP($T57,'Performance Pivot'!$AZ:$BM,6,0)="","",VLOOKUP($T57,'Performance Pivot'!$AZ:$BM,6,0))</f>
        <v/>
      </c>
      <c r="Z57" s="73" t="str">
        <f>IF(VLOOKUP($T57,'Performance Pivot'!$AZ:$BM,7,0)="","",VLOOKUP($T57,'Performance Pivot'!$AZ:$BM,7,0))</f>
        <v/>
      </c>
      <c r="AA57" s="73" t="str">
        <f>IF(VLOOKUP($T57,'Performance Pivot'!$AZ:$BM,8,0)="","",VLOOKUP($T57,'Performance Pivot'!$AZ:$BM,8,0))</f>
        <v/>
      </c>
      <c r="AB57" s="73" t="str">
        <f>IF(VLOOKUP($T57,'Performance Pivot'!$AZ:$BM,9,0)="","",VLOOKUP($T57,'Performance Pivot'!$AZ:$BM,9,0))</f>
        <v/>
      </c>
      <c r="AC57" s="73" t="str">
        <f>IF(VLOOKUP($T57,'Performance Pivot'!$AZ:$BM,10,0)="","",VLOOKUP($T57,'Performance Pivot'!$AZ:$BM,10,0))</f>
        <v/>
      </c>
      <c r="AD57" s="73" t="str">
        <f>IF(VLOOKUP($T57,'Performance Pivot'!$AZ:$BM,11,0)="","",VLOOKUP($T57,'Performance Pivot'!$AZ:$BM,11,0))</f>
        <v/>
      </c>
      <c r="AE57" s="73" t="str">
        <f>IF(VLOOKUP($T57,'Performance Pivot'!$AZ:$BM,12,0)="","",VLOOKUP($T57,'Performance Pivot'!$AZ:$BM,12,0))</f>
        <v/>
      </c>
      <c r="AF57" s="73" t="str">
        <f>IF(VLOOKUP($T57,'Performance Pivot'!$AZ:$BM,13,0)="","",VLOOKUP($T57,'Performance Pivot'!$AZ:$BM,13,0))</f>
        <v/>
      </c>
      <c r="AG57" s="73" t="str">
        <f>IF(VLOOKUP($T57,'Performance Pivot'!$AZ:$BM,14,0)="","",VLOOKUP($T57,'Performance Pivot'!$AZ:$BM,14,0))</f>
        <v/>
      </c>
      <c r="AH57" s="73" t="str">
        <f>IF(VLOOKUP($T57,'Performance Pivot'!$AZ:$BN,15,0)="","",VLOOKUP($T57,'Performance Pivot'!$AZ:$BN,15,0))</f>
        <v/>
      </c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</row>
    <row r="58" spans="3:47" s="74" customFormat="1" ht="21" customHeight="1">
      <c r="C58" s="71">
        <f t="shared" si="4"/>
        <v>41883</v>
      </c>
      <c r="D58" s="73">
        <f>IF(VLOOKUP($C58,'Performance Pivot'!$AI:$AV,2,0)="","",VLOOKUP($C58,'Performance Pivot'!$AI:$AV,2,0))</f>
        <v>0.03</v>
      </c>
      <c r="E58" s="73">
        <f>IF(VLOOKUP($C58,'Performance Pivot'!$AI:$AV,3,0)="","",VLOOKUP($C58,'Performance Pivot'!$AI:$AV,3,0))</f>
        <v>0.01</v>
      </c>
      <c r="F58" s="73">
        <f>IF(VLOOKUP($C58,'Performance Pivot'!$AI:$AV,4,0)="","",VLOOKUP($C58,'Performance Pivot'!$AI:$AV,4,0))</f>
        <v>0</v>
      </c>
      <c r="G58" s="73">
        <f>IF(VLOOKUP($C58,'Performance Pivot'!$AI:$AV,5,0)="","",VLOOKUP($C58,'Performance Pivot'!$AI:$AV,5,0))</f>
        <v>0</v>
      </c>
      <c r="H58" s="73">
        <f>IF(VLOOKUP($C58,'Performance Pivot'!$AI:$AV,6,0)="","",VLOOKUP($C58,'Performance Pivot'!$AI:$AV,6,0))</f>
        <v>0</v>
      </c>
      <c r="I58" s="73" t="str">
        <f>IF(VLOOKUP($C58,'Performance Pivot'!$AI:$AV,7,0)="","",VLOOKUP($C58,'Performance Pivot'!$AI:$AV,7,0))</f>
        <v/>
      </c>
      <c r="J58" s="73">
        <f>IF(VLOOKUP($C58,'Performance Pivot'!$AI:$AV,8,0)="","",VLOOKUP($C58,'Performance Pivot'!$AI:$AV,8,0))</f>
        <v>0</v>
      </c>
      <c r="K58" s="73" t="str">
        <f>IF(VLOOKUP($C58,'Performance Pivot'!$AI:$AV,9,0)="","",VLOOKUP($C58,'Performance Pivot'!$AI:$AV,9,0))</f>
        <v/>
      </c>
      <c r="L58" s="73" t="str">
        <f>IF(VLOOKUP($C58,'Performance Pivot'!$AI:$AV,10,0)="","",VLOOKUP($C58,'Performance Pivot'!$AI:$AV,10,0))</f>
        <v/>
      </c>
      <c r="M58" s="73" t="str">
        <f>IF(VLOOKUP($C58,'Performance Pivot'!$AI:$AV,11,0)="","",VLOOKUP($C58,'Performance Pivot'!$AI:$AV,11,0))</f>
        <v/>
      </c>
      <c r="N58" s="73" t="str">
        <f>IF(VLOOKUP($C58,'Performance Pivot'!$AI:$AV,12,0)="","",VLOOKUP($C58,'Performance Pivot'!$AI:$AV,12,0))</f>
        <v/>
      </c>
      <c r="O58" s="73"/>
      <c r="P58" s="73" t="str">
        <f>IF(VLOOKUP($C58,'Performance Pivot'!$AI:$AV,13,0)="","",VLOOKUP($C58,'Performance Pivot'!$AI:$AV,13,0))</f>
        <v/>
      </c>
      <c r="Q58" s="73" t="str">
        <f>IF(VLOOKUP($C58,'Performance Pivot'!$AI:$AW,15,0)="","",VLOOKUP($C58,'Performance Pivot'!$AI:$AW,15,0))</f>
        <v/>
      </c>
      <c r="R58" s="52"/>
      <c r="S58" s="52"/>
      <c r="T58" s="92">
        <f t="shared" si="5"/>
        <v>41883</v>
      </c>
      <c r="U58" s="73">
        <f>IF(VLOOKUP($T58,'Performance Pivot'!$AZ:$BM,2,0)="","",VLOOKUP($T58,'Performance Pivot'!$AZ:$BM,2,0))</f>
        <v>0.25542416057138134</v>
      </c>
      <c r="V58" s="73">
        <f>IF(VLOOKUP($T58,'Performance Pivot'!$AZ:$BM,3,0)="","",VLOOKUP($T58,'Performance Pivot'!$AZ:$BM,3,0))</f>
        <v>0.25588074191332272</v>
      </c>
      <c r="W58" s="73">
        <f>IF(VLOOKUP($T58,'Performance Pivot'!$AZ:$BM,4,0)="","",VLOOKUP($T58,'Performance Pivot'!$AZ:$BM,4,0))</f>
        <v>0.24979319116369261</v>
      </c>
      <c r="X58" s="73">
        <f>IF(VLOOKUP($T58,'Performance Pivot'!$AZ:$BM,5,0)="","",VLOOKUP($T58,'Performance Pivot'!$AZ:$BM,5,0))</f>
        <v>0.22266552669020317</v>
      </c>
      <c r="Y58" s="73">
        <f>IF(VLOOKUP($T58,'Performance Pivot'!$AZ:$BM,6,0)="","",VLOOKUP($T58,'Performance Pivot'!$AZ:$BM,6,0))</f>
        <v>0.21082719591117319</v>
      </c>
      <c r="Z58" s="73" t="str">
        <f>IF(VLOOKUP($T58,'Performance Pivot'!$AZ:$BM,7,0)="","",VLOOKUP($T58,'Performance Pivot'!$AZ:$BM,7,0))</f>
        <v/>
      </c>
      <c r="AA58" s="73">
        <f>IF(VLOOKUP($T58,'Performance Pivot'!$AZ:$BM,8,0)="","",VLOOKUP($T58,'Performance Pivot'!$AZ:$BM,8,0))</f>
        <v>0.2585069724187341</v>
      </c>
      <c r="AB58" s="73" t="str">
        <f>IF(VLOOKUP($T58,'Performance Pivot'!$AZ:$BM,9,0)="","",VLOOKUP($T58,'Performance Pivot'!$AZ:$BM,9,0))</f>
        <v/>
      </c>
      <c r="AC58" s="73" t="str">
        <f>IF(VLOOKUP($T58,'Performance Pivot'!$AZ:$BM,10,0)="","",VLOOKUP($T58,'Performance Pivot'!$AZ:$BM,10,0))</f>
        <v/>
      </c>
      <c r="AD58" s="73" t="str">
        <f>IF(VLOOKUP($T58,'Performance Pivot'!$AZ:$BM,11,0)="","",VLOOKUP($T58,'Performance Pivot'!$AZ:$BM,11,0))</f>
        <v/>
      </c>
      <c r="AE58" s="73" t="str">
        <f>IF(VLOOKUP($T58,'Performance Pivot'!$AZ:$BM,12,0)="","",VLOOKUP($T58,'Performance Pivot'!$AZ:$BM,12,0))</f>
        <v/>
      </c>
      <c r="AF58" s="73" t="str">
        <f>IF(VLOOKUP($T58,'Performance Pivot'!$AZ:$BM,13,0)="","",VLOOKUP($T58,'Performance Pivot'!$AZ:$BM,13,0))</f>
        <v/>
      </c>
      <c r="AG58" s="73" t="str">
        <f>IF(VLOOKUP($T58,'Performance Pivot'!$AZ:$BM,14,0)="","",VLOOKUP($T58,'Performance Pivot'!$AZ:$BM,14,0))</f>
        <v/>
      </c>
      <c r="AH58" s="73" t="str">
        <f>IF(VLOOKUP($T58,'Performance Pivot'!$AZ:$BN,15,0)="","",VLOOKUP($T58,'Performance Pivot'!$AZ:$BN,15,0))</f>
        <v/>
      </c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</row>
    <row r="59" spans="3:47" s="74" customFormat="1" ht="21" customHeight="1">
      <c r="C59" s="71">
        <f t="shared" si="4"/>
        <v>41913</v>
      </c>
      <c r="D59" s="73">
        <f>IF(VLOOKUP($C59,'Performance Pivot'!$AI:$AV,2,0)="","",VLOOKUP($C59,'Performance Pivot'!$AI:$AV,2,0))</f>
        <v>0.03</v>
      </c>
      <c r="E59" s="73">
        <f>IF(VLOOKUP($C59,'Performance Pivot'!$AI:$AV,3,0)="","",VLOOKUP($C59,'Performance Pivot'!$AI:$AV,3,0))</f>
        <v>0.01</v>
      </c>
      <c r="F59" s="73">
        <f>IF(VLOOKUP($C59,'Performance Pivot'!$AI:$AV,4,0)="","",VLOOKUP($C59,'Performance Pivot'!$AI:$AV,4,0))</f>
        <v>0.01</v>
      </c>
      <c r="G59" s="73">
        <f>IF(VLOOKUP($C59,'Performance Pivot'!$AI:$AV,5,0)="","",VLOOKUP($C59,'Performance Pivot'!$AI:$AV,5,0))</f>
        <v>0</v>
      </c>
      <c r="H59" s="73">
        <f>IF(VLOOKUP($C59,'Performance Pivot'!$AI:$AV,6,0)="","",VLOOKUP($C59,'Performance Pivot'!$AI:$AV,6,0))</f>
        <v>0</v>
      </c>
      <c r="I59" s="73">
        <f>IF(VLOOKUP($C59,'Performance Pivot'!$AI:$AV,7,0)="","",VLOOKUP($C59,'Performance Pivot'!$AI:$AV,7,0))</f>
        <v>0</v>
      </c>
      <c r="J59" s="73">
        <f>IF(VLOOKUP($C59,'Performance Pivot'!$AI:$AV,8,0)="","",VLOOKUP($C59,'Performance Pivot'!$AI:$AV,8,0))</f>
        <v>0</v>
      </c>
      <c r="K59" s="73">
        <f>IF(VLOOKUP($C59,'Performance Pivot'!$AI:$AV,9,0)="","",VLOOKUP($C59,'Performance Pivot'!$AI:$AV,9,0))</f>
        <v>0</v>
      </c>
      <c r="L59" s="73">
        <f>IF(VLOOKUP($C59,'Performance Pivot'!$AI:$AV,10,0)="","",VLOOKUP($C59,'Performance Pivot'!$AI:$AV,10,0))</f>
        <v>0</v>
      </c>
      <c r="M59" s="73" t="str">
        <f>IF(VLOOKUP($C59,'Performance Pivot'!$AI:$AV,11,0)="","",VLOOKUP($C59,'Performance Pivot'!$AI:$AV,11,0))</f>
        <v/>
      </c>
      <c r="N59" s="73" t="str">
        <f>IF(VLOOKUP($C59,'Performance Pivot'!$AI:$AV,12,0)="","",VLOOKUP($C59,'Performance Pivot'!$AI:$AV,12,0))</f>
        <v/>
      </c>
      <c r="O59" s="73"/>
      <c r="P59" s="73" t="str">
        <f>IF(VLOOKUP($C59,'Performance Pivot'!$AI:$AV,13,0)="","",VLOOKUP($C59,'Performance Pivot'!$AI:$AV,13,0))</f>
        <v/>
      </c>
      <c r="Q59" s="73" t="str">
        <f>IF(VLOOKUP($C59,'Performance Pivot'!$AI:$AW,15,0)="","",VLOOKUP($C59,'Performance Pivot'!$AI:$AW,15,0))</f>
        <v/>
      </c>
      <c r="R59" s="52"/>
      <c r="S59" s="52"/>
      <c r="T59" s="92">
        <f t="shared" si="5"/>
        <v>41913</v>
      </c>
      <c r="U59" s="73">
        <f>IF(VLOOKUP($T59,'Performance Pivot'!$AZ:$BM,2,0)="","",VLOOKUP($T59,'Performance Pivot'!$AZ:$BM,2,0))</f>
        <v>0.24275132011593953</v>
      </c>
      <c r="V59" s="73">
        <f>IF(VLOOKUP($T59,'Performance Pivot'!$AZ:$BM,3,0)="","",VLOOKUP($T59,'Performance Pivot'!$AZ:$BM,3,0))</f>
        <v>0.25020117939070796</v>
      </c>
      <c r="W59" s="73">
        <f>IF(VLOOKUP($T59,'Performance Pivot'!$AZ:$BM,4,0)="","",VLOOKUP($T59,'Performance Pivot'!$AZ:$BM,4,0))</f>
        <v>0.24241376279594706</v>
      </c>
      <c r="X59" s="73">
        <f>IF(VLOOKUP($T59,'Performance Pivot'!$AZ:$BM,5,0)="","",VLOOKUP($T59,'Performance Pivot'!$AZ:$BM,5,0))</f>
        <v>0.23712214274615984</v>
      </c>
      <c r="Y59" s="73">
        <f>IF(VLOOKUP($T59,'Performance Pivot'!$AZ:$BM,6,0)="","",VLOOKUP($T59,'Performance Pivot'!$AZ:$BM,6,0))</f>
        <v>0.25311011972253472</v>
      </c>
      <c r="Z59" s="73">
        <f>IF(VLOOKUP($T59,'Performance Pivot'!$AZ:$BM,7,0)="","",VLOOKUP($T59,'Performance Pivot'!$AZ:$BM,7,0))</f>
        <v>0.18931953044147801</v>
      </c>
      <c r="AA59" s="73">
        <f>IF(VLOOKUP($T59,'Performance Pivot'!$AZ:$BM,8,0)="","",VLOOKUP($T59,'Performance Pivot'!$AZ:$BM,8,0))</f>
        <v>0.30410772953407122</v>
      </c>
      <c r="AB59" s="73">
        <f>IF(VLOOKUP($T59,'Performance Pivot'!$AZ:$BM,9,0)="","",VLOOKUP($T59,'Performance Pivot'!$AZ:$BM,9,0))</f>
        <v>0.19376712761330969</v>
      </c>
      <c r="AC59" s="73">
        <f>IF(VLOOKUP($T59,'Performance Pivot'!$AZ:$BM,10,0)="","",VLOOKUP($T59,'Performance Pivot'!$AZ:$BM,10,0))</f>
        <v>0.16508230928247042</v>
      </c>
      <c r="AD59" s="73" t="str">
        <f>IF(VLOOKUP($T59,'Performance Pivot'!$AZ:$BM,11,0)="","",VLOOKUP($T59,'Performance Pivot'!$AZ:$BM,11,0))</f>
        <v/>
      </c>
      <c r="AE59" s="73" t="str">
        <f>IF(VLOOKUP($T59,'Performance Pivot'!$AZ:$BM,12,0)="","",VLOOKUP($T59,'Performance Pivot'!$AZ:$BM,12,0))</f>
        <v/>
      </c>
      <c r="AF59" s="73" t="str">
        <f>IF(VLOOKUP($T59,'Performance Pivot'!$AZ:$BM,13,0)="","",VLOOKUP($T59,'Performance Pivot'!$AZ:$BM,13,0))</f>
        <v/>
      </c>
      <c r="AG59" s="73" t="str">
        <f>IF(VLOOKUP($T59,'Performance Pivot'!$AZ:$BM,14,0)="","",VLOOKUP($T59,'Performance Pivot'!$AZ:$BM,14,0))</f>
        <v/>
      </c>
      <c r="AH59" s="73" t="str">
        <f>IF(VLOOKUP($T59,'Performance Pivot'!$AZ:$BN,15,0)="","",VLOOKUP($T59,'Performance Pivot'!$AZ:$BN,15,0))</f>
        <v/>
      </c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</row>
    <row r="60" spans="3:47" s="74" customFormat="1" ht="21" customHeight="1">
      <c r="C60" s="71">
        <f t="shared" si="4"/>
        <v>41944</v>
      </c>
      <c r="D60" s="73">
        <f>IF(VLOOKUP($C60,'Performance Pivot'!$AI:$AV,2,0)="","",VLOOKUP($C60,'Performance Pivot'!$AI:$AV,2,0))</f>
        <v>0.04</v>
      </c>
      <c r="E60" s="73">
        <f>IF(VLOOKUP($C60,'Performance Pivot'!$AI:$AV,3,0)="","",VLOOKUP($C60,'Performance Pivot'!$AI:$AV,3,0))</f>
        <v>0.02</v>
      </c>
      <c r="F60" s="73">
        <f>IF(VLOOKUP($C60,'Performance Pivot'!$AI:$AV,4,0)="","",VLOOKUP($C60,'Performance Pivot'!$AI:$AV,4,0))</f>
        <v>0.01</v>
      </c>
      <c r="G60" s="73">
        <f>IF(VLOOKUP($C60,'Performance Pivot'!$AI:$AV,5,0)="","",VLOOKUP($C60,'Performance Pivot'!$AI:$AV,5,0))</f>
        <v>0.01</v>
      </c>
      <c r="H60" s="73">
        <f>IF(VLOOKUP($C60,'Performance Pivot'!$AI:$AV,6,0)="","",VLOOKUP($C60,'Performance Pivot'!$AI:$AV,6,0))</f>
        <v>0</v>
      </c>
      <c r="I60" s="73">
        <f>IF(VLOOKUP($C60,'Performance Pivot'!$AI:$AV,7,0)="","",VLOOKUP($C60,'Performance Pivot'!$AI:$AV,7,0))</f>
        <v>0</v>
      </c>
      <c r="J60" s="73">
        <f>IF(VLOOKUP($C60,'Performance Pivot'!$AI:$AV,8,0)="","",VLOOKUP($C60,'Performance Pivot'!$AI:$AV,8,0))</f>
        <v>0</v>
      </c>
      <c r="K60" s="73">
        <f>IF(VLOOKUP($C60,'Performance Pivot'!$AI:$AV,9,0)="","",VLOOKUP($C60,'Performance Pivot'!$AI:$AV,9,0))</f>
        <v>0</v>
      </c>
      <c r="L60" s="73">
        <f>IF(VLOOKUP($C60,'Performance Pivot'!$AI:$AV,10,0)="","",VLOOKUP($C60,'Performance Pivot'!$AI:$AV,10,0))</f>
        <v>0</v>
      </c>
      <c r="M60" s="73" t="str">
        <f>IF(VLOOKUP($C60,'Performance Pivot'!$AI:$AV,11,0)="","",VLOOKUP($C60,'Performance Pivot'!$AI:$AV,11,0))</f>
        <v/>
      </c>
      <c r="N60" s="73" t="str">
        <f>IF(VLOOKUP($C60,'Performance Pivot'!$AI:$AV,12,0)="","",VLOOKUP($C60,'Performance Pivot'!$AI:$AV,12,0))</f>
        <v/>
      </c>
      <c r="O60" s="73"/>
      <c r="P60" s="73" t="str">
        <f>IF(VLOOKUP($C60,'Performance Pivot'!$AI:$AV,13,0)="","",VLOOKUP($C60,'Performance Pivot'!$AI:$AV,13,0))</f>
        <v/>
      </c>
      <c r="Q60" s="73" t="str">
        <f>IF(VLOOKUP($C60,'Performance Pivot'!$AI:$AW,15,0)="","",VLOOKUP($C60,'Performance Pivot'!$AI:$AW,15,0))</f>
        <v/>
      </c>
      <c r="R60" s="52"/>
      <c r="S60" s="52"/>
      <c r="T60" s="92">
        <f t="shared" si="5"/>
        <v>41944</v>
      </c>
      <c r="U60" s="73">
        <f>IF(VLOOKUP($T60,'Performance Pivot'!$AZ:$BM,2,0)="","",VLOOKUP($T60,'Performance Pivot'!$AZ:$BM,2,0))</f>
        <v>0.22489332233445741</v>
      </c>
      <c r="V60" s="73">
        <f>IF(VLOOKUP($T60,'Performance Pivot'!$AZ:$BM,3,0)="","",VLOOKUP($T60,'Performance Pivot'!$AZ:$BM,3,0))</f>
        <v>0.21441935921246272</v>
      </c>
      <c r="W60" s="73">
        <f>IF(VLOOKUP($T60,'Performance Pivot'!$AZ:$BM,4,0)="","",VLOOKUP($T60,'Performance Pivot'!$AZ:$BM,4,0))</f>
        <v>0.19412218212618684</v>
      </c>
      <c r="X60" s="73">
        <f>IF(VLOOKUP($T60,'Performance Pivot'!$AZ:$BM,5,0)="","",VLOOKUP($T60,'Performance Pivot'!$AZ:$BM,5,0))</f>
        <v>0.2269243128545389</v>
      </c>
      <c r="Y60" s="73">
        <f>IF(VLOOKUP($T60,'Performance Pivot'!$AZ:$BM,6,0)="","",VLOOKUP($T60,'Performance Pivot'!$AZ:$BM,6,0))</f>
        <v>0.25227434101727159</v>
      </c>
      <c r="Z60" s="73">
        <f>IF(VLOOKUP($T60,'Performance Pivot'!$AZ:$BM,7,0)="","",VLOOKUP($T60,'Performance Pivot'!$AZ:$BM,7,0))</f>
        <v>0.17013657980666155</v>
      </c>
      <c r="AA60" s="73">
        <f>IF(VLOOKUP($T60,'Performance Pivot'!$AZ:$BM,8,0)="","",VLOOKUP($T60,'Performance Pivot'!$AZ:$BM,8,0))</f>
        <v>0.34783031195635072</v>
      </c>
      <c r="AB60" s="73">
        <f>IF(VLOOKUP($T60,'Performance Pivot'!$AZ:$BM,9,0)="","",VLOOKUP($T60,'Performance Pivot'!$AZ:$BM,9,0))</f>
        <v>0.18158945598182616</v>
      </c>
      <c r="AC60" s="73">
        <f>IF(VLOOKUP($T60,'Performance Pivot'!$AZ:$BM,10,0)="","",VLOOKUP($T60,'Performance Pivot'!$AZ:$BM,10,0))</f>
        <v>0.17848004850710344</v>
      </c>
      <c r="AD60" s="73" t="str">
        <f>IF(VLOOKUP($T60,'Performance Pivot'!$AZ:$BM,11,0)="","",VLOOKUP($T60,'Performance Pivot'!$AZ:$BM,11,0))</f>
        <v/>
      </c>
      <c r="AE60" s="73" t="str">
        <f>IF(VLOOKUP($T60,'Performance Pivot'!$AZ:$BM,12,0)="","",VLOOKUP($T60,'Performance Pivot'!$AZ:$BM,12,0))</f>
        <v/>
      </c>
      <c r="AF60" s="73" t="str">
        <f>IF(VLOOKUP($T60,'Performance Pivot'!$AZ:$BM,13,0)="","",VLOOKUP($T60,'Performance Pivot'!$AZ:$BM,13,0))</f>
        <v/>
      </c>
      <c r="AG60" s="73" t="str">
        <f>IF(VLOOKUP($T60,'Performance Pivot'!$AZ:$BM,14,0)="","",VLOOKUP($T60,'Performance Pivot'!$AZ:$BM,14,0))</f>
        <v/>
      </c>
      <c r="AH60" s="73" t="str">
        <f>IF(VLOOKUP($T60,'Performance Pivot'!$AZ:$BN,15,0)="","",VLOOKUP($T60,'Performance Pivot'!$AZ:$BN,15,0))</f>
        <v/>
      </c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</row>
    <row r="61" spans="3:47" s="74" customFormat="1" ht="21" customHeight="1">
      <c r="C61" s="71">
        <f t="shared" si="4"/>
        <v>41974</v>
      </c>
      <c r="D61" s="73">
        <f>IF(VLOOKUP($C61,'Performance Pivot'!$AI:$AV,2,0)="","",VLOOKUP($C61,'Performance Pivot'!$AI:$AV,2,0))</f>
        <v>0.04</v>
      </c>
      <c r="E61" s="73">
        <f>IF(VLOOKUP($C61,'Performance Pivot'!$AI:$AV,3,0)="","",VLOOKUP($C61,'Performance Pivot'!$AI:$AV,3,0))</f>
        <v>0.02</v>
      </c>
      <c r="F61" s="73">
        <f>IF(VLOOKUP($C61,'Performance Pivot'!$AI:$AV,4,0)="","",VLOOKUP($C61,'Performance Pivot'!$AI:$AV,4,0))</f>
        <v>0.01</v>
      </c>
      <c r="G61" s="73">
        <f>IF(VLOOKUP($C61,'Performance Pivot'!$AI:$AV,5,0)="","",VLOOKUP($C61,'Performance Pivot'!$AI:$AV,5,0))</f>
        <v>0.01</v>
      </c>
      <c r="H61" s="73">
        <f>IF(VLOOKUP($C61,'Performance Pivot'!$AI:$AV,6,0)="","",VLOOKUP($C61,'Performance Pivot'!$AI:$AV,6,0))</f>
        <v>0</v>
      </c>
      <c r="I61" s="73">
        <f>IF(VLOOKUP($C61,'Performance Pivot'!$AI:$AV,7,0)="","",VLOOKUP($C61,'Performance Pivot'!$AI:$AV,7,0))</f>
        <v>0</v>
      </c>
      <c r="J61" s="73">
        <f>IF(VLOOKUP($C61,'Performance Pivot'!$AI:$AV,8,0)="","",VLOOKUP($C61,'Performance Pivot'!$AI:$AV,8,0))</f>
        <v>0</v>
      </c>
      <c r="K61" s="73">
        <f>IF(VLOOKUP($C61,'Performance Pivot'!$AI:$AV,9,0)="","",VLOOKUP($C61,'Performance Pivot'!$AI:$AV,9,0))</f>
        <v>0</v>
      </c>
      <c r="L61" s="73">
        <f>IF(VLOOKUP($C61,'Performance Pivot'!$AI:$AV,10,0)="","",VLOOKUP($C61,'Performance Pivot'!$AI:$AV,10,0))</f>
        <v>0</v>
      </c>
      <c r="M61" s="73" t="str">
        <f>IF(VLOOKUP($C61,'Performance Pivot'!$AI:$AV,11,0)="","",VLOOKUP($C61,'Performance Pivot'!$AI:$AV,11,0))</f>
        <v/>
      </c>
      <c r="N61" s="73" t="str">
        <f>IF(VLOOKUP($C61,'Performance Pivot'!$AI:$AV,12,0)="","",VLOOKUP($C61,'Performance Pivot'!$AI:$AV,12,0))</f>
        <v/>
      </c>
      <c r="O61" s="73"/>
      <c r="P61" s="73" t="str">
        <f>IF(VLOOKUP($C61,'Performance Pivot'!$AI:$AV,13,0)="","",VLOOKUP($C61,'Performance Pivot'!$AI:$AV,13,0))</f>
        <v/>
      </c>
      <c r="Q61" s="73" t="str">
        <f>IF(VLOOKUP($C61,'Performance Pivot'!$AI:$AW,15,0)="","",VLOOKUP($C61,'Performance Pivot'!$AI:$AW,15,0))</f>
        <v/>
      </c>
      <c r="R61" s="52"/>
      <c r="S61" s="52"/>
      <c r="T61" s="92">
        <f t="shared" si="5"/>
        <v>41974</v>
      </c>
      <c r="U61" s="73">
        <f>IF(VLOOKUP($T61,'Performance Pivot'!$AZ:$BM,2,0)="","",VLOOKUP($T61,'Performance Pivot'!$AZ:$BM,2,0))</f>
        <v>0.31803855895726646</v>
      </c>
      <c r="V61" s="73">
        <f>IF(VLOOKUP($T61,'Performance Pivot'!$AZ:$BM,3,0)="","",VLOOKUP($T61,'Performance Pivot'!$AZ:$BM,3,0))</f>
        <v>0.31347728617816362</v>
      </c>
      <c r="W61" s="73">
        <f>IF(VLOOKUP($T61,'Performance Pivot'!$AZ:$BM,4,0)="","",VLOOKUP($T61,'Performance Pivot'!$AZ:$BM,4,0))</f>
        <v>0.31485687682515662</v>
      </c>
      <c r="X61" s="73">
        <f>IF(VLOOKUP($T61,'Performance Pivot'!$AZ:$BM,5,0)="","",VLOOKUP($T61,'Performance Pivot'!$AZ:$BM,5,0))</f>
        <v>0.35758023853357257</v>
      </c>
      <c r="Y61" s="73">
        <f>IF(VLOOKUP($T61,'Performance Pivot'!$AZ:$BM,6,0)="","",VLOOKUP($T61,'Performance Pivot'!$AZ:$BM,6,0))</f>
        <v>0.4074080480480709</v>
      </c>
      <c r="Z61" s="73">
        <f>IF(VLOOKUP($T61,'Performance Pivot'!$AZ:$BM,7,0)="","",VLOOKUP($T61,'Performance Pivot'!$AZ:$BM,7,0))</f>
        <v>0.3470244115626771</v>
      </c>
      <c r="AA61" s="73">
        <f>IF(VLOOKUP($T61,'Performance Pivot'!$AZ:$BM,8,0)="","",VLOOKUP($T61,'Performance Pivot'!$AZ:$BM,8,0))</f>
        <v>0.50756422980817784</v>
      </c>
      <c r="AB61" s="73">
        <f>IF(VLOOKUP($T61,'Performance Pivot'!$AZ:$BM,9,0)="","",VLOOKUP($T61,'Performance Pivot'!$AZ:$BM,9,0))</f>
        <v>0.3095696830582555</v>
      </c>
      <c r="AC61" s="73">
        <f>IF(VLOOKUP($T61,'Performance Pivot'!$AZ:$BM,10,0)="","",VLOOKUP($T61,'Performance Pivot'!$AZ:$BM,10,0))</f>
        <v>0.31661858557903494</v>
      </c>
      <c r="AD61" s="73" t="str">
        <f>IF(VLOOKUP($T61,'Performance Pivot'!$AZ:$BM,11,0)="","",VLOOKUP($T61,'Performance Pivot'!$AZ:$BM,11,0))</f>
        <v/>
      </c>
      <c r="AE61" s="73" t="str">
        <f>IF(VLOOKUP($T61,'Performance Pivot'!$AZ:$BM,12,0)="","",VLOOKUP($T61,'Performance Pivot'!$AZ:$BM,12,0))</f>
        <v/>
      </c>
      <c r="AF61" s="73" t="str">
        <f>IF(VLOOKUP($T61,'Performance Pivot'!$AZ:$BM,13,0)="","",VLOOKUP($T61,'Performance Pivot'!$AZ:$BM,13,0))</f>
        <v/>
      </c>
      <c r="AG61" s="73" t="str">
        <f>IF(VLOOKUP($T61,'Performance Pivot'!$AZ:$BM,14,0)="","",VLOOKUP($T61,'Performance Pivot'!$AZ:$BM,14,0))</f>
        <v/>
      </c>
      <c r="AH61" s="73" t="str">
        <f>IF(VLOOKUP($T61,'Performance Pivot'!$AZ:$BN,15,0)="","",VLOOKUP($T61,'Performance Pivot'!$AZ:$BN,15,0))</f>
        <v/>
      </c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</row>
    <row r="62" spans="3:47" s="74" customFormat="1" ht="21" customHeight="1">
      <c r="C62" s="71">
        <f t="shared" si="4"/>
        <v>42005</v>
      </c>
      <c r="D62" s="73">
        <f>IF(VLOOKUP($C62,'Performance Pivot'!$AI:$AV,2,0)="","",VLOOKUP($C62,'Performance Pivot'!$AI:$AV,2,0))</f>
        <v>0.05</v>
      </c>
      <c r="E62" s="73">
        <f>IF(VLOOKUP($C62,'Performance Pivot'!$AI:$AV,3,0)="","",VLOOKUP($C62,'Performance Pivot'!$AI:$AV,3,0))</f>
        <v>0.03</v>
      </c>
      <c r="F62" s="73">
        <f>IF(VLOOKUP($C62,'Performance Pivot'!$AI:$AV,4,0)="","",VLOOKUP($C62,'Performance Pivot'!$AI:$AV,4,0))</f>
        <v>0.02</v>
      </c>
      <c r="G62" s="73">
        <f>IF(VLOOKUP($C62,'Performance Pivot'!$AI:$AV,5,0)="","",VLOOKUP($C62,'Performance Pivot'!$AI:$AV,5,0))</f>
        <v>0.01</v>
      </c>
      <c r="H62" s="73">
        <f>IF(VLOOKUP($C62,'Performance Pivot'!$AI:$AV,6,0)="","",VLOOKUP($C62,'Performance Pivot'!$AI:$AV,6,0))</f>
        <v>0</v>
      </c>
      <c r="I62" s="73">
        <f>IF(VLOOKUP($C62,'Performance Pivot'!$AI:$AV,7,0)="","",VLOOKUP($C62,'Performance Pivot'!$AI:$AV,7,0))</f>
        <v>0</v>
      </c>
      <c r="J62" s="73">
        <f>IF(VLOOKUP($C62,'Performance Pivot'!$AI:$AV,8,0)="","",VLOOKUP($C62,'Performance Pivot'!$AI:$AV,8,0))</f>
        <v>0.02</v>
      </c>
      <c r="K62" s="73">
        <f>IF(VLOOKUP($C62,'Performance Pivot'!$AI:$AV,9,0)="","",VLOOKUP($C62,'Performance Pivot'!$AI:$AV,9,0))</f>
        <v>0</v>
      </c>
      <c r="L62" s="73">
        <f>IF(VLOOKUP($C62,'Performance Pivot'!$AI:$AV,10,0)="","",VLOOKUP($C62,'Performance Pivot'!$AI:$AV,10,0))</f>
        <v>0</v>
      </c>
      <c r="M62" s="73" t="str">
        <f>IF(VLOOKUP($C62,'Performance Pivot'!$AI:$AV,11,0)="","",VLOOKUP($C62,'Performance Pivot'!$AI:$AV,11,0))</f>
        <v/>
      </c>
      <c r="N62" s="73" t="str">
        <f>IF(VLOOKUP($C62,'Performance Pivot'!$AI:$AV,12,0)="","",VLOOKUP($C62,'Performance Pivot'!$AI:$AV,12,0))</f>
        <v/>
      </c>
      <c r="O62" s="73"/>
      <c r="P62" s="73" t="str">
        <f>IF(VLOOKUP($C62,'Performance Pivot'!$AI:$AV,13,0)="","",VLOOKUP($C62,'Performance Pivot'!$AI:$AV,13,0))</f>
        <v/>
      </c>
      <c r="Q62" s="73" t="str">
        <f>IF(VLOOKUP($C62,'Performance Pivot'!$AI:$AW,15,0)="","",VLOOKUP($C62,'Performance Pivot'!$AI:$AW,15,0))</f>
        <v/>
      </c>
      <c r="R62" s="52"/>
      <c r="S62" s="52"/>
      <c r="T62" s="92">
        <f t="shared" si="5"/>
        <v>42005</v>
      </c>
      <c r="U62" s="73">
        <f>IF(VLOOKUP($T62,'Performance Pivot'!$AZ:$BM,2,0)="","",VLOOKUP($T62,'Performance Pivot'!$AZ:$BM,2,0))</f>
        <v>0.24957979816172637</v>
      </c>
      <c r="V62" s="73">
        <f>IF(VLOOKUP($T62,'Performance Pivot'!$AZ:$BM,3,0)="","",VLOOKUP($T62,'Performance Pivot'!$AZ:$BM,3,0))</f>
        <v>0.24974412994088618</v>
      </c>
      <c r="W62" s="73">
        <f>IF(VLOOKUP($T62,'Performance Pivot'!$AZ:$BM,4,0)="","",VLOOKUP($T62,'Performance Pivot'!$AZ:$BM,4,0))</f>
        <v>0.247230211599758</v>
      </c>
      <c r="X62" s="73">
        <f>IF(VLOOKUP($T62,'Performance Pivot'!$AZ:$BM,5,0)="","",VLOOKUP($T62,'Performance Pivot'!$AZ:$BM,5,0))</f>
        <v>0.2864484797599246</v>
      </c>
      <c r="Y62" s="73">
        <f>IF(VLOOKUP($T62,'Performance Pivot'!$AZ:$BM,6,0)="","",VLOOKUP($T62,'Performance Pivot'!$AZ:$BM,6,0))</f>
        <v>0.36228581951395866</v>
      </c>
      <c r="Z62" s="73">
        <f>IF(VLOOKUP($T62,'Performance Pivot'!$AZ:$BM,7,0)="","",VLOOKUP($T62,'Performance Pivot'!$AZ:$BM,7,0))</f>
        <v>0.27193111410044274</v>
      </c>
      <c r="AA62" s="73">
        <f>IF(VLOOKUP($T62,'Performance Pivot'!$AZ:$BM,8,0)="","",VLOOKUP($T62,'Performance Pivot'!$AZ:$BM,8,0))</f>
        <v>0.41982281912949981</v>
      </c>
      <c r="AB62" s="73">
        <f>IF(VLOOKUP($T62,'Performance Pivot'!$AZ:$BM,9,0)="","",VLOOKUP($T62,'Performance Pivot'!$AZ:$BM,9,0))</f>
        <v>0.25716063952910667</v>
      </c>
      <c r="AC62" s="73">
        <f>IF(VLOOKUP($T62,'Performance Pivot'!$AZ:$BM,10,0)="","",VLOOKUP($T62,'Performance Pivot'!$AZ:$BM,10,0))</f>
        <v>0.33879402156854443</v>
      </c>
      <c r="AD62" s="73" t="str">
        <f>IF(VLOOKUP($T62,'Performance Pivot'!$AZ:$BM,11,0)="","",VLOOKUP($T62,'Performance Pivot'!$AZ:$BM,11,0))</f>
        <v/>
      </c>
      <c r="AE62" s="73" t="str">
        <f>IF(VLOOKUP($T62,'Performance Pivot'!$AZ:$BM,12,0)="","",VLOOKUP($T62,'Performance Pivot'!$AZ:$BM,12,0))</f>
        <v/>
      </c>
      <c r="AF62" s="73" t="str">
        <f>IF(VLOOKUP($T62,'Performance Pivot'!$AZ:$BM,13,0)="","",VLOOKUP($T62,'Performance Pivot'!$AZ:$BM,13,0))</f>
        <v/>
      </c>
      <c r="AG62" s="73" t="str">
        <f>IF(VLOOKUP($T62,'Performance Pivot'!$AZ:$BM,14,0)="","",VLOOKUP($T62,'Performance Pivot'!$AZ:$BM,14,0))</f>
        <v/>
      </c>
      <c r="AH62" s="73" t="str">
        <f>IF(VLOOKUP($T62,'Performance Pivot'!$AZ:$BN,15,0)="","",VLOOKUP($T62,'Performance Pivot'!$AZ:$BN,15,0))</f>
        <v/>
      </c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</row>
    <row r="63" spans="3:47" s="74" customFormat="1" ht="21" customHeight="1">
      <c r="C63" s="71">
        <f t="shared" si="4"/>
        <v>42036</v>
      </c>
      <c r="D63" s="73">
        <f>IF(VLOOKUP($C63,'Performance Pivot'!$AI:$AV,2,0)="","",VLOOKUP($C63,'Performance Pivot'!$AI:$AV,2,0))</f>
        <v>0.05</v>
      </c>
      <c r="E63" s="73">
        <f>IF(VLOOKUP($C63,'Performance Pivot'!$AI:$AV,3,0)="","",VLOOKUP($C63,'Performance Pivot'!$AI:$AV,3,0))</f>
        <v>0.03</v>
      </c>
      <c r="F63" s="73">
        <f>IF(VLOOKUP($C63,'Performance Pivot'!$AI:$AV,4,0)="","",VLOOKUP($C63,'Performance Pivot'!$AI:$AV,4,0))</f>
        <v>0.02</v>
      </c>
      <c r="G63" s="73">
        <f>IF(VLOOKUP($C63,'Performance Pivot'!$AI:$AV,5,0)="","",VLOOKUP($C63,'Performance Pivot'!$AI:$AV,5,0))</f>
        <v>0.01</v>
      </c>
      <c r="H63" s="73">
        <f>IF(VLOOKUP($C63,'Performance Pivot'!$AI:$AV,6,0)="","",VLOOKUP($C63,'Performance Pivot'!$AI:$AV,6,0))</f>
        <v>0</v>
      </c>
      <c r="I63" s="73">
        <f>IF(VLOOKUP($C63,'Performance Pivot'!$AI:$AV,7,0)="","",VLOOKUP($C63,'Performance Pivot'!$AI:$AV,7,0))</f>
        <v>0</v>
      </c>
      <c r="J63" s="73">
        <f>IF(VLOOKUP($C63,'Performance Pivot'!$AI:$AV,8,0)="","",VLOOKUP($C63,'Performance Pivot'!$AI:$AV,8,0))</f>
        <v>0.02</v>
      </c>
      <c r="K63" s="73">
        <f>IF(VLOOKUP($C63,'Performance Pivot'!$AI:$AV,9,0)="","",VLOOKUP($C63,'Performance Pivot'!$AI:$AV,9,0))</f>
        <v>0</v>
      </c>
      <c r="L63" s="73">
        <f>IF(VLOOKUP($C63,'Performance Pivot'!$AI:$AV,10,0)="","",VLOOKUP($C63,'Performance Pivot'!$AI:$AV,10,0))</f>
        <v>0</v>
      </c>
      <c r="M63" s="73">
        <f>IF(VLOOKUP($C63,'Performance Pivot'!$AI:$AV,11,0)="","",VLOOKUP($C63,'Performance Pivot'!$AI:$AV,11,0))</f>
        <v>0</v>
      </c>
      <c r="N63" s="73" t="str">
        <f>IF(VLOOKUP($C63,'Performance Pivot'!$AI:$AV,12,0)="","",VLOOKUP($C63,'Performance Pivot'!$AI:$AV,12,0))</f>
        <v/>
      </c>
      <c r="O63" s="73"/>
      <c r="P63" s="73" t="str">
        <f>IF(VLOOKUP($C63,'Performance Pivot'!$AI:$AV,13,0)="","",VLOOKUP($C63,'Performance Pivot'!$AI:$AV,13,0))</f>
        <v/>
      </c>
      <c r="Q63" s="73" t="str">
        <f>IF(VLOOKUP($C63,'Performance Pivot'!$AI:$AW,15,0)="","",VLOOKUP($C63,'Performance Pivot'!$AI:$AW,15,0))</f>
        <v/>
      </c>
      <c r="R63" s="52"/>
      <c r="S63" s="52"/>
      <c r="T63" s="92">
        <f t="shared" si="5"/>
        <v>42036</v>
      </c>
      <c r="U63" s="73">
        <f>IF(VLOOKUP($T63,'Performance Pivot'!$AZ:$BM,2,0)="","",VLOOKUP($T63,'Performance Pivot'!$AZ:$BM,2,0))</f>
        <v>0.24820878296941917</v>
      </c>
      <c r="V63" s="73">
        <f>IF(VLOOKUP($T63,'Performance Pivot'!$AZ:$BM,3,0)="","",VLOOKUP($T63,'Performance Pivot'!$AZ:$BM,3,0))</f>
        <v>0.2588727081687599</v>
      </c>
      <c r="W63" s="73">
        <f>IF(VLOOKUP($T63,'Performance Pivot'!$AZ:$BM,4,0)="","",VLOOKUP($T63,'Performance Pivot'!$AZ:$BM,4,0))</f>
        <v>0.25109553906210491</v>
      </c>
      <c r="X63" s="73">
        <f>IF(VLOOKUP($T63,'Performance Pivot'!$AZ:$BM,5,0)="","",VLOOKUP($T63,'Performance Pivot'!$AZ:$BM,5,0))</f>
        <v>0.28439285894025845</v>
      </c>
      <c r="Y63" s="73">
        <f>IF(VLOOKUP($T63,'Performance Pivot'!$AZ:$BM,6,0)="","",VLOOKUP($T63,'Performance Pivot'!$AZ:$BM,6,0))</f>
        <v>0.37548234962988841</v>
      </c>
      <c r="Z63" s="73">
        <f>IF(VLOOKUP($T63,'Performance Pivot'!$AZ:$BM,7,0)="","",VLOOKUP($T63,'Performance Pivot'!$AZ:$BM,7,0))</f>
        <v>0.29792978635924644</v>
      </c>
      <c r="AA63" s="73">
        <f>IF(VLOOKUP($T63,'Performance Pivot'!$AZ:$BM,8,0)="","",VLOOKUP($T63,'Performance Pivot'!$AZ:$BM,8,0))</f>
        <v>0.51623364386704984</v>
      </c>
      <c r="AB63" s="73">
        <f>IF(VLOOKUP($T63,'Performance Pivot'!$AZ:$BM,9,0)="","",VLOOKUP($T63,'Performance Pivot'!$AZ:$BM,9,0))</f>
        <v>0.29207395505131079</v>
      </c>
      <c r="AC63" s="73">
        <f>IF(VLOOKUP($T63,'Performance Pivot'!$AZ:$BM,10,0)="","",VLOOKUP($T63,'Performance Pivot'!$AZ:$BM,10,0))</f>
        <v>0.39987890619187166</v>
      </c>
      <c r="AD63" s="73">
        <f>IF(VLOOKUP($T63,'Performance Pivot'!$AZ:$BM,11,0)="","",VLOOKUP($T63,'Performance Pivot'!$AZ:$BM,11,0))</f>
        <v>0.16282007062969603</v>
      </c>
      <c r="AE63" s="73" t="str">
        <f>IF(VLOOKUP($T63,'Performance Pivot'!$AZ:$BM,12,0)="","",VLOOKUP($T63,'Performance Pivot'!$AZ:$BM,12,0))</f>
        <v/>
      </c>
      <c r="AF63" s="73" t="str">
        <f>IF(VLOOKUP($T63,'Performance Pivot'!$AZ:$BM,13,0)="","",VLOOKUP($T63,'Performance Pivot'!$AZ:$BM,13,0))</f>
        <v/>
      </c>
      <c r="AG63" s="73" t="str">
        <f>IF(VLOOKUP($T63,'Performance Pivot'!$AZ:$BM,14,0)="","",VLOOKUP($T63,'Performance Pivot'!$AZ:$BM,14,0))</f>
        <v/>
      </c>
      <c r="AH63" s="73" t="str">
        <f>IF(VLOOKUP($T63,'Performance Pivot'!$AZ:$BN,15,0)="","",VLOOKUP($T63,'Performance Pivot'!$AZ:$BN,15,0))</f>
        <v/>
      </c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</row>
    <row r="64" spans="3:47" s="74" customFormat="1" ht="21" customHeight="1">
      <c r="C64" s="71">
        <f t="shared" si="4"/>
        <v>42064</v>
      </c>
      <c r="D64" s="73">
        <f>IF(VLOOKUP($C64,'Performance Pivot'!$AI:$AV,2,0)="","",VLOOKUP($C64,'Performance Pivot'!$AI:$AV,2,0))</f>
        <v>0.06</v>
      </c>
      <c r="E64" s="73">
        <f>IF(VLOOKUP($C64,'Performance Pivot'!$AI:$AV,3,0)="","",VLOOKUP($C64,'Performance Pivot'!$AI:$AV,3,0))</f>
        <v>0.04</v>
      </c>
      <c r="F64" s="73">
        <f>IF(VLOOKUP($C64,'Performance Pivot'!$AI:$AV,4,0)="","",VLOOKUP($C64,'Performance Pivot'!$AI:$AV,4,0))</f>
        <v>0.02</v>
      </c>
      <c r="G64" s="73">
        <f>IF(VLOOKUP($C64,'Performance Pivot'!$AI:$AV,5,0)="","",VLOOKUP($C64,'Performance Pivot'!$AI:$AV,5,0))</f>
        <v>0.02</v>
      </c>
      <c r="H64" s="73">
        <f>IF(VLOOKUP($C64,'Performance Pivot'!$AI:$AV,6,0)="","",VLOOKUP($C64,'Performance Pivot'!$AI:$AV,6,0))</f>
        <v>0.01</v>
      </c>
      <c r="I64" s="73">
        <f>IF(VLOOKUP($C64,'Performance Pivot'!$AI:$AV,7,0)="","",VLOOKUP($C64,'Performance Pivot'!$AI:$AV,7,0))</f>
        <v>0</v>
      </c>
      <c r="J64" s="73">
        <f>IF(VLOOKUP($C64,'Performance Pivot'!$AI:$AV,8,0)="","",VLOOKUP($C64,'Performance Pivot'!$AI:$AV,8,0))</f>
        <v>0.03</v>
      </c>
      <c r="K64" s="73">
        <f>IF(VLOOKUP($C64,'Performance Pivot'!$AI:$AV,9,0)="","",VLOOKUP($C64,'Performance Pivot'!$AI:$AV,9,0))</f>
        <v>0.01</v>
      </c>
      <c r="L64" s="73">
        <f>IF(VLOOKUP($C64,'Performance Pivot'!$AI:$AV,10,0)="","",VLOOKUP($C64,'Performance Pivot'!$AI:$AV,10,0))</f>
        <v>0.01</v>
      </c>
      <c r="M64" s="73">
        <f>IF(VLOOKUP($C64,'Performance Pivot'!$AI:$AV,11,0)="","",VLOOKUP($C64,'Performance Pivot'!$AI:$AV,11,0))</f>
        <v>0</v>
      </c>
      <c r="N64" s="73" t="str">
        <f>IF(VLOOKUP($C64,'Performance Pivot'!$AI:$AV,12,0)="","",VLOOKUP($C64,'Performance Pivot'!$AI:$AV,12,0))</f>
        <v/>
      </c>
      <c r="O64" s="73"/>
      <c r="P64" s="73" t="str">
        <f>IF(VLOOKUP($C64,'Performance Pivot'!$AI:$AV,13,0)="","",VLOOKUP($C64,'Performance Pivot'!$AI:$AV,13,0))</f>
        <v/>
      </c>
      <c r="Q64" s="73" t="str">
        <f>IF(VLOOKUP($C64,'Performance Pivot'!$AI:$AW,15,0)="","",VLOOKUP($C64,'Performance Pivot'!$AI:$AW,15,0))</f>
        <v/>
      </c>
      <c r="R64" s="52"/>
      <c r="S64" s="52"/>
      <c r="T64" s="92">
        <f t="shared" si="5"/>
        <v>42064</v>
      </c>
      <c r="U64" s="73">
        <f>IF(VLOOKUP($T64,'Performance Pivot'!$AZ:$BM,2,0)="","",VLOOKUP($T64,'Performance Pivot'!$AZ:$BM,2,0))</f>
        <v>0.29695943994962415</v>
      </c>
      <c r="V64" s="73">
        <f>IF(VLOOKUP($T64,'Performance Pivot'!$AZ:$BM,3,0)="","",VLOOKUP($T64,'Performance Pivot'!$AZ:$BM,3,0))</f>
        <v>0.30448566589197257</v>
      </c>
      <c r="W64" s="73">
        <f>IF(VLOOKUP($T64,'Performance Pivot'!$AZ:$BM,4,0)="","",VLOOKUP($T64,'Performance Pivot'!$AZ:$BM,4,0))</f>
        <v>0.31281199406860388</v>
      </c>
      <c r="X64" s="73">
        <f>IF(VLOOKUP($T64,'Performance Pivot'!$AZ:$BM,5,0)="","",VLOOKUP($T64,'Performance Pivot'!$AZ:$BM,5,0))</f>
        <v>0.34115434528749777</v>
      </c>
      <c r="Y64" s="73">
        <f>IF(VLOOKUP($T64,'Performance Pivot'!$AZ:$BM,6,0)="","",VLOOKUP($T64,'Performance Pivot'!$AZ:$BM,6,0))</f>
        <v>0.47436455346365863</v>
      </c>
      <c r="Z64" s="73">
        <f>IF(VLOOKUP($T64,'Performance Pivot'!$AZ:$BM,7,0)="","",VLOOKUP($T64,'Performance Pivot'!$AZ:$BM,7,0))</f>
        <v>0.40507928888784317</v>
      </c>
      <c r="AA64" s="73">
        <f>IF(VLOOKUP($T64,'Performance Pivot'!$AZ:$BM,8,0)="","",VLOOKUP($T64,'Performance Pivot'!$AZ:$BM,8,0))</f>
        <v>0.56874028297093226</v>
      </c>
      <c r="AB64" s="73">
        <f>IF(VLOOKUP($T64,'Performance Pivot'!$AZ:$BM,9,0)="","",VLOOKUP($T64,'Performance Pivot'!$AZ:$BM,9,0))</f>
        <v>0.33675156205089335</v>
      </c>
      <c r="AC64" s="73">
        <f>IF(VLOOKUP($T64,'Performance Pivot'!$AZ:$BM,10,0)="","",VLOOKUP($T64,'Performance Pivot'!$AZ:$BM,10,0))</f>
        <v>0.48882000789642005</v>
      </c>
      <c r="AD64" s="73">
        <f>IF(VLOOKUP($T64,'Performance Pivot'!$AZ:$BM,11,0)="","",VLOOKUP($T64,'Performance Pivot'!$AZ:$BM,11,0))</f>
        <v>0.3287821468249964</v>
      </c>
      <c r="AE64" s="73" t="str">
        <f>IF(VLOOKUP($T64,'Performance Pivot'!$AZ:$BM,12,0)="","",VLOOKUP($T64,'Performance Pivot'!$AZ:$BM,12,0))</f>
        <v/>
      </c>
      <c r="AF64" s="73" t="str">
        <f>IF(VLOOKUP($T64,'Performance Pivot'!$AZ:$BM,13,0)="","",VLOOKUP($T64,'Performance Pivot'!$AZ:$BM,13,0))</f>
        <v/>
      </c>
      <c r="AG64" s="73" t="str">
        <f>IF(VLOOKUP($T64,'Performance Pivot'!$AZ:$BM,14,0)="","",VLOOKUP($T64,'Performance Pivot'!$AZ:$BM,14,0))</f>
        <v/>
      </c>
      <c r="AH64" s="73" t="str">
        <f>IF(VLOOKUP($T64,'Performance Pivot'!$AZ:$BN,15,0)="","",VLOOKUP($T64,'Performance Pivot'!$AZ:$BN,15,0))</f>
        <v/>
      </c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</row>
    <row r="65" spans="3:47" s="74" customFormat="1" ht="21" customHeight="1">
      <c r="C65" s="71">
        <f t="shared" si="4"/>
        <v>42095</v>
      </c>
      <c r="D65" s="73">
        <f>IF(VLOOKUP($C65,'Performance Pivot'!$AI:$AV,2,0)="","",VLOOKUP($C65,'Performance Pivot'!$AI:$AV,2,0))</f>
        <v>0.06</v>
      </c>
      <c r="E65" s="73">
        <f>IF(VLOOKUP($C65,'Performance Pivot'!$AI:$AV,3,0)="","",VLOOKUP($C65,'Performance Pivot'!$AI:$AV,3,0))</f>
        <v>0.04</v>
      </c>
      <c r="F65" s="73">
        <f>IF(VLOOKUP($C65,'Performance Pivot'!$AI:$AV,4,0)="","",VLOOKUP($C65,'Performance Pivot'!$AI:$AV,4,0))</f>
        <v>0.02</v>
      </c>
      <c r="G65" s="73">
        <f>IF(VLOOKUP($C65,'Performance Pivot'!$AI:$AV,5,0)="","",VLOOKUP($C65,'Performance Pivot'!$AI:$AV,5,0))</f>
        <v>0.02</v>
      </c>
      <c r="H65" s="73">
        <f>IF(VLOOKUP($C65,'Performance Pivot'!$AI:$AV,6,0)="","",VLOOKUP($C65,'Performance Pivot'!$AI:$AV,6,0))</f>
        <v>0.02</v>
      </c>
      <c r="I65" s="73">
        <f>IF(VLOOKUP($C65,'Performance Pivot'!$AI:$AV,7,0)="","",VLOOKUP($C65,'Performance Pivot'!$AI:$AV,7,0))</f>
        <v>0</v>
      </c>
      <c r="J65" s="73">
        <f>IF(VLOOKUP($C65,'Performance Pivot'!$AI:$AV,8,0)="","",VLOOKUP($C65,'Performance Pivot'!$AI:$AV,8,0))</f>
        <v>0.04</v>
      </c>
      <c r="K65" s="73">
        <f>IF(VLOOKUP($C65,'Performance Pivot'!$AI:$AV,9,0)="","",VLOOKUP($C65,'Performance Pivot'!$AI:$AV,9,0))</f>
        <v>0.02</v>
      </c>
      <c r="L65" s="73">
        <f>IF(VLOOKUP($C65,'Performance Pivot'!$AI:$AV,10,0)="","",VLOOKUP($C65,'Performance Pivot'!$AI:$AV,10,0))</f>
        <v>0.02</v>
      </c>
      <c r="M65" s="73">
        <f>IF(VLOOKUP($C65,'Performance Pivot'!$AI:$AV,11,0)="","",VLOOKUP($C65,'Performance Pivot'!$AI:$AV,11,0))</f>
        <v>0</v>
      </c>
      <c r="N65" s="73" t="str">
        <f>IF(VLOOKUP($C65,'Performance Pivot'!$AI:$AV,12,0)="","",VLOOKUP($C65,'Performance Pivot'!$AI:$AV,12,0))</f>
        <v/>
      </c>
      <c r="O65" s="73"/>
      <c r="P65" s="73" t="str">
        <f>IF(VLOOKUP($C65,'Performance Pivot'!$AI:$AV,13,0)="","",VLOOKUP($C65,'Performance Pivot'!$AI:$AV,13,0))</f>
        <v/>
      </c>
      <c r="Q65" s="73" t="str">
        <f>IF(VLOOKUP($C65,'Performance Pivot'!$AI:$AW,15,0)="","",VLOOKUP($C65,'Performance Pivot'!$AI:$AW,15,0))</f>
        <v/>
      </c>
      <c r="R65" s="52"/>
      <c r="S65" s="52"/>
      <c r="T65" s="92">
        <f t="shared" si="5"/>
        <v>42095</v>
      </c>
      <c r="U65" s="73">
        <f>IF(VLOOKUP($T65,'Performance Pivot'!$AZ:$BM,2,0)="","",VLOOKUP($T65,'Performance Pivot'!$AZ:$BM,2,0))</f>
        <v>0.21921385246977462</v>
      </c>
      <c r="V65" s="73">
        <f>IF(VLOOKUP($T65,'Performance Pivot'!$AZ:$BM,3,0)="","",VLOOKUP($T65,'Performance Pivot'!$AZ:$BM,3,0))</f>
        <v>0.21134393866292481</v>
      </c>
      <c r="W65" s="73">
        <f>IF(VLOOKUP($T65,'Performance Pivot'!$AZ:$BM,4,0)="","",VLOOKUP($T65,'Performance Pivot'!$AZ:$BM,4,0))</f>
        <v>0.23417835714895979</v>
      </c>
      <c r="X65" s="73">
        <f>IF(VLOOKUP($T65,'Performance Pivot'!$AZ:$BM,5,0)="","",VLOOKUP($T65,'Performance Pivot'!$AZ:$BM,5,0))</f>
        <v>0.25986266568794503</v>
      </c>
      <c r="Y65" s="73">
        <f>IF(VLOOKUP($T65,'Performance Pivot'!$AZ:$BM,6,0)="","",VLOOKUP($T65,'Performance Pivot'!$AZ:$BM,6,0))</f>
        <v>0.39850514932082026</v>
      </c>
      <c r="Z65" s="73">
        <f>IF(VLOOKUP($T65,'Performance Pivot'!$AZ:$BM,7,0)="","",VLOOKUP($T65,'Performance Pivot'!$AZ:$BM,7,0))</f>
        <v>0.34823485199472426</v>
      </c>
      <c r="AA65" s="73">
        <f>IF(VLOOKUP($T65,'Performance Pivot'!$AZ:$BM,8,0)="","",VLOOKUP($T65,'Performance Pivot'!$AZ:$BM,8,0))</f>
        <v>0.418142445007465</v>
      </c>
      <c r="AB65" s="73">
        <f>IF(VLOOKUP($T65,'Performance Pivot'!$AZ:$BM,9,0)="","",VLOOKUP($T65,'Performance Pivot'!$AZ:$BM,9,0))</f>
        <v>0.25092646801360269</v>
      </c>
      <c r="AC65" s="73">
        <f>IF(VLOOKUP($T65,'Performance Pivot'!$AZ:$BM,10,0)="","",VLOOKUP($T65,'Performance Pivot'!$AZ:$BM,10,0))</f>
        <v>0.37001957948714848</v>
      </c>
      <c r="AD65" s="73">
        <f>IF(VLOOKUP($T65,'Performance Pivot'!$AZ:$BM,11,0)="","",VLOOKUP($T65,'Performance Pivot'!$AZ:$BM,11,0))</f>
        <v>0.20729003291835793</v>
      </c>
      <c r="AE65" s="73" t="str">
        <f>IF(VLOOKUP($T65,'Performance Pivot'!$AZ:$BM,12,0)="","",VLOOKUP($T65,'Performance Pivot'!$AZ:$BM,12,0))</f>
        <v/>
      </c>
      <c r="AF65" s="73" t="str">
        <f>IF(VLOOKUP($T65,'Performance Pivot'!$AZ:$BM,13,0)="","",VLOOKUP($T65,'Performance Pivot'!$AZ:$BM,13,0))</f>
        <v/>
      </c>
      <c r="AG65" s="73">
        <f>IF(VLOOKUP($T65,'Performance Pivot'!$AZ:$BM,14,0)="","",VLOOKUP($T65,'Performance Pivot'!$AZ:$BM,14,0))</f>
        <v>0.16196510612211845</v>
      </c>
      <c r="AH65" s="73" t="str">
        <f>IF(VLOOKUP($T65,'Performance Pivot'!$AZ:$BN,15,0)="","",VLOOKUP($T65,'Performance Pivot'!$AZ:$BN,15,0))</f>
        <v/>
      </c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</row>
    <row r="66" spans="3:47" s="74" customFormat="1" ht="21" customHeight="1">
      <c r="C66" s="71">
        <f t="shared" si="4"/>
        <v>42125</v>
      </c>
      <c r="D66" s="73">
        <f>IF(VLOOKUP($C66,'Performance Pivot'!$AI:$AV,2,0)="","",VLOOKUP($C66,'Performance Pivot'!$AI:$AV,2,0))</f>
        <v>6.9999999999999993E-2</v>
      </c>
      <c r="E66" s="73">
        <f>IF(VLOOKUP($C66,'Performance Pivot'!$AI:$AV,3,0)="","",VLOOKUP($C66,'Performance Pivot'!$AI:$AV,3,0))</f>
        <v>0.05</v>
      </c>
      <c r="F66" s="73">
        <f>IF(VLOOKUP($C66,'Performance Pivot'!$AI:$AV,4,0)="","",VLOOKUP($C66,'Performance Pivot'!$AI:$AV,4,0))</f>
        <v>0.03</v>
      </c>
      <c r="G66" s="73">
        <f>IF(VLOOKUP($C66,'Performance Pivot'!$AI:$AV,5,0)="","",VLOOKUP($C66,'Performance Pivot'!$AI:$AV,5,0))</f>
        <v>0.02</v>
      </c>
      <c r="H66" s="73">
        <f>IF(VLOOKUP($C66,'Performance Pivot'!$AI:$AV,6,0)="","",VLOOKUP($C66,'Performance Pivot'!$AI:$AV,6,0))</f>
        <v>0.02</v>
      </c>
      <c r="I66" s="73">
        <f>IF(VLOOKUP($C66,'Performance Pivot'!$AI:$AV,7,0)="","",VLOOKUP($C66,'Performance Pivot'!$AI:$AV,7,0))</f>
        <v>0</v>
      </c>
      <c r="J66" s="73">
        <f>IF(VLOOKUP($C66,'Performance Pivot'!$AI:$AV,8,0)="","",VLOOKUP($C66,'Performance Pivot'!$AI:$AV,8,0))</f>
        <v>6.9999999999999993E-2</v>
      </c>
      <c r="K66" s="73">
        <f>IF(VLOOKUP($C66,'Performance Pivot'!$AI:$AV,9,0)="","",VLOOKUP($C66,'Performance Pivot'!$AI:$AV,9,0))</f>
        <v>0.02</v>
      </c>
      <c r="L66" s="73">
        <f>IF(VLOOKUP($C66,'Performance Pivot'!$AI:$AV,10,0)="","",VLOOKUP($C66,'Performance Pivot'!$AI:$AV,10,0))</f>
        <v>0.03</v>
      </c>
      <c r="M66" s="73">
        <f>IF(VLOOKUP($C66,'Performance Pivot'!$AI:$AV,11,0)="","",VLOOKUP($C66,'Performance Pivot'!$AI:$AV,11,0))</f>
        <v>0</v>
      </c>
      <c r="N66" s="73">
        <f>IF(VLOOKUP($C66,'Performance Pivot'!$AI:$AV,12,0)="","",VLOOKUP($C66,'Performance Pivot'!$AI:$AV,12,0))</f>
        <v>0</v>
      </c>
      <c r="O66" s="73"/>
      <c r="P66" s="73" t="str">
        <f>IF(VLOOKUP($C66,'Performance Pivot'!$AI:$AV,13,0)="","",VLOOKUP($C66,'Performance Pivot'!$AI:$AV,13,0))</f>
        <v/>
      </c>
      <c r="Q66" s="73">
        <f>IF(VLOOKUP($C66,'Performance Pivot'!$AI:$AW,15,0)="","",VLOOKUP($C66,'Performance Pivot'!$AI:$AW,15,0))</f>
        <v>0</v>
      </c>
      <c r="R66" s="52"/>
      <c r="S66" s="52"/>
      <c r="T66" s="92">
        <f t="shared" si="5"/>
        <v>42125</v>
      </c>
      <c r="U66" s="73">
        <f>IF(VLOOKUP($T66,'Performance Pivot'!$AZ:$BM,2,0)="","",VLOOKUP($T66,'Performance Pivot'!$AZ:$BM,2,0))</f>
        <v>0.22724679367011746</v>
      </c>
      <c r="V66" s="73">
        <f>IF(VLOOKUP($T66,'Performance Pivot'!$AZ:$BM,3,0)="","",VLOOKUP($T66,'Performance Pivot'!$AZ:$BM,3,0))</f>
        <v>0.22965921277708906</v>
      </c>
      <c r="W66" s="73">
        <f>IF(VLOOKUP($T66,'Performance Pivot'!$AZ:$BM,4,0)="","",VLOOKUP($T66,'Performance Pivot'!$AZ:$BM,4,0))</f>
        <v>0.24385021377300184</v>
      </c>
      <c r="X66" s="73">
        <f>IF(VLOOKUP($T66,'Performance Pivot'!$AZ:$BM,5,0)="","",VLOOKUP($T66,'Performance Pivot'!$AZ:$BM,5,0))</f>
        <v>0.28626337667243235</v>
      </c>
      <c r="Y66" s="73">
        <f>IF(VLOOKUP($T66,'Performance Pivot'!$AZ:$BM,6,0)="","",VLOOKUP($T66,'Performance Pivot'!$AZ:$BM,6,0))</f>
        <v>0.40309554871447428</v>
      </c>
      <c r="Z66" s="73">
        <f>IF(VLOOKUP($T66,'Performance Pivot'!$AZ:$BM,7,0)="","",VLOOKUP($T66,'Performance Pivot'!$AZ:$BM,7,0))</f>
        <v>0.38334413794289285</v>
      </c>
      <c r="AA66" s="73">
        <f>IF(VLOOKUP($T66,'Performance Pivot'!$AZ:$BM,8,0)="","",VLOOKUP($T66,'Performance Pivot'!$AZ:$BM,8,0))</f>
        <v>0.50240731664733307</v>
      </c>
      <c r="AB66" s="73">
        <f>IF(VLOOKUP($T66,'Performance Pivot'!$AZ:$BM,9,0)="","",VLOOKUP($T66,'Performance Pivot'!$AZ:$BM,9,0))</f>
        <v>0.2931041290131326</v>
      </c>
      <c r="AC66" s="73">
        <f>IF(VLOOKUP($T66,'Performance Pivot'!$AZ:$BM,10,0)="","",VLOOKUP($T66,'Performance Pivot'!$AZ:$BM,10,0))</f>
        <v>0.43768078138989835</v>
      </c>
      <c r="AD66" s="73">
        <f>IF(VLOOKUP($T66,'Performance Pivot'!$AZ:$BM,11,0)="","",VLOOKUP($T66,'Performance Pivot'!$AZ:$BM,11,0))</f>
        <v>0.27168224597874802</v>
      </c>
      <c r="AE66" s="73">
        <f>IF(VLOOKUP($T66,'Performance Pivot'!$AZ:$BM,12,0)="","",VLOOKUP($T66,'Performance Pivot'!$AZ:$BM,12,0))</f>
        <v>7.5054010808474542E-2</v>
      </c>
      <c r="AF66" s="73" t="str">
        <f>IF(VLOOKUP($T66,'Performance Pivot'!$AZ:$BM,13,0)="","",VLOOKUP($T66,'Performance Pivot'!$AZ:$BM,13,0))</f>
        <v/>
      </c>
      <c r="AG66" s="73">
        <f>IF(VLOOKUP($T66,'Performance Pivot'!$AZ:$BM,14,0)="","",VLOOKUP($T66,'Performance Pivot'!$AZ:$BM,14,0))</f>
        <v>0.1913613353225801</v>
      </c>
      <c r="AH66" s="73">
        <f>IF(VLOOKUP($T66,'Performance Pivot'!$AZ:$BN,15,0)="","",VLOOKUP($T66,'Performance Pivot'!$AZ:$BN,15,0))</f>
        <v>0.10286290716246872</v>
      </c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</row>
    <row r="67" spans="3:47" s="74" customFormat="1" ht="21" customHeight="1">
      <c r="C67" s="71">
        <f t="shared" si="4"/>
        <v>42156</v>
      </c>
      <c r="D67" s="73">
        <f>IF(VLOOKUP($C67,'Performance Pivot'!$AI:$AV,2,0)="","",VLOOKUP($C67,'Performance Pivot'!$AI:$AV,2,0))</f>
        <v>0.08</v>
      </c>
      <c r="E67" s="73">
        <f>IF(VLOOKUP($C67,'Performance Pivot'!$AI:$AV,3,0)="","",VLOOKUP($C67,'Performance Pivot'!$AI:$AV,3,0))</f>
        <v>0.05</v>
      </c>
      <c r="F67" s="73">
        <f>IF(VLOOKUP($C67,'Performance Pivot'!$AI:$AV,4,0)="","",VLOOKUP($C67,'Performance Pivot'!$AI:$AV,4,0))</f>
        <v>0.03</v>
      </c>
      <c r="G67" s="73">
        <f>IF(VLOOKUP($C67,'Performance Pivot'!$AI:$AV,5,0)="","",VLOOKUP($C67,'Performance Pivot'!$AI:$AV,5,0))</f>
        <v>0.03</v>
      </c>
      <c r="H67" s="73">
        <f>IF(VLOOKUP($C67,'Performance Pivot'!$AI:$AV,6,0)="","",VLOOKUP($C67,'Performance Pivot'!$AI:$AV,6,0))</f>
        <v>0.03</v>
      </c>
      <c r="I67" s="73">
        <f>IF(VLOOKUP($C67,'Performance Pivot'!$AI:$AV,7,0)="","",VLOOKUP($C67,'Performance Pivot'!$AI:$AV,7,0))</f>
        <v>0</v>
      </c>
      <c r="J67" s="73">
        <f>IF(VLOOKUP($C67,'Performance Pivot'!$AI:$AV,8,0)="","",VLOOKUP($C67,'Performance Pivot'!$AI:$AV,8,0))</f>
        <v>6.9999999999999993E-2</v>
      </c>
      <c r="K67" s="73">
        <f>IF(VLOOKUP($C67,'Performance Pivot'!$AI:$AV,9,0)="","",VLOOKUP($C67,'Performance Pivot'!$AI:$AV,9,0))</f>
        <v>0.03</v>
      </c>
      <c r="L67" s="73">
        <f>IF(VLOOKUP($C67,'Performance Pivot'!$AI:$AV,10,0)="","",VLOOKUP($C67,'Performance Pivot'!$AI:$AV,10,0))</f>
        <v>0.05</v>
      </c>
      <c r="M67" s="73">
        <f>IF(VLOOKUP($C67,'Performance Pivot'!$AI:$AV,11,0)="","",VLOOKUP($C67,'Performance Pivot'!$AI:$AV,11,0))</f>
        <v>0</v>
      </c>
      <c r="N67" s="73">
        <f>IF(VLOOKUP($C67,'Performance Pivot'!$AI:$AV,12,0)="","",VLOOKUP($C67,'Performance Pivot'!$AI:$AV,12,0))</f>
        <v>0</v>
      </c>
      <c r="O67" s="73" t="str">
        <f>IF(VLOOKUP($C67,'Performance Pivot'!$AI:$AV,13,0)="","",VLOOKUP($C67,'Performance Pivot'!$AI:$AV,13,0))</f>
        <v/>
      </c>
      <c r="P67" s="73">
        <f>IF(VLOOKUP($C67,'Performance Pivot'!$AI:$AV,14,0)="","",VLOOKUP($C67,'Performance Pivot'!$AI:$AV,14,0))</f>
        <v>0</v>
      </c>
      <c r="Q67" s="73">
        <f>IF(VLOOKUP($C67,'Performance Pivot'!$AI:$AW,15,0)="","",VLOOKUP($C67,'Performance Pivot'!$AI:$AW,15,0))</f>
        <v>0</v>
      </c>
      <c r="R67" s="52"/>
      <c r="S67" s="52"/>
      <c r="T67" s="92">
        <f t="shared" si="5"/>
        <v>42156</v>
      </c>
      <c r="U67" s="73">
        <f>IF(VLOOKUP($T67,'Performance Pivot'!$AZ:$BM,2,0)="","",VLOOKUP($T67,'Performance Pivot'!$AZ:$BM,2,0))</f>
        <v>0.2577548457192439</v>
      </c>
      <c r="V67" s="73">
        <f>IF(VLOOKUP($T67,'Performance Pivot'!$AZ:$BM,3,0)="","",VLOOKUP($T67,'Performance Pivot'!$AZ:$BM,3,0))</f>
        <v>0.32067372969835706</v>
      </c>
      <c r="W67" s="73">
        <f>IF(VLOOKUP($T67,'Performance Pivot'!$AZ:$BM,4,0)="","",VLOOKUP($T67,'Performance Pivot'!$AZ:$BM,4,0))</f>
        <v>0.28050422056194813</v>
      </c>
      <c r="X67" s="73">
        <f>IF(VLOOKUP($T67,'Performance Pivot'!$AZ:$BM,5,0)="","",VLOOKUP($T67,'Performance Pivot'!$AZ:$BM,5,0))</f>
        <v>0.33860890945943956</v>
      </c>
      <c r="Y67" s="73">
        <f>IF(VLOOKUP($T67,'Performance Pivot'!$AZ:$BM,6,0)="","",VLOOKUP($T67,'Performance Pivot'!$AZ:$BM,6,0))</f>
        <v>0.521449667543878</v>
      </c>
      <c r="Z67" s="73">
        <f>IF(VLOOKUP($T67,'Performance Pivot'!$AZ:$BM,7,0)="","",VLOOKUP($T67,'Performance Pivot'!$AZ:$BM,7,0))</f>
        <v>0.46020475239365677</v>
      </c>
      <c r="AA67" s="73">
        <f>IF(VLOOKUP($T67,'Performance Pivot'!$AZ:$BM,8,0)="","",VLOOKUP($T67,'Performance Pivot'!$AZ:$BM,8,0))</f>
        <v>0.60385130716070412</v>
      </c>
      <c r="AB67" s="73">
        <f>IF(VLOOKUP($T67,'Performance Pivot'!$AZ:$BM,9,0)="","",VLOOKUP($T67,'Performance Pivot'!$AZ:$BM,9,0))</f>
        <v>0.3720971494239072</v>
      </c>
      <c r="AC67" s="73">
        <f>IF(VLOOKUP($T67,'Performance Pivot'!$AZ:$BM,10,0)="","",VLOOKUP($T67,'Performance Pivot'!$AZ:$BM,10,0))</f>
        <v>0.57942973305399781</v>
      </c>
      <c r="AD67" s="73">
        <f>IF(VLOOKUP($T67,'Performance Pivot'!$AZ:$BM,11,0)="","",VLOOKUP($T67,'Performance Pivot'!$AZ:$BM,11,0))</f>
        <v>0.34896170247136821</v>
      </c>
      <c r="AE67" s="73">
        <f>IF(VLOOKUP($T67,'Performance Pivot'!$AZ:$BM,12,0)="","",VLOOKUP($T67,'Performance Pivot'!$AZ:$BM,12,0))</f>
        <v>0.11732460740217733</v>
      </c>
      <c r="AF67" s="73" t="str">
        <f>IF(VLOOKUP($T67,'Performance Pivot'!$AZ:$BM,13,0)="","",VLOOKUP($T67,'Performance Pivot'!$AZ:$BM,13,0))</f>
        <v/>
      </c>
      <c r="AG67" s="73">
        <f>IF(VLOOKUP($T67,'Performance Pivot'!$AZ:$BM,14,0)="","",VLOOKUP($T67,'Performance Pivot'!$AZ:$BM,14,0))</f>
        <v>0.26125791475655696</v>
      </c>
      <c r="AH67" s="73">
        <f>IF(VLOOKUP($T67,'Performance Pivot'!$AZ:$BN,15,0)="","",VLOOKUP($T67,'Performance Pivot'!$AZ:$BN,15,0))</f>
        <v>0.16480840372752412</v>
      </c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</row>
    <row r="68" spans="3:47" s="74" customFormat="1" ht="21" customHeight="1">
      <c r="C68" s="71">
        <f t="shared" si="4"/>
        <v>42186</v>
      </c>
      <c r="D68" s="73">
        <f>IF(VLOOKUP($C68,'Performance Pivot'!$AI:$AV,2,0)="","",VLOOKUP($C68,'Performance Pivot'!$AI:$AV,2,0))</f>
        <v>0.08</v>
      </c>
      <c r="E68" s="73">
        <f>IF(VLOOKUP($C68,'Performance Pivot'!$AI:$AV,3,0)="","",VLOOKUP($C68,'Performance Pivot'!$AI:$AV,3,0))</f>
        <v>0.06</v>
      </c>
      <c r="F68" s="73">
        <f>IF(VLOOKUP($C68,'Performance Pivot'!$AI:$AV,4,0)="","",VLOOKUP($C68,'Performance Pivot'!$AI:$AV,4,0))</f>
        <v>0.03</v>
      </c>
      <c r="G68" s="73">
        <f>IF(VLOOKUP($C68,'Performance Pivot'!$AI:$AV,5,0)="","",VLOOKUP($C68,'Performance Pivot'!$AI:$AV,5,0))</f>
        <v>0.03</v>
      </c>
      <c r="H68" s="73">
        <f>IF(VLOOKUP($C68,'Performance Pivot'!$AI:$AV,6,0)="","",VLOOKUP($C68,'Performance Pivot'!$AI:$AV,6,0))</f>
        <v>0.05</v>
      </c>
      <c r="I68" s="73">
        <f>IF(VLOOKUP($C68,'Performance Pivot'!$AI:$AV,7,0)="","",VLOOKUP($C68,'Performance Pivot'!$AI:$AV,7,0))</f>
        <v>0</v>
      </c>
      <c r="J68" s="73">
        <f>IF(VLOOKUP($C68,'Performance Pivot'!$AI:$AV,8,0)="","",VLOOKUP($C68,'Performance Pivot'!$AI:$AV,8,0))</f>
        <v>0.08</v>
      </c>
      <c r="K68" s="73">
        <f>IF(VLOOKUP($C68,'Performance Pivot'!$AI:$AV,9,0)="","",VLOOKUP($C68,'Performance Pivot'!$AI:$AV,9,0))</f>
        <v>0.03</v>
      </c>
      <c r="L68" s="73">
        <f>IF(VLOOKUP($C68,'Performance Pivot'!$AI:$AV,10,0)="","",VLOOKUP($C68,'Performance Pivot'!$AI:$AV,10,0))</f>
        <v>6.9999999999999993E-2</v>
      </c>
      <c r="M68" s="73">
        <f>IF(VLOOKUP($C68,'Performance Pivot'!$AI:$AV,11,0)="","",VLOOKUP($C68,'Performance Pivot'!$AI:$AV,11,0))</f>
        <v>0</v>
      </c>
      <c r="N68" s="73">
        <f>IF(VLOOKUP($C68,'Performance Pivot'!$AI:$AV,12,0)="","",VLOOKUP($C68,'Performance Pivot'!$AI:$AV,12,0))</f>
        <v>0</v>
      </c>
      <c r="O68" s="73">
        <f>IF(VLOOKUP($C68,'Performance Pivot'!$AI:$AV,13,0)="","",VLOOKUP($C68,'Performance Pivot'!$AI:$AV,13,0))</f>
        <v>0</v>
      </c>
      <c r="P68" s="73">
        <f>IF(VLOOKUP($C68,'Performance Pivot'!$AI:$AV,14,0)="","",VLOOKUP($C68,'Performance Pivot'!$AI:$AV,14,0))</f>
        <v>0</v>
      </c>
      <c r="Q68" s="73">
        <f>IF(VLOOKUP($C68,'Performance Pivot'!$AI:$AW,15,0)="","",VLOOKUP($C68,'Performance Pivot'!$AI:$AW,15,0))</f>
        <v>0</v>
      </c>
      <c r="R68" s="52"/>
      <c r="S68" s="52"/>
      <c r="T68" s="92">
        <f t="shared" si="5"/>
        <v>42186</v>
      </c>
      <c r="U68" s="73">
        <f>IF(VLOOKUP($T68,'Performance Pivot'!$AZ:$BM,2,0)="","",VLOOKUP($T68,'Performance Pivot'!$AZ:$BM,2,0))</f>
        <v>0.23798532673419093</v>
      </c>
      <c r="V68" s="73">
        <f>IF(VLOOKUP($T68,'Performance Pivot'!$AZ:$BM,3,0)="","",VLOOKUP($T68,'Performance Pivot'!$AZ:$BM,3,0))</f>
        <v>0.2693313699260364</v>
      </c>
      <c r="W68" s="73">
        <f>IF(VLOOKUP($T68,'Performance Pivot'!$AZ:$BM,4,0)="","",VLOOKUP($T68,'Performance Pivot'!$AZ:$BM,4,0))</f>
        <v>0.32520699489016247</v>
      </c>
      <c r="X68" s="73">
        <f>IF(VLOOKUP($T68,'Performance Pivot'!$AZ:$BM,5,0)="","",VLOOKUP($T68,'Performance Pivot'!$AZ:$BM,5,0))</f>
        <v>0.35701651150551172</v>
      </c>
      <c r="Y68" s="73">
        <f>IF(VLOOKUP($T68,'Performance Pivot'!$AZ:$BM,6,0)="","",VLOOKUP($T68,'Performance Pivot'!$AZ:$BM,6,0))</f>
        <v>0.5005775536855972</v>
      </c>
      <c r="Z68" s="73">
        <f>IF(VLOOKUP($T68,'Performance Pivot'!$AZ:$BM,7,0)="","",VLOOKUP($T68,'Performance Pivot'!$AZ:$BM,7,0))</f>
        <v>0.48527008041311614</v>
      </c>
      <c r="AA68" s="73">
        <f>IF(VLOOKUP($T68,'Performance Pivot'!$AZ:$BM,8,0)="","",VLOOKUP($T68,'Performance Pivot'!$AZ:$BM,8,0))</f>
        <v>0.63429161887099872</v>
      </c>
      <c r="AB68" s="73">
        <f>IF(VLOOKUP($T68,'Performance Pivot'!$AZ:$BM,9,0)="","",VLOOKUP($T68,'Performance Pivot'!$AZ:$BM,9,0))</f>
        <v>0.3697053550181762</v>
      </c>
      <c r="AC68" s="73">
        <f>IF(VLOOKUP($T68,'Performance Pivot'!$AZ:$BM,10,0)="","",VLOOKUP($T68,'Performance Pivot'!$AZ:$BM,10,0))</f>
        <v>0.53953086517852711</v>
      </c>
      <c r="AD68" s="73">
        <f>IF(VLOOKUP($T68,'Performance Pivot'!$AZ:$BM,11,0)="","",VLOOKUP($T68,'Performance Pivot'!$AZ:$BM,11,0))</f>
        <v>0.34387796117427732</v>
      </c>
      <c r="AE68" s="73">
        <f>IF(VLOOKUP($T68,'Performance Pivot'!$AZ:$BM,12,0)="","",VLOOKUP($T68,'Performance Pivot'!$AZ:$BM,12,0))</f>
        <v>0.1208310427207052</v>
      </c>
      <c r="AF68" s="73">
        <f>IF(VLOOKUP($T68,'Performance Pivot'!$AZ:$BM,13,0)="","",VLOOKUP($T68,'Performance Pivot'!$AZ:$BM,13,0))</f>
        <v>0.18896133215620811</v>
      </c>
      <c r="AG68" s="73">
        <f>IF(VLOOKUP($T68,'Performance Pivot'!$AZ:$BM,14,0)="","",VLOOKUP($T68,'Performance Pivot'!$AZ:$BM,14,0))</f>
        <v>0.31596295628317278</v>
      </c>
      <c r="AH68" s="73">
        <f>IF(VLOOKUP($T68,'Performance Pivot'!$AZ:$BN,15,0)="","",VLOOKUP($T68,'Performance Pivot'!$AZ:$BN,15,0))</f>
        <v>0.18794026635588906</v>
      </c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</row>
    <row r="69" spans="3:47" s="74" customFormat="1" ht="21" customHeight="1">
      <c r="C69" s="71">
        <f>C39</f>
        <v>42217</v>
      </c>
      <c r="D69" s="73">
        <f>IF(VLOOKUP($C69,'Performance Pivot'!$AI:$AV,2,0)="","",VLOOKUP($C69,'Performance Pivot'!$AI:$AV,2,0))</f>
        <v>0.08</v>
      </c>
      <c r="E69" s="73">
        <f>IF(VLOOKUP($C69,'Performance Pivot'!$AI:$AV,3,0)="","",VLOOKUP($C69,'Performance Pivot'!$AI:$AV,3,0))</f>
        <v>0.06</v>
      </c>
      <c r="F69" s="73">
        <f>IF(VLOOKUP($C69,'Performance Pivot'!$AI:$AV,4,0)="","",VLOOKUP($C69,'Performance Pivot'!$AI:$AV,4,0))</f>
        <v>0.04</v>
      </c>
      <c r="G69" s="73">
        <f>IF(VLOOKUP($C69,'Performance Pivot'!$AI:$AV,5,0)="","",VLOOKUP($C69,'Performance Pivot'!$AI:$AV,5,0))</f>
        <v>0.04</v>
      </c>
      <c r="H69" s="73">
        <f>IF(VLOOKUP($C69,'Performance Pivot'!$AI:$AV,6,0)="","",VLOOKUP($C69,'Performance Pivot'!$AI:$AV,6,0))</f>
        <v>0.05</v>
      </c>
      <c r="I69" s="73">
        <f>IF(VLOOKUP($C69,'Performance Pivot'!$AI:$AV,7,0)="","",VLOOKUP($C69,'Performance Pivot'!$AI:$AV,7,0))</f>
        <v>0.02</v>
      </c>
      <c r="J69" s="73">
        <f>IF(VLOOKUP($C69,'Performance Pivot'!$AI:$AV,8,0)="","",VLOOKUP($C69,'Performance Pivot'!$AI:$AV,8,0))</f>
        <v>0.09</v>
      </c>
      <c r="K69" s="73">
        <f>IF(VLOOKUP($C69,'Performance Pivot'!$AI:$AV,9,0)="","",VLOOKUP($C69,'Performance Pivot'!$AI:$AV,9,0))</f>
        <v>0.04</v>
      </c>
      <c r="L69" s="73">
        <f>IF(VLOOKUP($C69,'Performance Pivot'!$AI:$AV,10,0)="","",VLOOKUP($C69,'Performance Pivot'!$AI:$AV,10,0))</f>
        <v>0.08</v>
      </c>
      <c r="M69" s="73">
        <f>IF(VLOOKUP($C69,'Performance Pivot'!$AI:$AV,11,0)="","",VLOOKUP($C69,'Performance Pivot'!$AI:$AV,11,0))</f>
        <v>0</v>
      </c>
      <c r="N69" s="73">
        <f>IF(VLOOKUP($C69,'Performance Pivot'!$AI:$AV,12,0)="","",VLOOKUP($C69,'Performance Pivot'!$AI:$AV,12,0))</f>
        <v>0</v>
      </c>
      <c r="O69" s="73">
        <f>IF(VLOOKUP($C69,'Performance Pivot'!$AI:$AV,13,0)="","",VLOOKUP($C69,'Performance Pivot'!$AI:$AV,13,0))</f>
        <v>0</v>
      </c>
      <c r="P69" s="73">
        <f>IF(VLOOKUP($C69,'Performance Pivot'!$AI:$AV,14,0)="","",VLOOKUP($C69,'Performance Pivot'!$AI:$AV,14,0))</f>
        <v>0</v>
      </c>
      <c r="Q69" s="73">
        <f>IF(VLOOKUP($C69,'Performance Pivot'!$AI:$AW,15,0)="","",VLOOKUP($C69,'Performance Pivot'!$AI:$AW,15,0))</f>
        <v>0</v>
      </c>
      <c r="R69" s="52"/>
      <c r="S69" s="52"/>
      <c r="T69" s="92">
        <f t="shared" si="5"/>
        <v>42217</v>
      </c>
      <c r="U69" s="73">
        <f>IF(VLOOKUP($T69,'Performance Pivot'!$AZ:$BM,2,0)="","",VLOOKUP($T69,'Performance Pivot'!$AZ:$BM,2,0))</f>
        <v>0.25092007448420173</v>
      </c>
      <c r="V69" s="73">
        <f>IF(VLOOKUP($T69,'Performance Pivot'!$AZ:$BM,3,0)="","",VLOOKUP($T69,'Performance Pivot'!$AZ:$BM,3,0))</f>
        <v>0.24677353714166109</v>
      </c>
      <c r="W69" s="73">
        <f>IF(VLOOKUP($T69,'Performance Pivot'!$AZ:$BM,4,0)="","",VLOOKUP($T69,'Performance Pivot'!$AZ:$BM,4,0))</f>
        <v>0.29936563011793171</v>
      </c>
      <c r="X69" s="73">
        <f>IF(VLOOKUP($T69,'Performance Pivot'!$AZ:$BM,5,0)="","",VLOOKUP($T69,'Performance Pivot'!$AZ:$BM,5,0))</f>
        <v>0.28879615910972573</v>
      </c>
      <c r="Y69" s="73">
        <f>IF(VLOOKUP($T69,'Performance Pivot'!$AZ:$BM,6,0)="","",VLOOKUP($T69,'Performance Pivot'!$AZ:$BM,6,0))</f>
        <v>0.54953301347331029</v>
      </c>
      <c r="Z69" s="73">
        <f>IF(VLOOKUP($T69,'Performance Pivot'!$AZ:$BM,7,0)="","",VLOOKUP($T69,'Performance Pivot'!$AZ:$BM,7,0))</f>
        <v>0.44704856554057748</v>
      </c>
      <c r="AA69" s="73">
        <f>IF(VLOOKUP($T69,'Performance Pivot'!$AZ:$BM,8,0)="","",VLOOKUP($T69,'Performance Pivot'!$AZ:$BM,8,0))</f>
        <v>0.56222035686512573</v>
      </c>
      <c r="AB69" s="73">
        <f>IF(VLOOKUP($T69,'Performance Pivot'!$AZ:$BM,9,0)="","",VLOOKUP($T69,'Performance Pivot'!$AZ:$BM,9,0))</f>
        <v>0.36414265891730557</v>
      </c>
      <c r="AC69" s="73">
        <f>IF(VLOOKUP($T69,'Performance Pivot'!$AZ:$BM,10,0)="","",VLOOKUP($T69,'Performance Pivot'!$AZ:$BM,10,0))</f>
        <v>0.57403589479211892</v>
      </c>
      <c r="AD69" s="73">
        <f>IF(VLOOKUP($T69,'Performance Pivot'!$AZ:$BM,11,0)="","",VLOOKUP($T69,'Performance Pivot'!$AZ:$BM,11,0))</f>
        <v>0.35320936851065621</v>
      </c>
      <c r="AE69" s="73">
        <f>IF(VLOOKUP($T69,'Performance Pivot'!$AZ:$BM,12,0)="","",VLOOKUP($T69,'Performance Pivot'!$AZ:$BM,12,0))</f>
        <v>0.10078302425411327</v>
      </c>
      <c r="AF69" s="73">
        <f>IF(VLOOKUP($T69,'Performance Pivot'!$AZ:$BM,13,0)="","",VLOOKUP($T69,'Performance Pivot'!$AZ:$BM,13,0))</f>
        <v>0.22078166643906216</v>
      </c>
      <c r="AG69" s="73">
        <f>IF(VLOOKUP($T69,'Performance Pivot'!$AZ:$BM,14,0)="","",VLOOKUP($T69,'Performance Pivot'!$AZ:$BM,14,0))</f>
        <v>0.39150748196482088</v>
      </c>
      <c r="AH69" s="73">
        <f>IF(VLOOKUP($T69,'Performance Pivot'!$AZ:$BN,15,0)="","",VLOOKUP($T69,'Performance Pivot'!$AZ:$BN,15,0))</f>
        <v>0.1874338201023146</v>
      </c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</row>
    <row r="70" spans="3:47" s="74" customFormat="1" ht="21" customHeight="1">
      <c r="C70" s="76">
        <f t="shared" si="4"/>
        <v>42248</v>
      </c>
      <c r="D70" s="78">
        <f>IF(VLOOKUP($C70,'Performance Pivot'!$AI:$AV,2,0)="","",VLOOKUP($C70,'Performance Pivot'!$AI:$AV,2,0))</f>
        <v>0.09</v>
      </c>
      <c r="E70" s="78">
        <f>IF(VLOOKUP($C70,'Performance Pivot'!$AI:$AV,3,0)="","",VLOOKUP($C70,'Performance Pivot'!$AI:$AV,3,0))</f>
        <v>0.06</v>
      </c>
      <c r="F70" s="78">
        <f>IF(VLOOKUP($C70,'Performance Pivot'!$AI:$AV,4,0)="","",VLOOKUP($C70,'Performance Pivot'!$AI:$AV,4,0))</f>
        <v>0.04</v>
      </c>
      <c r="G70" s="78">
        <f>IF(VLOOKUP($C70,'Performance Pivot'!$AI:$AV,5,0)="","",VLOOKUP($C70,'Performance Pivot'!$AI:$AV,5,0))</f>
        <v>0.05</v>
      </c>
      <c r="H70" s="78">
        <f>IF(VLOOKUP($C70,'Performance Pivot'!$AI:$AV,6,0)="","",VLOOKUP($C70,'Performance Pivot'!$AI:$AV,6,0))</f>
        <v>0.06</v>
      </c>
      <c r="I70" s="78">
        <f>IF(VLOOKUP($C70,'Performance Pivot'!$AI:$AV,7,0)="","",VLOOKUP($C70,'Performance Pivot'!$AI:$AV,7,0))</f>
        <v>0.03</v>
      </c>
      <c r="J70" s="78">
        <f>IF(VLOOKUP($C70,'Performance Pivot'!$AI:$AV,8,0)="","",VLOOKUP($C70,'Performance Pivot'!$AI:$AV,8,0))</f>
        <v>0.09</v>
      </c>
      <c r="K70" s="78">
        <f>IF(VLOOKUP($C70,'Performance Pivot'!$AI:$AV,9,0)="","",VLOOKUP($C70,'Performance Pivot'!$AI:$AV,9,0))</f>
        <v>0.05</v>
      </c>
      <c r="L70" s="78">
        <f>IF(VLOOKUP($C70,'Performance Pivot'!$AI:$AV,10,0)="","",VLOOKUP($C70,'Performance Pivot'!$AI:$AV,10,0))</f>
        <v>0.09</v>
      </c>
      <c r="M70" s="78">
        <f>IF(VLOOKUP($C70,'Performance Pivot'!$AI:$AV,11,0)="","",VLOOKUP($C70,'Performance Pivot'!$AI:$AV,11,0))</f>
        <v>0</v>
      </c>
      <c r="N70" s="78">
        <f>IF(VLOOKUP($C70,'Performance Pivot'!$AI:$AV,12,0)="","",VLOOKUP($C70,'Performance Pivot'!$AI:$AV,12,0))</f>
        <v>0</v>
      </c>
      <c r="O70" s="78">
        <f>IF(VLOOKUP($C70,'Performance Pivot'!$AI:$AV,13,0)="","",VLOOKUP($C70,'Performance Pivot'!$AI:$AV,13,0))</f>
        <v>0</v>
      </c>
      <c r="P70" s="78">
        <f>IF(VLOOKUP($C70,'Performance Pivot'!$AI:$AV,14,0)="","",VLOOKUP($C70,'Performance Pivot'!$AI:$AV,14,0))</f>
        <v>0</v>
      </c>
      <c r="Q70" s="78">
        <f>IF(VLOOKUP($C70,'Performance Pivot'!$AI:$AW,15,0)="","",VLOOKUP($C70,'Performance Pivot'!$AI:$AW,15,0))</f>
        <v>0</v>
      </c>
      <c r="R70" s="52"/>
      <c r="S70" s="52"/>
      <c r="T70" s="93">
        <f t="shared" si="5"/>
        <v>42248</v>
      </c>
      <c r="U70" s="78">
        <f>IF(VLOOKUP($T70,'Performance Pivot'!$AZ:$BM,2,0)="","",VLOOKUP($T70,'Performance Pivot'!$AZ:$BM,2,0))</f>
        <v>0.25924193585551486</v>
      </c>
      <c r="V70" s="78">
        <f>IF(VLOOKUP($T70,'Performance Pivot'!$AZ:$BM,3,0)="","",VLOOKUP($T70,'Performance Pivot'!$AZ:$BM,3,0))</f>
        <v>0.2657795934934567</v>
      </c>
      <c r="W70" s="78">
        <f>IF(VLOOKUP($T70,'Performance Pivot'!$AZ:$BM,4,0)="","",VLOOKUP($T70,'Performance Pivot'!$AZ:$BM,4,0))</f>
        <v>0.33311377573687262</v>
      </c>
      <c r="X70" s="78">
        <f>IF(VLOOKUP($T70,'Performance Pivot'!$AZ:$BM,5,0)="","",VLOOKUP($T70,'Performance Pivot'!$AZ:$BM,5,0))</f>
        <v>0.3127217200314511</v>
      </c>
      <c r="Y70" s="78">
        <f>IF(VLOOKUP($T70,'Performance Pivot'!$AZ:$BM,6,0)="","",VLOOKUP($T70,'Performance Pivot'!$AZ:$BM,6,0))</f>
        <v>0.55651263990834043</v>
      </c>
      <c r="Z70" s="78">
        <f>IF(VLOOKUP($T70,'Performance Pivot'!$AZ:$BM,7,0)="","",VLOOKUP($T70,'Performance Pivot'!$AZ:$BM,7,0))</f>
        <v>0.48407804781829977</v>
      </c>
      <c r="AA70" s="78">
        <f>IF(VLOOKUP($T70,'Performance Pivot'!$AZ:$BM,8,0)="","",VLOOKUP($T70,'Performance Pivot'!$AZ:$BM,8,0))</f>
        <v>0.60113112927552981</v>
      </c>
      <c r="AB70" s="78">
        <f>IF(VLOOKUP($T70,'Performance Pivot'!$AZ:$BM,9,0)="","",VLOOKUP($T70,'Performance Pivot'!$AZ:$BM,9,0))</f>
        <v>0.41481829149619937</v>
      </c>
      <c r="AC70" s="78">
        <f>IF(VLOOKUP($T70,'Performance Pivot'!$AZ:$BM,10,0)="","",VLOOKUP($T70,'Performance Pivot'!$AZ:$BM,10,0))</f>
        <v>0.67203106134422352</v>
      </c>
      <c r="AD70" s="78">
        <f>IF(VLOOKUP($T70,'Performance Pivot'!$AZ:$BM,11,0)="","",VLOOKUP($T70,'Performance Pivot'!$AZ:$BM,11,0))</f>
        <v>0.39789972757054487</v>
      </c>
      <c r="AE70" s="78">
        <f>IF(VLOOKUP($T70,'Performance Pivot'!$AZ:$BM,12,0)="","",VLOOKUP($T70,'Performance Pivot'!$AZ:$BM,12,0))</f>
        <v>0.13144179580682891</v>
      </c>
      <c r="AF70" s="78">
        <f>IF(VLOOKUP($T70,'Performance Pivot'!$AZ:$BM,13,0)="","",VLOOKUP($T70,'Performance Pivot'!$AZ:$BM,13,0))</f>
        <v>0.27808821028903841</v>
      </c>
      <c r="AG70" s="78">
        <f>IF(VLOOKUP($T70,'Performance Pivot'!$AZ:$BM,14,0)="","",VLOOKUP($T70,'Performance Pivot'!$AZ:$BM,14,0))</f>
        <v>0.45051384509295339</v>
      </c>
      <c r="AH70" s="78">
        <f>IF(VLOOKUP($T70,'Performance Pivot'!$AZ:$BN,15,0)="","",VLOOKUP($T70,'Performance Pivot'!$AZ:$BN,15,0))</f>
        <v>0.24309686107907968</v>
      </c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</row>
    <row r="71" spans="3:47" hidden="1">
      <c r="C71" s="79"/>
      <c r="D71" s="82">
        <v>0.1</v>
      </c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70"/>
      <c r="S71" s="70"/>
      <c r="U71" s="83" t="e">
        <f>IF(VLOOKUP($T71,'Performance Pivot'!$AZ:$BM,2,0)="","",VLOOKUP($T71,'Performance Pivot'!$AZ:$BM,2,0))</f>
        <v>#N/A</v>
      </c>
      <c r="V71" s="83" t="e">
        <f>IF(VLOOKUP($T71,'Performance Pivot'!$AZ:$BM,3,0)="","",VLOOKUP($T71,'Performance Pivot'!$AZ:$BM,3,0))</f>
        <v>#N/A</v>
      </c>
      <c r="W71" s="83" t="e">
        <f>IF(VLOOKUP($T71,'Performance Pivot'!$AZ:$BM,4,0)="","",VLOOKUP($T71,'Performance Pivot'!$AZ:$BM,4,0))</f>
        <v>#N/A</v>
      </c>
      <c r="X71" s="83" t="e">
        <f>IF(VLOOKUP($T71,'Performance Pivot'!$AZ:$BM,5,0)="","",VLOOKUP($T71,'Performance Pivot'!$AZ:$BM,5,0))</f>
        <v>#N/A</v>
      </c>
      <c r="Y71" s="83" t="e">
        <f>IF(VLOOKUP($T71,'Performance Pivot'!$AZ:$BM,6,0)="","",VLOOKUP($T71,'Performance Pivot'!$AZ:$BM,6,0))</f>
        <v>#N/A</v>
      </c>
      <c r="Z71" s="83" t="e">
        <f>IF(VLOOKUP($T71,'Performance Pivot'!$AZ:$BM,7,0)="","",VLOOKUP($T71,'Performance Pivot'!$AZ:$BM,7,0))</f>
        <v>#N/A</v>
      </c>
      <c r="AA71" s="83" t="e">
        <f>IF(VLOOKUP($T71,'Performance Pivot'!$AZ:$BM,8,0)="","",VLOOKUP($T71,'Performance Pivot'!$AZ:$BM,8,0))</f>
        <v>#N/A</v>
      </c>
      <c r="AB71" s="83" t="e">
        <f>IF(VLOOKUP($T71,'Performance Pivot'!$AZ:$BM,9,0)="","",VLOOKUP($T71,'Performance Pivot'!$AZ:$BM,9,0))</f>
        <v>#N/A</v>
      </c>
      <c r="AC71" s="83" t="e">
        <f>IF(VLOOKUP($T71,'Performance Pivot'!$AZ:$BM,10,0)="","",VLOOKUP($T71,'Performance Pivot'!$AZ:$BM,10,0))</f>
        <v>#N/A</v>
      </c>
      <c r="AD71" s="83" t="e">
        <f>IF(VLOOKUP($T71,'Performance Pivot'!$AZ:$BM,11,0)="","",VLOOKUP($T71,'Performance Pivot'!$AZ:$BM,11,0))</f>
        <v>#N/A</v>
      </c>
      <c r="AE71" s="83" t="e">
        <f>IF(VLOOKUP($T71,'Performance Pivot'!$AZ:$BM,12,0)="","",VLOOKUP($T71,'Performance Pivot'!$AZ:$BM,12,0))</f>
        <v>#N/A</v>
      </c>
      <c r="AF71" s="83"/>
      <c r="AG71" s="83" t="e">
        <f>IF(VLOOKUP($T71,'Performance Pivot'!$AZ:$BM,13,0)="","",VLOOKUP($T71,'Performance Pivot'!$AZ:$BM,13,0))</f>
        <v>#N/A</v>
      </c>
      <c r="AH71" s="83" t="e">
        <f>IF(VLOOKUP($T71,'Performance Pivot'!$AZ:$BM,14,0)="","",VLOOKUP($T71,'Performance Pivot'!$AZ:$BM,14,0))</f>
        <v>#N/A</v>
      </c>
    </row>
    <row r="72" spans="3:47">
      <c r="C72" s="79"/>
      <c r="D72" s="84">
        <f>IF(D46='Performance Pivot'!D17,1,0)</f>
        <v>1</v>
      </c>
      <c r="E72" s="84">
        <f>IF(E46='Performance Pivot'!E17,1,0)</f>
        <v>1</v>
      </c>
      <c r="F72" s="84">
        <f>IF(F46='Performance Pivot'!F17,1,0)</f>
        <v>1</v>
      </c>
      <c r="G72" s="84">
        <f>IF(G46='Performance Pivot'!G17,1,0)</f>
        <v>1</v>
      </c>
      <c r="H72" s="84">
        <f>IF(H46='Performance Pivot'!H17,1,0)</f>
        <v>1</v>
      </c>
      <c r="I72" s="84">
        <f>IF(I46='Performance Pivot'!I17,1,0)</f>
        <v>1</v>
      </c>
      <c r="J72" s="84">
        <f>IF(J46='Performance Pivot'!J17,1,0)</f>
        <v>1</v>
      </c>
      <c r="K72" s="84">
        <f>IF(K46='Performance Pivot'!K17,1,0)</f>
        <v>1</v>
      </c>
      <c r="L72" s="84">
        <f>IF(L46='Performance Pivot'!L17,1,0)</f>
        <v>1</v>
      </c>
      <c r="M72" s="84">
        <f>IF(M46='Performance Pivot'!M17,1,0)</f>
        <v>1</v>
      </c>
      <c r="N72" s="84">
        <f>IF(N46='Performance Pivot'!N17,1,0)</f>
        <v>1</v>
      </c>
      <c r="O72" s="84">
        <f>IF(O46='Performance Pivot'!O17,1,0)</f>
        <v>1</v>
      </c>
      <c r="P72" s="84">
        <f>IF(P46='Performance Pivot'!P17,1,0)</f>
        <v>1</v>
      </c>
      <c r="Q72" s="82"/>
      <c r="R72" s="70"/>
      <c r="S72" s="70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</row>
  </sheetData>
  <mergeCells count="4">
    <mergeCell ref="C15:Q15"/>
    <mergeCell ref="T15:AH15"/>
    <mergeCell ref="C45:Q45"/>
    <mergeCell ref="T45:AH45"/>
  </mergeCells>
  <conditionalFormatting sqref="D71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{71313B37-C41B-4E33-8246-EAB640BF00E1}</x14:id>
        </ext>
      </extLst>
    </cfRule>
  </conditionalFormatting>
  <conditionalFormatting sqref="E71:Q71">
    <cfRule type="dataBar" priority="1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{B8A18F1B-1D59-4ED1-A0AA-93E72B9B0B8E}</x14:id>
        </ext>
      </extLst>
    </cfRule>
  </conditionalFormatting>
  <conditionalFormatting sqref="D71:Q71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{B2112622-669B-445D-99BA-B25857EFC3CB}</x14:id>
        </ext>
      </extLst>
    </cfRule>
  </conditionalFormatting>
  <conditionalFormatting sqref="D42:Q42">
    <cfRule type="dataBar" priority="1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{E43E9214-11BE-442F-83A9-2F4F79093CCC}</x14:id>
        </ext>
      </extLst>
    </cfRule>
  </conditionalFormatting>
  <conditionalFormatting sqref="U42:AH42">
    <cfRule type="dataBar" priority="1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{11BE0062-90F8-4B06-BDCA-5E7CFF72AC51}</x14:id>
        </ext>
      </extLst>
    </cfRule>
  </conditionalFormatting>
  <conditionalFormatting sqref="D17:Q40">
    <cfRule type="dataBar" priority="7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{ABF627F4-E84A-48E2-80DA-B76DFD01E579}</x14:id>
        </ext>
      </extLst>
    </cfRule>
  </conditionalFormatting>
  <conditionalFormatting sqref="U41:AG41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{1387F7A8-D797-4F48-9082-5F268F8B9A09}</x14:id>
        </ext>
      </extLst>
    </cfRule>
  </conditionalFormatting>
  <conditionalFormatting sqref="D47:Q70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{2F268727-04AD-495A-A1E7-BDA0FA8ACAD8}</x14:id>
        </ext>
      </extLst>
    </cfRule>
  </conditionalFormatting>
  <conditionalFormatting sqref="U47:AH70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{D6A5542D-40A2-42FD-9DD4-16FCF0FC8C66}</x14:id>
        </ext>
      </extLst>
    </cfRule>
  </conditionalFormatting>
  <conditionalFormatting sqref="U17:AH17 U18:AG40 AH18:AH41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{310E3DDE-B803-4943-98D5-14AA8D07FD3B}</x14:id>
        </ext>
      </extLst>
    </cfRule>
  </conditionalFormatting>
  <conditionalFormatting sqref="D72:P72">
    <cfRule type="cellIs" dxfId="70" priority="1" operator="equal">
      <formula>1</formula>
    </cfRule>
  </conditionalFormatting>
  <dataValidations count="2">
    <dataValidation type="list" allowBlank="1" showInputMessage="1" showErrorMessage="1" sqref="AN1">
      <formula1>"Yes, No"</formula1>
    </dataValidation>
    <dataValidation type="list" allowBlank="1" showInputMessage="1" showErrorMessage="1" sqref="AL1">
      <formula1>"PROD, DEV"</formula1>
    </dataValidation>
  </dataValidations>
  <pageMargins left="0.25" right="0.25" top="0.255" bottom="0.25" header="0.1" footer="0.1"/>
  <pageSetup scale="41" orientation="landscape" r:id="rId1"/>
  <headerFooter scaleWithDoc="0">
    <oddHeader>&amp;L&amp;G&amp;R&amp;"-,Bold"&amp;10&amp;K2E398A
&amp;C&amp;"-,Bold"&amp;15&amp;K2E398A
Deal Surveillance Summary: 9/2015</oddHeader>
    <oddFooter xml:space="preserve">&amp;L&amp;10&amp;K2E398AReport created on &amp;D &amp;T&amp;C&amp;G
</oddFooter>
  </headerFooter>
  <colBreaks count="1" manualBreakCount="1">
    <brk id="36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313B37-C41B-4E33-8246-EAB640BF00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</xm:sqref>
        </x14:conditionalFormatting>
        <x14:conditionalFormatting xmlns:xm="http://schemas.microsoft.com/office/excel/2006/main">
          <x14:cfRule type="dataBar" id="{B8A18F1B-1D59-4ED1-A0AA-93E72B9B0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E71:Q71</xm:sqref>
        </x14:conditionalFormatting>
        <x14:conditionalFormatting xmlns:xm="http://schemas.microsoft.com/office/excel/2006/main">
          <x14:cfRule type="dataBar" id="{B2112622-669B-445D-99BA-B25857EFC3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D71:Q71</xm:sqref>
        </x14:conditionalFormatting>
        <x14:conditionalFormatting xmlns:xm="http://schemas.microsoft.com/office/excel/2006/main">
          <x14:cfRule type="dataBar" id="{E43E9214-11BE-442F-83A9-2F4F79093C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D42:Q42</xm:sqref>
        </x14:conditionalFormatting>
        <x14:conditionalFormatting xmlns:xm="http://schemas.microsoft.com/office/excel/2006/main">
          <x14:cfRule type="dataBar" id="{11BE0062-90F8-4B06-BDCA-5E7CFF72A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U42:AH42</xm:sqref>
        </x14:conditionalFormatting>
        <x14:conditionalFormatting xmlns:xm="http://schemas.microsoft.com/office/excel/2006/main">
          <x14:cfRule type="dataBar" id="{ABF627F4-E84A-48E2-80DA-B76DFD01E5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D17:Q40</xm:sqref>
        </x14:conditionalFormatting>
        <x14:conditionalFormatting xmlns:xm="http://schemas.microsoft.com/office/excel/2006/main">
          <x14:cfRule type="dataBar" id="{1387F7A8-D797-4F48-9082-5F268F8B9A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U41:AG41</xm:sqref>
        </x14:conditionalFormatting>
        <x14:conditionalFormatting xmlns:xm="http://schemas.microsoft.com/office/excel/2006/main">
          <x14:cfRule type="dataBar" id="{2F268727-04AD-495A-A1E7-BDA0FA8ACAD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D47:Q70</xm:sqref>
        </x14:conditionalFormatting>
        <x14:conditionalFormatting xmlns:xm="http://schemas.microsoft.com/office/excel/2006/main">
          <x14:cfRule type="dataBar" id="{D6A5542D-40A2-42FD-9DD4-16FCF0FC8C6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U47:AH70</xm:sqref>
        </x14:conditionalFormatting>
        <x14:conditionalFormatting xmlns:xm="http://schemas.microsoft.com/office/excel/2006/main">
          <x14:cfRule type="dataBar" id="{310E3DDE-B803-4943-98D5-14AA8D07FD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U17:AH17 U18:AG40 AH18:AH41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  <pageSetUpPr fitToPage="1"/>
  </sheetPr>
  <dimension ref="B12:BO74"/>
  <sheetViews>
    <sheetView showGridLines="0" zoomScale="85" zoomScaleNormal="85" workbookViewId="0">
      <selection activeCell="O52" sqref="N52:O52"/>
    </sheetView>
  </sheetViews>
  <sheetFormatPr defaultRowHeight="15"/>
  <cols>
    <col min="1" max="1" width="9.140625" customWidth="1"/>
    <col min="3" max="3" width="15.140625" customWidth="1"/>
    <col min="4" max="4" width="17.85546875" customWidth="1"/>
    <col min="5" max="14" width="10.85546875" customWidth="1"/>
    <col min="15" max="15" width="15.5703125" customWidth="1"/>
    <col min="16" max="16" width="10.85546875" customWidth="1"/>
    <col min="17" max="17" width="14.5703125" customWidth="1"/>
    <col min="18" max="18" width="7.85546875" customWidth="1"/>
    <col min="19" max="19" width="15.140625" customWidth="1"/>
    <col min="20" max="20" width="17.85546875" customWidth="1"/>
    <col min="21" max="30" width="10.85546875" customWidth="1"/>
    <col min="31" max="31" width="15.5703125" customWidth="1"/>
    <col min="32" max="32" width="10.85546875" customWidth="1"/>
    <col min="33" max="33" width="14.5703125" customWidth="1"/>
    <col min="34" max="34" width="7.85546875" customWidth="1"/>
    <col min="35" max="35" width="16.42578125" customWidth="1"/>
    <col min="36" max="36" width="17.85546875" bestFit="1" customWidth="1"/>
    <col min="37" max="39" width="14.42578125" customWidth="1"/>
    <col min="40" max="40" width="14.42578125" bestFit="1" customWidth="1"/>
    <col min="41" max="41" width="14.42578125" customWidth="1"/>
    <col min="42" max="44" width="14.5703125" bestFit="1" customWidth="1"/>
    <col min="45" max="45" width="14.42578125" customWidth="1"/>
    <col min="46" max="46" width="15.5703125" bestFit="1" customWidth="1"/>
    <col min="47" max="47" width="15.5703125" customWidth="1"/>
    <col min="48" max="49" width="10.85546875" bestFit="1" customWidth="1"/>
    <col min="50" max="50" width="7.85546875" customWidth="1"/>
    <col min="52" max="52" width="15.140625" bestFit="1" customWidth="1"/>
    <col min="53" max="53" width="17.85546875" bestFit="1" customWidth="1"/>
    <col min="54" max="63" width="10.85546875" bestFit="1" customWidth="1"/>
    <col min="64" max="64" width="15.5703125" customWidth="1"/>
    <col min="65" max="66" width="10.85546875" bestFit="1" customWidth="1"/>
    <col min="67" max="67" width="7.85546875" customWidth="1"/>
  </cols>
  <sheetData>
    <row r="12" spans="2:67" ht="13.5" customHeight="1"/>
    <row r="14" spans="2:67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67" s="2" customFormat="1" ht="19.5" customHeight="1">
      <c r="B15"/>
      <c r="C15" s="100" t="s">
        <v>7</v>
      </c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4"/>
      <c r="R15" s="4"/>
      <c r="S15" s="101" t="s">
        <v>8</v>
      </c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/>
      <c r="AH15"/>
      <c r="AI15" s="102" t="s">
        <v>19</v>
      </c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4"/>
      <c r="AX15" s="4"/>
      <c r="AY15" s="4"/>
      <c r="AZ15" s="103" t="s">
        <v>20</v>
      </c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  <c r="BM15" s="103"/>
    </row>
    <row r="16" spans="2:67" s="2" customFormat="1">
      <c r="B16"/>
      <c r="C16" s="19" t="s">
        <v>9</v>
      </c>
      <c r="D16" s="19" t="s">
        <v>10</v>
      </c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19" t="s">
        <v>8</v>
      </c>
      <c r="T16" s="19" t="s">
        <v>10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19" t="s">
        <v>111</v>
      </c>
      <c r="AJ16" s="19" t="s">
        <v>10</v>
      </c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4"/>
      <c r="AZ16" s="19" t="s">
        <v>110</v>
      </c>
      <c r="BA16" s="19" t="s">
        <v>10</v>
      </c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</row>
    <row r="17" spans="2:67" s="45" customFormat="1" ht="25.5">
      <c r="C17" s="58" t="s">
        <v>11</v>
      </c>
      <c r="D17" s="46" t="s">
        <v>59</v>
      </c>
      <c r="E17" s="46" t="s">
        <v>61</v>
      </c>
      <c r="F17" s="46" t="s">
        <v>63</v>
      </c>
      <c r="G17" s="46" t="s">
        <v>65</v>
      </c>
      <c r="H17" s="46" t="s">
        <v>67</v>
      </c>
      <c r="I17" s="46" t="s">
        <v>69</v>
      </c>
      <c r="J17" s="46" t="s">
        <v>71</v>
      </c>
      <c r="K17" s="46" t="s">
        <v>73</v>
      </c>
      <c r="L17" s="46" t="s">
        <v>75</v>
      </c>
      <c r="M17" s="46" t="s">
        <v>77</v>
      </c>
      <c r="N17" s="46" t="s">
        <v>79</v>
      </c>
      <c r="O17" s="106" t="s">
        <v>81</v>
      </c>
      <c r="P17" s="46" t="s">
        <v>83</v>
      </c>
      <c r="Q17" s="46" t="s">
        <v>85</v>
      </c>
      <c r="R17" s="106" t="s">
        <v>285</v>
      </c>
      <c r="S17" s="48" t="s">
        <v>11</v>
      </c>
      <c r="T17" s="56" t="s">
        <v>59</v>
      </c>
      <c r="U17" s="56" t="s">
        <v>61</v>
      </c>
      <c r="V17" s="56" t="s">
        <v>63</v>
      </c>
      <c r="W17" s="56" t="s">
        <v>65</v>
      </c>
      <c r="X17" s="56" t="s">
        <v>67</v>
      </c>
      <c r="Y17" s="56" t="s">
        <v>69</v>
      </c>
      <c r="Z17" s="56" t="s">
        <v>71</v>
      </c>
      <c r="AA17" s="56" t="s">
        <v>73</v>
      </c>
      <c r="AB17" s="56" t="s">
        <v>75</v>
      </c>
      <c r="AC17" s="56" t="s">
        <v>77</v>
      </c>
      <c r="AD17" s="56" t="s">
        <v>79</v>
      </c>
      <c r="AE17" s="106" t="s">
        <v>81</v>
      </c>
      <c r="AF17" s="56" t="s">
        <v>83</v>
      </c>
      <c r="AG17" s="56" t="s">
        <v>85</v>
      </c>
      <c r="AH17" s="106" t="s">
        <v>285</v>
      </c>
      <c r="AI17" s="50" t="s">
        <v>11</v>
      </c>
      <c r="AJ17" s="53" t="s">
        <v>59</v>
      </c>
      <c r="AK17" s="53" t="s">
        <v>61</v>
      </c>
      <c r="AL17" s="53" t="s">
        <v>63</v>
      </c>
      <c r="AM17" s="53" t="s">
        <v>65</v>
      </c>
      <c r="AN17" s="53" t="s">
        <v>67</v>
      </c>
      <c r="AO17" s="53" t="s">
        <v>69</v>
      </c>
      <c r="AP17" s="53" t="s">
        <v>71</v>
      </c>
      <c r="AQ17" s="53" t="s">
        <v>73</v>
      </c>
      <c r="AR17" s="53" t="s">
        <v>75</v>
      </c>
      <c r="AS17" s="53" t="s">
        <v>77</v>
      </c>
      <c r="AT17" s="53" t="s">
        <v>79</v>
      </c>
      <c r="AU17" s="106" t="s">
        <v>81</v>
      </c>
      <c r="AV17" s="53" t="s">
        <v>83</v>
      </c>
      <c r="AW17" s="53" t="s">
        <v>85</v>
      </c>
      <c r="AX17" s="106" t="s">
        <v>285</v>
      </c>
      <c r="AY17" s="47"/>
      <c r="AZ17" s="51" t="s">
        <v>11</v>
      </c>
      <c r="BA17" s="55" t="s">
        <v>59</v>
      </c>
      <c r="BB17" s="55" t="s">
        <v>61</v>
      </c>
      <c r="BC17" s="55" t="s">
        <v>63</v>
      </c>
      <c r="BD17" s="55" t="s">
        <v>65</v>
      </c>
      <c r="BE17" s="55" t="s">
        <v>67</v>
      </c>
      <c r="BF17" s="55" t="s">
        <v>69</v>
      </c>
      <c r="BG17" s="55" t="s">
        <v>71</v>
      </c>
      <c r="BH17" s="55" t="s">
        <v>73</v>
      </c>
      <c r="BI17" s="55" t="s">
        <v>75</v>
      </c>
      <c r="BJ17" s="55" t="s">
        <v>77</v>
      </c>
      <c r="BK17" s="55" t="s">
        <v>79</v>
      </c>
      <c r="BL17" s="106" t="s">
        <v>81</v>
      </c>
      <c r="BM17" s="55" t="s">
        <v>83</v>
      </c>
      <c r="BN17" s="55" t="s">
        <v>85</v>
      </c>
      <c r="BO17" s="106" t="s">
        <v>285</v>
      </c>
    </row>
    <row r="18" spans="2:67" s="11" customFormat="1" ht="18" customHeight="1">
      <c r="B18" s="9"/>
      <c r="C18" s="12">
        <v>42248</v>
      </c>
      <c r="D18" s="13">
        <v>9.6443999999999992</v>
      </c>
      <c r="E18" s="13">
        <v>7.5293000000000001</v>
      </c>
      <c r="F18" s="13">
        <v>8.2645999999999997</v>
      </c>
      <c r="G18" s="13">
        <v>10.495200000000001</v>
      </c>
      <c r="H18" s="13">
        <v>15.405200000000001</v>
      </c>
      <c r="I18" s="13">
        <v>15.6106</v>
      </c>
      <c r="J18" s="13">
        <v>15.9092</v>
      </c>
      <c r="K18" s="13">
        <v>10.833</v>
      </c>
      <c r="L18" s="13">
        <v>16.451499999999999</v>
      </c>
      <c r="M18" s="13">
        <v>14.168200000000001</v>
      </c>
      <c r="N18" s="13">
        <v>8.3157999999999994</v>
      </c>
      <c r="O18" s="13">
        <v>11.4223</v>
      </c>
      <c r="P18" s="13">
        <v>14.1358</v>
      </c>
      <c r="Q18" s="13">
        <v>10.859</v>
      </c>
      <c r="R18" s="13">
        <v>9.7112999999999996</v>
      </c>
      <c r="S18" s="12">
        <v>42248</v>
      </c>
      <c r="T18" s="14">
        <v>8.1600000000000006E-2</v>
      </c>
      <c r="U18" s="14">
        <v>4.4299999999999999E-2</v>
      </c>
      <c r="V18" s="14">
        <v>2.2700000000000001E-2</v>
      </c>
      <c r="W18" s="14">
        <v>8.2600000000000007E-2</v>
      </c>
      <c r="X18" s="14">
        <v>4.3999999999999997E-2</v>
      </c>
      <c r="Y18" s="14">
        <v>7.0000000000000007E-2</v>
      </c>
      <c r="Z18" s="14">
        <v>3.6700000000000003E-2</v>
      </c>
      <c r="AA18" s="14">
        <v>0.13370000000000001</v>
      </c>
      <c r="AB18" s="14">
        <v>0.126</v>
      </c>
      <c r="AC18" s="14">
        <v>2.93E-2</v>
      </c>
      <c r="AD18" s="14">
        <v>4.8099999999999997E-2</v>
      </c>
      <c r="AE18" s="14">
        <v>0</v>
      </c>
      <c r="AF18" s="14">
        <v>6.59E-2</v>
      </c>
      <c r="AG18" s="14">
        <v>0</v>
      </c>
      <c r="AH18" s="14">
        <v>0</v>
      </c>
      <c r="AI18" s="12">
        <v>42248</v>
      </c>
      <c r="AJ18" s="14">
        <v>0.09</v>
      </c>
      <c r="AK18" s="14">
        <v>0.06</v>
      </c>
      <c r="AL18" s="14">
        <v>0.04</v>
      </c>
      <c r="AM18" s="14">
        <v>0.05</v>
      </c>
      <c r="AN18" s="14">
        <v>0.06</v>
      </c>
      <c r="AO18" s="14">
        <v>0.03</v>
      </c>
      <c r="AP18" s="14">
        <v>0.09</v>
      </c>
      <c r="AQ18" s="14">
        <v>0.05</v>
      </c>
      <c r="AR18" s="14">
        <v>0.09</v>
      </c>
      <c r="AS18" s="14">
        <v>0</v>
      </c>
      <c r="AT18" s="14">
        <v>0</v>
      </c>
      <c r="AU18" s="14">
        <v>0</v>
      </c>
      <c r="AV18" s="14">
        <v>0</v>
      </c>
      <c r="AW18" s="14">
        <v>0</v>
      </c>
      <c r="AX18" s="14">
        <v>0</v>
      </c>
      <c r="AY18" s="10"/>
      <c r="AZ18" s="12">
        <v>42248</v>
      </c>
      <c r="BA18" s="14">
        <v>0.25924193585551486</v>
      </c>
      <c r="BB18" s="14">
        <v>0.2657795934934567</v>
      </c>
      <c r="BC18" s="14">
        <v>0.33311377573687262</v>
      </c>
      <c r="BD18" s="14">
        <v>0.3127217200314511</v>
      </c>
      <c r="BE18" s="14">
        <v>0.55651263990834043</v>
      </c>
      <c r="BF18" s="14">
        <v>0.48407804781829977</v>
      </c>
      <c r="BG18" s="14">
        <v>0.60113112927552981</v>
      </c>
      <c r="BH18" s="14">
        <v>0.41481829149619937</v>
      </c>
      <c r="BI18" s="14">
        <v>0.67203106134422352</v>
      </c>
      <c r="BJ18" s="14">
        <v>0.39789972757054487</v>
      </c>
      <c r="BK18" s="14">
        <v>0.13144179580682891</v>
      </c>
      <c r="BL18" s="14">
        <v>0.27808821028903841</v>
      </c>
      <c r="BM18" s="14">
        <v>0.45051384509295339</v>
      </c>
      <c r="BN18" s="14">
        <v>0.24309686107907968</v>
      </c>
      <c r="BO18" s="14">
        <v>0.17710669047382466</v>
      </c>
    </row>
    <row r="19" spans="2:67" s="11" customFormat="1" ht="18" customHeight="1">
      <c r="B19" s="9"/>
      <c r="C19" s="12">
        <v>42217</v>
      </c>
      <c r="D19" s="13">
        <v>9.1184999999999992</v>
      </c>
      <c r="E19" s="13">
        <v>8.3277999999999999</v>
      </c>
      <c r="F19" s="13">
        <v>8.5422999999999991</v>
      </c>
      <c r="G19" s="13">
        <v>10.8576</v>
      </c>
      <c r="H19" s="13">
        <v>14.4041</v>
      </c>
      <c r="I19" s="13">
        <v>15.478899999999999</v>
      </c>
      <c r="J19" s="13">
        <v>16.1083</v>
      </c>
      <c r="K19" s="13">
        <v>10.993600000000001</v>
      </c>
      <c r="L19" s="13">
        <v>14.2502</v>
      </c>
      <c r="M19" s="13">
        <v>12.940200000000001</v>
      </c>
      <c r="N19" s="13">
        <v>8.2365999999999993</v>
      </c>
      <c r="O19" s="13">
        <v>10.4857</v>
      </c>
      <c r="P19" s="13">
        <v>11.7867</v>
      </c>
      <c r="Q19" s="13">
        <v>11.0336</v>
      </c>
      <c r="R19" s="13"/>
      <c r="S19" s="12">
        <v>42217</v>
      </c>
      <c r="T19" s="14">
        <v>6.2300000000000001E-2</v>
      </c>
      <c r="U19" s="14">
        <v>3.1899999999999998E-2</v>
      </c>
      <c r="V19" s="14">
        <v>6.1800000000000001E-2</v>
      </c>
      <c r="W19" s="14">
        <v>0.1022</v>
      </c>
      <c r="X19" s="14">
        <v>7.0000000000000007E-2</v>
      </c>
      <c r="Y19" s="14">
        <v>0.18429999999999999</v>
      </c>
      <c r="Z19" s="14">
        <v>5.0799999999999998E-2</v>
      </c>
      <c r="AA19" s="14">
        <v>0.1221</v>
      </c>
      <c r="AB19" s="14">
        <v>0.1888</v>
      </c>
      <c r="AC19" s="14">
        <v>2.2200000000000001E-2</v>
      </c>
      <c r="AD19" s="14">
        <v>0</v>
      </c>
      <c r="AE19" s="14">
        <v>0</v>
      </c>
      <c r="AF19" s="14">
        <v>2.5700000000000001E-2</v>
      </c>
      <c r="AG19" s="14">
        <v>0</v>
      </c>
      <c r="AH19" s="14"/>
      <c r="AI19" s="12">
        <v>42217</v>
      </c>
      <c r="AJ19" s="14">
        <v>0.08</v>
      </c>
      <c r="AK19" s="14">
        <v>0.06</v>
      </c>
      <c r="AL19" s="14">
        <v>0.04</v>
      </c>
      <c r="AM19" s="14">
        <v>0.04</v>
      </c>
      <c r="AN19" s="14">
        <v>0.05</v>
      </c>
      <c r="AO19" s="14">
        <v>0.02</v>
      </c>
      <c r="AP19" s="14">
        <v>0.09</v>
      </c>
      <c r="AQ19" s="14">
        <v>0.04</v>
      </c>
      <c r="AR19" s="14">
        <v>0.08</v>
      </c>
      <c r="AS19" s="14">
        <v>0</v>
      </c>
      <c r="AT19" s="14">
        <v>0</v>
      </c>
      <c r="AU19" s="14">
        <v>0</v>
      </c>
      <c r="AV19" s="14">
        <v>0</v>
      </c>
      <c r="AW19" s="14">
        <v>0</v>
      </c>
      <c r="AX19" s="14"/>
      <c r="AY19" s="10"/>
      <c r="AZ19" s="12">
        <v>42217</v>
      </c>
      <c r="BA19" s="14">
        <v>0.25092007448420173</v>
      </c>
      <c r="BB19" s="14">
        <v>0.24677353714166109</v>
      </c>
      <c r="BC19" s="14">
        <v>0.29936563011793171</v>
      </c>
      <c r="BD19" s="14">
        <v>0.28879615910972573</v>
      </c>
      <c r="BE19" s="14">
        <v>0.54953301347331029</v>
      </c>
      <c r="BF19" s="14">
        <v>0.44704856554057748</v>
      </c>
      <c r="BG19" s="14">
        <v>0.56222035686512573</v>
      </c>
      <c r="BH19" s="14">
        <v>0.36414265891730557</v>
      </c>
      <c r="BI19" s="14">
        <v>0.57403589479211892</v>
      </c>
      <c r="BJ19" s="14">
        <v>0.35320936851065621</v>
      </c>
      <c r="BK19" s="14">
        <v>0.10078302425411327</v>
      </c>
      <c r="BL19" s="14">
        <v>0.22078166643906216</v>
      </c>
      <c r="BM19" s="14">
        <v>0.39150748196482088</v>
      </c>
      <c r="BN19" s="14">
        <v>0.1874338201023146</v>
      </c>
      <c r="BO19" s="14"/>
    </row>
    <row r="20" spans="2:67" s="11" customFormat="1" ht="18" customHeight="1">
      <c r="B20" s="9"/>
      <c r="C20" s="12">
        <v>42186</v>
      </c>
      <c r="D20" s="13">
        <v>11.096500000000001</v>
      </c>
      <c r="E20" s="13">
        <v>9.5690000000000008</v>
      </c>
      <c r="F20" s="13">
        <v>10.4032</v>
      </c>
      <c r="G20" s="13">
        <v>12.2623</v>
      </c>
      <c r="H20" s="13">
        <v>17.301200000000001</v>
      </c>
      <c r="I20" s="13">
        <v>18.136199999999999</v>
      </c>
      <c r="J20" s="13">
        <v>18.6906</v>
      </c>
      <c r="K20" s="13">
        <v>12.2525</v>
      </c>
      <c r="L20" s="13">
        <v>15.195</v>
      </c>
      <c r="M20" s="13">
        <v>14.5617</v>
      </c>
      <c r="N20" s="13">
        <v>10.081899999999999</v>
      </c>
      <c r="O20" s="13">
        <v>25.1676</v>
      </c>
      <c r="P20" s="13">
        <v>13.311999999999999</v>
      </c>
      <c r="Q20" s="13">
        <v>12.242000000000001</v>
      </c>
      <c r="R20" s="13"/>
      <c r="S20" s="12">
        <v>42186</v>
      </c>
      <c r="T20" s="14">
        <v>4.1200000000000001E-2</v>
      </c>
      <c r="U20" s="14">
        <v>5.3800000000000001E-2</v>
      </c>
      <c r="V20" s="14">
        <v>0.03</v>
      </c>
      <c r="W20" s="14">
        <v>4.7699999999999999E-2</v>
      </c>
      <c r="X20" s="14">
        <v>0.1888</v>
      </c>
      <c r="Y20" s="14">
        <v>1.6299999999999999E-2</v>
      </c>
      <c r="Z20" s="14">
        <v>0.1346</v>
      </c>
      <c r="AA20" s="14">
        <v>8.2000000000000003E-2</v>
      </c>
      <c r="AB20" s="14">
        <v>0.26369999999999999</v>
      </c>
      <c r="AC20" s="14">
        <v>2.24E-2</v>
      </c>
      <c r="AD20" s="14">
        <v>0</v>
      </c>
      <c r="AE20" s="14">
        <v>0</v>
      </c>
      <c r="AF20" s="14">
        <v>0</v>
      </c>
      <c r="AG20" s="14">
        <v>0</v>
      </c>
      <c r="AH20" s="14"/>
      <c r="AI20" s="12">
        <v>42186</v>
      </c>
      <c r="AJ20" s="14">
        <v>0.08</v>
      </c>
      <c r="AK20" s="14">
        <v>0.06</v>
      </c>
      <c r="AL20" s="14">
        <v>0.03</v>
      </c>
      <c r="AM20" s="14">
        <v>0.03</v>
      </c>
      <c r="AN20" s="14">
        <v>0.05</v>
      </c>
      <c r="AO20" s="14">
        <v>0</v>
      </c>
      <c r="AP20" s="14">
        <v>0.08</v>
      </c>
      <c r="AQ20" s="14">
        <v>0.03</v>
      </c>
      <c r="AR20" s="14">
        <v>6.9999999999999993E-2</v>
      </c>
      <c r="AS20" s="14">
        <v>0</v>
      </c>
      <c r="AT20" s="14">
        <v>0</v>
      </c>
      <c r="AU20" s="14">
        <v>0</v>
      </c>
      <c r="AV20" s="14">
        <v>0</v>
      </c>
      <c r="AW20" s="14">
        <v>0</v>
      </c>
      <c r="AX20" s="14"/>
      <c r="AY20" s="10"/>
      <c r="AZ20" s="12">
        <v>42186</v>
      </c>
      <c r="BA20" s="14">
        <v>0.23798532673419093</v>
      </c>
      <c r="BB20" s="14">
        <v>0.2693313699260364</v>
      </c>
      <c r="BC20" s="14">
        <v>0.32520699489016247</v>
      </c>
      <c r="BD20" s="14">
        <v>0.35701651150551172</v>
      </c>
      <c r="BE20" s="14">
        <v>0.5005775536855972</v>
      </c>
      <c r="BF20" s="14">
        <v>0.48527008041311614</v>
      </c>
      <c r="BG20" s="14">
        <v>0.63429161887099872</v>
      </c>
      <c r="BH20" s="14">
        <v>0.3697053550181762</v>
      </c>
      <c r="BI20" s="14">
        <v>0.53953086517852711</v>
      </c>
      <c r="BJ20" s="14">
        <v>0.34387796117427732</v>
      </c>
      <c r="BK20" s="14">
        <v>0.1208310427207052</v>
      </c>
      <c r="BL20" s="14">
        <v>0.18896133215620811</v>
      </c>
      <c r="BM20" s="14">
        <v>0.31596295628317278</v>
      </c>
      <c r="BN20" s="14">
        <v>0.18794026635588906</v>
      </c>
      <c r="BO20" s="14"/>
    </row>
    <row r="21" spans="2:67" s="11" customFormat="1" ht="18" customHeight="1">
      <c r="B21" s="9"/>
      <c r="C21" s="12">
        <v>42156</v>
      </c>
      <c r="D21" s="13">
        <v>12.027900000000001</v>
      </c>
      <c r="E21" s="13">
        <v>9.6722000000000001</v>
      </c>
      <c r="F21" s="13">
        <v>10.358499999999999</v>
      </c>
      <c r="G21" s="13">
        <v>13.9869</v>
      </c>
      <c r="H21" s="13">
        <v>21.8673</v>
      </c>
      <c r="I21" s="13">
        <v>23.1372</v>
      </c>
      <c r="J21" s="13">
        <v>21.891200000000001</v>
      </c>
      <c r="K21" s="13">
        <v>13.186500000000001</v>
      </c>
      <c r="L21" s="13">
        <v>19.9374</v>
      </c>
      <c r="M21" s="13">
        <v>19.9191</v>
      </c>
      <c r="N21" s="13">
        <v>10.8714</v>
      </c>
      <c r="O21" s="13"/>
      <c r="P21" s="13">
        <v>15.6732</v>
      </c>
      <c r="Q21" s="13">
        <v>13.1333</v>
      </c>
      <c r="R21" s="13"/>
      <c r="S21" s="12">
        <v>42156</v>
      </c>
      <c r="T21" s="14">
        <v>0.12759999999999999</v>
      </c>
      <c r="U21" s="14">
        <v>2.2200000000000001E-2</v>
      </c>
      <c r="V21" s="14">
        <v>2.69E-2</v>
      </c>
      <c r="W21" s="14">
        <v>5.04E-2</v>
      </c>
      <c r="X21" s="14">
        <v>0.1091</v>
      </c>
      <c r="Y21" s="14">
        <v>5.1000000000000004E-3</v>
      </c>
      <c r="Z21" s="14">
        <v>6.4899999999999999E-2</v>
      </c>
      <c r="AA21" s="14">
        <v>6.08E-2</v>
      </c>
      <c r="AB21" s="14">
        <v>0.1643</v>
      </c>
      <c r="AC21" s="14">
        <v>2.7900000000000001E-2</v>
      </c>
      <c r="AD21" s="14">
        <v>0</v>
      </c>
      <c r="AE21" s="14"/>
      <c r="AF21" s="14">
        <v>0</v>
      </c>
      <c r="AG21" s="14">
        <v>0</v>
      </c>
      <c r="AH21" s="14"/>
      <c r="AI21" s="12">
        <v>42156</v>
      </c>
      <c r="AJ21" s="14">
        <v>0.08</v>
      </c>
      <c r="AK21" s="14">
        <v>0.05</v>
      </c>
      <c r="AL21" s="14">
        <v>0.03</v>
      </c>
      <c r="AM21" s="14">
        <v>0.03</v>
      </c>
      <c r="AN21" s="14">
        <v>0.03</v>
      </c>
      <c r="AO21" s="14">
        <v>0</v>
      </c>
      <c r="AP21" s="14">
        <v>6.9999999999999993E-2</v>
      </c>
      <c r="AQ21" s="14">
        <v>0.03</v>
      </c>
      <c r="AR21" s="14">
        <v>0.05</v>
      </c>
      <c r="AS21" s="14">
        <v>0</v>
      </c>
      <c r="AT21" s="14">
        <v>0</v>
      </c>
      <c r="AU21" s="14"/>
      <c r="AV21" s="14">
        <v>0</v>
      </c>
      <c r="AW21" s="14">
        <v>0</v>
      </c>
      <c r="AX21" s="14"/>
      <c r="AY21" s="10"/>
      <c r="AZ21" s="12">
        <v>42156</v>
      </c>
      <c r="BA21" s="14">
        <v>0.2577548457192439</v>
      </c>
      <c r="BB21" s="14">
        <v>0.32067372969835706</v>
      </c>
      <c r="BC21" s="14">
        <v>0.28050422056194813</v>
      </c>
      <c r="BD21" s="14">
        <v>0.33860890945943956</v>
      </c>
      <c r="BE21" s="14">
        <v>0.521449667543878</v>
      </c>
      <c r="BF21" s="14">
        <v>0.46020475239365677</v>
      </c>
      <c r="BG21" s="14">
        <v>0.60385130716070412</v>
      </c>
      <c r="BH21" s="14">
        <v>0.3720971494239072</v>
      </c>
      <c r="BI21" s="14">
        <v>0.57942973305399781</v>
      </c>
      <c r="BJ21" s="14">
        <v>0.34896170247136821</v>
      </c>
      <c r="BK21" s="14">
        <v>0.11732460740217733</v>
      </c>
      <c r="BL21" s="14"/>
      <c r="BM21" s="14">
        <v>0.26125791475655696</v>
      </c>
      <c r="BN21" s="14">
        <v>0.16480840372752412</v>
      </c>
      <c r="BO21" s="14"/>
    </row>
    <row r="22" spans="2:67" s="11" customFormat="1" ht="18" customHeight="1">
      <c r="B22" s="9"/>
      <c r="C22" s="12">
        <v>42125</v>
      </c>
      <c r="D22" s="13">
        <v>10.681699999999999</v>
      </c>
      <c r="E22" s="13">
        <v>8.6698000000000004</v>
      </c>
      <c r="F22" s="13">
        <v>9.8811</v>
      </c>
      <c r="G22" s="13">
        <v>14.3132</v>
      </c>
      <c r="H22" s="13">
        <v>25.523</v>
      </c>
      <c r="I22" s="13">
        <v>24.0733</v>
      </c>
      <c r="J22" s="13">
        <v>22.283799999999999</v>
      </c>
      <c r="K22" s="13">
        <v>12.791600000000001</v>
      </c>
      <c r="L22" s="13">
        <v>21.285599999999999</v>
      </c>
      <c r="M22" s="13">
        <v>23.322399999999998</v>
      </c>
      <c r="N22" s="13">
        <v>17.0291</v>
      </c>
      <c r="O22" s="13"/>
      <c r="P22" s="13">
        <v>17.484500000000001</v>
      </c>
      <c r="Q22" s="13">
        <v>12.834</v>
      </c>
      <c r="R22" s="13"/>
      <c r="S22" s="12">
        <v>42125</v>
      </c>
      <c r="T22" s="14">
        <v>5.2200000000000003E-2</v>
      </c>
      <c r="U22" s="14">
        <v>0.1116</v>
      </c>
      <c r="V22" s="14">
        <v>6.3500000000000001E-2</v>
      </c>
      <c r="W22" s="14">
        <v>5.2600000000000001E-2</v>
      </c>
      <c r="X22" s="14">
        <v>5.9700000000000003E-2</v>
      </c>
      <c r="Y22" s="14">
        <v>6.83E-2</v>
      </c>
      <c r="Z22" s="14">
        <v>0.22869999999999999</v>
      </c>
      <c r="AA22" s="14">
        <v>6.0499999999999998E-2</v>
      </c>
      <c r="AB22" s="14">
        <v>0.1095</v>
      </c>
      <c r="AC22" s="14">
        <v>0</v>
      </c>
      <c r="AD22" s="14">
        <v>0</v>
      </c>
      <c r="AE22" s="14"/>
      <c r="AF22" s="14">
        <v>0</v>
      </c>
      <c r="AG22" s="14">
        <v>0</v>
      </c>
      <c r="AH22" s="14"/>
      <c r="AI22" s="12">
        <v>42125</v>
      </c>
      <c r="AJ22" s="14">
        <v>6.9999999999999993E-2</v>
      </c>
      <c r="AK22" s="14">
        <v>0.05</v>
      </c>
      <c r="AL22" s="14">
        <v>0.03</v>
      </c>
      <c r="AM22" s="14">
        <v>0.02</v>
      </c>
      <c r="AN22" s="14">
        <v>0.02</v>
      </c>
      <c r="AO22" s="14">
        <v>0</v>
      </c>
      <c r="AP22" s="14">
        <v>6.9999999999999993E-2</v>
      </c>
      <c r="AQ22" s="14">
        <v>0.02</v>
      </c>
      <c r="AR22" s="14">
        <v>0.03</v>
      </c>
      <c r="AS22" s="14">
        <v>0</v>
      </c>
      <c r="AT22" s="14">
        <v>0</v>
      </c>
      <c r="AU22" s="14"/>
      <c r="AV22" s="14">
        <v>0</v>
      </c>
      <c r="AW22" s="14">
        <v>0</v>
      </c>
      <c r="AX22" s="14"/>
      <c r="AY22" s="10"/>
      <c r="AZ22" s="12">
        <v>42125</v>
      </c>
      <c r="BA22" s="14">
        <v>0.22724679367011746</v>
      </c>
      <c r="BB22" s="14">
        <v>0.22965921277708906</v>
      </c>
      <c r="BC22" s="14">
        <v>0.24385021377300184</v>
      </c>
      <c r="BD22" s="14">
        <v>0.28626337667243235</v>
      </c>
      <c r="BE22" s="14">
        <v>0.40309554871447428</v>
      </c>
      <c r="BF22" s="14">
        <v>0.38334413794289285</v>
      </c>
      <c r="BG22" s="14">
        <v>0.50240731664733307</v>
      </c>
      <c r="BH22" s="14">
        <v>0.2931041290131326</v>
      </c>
      <c r="BI22" s="14">
        <v>0.43768078138989835</v>
      </c>
      <c r="BJ22" s="14">
        <v>0.27168224597874802</v>
      </c>
      <c r="BK22" s="14">
        <v>7.5054010808474542E-2</v>
      </c>
      <c r="BL22" s="14"/>
      <c r="BM22" s="14">
        <v>0.1913613353225801</v>
      </c>
      <c r="BN22" s="14">
        <v>0.10286290716246872</v>
      </c>
      <c r="BO22" s="14"/>
    </row>
    <row r="23" spans="2:67" s="11" customFormat="1" ht="18" customHeight="1">
      <c r="B23" s="9"/>
      <c r="C23" s="12">
        <v>42095</v>
      </c>
      <c r="D23" s="13">
        <v>10.7645</v>
      </c>
      <c r="E23" s="13">
        <v>8.1675000000000004</v>
      </c>
      <c r="F23" s="13">
        <v>8.7393000000000001</v>
      </c>
      <c r="G23" s="13">
        <v>14.578799999999999</v>
      </c>
      <c r="H23" s="13">
        <v>28.069600000000001</v>
      </c>
      <c r="I23" s="13">
        <v>27.761600000000001</v>
      </c>
      <c r="J23" s="13">
        <v>22.742599999999999</v>
      </c>
      <c r="K23" s="13">
        <v>12.5951</v>
      </c>
      <c r="L23" s="13">
        <v>22.537099999999999</v>
      </c>
      <c r="M23" s="13">
        <v>24.6311</v>
      </c>
      <c r="N23" s="13"/>
      <c r="O23" s="13"/>
      <c r="P23" s="13">
        <v>39.804000000000002</v>
      </c>
      <c r="Q23" s="13"/>
      <c r="R23" s="13"/>
      <c r="S23" s="12">
        <v>42095</v>
      </c>
      <c r="T23" s="14">
        <v>7.2300000000000003E-2</v>
      </c>
      <c r="U23" s="14">
        <v>6.3100000000000003E-2</v>
      </c>
      <c r="V23" s="14">
        <v>2.2800000000000001E-2</v>
      </c>
      <c r="W23" s="14">
        <v>4.1599999999999998E-2</v>
      </c>
      <c r="X23" s="14">
        <v>9.6799999999999997E-2</v>
      </c>
      <c r="Y23" s="14">
        <v>0</v>
      </c>
      <c r="Z23" s="14">
        <v>0.1807</v>
      </c>
      <c r="AA23" s="14">
        <v>0.06</v>
      </c>
      <c r="AB23" s="14">
        <v>0.1017</v>
      </c>
      <c r="AC23" s="14">
        <v>0</v>
      </c>
      <c r="AD23" s="14"/>
      <c r="AE23" s="14"/>
      <c r="AF23" s="14">
        <v>0</v>
      </c>
      <c r="AG23" s="14"/>
      <c r="AH23" s="14"/>
      <c r="AI23" s="12">
        <v>42095</v>
      </c>
      <c r="AJ23" s="14">
        <v>0.06</v>
      </c>
      <c r="AK23" s="14">
        <v>0.04</v>
      </c>
      <c r="AL23" s="14">
        <v>0.02</v>
      </c>
      <c r="AM23" s="14">
        <v>0.02</v>
      </c>
      <c r="AN23" s="14">
        <v>0.02</v>
      </c>
      <c r="AO23" s="14">
        <v>0</v>
      </c>
      <c r="AP23" s="14">
        <v>0.04</v>
      </c>
      <c r="AQ23" s="14">
        <v>0.02</v>
      </c>
      <c r="AR23" s="14">
        <v>0.02</v>
      </c>
      <c r="AS23" s="14">
        <v>0</v>
      </c>
      <c r="AT23" s="14"/>
      <c r="AU23" s="14"/>
      <c r="AV23" s="14">
        <v>0</v>
      </c>
      <c r="AW23" s="14"/>
      <c r="AX23" s="14"/>
      <c r="AY23" s="10"/>
      <c r="AZ23" s="12">
        <v>42095</v>
      </c>
      <c r="BA23" s="14">
        <v>0.21921385246977462</v>
      </c>
      <c r="BB23" s="14">
        <v>0.21134393866292481</v>
      </c>
      <c r="BC23" s="14">
        <v>0.23417835714895979</v>
      </c>
      <c r="BD23" s="14">
        <v>0.25986266568794503</v>
      </c>
      <c r="BE23" s="14">
        <v>0.39850514932082026</v>
      </c>
      <c r="BF23" s="14">
        <v>0.34823485199472426</v>
      </c>
      <c r="BG23" s="14">
        <v>0.418142445007465</v>
      </c>
      <c r="BH23" s="14">
        <v>0.25092646801360269</v>
      </c>
      <c r="BI23" s="14">
        <v>0.37001957948714848</v>
      </c>
      <c r="BJ23" s="14">
        <v>0.20729003291835793</v>
      </c>
      <c r="BK23" s="14"/>
      <c r="BL23" s="14"/>
      <c r="BM23" s="14">
        <v>0.16196510612211845</v>
      </c>
      <c r="BN23" s="14"/>
      <c r="BO23" s="14"/>
    </row>
    <row r="24" spans="2:67" s="11" customFormat="1" ht="18" customHeight="1">
      <c r="B24" s="9"/>
      <c r="C24" s="12">
        <v>42064</v>
      </c>
      <c r="D24" s="13">
        <v>11.6309</v>
      </c>
      <c r="E24" s="13">
        <v>7.9035000000000002</v>
      </c>
      <c r="F24" s="13">
        <v>8.1851000000000003</v>
      </c>
      <c r="G24" s="13">
        <v>20.407399999999999</v>
      </c>
      <c r="H24" s="13">
        <v>39.283499999999997</v>
      </c>
      <c r="I24" s="13">
        <v>41.909599999999998</v>
      </c>
      <c r="J24" s="13">
        <v>33.655700000000003</v>
      </c>
      <c r="K24" s="13">
        <v>14.472300000000001</v>
      </c>
      <c r="L24" s="13">
        <v>35.014099999999999</v>
      </c>
      <c r="M24" s="13">
        <v>38.3904</v>
      </c>
      <c r="N24" s="13"/>
      <c r="O24" s="13"/>
      <c r="P24" s="13"/>
      <c r="Q24" s="13"/>
      <c r="R24" s="13"/>
      <c r="S24" s="12">
        <v>42064</v>
      </c>
      <c r="T24" s="14">
        <v>5.7599999999999998E-2</v>
      </c>
      <c r="U24" s="14">
        <v>4.3700000000000003E-2</v>
      </c>
      <c r="V24" s="14">
        <v>3.1099999999999999E-2</v>
      </c>
      <c r="W24" s="14">
        <v>3.4700000000000002E-2</v>
      </c>
      <c r="X24" s="14">
        <v>4.6100000000000002E-2</v>
      </c>
      <c r="Y24" s="14">
        <v>1.9099999999999999E-2</v>
      </c>
      <c r="Z24" s="14">
        <v>0.1084</v>
      </c>
      <c r="AA24" s="14">
        <v>8.3799999999999999E-2</v>
      </c>
      <c r="AB24" s="14">
        <v>0.18659999999999999</v>
      </c>
      <c r="AC24" s="14">
        <v>0</v>
      </c>
      <c r="AD24" s="14"/>
      <c r="AE24" s="14"/>
      <c r="AF24" s="14"/>
      <c r="AG24" s="14"/>
      <c r="AH24" s="14"/>
      <c r="AI24" s="12">
        <v>42064</v>
      </c>
      <c r="AJ24" s="14">
        <v>0.06</v>
      </c>
      <c r="AK24" s="14">
        <v>0.04</v>
      </c>
      <c r="AL24" s="14">
        <v>0.02</v>
      </c>
      <c r="AM24" s="14">
        <v>0.02</v>
      </c>
      <c r="AN24" s="14">
        <v>0.01</v>
      </c>
      <c r="AO24" s="14">
        <v>0</v>
      </c>
      <c r="AP24" s="14">
        <v>0.03</v>
      </c>
      <c r="AQ24" s="14">
        <v>0.01</v>
      </c>
      <c r="AR24" s="14">
        <v>0.01</v>
      </c>
      <c r="AS24" s="14">
        <v>0</v>
      </c>
      <c r="AT24" s="14"/>
      <c r="AU24" s="14"/>
      <c r="AV24" s="14"/>
      <c r="AW24" s="14"/>
      <c r="AX24" s="14"/>
      <c r="AY24" s="10"/>
      <c r="AZ24" s="12">
        <v>42064</v>
      </c>
      <c r="BA24" s="14">
        <v>0.29695943994962415</v>
      </c>
      <c r="BB24" s="14">
        <v>0.30448566589197257</v>
      </c>
      <c r="BC24" s="14">
        <v>0.31281199406860388</v>
      </c>
      <c r="BD24" s="14">
        <v>0.34115434528749777</v>
      </c>
      <c r="BE24" s="14">
        <v>0.47436455346365863</v>
      </c>
      <c r="BF24" s="14">
        <v>0.40507928888784317</v>
      </c>
      <c r="BG24" s="14">
        <v>0.56874028297093226</v>
      </c>
      <c r="BH24" s="14">
        <v>0.33675156205089335</v>
      </c>
      <c r="BI24" s="14">
        <v>0.48882000789642005</v>
      </c>
      <c r="BJ24" s="14">
        <v>0.3287821468249964</v>
      </c>
      <c r="BK24" s="14"/>
      <c r="BL24" s="14"/>
      <c r="BM24" s="14"/>
      <c r="BN24" s="14"/>
      <c r="BO24" s="14"/>
    </row>
    <row r="25" spans="2:67" s="11" customFormat="1" ht="18" customHeight="1">
      <c r="B25" s="9"/>
      <c r="C25" s="12">
        <v>42036</v>
      </c>
      <c r="D25" s="13">
        <v>8.6882000000000001</v>
      </c>
      <c r="E25" s="13">
        <v>5.2746000000000004</v>
      </c>
      <c r="F25" s="13">
        <v>6.4855999999999998</v>
      </c>
      <c r="G25" s="13">
        <v>18.1097</v>
      </c>
      <c r="H25" s="13">
        <v>37.548999999999999</v>
      </c>
      <c r="I25" s="13">
        <v>35.9437</v>
      </c>
      <c r="J25" s="13">
        <v>30.6647</v>
      </c>
      <c r="K25" s="13">
        <v>11.7706</v>
      </c>
      <c r="L25" s="13">
        <v>28.434999999999999</v>
      </c>
      <c r="M25" s="13">
        <v>52.355800000000002</v>
      </c>
      <c r="N25" s="13"/>
      <c r="O25" s="13"/>
      <c r="P25" s="13"/>
      <c r="Q25" s="13"/>
      <c r="R25" s="13"/>
      <c r="S25" s="12">
        <v>42036</v>
      </c>
      <c r="T25" s="14">
        <v>3.1E-2</v>
      </c>
      <c r="U25" s="14">
        <v>8.4000000000000005E-2</v>
      </c>
      <c r="V25" s="14">
        <v>2.35E-2</v>
      </c>
      <c r="W25" s="14">
        <v>3.6299999999999999E-2</v>
      </c>
      <c r="X25" s="14">
        <v>4.1000000000000002E-2</v>
      </c>
      <c r="Y25" s="14">
        <v>0</v>
      </c>
      <c r="Z25" s="14">
        <v>0</v>
      </c>
      <c r="AA25" s="14">
        <v>6.5199999999999994E-2</v>
      </c>
      <c r="AB25" s="14">
        <v>0</v>
      </c>
      <c r="AC25" s="14">
        <v>0</v>
      </c>
      <c r="AD25" s="14"/>
      <c r="AE25" s="14"/>
      <c r="AF25" s="14"/>
      <c r="AG25" s="14"/>
      <c r="AH25" s="14"/>
      <c r="AI25" s="12">
        <v>42036</v>
      </c>
      <c r="AJ25" s="14">
        <v>0.05</v>
      </c>
      <c r="AK25" s="14">
        <v>0.03</v>
      </c>
      <c r="AL25" s="14">
        <v>0.02</v>
      </c>
      <c r="AM25" s="14">
        <v>0.01</v>
      </c>
      <c r="AN25" s="14">
        <v>0</v>
      </c>
      <c r="AO25" s="14">
        <v>0</v>
      </c>
      <c r="AP25" s="14">
        <v>0.02</v>
      </c>
      <c r="AQ25" s="14">
        <v>0</v>
      </c>
      <c r="AR25" s="14">
        <v>0</v>
      </c>
      <c r="AS25" s="14">
        <v>0</v>
      </c>
      <c r="AT25" s="14"/>
      <c r="AU25" s="14"/>
      <c r="AV25" s="14"/>
      <c r="AW25" s="14"/>
      <c r="AX25" s="14"/>
      <c r="AY25" s="10"/>
      <c r="AZ25" s="12">
        <v>42036</v>
      </c>
      <c r="BA25" s="14">
        <v>0.24820878296941917</v>
      </c>
      <c r="BB25" s="14">
        <v>0.2588727081687599</v>
      </c>
      <c r="BC25" s="14">
        <v>0.25109553906210491</v>
      </c>
      <c r="BD25" s="14">
        <v>0.28439285894025845</v>
      </c>
      <c r="BE25" s="14">
        <v>0.37548234962988841</v>
      </c>
      <c r="BF25" s="14">
        <v>0.29792978635924644</v>
      </c>
      <c r="BG25" s="14">
        <v>0.51623364386704984</v>
      </c>
      <c r="BH25" s="14">
        <v>0.29207395505131079</v>
      </c>
      <c r="BI25" s="14">
        <v>0.39987890619187166</v>
      </c>
      <c r="BJ25" s="14">
        <v>0.16282007062969603</v>
      </c>
      <c r="BK25" s="14"/>
      <c r="BL25" s="14"/>
      <c r="BM25" s="14"/>
      <c r="BN25" s="14"/>
      <c r="BO25" s="14"/>
    </row>
    <row r="26" spans="2:67" s="9" customFormat="1" ht="18" customHeight="1">
      <c r="C26" s="12">
        <v>42005</v>
      </c>
      <c r="D26" s="13">
        <v>5.8752000000000004</v>
      </c>
      <c r="E26" s="13">
        <v>4.4070999999999998</v>
      </c>
      <c r="F26" s="13">
        <v>4.7834000000000003</v>
      </c>
      <c r="G26" s="13">
        <v>10.166600000000001</v>
      </c>
      <c r="H26" s="13">
        <v>19.930800000000001</v>
      </c>
      <c r="I26" s="13">
        <v>21.6145</v>
      </c>
      <c r="J26" s="13">
        <v>15.853</v>
      </c>
      <c r="K26" s="13">
        <v>6.7542</v>
      </c>
      <c r="L26" s="13">
        <v>16.260000000000002</v>
      </c>
      <c r="M26" s="13"/>
      <c r="N26" s="13"/>
      <c r="O26" s="13"/>
      <c r="P26" s="13"/>
      <c r="Q26" s="13"/>
      <c r="R26" s="13"/>
      <c r="S26" s="12">
        <v>42005</v>
      </c>
      <c r="T26" s="14">
        <v>9.3100000000000002E-2</v>
      </c>
      <c r="U26" s="14">
        <v>2.7799999999999998E-2</v>
      </c>
      <c r="V26" s="14">
        <v>6.59E-2</v>
      </c>
      <c r="W26" s="14">
        <v>3.2599999999999997E-2</v>
      </c>
      <c r="X26" s="14">
        <v>0</v>
      </c>
      <c r="Y26" s="14">
        <v>0</v>
      </c>
      <c r="Z26" s="14">
        <v>0.1948</v>
      </c>
      <c r="AA26" s="14">
        <v>2.5999999999999999E-2</v>
      </c>
      <c r="AB26" s="14">
        <v>0</v>
      </c>
      <c r="AC26" s="14"/>
      <c r="AD26" s="14"/>
      <c r="AE26" s="14"/>
      <c r="AF26" s="14"/>
      <c r="AG26" s="14"/>
      <c r="AH26" s="14"/>
      <c r="AI26" s="12">
        <v>42005</v>
      </c>
      <c r="AJ26" s="14">
        <v>0.05</v>
      </c>
      <c r="AK26" s="14">
        <v>0.03</v>
      </c>
      <c r="AL26" s="14">
        <v>0.02</v>
      </c>
      <c r="AM26" s="14">
        <v>0.01</v>
      </c>
      <c r="AN26" s="14">
        <v>0</v>
      </c>
      <c r="AO26" s="14">
        <v>0</v>
      </c>
      <c r="AP26" s="14">
        <v>0.02</v>
      </c>
      <c r="AQ26" s="14">
        <v>0</v>
      </c>
      <c r="AR26" s="14">
        <v>0</v>
      </c>
      <c r="AS26" s="14"/>
      <c r="AT26" s="14"/>
      <c r="AU26" s="14"/>
      <c r="AV26" s="14"/>
      <c r="AW26" s="14"/>
      <c r="AX26" s="14"/>
      <c r="AY26" s="10"/>
      <c r="AZ26" s="12">
        <v>42005</v>
      </c>
      <c r="BA26" s="14">
        <v>0.24957979816172637</v>
      </c>
      <c r="BB26" s="14">
        <v>0.24974412994088618</v>
      </c>
      <c r="BC26" s="14">
        <v>0.247230211599758</v>
      </c>
      <c r="BD26" s="14">
        <v>0.2864484797599246</v>
      </c>
      <c r="BE26" s="14">
        <v>0.36228581951395866</v>
      </c>
      <c r="BF26" s="14">
        <v>0.27193111410044274</v>
      </c>
      <c r="BG26" s="14">
        <v>0.41982281912949981</v>
      </c>
      <c r="BH26" s="14">
        <v>0.25716063952910667</v>
      </c>
      <c r="BI26" s="14">
        <v>0.33879402156854443</v>
      </c>
      <c r="BJ26" s="14"/>
      <c r="BK26" s="14"/>
      <c r="BL26" s="14"/>
      <c r="BM26" s="14"/>
      <c r="BN26" s="14"/>
      <c r="BO26" s="14"/>
    </row>
    <row r="27" spans="2:67" s="9" customFormat="1" ht="18" customHeight="1">
      <c r="C27" s="12">
        <v>41974</v>
      </c>
      <c r="D27" s="13">
        <v>6.6520000000000001</v>
      </c>
      <c r="E27" s="13">
        <v>5.7198000000000002</v>
      </c>
      <c r="F27" s="13">
        <v>5.7609000000000004</v>
      </c>
      <c r="G27" s="13">
        <v>11.864800000000001</v>
      </c>
      <c r="H27" s="13">
        <v>22.9998</v>
      </c>
      <c r="I27" s="13">
        <v>22.142800000000001</v>
      </c>
      <c r="J27" s="13">
        <v>18.606999999999999</v>
      </c>
      <c r="K27" s="13">
        <v>7.9972000000000003</v>
      </c>
      <c r="L27" s="13">
        <v>15.185</v>
      </c>
      <c r="M27" s="13"/>
      <c r="N27" s="13"/>
      <c r="O27" s="13"/>
      <c r="P27" s="13"/>
      <c r="Q27" s="13"/>
      <c r="R27" s="13"/>
      <c r="S27" s="12">
        <v>41974</v>
      </c>
      <c r="T27" s="14">
        <v>2.3800000000000002E-2</v>
      </c>
      <c r="U27" s="14">
        <v>4.8800000000000003E-2</v>
      </c>
      <c r="V27" s="14">
        <v>2.1299999999999999E-2</v>
      </c>
      <c r="W27" s="14">
        <v>2.2499999999999999E-2</v>
      </c>
      <c r="X27" s="14">
        <v>4.2700000000000002E-2</v>
      </c>
      <c r="Y27" s="14">
        <v>0</v>
      </c>
      <c r="Z27" s="14">
        <v>4.3099999999999999E-2</v>
      </c>
      <c r="AA27" s="14">
        <v>0</v>
      </c>
      <c r="AB27" s="14">
        <v>0</v>
      </c>
      <c r="AC27" s="14"/>
      <c r="AD27" s="14"/>
      <c r="AE27" s="14"/>
      <c r="AF27" s="14"/>
      <c r="AG27" s="14"/>
      <c r="AH27" s="14"/>
      <c r="AI27" s="12">
        <v>41974</v>
      </c>
      <c r="AJ27" s="14">
        <v>0.04</v>
      </c>
      <c r="AK27" s="14">
        <v>0.02</v>
      </c>
      <c r="AL27" s="14">
        <v>0.01</v>
      </c>
      <c r="AM27" s="14">
        <v>0.01</v>
      </c>
      <c r="AN27" s="14">
        <v>0</v>
      </c>
      <c r="AO27" s="14">
        <v>0</v>
      </c>
      <c r="AP27" s="14">
        <v>0</v>
      </c>
      <c r="AQ27" s="14">
        <v>0</v>
      </c>
      <c r="AR27" s="14">
        <v>0</v>
      </c>
      <c r="AS27" s="14"/>
      <c r="AT27" s="14"/>
      <c r="AU27" s="14"/>
      <c r="AV27" s="14"/>
      <c r="AW27" s="14"/>
      <c r="AX27" s="14"/>
      <c r="AY27" s="10"/>
      <c r="AZ27" s="12">
        <v>41974</v>
      </c>
      <c r="BA27" s="14">
        <v>0.31803855895726646</v>
      </c>
      <c r="BB27" s="14">
        <v>0.31347728617816362</v>
      </c>
      <c r="BC27" s="14">
        <v>0.31485687682515662</v>
      </c>
      <c r="BD27" s="14">
        <v>0.35758023853357257</v>
      </c>
      <c r="BE27" s="14">
        <v>0.4074080480480709</v>
      </c>
      <c r="BF27" s="14">
        <v>0.3470244115626771</v>
      </c>
      <c r="BG27" s="14">
        <v>0.50756422980817784</v>
      </c>
      <c r="BH27" s="14">
        <v>0.3095696830582555</v>
      </c>
      <c r="BI27" s="14">
        <v>0.31661858557903494</v>
      </c>
      <c r="BJ27" s="14"/>
      <c r="BK27" s="14"/>
      <c r="BL27" s="14"/>
      <c r="BM27" s="14"/>
      <c r="BN27" s="14"/>
      <c r="BO27" s="14"/>
    </row>
    <row r="28" spans="2:67" s="9" customFormat="1" ht="18" customHeight="1">
      <c r="C28" s="12">
        <v>41944</v>
      </c>
      <c r="D28" s="13">
        <v>5.9212999999999996</v>
      </c>
      <c r="E28" s="13">
        <v>5.0777999999999999</v>
      </c>
      <c r="F28" s="13">
        <v>5.3251999999999997</v>
      </c>
      <c r="G28" s="13">
        <v>10.8713</v>
      </c>
      <c r="H28" s="13">
        <v>22.973800000000001</v>
      </c>
      <c r="I28" s="13">
        <v>22.788799999999998</v>
      </c>
      <c r="J28" s="13">
        <v>18.087599999999998</v>
      </c>
      <c r="K28" s="13">
        <v>7.5067000000000004</v>
      </c>
      <c r="L28" s="13">
        <v>16.899899999999999</v>
      </c>
      <c r="M28" s="13"/>
      <c r="N28" s="13"/>
      <c r="O28" s="13"/>
      <c r="P28" s="13"/>
      <c r="Q28" s="13"/>
      <c r="R28" s="13"/>
      <c r="S28" s="12">
        <v>41944</v>
      </c>
      <c r="T28" s="14">
        <v>5.8500000000000003E-2</v>
      </c>
      <c r="U28" s="14">
        <v>5.67E-2</v>
      </c>
      <c r="V28" s="14">
        <v>4.2700000000000002E-2</v>
      </c>
      <c r="W28" s="14">
        <v>2.5000000000000001E-2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/>
      <c r="AD28" s="14"/>
      <c r="AE28" s="14"/>
      <c r="AF28" s="14"/>
      <c r="AG28" s="14"/>
      <c r="AH28" s="14"/>
      <c r="AI28" s="12">
        <v>41944</v>
      </c>
      <c r="AJ28" s="14">
        <v>0.04</v>
      </c>
      <c r="AK28" s="14">
        <v>0.02</v>
      </c>
      <c r="AL28" s="14">
        <v>0.01</v>
      </c>
      <c r="AM28" s="14">
        <v>0.01</v>
      </c>
      <c r="AN28" s="14">
        <v>0</v>
      </c>
      <c r="AO28" s="14">
        <v>0</v>
      </c>
      <c r="AP28" s="14">
        <v>0</v>
      </c>
      <c r="AQ28" s="14">
        <v>0</v>
      </c>
      <c r="AR28" s="14">
        <v>0</v>
      </c>
      <c r="AS28" s="14"/>
      <c r="AT28" s="14"/>
      <c r="AU28" s="14"/>
      <c r="AV28" s="14"/>
      <c r="AW28" s="14"/>
      <c r="AX28" s="14"/>
      <c r="AY28" s="10"/>
      <c r="AZ28" s="12">
        <v>41944</v>
      </c>
      <c r="BA28" s="14">
        <v>0.22489332233445741</v>
      </c>
      <c r="BB28" s="14">
        <v>0.21441935921246272</v>
      </c>
      <c r="BC28" s="14">
        <v>0.19412218212618684</v>
      </c>
      <c r="BD28" s="14">
        <v>0.2269243128545389</v>
      </c>
      <c r="BE28" s="14">
        <v>0.25227434101727159</v>
      </c>
      <c r="BF28" s="14">
        <v>0.17013657980666155</v>
      </c>
      <c r="BG28" s="14">
        <v>0.34783031195635072</v>
      </c>
      <c r="BH28" s="14">
        <v>0.18158945598182616</v>
      </c>
      <c r="BI28" s="14">
        <v>0.17848004850710344</v>
      </c>
      <c r="BJ28" s="14"/>
      <c r="BK28" s="14"/>
      <c r="BL28" s="14"/>
      <c r="BM28" s="14"/>
      <c r="BN28" s="14"/>
      <c r="BO28" s="14"/>
    </row>
    <row r="29" spans="2:67" s="9" customFormat="1" ht="18" customHeight="1">
      <c r="C29" s="12">
        <v>41913</v>
      </c>
      <c r="D29" s="13">
        <v>7.1013000000000002</v>
      </c>
      <c r="E29" s="13">
        <v>5.8178000000000001</v>
      </c>
      <c r="F29" s="13">
        <v>5.6192000000000002</v>
      </c>
      <c r="G29" s="13">
        <v>8.0467999999999993</v>
      </c>
      <c r="H29" s="13">
        <v>13.774699999999999</v>
      </c>
      <c r="I29" s="13">
        <v>14.075799999999999</v>
      </c>
      <c r="J29" s="13">
        <v>11.697100000000001</v>
      </c>
      <c r="K29" s="13">
        <v>18.260100000000001</v>
      </c>
      <c r="L29" s="13">
        <v>8.3346999999999998</v>
      </c>
      <c r="M29" s="13"/>
      <c r="N29" s="13"/>
      <c r="O29" s="13"/>
      <c r="P29" s="13"/>
      <c r="Q29" s="13"/>
      <c r="R29" s="13"/>
      <c r="S29" s="12">
        <v>41913</v>
      </c>
      <c r="T29" s="14">
        <v>5.0900000000000001E-2</v>
      </c>
      <c r="U29" s="14">
        <v>5.4300000000000001E-2</v>
      </c>
      <c r="V29" s="14">
        <v>2.86E-2</v>
      </c>
      <c r="W29" s="14">
        <v>3.9E-2</v>
      </c>
      <c r="X29" s="14">
        <v>0</v>
      </c>
      <c r="Y29" s="14">
        <v>0</v>
      </c>
      <c r="Z29" s="14">
        <v>0</v>
      </c>
      <c r="AA29" s="14">
        <v>6.1999999999999998E-3</v>
      </c>
      <c r="AB29" s="14">
        <v>0</v>
      </c>
      <c r="AC29" s="14"/>
      <c r="AD29" s="14"/>
      <c r="AE29" s="14"/>
      <c r="AF29" s="14"/>
      <c r="AG29" s="14"/>
      <c r="AH29" s="14"/>
      <c r="AI29" s="12">
        <v>41913</v>
      </c>
      <c r="AJ29" s="14">
        <v>0.03</v>
      </c>
      <c r="AK29" s="14">
        <v>0.01</v>
      </c>
      <c r="AL29" s="14">
        <v>0.01</v>
      </c>
      <c r="AM29" s="14">
        <v>0</v>
      </c>
      <c r="AN29" s="14">
        <v>0</v>
      </c>
      <c r="AO29" s="14">
        <v>0</v>
      </c>
      <c r="AP29" s="14">
        <v>0</v>
      </c>
      <c r="AQ29" s="14">
        <v>0</v>
      </c>
      <c r="AR29" s="14">
        <v>0</v>
      </c>
      <c r="AS29" s="14"/>
      <c r="AT29" s="14"/>
      <c r="AU29" s="14"/>
      <c r="AV29" s="14"/>
      <c r="AW29" s="14"/>
      <c r="AX29" s="14"/>
      <c r="AY29" s="10"/>
      <c r="AZ29" s="12">
        <v>41913</v>
      </c>
      <c r="BA29" s="14">
        <v>0.24275132011593953</v>
      </c>
      <c r="BB29" s="14">
        <v>0.25020117939070796</v>
      </c>
      <c r="BC29" s="14">
        <v>0.24241376279594706</v>
      </c>
      <c r="BD29" s="14">
        <v>0.23712214274615984</v>
      </c>
      <c r="BE29" s="14">
        <v>0.25311011972253472</v>
      </c>
      <c r="BF29" s="14">
        <v>0.18931953044147801</v>
      </c>
      <c r="BG29" s="14">
        <v>0.30410772953407122</v>
      </c>
      <c r="BH29" s="14">
        <v>0.19376712761330969</v>
      </c>
      <c r="BI29" s="14">
        <v>0.16508230928247042</v>
      </c>
      <c r="BJ29" s="14"/>
      <c r="BK29" s="14"/>
      <c r="BL29" s="14"/>
      <c r="BM29" s="14"/>
      <c r="BN29" s="14"/>
      <c r="BO29" s="14"/>
    </row>
    <row r="30" spans="2:67" s="9" customFormat="1" ht="18" customHeight="1">
      <c r="C30" s="12">
        <v>41883</v>
      </c>
      <c r="D30" s="13">
        <v>5.6421000000000001</v>
      </c>
      <c r="E30" s="13">
        <v>5.2359999999999998</v>
      </c>
      <c r="F30" s="13">
        <v>5.1037999999999997</v>
      </c>
      <c r="G30" s="13">
        <v>7.5376000000000003</v>
      </c>
      <c r="H30" s="13">
        <v>34.785299999999999</v>
      </c>
      <c r="I30" s="13"/>
      <c r="J30" s="13">
        <v>27.114699999999999</v>
      </c>
      <c r="K30" s="13"/>
      <c r="L30" s="13"/>
      <c r="M30" s="13"/>
      <c r="N30" s="13"/>
      <c r="O30" s="13"/>
      <c r="P30" s="13"/>
      <c r="Q30" s="13"/>
      <c r="R30" s="13"/>
      <c r="S30" s="12">
        <v>41883</v>
      </c>
      <c r="T30" s="14">
        <v>3.09E-2</v>
      </c>
      <c r="U30" s="14">
        <v>2.06E-2</v>
      </c>
      <c r="V30" s="14">
        <v>4.4900000000000002E-2</v>
      </c>
      <c r="W30" s="14">
        <v>3.3999999999999998E-3</v>
      </c>
      <c r="X30" s="14">
        <v>0</v>
      </c>
      <c r="Y30" s="14"/>
      <c r="Z30" s="14">
        <v>0</v>
      </c>
      <c r="AA30" s="14"/>
      <c r="AB30" s="14"/>
      <c r="AC30" s="14"/>
      <c r="AD30" s="14"/>
      <c r="AE30" s="14"/>
      <c r="AF30" s="14"/>
      <c r="AG30" s="14"/>
      <c r="AH30" s="14"/>
      <c r="AI30" s="12">
        <v>41883</v>
      </c>
      <c r="AJ30" s="14">
        <v>0.03</v>
      </c>
      <c r="AK30" s="14">
        <v>0.01</v>
      </c>
      <c r="AL30" s="14">
        <v>0</v>
      </c>
      <c r="AM30" s="14">
        <v>0</v>
      </c>
      <c r="AN30" s="14">
        <v>0</v>
      </c>
      <c r="AO30" s="14"/>
      <c r="AP30" s="14">
        <v>0</v>
      </c>
      <c r="AQ30" s="14"/>
      <c r="AR30" s="14"/>
      <c r="AS30" s="14"/>
      <c r="AT30" s="14"/>
      <c r="AU30" s="14"/>
      <c r="AV30" s="14"/>
      <c r="AW30" s="14"/>
      <c r="AX30" s="14"/>
      <c r="AY30" s="10"/>
      <c r="AZ30" s="12">
        <v>41883</v>
      </c>
      <c r="BA30" s="14">
        <v>0.25542416057138134</v>
      </c>
      <c r="BB30" s="14">
        <v>0.25588074191332272</v>
      </c>
      <c r="BC30" s="14">
        <v>0.24979319116369261</v>
      </c>
      <c r="BD30" s="14">
        <v>0.22266552669020317</v>
      </c>
      <c r="BE30" s="14">
        <v>0.21082719591117319</v>
      </c>
      <c r="BF30" s="14"/>
      <c r="BG30" s="14">
        <v>0.2585069724187341</v>
      </c>
      <c r="BH30" s="14"/>
      <c r="BI30" s="14"/>
      <c r="BJ30" s="14"/>
      <c r="BK30" s="14"/>
      <c r="BL30" s="14"/>
      <c r="BM30" s="14"/>
      <c r="BN30" s="14"/>
      <c r="BO30" s="14"/>
    </row>
    <row r="31" spans="2:67" s="9" customFormat="1" ht="18" customHeight="1">
      <c r="C31" s="12">
        <v>41852</v>
      </c>
      <c r="D31" s="13">
        <v>7.1132</v>
      </c>
      <c r="E31" s="13">
        <v>6.0189000000000004</v>
      </c>
      <c r="F31" s="13">
        <v>5.3735999999999997</v>
      </c>
      <c r="G31" s="13">
        <v>8.3428000000000004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2">
        <v>41852</v>
      </c>
      <c r="T31" s="14">
        <v>3.9800000000000002E-2</v>
      </c>
      <c r="U31" s="14">
        <v>2.58E-2</v>
      </c>
      <c r="V31" s="14">
        <v>2.6100000000000002E-2</v>
      </c>
      <c r="W31" s="14">
        <v>4.2799999999999998E-2</v>
      </c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2">
        <v>41852</v>
      </c>
      <c r="AJ31" s="14">
        <v>0.03</v>
      </c>
      <c r="AK31" s="14">
        <v>0.01</v>
      </c>
      <c r="AL31" s="14">
        <v>0</v>
      </c>
      <c r="AM31" s="14">
        <v>0</v>
      </c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0"/>
      <c r="AZ31" s="12">
        <v>41852</v>
      </c>
      <c r="BA31" s="14">
        <v>0.21560240739019682</v>
      </c>
      <c r="BB31" s="14">
        <v>0.22033305485722382</v>
      </c>
      <c r="BC31" s="14">
        <v>0.21581050002306207</v>
      </c>
      <c r="BD31" s="14">
        <v>0.17616131435823859</v>
      </c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</row>
    <row r="32" spans="2:67" s="9" customFormat="1" ht="18" customHeight="1">
      <c r="C32" s="12">
        <v>41821</v>
      </c>
      <c r="D32" s="13">
        <v>7.5728999999999997</v>
      </c>
      <c r="E32" s="13">
        <v>6.4215999999999998</v>
      </c>
      <c r="F32" s="13">
        <v>5.9353999999999996</v>
      </c>
      <c r="G32" s="13">
        <v>9.1228999999999996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2">
        <v>41821</v>
      </c>
      <c r="T32" s="14">
        <v>3.8899999999999997E-2</v>
      </c>
      <c r="U32" s="14">
        <v>2.7699999999999999E-2</v>
      </c>
      <c r="V32" s="14">
        <v>3.0999999999999999E-3</v>
      </c>
      <c r="W32" s="14">
        <v>0</v>
      </c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2">
        <v>41821</v>
      </c>
      <c r="AJ32" s="14">
        <v>0.02</v>
      </c>
      <c r="AK32" s="14">
        <v>0.01</v>
      </c>
      <c r="AL32" s="14">
        <v>0</v>
      </c>
      <c r="AM32" s="14">
        <v>0</v>
      </c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0"/>
      <c r="AZ32" s="12">
        <v>41821</v>
      </c>
      <c r="BA32" s="14">
        <v>0.22055170143531394</v>
      </c>
      <c r="BB32" s="14">
        <v>0.22263176989447303</v>
      </c>
      <c r="BC32" s="14">
        <v>0.20143466653230446</v>
      </c>
      <c r="BD32" s="14">
        <v>0.18208898837802381</v>
      </c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</row>
    <row r="33" spans="3:67" s="9" customFormat="1" ht="18" customHeight="1">
      <c r="C33" s="12">
        <v>41791</v>
      </c>
      <c r="D33" s="13">
        <v>7.9889999999999999</v>
      </c>
      <c r="E33" s="13">
        <v>6.2439999999999998</v>
      </c>
      <c r="F33" s="13">
        <v>6.0590999999999999</v>
      </c>
      <c r="G33" s="13">
        <v>9.2096999999999998</v>
      </c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2">
        <v>41791</v>
      </c>
      <c r="T33" s="14">
        <v>5.04E-2</v>
      </c>
      <c r="U33" s="14">
        <v>2.12E-2</v>
      </c>
      <c r="V33" s="14">
        <v>1.5599999999999999E-2</v>
      </c>
      <c r="W33" s="14">
        <v>0</v>
      </c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2">
        <v>41791</v>
      </c>
      <c r="AJ33" s="14">
        <v>0.02</v>
      </c>
      <c r="AK33" s="14">
        <v>0</v>
      </c>
      <c r="AL33" s="14">
        <v>0</v>
      </c>
      <c r="AM33" s="14">
        <v>0</v>
      </c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0"/>
      <c r="AZ33" s="12">
        <v>41791</v>
      </c>
      <c r="BA33" s="14">
        <v>0.17958908056971765</v>
      </c>
      <c r="BB33" s="14">
        <v>0.19721110726977892</v>
      </c>
      <c r="BC33" s="14">
        <v>0.16838759001973638</v>
      </c>
      <c r="BD33" s="14">
        <v>0.16088244911396338</v>
      </c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</row>
    <row r="34" spans="3:67" s="9" customFormat="1" ht="18" customHeight="1">
      <c r="C34" s="12">
        <v>41760</v>
      </c>
      <c r="D34" s="13">
        <v>6.4558999999999997</v>
      </c>
      <c r="E34" s="13">
        <v>5.7373000000000003</v>
      </c>
      <c r="F34" s="13">
        <v>5.3193999999999999</v>
      </c>
      <c r="G34" s="13">
        <v>15.2399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2">
        <v>41760</v>
      </c>
      <c r="T34" s="14">
        <v>5.5599999999999997E-2</v>
      </c>
      <c r="U34" s="14">
        <v>1.7299999999999999E-2</v>
      </c>
      <c r="V34" s="14">
        <v>0</v>
      </c>
      <c r="W34" s="14">
        <v>0</v>
      </c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2">
        <v>41760</v>
      </c>
      <c r="AJ34" s="14">
        <v>0.01</v>
      </c>
      <c r="AK34" s="14">
        <v>0</v>
      </c>
      <c r="AL34" s="14">
        <v>0</v>
      </c>
      <c r="AM34" s="14">
        <v>0</v>
      </c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0"/>
      <c r="AZ34" s="12">
        <v>41760</v>
      </c>
      <c r="BA34" s="14">
        <v>0.17327035385240222</v>
      </c>
      <c r="BB34" s="14">
        <v>0.20514285142461344</v>
      </c>
      <c r="BC34" s="14">
        <v>0.13734485269924229</v>
      </c>
      <c r="BD34" s="14">
        <v>0.15725828401668066</v>
      </c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</row>
    <row r="35" spans="3:67" s="9" customFormat="1" ht="18" customHeight="1">
      <c r="C35" s="12">
        <v>41730</v>
      </c>
      <c r="D35" s="13">
        <v>4.6524000000000001</v>
      </c>
      <c r="E35" s="13">
        <v>4.5244999999999997</v>
      </c>
      <c r="F35" s="13">
        <v>4.5065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2">
        <v>41730</v>
      </c>
      <c r="T35" s="14">
        <v>8.3900000000000002E-2</v>
      </c>
      <c r="U35" s="14">
        <v>3.9E-2</v>
      </c>
      <c r="V35" s="14">
        <v>0</v>
      </c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2">
        <v>41730</v>
      </c>
      <c r="AJ35" s="14">
        <v>0.01</v>
      </c>
      <c r="AK35" s="14">
        <v>0</v>
      </c>
      <c r="AL35" s="14">
        <v>0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0"/>
      <c r="AZ35" s="12">
        <v>41730</v>
      </c>
      <c r="BA35" s="14">
        <v>0.17568089526554156</v>
      </c>
      <c r="BB35" s="14">
        <v>0.1997778070663985</v>
      </c>
      <c r="BC35" s="14">
        <v>0.11308922754174791</v>
      </c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</row>
    <row r="36" spans="3:67" s="9" customFormat="1" ht="18" customHeight="1">
      <c r="C36" s="12">
        <v>41699</v>
      </c>
      <c r="D36" s="13">
        <v>4.4953000000000003</v>
      </c>
      <c r="E36" s="13">
        <v>4.0956000000000001</v>
      </c>
      <c r="F36" s="13">
        <v>7.9222999999999999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2">
        <v>41699</v>
      </c>
      <c r="T36" s="14">
        <v>1.9E-2</v>
      </c>
      <c r="U36" s="14">
        <v>8.9999999999999993E-3</v>
      </c>
      <c r="V36" s="14">
        <v>0</v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2">
        <v>41699</v>
      </c>
      <c r="AJ36" s="14">
        <v>0</v>
      </c>
      <c r="AK36" s="14">
        <v>0</v>
      </c>
      <c r="AL36" s="14">
        <v>0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0"/>
      <c r="AZ36" s="12">
        <v>41699</v>
      </c>
      <c r="BA36" s="14">
        <v>0.28667323115603105</v>
      </c>
      <c r="BB36" s="14">
        <v>0.24711399829030348</v>
      </c>
      <c r="BC36" s="14">
        <v>0.15133682685102268</v>
      </c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</row>
    <row r="37" spans="3:67" s="9" customFormat="1" ht="18" customHeight="1">
      <c r="C37" s="12">
        <v>41671</v>
      </c>
      <c r="D37" s="13">
        <v>3.5939000000000001</v>
      </c>
      <c r="E37" s="13">
        <v>3.2147000000000001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2">
        <v>41671</v>
      </c>
      <c r="T37" s="14">
        <v>0.03</v>
      </c>
      <c r="U37" s="14">
        <v>0</v>
      </c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2">
        <v>41671</v>
      </c>
      <c r="AJ37" s="14">
        <v>0</v>
      </c>
      <c r="AK37" s="14">
        <v>0</v>
      </c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0"/>
      <c r="AZ37" s="12">
        <v>41671</v>
      </c>
      <c r="BA37" s="14">
        <v>0.22951558377442932</v>
      </c>
      <c r="BB37" s="14">
        <v>0.17780417591245562</v>
      </c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</row>
    <row r="38" spans="3:67" s="9" customFormat="1" ht="18" customHeight="1">
      <c r="C38" s="12">
        <v>41640</v>
      </c>
      <c r="D38" s="13">
        <v>3.8666999999999998</v>
      </c>
      <c r="E38" s="13">
        <v>3.1438000000000001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2">
        <v>41640</v>
      </c>
      <c r="T38" s="14">
        <v>1.66E-2</v>
      </c>
      <c r="U38" s="14">
        <v>0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2">
        <v>41640</v>
      </c>
      <c r="AJ38" s="14">
        <v>0</v>
      </c>
      <c r="AK38" s="14">
        <v>0</v>
      </c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0"/>
      <c r="AZ38" s="12">
        <v>41640</v>
      </c>
      <c r="BA38" s="14">
        <v>0.21820978175591563</v>
      </c>
      <c r="BB38" s="14">
        <v>0.18375837729301081</v>
      </c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</row>
    <row r="39" spans="3:67" s="9" customFormat="1" ht="18" customHeight="1">
      <c r="C39" s="12">
        <v>41609</v>
      </c>
      <c r="D39" s="13">
        <v>4.1920000000000002</v>
      </c>
      <c r="E39" s="13">
        <v>8.7807999999999993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2">
        <v>41609</v>
      </c>
      <c r="T39" s="14">
        <v>5.4000000000000003E-3</v>
      </c>
      <c r="U39" s="14">
        <v>0</v>
      </c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2">
        <v>41609</v>
      </c>
      <c r="AJ39" s="14">
        <v>0</v>
      </c>
      <c r="AK39" s="14">
        <v>0</v>
      </c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0"/>
      <c r="AZ39" s="12">
        <v>41609</v>
      </c>
      <c r="BA39" s="14">
        <v>0.21624946700442091</v>
      </c>
      <c r="BB39" s="14">
        <v>0.17407225985459115</v>
      </c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</row>
    <row r="40" spans="3:67" s="9" customFormat="1" ht="18" customHeight="1">
      <c r="C40" s="12">
        <v>41579</v>
      </c>
      <c r="D40" s="13">
        <v>4.2816000000000001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2">
        <v>41579</v>
      </c>
      <c r="T40" s="14">
        <v>0</v>
      </c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2">
        <v>41579</v>
      </c>
      <c r="AJ40" s="14">
        <v>0</v>
      </c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0"/>
      <c r="AZ40" s="12">
        <v>41579</v>
      </c>
      <c r="BA40" s="14">
        <v>0.15042840038923097</v>
      </c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</row>
    <row r="41" spans="3:67" s="9" customFormat="1" ht="18" customHeight="1">
      <c r="C41" s="12">
        <v>41548</v>
      </c>
      <c r="D41" s="13">
        <v>4.6313000000000004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2">
        <v>41548</v>
      </c>
      <c r="T41" s="14">
        <v>0</v>
      </c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2">
        <v>41548</v>
      </c>
      <c r="AJ41" s="14">
        <v>0</v>
      </c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0"/>
      <c r="AZ41" s="12">
        <v>41548</v>
      </c>
      <c r="BA41" s="14">
        <v>0.15422810248204985</v>
      </c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</row>
    <row r="42" spans="3:67" ht="17.25" customHeight="1">
      <c r="C42" s="12">
        <v>41518</v>
      </c>
      <c r="D42" s="13">
        <v>4.3693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2">
        <v>41518</v>
      </c>
      <c r="T42" s="14">
        <v>0</v>
      </c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2">
        <v>41518</v>
      </c>
      <c r="AJ42" s="14">
        <v>0</v>
      </c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Z42" s="12">
        <v>41518</v>
      </c>
      <c r="BA42" s="14">
        <v>0.13690693650595515</v>
      </c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</row>
    <row r="43" spans="3:67" ht="17.25" customHeight="1">
      <c r="C43" s="12">
        <v>41487</v>
      </c>
      <c r="D43" s="13">
        <v>5.9663000000000004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2">
        <v>41487</v>
      </c>
      <c r="T43" s="14">
        <v>0</v>
      </c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2">
        <v>41487</v>
      </c>
      <c r="AJ43" s="14">
        <v>0</v>
      </c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Z43" s="12">
        <v>41487</v>
      </c>
      <c r="BA43" s="14">
        <v>0.10304957958215283</v>
      </c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</row>
    <row r="44" spans="3:67" ht="17.25" customHeight="1">
      <c r="C44" s="15">
        <v>41456</v>
      </c>
      <c r="D44" s="16">
        <v>7.7476000000000003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5">
        <v>41456</v>
      </c>
      <c r="T44" s="17">
        <v>0</v>
      </c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5">
        <v>41456</v>
      </c>
      <c r="AJ44" s="17">
        <v>0</v>
      </c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Z44" s="15">
        <v>41456</v>
      </c>
      <c r="BA44" s="17">
        <v>0.12584324004468939</v>
      </c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</row>
    <row r="45" spans="3:67" ht="17.25" customHeight="1"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3:67" ht="17.25" customHeight="1"/>
    <row r="48" spans="3:67" s="45" customFormat="1" ht="25.5" customHeight="1"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</row>
    <row r="49" spans="33:46" s="9" customFormat="1"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3:46" s="9" customFormat="1" ht="18" customHeight="1"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33:46" s="9" customFormat="1" ht="18" customHeight="1"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33:46" s="9" customFormat="1" ht="18" customHeight="1"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33:46" s="9" customFormat="1" ht="18" customHeight="1"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33:46" s="9" customFormat="1" ht="18" customHeight="1"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33:46" s="9" customFormat="1" ht="18" customHeight="1"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33:46" s="9" customFormat="1" ht="18" customHeight="1"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33:46" s="9" customFormat="1" ht="18" customHeight="1"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33:46" s="9" customFormat="1" ht="18" customHeight="1"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33:46" s="9" customFormat="1" ht="18" customHeight="1"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33:46" s="9" customFormat="1" ht="18" customHeight="1"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33:46" s="9" customFormat="1" ht="18" customHeight="1"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33:46" s="9" customFormat="1" ht="18" customHeight="1"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33:46" s="9" customFormat="1" ht="18" customHeight="1"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33:46" s="9" customFormat="1" ht="18" customHeight="1"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3:46" s="9" customFormat="1" ht="18" customHeight="1"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3:46" s="9" customFormat="1" ht="18" customHeight="1"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3:46" s="9" customFormat="1" ht="18" customHeight="1"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3:46" s="9" customFormat="1" ht="18" customHeight="1"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3:46" s="9" customFormat="1" ht="18" customHeight="1"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3:46" s="9" customFormat="1" ht="18" customHeight="1"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3:46" s="9" customFormat="1" ht="18" customHeight="1"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3:46" s="9" customFormat="1" ht="18" customHeight="1"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3:46" hidden="1">
      <c r="C73" s="5"/>
      <c r="D73" s="7">
        <v>0.1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4"/>
      <c r="R73" s="4"/>
    </row>
    <row r="74" spans="3:46">
      <c r="C74" s="5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4"/>
      <c r="R74" s="4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</row>
  </sheetData>
  <mergeCells count="4">
    <mergeCell ref="C15:P15"/>
    <mergeCell ref="S15:AF15"/>
    <mergeCell ref="AI15:AV15"/>
    <mergeCell ref="AZ15:BM15"/>
  </mergeCells>
  <conditionalFormatting sqref="D73">
    <cfRule type="dataBar" priority="1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D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pivot="1" sqref="D18:R44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{86A234C5-DE6D-443B-BBAF-37C116FA5CA4}</x14:id>
        </ext>
      </extLst>
    </cfRule>
  </conditionalFormatting>
  <conditionalFormatting pivot="1" sqref="T18:AH44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{BB801BD7-CD29-464B-8632-43E02C412240}</x14:id>
        </ext>
      </extLst>
    </cfRule>
  </conditionalFormatting>
  <conditionalFormatting pivot="1" sqref="AJ18:AX44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{505FB77C-6838-47EB-8D37-3E771783E5DF}</x14:id>
        </ext>
      </extLst>
    </cfRule>
  </conditionalFormatting>
  <pageMargins left="0.25" right="0.25" top="0.255" bottom="0.25" header="0.1" footer="0.1"/>
  <pageSetup scale="37" orientation="landscape" horizontalDpi="300" verticalDpi="300" r:id="rId5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5" max="1048575" man="1"/>
  </colBreaks>
  <legacyDrawingHF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D73:P73</xm:sqref>
        </x14:conditionalFormatting>
        <x14:conditionalFormatting xmlns:xm="http://schemas.microsoft.com/office/excel/2006/main" pivot="1">
          <x14:cfRule type="dataBar" id="{86A234C5-DE6D-443B-BBAF-37C116FA5C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D18:R44</xm:sqref>
        </x14:conditionalFormatting>
        <x14:conditionalFormatting xmlns:xm="http://schemas.microsoft.com/office/excel/2006/main" pivot="1">
          <x14:cfRule type="dataBar" id="{BB801BD7-CD29-464B-8632-43E02C4122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T18:AH44</xm:sqref>
        </x14:conditionalFormatting>
        <x14:conditionalFormatting xmlns:xm="http://schemas.microsoft.com/office/excel/2006/main" pivot="1">
          <x14:cfRule type="dataBar" id="{505FB77C-6838-47EB-8D37-3E771783E5D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AJ18:AX44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R18"/>
  <sheetViews>
    <sheetView workbookViewId="0">
      <selection activeCell="B3" sqref="B3:AE17"/>
    </sheetView>
  </sheetViews>
  <sheetFormatPr defaultRowHeight="15"/>
  <cols>
    <col min="32" max="44" width="9.140625" style="96"/>
  </cols>
  <sheetData>
    <row r="3" spans="2:44">
      <c r="B3" s="40" t="s">
        <v>32</v>
      </c>
      <c r="C3" s="40" t="s">
        <v>33</v>
      </c>
      <c r="D3" s="40" t="s">
        <v>21</v>
      </c>
      <c r="E3" s="40" t="s">
        <v>22</v>
      </c>
      <c r="F3" s="40" t="s">
        <v>23</v>
      </c>
      <c r="G3" s="40" t="s">
        <v>34</v>
      </c>
      <c r="H3" s="40" t="s">
        <v>35</v>
      </c>
      <c r="I3" s="40" t="s">
        <v>36</v>
      </c>
      <c r="J3" s="40" t="s">
        <v>37</v>
      </c>
      <c r="K3" s="40" t="s">
        <v>38</v>
      </c>
      <c r="L3" s="40" t="s">
        <v>39</v>
      </c>
      <c r="M3" s="40" t="s">
        <v>40</v>
      </c>
      <c r="N3" s="40" t="s">
        <v>41</v>
      </c>
      <c r="O3" s="40" t="s">
        <v>42</v>
      </c>
      <c r="P3" s="40" t="s">
        <v>43</v>
      </c>
      <c r="Q3" s="40" t="s">
        <v>44</v>
      </c>
      <c r="R3" s="40" t="s">
        <v>45</v>
      </c>
      <c r="S3" s="40" t="s">
        <v>46</v>
      </c>
      <c r="T3" s="40" t="s">
        <v>47</v>
      </c>
      <c r="U3" s="40" t="s">
        <v>48</v>
      </c>
      <c r="V3" s="40" t="s">
        <v>49</v>
      </c>
      <c r="W3" s="40" t="s">
        <v>50</v>
      </c>
      <c r="X3" s="40" t="s">
        <v>51</v>
      </c>
      <c r="Y3" s="40" t="s">
        <v>52</v>
      </c>
      <c r="Z3" s="40" t="s">
        <v>53</v>
      </c>
      <c r="AA3" s="40" t="s">
        <v>54</v>
      </c>
      <c r="AB3" s="40" t="s">
        <v>55</v>
      </c>
      <c r="AC3" s="40" t="s">
        <v>56</v>
      </c>
      <c r="AD3" s="40" t="s">
        <v>57</v>
      </c>
      <c r="AE3" s="40" t="s">
        <v>58</v>
      </c>
      <c r="AF3" s="40" t="s">
        <v>272</v>
      </c>
      <c r="AG3" s="40" t="s">
        <v>273</v>
      </c>
      <c r="AH3" s="40" t="s">
        <v>274</v>
      </c>
      <c r="AI3" s="40" t="s">
        <v>275</v>
      </c>
      <c r="AJ3" s="40" t="s">
        <v>276</v>
      </c>
      <c r="AK3" s="40" t="s">
        <v>277</v>
      </c>
      <c r="AL3" s="40" t="s">
        <v>278</v>
      </c>
      <c r="AM3" s="40" t="s">
        <v>279</v>
      </c>
      <c r="AN3" s="40" t="s">
        <v>280</v>
      </c>
      <c r="AO3" s="40" t="s">
        <v>281</v>
      </c>
      <c r="AP3" s="40" t="s">
        <v>282</v>
      </c>
      <c r="AQ3" s="40" t="s">
        <v>283</v>
      </c>
      <c r="AR3" s="40" t="s">
        <v>284</v>
      </c>
    </row>
    <row r="4" spans="2:44">
      <c r="B4" t="s">
        <v>285</v>
      </c>
      <c r="C4" t="s">
        <v>285</v>
      </c>
      <c r="D4">
        <v>88494</v>
      </c>
      <c r="E4">
        <v>19185709194.049999</v>
      </c>
      <c r="F4">
        <v>19598716000</v>
      </c>
      <c r="G4">
        <v>11.853142959386469</v>
      </c>
      <c r="H4">
        <v>4.415009798690102</v>
      </c>
      <c r="I4">
        <v>4.415009798690102</v>
      </c>
      <c r="J4">
        <v>92.274785295920935</v>
      </c>
      <c r="K4">
        <v>92.28572909933348</v>
      </c>
      <c r="L4">
        <v>87.124479390321682</v>
      </c>
      <c r="M4">
        <v>34.903454336459738</v>
      </c>
      <c r="N4">
        <v>747.44288850374346</v>
      </c>
      <c r="O4">
        <v>263927.9305099246</v>
      </c>
      <c r="P4">
        <v>0.99243585722517846</v>
      </c>
      <c r="Q4">
        <v>4.5926057378856758E-3</v>
      </c>
      <c r="R4">
        <v>0.38694561651921244</v>
      </c>
      <c r="S4">
        <v>0.54567732164661287</v>
      </c>
      <c r="T4">
        <v>0</v>
      </c>
      <c r="U4">
        <v>0.61225055547557716</v>
      </c>
      <c r="V4">
        <v>0.9940977241245208</v>
      </c>
      <c r="W4">
        <v>0.89761937013049464</v>
      </c>
      <c r="X4">
        <v>9.440801943624412E-2</v>
      </c>
      <c r="Y4">
        <v>0.99821372047218204</v>
      </c>
      <c r="Z4">
        <v>1.786279527817943E-3</v>
      </c>
      <c r="AA4">
        <v>0.99821372047218204</v>
      </c>
      <c r="AB4">
        <v>0</v>
      </c>
      <c r="AC4">
        <v>1.786279527817943E-3</v>
      </c>
      <c r="AD4">
        <v>0</v>
      </c>
      <c r="AE4">
        <v>0</v>
      </c>
      <c r="AF4" s="3"/>
      <c r="AG4" s="104">
        <v>42278</v>
      </c>
      <c r="AH4" s="3">
        <v>216802.37297500396</v>
      </c>
      <c r="AI4" s="3">
        <v>1.8483198281248577E-3</v>
      </c>
      <c r="AJ4" s="3">
        <v>0.32511837936407662</v>
      </c>
      <c r="AK4" s="3">
        <v>6.1237298918528478E-2</v>
      </c>
      <c r="AL4" s="3">
        <v>5.6652536323081697E-4</v>
      </c>
      <c r="AM4" s="3">
        <v>3.1633255453919728E-4</v>
      </c>
      <c r="AN4" s="3">
        <v>1.3096701375934822E-3</v>
      </c>
      <c r="AO4" s="3">
        <v>0.10182442822472548</v>
      </c>
      <c r="AP4" s="3">
        <v>5.5620164477992822E-4</v>
      </c>
      <c r="AQ4" s="3">
        <v>0.47441581796740534</v>
      </c>
      <c r="AR4" s="3">
        <v>0.4311761625963505</v>
      </c>
    </row>
    <row r="5" spans="2:44">
      <c r="B5" s="40" t="s">
        <v>59</v>
      </c>
      <c r="C5" s="40" t="s">
        <v>60</v>
      </c>
      <c r="D5" s="40">
        <v>82694</v>
      </c>
      <c r="E5" s="40">
        <v>18256625324.18</v>
      </c>
      <c r="F5" s="40">
        <v>19751610000</v>
      </c>
      <c r="G5" s="40">
        <v>37.158956941958841</v>
      </c>
      <c r="H5" s="40">
        <v>3.8279329679221803</v>
      </c>
      <c r="I5" s="40">
        <v>3.8279325512780047</v>
      </c>
      <c r="J5" s="40">
        <v>74.824159827939383</v>
      </c>
      <c r="K5" s="40">
        <v>75.57043914068646</v>
      </c>
      <c r="L5" s="40">
        <v>59.083151357347639</v>
      </c>
      <c r="M5" s="40">
        <v>32.200736609453017</v>
      </c>
      <c r="N5" s="40">
        <v>766.78906408702051</v>
      </c>
      <c r="O5" s="40">
        <v>306200.31181180547</v>
      </c>
      <c r="P5" s="40">
        <v>0</v>
      </c>
      <c r="Q5" s="40">
        <v>5.4522159359410974E-2</v>
      </c>
      <c r="R5" s="40">
        <v>0.10500468348556109</v>
      </c>
      <c r="S5" s="40">
        <v>0.63151672366852629</v>
      </c>
      <c r="T5" s="40">
        <v>2.3810625757009925E-2</v>
      </c>
      <c r="U5" s="40">
        <v>0.71663874667470306</v>
      </c>
      <c r="V5" s="40">
        <v>0.8942062906844066</v>
      </c>
      <c r="W5" s="40">
        <v>0.40107985751736325</v>
      </c>
      <c r="X5" s="40">
        <v>0.14142088520874901</v>
      </c>
      <c r="Y5" s="40">
        <v>0.9973851212777658</v>
      </c>
      <c r="Z5" s="40">
        <v>2.6148787222341815E-3</v>
      </c>
      <c r="AA5" s="40">
        <v>0.97544472001042526</v>
      </c>
      <c r="AB5" s="40">
        <v>2.1940401267340526E-2</v>
      </c>
      <c r="AC5" s="40">
        <v>2.3669458595268014E-3</v>
      </c>
      <c r="AD5" s="40">
        <v>2.4793286270738017E-4</v>
      </c>
      <c r="AE5" s="40">
        <v>1.4943060568739218E-4</v>
      </c>
      <c r="AF5" s="3">
        <v>1</v>
      </c>
      <c r="AG5" s="104">
        <v>42278</v>
      </c>
      <c r="AH5" s="3">
        <v>220773.27646721649</v>
      </c>
      <c r="AI5" s="3">
        <v>6.9488471200083668E-2</v>
      </c>
      <c r="AJ5" s="3">
        <v>0.23394584192913187</v>
      </c>
      <c r="AK5" s="3">
        <v>4.6416621251335319E-2</v>
      </c>
      <c r="AL5" s="3">
        <v>1.4803772230678623E-3</v>
      </c>
      <c r="AM5" s="3">
        <v>9.1491885293155809E-4</v>
      </c>
      <c r="AN5" s="3">
        <v>5.1271549956182425E-2</v>
      </c>
      <c r="AO5" s="3">
        <v>0.42683235592063085</v>
      </c>
      <c r="AP5" s="3">
        <v>0.17208778656200593</v>
      </c>
      <c r="AQ5" s="3">
        <v>0.46352618037145876</v>
      </c>
      <c r="AR5" s="3">
        <v>0.3950218202686327</v>
      </c>
    </row>
    <row r="6" spans="2:44">
      <c r="B6" s="40" t="s">
        <v>61</v>
      </c>
      <c r="C6" s="40" t="s">
        <v>62</v>
      </c>
      <c r="D6" s="40">
        <v>129892</v>
      </c>
      <c r="E6" s="40">
        <v>30029232386.48</v>
      </c>
      <c r="F6" s="40">
        <v>32071032000</v>
      </c>
      <c r="G6" s="40">
        <v>31.388218267144207</v>
      </c>
      <c r="H6" s="40">
        <v>3.5931553800561598</v>
      </c>
      <c r="I6" s="40">
        <v>3.5931754473303075</v>
      </c>
      <c r="J6" s="40">
        <v>74.282098713834387</v>
      </c>
      <c r="K6" s="40">
        <v>75.265745508126031</v>
      </c>
      <c r="L6" s="40">
        <v>59.999710425973227</v>
      </c>
      <c r="M6" s="40">
        <v>32.132615896462042</v>
      </c>
      <c r="N6" s="40">
        <v>764.34899718068277</v>
      </c>
      <c r="O6" s="40">
        <v>313518.67011079518</v>
      </c>
      <c r="P6" s="40">
        <v>0</v>
      </c>
      <c r="Q6" s="40">
        <v>4.5128731710109928E-2</v>
      </c>
      <c r="R6" s="40">
        <v>7.4777871568605159E-2</v>
      </c>
      <c r="S6" s="40">
        <v>0.60978891767757426</v>
      </c>
      <c r="T6" s="40">
        <v>2.8939486739969478E-2</v>
      </c>
      <c r="U6" s="40">
        <v>0.67482816507003607</v>
      </c>
      <c r="V6" s="40">
        <v>0.88674857824633713</v>
      </c>
      <c r="W6" s="40">
        <v>0.26756965004465255</v>
      </c>
      <c r="X6" s="40">
        <v>0.12261876268798018</v>
      </c>
      <c r="Y6" s="40">
        <v>0.99732456645424705</v>
      </c>
      <c r="Z6" s="40">
        <v>2.6754335457529663E-3</v>
      </c>
      <c r="AA6" s="40">
        <v>0.97731979416374837</v>
      </c>
      <c r="AB6" s="40">
        <v>2.0004772290498657E-2</v>
      </c>
      <c r="AC6" s="40">
        <v>2.3962329817127483E-3</v>
      </c>
      <c r="AD6" s="40">
        <v>2.7920056404021808E-4</v>
      </c>
      <c r="AE6" s="40">
        <v>1.6424183464045354E-4</v>
      </c>
      <c r="AF6" s="3">
        <v>1</v>
      </c>
      <c r="AG6" s="104">
        <v>42278</v>
      </c>
      <c r="AH6" s="3">
        <v>231186.15762695161</v>
      </c>
      <c r="AI6" s="3">
        <v>9.2720190251802004E-2</v>
      </c>
      <c r="AJ6" s="3">
        <v>0.26876536082499758</v>
      </c>
      <c r="AK6" s="3">
        <v>5.2451957346373944E-2</v>
      </c>
      <c r="AL6" s="3">
        <v>1.0841346838641637E-3</v>
      </c>
      <c r="AM6" s="3">
        <v>2.3825367584891012E-3</v>
      </c>
      <c r="AN6" s="3">
        <v>6.812269004355298E-2</v>
      </c>
      <c r="AO6" s="3">
        <v>0.53117049411297723</v>
      </c>
      <c r="AP6" s="3">
        <v>0.20125985584237022</v>
      </c>
      <c r="AQ6" s="3">
        <v>0.4032625830473146</v>
      </c>
      <c r="AR6" s="3">
        <v>0.47411865426470523</v>
      </c>
    </row>
    <row r="7" spans="2:44">
      <c r="B7" s="40" t="s">
        <v>63</v>
      </c>
      <c r="C7" s="40" t="s">
        <v>64</v>
      </c>
      <c r="D7" s="40">
        <v>125306</v>
      </c>
      <c r="E7" s="40">
        <v>27909111737.400002</v>
      </c>
      <c r="F7" s="40">
        <v>29587128000</v>
      </c>
      <c r="G7" s="40">
        <v>28.215493470318172</v>
      </c>
      <c r="H7" s="40">
        <v>3.7145689614972772</v>
      </c>
      <c r="I7" s="40">
        <v>3.7145773141616667</v>
      </c>
      <c r="J7" s="40">
        <v>74.826218372921176</v>
      </c>
      <c r="K7" s="40">
        <v>75.710581167263172</v>
      </c>
      <c r="L7" s="40">
        <v>61.878268764295534</v>
      </c>
      <c r="M7" s="40">
        <v>32.831364577453996</v>
      </c>
      <c r="N7" s="40">
        <v>761.45826987729288</v>
      </c>
      <c r="O7" s="40">
        <v>302502.82730629417</v>
      </c>
      <c r="P7" s="40">
        <v>0</v>
      </c>
      <c r="Q7" s="40">
        <v>5.3837403089274288E-2</v>
      </c>
      <c r="R7" s="40">
        <v>0.11268477120665898</v>
      </c>
      <c r="S7" s="40">
        <v>0.58697055929434327</v>
      </c>
      <c r="T7" s="40">
        <v>3.2471710511143143E-2</v>
      </c>
      <c r="U7" s="40">
        <v>0.65849781608069535</v>
      </c>
      <c r="V7" s="40">
        <v>0.85779894141662416</v>
      </c>
      <c r="W7" s="40">
        <v>0.40779939936348109</v>
      </c>
      <c r="X7" s="40">
        <v>0.12296581016410775</v>
      </c>
      <c r="Y7" s="40">
        <v>0.99664610215901051</v>
      </c>
      <c r="Z7" s="40">
        <v>3.3538978409894797E-3</v>
      </c>
      <c r="AA7" s="40">
        <v>0.97769488890842093</v>
      </c>
      <c r="AB7" s="40">
        <v>1.8951213250589578E-2</v>
      </c>
      <c r="AC7" s="40">
        <v>3.0152225825672077E-3</v>
      </c>
      <c r="AD7" s="40">
        <v>3.3867525842227168E-4</v>
      </c>
      <c r="AE7" s="40">
        <v>1.4615284099256674E-4</v>
      </c>
      <c r="AF7" s="3">
        <v>1</v>
      </c>
      <c r="AG7" s="104">
        <v>42278</v>
      </c>
      <c r="AH7" s="3">
        <v>222727.65659585336</v>
      </c>
      <c r="AI7" s="3">
        <v>8.0015982836078664E-2</v>
      </c>
      <c r="AJ7" s="3">
        <v>0.27140134896194457</v>
      </c>
      <c r="AK7" s="3">
        <v>6.6569723210871387E-2</v>
      </c>
      <c r="AL7" s="3">
        <v>1.1975712786735106E-3</v>
      </c>
      <c r="AM7" s="3">
        <v>1.7662029284129458E-3</v>
      </c>
      <c r="AN7" s="3">
        <v>8.8363655494101565E-2</v>
      </c>
      <c r="AO7" s="3">
        <v>0.40263312782117394</v>
      </c>
      <c r="AP7" s="3">
        <v>0.18956747281534497</v>
      </c>
      <c r="AQ7" s="3">
        <v>0.43577398737065692</v>
      </c>
      <c r="AR7" s="3">
        <v>0.44126020246523534</v>
      </c>
    </row>
    <row r="8" spans="2:44">
      <c r="B8" s="40" t="s">
        <v>65</v>
      </c>
      <c r="C8" s="40" t="s">
        <v>66</v>
      </c>
      <c r="D8" s="40">
        <v>99904</v>
      </c>
      <c r="E8" s="40">
        <v>22712477227.689999</v>
      </c>
      <c r="F8" s="40">
        <v>23912402000</v>
      </c>
      <c r="G8" s="40">
        <v>25.54758734158057</v>
      </c>
      <c r="H8" s="40">
        <v>3.9691765723109245</v>
      </c>
      <c r="I8" s="40">
        <v>3.9691856197751418</v>
      </c>
      <c r="J8" s="40">
        <v>75.276457769006143</v>
      </c>
      <c r="K8" s="40">
        <v>76.327262797909071</v>
      </c>
      <c r="L8" s="40">
        <v>64.170025130475238</v>
      </c>
      <c r="M8" s="40">
        <v>33.055225392345612</v>
      </c>
      <c r="N8" s="40">
        <v>760.15776183008484</v>
      </c>
      <c r="O8" s="40">
        <v>303241.73245390318</v>
      </c>
      <c r="P8" s="40">
        <v>0</v>
      </c>
      <c r="Q8" s="40">
        <v>5.319382637253954E-2</v>
      </c>
      <c r="R8" s="40">
        <v>0.15066934887216818</v>
      </c>
      <c r="S8" s="40">
        <v>0.58887002190338744</v>
      </c>
      <c r="T8" s="40">
        <v>2.9468035651524182E-2</v>
      </c>
      <c r="U8" s="40">
        <v>0.63820609612491208</v>
      </c>
      <c r="V8" s="40">
        <v>0.87872426389262925</v>
      </c>
      <c r="W8" s="40">
        <v>0.52048336839003262</v>
      </c>
      <c r="X8" s="40">
        <v>9.8773680282878029E-2</v>
      </c>
      <c r="Y8" s="40">
        <v>0.99684302174081729</v>
      </c>
      <c r="Z8" s="40">
        <v>3.1569782591827225E-3</v>
      </c>
      <c r="AA8" s="40">
        <v>0.97814302362030414</v>
      </c>
      <c r="AB8" s="40">
        <v>1.8699998120513119E-2</v>
      </c>
      <c r="AC8" s="40">
        <v>2.9515128811344543E-3</v>
      </c>
      <c r="AD8" s="40">
        <v>2.0546537804826785E-4</v>
      </c>
      <c r="AE8" s="40">
        <v>1.0449451093368834E-4</v>
      </c>
      <c r="AF8" s="3">
        <v>1</v>
      </c>
      <c r="AG8" s="104">
        <v>42278</v>
      </c>
      <c r="AH8" s="3">
        <v>227343.02157761451</v>
      </c>
      <c r="AI8" s="3">
        <v>8.9966701437077148E-2</v>
      </c>
      <c r="AJ8" s="3">
        <v>0.27319566277320079</v>
      </c>
      <c r="AK8" s="3">
        <v>8.2749331120899092E-2</v>
      </c>
      <c r="AL8" s="3">
        <v>9.3292353703132598E-4</v>
      </c>
      <c r="AM8" s="3">
        <v>4.3521564679650524E-3</v>
      </c>
      <c r="AN8" s="3">
        <v>6.8081909734831206E-2</v>
      </c>
      <c r="AO8" s="3">
        <v>0.3092265774464934</v>
      </c>
      <c r="AP8" s="3">
        <v>0.17029005416347401</v>
      </c>
      <c r="AQ8" s="3">
        <v>0.45830650808708318</v>
      </c>
      <c r="AR8" s="3">
        <v>0.4429198116300388</v>
      </c>
    </row>
    <row r="9" spans="2:44">
      <c r="B9" s="40" t="s">
        <v>67</v>
      </c>
      <c r="C9" s="40" t="s">
        <v>68</v>
      </c>
      <c r="D9" s="40">
        <v>69166</v>
      </c>
      <c r="E9" s="40">
        <v>14214856277.59</v>
      </c>
      <c r="F9" s="40">
        <v>14837881000</v>
      </c>
      <c r="G9" s="40">
        <v>22.158644602562408</v>
      </c>
      <c r="H9" s="40">
        <v>4.5334170151982116</v>
      </c>
      <c r="I9" s="40">
        <v>4.5333885209324531</v>
      </c>
      <c r="J9" s="40">
        <v>75.918245046356034</v>
      </c>
      <c r="K9" s="40">
        <v>76.673776931066783</v>
      </c>
      <c r="L9" s="40">
        <v>66.562747676638011</v>
      </c>
      <c r="M9" s="40">
        <v>34.453972033404483</v>
      </c>
      <c r="N9" s="40">
        <v>753.89579953359953</v>
      </c>
      <c r="O9" s="40">
        <v>279085.11361776816</v>
      </c>
      <c r="P9" s="40">
        <v>0</v>
      </c>
      <c r="Q9" s="40">
        <v>6.0826006205431063E-2</v>
      </c>
      <c r="R9" s="40">
        <v>0.19011910305421584</v>
      </c>
      <c r="S9" s="40">
        <v>0.55697024594485023</v>
      </c>
      <c r="T9" s="40">
        <v>3.5293112123892426E-2</v>
      </c>
      <c r="U9" s="40">
        <v>0.63250034995037785</v>
      </c>
      <c r="V9" s="40">
        <v>0.85359167045529605</v>
      </c>
      <c r="W9" s="40">
        <v>0.63734931167774089</v>
      </c>
      <c r="X9" s="40">
        <v>0.12324427472488091</v>
      </c>
      <c r="Y9" s="40">
        <v>0.99435531180807668</v>
      </c>
      <c r="Z9" s="40">
        <v>5.6446881919233654E-3</v>
      </c>
      <c r="AA9" s="40">
        <v>0.97430952315109065</v>
      </c>
      <c r="AB9" s="40">
        <v>2.0045788656986009E-2</v>
      </c>
      <c r="AC9" s="40">
        <v>4.9888904456811874E-3</v>
      </c>
      <c r="AD9" s="40">
        <v>6.5579774624217814E-4</v>
      </c>
      <c r="AE9" s="40">
        <v>1.1525931377744291E-4</v>
      </c>
      <c r="AF9" s="3">
        <v>1</v>
      </c>
      <c r="AG9" s="104">
        <v>42278</v>
      </c>
      <c r="AH9" s="3">
        <v>205517.97527094238</v>
      </c>
      <c r="AI9" s="3">
        <v>6.1682294254518787E-2</v>
      </c>
      <c r="AJ9" s="3">
        <v>0.27695878947201502</v>
      </c>
      <c r="AK9" s="3">
        <v>8.4370544535208841E-2</v>
      </c>
      <c r="AL9" s="3">
        <v>1.7862625779783748E-3</v>
      </c>
      <c r="AM9" s="3">
        <v>3.8468591030503848E-3</v>
      </c>
      <c r="AN9" s="3">
        <v>8.5582323339272862E-2</v>
      </c>
      <c r="AO9" s="3">
        <v>0.19010359748414915</v>
      </c>
      <c r="AP9" s="3">
        <v>0.17254709083811001</v>
      </c>
      <c r="AQ9" s="3">
        <v>0.45343888959057332</v>
      </c>
      <c r="AR9" s="3">
        <v>0.42331683568454576</v>
      </c>
    </row>
    <row r="10" spans="2:44">
      <c r="B10" s="40" t="s">
        <v>69</v>
      </c>
      <c r="C10" s="40" t="s">
        <v>70</v>
      </c>
      <c r="D10" s="40">
        <v>56915</v>
      </c>
      <c r="E10" s="40">
        <v>11761195171.49</v>
      </c>
      <c r="F10" s="40">
        <v>12215846000</v>
      </c>
      <c r="G10" s="40">
        <v>19.383446224296325</v>
      </c>
      <c r="H10" s="40">
        <v>4.5644921026890621</v>
      </c>
      <c r="I10" s="40">
        <v>4.5644921026890621</v>
      </c>
      <c r="J10" s="40">
        <v>75.889037091591376</v>
      </c>
      <c r="K10" s="40">
        <v>76.698691308515109</v>
      </c>
      <c r="L10" s="40">
        <v>67.518049057996691</v>
      </c>
      <c r="M10" s="40">
        <v>34.754187047212845</v>
      </c>
      <c r="N10" s="40">
        <v>751.68914404682505</v>
      </c>
      <c r="O10" s="40">
        <v>279090.7362547887</v>
      </c>
      <c r="P10" s="40">
        <v>0</v>
      </c>
      <c r="Q10" s="40">
        <v>5.8430739767490671E-2</v>
      </c>
      <c r="R10" s="40">
        <v>0.17481953363839289</v>
      </c>
      <c r="S10" s="40">
        <v>0.5475392555860602</v>
      </c>
      <c r="T10" s="40">
        <v>3.6859836231684512E-2</v>
      </c>
      <c r="U10" s="40">
        <v>0.63321811433357111</v>
      </c>
      <c r="V10" s="40">
        <v>0.84353232235522346</v>
      </c>
      <c r="W10" s="40">
        <v>0.61110253927785618</v>
      </c>
      <c r="X10" s="40">
        <v>0.11628928296976207</v>
      </c>
      <c r="Y10" s="40">
        <v>0.99508948207321657</v>
      </c>
      <c r="Z10" s="40">
        <v>4.9105179267833988E-3</v>
      </c>
      <c r="AA10" s="40">
        <v>0.97672160954154841</v>
      </c>
      <c r="AB10" s="40">
        <v>1.8367872531668213E-2</v>
      </c>
      <c r="AC10" s="40">
        <v>4.2924580923865609E-3</v>
      </c>
      <c r="AD10" s="40">
        <v>6.1805983439683799E-4</v>
      </c>
      <c r="AE10" s="40">
        <v>6.8578126477754776E-5</v>
      </c>
      <c r="AF10" s="3">
        <v>1</v>
      </c>
      <c r="AG10" s="104">
        <v>42278</v>
      </c>
      <c r="AH10" s="3">
        <v>206644.912088026</v>
      </c>
      <c r="AI10" s="3">
        <v>6.6556111292797412E-2</v>
      </c>
      <c r="AJ10" s="3">
        <v>0.2899463729150904</v>
      </c>
      <c r="AK10" s="3">
        <v>7.2145985707037841E-2</v>
      </c>
      <c r="AL10" s="3">
        <v>2.1812444726865242E-3</v>
      </c>
      <c r="AM10" s="3">
        <v>1.863476554077405E-3</v>
      </c>
      <c r="AN10" s="3">
        <v>9.8036937877285901E-2</v>
      </c>
      <c r="AO10" s="3">
        <v>0.1936515505865429</v>
      </c>
      <c r="AP10" s="3">
        <v>0.19524591013560091</v>
      </c>
      <c r="AQ10" s="3">
        <v>0.48328328319203534</v>
      </c>
      <c r="AR10" s="3">
        <v>0.40042743383820262</v>
      </c>
    </row>
    <row r="11" spans="2:44">
      <c r="B11" s="40" t="s">
        <v>71</v>
      </c>
      <c r="C11" s="40" t="s">
        <v>72</v>
      </c>
      <c r="D11" s="40">
        <v>36480</v>
      </c>
      <c r="E11" s="40">
        <v>7527805236.3900003</v>
      </c>
      <c r="F11" s="40">
        <v>7818834000</v>
      </c>
      <c r="G11" s="40">
        <v>22.221768728035077</v>
      </c>
      <c r="H11" s="40">
        <v>4.5484015702611034</v>
      </c>
      <c r="I11" s="40">
        <v>4.5482757174772237</v>
      </c>
      <c r="J11" s="40">
        <v>92.322162037869489</v>
      </c>
      <c r="K11" s="40">
        <v>92.332486112982949</v>
      </c>
      <c r="L11" s="40">
        <v>81.639692239957341</v>
      </c>
      <c r="M11" s="40">
        <v>34.691613529545393</v>
      </c>
      <c r="N11" s="40">
        <v>751.4753213005821</v>
      </c>
      <c r="O11" s="40">
        <v>256550.04147634082</v>
      </c>
      <c r="P11" s="40">
        <v>0.99797958035942846</v>
      </c>
      <c r="Q11" s="40">
        <v>4.2745958881145671E-3</v>
      </c>
      <c r="R11" s="40">
        <v>0.39756863947707854</v>
      </c>
      <c r="S11" s="40">
        <v>0.54200422721306152</v>
      </c>
      <c r="T11" s="40">
        <v>0</v>
      </c>
      <c r="U11" s="40">
        <v>0.61021500203064183</v>
      </c>
      <c r="V11" s="40">
        <v>0.9955061392042307</v>
      </c>
      <c r="W11" s="40">
        <v>0.90675818504749162</v>
      </c>
      <c r="X11" s="40">
        <v>7.8313825282056965E-2</v>
      </c>
      <c r="Y11" s="40">
        <v>0.9938986043132505</v>
      </c>
      <c r="Z11" s="40">
        <v>6.1013956867494671E-3</v>
      </c>
      <c r="AA11" s="40">
        <v>0.97457851233120218</v>
      </c>
      <c r="AB11" s="40">
        <v>1.9320091982048346E-2</v>
      </c>
      <c r="AC11" s="40">
        <v>5.2588256134246591E-3</v>
      </c>
      <c r="AD11" s="40">
        <v>8.4257007332480852E-4</v>
      </c>
      <c r="AE11" s="40">
        <v>3.0646239209907204E-4</v>
      </c>
      <c r="AF11" s="3">
        <v>1</v>
      </c>
      <c r="AG11" s="104">
        <v>42278</v>
      </c>
      <c r="AH11" s="3">
        <v>206354.31020805921</v>
      </c>
      <c r="AI11" s="3">
        <v>1.6516875529530293E-3</v>
      </c>
      <c r="AJ11" s="3">
        <v>0.32599888407671607</v>
      </c>
      <c r="AK11" s="3">
        <v>6.1735924393132503E-2</v>
      </c>
      <c r="AL11" s="3">
        <v>4.9445119966798833E-4</v>
      </c>
      <c r="AM11" s="3">
        <v>8.9585821607069739E-4</v>
      </c>
      <c r="AN11" s="3">
        <v>2.1926490765475042E-4</v>
      </c>
      <c r="AO11" s="3">
        <v>9.3241814952508384E-2</v>
      </c>
      <c r="AP11" s="3">
        <v>0</v>
      </c>
      <c r="AQ11" s="3">
        <v>0.43449721540730707</v>
      </c>
      <c r="AR11" s="3">
        <v>0.48718895931063594</v>
      </c>
    </row>
    <row r="12" spans="2:44">
      <c r="B12" s="40" t="s">
        <v>73</v>
      </c>
      <c r="C12" s="40" t="s">
        <v>74</v>
      </c>
      <c r="D12" s="40">
        <v>132123</v>
      </c>
      <c r="E12" s="40">
        <v>28835018767.830002</v>
      </c>
      <c r="F12" s="40">
        <v>30454550000</v>
      </c>
      <c r="G12" s="40">
        <v>28.220900804672489</v>
      </c>
      <c r="H12" s="40">
        <v>3.7935690192175691</v>
      </c>
      <c r="I12" s="40">
        <v>3.7935689782436381</v>
      </c>
      <c r="J12" s="40">
        <v>91.537989753893171</v>
      </c>
      <c r="K12" s="40">
        <v>91.561949870203591</v>
      </c>
      <c r="L12" s="40">
        <v>77.469676329682144</v>
      </c>
      <c r="M12" s="40">
        <v>33.134979334975924</v>
      </c>
      <c r="N12" s="40">
        <v>757.20190179671272</v>
      </c>
      <c r="O12" s="40">
        <v>274009.91835262644</v>
      </c>
      <c r="P12" s="40">
        <v>0.99928837176402696</v>
      </c>
      <c r="Q12" s="40">
        <v>3.7637864463983292E-3</v>
      </c>
      <c r="R12" s="40">
        <v>0.29757312693248278</v>
      </c>
      <c r="S12" s="40">
        <v>0.56691234670454138</v>
      </c>
      <c r="T12" s="40">
        <v>0</v>
      </c>
      <c r="U12" s="40">
        <v>0.62240976508026147</v>
      </c>
      <c r="V12" s="40">
        <v>0.9960358085531219</v>
      </c>
      <c r="W12" s="40">
        <v>0.71714993719097953</v>
      </c>
      <c r="X12" s="40">
        <v>7.6660078936593407E-2</v>
      </c>
      <c r="Y12" s="40">
        <v>0.99581080806076094</v>
      </c>
      <c r="Z12" s="40">
        <v>4.1891919392390443E-3</v>
      </c>
      <c r="AA12" s="40">
        <v>0.98316195844957521</v>
      </c>
      <c r="AB12" s="40">
        <v>1.2648849611185739E-2</v>
      </c>
      <c r="AC12" s="40">
        <v>3.6933459443007173E-3</v>
      </c>
      <c r="AD12" s="40">
        <v>4.9584599493832711E-4</v>
      </c>
      <c r="AE12" s="40">
        <v>1.0586090942328588E-4</v>
      </c>
      <c r="AF12" s="3">
        <v>1</v>
      </c>
      <c r="AG12" s="104">
        <v>42278</v>
      </c>
      <c r="AH12" s="3">
        <v>218243.748384687</v>
      </c>
      <c r="AI12" s="3">
        <v>3.91254059511369E-3</v>
      </c>
      <c r="AJ12" s="3">
        <v>0.32504250206303376</v>
      </c>
      <c r="AK12" s="3">
        <v>5.1128271546498752E-2</v>
      </c>
      <c r="AL12" s="3">
        <v>3.2716112501805523E-4</v>
      </c>
      <c r="AM12" s="3">
        <v>5.3886182787351558E-4</v>
      </c>
      <c r="AN12" s="3">
        <v>2.0040500047973018E-4</v>
      </c>
      <c r="AO12" s="3">
        <v>0.28285006280902047</v>
      </c>
      <c r="AP12" s="3">
        <v>0</v>
      </c>
      <c r="AQ12" s="3">
        <v>0.41550847131568047</v>
      </c>
      <c r="AR12" s="3">
        <v>0.50783144974772609</v>
      </c>
    </row>
    <row r="13" spans="2:44">
      <c r="B13" s="40" t="s">
        <v>75</v>
      </c>
      <c r="C13" s="40" t="s">
        <v>76</v>
      </c>
      <c r="D13" s="40">
        <v>30506</v>
      </c>
      <c r="E13" s="40">
        <v>6333387024.3100004</v>
      </c>
      <c r="F13" s="40">
        <v>6548186000</v>
      </c>
      <c r="G13" s="40">
        <v>19.380626188599713</v>
      </c>
      <c r="H13" s="40">
        <v>4.558263081596226</v>
      </c>
      <c r="I13" s="40">
        <v>4.5581602842634164</v>
      </c>
      <c r="J13" s="40">
        <v>92.377851649565144</v>
      </c>
      <c r="K13" s="40">
        <v>92.38717816540624</v>
      </c>
      <c r="L13" s="40">
        <v>82.725642453139926</v>
      </c>
      <c r="M13" s="40">
        <v>34.88189665427852</v>
      </c>
      <c r="N13" s="40">
        <v>748.71708673752096</v>
      </c>
      <c r="O13" s="40">
        <v>257559.23962159187</v>
      </c>
      <c r="P13" s="40">
        <v>0.99786892357782753</v>
      </c>
      <c r="Q13" s="40">
        <v>4.4149780682392979E-3</v>
      </c>
      <c r="R13" s="40">
        <v>0.39640370129180896</v>
      </c>
      <c r="S13" s="40">
        <v>0.53924986292655663</v>
      </c>
      <c r="T13" s="40">
        <v>0</v>
      </c>
      <c r="U13" s="40">
        <v>0.59835390255230203</v>
      </c>
      <c r="V13" s="40">
        <v>0.99498960881780996</v>
      </c>
      <c r="W13" s="40">
        <v>0.89971252276672631</v>
      </c>
      <c r="X13" s="40">
        <v>8.7626857543963613E-2</v>
      </c>
      <c r="Y13" s="40">
        <v>0.99317661546434421</v>
      </c>
      <c r="Z13" s="40">
        <v>6.8233845356558062E-3</v>
      </c>
      <c r="AA13" s="40">
        <v>0.97794410188674386</v>
      </c>
      <c r="AB13" s="40">
        <v>1.5232513577600358E-2</v>
      </c>
      <c r="AC13" s="40">
        <v>6.1940028044115717E-3</v>
      </c>
      <c r="AD13" s="40">
        <v>6.2938173124423469E-4</v>
      </c>
      <c r="AE13" s="40">
        <v>1.7124931349322712E-4</v>
      </c>
      <c r="AF13" s="3">
        <v>1</v>
      </c>
      <c r="AG13" s="104">
        <v>42278</v>
      </c>
      <c r="AH13" s="3">
        <v>207611.19203795976</v>
      </c>
      <c r="AI13" s="3">
        <v>1.4877558538318684E-3</v>
      </c>
      <c r="AJ13" s="3">
        <v>0.34231486839953496</v>
      </c>
      <c r="AK13" s="3">
        <v>5.8120091798764324E-2</v>
      </c>
      <c r="AL13" s="3">
        <v>3.9904686707115333E-4</v>
      </c>
      <c r="AM13" s="3">
        <v>2.6265669121669272E-4</v>
      </c>
      <c r="AN13" s="3">
        <v>5.9541311395079871E-4</v>
      </c>
      <c r="AO13" s="3">
        <v>0.10026519609058361</v>
      </c>
      <c r="AP13" s="3">
        <v>2.2281142690055957E-5</v>
      </c>
      <c r="AQ13" s="3">
        <v>0.45252547869553933</v>
      </c>
      <c r="AR13" s="3">
        <v>0.45984766376049707</v>
      </c>
    </row>
    <row r="14" spans="2:44">
      <c r="B14" s="40" t="s">
        <v>77</v>
      </c>
      <c r="C14" s="40" t="s">
        <v>78</v>
      </c>
      <c r="D14" s="40">
        <v>104257</v>
      </c>
      <c r="E14" s="40">
        <v>22257631923.860001</v>
      </c>
      <c r="F14" s="40">
        <v>22960666000</v>
      </c>
      <c r="G14" s="40">
        <v>15.500970891122826</v>
      </c>
      <c r="H14" s="40">
        <v>4.5170746985586749</v>
      </c>
      <c r="I14" s="40">
        <v>4.5170626494253598</v>
      </c>
      <c r="J14" s="40">
        <v>76.230095646932227</v>
      </c>
      <c r="K14" s="40">
        <v>77.021313558097418</v>
      </c>
      <c r="L14" s="40">
        <v>69.784177495488038</v>
      </c>
      <c r="M14" s="40">
        <v>34.451421066598691</v>
      </c>
      <c r="N14" s="40">
        <v>752.4714247875603</v>
      </c>
      <c r="O14" s="40">
        <v>283627.13964395673</v>
      </c>
      <c r="P14" s="40">
        <v>0</v>
      </c>
      <c r="Q14" s="40">
        <v>6.0079034340868684E-2</v>
      </c>
      <c r="R14" s="40">
        <v>0.19491284492665994</v>
      </c>
      <c r="S14" s="40">
        <v>0.55254820061051513</v>
      </c>
      <c r="T14" s="40">
        <v>3.4065092690171002E-2</v>
      </c>
      <c r="U14" s="40">
        <v>0.61991055472747458</v>
      </c>
      <c r="V14" s="40">
        <v>0.84931939667917855</v>
      </c>
      <c r="W14" s="40">
        <v>0.67498847549926344</v>
      </c>
      <c r="X14" s="40">
        <v>0.12939700401562429</v>
      </c>
      <c r="Y14" s="40">
        <v>0.99597036497248148</v>
      </c>
      <c r="Z14" s="40">
        <v>4.0296350275184894E-3</v>
      </c>
      <c r="AA14" s="40">
        <v>0.9838764836844438</v>
      </c>
      <c r="AB14" s="40">
        <v>1.2093881288037655E-2</v>
      </c>
      <c r="AC14" s="40">
        <v>3.7404863650724674E-3</v>
      </c>
      <c r="AD14" s="40">
        <v>2.8914866244602206E-4</v>
      </c>
      <c r="AE14" s="40">
        <v>1.1955806031401502E-5</v>
      </c>
      <c r="AF14" s="3">
        <v>1</v>
      </c>
      <c r="AG14" s="104">
        <v>42278</v>
      </c>
      <c r="AH14" s="3">
        <v>213488.12956309889</v>
      </c>
      <c r="AI14" s="3">
        <v>6.4045210251315252E-2</v>
      </c>
      <c r="AJ14" s="3">
        <v>0.29660126173005374</v>
      </c>
      <c r="AK14" s="3">
        <v>7.9586448446075139E-2</v>
      </c>
      <c r="AL14" s="3">
        <v>1.631782481813156E-3</v>
      </c>
      <c r="AM14" s="3">
        <v>1.6662929401866085E-3</v>
      </c>
      <c r="AN14" s="3">
        <v>9.0601568979952737E-2</v>
      </c>
      <c r="AO14" s="3">
        <v>0.15388060098605588</v>
      </c>
      <c r="AP14" s="3">
        <v>0.17113092351468065</v>
      </c>
      <c r="AQ14" s="3">
        <v>0.4998768886744388</v>
      </c>
      <c r="AR14" s="3">
        <v>0.37072610730993694</v>
      </c>
    </row>
    <row r="15" spans="2:44">
      <c r="B15" s="40" t="s">
        <v>79</v>
      </c>
      <c r="C15" s="40" t="s">
        <v>80</v>
      </c>
      <c r="D15" s="40">
        <v>129696</v>
      </c>
      <c r="E15" s="40">
        <v>30029457530.369999</v>
      </c>
      <c r="F15" s="40">
        <v>32289099000</v>
      </c>
      <c r="G15" s="40">
        <v>34.457177765229872</v>
      </c>
      <c r="H15" s="40">
        <v>3.6638975339031008</v>
      </c>
      <c r="I15" s="40">
        <v>3.6638977492423068</v>
      </c>
      <c r="J15" s="40">
        <v>74.46033045788289</v>
      </c>
      <c r="K15" s="40">
        <v>75.470989265219188</v>
      </c>
      <c r="L15" s="40">
        <v>59.240009124167095</v>
      </c>
      <c r="M15" s="40">
        <v>31.985258037942167</v>
      </c>
      <c r="N15" s="40">
        <v>766.43933235995314</v>
      </c>
      <c r="O15" s="40">
        <v>314707.73653529125</v>
      </c>
      <c r="P15" s="40">
        <v>0</v>
      </c>
      <c r="Q15" s="40">
        <v>4.9236157264735729E-2</v>
      </c>
      <c r="R15" s="40">
        <v>8.1583115790630614E-2</v>
      </c>
      <c r="S15" s="40">
        <v>0.62421161199607733</v>
      </c>
      <c r="T15" s="40">
        <v>2.5552070254482074E-2</v>
      </c>
      <c r="U15" s="40">
        <v>0.70279592754801146</v>
      </c>
      <c r="V15" s="40">
        <v>0.89232293790023187</v>
      </c>
      <c r="W15" s="40">
        <v>0.30733558139590827</v>
      </c>
      <c r="X15" s="40">
        <v>0.12605026578558248</v>
      </c>
      <c r="Y15" s="40">
        <v>0.99867623592168464</v>
      </c>
      <c r="Z15" s="40">
        <v>1.3237640783153436E-3</v>
      </c>
      <c r="AA15" s="40">
        <v>0.99539346044962351</v>
      </c>
      <c r="AB15" s="40">
        <v>3.2827754720611288E-3</v>
      </c>
      <c r="AC15" s="40">
        <v>1.264370912514855E-3</v>
      </c>
      <c r="AD15" s="40">
        <v>5.9393165800488721E-5</v>
      </c>
      <c r="AE15" s="40">
        <v>0</v>
      </c>
      <c r="AF15" s="3">
        <v>1</v>
      </c>
      <c r="AG15" s="104">
        <v>42278</v>
      </c>
      <c r="AH15" s="3">
        <v>231537.26815298852</v>
      </c>
      <c r="AI15" s="3">
        <v>9.4515856253132566E-2</v>
      </c>
      <c r="AJ15" s="3">
        <v>0.24606014049961286</v>
      </c>
      <c r="AK15" s="3">
        <v>4.8008709170719303E-2</v>
      </c>
      <c r="AL15" s="3">
        <v>1.1434433903867102E-3</v>
      </c>
      <c r="AM15" s="3">
        <v>1.6882187481651574E-3</v>
      </c>
      <c r="AN15" s="3">
        <v>5.8440904835032392E-2</v>
      </c>
      <c r="AO15" s="3">
        <v>0.50799234220938794</v>
      </c>
      <c r="AP15" s="3">
        <v>0.18467207639470373</v>
      </c>
      <c r="AQ15" s="3">
        <v>0.430074544180781</v>
      </c>
      <c r="AR15" s="3">
        <v>0.44387519003363651</v>
      </c>
    </row>
    <row r="16" spans="2:44">
      <c r="B16" s="40" t="s">
        <v>81</v>
      </c>
      <c r="C16" s="40" t="s">
        <v>82</v>
      </c>
      <c r="D16" s="40">
        <v>137070</v>
      </c>
      <c r="E16" s="40">
        <v>30441227295.82</v>
      </c>
      <c r="F16" s="40">
        <v>31189271000</v>
      </c>
      <c r="G16" s="40">
        <v>11.767274467375277</v>
      </c>
      <c r="H16" s="40">
        <v>4.3762329171521586</v>
      </c>
      <c r="I16" s="40">
        <v>4.3762329171521586</v>
      </c>
      <c r="J16" s="40">
        <v>75.988497771662836</v>
      </c>
      <c r="K16" s="40">
        <v>76.891614744158389</v>
      </c>
      <c r="L16" s="40">
        <v>71.51255120219011</v>
      </c>
      <c r="M16" s="40">
        <v>34.592679916719959</v>
      </c>
      <c r="N16" s="40">
        <v>751.83790715325472</v>
      </c>
      <c r="O16" s="40">
        <v>292140.53860429296</v>
      </c>
      <c r="P16" s="40">
        <v>0</v>
      </c>
      <c r="Q16" s="40">
        <v>5.4214541021038821E-2</v>
      </c>
      <c r="R16" s="40">
        <v>0.17279360893449514</v>
      </c>
      <c r="S16" s="40">
        <v>0.55503069900568791</v>
      </c>
      <c r="T16" s="40">
        <v>3.3287941096880269E-2</v>
      </c>
      <c r="U16" s="40">
        <v>0.62801813960684549</v>
      </c>
      <c r="V16" s="40">
        <v>0.85449477313852551</v>
      </c>
      <c r="W16" s="40">
        <v>0.62515111722821803</v>
      </c>
      <c r="X16" s="40">
        <v>0.11928600958866778</v>
      </c>
      <c r="Y16" s="40">
        <v>0.99719172786401622</v>
      </c>
      <c r="Z16" s="40">
        <v>2.8082721359837743E-3</v>
      </c>
      <c r="AA16" s="40">
        <v>0.9931638770872232</v>
      </c>
      <c r="AB16" s="40">
        <v>4.0278507767929714E-3</v>
      </c>
      <c r="AC16" s="40">
        <v>2.7426988336789063E-3</v>
      </c>
      <c r="AD16" s="40">
        <v>6.5573302304867856E-5</v>
      </c>
      <c r="AE16" s="40">
        <v>0</v>
      </c>
      <c r="AF16" s="3">
        <v>1</v>
      </c>
      <c r="AG16" s="104">
        <v>42278</v>
      </c>
      <c r="AH16" s="3">
        <v>222085.26516247174</v>
      </c>
      <c r="AI16" s="3">
        <v>7.3973244005152455E-2</v>
      </c>
      <c r="AJ16" s="3">
        <v>0.28933995079592079</v>
      </c>
      <c r="AK16" s="3">
        <v>7.9000812235655929E-2</v>
      </c>
      <c r="AL16" s="3">
        <v>1.6771714278750705E-3</v>
      </c>
      <c r="AM16" s="3">
        <v>1.4731048454198685E-3</v>
      </c>
      <c r="AN16" s="3">
        <v>9.1290685840435717E-2</v>
      </c>
      <c r="AO16" s="3">
        <v>0.181841596193794</v>
      </c>
      <c r="AP16" s="3">
        <v>0.19300728657798796</v>
      </c>
      <c r="AQ16" s="3">
        <v>0.50356712792834446</v>
      </c>
      <c r="AR16" s="3">
        <v>0.37714406751321955</v>
      </c>
    </row>
    <row r="17" spans="2:44">
      <c r="B17" s="40" t="s">
        <v>83</v>
      </c>
      <c r="C17" s="40" t="s">
        <v>84</v>
      </c>
      <c r="D17" s="40">
        <v>69220</v>
      </c>
      <c r="E17" s="40">
        <v>14717491970.290001</v>
      </c>
      <c r="F17" s="40">
        <v>15119366000</v>
      </c>
      <c r="G17" s="40">
        <v>15.452963291070757</v>
      </c>
      <c r="H17" s="40">
        <v>4.5382218012060518</v>
      </c>
      <c r="I17" s="40">
        <v>4.5382218012060518</v>
      </c>
      <c r="J17" s="40">
        <v>92.493764635475912</v>
      </c>
      <c r="K17" s="40">
        <v>92.500694401584568</v>
      </c>
      <c r="L17" s="40">
        <v>85.132151781173945</v>
      </c>
      <c r="M17" s="40">
        <v>34.716567926887222</v>
      </c>
      <c r="N17" s="40">
        <v>748.30327676789977</v>
      </c>
      <c r="O17" s="40">
        <v>260199.60561034246</v>
      </c>
      <c r="P17" s="40">
        <v>0.9982824983162194</v>
      </c>
      <c r="Q17" s="40">
        <v>4.114745673532494E-3</v>
      </c>
      <c r="R17" s="40">
        <v>0.4068378907029237</v>
      </c>
      <c r="S17" s="40">
        <v>0.54580839911215628</v>
      </c>
      <c r="T17" s="40">
        <v>0</v>
      </c>
      <c r="U17" s="40">
        <v>0.59823661243326032</v>
      </c>
      <c r="V17" s="40">
        <v>0.99490075494374319</v>
      </c>
      <c r="W17" s="40">
        <v>0.9260622498217298</v>
      </c>
      <c r="X17" s="40">
        <v>0.10164496559467279</v>
      </c>
      <c r="Y17" s="40">
        <v>0.99544182017999916</v>
      </c>
      <c r="Z17" s="40">
        <v>4.5581798200008206E-3</v>
      </c>
      <c r="AA17" s="40">
        <v>0.98775594584296222</v>
      </c>
      <c r="AB17" s="40">
        <v>7.6858743370369987E-3</v>
      </c>
      <c r="AC17" s="40">
        <v>4.0493306244233467E-3</v>
      </c>
      <c r="AD17" s="40">
        <v>5.0884919557747405E-4</v>
      </c>
      <c r="AE17" s="40">
        <v>0</v>
      </c>
      <c r="AF17" s="3">
        <v>1</v>
      </c>
      <c r="AG17" s="104">
        <v>42278</v>
      </c>
      <c r="AH17" s="3">
        <v>212619.06920384281</v>
      </c>
      <c r="AI17" s="3">
        <v>1.0998920755436994E-3</v>
      </c>
      <c r="AJ17" s="3">
        <v>0.34115058994600328</v>
      </c>
      <c r="AK17" s="3">
        <v>5.9386983600493028E-2</v>
      </c>
      <c r="AL17" s="3">
        <v>3.989528040411293E-4</v>
      </c>
      <c r="AM17" s="3">
        <v>1.6787663380334197E-4</v>
      </c>
      <c r="AN17" s="3">
        <v>9.8449938272427654E-4</v>
      </c>
      <c r="AO17" s="3">
        <v>7.3527165589387933E-2</v>
      </c>
      <c r="AP17" s="3">
        <v>4.1058458888229517E-4</v>
      </c>
      <c r="AQ17" s="3">
        <v>0.48307352501310102</v>
      </c>
      <c r="AR17" s="3">
        <v>0.41528150939222619</v>
      </c>
    </row>
    <row r="18" spans="2:44">
      <c r="B18" s="3" t="s">
        <v>85</v>
      </c>
      <c r="C18" s="3" t="s">
        <v>86</v>
      </c>
      <c r="D18" s="3">
        <v>130636</v>
      </c>
      <c r="E18" s="3">
        <v>28509367460.07</v>
      </c>
      <c r="F18" s="3">
        <v>30112904000</v>
      </c>
      <c r="G18" s="3">
        <v>28.223249982662868</v>
      </c>
      <c r="H18" s="3">
        <v>3.7924525263465831</v>
      </c>
      <c r="I18" s="3">
        <v>3.7924525263465831</v>
      </c>
      <c r="J18" s="3">
        <v>91.535044020634075</v>
      </c>
      <c r="K18" s="3">
        <v>91.559877658532614</v>
      </c>
      <c r="L18" s="3">
        <v>77.461398008387121</v>
      </c>
      <c r="M18" s="3">
        <v>33.107605596415169</v>
      </c>
      <c r="N18" s="3">
        <v>757.50235616687144</v>
      </c>
      <c r="O18" s="3">
        <v>273989.32090037578</v>
      </c>
      <c r="P18" s="3">
        <v>0.99929447901051571</v>
      </c>
      <c r="Q18" s="3">
        <v>3.7349060409402209E-3</v>
      </c>
      <c r="R18" s="3">
        <v>0.29816972133934283</v>
      </c>
      <c r="S18" s="3">
        <v>0.56836499702263876</v>
      </c>
      <c r="T18" s="3">
        <v>0</v>
      </c>
      <c r="U18" s="3">
        <v>0.62216109420536569</v>
      </c>
      <c r="V18" s="3">
        <v>0.99607476000276984</v>
      </c>
      <c r="W18" s="3">
        <v>0.71687164917617641</v>
      </c>
      <c r="X18" s="3">
        <v>7.6409788042861457E-2</v>
      </c>
      <c r="Y18" s="3">
        <v>0.99754520272019298</v>
      </c>
      <c r="Z18" s="3">
        <v>2.4547972798070689E-3</v>
      </c>
      <c r="AA18" s="3">
        <v>0.993711090853169</v>
      </c>
      <c r="AB18" s="3">
        <v>3.8341118670239208E-3</v>
      </c>
      <c r="AC18" s="3">
        <v>2.2467093038704244E-3</v>
      </c>
      <c r="AD18" s="3">
        <v>2.0808797593664443E-4</v>
      </c>
      <c r="AE18" s="3">
        <v>0</v>
      </c>
      <c r="AF18" s="3">
        <v>1</v>
      </c>
      <c r="AG18" s="104">
        <v>42278</v>
      </c>
      <c r="AH18" s="3">
        <v>218235.15309769131</v>
      </c>
      <c r="AI18" s="3">
        <v>4.0467244116021064E-3</v>
      </c>
      <c r="AJ18" s="3">
        <v>0.32514366509579656</v>
      </c>
      <c r="AK18" s="3">
        <v>5.1267909698702631E-2</v>
      </c>
      <c r="AL18" s="3">
        <v>3.2928245858657678E-4</v>
      </c>
      <c r="AM18" s="3">
        <v>5.4501703490133656E-4</v>
      </c>
      <c r="AN18" s="3">
        <v>1.9033395628998204E-4</v>
      </c>
      <c r="AO18" s="3">
        <v>0.28312835082382359</v>
      </c>
      <c r="AP18" s="3">
        <v>0</v>
      </c>
      <c r="AQ18" s="3">
        <v>0.41612921915879192</v>
      </c>
      <c r="AR18" s="3">
        <v>0.50746099279834667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W178"/>
  <sheetViews>
    <sheetView workbookViewId="0">
      <selection activeCell="O52" sqref="N52:O52"/>
    </sheetView>
  </sheetViews>
  <sheetFormatPr defaultRowHeight="15"/>
  <cols>
    <col min="3" max="3" width="15.5703125" bestFit="1" customWidth="1"/>
    <col min="19" max="21" width="9.140625" style="96"/>
  </cols>
  <sheetData>
    <row r="3" spans="3:23">
      <c r="C3" s="40" t="s">
        <v>32</v>
      </c>
      <c r="D3" s="40" t="s">
        <v>33</v>
      </c>
      <c r="E3" s="40" t="s">
        <v>25</v>
      </c>
      <c r="F3" s="40" t="s">
        <v>13</v>
      </c>
      <c r="G3" s="40" t="s">
        <v>24</v>
      </c>
      <c r="H3" s="40" t="s">
        <v>26</v>
      </c>
      <c r="I3" s="40" t="s">
        <v>27</v>
      </c>
      <c r="J3" s="40" t="s">
        <v>87</v>
      </c>
      <c r="K3" s="40" t="s">
        <v>88</v>
      </c>
      <c r="L3" s="40" t="s">
        <v>14</v>
      </c>
      <c r="M3" s="40" t="s">
        <v>15</v>
      </c>
      <c r="N3" s="40" t="s">
        <v>16</v>
      </c>
      <c r="O3" s="40" t="s">
        <v>28</v>
      </c>
      <c r="P3" s="40" t="s">
        <v>29</v>
      </c>
      <c r="Q3" s="40" t="s">
        <v>17</v>
      </c>
      <c r="R3" s="40" t="s">
        <v>18</v>
      </c>
      <c r="S3" s="40" t="s">
        <v>272</v>
      </c>
      <c r="T3" s="40" t="s">
        <v>273</v>
      </c>
      <c r="U3" s="40" t="s">
        <v>286</v>
      </c>
      <c r="V3" s="3" t="s">
        <v>108</v>
      </c>
      <c r="W3" s="3" t="s">
        <v>109</v>
      </c>
    </row>
    <row r="4" spans="3:23">
      <c r="C4" t="s">
        <v>285</v>
      </c>
      <c r="D4" t="s">
        <v>285</v>
      </c>
      <c r="E4">
        <v>19376912011.73</v>
      </c>
      <c r="F4" s="41">
        <v>42248</v>
      </c>
      <c r="G4" s="40">
        <v>89103</v>
      </c>
      <c r="H4" s="40">
        <v>164260189.54988545</v>
      </c>
      <c r="I4" s="40">
        <v>0</v>
      </c>
      <c r="J4" s="40">
        <v>8.4771087080567301E-3</v>
      </c>
      <c r="K4" s="40">
        <v>0</v>
      </c>
      <c r="L4" s="40">
        <v>9.7112999999999996</v>
      </c>
      <c r="M4" s="40">
        <v>0</v>
      </c>
      <c r="N4" s="40">
        <v>1.7710669047382465E-3</v>
      </c>
      <c r="O4" s="40">
        <v>164260189.54980001</v>
      </c>
      <c r="P4" s="40">
        <v>0</v>
      </c>
      <c r="Q4" s="40">
        <v>8.3000000000000001E-3</v>
      </c>
      <c r="R4" s="40">
        <v>0</v>
      </c>
      <c r="S4" s="40"/>
      <c r="T4" s="104">
        <v>42278</v>
      </c>
      <c r="U4" s="40">
        <v>7032169.5998854432</v>
      </c>
      <c r="V4" s="3">
        <f>CurrentMtgRatesDataTable82523[[#This Row],[cum_df_pct]]*100</f>
        <v>0</v>
      </c>
      <c r="W4" s="3">
        <f>CurrentMtgRatesDataTable82523[[#This Row],[pct_dq]]*100</f>
        <v>0.17710669047382466</v>
      </c>
    </row>
    <row r="5" spans="3:23">
      <c r="C5" s="40" t="s">
        <v>59</v>
      </c>
      <c r="D5" s="40" t="s">
        <v>60</v>
      </c>
      <c r="E5" s="40">
        <v>22584361082.810001</v>
      </c>
      <c r="F5" s="41">
        <v>41456</v>
      </c>
      <c r="G5" s="40">
        <v>96389</v>
      </c>
      <c r="H5" s="40">
        <v>151263013.45618662</v>
      </c>
      <c r="I5" s="40">
        <v>0</v>
      </c>
      <c r="J5" s="40">
        <v>6.6976884093178923E-3</v>
      </c>
      <c r="K5" s="40">
        <v>0</v>
      </c>
      <c r="L5" s="40">
        <v>7.7476000000000003</v>
      </c>
      <c r="M5" s="40">
        <v>0</v>
      </c>
      <c r="N5" s="40">
        <v>1.2584324004468938E-3</v>
      </c>
      <c r="O5" s="40">
        <v>151263013.45609999</v>
      </c>
      <c r="P5" s="40">
        <v>0</v>
      </c>
      <c r="Q5" s="40">
        <v>7.6E-3</v>
      </c>
      <c r="R5" s="40">
        <v>0</v>
      </c>
      <c r="S5" s="40">
        <v>1</v>
      </c>
      <c r="T5" s="104">
        <v>41487</v>
      </c>
      <c r="U5" s="40">
        <v>11279450.706186621</v>
      </c>
      <c r="V5" s="3">
        <f>CurrentMtgRatesDataTable82523[[#This Row],[cum_df_pct]]*100</f>
        <v>0</v>
      </c>
      <c r="W5" s="3">
        <f>CurrentMtgRatesDataTable82523[[#This Row],[pct_dq]]*100</f>
        <v>0.12584324004468939</v>
      </c>
    </row>
    <row r="6" spans="3:23">
      <c r="C6" s="40" t="s">
        <v>59</v>
      </c>
      <c r="D6" s="40" t="s">
        <v>60</v>
      </c>
      <c r="E6" s="40">
        <v>22391372156.549999</v>
      </c>
      <c r="F6" s="41">
        <v>41487</v>
      </c>
      <c r="G6" s="40">
        <v>95815</v>
      </c>
      <c r="H6" s="40">
        <v>114495079.54010031</v>
      </c>
      <c r="I6" s="40">
        <v>0</v>
      </c>
      <c r="J6" s="40">
        <v>5.1133569992765195E-3</v>
      </c>
      <c r="K6" s="40">
        <v>0</v>
      </c>
      <c r="L6" s="40">
        <v>5.9663000000000004</v>
      </c>
      <c r="M6" s="40">
        <v>0</v>
      </c>
      <c r="N6" s="40">
        <v>1.0304957958215282E-3</v>
      </c>
      <c r="O6" s="40">
        <v>265758092.9962</v>
      </c>
      <c r="P6" s="40">
        <v>0</v>
      </c>
      <c r="Q6" s="40">
        <v>1.34E-2</v>
      </c>
      <c r="R6" s="40">
        <v>0</v>
      </c>
      <c r="S6" s="40">
        <v>1</v>
      </c>
      <c r="T6" s="104">
        <v>41518</v>
      </c>
      <c r="U6" s="40">
        <v>13175526.36010031</v>
      </c>
      <c r="V6" s="3">
        <f>CurrentMtgRatesDataTable82523[[#This Row],[cum_df_pct]]*100</f>
        <v>0</v>
      </c>
      <c r="W6" s="3">
        <f>CurrentMtgRatesDataTable82523[[#This Row],[pct_dq]]*100</f>
        <v>0.10304957958215283</v>
      </c>
    </row>
    <row r="7" spans="3:23">
      <c r="C7" s="40" t="s">
        <v>59</v>
      </c>
      <c r="D7" s="40" t="s">
        <v>60</v>
      </c>
      <c r="E7" s="40">
        <v>22242256898.849998</v>
      </c>
      <c r="F7" s="41">
        <v>41518</v>
      </c>
      <c r="G7" s="40">
        <v>95391</v>
      </c>
      <c r="H7" s="40">
        <v>82654621.728294268</v>
      </c>
      <c r="I7" s="40">
        <v>0</v>
      </c>
      <c r="J7" s="40">
        <v>3.7161076820656537E-3</v>
      </c>
      <c r="K7" s="40">
        <v>0</v>
      </c>
      <c r="L7" s="40">
        <v>4.3693</v>
      </c>
      <c r="M7" s="40">
        <v>0</v>
      </c>
      <c r="N7" s="40">
        <v>1.3690693650595515E-3</v>
      </c>
      <c r="O7" s="40">
        <v>348412714.7245</v>
      </c>
      <c r="P7" s="40">
        <v>0</v>
      </c>
      <c r="Q7" s="40">
        <v>1.7600000000000001E-2</v>
      </c>
      <c r="R7" s="40">
        <v>0</v>
      </c>
      <c r="S7" s="40">
        <v>1</v>
      </c>
      <c r="T7" s="104">
        <v>41548</v>
      </c>
      <c r="U7" s="40">
        <v>12506664.008294269</v>
      </c>
      <c r="V7" s="3">
        <f>CurrentMtgRatesDataTable82523[[#This Row],[cum_df_pct]]*100</f>
        <v>0</v>
      </c>
      <c r="W7" s="3">
        <f>CurrentMtgRatesDataTable82523[[#This Row],[pct_dq]]*100</f>
        <v>0.13690693650595515</v>
      </c>
    </row>
    <row r="8" spans="3:23">
      <c r="C8" s="40" t="s">
        <v>59</v>
      </c>
      <c r="D8" s="40" t="s">
        <v>60</v>
      </c>
      <c r="E8" s="40">
        <v>22126259871.459999</v>
      </c>
      <c r="F8" s="41">
        <v>41548</v>
      </c>
      <c r="G8" s="40">
        <v>95074</v>
      </c>
      <c r="H8" s="40">
        <v>87263798.528657079</v>
      </c>
      <c r="I8" s="40">
        <v>0</v>
      </c>
      <c r="J8" s="40">
        <v>3.9439019082125144E-3</v>
      </c>
      <c r="K8" s="40">
        <v>0</v>
      </c>
      <c r="L8" s="40">
        <v>4.6313000000000004</v>
      </c>
      <c r="M8" s="40">
        <v>0</v>
      </c>
      <c r="N8" s="40">
        <v>1.5422810248204985E-3</v>
      </c>
      <c r="O8" s="40">
        <v>435676513.25319999</v>
      </c>
      <c r="P8" s="40">
        <v>0</v>
      </c>
      <c r="Q8" s="40">
        <v>2.1999999999999999E-2</v>
      </c>
      <c r="R8" s="40">
        <v>0</v>
      </c>
      <c r="S8" s="40">
        <v>1</v>
      </c>
      <c r="T8" s="104">
        <v>41579</v>
      </c>
      <c r="U8" s="40">
        <v>13982674.038657084</v>
      </c>
      <c r="V8" s="3">
        <f>CurrentMtgRatesDataTable82523[[#This Row],[cum_df_pct]]*100</f>
        <v>0</v>
      </c>
      <c r="W8" s="3">
        <f>CurrentMtgRatesDataTable82523[[#This Row],[pct_dq]]*100</f>
        <v>0.15422810248204985</v>
      </c>
    </row>
    <row r="9" spans="3:23">
      <c r="C9" s="40" t="s">
        <v>59</v>
      </c>
      <c r="D9" s="40" t="s">
        <v>60</v>
      </c>
      <c r="E9" s="40">
        <v>22004407481.799999</v>
      </c>
      <c r="F9" s="41">
        <v>41579</v>
      </c>
      <c r="G9" s="40">
        <v>94744</v>
      </c>
      <c r="H9" s="40">
        <v>80096192.257098511</v>
      </c>
      <c r="I9" s="40">
        <v>0</v>
      </c>
      <c r="J9" s="40">
        <v>3.6400067724316884E-3</v>
      </c>
      <c r="K9" s="40">
        <v>0</v>
      </c>
      <c r="L9" s="40">
        <v>4.2816000000000001</v>
      </c>
      <c r="M9" s="40">
        <v>0</v>
      </c>
      <c r="N9" s="40">
        <v>1.5042840038923097E-3</v>
      </c>
      <c r="O9" s="40">
        <v>515772705.51029998</v>
      </c>
      <c r="P9" s="40">
        <v>0</v>
      </c>
      <c r="Q9" s="40">
        <v>2.6100000000000002E-2</v>
      </c>
      <c r="R9" s="40">
        <v>0</v>
      </c>
      <c r="S9" s="40">
        <v>1</v>
      </c>
      <c r="T9" s="104">
        <v>41609</v>
      </c>
      <c r="U9" s="40">
        <v>12986552.657098517</v>
      </c>
      <c r="V9" s="3">
        <f>CurrentMtgRatesDataTable82523[[#This Row],[cum_df_pct]]*100</f>
        <v>0</v>
      </c>
      <c r="W9" s="3">
        <f>CurrentMtgRatesDataTable82523[[#This Row],[pct_dq]]*100</f>
        <v>0.15042840038923097</v>
      </c>
    </row>
    <row r="10" spans="3:23">
      <c r="C10" s="40" t="s">
        <v>59</v>
      </c>
      <c r="D10" s="40" t="s">
        <v>60</v>
      </c>
      <c r="E10" s="40">
        <v>21889515190.82</v>
      </c>
      <c r="F10" s="41">
        <v>41609</v>
      </c>
      <c r="G10" s="40">
        <v>94439</v>
      </c>
      <c r="H10" s="40">
        <v>77977441.256280899</v>
      </c>
      <c r="I10" s="40">
        <v>99020.6</v>
      </c>
      <c r="J10" s="40">
        <v>3.5623192462929921E-3</v>
      </c>
      <c r="K10" s="40">
        <v>4.5236543220256953E-6</v>
      </c>
      <c r="L10" s="40">
        <v>4.1920000000000002</v>
      </c>
      <c r="M10" s="40">
        <v>5.4000000000000003E-3</v>
      </c>
      <c r="N10" s="40">
        <v>2.162494670044209E-3</v>
      </c>
      <c r="O10" s="40">
        <v>593750146.76660001</v>
      </c>
      <c r="P10" s="40">
        <v>99020.6</v>
      </c>
      <c r="Q10" s="40">
        <v>0.03</v>
      </c>
      <c r="R10" s="40">
        <v>0</v>
      </c>
      <c r="S10" s="40">
        <v>1</v>
      </c>
      <c r="T10" s="104">
        <v>41640</v>
      </c>
      <c r="U10" s="40">
        <v>8786106.5662808977</v>
      </c>
      <c r="V10" s="3">
        <f>CurrentMtgRatesDataTable82523[[#This Row],[cum_df_pct]]*100</f>
        <v>0</v>
      </c>
      <c r="W10" s="3">
        <f>CurrentMtgRatesDataTable82523[[#This Row],[pct_dq]]*100</f>
        <v>0.21624946700442091</v>
      </c>
    </row>
    <row r="11" spans="3:23">
      <c r="C11" s="40" t="s">
        <v>59</v>
      </c>
      <c r="D11" s="40" t="s">
        <v>60</v>
      </c>
      <c r="E11" s="40">
        <v>21778303317.84</v>
      </c>
      <c r="F11" s="41">
        <v>41640</v>
      </c>
      <c r="G11" s="40">
        <v>94127</v>
      </c>
      <c r="H11" s="40">
        <v>71452177.488032252</v>
      </c>
      <c r="I11" s="40">
        <v>302877.99</v>
      </c>
      <c r="J11" s="40">
        <v>3.2808881594325674E-3</v>
      </c>
      <c r="K11" s="40">
        <v>1.3907327195314305E-5</v>
      </c>
      <c r="L11" s="40">
        <v>3.8666999999999998</v>
      </c>
      <c r="M11" s="40">
        <v>1.66E-2</v>
      </c>
      <c r="N11" s="40">
        <v>2.1820978175591563E-3</v>
      </c>
      <c r="O11" s="40">
        <v>665202324.25460005</v>
      </c>
      <c r="P11" s="40">
        <v>401898.59</v>
      </c>
      <c r="Q11" s="40">
        <v>3.3599999999999998E-2</v>
      </c>
      <c r="R11" s="40">
        <v>0</v>
      </c>
      <c r="S11" s="40">
        <v>1</v>
      </c>
      <c r="T11" s="104">
        <v>41671</v>
      </c>
      <c r="U11" s="40">
        <v>13634182.498032253</v>
      </c>
      <c r="V11" s="3">
        <f>CurrentMtgRatesDataTable82523[[#This Row],[cum_df_pct]]*100</f>
        <v>0</v>
      </c>
      <c r="W11" s="3">
        <f>CurrentMtgRatesDataTable82523[[#This Row],[pct_dq]]*100</f>
        <v>0.21820978175591563</v>
      </c>
    </row>
    <row r="12" spans="3:23">
      <c r="C12" s="40" t="s">
        <v>59</v>
      </c>
      <c r="D12" s="40" t="s">
        <v>60</v>
      </c>
      <c r="E12" s="40">
        <v>21671804564.209999</v>
      </c>
      <c r="F12" s="41">
        <v>41671</v>
      </c>
      <c r="G12" s="40">
        <v>93864</v>
      </c>
      <c r="H12" s="40">
        <v>66000347.280279733</v>
      </c>
      <c r="I12" s="40">
        <v>543640.77</v>
      </c>
      <c r="J12" s="40">
        <v>3.0454476960943212E-3</v>
      </c>
      <c r="K12" s="40">
        <v>2.5085163922980276E-5</v>
      </c>
      <c r="L12" s="40">
        <v>3.5939000000000001</v>
      </c>
      <c r="M12" s="40">
        <v>0.03</v>
      </c>
      <c r="N12" s="40">
        <v>2.2951558377442933E-3</v>
      </c>
      <c r="O12" s="40">
        <v>731202671.53489995</v>
      </c>
      <c r="P12" s="40">
        <v>945539.36</v>
      </c>
      <c r="Q12" s="40">
        <v>3.6999999999999998E-2</v>
      </c>
      <c r="R12" s="40">
        <v>0</v>
      </c>
      <c r="S12" s="40">
        <v>1</v>
      </c>
      <c r="T12" s="104">
        <v>41699</v>
      </c>
      <c r="U12" s="40">
        <v>11506653.920279736</v>
      </c>
      <c r="V12" s="3">
        <f>CurrentMtgRatesDataTable82523[[#This Row],[cum_df_pct]]*100</f>
        <v>0</v>
      </c>
      <c r="W12" s="3">
        <f>CurrentMtgRatesDataTable82523[[#This Row],[pct_dq]]*100</f>
        <v>0.22951558377442932</v>
      </c>
    </row>
    <row r="13" spans="3:23">
      <c r="C13" s="40" t="s">
        <v>59</v>
      </c>
      <c r="D13" s="40" t="s">
        <v>60</v>
      </c>
      <c r="E13" s="40">
        <v>21571139506.34</v>
      </c>
      <c r="F13" s="41">
        <v>41699</v>
      </c>
      <c r="G13" s="40">
        <v>93598</v>
      </c>
      <c r="H13" s="40">
        <v>82522102.367556944</v>
      </c>
      <c r="I13" s="40">
        <v>342970.55</v>
      </c>
      <c r="J13" s="40">
        <v>3.8255791884940884E-3</v>
      </c>
      <c r="K13" s="40">
        <v>1.5899510079159105E-5</v>
      </c>
      <c r="L13" s="40">
        <v>4.4953000000000003</v>
      </c>
      <c r="M13" s="40">
        <v>1.9E-2</v>
      </c>
      <c r="N13" s="40">
        <v>2.8667323115603104E-3</v>
      </c>
      <c r="O13" s="40">
        <v>813724773.90240002</v>
      </c>
      <c r="P13" s="40">
        <v>1288509.9099999999</v>
      </c>
      <c r="Q13" s="40">
        <v>4.1099999999999998E-2</v>
      </c>
      <c r="R13" s="40">
        <v>0</v>
      </c>
      <c r="S13" s="40">
        <v>1</v>
      </c>
      <c r="T13" s="104">
        <v>41730</v>
      </c>
      <c r="U13" s="40">
        <v>12408378.537556946</v>
      </c>
      <c r="V13" s="3">
        <f>CurrentMtgRatesDataTable82523[[#This Row],[cum_df_pct]]*100</f>
        <v>0</v>
      </c>
      <c r="W13" s="3">
        <f>CurrentMtgRatesDataTable82523[[#This Row],[pct_dq]]*100</f>
        <v>0.28667323115603105</v>
      </c>
    </row>
    <row r="14" spans="3:23">
      <c r="C14" s="40" t="s">
        <v>59</v>
      </c>
      <c r="D14" s="40" t="s">
        <v>60</v>
      </c>
      <c r="E14" s="40">
        <v>21453636186.810001</v>
      </c>
      <c r="F14" s="41">
        <v>41730</v>
      </c>
      <c r="G14" s="40">
        <v>93266</v>
      </c>
      <c r="H14" s="40">
        <v>85005174.369084671</v>
      </c>
      <c r="I14" s="40">
        <v>1500559.89</v>
      </c>
      <c r="J14" s="40">
        <v>3.9622735106017628E-3</v>
      </c>
      <c r="K14" s="40">
        <v>6.9944315123725528E-5</v>
      </c>
      <c r="L14" s="40">
        <v>4.6524000000000001</v>
      </c>
      <c r="M14" s="40">
        <v>8.3900000000000002E-2</v>
      </c>
      <c r="N14" s="40">
        <v>1.7568089526554156E-3</v>
      </c>
      <c r="O14" s="40">
        <v>898729948.27149999</v>
      </c>
      <c r="P14" s="40">
        <v>2789069.8</v>
      </c>
      <c r="Q14" s="40">
        <v>4.5499999999999999E-2</v>
      </c>
      <c r="R14" s="40">
        <v>1E-4</v>
      </c>
      <c r="S14" s="40">
        <v>1</v>
      </c>
      <c r="T14" s="104">
        <v>41760</v>
      </c>
      <c r="U14" s="40">
        <v>12567284.129084667</v>
      </c>
      <c r="V14" s="3">
        <f>CurrentMtgRatesDataTable82523[[#This Row],[cum_df_pct]]*100</f>
        <v>0.01</v>
      </c>
      <c r="W14" s="3">
        <f>CurrentMtgRatesDataTable82523[[#This Row],[pct_dq]]*100</f>
        <v>0.17568089526554156</v>
      </c>
    </row>
    <row r="15" spans="3:23">
      <c r="C15" s="40" t="s">
        <v>59</v>
      </c>
      <c r="D15" s="40" t="s">
        <v>60</v>
      </c>
      <c r="E15" s="40">
        <v>21332337955.220001</v>
      </c>
      <c r="F15" s="41">
        <v>41760</v>
      </c>
      <c r="G15" s="40">
        <v>92915</v>
      </c>
      <c r="H15" s="40">
        <v>118309791.47587723</v>
      </c>
      <c r="I15" s="40">
        <v>989919.88</v>
      </c>
      <c r="J15" s="40">
        <v>5.5460302440467832E-3</v>
      </c>
      <c r="K15" s="40">
        <v>4.6404659539802938E-5</v>
      </c>
      <c r="L15" s="40">
        <v>6.4558999999999997</v>
      </c>
      <c r="M15" s="40">
        <v>5.5599999999999997E-2</v>
      </c>
      <c r="N15" s="40">
        <v>1.7327035385240222E-3</v>
      </c>
      <c r="O15" s="40">
        <v>1017039739.7474</v>
      </c>
      <c r="P15" s="40">
        <v>3778989.68</v>
      </c>
      <c r="Q15" s="40">
        <v>5.1400000000000001E-2</v>
      </c>
      <c r="R15" s="40">
        <v>1E-4</v>
      </c>
      <c r="S15" s="40">
        <v>1</v>
      </c>
      <c r="T15" s="104">
        <v>41791</v>
      </c>
      <c r="U15" s="40">
        <v>12098113.975877227</v>
      </c>
      <c r="V15" s="3">
        <f>CurrentMtgRatesDataTable82523[[#This Row],[cum_df_pct]]*100</f>
        <v>0.01</v>
      </c>
      <c r="W15" s="3">
        <f>CurrentMtgRatesDataTable82523[[#This Row],[pct_dq]]*100</f>
        <v>0.17327035385240222</v>
      </c>
    </row>
    <row r="16" spans="3:23">
      <c r="C16" s="40" t="s">
        <v>59</v>
      </c>
      <c r="D16" s="40" t="s">
        <v>60</v>
      </c>
      <c r="E16" s="40">
        <v>21177637181.139999</v>
      </c>
      <c r="F16" s="41">
        <v>41791</v>
      </c>
      <c r="G16" s="40">
        <v>92428</v>
      </c>
      <c r="H16" s="40">
        <v>146433335.55829805</v>
      </c>
      <c r="I16" s="40">
        <v>890745.91</v>
      </c>
      <c r="J16" s="40">
        <v>6.914526597363092E-3</v>
      </c>
      <c r="K16" s="40">
        <v>4.2060684219921593E-5</v>
      </c>
      <c r="L16" s="40">
        <v>7.9889999999999999</v>
      </c>
      <c r="M16" s="40">
        <v>5.04E-2</v>
      </c>
      <c r="N16" s="40">
        <v>1.7958908056971766E-3</v>
      </c>
      <c r="O16" s="40">
        <v>1163473075.3057001</v>
      </c>
      <c r="P16" s="40">
        <v>4669735.59</v>
      </c>
      <c r="Q16" s="40">
        <v>5.8900000000000001E-2</v>
      </c>
      <c r="R16" s="40">
        <v>2.0000000000000001E-4</v>
      </c>
      <c r="S16" s="40">
        <v>1</v>
      </c>
      <c r="T16" s="104">
        <v>41821</v>
      </c>
      <c r="U16" s="40">
        <v>11239111.398298066</v>
      </c>
      <c r="V16" s="3">
        <f>CurrentMtgRatesDataTable82523[[#This Row],[cum_df_pct]]*100</f>
        <v>0.02</v>
      </c>
      <c r="W16" s="3">
        <f>CurrentMtgRatesDataTable82523[[#This Row],[pct_dq]]*100</f>
        <v>0.17958908056971765</v>
      </c>
    </row>
    <row r="17" spans="3:23">
      <c r="C17" s="40" t="s">
        <v>59</v>
      </c>
      <c r="D17" s="40" t="s">
        <v>60</v>
      </c>
      <c r="E17" s="40">
        <v>20996596520.740002</v>
      </c>
      <c r="F17" s="41">
        <v>41821</v>
      </c>
      <c r="G17" s="40">
        <v>91814</v>
      </c>
      <c r="H17" s="40">
        <v>137339194.74498156</v>
      </c>
      <c r="I17" s="40">
        <v>680997.81</v>
      </c>
      <c r="J17" s="40">
        <v>6.5410217608039833E-3</v>
      </c>
      <c r="K17" s="40">
        <v>3.2433723690757432E-5</v>
      </c>
      <c r="L17" s="40">
        <v>7.5728999999999997</v>
      </c>
      <c r="M17" s="40">
        <v>3.8899999999999997E-2</v>
      </c>
      <c r="N17" s="40">
        <v>2.2055170143531395E-3</v>
      </c>
      <c r="O17" s="40">
        <v>1300812270.0506999</v>
      </c>
      <c r="P17" s="40">
        <v>5350733.4000000004</v>
      </c>
      <c r="Q17" s="40">
        <v>6.5799999999999997E-2</v>
      </c>
      <c r="R17" s="40">
        <v>2.0000000000000001E-4</v>
      </c>
      <c r="S17" s="40">
        <v>1</v>
      </c>
      <c r="T17" s="104">
        <v>41852</v>
      </c>
      <c r="U17" s="40">
        <v>12301991.234981554</v>
      </c>
      <c r="V17" s="3">
        <f>CurrentMtgRatesDataTable82523[[#This Row],[cum_df_pct]]*100</f>
        <v>0.02</v>
      </c>
      <c r="W17" s="3">
        <f>CurrentMtgRatesDataTable82523[[#This Row],[pct_dq]]*100</f>
        <v>0.22055170143531394</v>
      </c>
    </row>
    <row r="18" spans="3:23">
      <c r="C18" s="40" t="s">
        <v>59</v>
      </c>
      <c r="D18" s="40" t="s">
        <v>60</v>
      </c>
      <c r="E18" s="40">
        <v>20823941241.41</v>
      </c>
      <c r="F18" s="41">
        <v>41852</v>
      </c>
      <c r="G18" s="40">
        <v>91234</v>
      </c>
      <c r="H18" s="40">
        <v>127655063.34148733</v>
      </c>
      <c r="I18" s="40">
        <v>690804.79</v>
      </c>
      <c r="J18" s="40">
        <v>6.1302066626866712E-3</v>
      </c>
      <c r="K18" s="40">
        <v>3.3173585249380258E-5</v>
      </c>
      <c r="L18" s="40">
        <v>7.1132</v>
      </c>
      <c r="M18" s="40">
        <v>3.9800000000000002E-2</v>
      </c>
      <c r="N18" s="40">
        <v>2.1560240739019682E-3</v>
      </c>
      <c r="O18" s="40">
        <v>1428467333.3922</v>
      </c>
      <c r="P18" s="40">
        <v>6041538.1900000004</v>
      </c>
      <c r="Q18" s="40">
        <v>7.2300000000000003E-2</v>
      </c>
      <c r="R18" s="40">
        <v>2.9999999999999997E-4</v>
      </c>
      <c r="S18" s="40">
        <v>1</v>
      </c>
      <c r="T18" s="104">
        <v>41883</v>
      </c>
      <c r="U18" s="40">
        <v>11867783.85148734</v>
      </c>
      <c r="V18" s="3">
        <f>CurrentMtgRatesDataTable82523[[#This Row],[cum_df_pct]]*100</f>
        <v>0.03</v>
      </c>
      <c r="W18" s="3">
        <f>CurrentMtgRatesDataTable82523[[#This Row],[pct_dq]]*100</f>
        <v>0.21560240739019682</v>
      </c>
    </row>
    <row r="19" spans="3:23">
      <c r="C19" s="40" t="s">
        <v>59</v>
      </c>
      <c r="D19" s="40" t="s">
        <v>60</v>
      </c>
      <c r="E19" s="40">
        <v>20661068570</v>
      </c>
      <c r="F19" s="41">
        <v>41883</v>
      </c>
      <c r="G19" s="40">
        <v>90712</v>
      </c>
      <c r="H19" s="40">
        <v>99749939.030528322</v>
      </c>
      <c r="I19" s="40">
        <v>532919.80000000005</v>
      </c>
      <c r="J19" s="40">
        <v>4.8279177184168418E-3</v>
      </c>
      <c r="K19" s="40">
        <v>2.5793428747136673E-5</v>
      </c>
      <c r="L19" s="40">
        <v>5.6421000000000001</v>
      </c>
      <c r="M19" s="40">
        <v>3.09E-2</v>
      </c>
      <c r="N19" s="40">
        <v>2.5542416057138134E-3</v>
      </c>
      <c r="O19" s="40">
        <v>1528217272.4226999</v>
      </c>
      <c r="P19" s="40">
        <v>6574457.9900000002</v>
      </c>
      <c r="Q19" s="40">
        <v>7.7299999999999994E-2</v>
      </c>
      <c r="R19" s="40">
        <v>2.9999999999999997E-4</v>
      </c>
      <c r="S19" s="40">
        <v>1</v>
      </c>
      <c r="T19" s="104">
        <v>41913</v>
      </c>
      <c r="U19" s="40">
        <v>11324297.280528316</v>
      </c>
      <c r="V19" s="3">
        <f>CurrentMtgRatesDataTable82523[[#This Row],[cum_df_pct]]*100</f>
        <v>0.03</v>
      </c>
      <c r="W19" s="3">
        <f>CurrentMtgRatesDataTable82523[[#This Row],[pct_dq]]*100</f>
        <v>0.25542416057138134</v>
      </c>
    </row>
    <row r="20" spans="3:23">
      <c r="C20" s="40" t="s">
        <v>59</v>
      </c>
      <c r="D20" s="40" t="s">
        <v>60</v>
      </c>
      <c r="E20" s="40">
        <v>20526568204.119999</v>
      </c>
      <c r="F20" s="41">
        <v>41913</v>
      </c>
      <c r="G20" s="40">
        <v>90301</v>
      </c>
      <c r="H20" s="40">
        <v>125614467.00068311</v>
      </c>
      <c r="I20" s="40">
        <v>872088.56</v>
      </c>
      <c r="J20" s="40">
        <v>6.1196039080449087E-3</v>
      </c>
      <c r="K20" s="40">
        <v>4.2485843289915278E-5</v>
      </c>
      <c r="L20" s="40">
        <v>7.1013000000000002</v>
      </c>
      <c r="M20" s="40">
        <v>5.0900000000000001E-2</v>
      </c>
      <c r="N20" s="40">
        <v>2.4275132011593952E-3</v>
      </c>
      <c r="O20" s="40">
        <v>1653831739.4233999</v>
      </c>
      <c r="P20" s="40">
        <v>7446546.5499999998</v>
      </c>
      <c r="Q20" s="40">
        <v>8.3699999999999997E-2</v>
      </c>
      <c r="R20" s="40">
        <v>2.9999999999999997E-4</v>
      </c>
      <c r="S20" s="40">
        <v>1</v>
      </c>
      <c r="T20" s="104">
        <v>41944</v>
      </c>
      <c r="U20" s="40">
        <v>11473390.740683112</v>
      </c>
      <c r="V20" s="3">
        <f>CurrentMtgRatesDataTable82523[[#This Row],[cum_df_pct]]*100</f>
        <v>0.03</v>
      </c>
      <c r="W20" s="3">
        <f>CurrentMtgRatesDataTable82523[[#This Row],[pct_dq]]*100</f>
        <v>0.24275132011593953</v>
      </c>
    </row>
    <row r="21" spans="3:23">
      <c r="C21" s="40" t="s">
        <v>59</v>
      </c>
      <c r="D21" s="40" t="s">
        <v>60</v>
      </c>
      <c r="E21" s="40">
        <v>20365001794.889999</v>
      </c>
      <c r="F21" s="41">
        <v>41944</v>
      </c>
      <c r="G21" s="40">
        <v>89760</v>
      </c>
      <c r="H21" s="40">
        <v>103326093.25072974</v>
      </c>
      <c r="I21" s="40">
        <v>994425.34</v>
      </c>
      <c r="J21" s="40">
        <v>5.0737090176273102E-3</v>
      </c>
      <c r="K21" s="40">
        <v>4.883011305452091E-5</v>
      </c>
      <c r="L21" s="40">
        <v>5.9212999999999996</v>
      </c>
      <c r="M21" s="40">
        <v>5.8500000000000003E-2</v>
      </c>
      <c r="N21" s="40">
        <v>2.248933223344574E-3</v>
      </c>
      <c r="O21" s="40">
        <v>1757157832.6740999</v>
      </c>
      <c r="P21" s="40">
        <v>8440971.8900000006</v>
      </c>
      <c r="Q21" s="40">
        <v>8.8900000000000007E-2</v>
      </c>
      <c r="R21" s="40">
        <v>4.0000000000000002E-4</v>
      </c>
      <c r="S21" s="40">
        <v>1</v>
      </c>
      <c r="T21" s="104">
        <v>41974</v>
      </c>
      <c r="U21" s="40">
        <v>11446194.240729745</v>
      </c>
      <c r="V21" s="3">
        <f>CurrentMtgRatesDataTable82523[[#This Row],[cum_df_pct]]*100</f>
        <v>0.04</v>
      </c>
      <c r="W21" s="3">
        <f>CurrentMtgRatesDataTable82523[[#This Row],[pct_dq]]*100</f>
        <v>0.22489332233445741</v>
      </c>
    </row>
    <row r="22" spans="3:23">
      <c r="C22" s="40" t="s">
        <v>59</v>
      </c>
      <c r="D22" s="40" t="s">
        <v>60</v>
      </c>
      <c r="E22" s="40">
        <v>20227022657.540001</v>
      </c>
      <c r="F22" s="41">
        <v>41974</v>
      </c>
      <c r="G22" s="40">
        <v>89344</v>
      </c>
      <c r="H22" s="40">
        <v>115696901.86287563</v>
      </c>
      <c r="I22" s="40">
        <v>401834.35</v>
      </c>
      <c r="J22" s="40">
        <v>5.7199175489996024E-3</v>
      </c>
      <c r="K22" s="40">
        <v>1.9866213471126398E-5</v>
      </c>
      <c r="L22" s="40">
        <v>6.6520000000000001</v>
      </c>
      <c r="M22" s="40">
        <v>2.3800000000000002E-2</v>
      </c>
      <c r="N22" s="40">
        <v>3.1803855895726645E-3</v>
      </c>
      <c r="O22" s="40">
        <v>1872854734.5369999</v>
      </c>
      <c r="P22" s="40">
        <v>8842806.2400000002</v>
      </c>
      <c r="Q22" s="40">
        <v>9.4799999999999995E-2</v>
      </c>
      <c r="R22" s="40">
        <v>4.0000000000000002E-4</v>
      </c>
      <c r="S22" s="40">
        <v>1</v>
      </c>
      <c r="T22" s="104">
        <v>42005</v>
      </c>
      <c r="U22" s="40">
        <v>11622999.402875625</v>
      </c>
      <c r="V22" s="3">
        <f>CurrentMtgRatesDataTable82523[[#This Row],[cum_df_pct]]*100</f>
        <v>0.04</v>
      </c>
      <c r="W22" s="3">
        <f>CurrentMtgRatesDataTable82523[[#This Row],[pct_dq]]*100</f>
        <v>0.31803855895726646</v>
      </c>
    </row>
    <row r="23" spans="3:23">
      <c r="C23" s="40" t="s">
        <v>59</v>
      </c>
      <c r="D23" s="40" t="s">
        <v>60</v>
      </c>
      <c r="E23" s="40">
        <v>20076676930.209999</v>
      </c>
      <c r="F23" s="41">
        <v>42005</v>
      </c>
      <c r="G23" s="40">
        <v>88878</v>
      </c>
      <c r="H23" s="40">
        <v>101046382.20490764</v>
      </c>
      <c r="I23" s="40">
        <v>1559635.07</v>
      </c>
      <c r="J23" s="40">
        <v>5.0330232715385288E-3</v>
      </c>
      <c r="K23" s="40">
        <v>7.7683925254242087E-5</v>
      </c>
      <c r="L23" s="40">
        <v>5.8752000000000004</v>
      </c>
      <c r="M23" s="40">
        <v>9.3100000000000002E-2</v>
      </c>
      <c r="N23" s="40">
        <v>2.4957979816172637E-3</v>
      </c>
      <c r="O23" s="40">
        <v>1973901116.7419</v>
      </c>
      <c r="P23" s="40">
        <v>10402441.310000001</v>
      </c>
      <c r="Q23" s="40">
        <v>9.9900000000000003E-2</v>
      </c>
      <c r="R23" s="40">
        <v>5.0000000000000001E-4</v>
      </c>
      <c r="S23" s="40">
        <v>1</v>
      </c>
      <c r="T23" s="104">
        <v>42036</v>
      </c>
      <c r="U23" s="40">
        <v>11768229.104907634</v>
      </c>
      <c r="V23" s="3">
        <f>CurrentMtgRatesDataTable82523[[#This Row],[cum_df_pct]]*100</f>
        <v>0.05</v>
      </c>
      <c r="W23" s="3">
        <f>CurrentMtgRatesDataTable82523[[#This Row],[pct_dq]]*100</f>
        <v>0.24957979816172637</v>
      </c>
    </row>
    <row r="24" spans="3:23">
      <c r="C24" s="40" t="s">
        <v>59</v>
      </c>
      <c r="D24" s="40" t="s">
        <v>60</v>
      </c>
      <c r="E24" s="40">
        <v>19939199442.470001</v>
      </c>
      <c r="F24" s="41">
        <v>42036</v>
      </c>
      <c r="G24" s="40">
        <v>88484</v>
      </c>
      <c r="H24" s="40">
        <v>150452758.57505435</v>
      </c>
      <c r="I24" s="40">
        <v>515352.31</v>
      </c>
      <c r="J24" s="40">
        <v>7.5455766922414005E-3</v>
      </c>
      <c r="K24" s="40">
        <v>2.5846188633948481E-5</v>
      </c>
      <c r="L24" s="40">
        <v>8.6882000000000001</v>
      </c>
      <c r="M24" s="40">
        <v>3.1E-2</v>
      </c>
      <c r="N24" s="40">
        <v>2.4820878296941918E-3</v>
      </c>
      <c r="O24" s="40">
        <v>2124353875.3169</v>
      </c>
      <c r="P24" s="40">
        <v>10917793.619999999</v>
      </c>
      <c r="Q24" s="40">
        <v>0.1075</v>
      </c>
      <c r="R24" s="40">
        <v>5.0000000000000001E-4</v>
      </c>
      <c r="S24" s="40">
        <v>1</v>
      </c>
      <c r="T24" s="104">
        <v>42064</v>
      </c>
      <c r="U24" s="40">
        <v>12571065.165054355</v>
      </c>
      <c r="V24" s="3">
        <f>CurrentMtgRatesDataTable82523[[#This Row],[cum_df_pct]]*100</f>
        <v>0.05</v>
      </c>
      <c r="W24" s="3">
        <f>CurrentMtgRatesDataTable82523[[#This Row],[pct_dq]]*100</f>
        <v>0.24820878296941917</v>
      </c>
    </row>
    <row r="25" spans="3:23">
      <c r="C25" s="40" t="s">
        <v>59</v>
      </c>
      <c r="D25" s="40" t="s">
        <v>60</v>
      </c>
      <c r="E25" s="40">
        <v>19755112263.799999</v>
      </c>
      <c r="F25" s="41">
        <v>42064</v>
      </c>
      <c r="G25" s="40">
        <v>87925</v>
      </c>
      <c r="H25" s="40">
        <v>202511535.7744852</v>
      </c>
      <c r="I25" s="40">
        <v>949391.26</v>
      </c>
      <c r="J25" s="40">
        <v>1.0251095163127714E-2</v>
      </c>
      <c r="K25" s="40">
        <v>4.8058003787692958E-5</v>
      </c>
      <c r="L25" s="40">
        <v>11.6309</v>
      </c>
      <c r="M25" s="40">
        <v>5.7599999999999998E-2</v>
      </c>
      <c r="N25" s="40">
        <v>2.9695943994962415E-3</v>
      </c>
      <c r="O25" s="40">
        <v>2326865411.0914001</v>
      </c>
      <c r="P25" s="40">
        <v>11867184.880000001</v>
      </c>
      <c r="Q25" s="40">
        <v>0.1178</v>
      </c>
      <c r="R25" s="40">
        <v>5.9999999999999995E-4</v>
      </c>
      <c r="S25" s="40">
        <v>1</v>
      </c>
      <c r="T25" s="104">
        <v>42095</v>
      </c>
      <c r="U25" s="40">
        <v>10819849.334485188</v>
      </c>
      <c r="V25" s="3">
        <f>CurrentMtgRatesDataTable82523[[#This Row],[cum_df_pct]]*100</f>
        <v>0.06</v>
      </c>
      <c r="W25" s="3">
        <f>CurrentMtgRatesDataTable82523[[#This Row],[pct_dq]]*100</f>
        <v>0.29695943994962415</v>
      </c>
    </row>
    <row r="26" spans="3:23">
      <c r="C26" s="40" t="s">
        <v>59</v>
      </c>
      <c r="D26" s="40" t="s">
        <v>60</v>
      </c>
      <c r="E26" s="40">
        <v>19517918050.32</v>
      </c>
      <c r="F26" s="41">
        <v>42095</v>
      </c>
      <c r="G26" s="40">
        <v>87132</v>
      </c>
      <c r="H26" s="40">
        <v>184368780.46647617</v>
      </c>
      <c r="I26" s="40">
        <v>1177926.43</v>
      </c>
      <c r="J26" s="40">
        <v>9.4461294483943904E-3</v>
      </c>
      <c r="K26" s="40">
        <v>6.0351028576056945E-5</v>
      </c>
      <c r="L26" s="40">
        <v>10.7645</v>
      </c>
      <c r="M26" s="40">
        <v>7.2300000000000003E-2</v>
      </c>
      <c r="N26" s="40">
        <v>2.1921385246977463E-3</v>
      </c>
      <c r="O26" s="40">
        <v>2511234191.5579</v>
      </c>
      <c r="P26" s="40">
        <v>13045111.310000001</v>
      </c>
      <c r="Q26" s="40">
        <v>0.12709999999999999</v>
      </c>
      <c r="R26" s="40">
        <v>5.9999999999999995E-4</v>
      </c>
      <c r="S26" s="40">
        <v>1</v>
      </c>
      <c r="T26" s="104">
        <v>42125</v>
      </c>
      <c r="U26" s="40">
        <v>14088367.286476176</v>
      </c>
      <c r="V26" s="3">
        <f>CurrentMtgRatesDataTable82523[[#This Row],[cum_df_pct]]*100</f>
        <v>0.06</v>
      </c>
      <c r="W26" s="3">
        <f>CurrentMtgRatesDataTable82523[[#This Row],[pct_dq]]*100</f>
        <v>0.21921385246977462</v>
      </c>
    </row>
    <row r="27" spans="3:23">
      <c r="C27" s="40" t="s">
        <v>59</v>
      </c>
      <c r="D27" s="40" t="s">
        <v>60</v>
      </c>
      <c r="E27" s="40">
        <v>19298303853.59</v>
      </c>
      <c r="F27" s="41">
        <v>42125</v>
      </c>
      <c r="G27" s="40">
        <v>86371</v>
      </c>
      <c r="H27" s="40">
        <v>180816048.7632224</v>
      </c>
      <c r="I27" s="40">
        <v>840844.9</v>
      </c>
      <c r="J27" s="40">
        <v>9.3695306144527205E-3</v>
      </c>
      <c r="K27" s="40">
        <v>4.3570922417805147E-5</v>
      </c>
      <c r="L27" s="40">
        <v>10.681699999999999</v>
      </c>
      <c r="M27" s="40">
        <v>5.2200000000000003E-2</v>
      </c>
      <c r="N27" s="40">
        <v>2.2724679367011748E-3</v>
      </c>
      <c r="O27" s="40">
        <v>2692050240.3211002</v>
      </c>
      <c r="P27" s="40">
        <v>13885956.210000001</v>
      </c>
      <c r="Q27" s="40">
        <v>0.13619999999999999</v>
      </c>
      <c r="R27" s="40">
        <v>6.9999999999999999E-4</v>
      </c>
      <c r="S27" s="40">
        <v>1</v>
      </c>
      <c r="T27" s="104">
        <v>42156</v>
      </c>
      <c r="U27" s="40">
        <v>12475497.073222408</v>
      </c>
      <c r="V27" s="3">
        <f>CurrentMtgRatesDataTable82523[[#This Row],[cum_df_pct]]*100</f>
        <v>6.9999999999999993E-2</v>
      </c>
      <c r="W27" s="3">
        <f>CurrentMtgRatesDataTable82523[[#This Row],[pct_dq]]*100</f>
        <v>0.22724679367011746</v>
      </c>
    </row>
    <row r="28" spans="3:23">
      <c r="C28" s="40" t="s">
        <v>59</v>
      </c>
      <c r="D28" s="40" t="s">
        <v>60</v>
      </c>
      <c r="E28" s="40">
        <v>19082907230.220001</v>
      </c>
      <c r="F28" s="41">
        <v>42156</v>
      </c>
      <c r="G28" s="40">
        <v>85631</v>
      </c>
      <c r="H28" s="40">
        <v>202706787.08797881</v>
      </c>
      <c r="I28" s="40">
        <v>2030630.68</v>
      </c>
      <c r="J28" s="40">
        <v>1.0622426899763423E-2</v>
      </c>
      <c r="K28" s="40">
        <v>1.06410970587556E-4</v>
      </c>
      <c r="L28" s="40">
        <v>12.027900000000001</v>
      </c>
      <c r="M28" s="40">
        <v>0.12759999999999999</v>
      </c>
      <c r="N28" s="40">
        <v>2.5775484571924391E-3</v>
      </c>
      <c r="O28" s="40">
        <v>2894757027.4091001</v>
      </c>
      <c r="P28" s="40">
        <v>15916586.890000001</v>
      </c>
      <c r="Q28" s="40">
        <v>0.14649999999999999</v>
      </c>
      <c r="R28" s="40">
        <v>8.0000000000000004E-4</v>
      </c>
      <c r="S28" s="40">
        <v>1</v>
      </c>
      <c r="T28" s="104">
        <v>42186</v>
      </c>
      <c r="U28" s="40">
        <v>10847038.527978823</v>
      </c>
      <c r="V28" s="3">
        <f>CurrentMtgRatesDataTable82523[[#This Row],[cum_df_pct]]*100</f>
        <v>0.08</v>
      </c>
      <c r="W28" s="3">
        <f>CurrentMtgRatesDataTable82523[[#This Row],[pct_dq]]*100</f>
        <v>0.2577548457192439</v>
      </c>
    </row>
    <row r="29" spans="3:23">
      <c r="C29" s="40" t="s">
        <v>59</v>
      </c>
      <c r="D29" s="40" t="s">
        <v>60</v>
      </c>
      <c r="E29" s="40">
        <v>18844871637.860001</v>
      </c>
      <c r="F29" s="41">
        <v>42186</v>
      </c>
      <c r="G29" s="40">
        <v>84793</v>
      </c>
      <c r="H29" s="40">
        <v>183808478.16587281</v>
      </c>
      <c r="I29" s="40">
        <v>647409.99</v>
      </c>
      <c r="J29" s="40">
        <v>9.7537665258804543E-3</v>
      </c>
      <c r="K29" s="40">
        <v>3.4354704157248329E-5</v>
      </c>
      <c r="L29" s="40">
        <v>11.096500000000001</v>
      </c>
      <c r="M29" s="40">
        <v>4.1200000000000001E-2</v>
      </c>
      <c r="N29" s="40">
        <v>2.3798532673419094E-3</v>
      </c>
      <c r="O29" s="40">
        <v>3078565505.5749998</v>
      </c>
      <c r="P29" s="40">
        <v>16563996.880000001</v>
      </c>
      <c r="Q29" s="40">
        <v>0.15579999999999999</v>
      </c>
      <c r="R29" s="40">
        <v>8.0000000000000004E-4</v>
      </c>
      <c r="S29" s="40">
        <v>1</v>
      </c>
      <c r="T29" s="104">
        <v>42217</v>
      </c>
      <c r="U29" s="40">
        <v>11833674.255872823</v>
      </c>
      <c r="V29" s="3">
        <f>CurrentMtgRatesDataTable82523[[#This Row],[cum_df_pct]]*100</f>
        <v>0.08</v>
      </c>
      <c r="W29" s="3">
        <f>CurrentMtgRatesDataTable82523[[#This Row],[pct_dq]]*100</f>
        <v>0.23798532673419093</v>
      </c>
    </row>
    <row r="30" spans="3:23">
      <c r="C30" s="40" t="s">
        <v>59</v>
      </c>
      <c r="D30" s="40" t="s">
        <v>60</v>
      </c>
      <c r="E30" s="40">
        <v>18627223256.68</v>
      </c>
      <c r="F30" s="41">
        <v>42217</v>
      </c>
      <c r="G30" s="40">
        <v>84007</v>
      </c>
      <c r="H30" s="40">
        <v>147830049.02469999</v>
      </c>
      <c r="I30" s="40">
        <v>967341.44</v>
      </c>
      <c r="J30" s="40">
        <v>7.9362364957796874E-3</v>
      </c>
      <c r="K30" s="40">
        <v>5.1931596388264519E-5</v>
      </c>
      <c r="L30" s="40">
        <v>9.1184999999999992</v>
      </c>
      <c r="M30" s="40">
        <v>6.2300000000000001E-2</v>
      </c>
      <c r="N30" s="40">
        <v>2.5092007448420171E-3</v>
      </c>
      <c r="O30" s="40">
        <v>3226395554.5997</v>
      </c>
      <c r="P30" s="40">
        <v>17531338.32</v>
      </c>
      <c r="Q30" s="40">
        <v>0.1633</v>
      </c>
      <c r="R30" s="40">
        <v>8.0000000000000004E-4</v>
      </c>
      <c r="S30" s="40">
        <v>1</v>
      </c>
      <c r="T30" s="104">
        <v>42248</v>
      </c>
      <c r="U30" s="40">
        <v>11292552.354699994</v>
      </c>
      <c r="V30" s="3">
        <f>CurrentMtgRatesDataTable82523[[#This Row],[cum_df_pct]]*100</f>
        <v>0.08</v>
      </c>
      <c r="W30" s="3">
        <f>CurrentMtgRatesDataTable82523[[#This Row],[pct_dq]]*100</f>
        <v>0.25092007448420173</v>
      </c>
    </row>
    <row r="31" spans="3:23">
      <c r="C31" s="40" t="s">
        <v>59</v>
      </c>
      <c r="D31" s="40" t="s">
        <v>60</v>
      </c>
      <c r="E31" s="40">
        <v>18446086422.009998</v>
      </c>
      <c r="F31" s="41">
        <v>42248</v>
      </c>
      <c r="G31" s="40">
        <v>83369</v>
      </c>
      <c r="H31" s="40">
        <v>155239143.08577126</v>
      </c>
      <c r="I31" s="40">
        <v>1254957.8999999999</v>
      </c>
      <c r="J31" s="40">
        <v>8.4158308453189737E-3</v>
      </c>
      <c r="K31" s="40">
        <v>6.8033829577127835E-5</v>
      </c>
      <c r="L31" s="40">
        <v>9.6443999999999992</v>
      </c>
      <c r="M31" s="40">
        <v>8.1600000000000006E-2</v>
      </c>
      <c r="N31" s="40">
        <v>2.5924193585551486E-3</v>
      </c>
      <c r="O31" s="40">
        <v>3381634697.6855001</v>
      </c>
      <c r="P31" s="40">
        <v>18786296.219999999</v>
      </c>
      <c r="Q31" s="40">
        <v>0.17119999999999999</v>
      </c>
      <c r="R31" s="40">
        <v>8.9999999999999998E-4</v>
      </c>
      <c r="S31" s="40">
        <v>1</v>
      </c>
      <c r="T31" s="104">
        <v>42278</v>
      </c>
      <c r="U31" s="40">
        <v>11892318.245771261</v>
      </c>
      <c r="V31" s="3">
        <f>CurrentMtgRatesDataTable82523[[#This Row],[cum_df_pct]]*100</f>
        <v>0.09</v>
      </c>
      <c r="W31" s="3">
        <f>CurrentMtgRatesDataTable82523[[#This Row],[pct_dq]]*100</f>
        <v>0.25924193585551486</v>
      </c>
    </row>
    <row r="32" spans="3:23">
      <c r="C32" s="40" t="s">
        <v>61</v>
      </c>
      <c r="D32" s="40" t="s">
        <v>62</v>
      </c>
      <c r="E32" s="40">
        <v>35184267786.93</v>
      </c>
      <c r="F32" s="41">
        <v>41609</v>
      </c>
      <c r="G32" s="40">
        <v>145598</v>
      </c>
      <c r="H32" s="40">
        <v>268440587.1003477</v>
      </c>
      <c r="I32" s="40">
        <v>0</v>
      </c>
      <c r="J32" s="40">
        <v>7.6295629832622541E-3</v>
      </c>
      <c r="K32" s="40">
        <v>0</v>
      </c>
      <c r="L32" s="40">
        <v>8.7807999999999993</v>
      </c>
      <c r="M32" s="40">
        <v>0</v>
      </c>
      <c r="N32" s="40">
        <v>1.7407225985459115E-3</v>
      </c>
      <c r="O32" s="40">
        <v>268440587.10030001</v>
      </c>
      <c r="P32" s="40">
        <v>0</v>
      </c>
      <c r="Q32" s="40">
        <v>8.3000000000000001E-3</v>
      </c>
      <c r="R32" s="40">
        <v>0</v>
      </c>
      <c r="S32" s="40">
        <v>1</v>
      </c>
      <c r="T32" s="104">
        <v>41640</v>
      </c>
      <c r="U32" s="40">
        <v>13117205.000347687</v>
      </c>
      <c r="V32" s="3">
        <f>CurrentMtgRatesDataTable82523[[#This Row],[cum_df_pct]]*100</f>
        <v>0</v>
      </c>
      <c r="W32" s="3">
        <f>CurrentMtgRatesDataTable82523[[#This Row],[pct_dq]]*100</f>
        <v>0.17407225985459115</v>
      </c>
    </row>
    <row r="33" spans="3:23">
      <c r="C33" s="40" t="s">
        <v>61</v>
      </c>
      <c r="D33" s="40" t="s">
        <v>62</v>
      </c>
      <c r="E33" s="40">
        <v>34859342835.760002</v>
      </c>
      <c r="F33" s="41">
        <v>41640</v>
      </c>
      <c r="G33" s="40">
        <v>144497</v>
      </c>
      <c r="H33" s="40">
        <v>92670712.306838334</v>
      </c>
      <c r="I33" s="40">
        <v>0</v>
      </c>
      <c r="J33" s="40">
        <v>2.6584182250209633E-3</v>
      </c>
      <c r="K33" s="40">
        <v>0</v>
      </c>
      <c r="L33" s="40">
        <v>3.1438000000000001</v>
      </c>
      <c r="M33" s="40">
        <v>0</v>
      </c>
      <c r="N33" s="40">
        <v>1.8375837729301082E-3</v>
      </c>
      <c r="O33" s="40">
        <v>361111299.40710002</v>
      </c>
      <c r="P33" s="40">
        <v>0</v>
      </c>
      <c r="Q33" s="40">
        <v>1.12E-2</v>
      </c>
      <c r="R33" s="40">
        <v>0</v>
      </c>
      <c r="S33" s="40">
        <v>1</v>
      </c>
      <c r="T33" s="104">
        <v>41671</v>
      </c>
      <c r="U33" s="40">
        <v>17756065.266838327</v>
      </c>
      <c r="V33" s="3">
        <f>CurrentMtgRatesDataTable82523[[#This Row],[cum_df_pct]]*100</f>
        <v>0</v>
      </c>
      <c r="W33" s="3">
        <f>CurrentMtgRatesDataTable82523[[#This Row],[pct_dq]]*100</f>
        <v>0.18375837729301081</v>
      </c>
    </row>
    <row r="34" spans="3:23">
      <c r="C34" s="40" t="s">
        <v>61</v>
      </c>
      <c r="D34" s="40" t="s">
        <v>62</v>
      </c>
      <c r="E34" s="40">
        <v>34710539920.269997</v>
      </c>
      <c r="F34" s="41">
        <v>41671</v>
      </c>
      <c r="G34" s="40">
        <v>144155</v>
      </c>
      <c r="H34" s="40">
        <v>94388433.710357592</v>
      </c>
      <c r="I34" s="40">
        <v>0</v>
      </c>
      <c r="J34" s="40">
        <v>2.7193018007546847E-3</v>
      </c>
      <c r="K34" s="40">
        <v>0</v>
      </c>
      <c r="L34" s="40">
        <v>3.2147000000000001</v>
      </c>
      <c r="M34" s="40">
        <v>0</v>
      </c>
      <c r="N34" s="40">
        <v>1.7780417591245561E-3</v>
      </c>
      <c r="O34" s="40">
        <v>455499733.11750001</v>
      </c>
      <c r="P34" s="40">
        <v>0</v>
      </c>
      <c r="Q34" s="40">
        <v>1.4200000000000001E-2</v>
      </c>
      <c r="R34" s="40">
        <v>0</v>
      </c>
      <c r="S34" s="40">
        <v>1</v>
      </c>
      <c r="T34" s="104">
        <v>41699</v>
      </c>
      <c r="U34" s="40">
        <v>17478813.840357583</v>
      </c>
      <c r="V34" s="3">
        <f>CurrentMtgRatesDataTable82523[[#This Row],[cum_df_pct]]*100</f>
        <v>0</v>
      </c>
      <c r="W34" s="3">
        <f>CurrentMtgRatesDataTable82523[[#This Row],[pct_dq]]*100</f>
        <v>0.17780417591245562</v>
      </c>
    </row>
    <row r="35" spans="3:23">
      <c r="C35" s="40" t="s">
        <v>61</v>
      </c>
      <c r="D35" s="40" t="s">
        <v>62</v>
      </c>
      <c r="E35" s="40">
        <v>34561418507.610001</v>
      </c>
      <c r="F35" s="41">
        <v>41699</v>
      </c>
      <c r="G35" s="40">
        <v>143801</v>
      </c>
      <c r="H35" s="40">
        <v>120232665.21541533</v>
      </c>
      <c r="I35" s="40">
        <v>260106.15</v>
      </c>
      <c r="J35" s="40">
        <v>3.4788116462564048E-3</v>
      </c>
      <c r="K35" s="40">
        <v>7.5259107187029327E-6</v>
      </c>
      <c r="L35" s="40">
        <v>4.0956000000000001</v>
      </c>
      <c r="M35" s="40">
        <v>8.9999999999999993E-3</v>
      </c>
      <c r="N35" s="40">
        <v>2.4711399829030348E-3</v>
      </c>
      <c r="O35" s="40">
        <v>575732398.33290005</v>
      </c>
      <c r="P35" s="40">
        <v>260106.15</v>
      </c>
      <c r="Q35" s="40">
        <v>1.7899999999999999E-2</v>
      </c>
      <c r="R35" s="40">
        <v>0</v>
      </c>
      <c r="S35" s="40">
        <v>1</v>
      </c>
      <c r="T35" s="104">
        <v>41730</v>
      </c>
      <c r="U35" s="40">
        <v>13977369.925415328</v>
      </c>
      <c r="V35" s="3">
        <f>CurrentMtgRatesDataTable82523[[#This Row],[cum_df_pct]]*100</f>
        <v>0</v>
      </c>
      <c r="W35" s="3">
        <f>CurrentMtgRatesDataTable82523[[#This Row],[pct_dq]]*100</f>
        <v>0.24711399829030348</v>
      </c>
    </row>
    <row r="36" spans="3:23">
      <c r="C36" s="40" t="s">
        <v>61</v>
      </c>
      <c r="D36" s="40" t="s">
        <v>62</v>
      </c>
      <c r="E36" s="40">
        <v>34383902530.860001</v>
      </c>
      <c r="F36" s="41">
        <v>41730</v>
      </c>
      <c r="G36" s="40">
        <v>143311</v>
      </c>
      <c r="H36" s="40">
        <v>132411833.75668444</v>
      </c>
      <c r="I36" s="40">
        <v>1118824.01</v>
      </c>
      <c r="J36" s="40">
        <v>3.8509832802673602E-3</v>
      </c>
      <c r="K36" s="40">
        <v>3.2539180478302043E-5</v>
      </c>
      <c r="L36" s="40">
        <v>4.5244999999999997</v>
      </c>
      <c r="M36" s="40">
        <v>3.9E-2</v>
      </c>
      <c r="N36" s="40">
        <v>1.997778070663985E-3</v>
      </c>
      <c r="O36" s="40">
        <v>708144232.08959997</v>
      </c>
      <c r="P36" s="40">
        <v>1378930.16</v>
      </c>
      <c r="Q36" s="40">
        <v>2.1999999999999999E-2</v>
      </c>
      <c r="R36" s="40">
        <v>0</v>
      </c>
      <c r="S36" s="40">
        <v>1</v>
      </c>
      <c r="T36" s="104">
        <v>41760</v>
      </c>
      <c r="U36" s="40">
        <v>17565682.836684436</v>
      </c>
      <c r="V36" s="3">
        <f>CurrentMtgRatesDataTable82523[[#This Row],[cum_df_pct]]*100</f>
        <v>0</v>
      </c>
      <c r="W36" s="3">
        <f>CurrentMtgRatesDataTable82523[[#This Row],[pct_dq]]*100</f>
        <v>0.1997778070663985</v>
      </c>
    </row>
    <row r="37" spans="3:23">
      <c r="C37" s="40" t="s">
        <v>61</v>
      </c>
      <c r="D37" s="40" t="s">
        <v>62</v>
      </c>
      <c r="E37" s="40">
        <v>34194102666.93</v>
      </c>
      <c r="F37" s="41">
        <v>41760</v>
      </c>
      <c r="G37" s="40">
        <v>142808</v>
      </c>
      <c r="H37" s="40">
        <v>167949789.17725629</v>
      </c>
      <c r="I37" s="40">
        <v>495173.75</v>
      </c>
      <c r="J37" s="40">
        <v>4.9116594991008454E-3</v>
      </c>
      <c r="K37" s="40">
        <v>1.4481261719989375E-5</v>
      </c>
      <c r="L37" s="40">
        <v>5.7373000000000003</v>
      </c>
      <c r="M37" s="40">
        <v>1.7299999999999999E-2</v>
      </c>
      <c r="N37" s="40">
        <v>2.0514285142461345E-3</v>
      </c>
      <c r="O37" s="40">
        <v>876094021.26680005</v>
      </c>
      <c r="P37" s="40">
        <v>1874103.91</v>
      </c>
      <c r="Q37" s="40">
        <v>2.7300000000000001E-2</v>
      </c>
      <c r="R37" s="40">
        <v>0</v>
      </c>
      <c r="S37" s="40">
        <v>1</v>
      </c>
      <c r="T37" s="104">
        <v>41791</v>
      </c>
      <c r="U37" s="40">
        <v>14606236.967256291</v>
      </c>
      <c r="V37" s="3">
        <f>CurrentMtgRatesDataTable82523[[#This Row],[cum_df_pct]]*100</f>
        <v>0</v>
      </c>
      <c r="W37" s="3">
        <f>CurrentMtgRatesDataTable82523[[#This Row],[pct_dq]]*100</f>
        <v>0.20514285142461344</v>
      </c>
    </row>
    <row r="38" spans="3:23">
      <c r="C38" s="40" t="s">
        <v>61</v>
      </c>
      <c r="D38" s="40" t="s">
        <v>62</v>
      </c>
      <c r="E38" s="40">
        <v>33969478822.689999</v>
      </c>
      <c r="F38" s="41">
        <v>41791</v>
      </c>
      <c r="G38" s="40">
        <v>142132</v>
      </c>
      <c r="H38" s="40">
        <v>182024900.31194091</v>
      </c>
      <c r="I38" s="40">
        <v>600232.69999999995</v>
      </c>
      <c r="J38" s="40">
        <v>5.3584837513125727E-3</v>
      </c>
      <c r="K38" s="40">
        <v>1.7669764765395017E-5</v>
      </c>
      <c r="L38" s="40">
        <v>6.2439999999999998</v>
      </c>
      <c r="M38" s="40">
        <v>2.12E-2</v>
      </c>
      <c r="N38" s="40">
        <v>1.9721110726977891E-3</v>
      </c>
      <c r="O38" s="40">
        <v>1058118921.5788</v>
      </c>
      <c r="P38" s="40">
        <v>2474336.61</v>
      </c>
      <c r="Q38" s="40">
        <v>3.2899999999999999E-2</v>
      </c>
      <c r="R38" s="40">
        <v>0</v>
      </c>
      <c r="S38" s="40">
        <v>1</v>
      </c>
      <c r="T38" s="104">
        <v>41821</v>
      </c>
      <c r="U38" s="40">
        <v>13935222.161940904</v>
      </c>
      <c r="V38" s="3">
        <f>CurrentMtgRatesDataTable82523[[#This Row],[cum_df_pct]]*100</f>
        <v>0</v>
      </c>
      <c r="W38" s="3">
        <f>CurrentMtgRatesDataTable82523[[#This Row],[pct_dq]]*100</f>
        <v>0.19721110726977892</v>
      </c>
    </row>
    <row r="39" spans="3:23">
      <c r="C39" s="40" t="s">
        <v>61</v>
      </c>
      <c r="D39" s="40" t="s">
        <v>62</v>
      </c>
      <c r="E39" s="40">
        <v>33733163472.400002</v>
      </c>
      <c r="F39" s="41">
        <v>41821</v>
      </c>
      <c r="G39" s="40">
        <v>141415</v>
      </c>
      <c r="H39" s="40">
        <v>186060251.78332713</v>
      </c>
      <c r="I39" s="40">
        <v>779358.81</v>
      </c>
      <c r="J39" s="40">
        <v>5.5156478856647709E-3</v>
      </c>
      <c r="K39" s="40">
        <v>2.3103638371706833E-5</v>
      </c>
      <c r="L39" s="40">
        <v>6.4215999999999998</v>
      </c>
      <c r="M39" s="40">
        <v>2.7699999999999999E-2</v>
      </c>
      <c r="N39" s="40">
        <v>2.2263176989447304E-3</v>
      </c>
      <c r="O39" s="40">
        <v>1244179173.3620999</v>
      </c>
      <c r="P39" s="40">
        <v>3253695.42</v>
      </c>
      <c r="Q39" s="40">
        <v>3.8699999999999998E-2</v>
      </c>
      <c r="R39" s="40">
        <v>1E-4</v>
      </c>
      <c r="S39" s="40">
        <v>1</v>
      </c>
      <c r="T39" s="104">
        <v>41852</v>
      </c>
      <c r="U39" s="40">
        <v>15716663.203327136</v>
      </c>
      <c r="V39" s="3">
        <f>CurrentMtgRatesDataTable82523[[#This Row],[cum_df_pct]]*100</f>
        <v>0.01</v>
      </c>
      <c r="W39" s="3">
        <f>CurrentMtgRatesDataTable82523[[#This Row],[pct_dq]]*100</f>
        <v>0.22263176989447303</v>
      </c>
    </row>
    <row r="40" spans="3:23">
      <c r="C40" s="40" t="s">
        <v>61</v>
      </c>
      <c r="D40" s="40" t="s">
        <v>62</v>
      </c>
      <c r="E40" s="40">
        <v>33490133224.82</v>
      </c>
      <c r="F40" s="41">
        <v>41852</v>
      </c>
      <c r="G40" s="40">
        <v>140635</v>
      </c>
      <c r="H40" s="40">
        <v>172800210.87110811</v>
      </c>
      <c r="I40" s="40">
        <v>722780.87</v>
      </c>
      <c r="J40" s="40">
        <v>5.1597349497267304E-3</v>
      </c>
      <c r="K40" s="40">
        <v>2.1581904889656789E-5</v>
      </c>
      <c r="L40" s="40">
        <v>6.0189000000000004</v>
      </c>
      <c r="M40" s="40">
        <v>2.58E-2</v>
      </c>
      <c r="N40" s="40">
        <v>2.2033305485722383E-3</v>
      </c>
      <c r="O40" s="40">
        <v>1416979384.2332001</v>
      </c>
      <c r="P40" s="40">
        <v>3976476.29</v>
      </c>
      <c r="Q40" s="40">
        <v>4.41E-2</v>
      </c>
      <c r="R40" s="40">
        <v>1E-4</v>
      </c>
      <c r="S40" s="40">
        <v>1</v>
      </c>
      <c r="T40" s="104">
        <v>41883</v>
      </c>
      <c r="U40" s="40">
        <v>15516640.001108116</v>
      </c>
      <c r="V40" s="3">
        <f>CurrentMtgRatesDataTable82523[[#This Row],[cum_df_pct]]*100</f>
        <v>0.01</v>
      </c>
      <c r="W40" s="3">
        <f>CurrentMtgRatesDataTable82523[[#This Row],[pct_dq]]*100</f>
        <v>0.22033305485722382</v>
      </c>
    </row>
    <row r="41" spans="3:23">
      <c r="C41" s="40" t="s">
        <v>61</v>
      </c>
      <c r="D41" s="40" t="s">
        <v>62</v>
      </c>
      <c r="E41" s="40">
        <v>33260667256.009998</v>
      </c>
      <c r="F41" s="41">
        <v>41883</v>
      </c>
      <c r="G41" s="40">
        <v>139941</v>
      </c>
      <c r="H41" s="40">
        <v>148731494.24609643</v>
      </c>
      <c r="I41" s="40">
        <v>572154.51</v>
      </c>
      <c r="J41" s="40">
        <v>4.4716930391473595E-3</v>
      </c>
      <c r="K41" s="40">
        <v>1.7202135651581529E-5</v>
      </c>
      <c r="L41" s="40">
        <v>5.2359999999999998</v>
      </c>
      <c r="M41" s="40">
        <v>2.06E-2</v>
      </c>
      <c r="N41" s="40">
        <v>2.5588074191332274E-3</v>
      </c>
      <c r="O41" s="40">
        <v>1565710878.4793</v>
      </c>
      <c r="P41" s="40">
        <v>4548630.8</v>
      </c>
      <c r="Q41" s="40">
        <v>4.8800000000000003E-2</v>
      </c>
      <c r="R41" s="40">
        <v>1E-4</v>
      </c>
      <c r="S41" s="40">
        <v>1</v>
      </c>
      <c r="T41" s="104">
        <v>41913</v>
      </c>
      <c r="U41" s="40">
        <v>15930724.886096422</v>
      </c>
      <c r="V41" s="3">
        <f>CurrentMtgRatesDataTable82523[[#This Row],[cum_df_pct]]*100</f>
        <v>0.01</v>
      </c>
      <c r="W41" s="3">
        <f>CurrentMtgRatesDataTable82523[[#This Row],[pct_dq]]*100</f>
        <v>0.25588074191332272</v>
      </c>
    </row>
    <row r="42" spans="3:23">
      <c r="C42" s="40" t="s">
        <v>61</v>
      </c>
      <c r="D42" s="40" t="s">
        <v>62</v>
      </c>
      <c r="E42" s="40">
        <v>33055593115.669998</v>
      </c>
      <c r="F42" s="41">
        <v>41913</v>
      </c>
      <c r="G42" s="40">
        <v>139324</v>
      </c>
      <c r="H42" s="40">
        <v>164700018.77868724</v>
      </c>
      <c r="I42" s="40">
        <v>1498860.31</v>
      </c>
      <c r="J42" s="40">
        <v>4.9825159150029353E-3</v>
      </c>
      <c r="K42" s="40">
        <v>4.5343621720992976E-5</v>
      </c>
      <c r="L42" s="40">
        <v>5.8178000000000001</v>
      </c>
      <c r="M42" s="40">
        <v>5.4300000000000001E-2</v>
      </c>
      <c r="N42" s="40">
        <v>2.5020117939070796E-3</v>
      </c>
      <c r="O42" s="40">
        <v>1730410897.2579999</v>
      </c>
      <c r="P42" s="40">
        <v>6047491.1100000003</v>
      </c>
      <c r="Q42" s="40">
        <v>5.3900000000000003E-2</v>
      </c>
      <c r="R42" s="40">
        <v>1E-4</v>
      </c>
      <c r="S42" s="40">
        <v>1</v>
      </c>
      <c r="T42" s="104">
        <v>41944</v>
      </c>
      <c r="U42" s="40">
        <v>14801292.888687229</v>
      </c>
      <c r="V42" s="3">
        <f>CurrentMtgRatesDataTable82523[[#This Row],[cum_df_pct]]*100</f>
        <v>0.01</v>
      </c>
      <c r="W42" s="3">
        <f>CurrentMtgRatesDataTable82523[[#This Row],[pct_dq]]*100</f>
        <v>0.25020117939070796</v>
      </c>
    </row>
    <row r="43" spans="3:23">
      <c r="C43" s="40" t="s">
        <v>61</v>
      </c>
      <c r="D43" s="40" t="s">
        <v>62</v>
      </c>
      <c r="E43" s="40">
        <v>32833580707.720001</v>
      </c>
      <c r="F43" s="41">
        <v>41944</v>
      </c>
      <c r="G43" s="40">
        <v>138650</v>
      </c>
      <c r="H43" s="40">
        <v>142279027.05726314</v>
      </c>
      <c r="I43" s="40">
        <v>1553912.54</v>
      </c>
      <c r="J43" s="40">
        <v>4.3333387340178144E-3</v>
      </c>
      <c r="K43" s="40">
        <v>4.7326928909542785E-5</v>
      </c>
      <c r="L43" s="40">
        <v>5.0777999999999999</v>
      </c>
      <c r="M43" s="40">
        <v>5.67E-2</v>
      </c>
      <c r="N43" s="40">
        <v>2.1441935921246271E-3</v>
      </c>
      <c r="O43" s="40">
        <v>1872689924.3153</v>
      </c>
      <c r="P43" s="40">
        <v>7601403.6500000004</v>
      </c>
      <c r="Q43" s="40">
        <v>5.8299999999999998E-2</v>
      </c>
      <c r="R43" s="40">
        <v>2.0000000000000001E-4</v>
      </c>
      <c r="S43" s="40">
        <v>1</v>
      </c>
      <c r="T43" s="104">
        <v>41974</v>
      </c>
      <c r="U43" s="40">
        <v>15871856.337263126</v>
      </c>
      <c r="V43" s="3">
        <f>CurrentMtgRatesDataTable82523[[#This Row],[cum_df_pct]]*100</f>
        <v>0.02</v>
      </c>
      <c r="W43" s="3">
        <f>CurrentMtgRatesDataTable82523[[#This Row],[pct_dq]]*100</f>
        <v>0.21441935921246272</v>
      </c>
    </row>
    <row r="44" spans="3:23">
      <c r="C44" s="40" t="s">
        <v>61</v>
      </c>
      <c r="D44" s="40" t="s">
        <v>62</v>
      </c>
      <c r="E44" s="40">
        <v>32634637088.779999</v>
      </c>
      <c r="F44" s="41">
        <v>41974</v>
      </c>
      <c r="G44" s="40">
        <v>138086</v>
      </c>
      <c r="H44" s="40">
        <v>159786619.5055522</v>
      </c>
      <c r="I44" s="40">
        <v>1328887.02</v>
      </c>
      <c r="J44" s="40">
        <v>4.8962278658366901E-3</v>
      </c>
      <c r="K44" s="40">
        <v>4.072014088542998E-5</v>
      </c>
      <c r="L44" s="40">
        <v>5.7198000000000002</v>
      </c>
      <c r="M44" s="40">
        <v>4.8800000000000003E-2</v>
      </c>
      <c r="N44" s="40">
        <v>3.1347728617816361E-3</v>
      </c>
      <c r="O44" s="40">
        <v>2032476543.8208001</v>
      </c>
      <c r="P44" s="40">
        <v>8930290.6699999999</v>
      </c>
      <c r="Q44" s="40">
        <v>6.3299999999999995E-2</v>
      </c>
      <c r="R44" s="40">
        <v>2.0000000000000001E-4</v>
      </c>
      <c r="S44" s="40">
        <v>1</v>
      </c>
      <c r="T44" s="104">
        <v>42005</v>
      </c>
      <c r="U44" s="40">
        <v>17167058.515552197</v>
      </c>
      <c r="V44" s="3">
        <f>CurrentMtgRatesDataTable82523[[#This Row],[cum_df_pct]]*100</f>
        <v>0.02</v>
      </c>
      <c r="W44" s="3">
        <f>CurrentMtgRatesDataTable82523[[#This Row],[pct_dq]]*100</f>
        <v>0.31347728617816362</v>
      </c>
    </row>
    <row r="45" spans="3:23">
      <c r="C45" s="40" t="s">
        <v>61</v>
      </c>
      <c r="D45" s="40" t="s">
        <v>62</v>
      </c>
      <c r="E45" s="40">
        <v>32417706750.169998</v>
      </c>
      <c r="F45" s="41">
        <v>42005</v>
      </c>
      <c r="G45" s="40">
        <v>137459</v>
      </c>
      <c r="H45" s="40">
        <v>121533130.71384099</v>
      </c>
      <c r="I45" s="40">
        <v>753052.33</v>
      </c>
      <c r="J45" s="40">
        <v>3.7489737213815613E-3</v>
      </c>
      <c r="K45" s="40">
        <v>2.3229660746932721E-5</v>
      </c>
      <c r="L45" s="40">
        <v>4.4070999999999998</v>
      </c>
      <c r="M45" s="40">
        <v>2.7799999999999998E-2</v>
      </c>
      <c r="N45" s="40">
        <v>2.4974412994088618E-3</v>
      </c>
      <c r="O45" s="40">
        <v>2154009674.5346999</v>
      </c>
      <c r="P45" s="40">
        <v>9683343</v>
      </c>
      <c r="Q45" s="40">
        <v>6.7100000000000007E-2</v>
      </c>
      <c r="R45" s="40">
        <v>2.9999999999999997E-4</v>
      </c>
      <c r="S45" s="40">
        <v>1</v>
      </c>
      <c r="T45" s="104">
        <v>42036</v>
      </c>
      <c r="U45" s="40">
        <v>18022273.633840989</v>
      </c>
      <c r="V45" s="3">
        <f>CurrentMtgRatesDataTable82523[[#This Row],[cum_df_pct]]*100</f>
        <v>0.03</v>
      </c>
      <c r="W45" s="3">
        <f>CurrentMtgRatesDataTable82523[[#This Row],[pct_dq]]*100</f>
        <v>0.24974412994088618</v>
      </c>
    </row>
    <row r="46" spans="3:23">
      <c r="C46" s="40" t="s">
        <v>61</v>
      </c>
      <c r="D46" s="40" t="s">
        <v>62</v>
      </c>
      <c r="E46" s="40">
        <v>32239798911.360001</v>
      </c>
      <c r="F46" s="41">
        <v>42036</v>
      </c>
      <c r="G46" s="40">
        <v>137023</v>
      </c>
      <c r="H46" s="40">
        <v>145258277.0039669</v>
      </c>
      <c r="I46" s="40">
        <v>2259765.79</v>
      </c>
      <c r="J46" s="40">
        <v>4.5055577859942466E-3</v>
      </c>
      <c r="K46" s="40">
        <v>7.0092428188308275E-5</v>
      </c>
      <c r="L46" s="40">
        <v>5.2746000000000004</v>
      </c>
      <c r="M46" s="40">
        <v>8.4000000000000005E-2</v>
      </c>
      <c r="N46" s="40">
        <v>2.5887270816875988E-3</v>
      </c>
      <c r="O46" s="40">
        <v>2299267951.5386</v>
      </c>
      <c r="P46" s="40">
        <v>11943108.789999999</v>
      </c>
      <c r="Q46" s="40">
        <v>7.1599999999999997E-2</v>
      </c>
      <c r="R46" s="40">
        <v>2.9999999999999997E-4</v>
      </c>
      <c r="S46" s="40">
        <v>1</v>
      </c>
      <c r="T46" s="104">
        <v>42064</v>
      </c>
      <c r="U46" s="40">
        <v>16158561.573966891</v>
      </c>
      <c r="V46" s="3">
        <f>CurrentMtgRatesDataTable82523[[#This Row],[cum_df_pct]]*100</f>
        <v>0.03</v>
      </c>
      <c r="W46" s="3">
        <f>CurrentMtgRatesDataTable82523[[#This Row],[pct_dq]]*100</f>
        <v>0.2588727081687599</v>
      </c>
    </row>
    <row r="47" spans="3:23">
      <c r="C47" s="40" t="s">
        <v>61</v>
      </c>
      <c r="D47" s="40" t="s">
        <v>62</v>
      </c>
      <c r="E47" s="40">
        <v>32038687612.509998</v>
      </c>
      <c r="F47" s="41">
        <v>42064</v>
      </c>
      <c r="G47" s="40">
        <v>136465</v>
      </c>
      <c r="H47" s="40">
        <v>219069654.08820438</v>
      </c>
      <c r="I47" s="40">
        <v>1168297.3</v>
      </c>
      <c r="J47" s="40">
        <v>6.8376600420631851E-3</v>
      </c>
      <c r="K47" s="40">
        <v>3.6465204634156744E-5</v>
      </c>
      <c r="L47" s="40">
        <v>7.9035000000000002</v>
      </c>
      <c r="M47" s="40">
        <v>4.3700000000000003E-2</v>
      </c>
      <c r="N47" s="40">
        <v>3.0448566589197255E-3</v>
      </c>
      <c r="O47" s="40">
        <v>2518337605.6268001</v>
      </c>
      <c r="P47" s="40">
        <v>13111406.09</v>
      </c>
      <c r="Q47" s="40">
        <v>7.85E-2</v>
      </c>
      <c r="R47" s="40">
        <v>4.0000000000000002E-4</v>
      </c>
      <c r="S47" s="40">
        <v>1</v>
      </c>
      <c r="T47" s="104">
        <v>42095</v>
      </c>
      <c r="U47" s="40">
        <v>16363651.868204368</v>
      </c>
      <c r="V47" s="3">
        <f>CurrentMtgRatesDataTable82523[[#This Row],[cum_df_pct]]*100</f>
        <v>0.04</v>
      </c>
      <c r="W47" s="3">
        <f>CurrentMtgRatesDataTable82523[[#This Row],[pct_dq]]*100</f>
        <v>0.30448566589197257</v>
      </c>
    </row>
    <row r="48" spans="3:23">
      <c r="C48" s="40" t="s">
        <v>61</v>
      </c>
      <c r="D48" s="40" t="s">
        <v>62</v>
      </c>
      <c r="E48" s="40">
        <v>31763545472.23</v>
      </c>
      <c r="F48" s="41">
        <v>42095</v>
      </c>
      <c r="G48" s="40">
        <v>135631</v>
      </c>
      <c r="H48" s="40">
        <v>224734858.3046625</v>
      </c>
      <c r="I48" s="40">
        <v>1673286.98</v>
      </c>
      <c r="J48" s="40">
        <v>7.0752447487684288E-3</v>
      </c>
      <c r="K48" s="40">
        <v>5.2679477530709191E-5</v>
      </c>
      <c r="L48" s="40">
        <v>8.1675000000000004</v>
      </c>
      <c r="M48" s="40">
        <v>6.3100000000000003E-2</v>
      </c>
      <c r="N48" s="40">
        <v>2.1134393866292481E-3</v>
      </c>
      <c r="O48" s="40">
        <v>2743072463.9315</v>
      </c>
      <c r="P48" s="40">
        <v>14784693.07</v>
      </c>
      <c r="Q48" s="40">
        <v>8.5500000000000007E-2</v>
      </c>
      <c r="R48" s="40">
        <v>4.0000000000000002E-4</v>
      </c>
      <c r="S48" s="40">
        <v>1</v>
      </c>
      <c r="T48" s="104">
        <v>42125</v>
      </c>
      <c r="U48" s="40">
        <v>20348392.964662503</v>
      </c>
      <c r="V48" s="3">
        <f>CurrentMtgRatesDataTable82523[[#This Row],[cum_df_pct]]*100</f>
        <v>0.04</v>
      </c>
      <c r="W48" s="3">
        <f>CurrentMtgRatesDataTable82523[[#This Row],[pct_dq]]*100</f>
        <v>0.21134393866292481</v>
      </c>
    </row>
    <row r="49" spans="3:23">
      <c r="C49" s="40" t="s">
        <v>61</v>
      </c>
      <c r="D49" s="40" t="s">
        <v>62</v>
      </c>
      <c r="E49" s="40">
        <v>31481839071.779999</v>
      </c>
      <c r="F49" s="41">
        <v>42125</v>
      </c>
      <c r="G49" s="40">
        <v>134755</v>
      </c>
      <c r="H49" s="40">
        <v>237023969.8034279</v>
      </c>
      <c r="I49" s="40">
        <v>2931733.85</v>
      </c>
      <c r="J49" s="40">
        <v>7.5289111688488924E-3</v>
      </c>
      <c r="K49" s="40">
        <v>9.3124605691411981E-5</v>
      </c>
      <c r="L49" s="40">
        <v>8.6698000000000004</v>
      </c>
      <c r="M49" s="40">
        <v>0.1116</v>
      </c>
      <c r="N49" s="40">
        <v>2.2965921277708907E-3</v>
      </c>
      <c r="O49" s="40">
        <v>2980096433.7349</v>
      </c>
      <c r="P49" s="40">
        <v>17716426.920000002</v>
      </c>
      <c r="Q49" s="40">
        <v>9.2899999999999996E-2</v>
      </c>
      <c r="R49" s="40">
        <v>5.0000000000000001E-4</v>
      </c>
      <c r="S49" s="40">
        <v>1</v>
      </c>
      <c r="T49" s="104">
        <v>42156</v>
      </c>
      <c r="U49" s="40">
        <v>16539436.363427904</v>
      </c>
      <c r="V49" s="3">
        <f>CurrentMtgRatesDataTable82523[[#This Row],[cum_df_pct]]*100</f>
        <v>0.05</v>
      </c>
      <c r="W49" s="3">
        <f>CurrentMtgRatesDataTable82523[[#This Row],[pct_dq]]*100</f>
        <v>0.22965921277708906</v>
      </c>
    </row>
    <row r="50" spans="3:23">
      <c r="C50" s="40" t="s">
        <v>61</v>
      </c>
      <c r="D50" s="40" t="s">
        <v>62</v>
      </c>
      <c r="E50" s="40">
        <v>31187038920.860001</v>
      </c>
      <c r="F50" s="41">
        <v>42156</v>
      </c>
      <c r="G50" s="40">
        <v>133785</v>
      </c>
      <c r="H50" s="40">
        <v>263259494.80081221</v>
      </c>
      <c r="I50" s="40">
        <v>577183.81000000006</v>
      </c>
      <c r="J50" s="40">
        <v>8.4413110032298209E-3</v>
      </c>
      <c r="K50" s="40">
        <v>1.8507169323277449E-5</v>
      </c>
      <c r="L50" s="40">
        <v>9.6722000000000001</v>
      </c>
      <c r="M50" s="40">
        <v>2.2200000000000001E-2</v>
      </c>
      <c r="N50" s="40">
        <v>3.2067372969835704E-3</v>
      </c>
      <c r="O50" s="40">
        <v>3243355928.5356998</v>
      </c>
      <c r="P50" s="40">
        <v>18293610.73</v>
      </c>
      <c r="Q50" s="40">
        <v>0.1011</v>
      </c>
      <c r="R50" s="40">
        <v>5.0000000000000001E-4</v>
      </c>
      <c r="S50" s="40">
        <v>1</v>
      </c>
      <c r="T50" s="104">
        <v>42186</v>
      </c>
      <c r="U50" s="40">
        <v>16278028.430812212</v>
      </c>
      <c r="V50" s="3">
        <f>CurrentMtgRatesDataTable82523[[#This Row],[cum_df_pct]]*100</f>
        <v>0.05</v>
      </c>
      <c r="W50" s="3">
        <f>CurrentMtgRatesDataTable82523[[#This Row],[pct_dq]]*100</f>
        <v>0.32067372969835706</v>
      </c>
    </row>
    <row r="51" spans="3:23">
      <c r="C51" s="40" t="s">
        <v>61</v>
      </c>
      <c r="D51" s="40" t="s">
        <v>62</v>
      </c>
      <c r="E51" s="40">
        <v>30868963894.860001</v>
      </c>
      <c r="F51" s="41">
        <v>42186</v>
      </c>
      <c r="G51" s="40">
        <v>132693</v>
      </c>
      <c r="H51" s="40">
        <v>257662161.51114503</v>
      </c>
      <c r="I51" s="40">
        <v>1385892.7</v>
      </c>
      <c r="J51" s="40">
        <v>8.346965009539839E-3</v>
      </c>
      <c r="K51" s="40">
        <v>4.4895990183550194E-5</v>
      </c>
      <c r="L51" s="40">
        <v>9.5690000000000008</v>
      </c>
      <c r="M51" s="40">
        <v>5.3800000000000001E-2</v>
      </c>
      <c r="N51" s="40">
        <v>2.6933136992603642E-3</v>
      </c>
      <c r="O51" s="40">
        <v>3501018090.0468998</v>
      </c>
      <c r="P51" s="40">
        <v>19679503.43</v>
      </c>
      <c r="Q51" s="40">
        <v>0.1091</v>
      </c>
      <c r="R51" s="40">
        <v>5.9999999999999995E-4</v>
      </c>
      <c r="S51" s="40">
        <v>1</v>
      </c>
      <c r="T51" s="104">
        <v>42217</v>
      </c>
      <c r="U51" s="40">
        <v>15483146.661145035</v>
      </c>
      <c r="V51" s="3">
        <f>CurrentMtgRatesDataTable82523[[#This Row],[cum_df_pct]]*100</f>
        <v>0.06</v>
      </c>
      <c r="W51" s="3">
        <f>CurrentMtgRatesDataTable82523[[#This Row],[pct_dq]]*100</f>
        <v>0.2693313699260364</v>
      </c>
    </row>
    <row r="52" spans="3:23">
      <c r="C52" s="40" t="s">
        <v>61</v>
      </c>
      <c r="D52" s="40" t="s">
        <v>62</v>
      </c>
      <c r="E52" s="40">
        <v>30555510851.52</v>
      </c>
      <c r="F52" s="41">
        <v>42217</v>
      </c>
      <c r="G52" s="40">
        <v>131626</v>
      </c>
      <c r="H52" s="40">
        <v>220605129.18851912</v>
      </c>
      <c r="I52" s="40">
        <v>813417.58</v>
      </c>
      <c r="J52" s="40">
        <v>7.2198147908741316E-3</v>
      </c>
      <c r="K52" s="40">
        <v>2.6620977929404708E-5</v>
      </c>
      <c r="L52" s="40">
        <v>8.3277999999999999</v>
      </c>
      <c r="M52" s="40">
        <v>3.1899999999999998E-2</v>
      </c>
      <c r="N52" s="40">
        <v>2.467735371416611E-3</v>
      </c>
      <c r="O52" s="40">
        <v>3721623219.2354002</v>
      </c>
      <c r="P52" s="40">
        <v>20492921.010000002</v>
      </c>
      <c r="Q52" s="40">
        <v>0.11600000000000001</v>
      </c>
      <c r="R52" s="40">
        <v>5.9999999999999995E-4</v>
      </c>
      <c r="S52" s="40">
        <v>1</v>
      </c>
      <c r="T52" s="104">
        <v>42248</v>
      </c>
      <c r="U52" s="40">
        <v>17479731.608519122</v>
      </c>
      <c r="V52" s="3">
        <f>CurrentMtgRatesDataTable82523[[#This Row],[cum_df_pct]]*100</f>
        <v>0.06</v>
      </c>
      <c r="W52" s="3">
        <f>CurrentMtgRatesDataTable82523[[#This Row],[pct_dq]]*100</f>
        <v>0.24677353714166109</v>
      </c>
    </row>
    <row r="53" spans="3:23">
      <c r="C53" s="40" t="s">
        <v>61</v>
      </c>
      <c r="D53" s="40" t="s">
        <v>62</v>
      </c>
      <c r="E53" s="40">
        <v>30281225447.799999</v>
      </c>
      <c r="F53" s="41">
        <v>42248</v>
      </c>
      <c r="G53" s="40">
        <v>130718</v>
      </c>
      <c r="H53" s="40">
        <v>196888879.68217266</v>
      </c>
      <c r="I53" s="40">
        <v>1120041.97</v>
      </c>
      <c r="J53" s="40">
        <v>6.5020116184392089E-3</v>
      </c>
      <c r="K53" s="40">
        <v>3.6988000103588069E-5</v>
      </c>
      <c r="L53" s="40">
        <v>7.5293000000000001</v>
      </c>
      <c r="M53" s="40">
        <v>4.4299999999999999E-2</v>
      </c>
      <c r="N53" s="40">
        <v>2.657795934934567E-3</v>
      </c>
      <c r="O53" s="40">
        <v>3918512098.9176002</v>
      </c>
      <c r="P53" s="40">
        <v>21612962.98</v>
      </c>
      <c r="Q53" s="40">
        <v>0.1221</v>
      </c>
      <c r="R53" s="40">
        <v>5.9999999999999995E-4</v>
      </c>
      <c r="S53" s="40">
        <v>1</v>
      </c>
      <c r="T53" s="104">
        <v>42278</v>
      </c>
      <c r="U53" s="40">
        <v>17431523.612172648</v>
      </c>
      <c r="V53" s="3">
        <f>CurrentMtgRatesDataTable82523[[#This Row],[cum_df_pct]]*100</f>
        <v>0.06</v>
      </c>
      <c r="W53" s="3">
        <f>CurrentMtgRatesDataTable82523[[#This Row],[pct_dq]]*100</f>
        <v>0.2657795934934567</v>
      </c>
    </row>
    <row r="54" spans="3:23">
      <c r="C54" s="40" t="s">
        <v>63</v>
      </c>
      <c r="D54" s="40" t="s">
        <v>64</v>
      </c>
      <c r="E54" s="40">
        <v>32312170855.900002</v>
      </c>
      <c r="F54" s="41">
        <v>41699</v>
      </c>
      <c r="G54" s="40">
        <v>139513</v>
      </c>
      <c r="H54" s="40">
        <v>221484669.732867</v>
      </c>
      <c r="I54" s="40">
        <v>0</v>
      </c>
      <c r="J54" s="40">
        <v>6.8545276861961529E-3</v>
      </c>
      <c r="K54" s="40">
        <v>0</v>
      </c>
      <c r="L54" s="40">
        <v>7.9222999999999999</v>
      </c>
      <c r="M54" s="40">
        <v>0</v>
      </c>
      <c r="N54" s="40">
        <v>1.5133682685102268E-3</v>
      </c>
      <c r="O54" s="40">
        <v>221484669.73280001</v>
      </c>
      <c r="P54" s="40">
        <v>0</v>
      </c>
      <c r="Q54" s="40">
        <v>7.4000000000000003E-3</v>
      </c>
      <c r="R54" s="40">
        <v>0</v>
      </c>
      <c r="S54" s="40">
        <v>1</v>
      </c>
      <c r="T54" s="104">
        <v>41730</v>
      </c>
      <c r="U54" s="40">
        <v>14349742.282866994</v>
      </c>
      <c r="V54" s="3">
        <f>CurrentMtgRatesDataTable82523[[#This Row],[cum_df_pct]]*100</f>
        <v>0</v>
      </c>
      <c r="W54" s="3">
        <f>CurrentMtgRatesDataTable82523[[#This Row],[pct_dq]]*100</f>
        <v>0.15133682685102268</v>
      </c>
    </row>
    <row r="55" spans="3:23">
      <c r="C55" s="40" t="s">
        <v>63</v>
      </c>
      <c r="D55" s="40" t="s">
        <v>64</v>
      </c>
      <c r="E55" s="40">
        <v>32038558514.889999</v>
      </c>
      <c r="F55" s="41">
        <v>41730</v>
      </c>
      <c r="G55" s="40">
        <v>138574</v>
      </c>
      <c r="H55" s="40">
        <v>122877501.33147874</v>
      </c>
      <c r="I55" s="40">
        <v>0</v>
      </c>
      <c r="J55" s="40">
        <v>3.8353005574321055E-3</v>
      </c>
      <c r="K55" s="40">
        <v>0</v>
      </c>
      <c r="L55" s="40">
        <v>4.5065</v>
      </c>
      <c r="M55" s="40">
        <v>0</v>
      </c>
      <c r="N55" s="40">
        <v>1.1308922754174791E-3</v>
      </c>
      <c r="O55" s="40">
        <v>344362171.0643</v>
      </c>
      <c r="P55" s="40">
        <v>0</v>
      </c>
      <c r="Q55" s="40">
        <v>1.1599999999999999E-2</v>
      </c>
      <c r="R55" s="40">
        <v>0</v>
      </c>
      <c r="S55" s="40">
        <v>1</v>
      </c>
      <c r="T55" s="104">
        <v>41760</v>
      </c>
      <c r="U55" s="40">
        <v>17170763.571478743</v>
      </c>
      <c r="V55" s="3">
        <f>CurrentMtgRatesDataTable82523[[#This Row],[cum_df_pct]]*100</f>
        <v>0</v>
      </c>
      <c r="W55" s="3">
        <f>CurrentMtgRatesDataTable82523[[#This Row],[pct_dq]]*100</f>
        <v>0.11308922754174791</v>
      </c>
    </row>
    <row r="56" spans="3:23">
      <c r="C56" s="40" t="s">
        <v>63</v>
      </c>
      <c r="D56" s="40" t="s">
        <v>64</v>
      </c>
      <c r="E56" s="40">
        <v>31865279462.52</v>
      </c>
      <c r="F56" s="41">
        <v>41760</v>
      </c>
      <c r="G56" s="40">
        <v>138094</v>
      </c>
      <c r="H56" s="40">
        <v>144821257.93066663</v>
      </c>
      <c r="I56" s="40">
        <v>0</v>
      </c>
      <c r="J56" s="40">
        <v>4.5447979861907581E-3</v>
      </c>
      <c r="K56" s="40">
        <v>0</v>
      </c>
      <c r="L56" s="40">
        <v>5.3193999999999999</v>
      </c>
      <c r="M56" s="40">
        <v>0</v>
      </c>
      <c r="N56" s="40">
        <v>1.373448526992423E-3</v>
      </c>
      <c r="O56" s="40">
        <v>489183428.995</v>
      </c>
      <c r="P56" s="40">
        <v>0</v>
      </c>
      <c r="Q56" s="40">
        <v>1.6500000000000001E-2</v>
      </c>
      <c r="R56" s="40">
        <v>0</v>
      </c>
      <c r="S56" s="40">
        <v>1</v>
      </c>
      <c r="T56" s="104">
        <v>41791</v>
      </c>
      <c r="U56" s="40">
        <v>16498737.030666625</v>
      </c>
      <c r="V56" s="3">
        <f>CurrentMtgRatesDataTable82523[[#This Row],[cum_df_pct]]*100</f>
        <v>0</v>
      </c>
      <c r="W56" s="3">
        <f>CurrentMtgRatesDataTable82523[[#This Row],[pct_dq]]*100</f>
        <v>0.13734485269924229</v>
      </c>
    </row>
    <row r="57" spans="3:23">
      <c r="C57" s="40" t="s">
        <v>63</v>
      </c>
      <c r="D57" s="40" t="s">
        <v>64</v>
      </c>
      <c r="E57" s="40">
        <v>31667475693.279999</v>
      </c>
      <c r="F57" s="41">
        <v>41791</v>
      </c>
      <c r="G57" s="40">
        <v>137486</v>
      </c>
      <c r="H57" s="40">
        <v>164517874.10917449</v>
      </c>
      <c r="I57" s="40">
        <v>412038.9</v>
      </c>
      <c r="J57" s="40">
        <v>5.1951685604067904E-3</v>
      </c>
      <c r="K57" s="40">
        <v>1.3011422318307384E-5</v>
      </c>
      <c r="L57" s="40">
        <v>6.0590999999999999</v>
      </c>
      <c r="M57" s="40">
        <v>1.5599999999999999E-2</v>
      </c>
      <c r="N57" s="40">
        <v>1.683875900197364E-3</v>
      </c>
      <c r="O57" s="40">
        <v>653701303.10409999</v>
      </c>
      <c r="P57" s="40">
        <v>412038.9</v>
      </c>
      <c r="Q57" s="40">
        <v>2.1999999999999999E-2</v>
      </c>
      <c r="R57" s="40">
        <v>0</v>
      </c>
      <c r="S57" s="40">
        <v>1</v>
      </c>
      <c r="T57" s="104">
        <v>41821</v>
      </c>
      <c r="U57" s="40">
        <v>14501598.819174482</v>
      </c>
      <c r="V57" s="3">
        <f>CurrentMtgRatesDataTable82523[[#This Row],[cum_df_pct]]*100</f>
        <v>0</v>
      </c>
      <c r="W57" s="3">
        <f>CurrentMtgRatesDataTable82523[[#This Row],[pct_dq]]*100</f>
        <v>0.16838759001973638</v>
      </c>
    </row>
    <row r="58" spans="3:23">
      <c r="C58" s="40" t="s">
        <v>63</v>
      </c>
      <c r="D58" s="40" t="s">
        <v>64</v>
      </c>
      <c r="E58" s="40">
        <v>31454431558.75</v>
      </c>
      <c r="F58" s="41">
        <v>41821</v>
      </c>
      <c r="G58" s="40">
        <v>136821</v>
      </c>
      <c r="H58" s="40">
        <v>159979061.93641013</v>
      </c>
      <c r="I58" s="40">
        <v>83561.429999999993</v>
      </c>
      <c r="J58" s="40">
        <v>5.0860579577667528E-3</v>
      </c>
      <c r="K58" s="40">
        <v>2.6565868737422743E-6</v>
      </c>
      <c r="L58" s="40">
        <v>5.9353999999999996</v>
      </c>
      <c r="M58" s="40">
        <v>3.0999999999999999E-3</v>
      </c>
      <c r="N58" s="40">
        <v>2.0143466653230447E-3</v>
      </c>
      <c r="O58" s="40">
        <v>813680365.04050004</v>
      </c>
      <c r="P58" s="40">
        <v>495600.33</v>
      </c>
      <c r="Q58" s="40">
        <v>2.75E-2</v>
      </c>
      <c r="R58" s="40">
        <v>0</v>
      </c>
      <c r="S58" s="40">
        <v>1</v>
      </c>
      <c r="T58" s="104">
        <v>41852</v>
      </c>
      <c r="U58" s="40">
        <v>16469928.516410124</v>
      </c>
      <c r="V58" s="3">
        <f>CurrentMtgRatesDataTable82523[[#This Row],[cum_df_pct]]*100</f>
        <v>0</v>
      </c>
      <c r="W58" s="3">
        <f>CurrentMtgRatesDataTable82523[[#This Row],[pct_dq]]*100</f>
        <v>0.20143466653230446</v>
      </c>
    </row>
    <row r="59" spans="3:23">
      <c r="C59" s="40" t="s">
        <v>63</v>
      </c>
      <c r="D59" s="40" t="s">
        <v>64</v>
      </c>
      <c r="E59" s="40">
        <v>31244385455.200001</v>
      </c>
      <c r="F59" s="41">
        <v>41852</v>
      </c>
      <c r="G59" s="40">
        <v>136164</v>
      </c>
      <c r="H59" s="40">
        <v>143483340.84959134</v>
      </c>
      <c r="I59" s="40">
        <v>681878.67</v>
      </c>
      <c r="J59" s="40">
        <v>4.5922919833173235E-3</v>
      </c>
      <c r="K59" s="40">
        <v>2.1824038465333776E-5</v>
      </c>
      <c r="L59" s="40">
        <v>5.3735999999999997</v>
      </c>
      <c r="M59" s="40">
        <v>2.6100000000000002E-2</v>
      </c>
      <c r="N59" s="40">
        <v>2.1581050002306207E-3</v>
      </c>
      <c r="O59" s="40">
        <v>957163705.8901</v>
      </c>
      <c r="P59" s="40">
        <v>1177479</v>
      </c>
      <c r="Q59" s="40">
        <v>3.2300000000000002E-2</v>
      </c>
      <c r="R59" s="40">
        <v>0</v>
      </c>
      <c r="S59" s="40">
        <v>1</v>
      </c>
      <c r="T59" s="104">
        <v>41883</v>
      </c>
      <c r="U59" s="40">
        <v>14986366.699591346</v>
      </c>
      <c r="V59" s="3">
        <f>CurrentMtgRatesDataTable82523[[#This Row],[cum_df_pct]]*100</f>
        <v>0</v>
      </c>
      <c r="W59" s="3">
        <f>CurrentMtgRatesDataTable82523[[#This Row],[pct_dq]]*100</f>
        <v>0.21581050002306207</v>
      </c>
    </row>
    <row r="60" spans="3:23">
      <c r="C60" s="40" t="s">
        <v>63</v>
      </c>
      <c r="D60" s="40" t="s">
        <v>64</v>
      </c>
      <c r="E60" s="40">
        <v>31050179453.919998</v>
      </c>
      <c r="F60" s="41">
        <v>41883</v>
      </c>
      <c r="G60" s="40">
        <v>135572</v>
      </c>
      <c r="H60" s="40">
        <v>135255855.79489452</v>
      </c>
      <c r="I60" s="40">
        <v>1164150.3500000001</v>
      </c>
      <c r="J60" s="40">
        <v>4.3560410333737653E-3</v>
      </c>
      <c r="K60" s="40">
        <v>3.7492548206610423E-5</v>
      </c>
      <c r="L60" s="40">
        <v>5.1037999999999997</v>
      </c>
      <c r="M60" s="40">
        <v>4.4900000000000002E-2</v>
      </c>
      <c r="N60" s="40">
        <v>2.4979319116369262E-3</v>
      </c>
      <c r="O60" s="40">
        <v>1092419561.6849999</v>
      </c>
      <c r="P60" s="40">
        <v>2341629.35</v>
      </c>
      <c r="Q60" s="40">
        <v>3.6900000000000002E-2</v>
      </c>
      <c r="R60" s="40">
        <v>0</v>
      </c>
      <c r="S60" s="40">
        <v>1</v>
      </c>
      <c r="T60" s="104">
        <v>41913</v>
      </c>
      <c r="U60" s="40">
        <v>14448638.09489453</v>
      </c>
      <c r="V60" s="3">
        <f>CurrentMtgRatesDataTable82523[[#This Row],[cum_df_pct]]*100</f>
        <v>0</v>
      </c>
      <c r="W60" s="3">
        <f>CurrentMtgRatesDataTable82523[[#This Row],[pct_dq]]*100</f>
        <v>0.24979319116369261</v>
      </c>
    </row>
    <row r="61" spans="3:23">
      <c r="C61" s="40" t="s">
        <v>63</v>
      </c>
      <c r="D61" s="40" t="s">
        <v>64</v>
      </c>
      <c r="E61" s="40">
        <v>30864009327.299999</v>
      </c>
      <c r="F61" s="41">
        <v>41913</v>
      </c>
      <c r="G61" s="40">
        <v>135011</v>
      </c>
      <c r="H61" s="40">
        <v>148388314.9740434</v>
      </c>
      <c r="I61" s="40">
        <v>736099.11</v>
      </c>
      <c r="J61" s="40">
        <v>4.807810722205496E-3</v>
      </c>
      <c r="K61" s="40">
        <v>2.3849756594937964E-5</v>
      </c>
      <c r="L61" s="40">
        <v>5.6192000000000002</v>
      </c>
      <c r="M61" s="40">
        <v>2.86E-2</v>
      </c>
      <c r="N61" s="40">
        <v>2.4241376279594707E-3</v>
      </c>
      <c r="O61" s="40">
        <v>1240807876.6591001</v>
      </c>
      <c r="P61" s="40">
        <v>3077728.46</v>
      </c>
      <c r="Q61" s="40">
        <v>4.19E-2</v>
      </c>
      <c r="R61" s="40">
        <v>1E-4</v>
      </c>
      <c r="S61" s="40">
        <v>1</v>
      </c>
      <c r="T61" s="104">
        <v>41944</v>
      </c>
      <c r="U61" s="40">
        <v>13734724.204043385</v>
      </c>
      <c r="V61" s="3">
        <f>CurrentMtgRatesDataTable82523[[#This Row],[cum_df_pct]]*100</f>
        <v>0.01</v>
      </c>
      <c r="W61" s="3">
        <f>CurrentMtgRatesDataTable82523[[#This Row],[pct_dq]]*100</f>
        <v>0.24241376279594706</v>
      </c>
    </row>
    <row r="62" spans="3:23">
      <c r="C62" s="40" t="s">
        <v>63</v>
      </c>
      <c r="D62" s="40" t="s">
        <v>64</v>
      </c>
      <c r="E62" s="40">
        <v>30665146300.130001</v>
      </c>
      <c r="F62" s="41">
        <v>41944</v>
      </c>
      <c r="G62" s="40">
        <v>134366</v>
      </c>
      <c r="H62" s="40">
        <v>139520986.34032962</v>
      </c>
      <c r="I62" s="40">
        <v>1092294.03</v>
      </c>
      <c r="J62" s="40">
        <v>4.5498229480072016E-3</v>
      </c>
      <c r="K62" s="40">
        <v>3.5620049528195775E-5</v>
      </c>
      <c r="L62" s="40">
        <v>5.3251999999999997</v>
      </c>
      <c r="M62" s="40">
        <v>4.2700000000000002E-2</v>
      </c>
      <c r="N62" s="40">
        <v>1.9412218212618683E-3</v>
      </c>
      <c r="O62" s="40">
        <v>1380328862.9993999</v>
      </c>
      <c r="P62" s="40">
        <v>4170022.49</v>
      </c>
      <c r="Q62" s="40">
        <v>4.6600000000000003E-2</v>
      </c>
      <c r="R62" s="40">
        <v>1E-4</v>
      </c>
      <c r="S62" s="40">
        <v>1</v>
      </c>
      <c r="T62" s="104">
        <v>41974</v>
      </c>
      <c r="U62" s="40">
        <v>14730842.970329605</v>
      </c>
      <c r="V62" s="3">
        <f>CurrentMtgRatesDataTable82523[[#This Row],[cum_df_pct]]*100</f>
        <v>0.01</v>
      </c>
      <c r="W62" s="3">
        <f>CurrentMtgRatesDataTable82523[[#This Row],[pct_dq]]*100</f>
        <v>0.19412218212618684</v>
      </c>
    </row>
    <row r="63" spans="3:23">
      <c r="C63" s="40" t="s">
        <v>63</v>
      </c>
      <c r="D63" s="40" t="s">
        <v>64</v>
      </c>
      <c r="E63" s="40">
        <v>30475372228.66</v>
      </c>
      <c r="F63" s="41">
        <v>41974</v>
      </c>
      <c r="G63" s="40">
        <v>133821</v>
      </c>
      <c r="H63" s="40">
        <v>150318649.77106684</v>
      </c>
      <c r="I63" s="40">
        <v>543257.96</v>
      </c>
      <c r="J63" s="40">
        <v>4.9324631260681514E-3</v>
      </c>
      <c r="K63" s="40">
        <v>1.7826130421767355E-5</v>
      </c>
      <c r="L63" s="40">
        <v>5.7609000000000004</v>
      </c>
      <c r="M63" s="40">
        <v>2.1299999999999999E-2</v>
      </c>
      <c r="N63" s="40">
        <v>3.1485687682515661E-3</v>
      </c>
      <c r="O63" s="40">
        <v>1530647512.7704999</v>
      </c>
      <c r="P63" s="40">
        <v>4713280.45</v>
      </c>
      <c r="Q63" s="40">
        <v>5.1700000000000003E-2</v>
      </c>
      <c r="R63" s="40">
        <v>1E-4</v>
      </c>
      <c r="S63" s="40">
        <v>1</v>
      </c>
      <c r="T63" s="104">
        <v>42005</v>
      </c>
      <c r="U63" s="40">
        <v>15227283.681066839</v>
      </c>
      <c r="V63" s="3">
        <f>CurrentMtgRatesDataTable82523[[#This Row],[cum_df_pct]]*100</f>
        <v>0.01</v>
      </c>
      <c r="W63" s="3">
        <f>CurrentMtgRatesDataTable82523[[#This Row],[pct_dq]]*100</f>
        <v>0.31485687682515662</v>
      </c>
    </row>
    <row r="64" spans="3:23">
      <c r="C64" s="40" t="s">
        <v>63</v>
      </c>
      <c r="D64" s="40" t="s">
        <v>64</v>
      </c>
      <c r="E64" s="40">
        <v>30274833486.439999</v>
      </c>
      <c r="F64" s="41">
        <v>42005</v>
      </c>
      <c r="G64" s="40">
        <v>133208</v>
      </c>
      <c r="H64" s="40">
        <v>123410535.8723557</v>
      </c>
      <c r="I64" s="40">
        <v>1663331.74</v>
      </c>
      <c r="J64" s="40">
        <v>4.0763406982116312E-3</v>
      </c>
      <c r="K64" s="40">
        <v>5.4941069807865368E-5</v>
      </c>
      <c r="L64" s="40">
        <v>4.7834000000000003</v>
      </c>
      <c r="M64" s="40">
        <v>6.59E-2</v>
      </c>
      <c r="N64" s="40">
        <v>2.47230211599758E-3</v>
      </c>
      <c r="O64" s="40">
        <v>1654058048.6428001</v>
      </c>
      <c r="P64" s="40">
        <v>6376612.1900000004</v>
      </c>
      <c r="Q64" s="40">
        <v>5.5899999999999998E-2</v>
      </c>
      <c r="R64" s="40">
        <v>2.0000000000000001E-4</v>
      </c>
      <c r="S64" s="40">
        <v>1</v>
      </c>
      <c r="T64" s="104">
        <v>42036</v>
      </c>
      <c r="U64" s="40">
        <v>15041063.782355694</v>
      </c>
      <c r="V64" s="3">
        <f>CurrentMtgRatesDataTable82523[[#This Row],[cum_df_pct]]*100</f>
        <v>0.02</v>
      </c>
      <c r="W64" s="3">
        <f>CurrentMtgRatesDataTable82523[[#This Row],[pct_dq]]*100</f>
        <v>0.247230211599758</v>
      </c>
    </row>
    <row r="65" spans="3:23">
      <c r="C65" s="40" t="s">
        <v>63</v>
      </c>
      <c r="D65" s="40" t="s">
        <v>64</v>
      </c>
      <c r="E65" s="40">
        <v>30100359859.959999</v>
      </c>
      <c r="F65" s="41">
        <v>42036</v>
      </c>
      <c r="G65" s="40">
        <v>132713</v>
      </c>
      <c r="H65" s="40">
        <v>167730791.65303394</v>
      </c>
      <c r="I65" s="40">
        <v>589675.86</v>
      </c>
      <c r="J65" s="40">
        <v>5.5723849293958854E-3</v>
      </c>
      <c r="K65" s="40">
        <v>1.9590325921132812E-5</v>
      </c>
      <c r="L65" s="40">
        <v>6.4855999999999998</v>
      </c>
      <c r="M65" s="40">
        <v>2.35E-2</v>
      </c>
      <c r="N65" s="40">
        <v>2.510955390621049E-3</v>
      </c>
      <c r="O65" s="40">
        <v>1821788840.2959001</v>
      </c>
      <c r="P65" s="40">
        <v>6966288.0499999998</v>
      </c>
      <c r="Q65" s="40">
        <v>6.1499999999999999E-2</v>
      </c>
      <c r="R65" s="40">
        <v>2.0000000000000001E-4</v>
      </c>
      <c r="S65" s="40">
        <v>1</v>
      </c>
      <c r="T65" s="104">
        <v>42064</v>
      </c>
      <c r="U65" s="40">
        <v>14790289.653033936</v>
      </c>
      <c r="V65" s="3">
        <f>CurrentMtgRatesDataTable82523[[#This Row],[cum_df_pct]]*100</f>
        <v>0.02</v>
      </c>
      <c r="W65" s="3">
        <f>CurrentMtgRatesDataTable82523[[#This Row],[pct_dq]]*100</f>
        <v>0.25109553906210491</v>
      </c>
    </row>
    <row r="66" spans="3:23">
      <c r="C66" s="40" t="s">
        <v>63</v>
      </c>
      <c r="D66" s="40" t="s">
        <v>64</v>
      </c>
      <c r="E66" s="40">
        <v>29884165860.82</v>
      </c>
      <c r="F66" s="41">
        <v>42064</v>
      </c>
      <c r="G66" s="40">
        <v>132085</v>
      </c>
      <c r="H66" s="40">
        <v>211909820.3245059</v>
      </c>
      <c r="I66" s="40">
        <v>776531.93</v>
      </c>
      <c r="J66" s="40">
        <v>7.0910401619184169E-3</v>
      </c>
      <c r="K66" s="40">
        <v>2.5984728287767994E-5</v>
      </c>
      <c r="L66" s="40">
        <v>8.1851000000000003</v>
      </c>
      <c r="M66" s="40">
        <v>3.1099999999999999E-2</v>
      </c>
      <c r="N66" s="40">
        <v>3.1281199406860386E-3</v>
      </c>
      <c r="O66" s="40">
        <v>2033698660.6204</v>
      </c>
      <c r="P66" s="40">
        <v>7742819.9800000004</v>
      </c>
      <c r="Q66" s="40">
        <v>6.8699999999999997E-2</v>
      </c>
      <c r="R66" s="40">
        <v>2.0000000000000001E-4</v>
      </c>
      <c r="S66" s="40">
        <v>1</v>
      </c>
      <c r="T66" s="104">
        <v>42095</v>
      </c>
      <c r="U66" s="40">
        <v>14910383.734505886</v>
      </c>
      <c r="V66" s="3">
        <f>CurrentMtgRatesDataTable82523[[#This Row],[cum_df_pct]]*100</f>
        <v>0.02</v>
      </c>
      <c r="W66" s="3">
        <f>CurrentMtgRatesDataTable82523[[#This Row],[pct_dq]]*100</f>
        <v>0.31281199406860388</v>
      </c>
    </row>
    <row r="67" spans="3:23">
      <c r="C67" s="40" t="s">
        <v>63</v>
      </c>
      <c r="D67" s="40" t="s">
        <v>64</v>
      </c>
      <c r="E67" s="40">
        <v>29622381783.93</v>
      </c>
      <c r="F67" s="41">
        <v>42095</v>
      </c>
      <c r="G67" s="40">
        <v>131250</v>
      </c>
      <c r="H67" s="40">
        <v>224890956.46533403</v>
      </c>
      <c r="I67" s="40">
        <v>564733.91</v>
      </c>
      <c r="J67" s="40">
        <v>7.5919268783219956E-3</v>
      </c>
      <c r="K67" s="40">
        <v>1.9064432904796516E-5</v>
      </c>
      <c r="L67" s="40">
        <v>8.7393000000000001</v>
      </c>
      <c r="M67" s="40">
        <v>2.2800000000000001E-2</v>
      </c>
      <c r="N67" s="40">
        <v>2.3417835714895979E-3</v>
      </c>
      <c r="O67" s="40">
        <v>2258589617.0857</v>
      </c>
      <c r="P67" s="40">
        <v>8307553.8899999997</v>
      </c>
      <c r="Q67" s="40">
        <v>7.6300000000000007E-2</v>
      </c>
      <c r="R67" s="40">
        <v>2.0000000000000001E-4</v>
      </c>
      <c r="S67" s="40">
        <v>1</v>
      </c>
      <c r="T67" s="104">
        <v>42125</v>
      </c>
      <c r="U67" s="40">
        <v>18407373.545334037</v>
      </c>
      <c r="V67" s="3">
        <f>CurrentMtgRatesDataTable82523[[#This Row],[cum_df_pct]]*100</f>
        <v>0.02</v>
      </c>
      <c r="W67" s="3">
        <f>CurrentMtgRatesDataTable82523[[#This Row],[pct_dq]]*100</f>
        <v>0.23417835714895979</v>
      </c>
    </row>
    <row r="68" spans="3:23">
      <c r="C68" s="40" t="s">
        <v>63</v>
      </c>
      <c r="D68" s="40" t="s">
        <v>64</v>
      </c>
      <c r="E68" s="40">
        <v>29346853284.540001</v>
      </c>
      <c r="F68" s="41">
        <v>42125</v>
      </c>
      <c r="G68" s="40">
        <v>130339</v>
      </c>
      <c r="H68" s="40">
        <v>253339747.24867108</v>
      </c>
      <c r="I68" s="40">
        <v>1555789.72</v>
      </c>
      <c r="J68" s="40">
        <v>8.6326034615142582E-3</v>
      </c>
      <c r="K68" s="40">
        <v>5.3013851431205883E-5</v>
      </c>
      <c r="L68" s="40">
        <v>9.8811</v>
      </c>
      <c r="M68" s="40">
        <v>6.3500000000000001E-2</v>
      </c>
      <c r="N68" s="40">
        <v>2.4385021377300183E-3</v>
      </c>
      <c r="O68" s="40">
        <v>2511929364.3344002</v>
      </c>
      <c r="P68" s="40">
        <v>9863343.6099999994</v>
      </c>
      <c r="Q68" s="40">
        <v>8.48E-2</v>
      </c>
      <c r="R68" s="40">
        <v>2.9999999999999997E-4</v>
      </c>
      <c r="S68" s="40">
        <v>1</v>
      </c>
      <c r="T68" s="104">
        <v>42156</v>
      </c>
      <c r="U68" s="40">
        <v>15998811.388671072</v>
      </c>
      <c r="V68" s="3">
        <f>CurrentMtgRatesDataTable82523[[#This Row],[cum_df_pct]]*100</f>
        <v>0.03</v>
      </c>
      <c r="W68" s="3">
        <f>CurrentMtgRatesDataTable82523[[#This Row],[pct_dq]]*100</f>
        <v>0.24385021377300184</v>
      </c>
    </row>
    <row r="69" spans="3:23">
      <c r="C69" s="40" t="s">
        <v>63</v>
      </c>
      <c r="D69" s="40" t="s">
        <v>64</v>
      </c>
      <c r="E69" s="40">
        <v>29042673167.91</v>
      </c>
      <c r="F69" s="41">
        <v>42156</v>
      </c>
      <c r="G69" s="40">
        <v>129302</v>
      </c>
      <c r="H69" s="40">
        <v>263455147.37822482</v>
      </c>
      <c r="I69" s="40">
        <v>651600.99</v>
      </c>
      <c r="J69" s="40">
        <v>9.0713119228061703E-3</v>
      </c>
      <c r="K69" s="40">
        <v>2.2435985359638686E-5</v>
      </c>
      <c r="L69" s="40">
        <v>10.358499999999999</v>
      </c>
      <c r="M69" s="40">
        <v>2.69E-2</v>
      </c>
      <c r="N69" s="40">
        <v>2.8050422056194813E-3</v>
      </c>
      <c r="O69" s="40">
        <v>2775384511.7126002</v>
      </c>
      <c r="P69" s="40">
        <v>10514944.6</v>
      </c>
      <c r="Q69" s="40">
        <v>9.3799999999999994E-2</v>
      </c>
      <c r="R69" s="40">
        <v>2.9999999999999997E-4</v>
      </c>
      <c r="S69" s="40">
        <v>1</v>
      </c>
      <c r="T69" s="104">
        <v>42186</v>
      </c>
      <c r="U69" s="40">
        <v>14933591.908224819</v>
      </c>
      <c r="V69" s="3">
        <f>CurrentMtgRatesDataTable82523[[#This Row],[cum_df_pct]]*100</f>
        <v>0.03</v>
      </c>
      <c r="W69" s="3">
        <f>CurrentMtgRatesDataTable82523[[#This Row],[pct_dq]]*100</f>
        <v>0.28050422056194813</v>
      </c>
    </row>
    <row r="70" spans="3:23">
      <c r="C70" s="40" t="s">
        <v>63</v>
      </c>
      <c r="D70" s="40" t="s">
        <v>64</v>
      </c>
      <c r="E70" s="40">
        <v>28730000635.919998</v>
      </c>
      <c r="F70" s="41">
        <v>42186</v>
      </c>
      <c r="G70" s="40">
        <v>128194</v>
      </c>
      <c r="H70" s="40">
        <v>261802104.10077462</v>
      </c>
      <c r="I70" s="40">
        <v>718587.41</v>
      </c>
      <c r="J70" s="40">
        <v>9.1124990708650964E-3</v>
      </c>
      <c r="K70" s="40">
        <v>2.5011743616238496E-5</v>
      </c>
      <c r="L70" s="40">
        <v>10.4032</v>
      </c>
      <c r="M70" s="40">
        <v>0.03</v>
      </c>
      <c r="N70" s="40">
        <v>3.2520699489016246E-3</v>
      </c>
      <c r="O70" s="40">
        <v>3037186615.8133998</v>
      </c>
      <c r="P70" s="40">
        <v>11233532.01</v>
      </c>
      <c r="Q70" s="40">
        <v>0.1026</v>
      </c>
      <c r="R70" s="40">
        <v>2.9999999999999997E-4</v>
      </c>
      <c r="S70" s="40">
        <v>1</v>
      </c>
      <c r="T70" s="104">
        <v>42217</v>
      </c>
      <c r="U70" s="40">
        <v>14911561.940774625</v>
      </c>
      <c r="V70" s="3">
        <f>CurrentMtgRatesDataTable82523[[#This Row],[cum_df_pct]]*100</f>
        <v>0.03</v>
      </c>
      <c r="W70" s="3">
        <f>CurrentMtgRatesDataTable82523[[#This Row],[pct_dq]]*100</f>
        <v>0.32520699489016247</v>
      </c>
    </row>
    <row r="71" spans="3:23">
      <c r="C71" s="40" t="s">
        <v>63</v>
      </c>
      <c r="D71" s="40" t="s">
        <v>64</v>
      </c>
      <c r="E71" s="40">
        <v>28419059377.82</v>
      </c>
      <c r="F71" s="41">
        <v>42217</v>
      </c>
      <c r="G71" s="40">
        <v>127071</v>
      </c>
      <c r="H71" s="40">
        <v>210685989.4539184</v>
      </c>
      <c r="I71" s="40">
        <v>1465843.73</v>
      </c>
      <c r="J71" s="40">
        <v>7.4135454890653704E-3</v>
      </c>
      <c r="K71" s="40">
        <v>5.157960052485184E-5</v>
      </c>
      <c r="L71" s="40">
        <v>8.5422999999999991</v>
      </c>
      <c r="M71" s="40">
        <v>6.1800000000000001E-2</v>
      </c>
      <c r="N71" s="40">
        <v>2.9936563011793171E-3</v>
      </c>
      <c r="O71" s="40">
        <v>3247872605.2673001</v>
      </c>
      <c r="P71" s="40">
        <v>12699375.74</v>
      </c>
      <c r="Q71" s="40">
        <v>0.10970000000000001</v>
      </c>
      <c r="R71" s="40">
        <v>4.0000000000000002E-4</v>
      </c>
      <c r="S71" s="40">
        <v>1</v>
      </c>
      <c r="T71" s="104">
        <v>42248</v>
      </c>
      <c r="U71" s="40">
        <v>14573061.583918383</v>
      </c>
      <c r="V71" s="3">
        <f>CurrentMtgRatesDataTable82523[[#This Row],[cum_df_pct]]*100</f>
        <v>0.04</v>
      </c>
      <c r="W71" s="3">
        <f>CurrentMtgRatesDataTable82523[[#This Row],[pct_dq]]*100</f>
        <v>0.29936563011793171</v>
      </c>
    </row>
    <row r="72" spans="3:23">
      <c r="C72" s="40" t="s">
        <v>63</v>
      </c>
      <c r="D72" s="40" t="s">
        <v>64</v>
      </c>
      <c r="E72" s="40">
        <v>28159710844.290001</v>
      </c>
      <c r="F72" s="41">
        <v>42248</v>
      </c>
      <c r="G72" s="40">
        <v>126169</v>
      </c>
      <c r="H72" s="40">
        <v>201701309.55321351</v>
      </c>
      <c r="I72" s="40">
        <v>534949.53</v>
      </c>
      <c r="J72" s="40">
        <v>7.1627620989621376E-3</v>
      </c>
      <c r="K72" s="40">
        <v>1.8996982353903422E-5</v>
      </c>
      <c r="L72" s="40">
        <v>8.2645999999999997</v>
      </c>
      <c r="M72" s="40">
        <v>2.2700000000000001E-2</v>
      </c>
      <c r="N72" s="40">
        <v>3.3311377573687264E-3</v>
      </c>
      <c r="O72" s="40">
        <v>3449573914.8204999</v>
      </c>
      <c r="P72" s="40">
        <v>13234325.27</v>
      </c>
      <c r="Q72" s="40">
        <v>0.11650000000000001</v>
      </c>
      <c r="R72" s="40">
        <v>4.0000000000000002E-4</v>
      </c>
      <c r="S72" s="40">
        <v>1</v>
      </c>
      <c r="T72" s="104">
        <v>42278</v>
      </c>
      <c r="U72" s="40">
        <v>15553634.853213517</v>
      </c>
      <c r="V72" s="3">
        <f>CurrentMtgRatesDataTable82523[[#This Row],[cum_df_pct]]*100</f>
        <v>0.04</v>
      </c>
      <c r="W72" s="3">
        <f>CurrentMtgRatesDataTable82523[[#This Row],[pct_dq]]*100</f>
        <v>0.33311377573687262</v>
      </c>
    </row>
    <row r="73" spans="3:23">
      <c r="C73" s="40" t="s">
        <v>65</v>
      </c>
      <c r="D73" s="40" t="s">
        <v>66</v>
      </c>
      <c r="E73" s="40">
        <v>28039544680.09</v>
      </c>
      <c r="F73" s="41">
        <v>41760</v>
      </c>
      <c r="G73" s="40">
        <v>116677</v>
      </c>
      <c r="H73" s="40">
        <v>383703000.69896942</v>
      </c>
      <c r="I73" s="40">
        <v>0</v>
      </c>
      <c r="J73" s="40">
        <v>1.3684352049105307E-2</v>
      </c>
      <c r="K73" s="40">
        <v>0</v>
      </c>
      <c r="L73" s="40">
        <v>15.2399</v>
      </c>
      <c r="M73" s="40">
        <v>0</v>
      </c>
      <c r="N73" s="40">
        <v>1.5725828401668065E-3</v>
      </c>
      <c r="O73" s="40">
        <v>383703000.69889998</v>
      </c>
      <c r="P73" s="40">
        <v>0</v>
      </c>
      <c r="Q73" s="40">
        <v>1.6E-2</v>
      </c>
      <c r="R73" s="40">
        <v>0</v>
      </c>
      <c r="S73" s="40">
        <v>1</v>
      </c>
      <c r="T73" s="104">
        <v>41791</v>
      </c>
      <c r="U73" s="40">
        <v>14143086.328969413</v>
      </c>
      <c r="V73" s="3">
        <f>CurrentMtgRatesDataTable82523[[#This Row],[cum_df_pct]]*100</f>
        <v>0</v>
      </c>
      <c r="W73" s="3">
        <f>CurrentMtgRatesDataTable82523[[#This Row],[pct_dq]]*100</f>
        <v>0.15725828401668066</v>
      </c>
    </row>
    <row r="74" spans="3:23">
      <c r="C74" s="40" t="s">
        <v>65</v>
      </c>
      <c r="D74" s="40" t="s">
        <v>66</v>
      </c>
      <c r="E74" s="40">
        <v>27609728254.779999</v>
      </c>
      <c r="F74" s="41">
        <v>41791</v>
      </c>
      <c r="G74" s="40">
        <v>115265</v>
      </c>
      <c r="H74" s="40">
        <v>221408131.80500329</v>
      </c>
      <c r="I74" s="40">
        <v>0</v>
      </c>
      <c r="J74" s="40">
        <v>8.01920720703477E-3</v>
      </c>
      <c r="K74" s="40">
        <v>0</v>
      </c>
      <c r="L74" s="40">
        <v>9.2096999999999998</v>
      </c>
      <c r="M74" s="40">
        <v>0</v>
      </c>
      <c r="N74" s="40">
        <v>1.6088244911396338E-3</v>
      </c>
      <c r="O74" s="40">
        <v>605111132.50390005</v>
      </c>
      <c r="P74" s="40">
        <v>0</v>
      </c>
      <c r="Q74" s="40">
        <v>2.53E-2</v>
      </c>
      <c r="R74" s="40">
        <v>0</v>
      </c>
      <c r="S74" s="40">
        <v>1</v>
      </c>
      <c r="T74" s="104">
        <v>41821</v>
      </c>
      <c r="U74" s="40">
        <v>13971598.695003282</v>
      </c>
      <c r="V74" s="3">
        <f>CurrentMtgRatesDataTable82523[[#This Row],[cum_df_pct]]*100</f>
        <v>0</v>
      </c>
      <c r="W74" s="3">
        <f>CurrentMtgRatesDataTable82523[[#This Row],[pct_dq]]*100</f>
        <v>0.16088244911396338</v>
      </c>
    </row>
    <row r="75" spans="3:23">
      <c r="C75" s="40" t="s">
        <v>65</v>
      </c>
      <c r="D75" s="40" t="s">
        <v>66</v>
      </c>
      <c r="E75" s="40">
        <v>27348284475.400002</v>
      </c>
      <c r="F75" s="41">
        <v>41821</v>
      </c>
      <c r="G75" s="40">
        <v>114528</v>
      </c>
      <c r="H75" s="40">
        <v>217149634.09621337</v>
      </c>
      <c r="I75" s="40">
        <v>0</v>
      </c>
      <c r="J75" s="40">
        <v>7.9401555988472036E-3</v>
      </c>
      <c r="K75" s="40">
        <v>0</v>
      </c>
      <c r="L75" s="40">
        <v>9.1228999999999996</v>
      </c>
      <c r="M75" s="40">
        <v>0</v>
      </c>
      <c r="N75" s="40">
        <v>1.8208898837802382E-3</v>
      </c>
      <c r="O75" s="40">
        <v>822260766.60010004</v>
      </c>
      <c r="P75" s="40">
        <v>0</v>
      </c>
      <c r="Q75" s="40">
        <v>3.4299999999999997E-2</v>
      </c>
      <c r="R75" s="40">
        <v>0</v>
      </c>
      <c r="S75" s="40">
        <v>1</v>
      </c>
      <c r="T75" s="104">
        <v>41852</v>
      </c>
      <c r="U75" s="40">
        <v>14428234.586213375</v>
      </c>
      <c r="V75" s="3">
        <f>CurrentMtgRatesDataTable82523[[#This Row],[cum_df_pct]]*100</f>
        <v>0</v>
      </c>
      <c r="W75" s="3">
        <f>CurrentMtgRatesDataTable82523[[#This Row],[pct_dq]]*100</f>
        <v>0.18208898837802381</v>
      </c>
    </row>
    <row r="76" spans="3:23">
      <c r="C76" s="40" t="s">
        <v>65</v>
      </c>
      <c r="D76" s="40" t="s">
        <v>66</v>
      </c>
      <c r="E76" s="40">
        <v>27089577370.52</v>
      </c>
      <c r="F76" s="41">
        <v>41852</v>
      </c>
      <c r="G76" s="40">
        <v>113774</v>
      </c>
      <c r="H76" s="40">
        <v>195946951.45562413</v>
      </c>
      <c r="I76" s="40">
        <v>968154.6</v>
      </c>
      <c r="J76" s="40">
        <v>7.2332967316375242E-3</v>
      </c>
      <c r="K76" s="40">
        <v>3.5739007174530004E-5</v>
      </c>
      <c r="L76" s="40">
        <v>8.3428000000000004</v>
      </c>
      <c r="M76" s="40">
        <v>4.2799999999999998E-2</v>
      </c>
      <c r="N76" s="40">
        <v>1.761613143582386E-3</v>
      </c>
      <c r="O76" s="40">
        <v>1018207718.0558</v>
      </c>
      <c r="P76" s="40">
        <v>968154.6</v>
      </c>
      <c r="Q76" s="40">
        <v>4.2500000000000003E-2</v>
      </c>
      <c r="R76" s="40">
        <v>0</v>
      </c>
      <c r="S76" s="40">
        <v>1</v>
      </c>
      <c r="T76" s="104">
        <v>41883</v>
      </c>
      <c r="U76" s="40">
        <v>13464111.245624145</v>
      </c>
      <c r="V76" s="3">
        <f>CurrentMtgRatesDataTable82523[[#This Row],[cum_df_pct]]*100</f>
        <v>0</v>
      </c>
      <c r="W76" s="3">
        <f>CurrentMtgRatesDataTable82523[[#This Row],[pct_dq]]*100</f>
        <v>0.17616131435823859</v>
      </c>
    </row>
    <row r="77" spans="3:23">
      <c r="C77" s="40" t="s">
        <v>65</v>
      </c>
      <c r="D77" s="40" t="s">
        <v>66</v>
      </c>
      <c r="E77" s="40">
        <v>26851958095.509998</v>
      </c>
      <c r="F77" s="41">
        <v>41883</v>
      </c>
      <c r="G77" s="40">
        <v>113066</v>
      </c>
      <c r="H77" s="40">
        <v>174791170.75765356</v>
      </c>
      <c r="I77" s="40">
        <v>77670.52</v>
      </c>
      <c r="J77" s="40">
        <v>6.509438534647533E-3</v>
      </c>
      <c r="K77" s="40">
        <v>2.8925458517301774E-6</v>
      </c>
      <c r="L77" s="40">
        <v>7.5376000000000003</v>
      </c>
      <c r="M77" s="40">
        <v>3.3999999999999998E-3</v>
      </c>
      <c r="N77" s="40">
        <v>2.2266552669020319E-3</v>
      </c>
      <c r="O77" s="40">
        <v>1192998888.8134</v>
      </c>
      <c r="P77" s="40">
        <v>1045825.12</v>
      </c>
      <c r="Q77" s="40">
        <v>4.9799999999999997E-2</v>
      </c>
      <c r="R77" s="40">
        <v>0</v>
      </c>
      <c r="S77" s="40">
        <v>1</v>
      </c>
      <c r="T77" s="104">
        <v>41913</v>
      </c>
      <c r="U77" s="40">
        <v>12355167.337653574</v>
      </c>
      <c r="V77" s="3">
        <f>CurrentMtgRatesDataTable82523[[#This Row],[cum_df_pct]]*100</f>
        <v>0</v>
      </c>
      <c r="W77" s="3">
        <f>CurrentMtgRatesDataTable82523[[#This Row],[pct_dq]]*100</f>
        <v>0.22266552669020317</v>
      </c>
    </row>
    <row r="78" spans="3:23">
      <c r="C78" s="40" t="s">
        <v>65</v>
      </c>
      <c r="D78" s="40" t="s">
        <v>66</v>
      </c>
      <c r="E78" s="40">
        <v>26637069814.950001</v>
      </c>
      <c r="F78" s="41">
        <v>41913</v>
      </c>
      <c r="G78" s="40">
        <v>112446</v>
      </c>
      <c r="H78" s="40">
        <v>185568064.55472222</v>
      </c>
      <c r="I78" s="40">
        <v>867798.01</v>
      </c>
      <c r="J78" s="40">
        <v>6.9665344515699142E-3</v>
      </c>
      <c r="K78" s="40">
        <v>3.2578583756722003E-5</v>
      </c>
      <c r="L78" s="40">
        <v>8.0467999999999993</v>
      </c>
      <c r="M78" s="40">
        <v>3.9E-2</v>
      </c>
      <c r="N78" s="40">
        <v>2.3712214274615984E-3</v>
      </c>
      <c r="O78" s="40">
        <v>1378566953.3680999</v>
      </c>
      <c r="P78" s="40">
        <v>1913623.13</v>
      </c>
      <c r="Q78" s="40">
        <v>5.7599999999999998E-2</v>
      </c>
      <c r="R78" s="40">
        <v>0</v>
      </c>
      <c r="S78" s="40">
        <v>1</v>
      </c>
      <c r="T78" s="104">
        <v>41944</v>
      </c>
      <c r="U78" s="40">
        <v>12970217.834722212</v>
      </c>
      <c r="V78" s="3">
        <f>CurrentMtgRatesDataTable82523[[#This Row],[cum_df_pct]]*100</f>
        <v>0</v>
      </c>
      <c r="W78" s="3">
        <f>CurrentMtgRatesDataTable82523[[#This Row],[pct_dq]]*100</f>
        <v>0.23712214274615984</v>
      </c>
    </row>
    <row r="79" spans="3:23">
      <c r="C79" s="40" t="s">
        <v>65</v>
      </c>
      <c r="D79" s="40" t="s">
        <v>66</v>
      </c>
      <c r="E79" s="40">
        <v>26409684178.889999</v>
      </c>
      <c r="F79" s="41">
        <v>41944</v>
      </c>
      <c r="G79" s="40">
        <v>111769</v>
      </c>
      <c r="H79" s="40">
        <v>252079130.48196706</v>
      </c>
      <c r="I79" s="40">
        <v>552007.49</v>
      </c>
      <c r="J79" s="40">
        <v>9.5449505860982983E-3</v>
      </c>
      <c r="K79" s="40">
        <v>2.0901707353291072E-5</v>
      </c>
      <c r="L79" s="40">
        <v>10.8713</v>
      </c>
      <c r="M79" s="40">
        <v>2.5000000000000001E-2</v>
      </c>
      <c r="N79" s="40">
        <v>2.269243128545389E-3</v>
      </c>
      <c r="O79" s="40">
        <v>1630646083.8501</v>
      </c>
      <c r="P79" s="40">
        <v>2465630.62</v>
      </c>
      <c r="Q79" s="40">
        <v>6.8099999999999994E-2</v>
      </c>
      <c r="R79" s="40">
        <v>1E-4</v>
      </c>
      <c r="S79" s="40">
        <v>1</v>
      </c>
      <c r="T79" s="104">
        <v>41974</v>
      </c>
      <c r="U79" s="40">
        <v>12566634.521967068</v>
      </c>
      <c r="V79" s="3">
        <f>CurrentMtgRatesDataTable82523[[#This Row],[cum_df_pct]]*100</f>
        <v>0.01</v>
      </c>
      <c r="W79" s="3">
        <f>CurrentMtgRatesDataTable82523[[#This Row],[pct_dq]]*100</f>
        <v>0.2269243128545389</v>
      </c>
    </row>
    <row r="80" spans="3:23">
      <c r="C80" s="40" t="s">
        <v>65</v>
      </c>
      <c r="D80" s="40" t="s">
        <v>66</v>
      </c>
      <c r="E80" s="40">
        <v>26117688939.689999</v>
      </c>
      <c r="F80" s="41">
        <v>41974</v>
      </c>
      <c r="G80" s="40">
        <v>110925</v>
      </c>
      <c r="H80" s="40">
        <v>273443403.60795206</v>
      </c>
      <c r="I80" s="40">
        <v>491931.43</v>
      </c>
      <c r="J80" s="40">
        <v>1.046966307927847E-2</v>
      </c>
      <c r="K80" s="40">
        <v>1.8835182206815843E-5</v>
      </c>
      <c r="L80" s="40">
        <v>11.864800000000001</v>
      </c>
      <c r="M80" s="40">
        <v>2.2499999999999999E-2</v>
      </c>
      <c r="N80" s="40">
        <v>3.5758023853357255E-3</v>
      </c>
      <c r="O80" s="40">
        <v>1904089487.4581001</v>
      </c>
      <c r="P80" s="40">
        <v>2957562.05</v>
      </c>
      <c r="Q80" s="40">
        <v>7.9600000000000004E-2</v>
      </c>
      <c r="R80" s="40">
        <v>1E-4</v>
      </c>
      <c r="S80" s="40">
        <v>1</v>
      </c>
      <c r="T80" s="104">
        <v>42005</v>
      </c>
      <c r="U80" s="40">
        <v>13156773.95795206</v>
      </c>
      <c r="V80" s="3">
        <f>CurrentMtgRatesDataTable82523[[#This Row],[cum_df_pct]]*100</f>
        <v>0.01</v>
      </c>
      <c r="W80" s="3">
        <f>CurrentMtgRatesDataTable82523[[#This Row],[pct_dq]]*100</f>
        <v>0.35758023853357257</v>
      </c>
    </row>
    <row r="81" spans="3:23">
      <c r="C81" s="40" t="s">
        <v>65</v>
      </c>
      <c r="D81" s="40" t="s">
        <v>66</v>
      </c>
      <c r="E81" s="40">
        <v>25803566156.799999</v>
      </c>
      <c r="F81" s="41">
        <v>42005</v>
      </c>
      <c r="G81" s="40">
        <v>110015</v>
      </c>
      <c r="H81" s="40">
        <v>229515555.51209578</v>
      </c>
      <c r="I81" s="40">
        <v>701717.69</v>
      </c>
      <c r="J81" s="40">
        <v>8.8947223076610155E-3</v>
      </c>
      <c r="K81" s="40">
        <v>2.7194601154580204E-5</v>
      </c>
      <c r="L81" s="40">
        <v>10.166600000000001</v>
      </c>
      <c r="M81" s="40">
        <v>3.2599999999999997E-2</v>
      </c>
      <c r="N81" s="40">
        <v>2.8644847975992458E-3</v>
      </c>
      <c r="O81" s="40">
        <v>2133605042.9702001</v>
      </c>
      <c r="P81" s="40">
        <v>3659279.74</v>
      </c>
      <c r="Q81" s="40">
        <v>8.9200000000000002E-2</v>
      </c>
      <c r="R81" s="40">
        <v>1E-4</v>
      </c>
      <c r="S81" s="40">
        <v>1</v>
      </c>
      <c r="T81" s="104">
        <v>42036</v>
      </c>
      <c r="U81" s="40">
        <v>12577981.742095789</v>
      </c>
      <c r="V81" s="3">
        <f>CurrentMtgRatesDataTable82523[[#This Row],[cum_df_pct]]*100</f>
        <v>0.01</v>
      </c>
      <c r="W81" s="3">
        <f>CurrentMtgRatesDataTable82523[[#This Row],[pct_dq]]*100</f>
        <v>0.2864484797599246</v>
      </c>
    </row>
    <row r="82" spans="3:23">
      <c r="C82" s="40" t="s">
        <v>65</v>
      </c>
      <c r="D82" s="40" t="s">
        <v>66</v>
      </c>
      <c r="E82" s="40">
        <v>25533693163.25</v>
      </c>
      <c r="F82" s="41">
        <v>42036</v>
      </c>
      <c r="G82" s="40">
        <v>109248</v>
      </c>
      <c r="H82" s="40">
        <v>421595000.77826172</v>
      </c>
      <c r="I82" s="40">
        <v>773623.07</v>
      </c>
      <c r="J82" s="40">
        <v>1.6511320868578962E-2</v>
      </c>
      <c r="K82" s="40">
        <v>3.0298126677321248E-5</v>
      </c>
      <c r="L82" s="40">
        <v>18.1097</v>
      </c>
      <c r="M82" s="40">
        <v>3.6299999999999999E-2</v>
      </c>
      <c r="N82" s="40">
        <v>2.8439285894025848E-3</v>
      </c>
      <c r="O82" s="40">
        <v>2555200043.7484002</v>
      </c>
      <c r="P82" s="40">
        <v>4432902.8099999996</v>
      </c>
      <c r="Q82" s="40">
        <v>0.10680000000000001</v>
      </c>
      <c r="R82" s="40">
        <v>1E-4</v>
      </c>
      <c r="S82" s="40">
        <v>1</v>
      </c>
      <c r="T82" s="104">
        <v>42064</v>
      </c>
      <c r="U82" s="40">
        <v>13057796.708261721</v>
      </c>
      <c r="V82" s="3">
        <f>CurrentMtgRatesDataTable82523[[#This Row],[cum_df_pct]]*100</f>
        <v>0.01</v>
      </c>
      <c r="W82" s="3">
        <f>CurrentMtgRatesDataTable82523[[#This Row],[pct_dq]]*100</f>
        <v>0.28439285894025845</v>
      </c>
    </row>
    <row r="83" spans="3:23">
      <c r="C83" s="40" t="s">
        <v>65</v>
      </c>
      <c r="D83" s="40" t="s">
        <v>66</v>
      </c>
      <c r="E83" s="40">
        <v>25073337969.040001</v>
      </c>
      <c r="F83" s="41">
        <v>42064</v>
      </c>
      <c r="G83" s="40">
        <v>107817</v>
      </c>
      <c r="H83" s="40">
        <v>472407407.25592828</v>
      </c>
      <c r="I83" s="40">
        <v>726228</v>
      </c>
      <c r="J83" s="40">
        <v>1.8841025787601415E-2</v>
      </c>
      <c r="K83" s="40">
        <v>2.8964153113427904E-5</v>
      </c>
      <c r="L83" s="40">
        <v>20.407399999999999</v>
      </c>
      <c r="M83" s="40">
        <v>3.4700000000000002E-2</v>
      </c>
      <c r="N83" s="40">
        <v>3.4115434528749775E-3</v>
      </c>
      <c r="O83" s="40">
        <v>3027607451.0043001</v>
      </c>
      <c r="P83" s="40">
        <v>5159130.8099999996</v>
      </c>
      <c r="Q83" s="40">
        <v>0.12659999999999999</v>
      </c>
      <c r="R83" s="40">
        <v>2.0000000000000001E-4</v>
      </c>
      <c r="S83" s="40">
        <v>1</v>
      </c>
      <c r="T83" s="104">
        <v>42095</v>
      </c>
      <c r="U83" s="40">
        <v>13346158.495928306</v>
      </c>
      <c r="V83" s="3">
        <f>CurrentMtgRatesDataTable82523[[#This Row],[cum_df_pct]]*100</f>
        <v>0.02</v>
      </c>
      <c r="W83" s="3">
        <f>CurrentMtgRatesDataTable82523[[#This Row],[pct_dq]]*100</f>
        <v>0.34115434528749777</v>
      </c>
    </row>
    <row r="84" spans="3:23">
      <c r="C84" s="40" t="s">
        <v>65</v>
      </c>
      <c r="D84" s="40" t="s">
        <v>66</v>
      </c>
      <c r="E84" s="40">
        <v>24561922452.779999</v>
      </c>
      <c r="F84" s="41">
        <v>42095</v>
      </c>
      <c r="G84" s="40">
        <v>106156</v>
      </c>
      <c r="H84" s="40">
        <v>320422167.07276398</v>
      </c>
      <c r="I84" s="40">
        <v>851866.76</v>
      </c>
      <c r="J84" s="40">
        <v>1.3045484028734794E-2</v>
      </c>
      <c r="K84" s="40">
        <v>3.4682413872029094E-5</v>
      </c>
      <c r="L84" s="40">
        <v>14.578799999999999</v>
      </c>
      <c r="M84" s="40">
        <v>4.1599999999999998E-2</v>
      </c>
      <c r="N84" s="40">
        <v>2.5986266568794503E-3</v>
      </c>
      <c r="O84" s="40">
        <v>3348029618.0770998</v>
      </c>
      <c r="P84" s="40">
        <v>6010997.5700000003</v>
      </c>
      <c r="Q84" s="40">
        <v>0.14000000000000001</v>
      </c>
      <c r="R84" s="40">
        <v>2.0000000000000001E-4</v>
      </c>
      <c r="S84" s="40">
        <v>1</v>
      </c>
      <c r="T84" s="104">
        <v>42125</v>
      </c>
      <c r="U84" s="40">
        <v>14627925.352763999</v>
      </c>
      <c r="V84" s="3">
        <f>CurrentMtgRatesDataTable82523[[#This Row],[cum_df_pct]]*100</f>
        <v>0.02</v>
      </c>
      <c r="W84" s="3">
        <f>CurrentMtgRatesDataTable82523[[#This Row],[pct_dq]]*100</f>
        <v>0.25986266568794503</v>
      </c>
    </row>
    <row r="85" spans="3:23">
      <c r="C85" s="40" t="s">
        <v>65</v>
      </c>
      <c r="D85" s="40" t="s">
        <v>66</v>
      </c>
      <c r="E85" s="40">
        <v>24201903933.830002</v>
      </c>
      <c r="F85" s="41">
        <v>42125</v>
      </c>
      <c r="G85" s="40">
        <v>104991</v>
      </c>
      <c r="H85" s="40">
        <v>309546276.9310661</v>
      </c>
      <c r="I85" s="40">
        <v>1062221.53</v>
      </c>
      <c r="J85" s="40">
        <v>1.2790162202832932E-2</v>
      </c>
      <c r="K85" s="40">
        <v>4.3889998609373923E-5</v>
      </c>
      <c r="L85" s="40">
        <v>14.3132</v>
      </c>
      <c r="M85" s="40">
        <v>5.2600000000000001E-2</v>
      </c>
      <c r="N85" s="40">
        <v>2.8626337667243236E-3</v>
      </c>
      <c r="O85" s="40">
        <v>3657575895.0082002</v>
      </c>
      <c r="P85" s="40">
        <v>7073219.0999999996</v>
      </c>
      <c r="Q85" s="40">
        <v>0.15290000000000001</v>
      </c>
      <c r="R85" s="40">
        <v>2.0000000000000001E-4</v>
      </c>
      <c r="S85" s="40">
        <v>1</v>
      </c>
      <c r="T85" s="104">
        <v>42156</v>
      </c>
      <c r="U85" s="40">
        <v>13061135.811066097</v>
      </c>
      <c r="V85" s="3">
        <f>CurrentMtgRatesDataTable82523[[#This Row],[cum_df_pct]]*100</f>
        <v>0.02</v>
      </c>
      <c r="W85" s="3">
        <f>CurrentMtgRatesDataTable82523[[#This Row],[pct_dq]]*100</f>
        <v>0.28626337667243235</v>
      </c>
    </row>
    <row r="86" spans="3:23">
      <c r="C86" s="40" t="s">
        <v>65</v>
      </c>
      <c r="D86" s="40" t="s">
        <v>66</v>
      </c>
      <c r="E86" s="40">
        <v>23852978020.849998</v>
      </c>
      <c r="F86" s="41">
        <v>42156</v>
      </c>
      <c r="G86" s="40">
        <v>103861</v>
      </c>
      <c r="H86" s="40">
        <v>297623961.30184621</v>
      </c>
      <c r="I86" s="40">
        <v>1003683.14</v>
      </c>
      <c r="J86" s="40">
        <v>1.2477434098236779E-2</v>
      </c>
      <c r="K86" s="40">
        <v>4.2077896484148679E-5</v>
      </c>
      <c r="L86" s="40">
        <v>13.9869</v>
      </c>
      <c r="M86" s="40">
        <v>5.04E-2</v>
      </c>
      <c r="N86" s="40">
        <v>3.3860890945943958E-3</v>
      </c>
      <c r="O86" s="40">
        <v>3955199856.3099999</v>
      </c>
      <c r="P86" s="40">
        <v>8076902.2400000002</v>
      </c>
      <c r="Q86" s="40">
        <v>0.16539999999999999</v>
      </c>
      <c r="R86" s="40">
        <v>2.9999999999999997E-4</v>
      </c>
      <c r="S86" s="40">
        <v>1</v>
      </c>
      <c r="T86" s="104">
        <v>42186</v>
      </c>
      <c r="U86" s="40">
        <v>11578676.721846217</v>
      </c>
      <c r="V86" s="3">
        <f>CurrentMtgRatesDataTable82523[[#This Row],[cum_df_pct]]*100</f>
        <v>0.03</v>
      </c>
      <c r="W86" s="3">
        <f>CurrentMtgRatesDataTable82523[[#This Row],[pct_dq]]*100</f>
        <v>0.33860890945943956</v>
      </c>
    </row>
    <row r="87" spans="3:23">
      <c r="C87" s="40" t="s">
        <v>65</v>
      </c>
      <c r="D87" s="40" t="s">
        <v>66</v>
      </c>
      <c r="E87" s="40">
        <v>23516001945.110001</v>
      </c>
      <c r="F87" s="41">
        <v>42186</v>
      </c>
      <c r="G87" s="40">
        <v>102690</v>
      </c>
      <c r="H87" s="40">
        <v>254969385.97257987</v>
      </c>
      <c r="I87" s="40">
        <v>935339.45</v>
      </c>
      <c r="J87" s="40">
        <v>1.0842378163078826E-2</v>
      </c>
      <c r="K87" s="40">
        <v>3.9774594856014533E-5</v>
      </c>
      <c r="L87" s="40">
        <v>12.2623</v>
      </c>
      <c r="M87" s="40">
        <v>4.7699999999999999E-2</v>
      </c>
      <c r="N87" s="40">
        <v>3.5701651150551171E-3</v>
      </c>
      <c r="O87" s="40">
        <v>4210169242.2825999</v>
      </c>
      <c r="P87" s="40">
        <v>9012241.6899999995</v>
      </c>
      <c r="Q87" s="40">
        <v>0.17599999999999999</v>
      </c>
      <c r="R87" s="40">
        <v>2.9999999999999997E-4</v>
      </c>
      <c r="S87" s="40">
        <v>1</v>
      </c>
      <c r="T87" s="104">
        <v>42217</v>
      </c>
      <c r="U87" s="40">
        <v>11609004.332579864</v>
      </c>
      <c r="V87" s="3">
        <f>CurrentMtgRatesDataTable82523[[#This Row],[cum_df_pct]]*100</f>
        <v>0.03</v>
      </c>
      <c r="W87" s="3">
        <f>CurrentMtgRatesDataTable82523[[#This Row],[pct_dq]]*100</f>
        <v>0.35701651150551172</v>
      </c>
    </row>
    <row r="88" spans="3:23">
      <c r="C88" s="40" t="s">
        <v>65</v>
      </c>
      <c r="D88" s="40" t="s">
        <v>66</v>
      </c>
      <c r="E88" s="40">
        <v>23222576327.450001</v>
      </c>
      <c r="F88" s="41">
        <v>42217</v>
      </c>
      <c r="G88" s="40">
        <v>101666</v>
      </c>
      <c r="H88" s="40">
        <v>221363768.96805647</v>
      </c>
      <c r="I88" s="40">
        <v>1979537.29</v>
      </c>
      <c r="J88" s="40">
        <v>9.5322657506521254E-3</v>
      </c>
      <c r="K88" s="40">
        <v>8.5241932767817364E-5</v>
      </c>
      <c r="L88" s="40">
        <v>10.8576</v>
      </c>
      <c r="M88" s="40">
        <v>0.1022</v>
      </c>
      <c r="N88" s="40">
        <v>2.8879615910972572E-3</v>
      </c>
      <c r="O88" s="40">
        <v>4431533011.2507</v>
      </c>
      <c r="P88" s="40">
        <v>10991778.98</v>
      </c>
      <c r="Q88" s="40">
        <v>0.18529999999999999</v>
      </c>
      <c r="R88" s="40">
        <v>4.0000000000000002E-4</v>
      </c>
      <c r="S88" s="40">
        <v>1</v>
      </c>
      <c r="T88" s="104">
        <v>42248</v>
      </c>
      <c r="U88" s="40">
        <v>12534974.908056468</v>
      </c>
      <c r="V88" s="3">
        <f>CurrentMtgRatesDataTable82523[[#This Row],[cum_df_pct]]*100</f>
        <v>0.04</v>
      </c>
      <c r="W88" s="3">
        <f>CurrentMtgRatesDataTable82523[[#This Row],[pct_dq]]*100</f>
        <v>0.28879615910972573</v>
      </c>
    </row>
    <row r="89" spans="3:23">
      <c r="C89" s="40" t="s">
        <v>65</v>
      </c>
      <c r="D89" s="40" t="s">
        <v>66</v>
      </c>
      <c r="E89" s="40">
        <v>22962451528.080002</v>
      </c>
      <c r="F89" s="41">
        <v>42248</v>
      </c>
      <c r="G89" s="40">
        <v>100758</v>
      </c>
      <c r="H89" s="40">
        <v>211191999.71721393</v>
      </c>
      <c r="I89" s="40">
        <v>1581498.49</v>
      </c>
      <c r="J89" s="40">
        <v>9.1972757986643738E-3</v>
      </c>
      <c r="K89" s="40">
        <v>6.8873242391651404E-5</v>
      </c>
      <c r="L89" s="40">
        <v>10.495200000000001</v>
      </c>
      <c r="M89" s="40">
        <v>8.2600000000000007E-2</v>
      </c>
      <c r="N89" s="40">
        <v>3.1272172003145109E-3</v>
      </c>
      <c r="O89" s="40">
        <v>4642725010.9679003</v>
      </c>
      <c r="P89" s="40">
        <v>12573277.470000001</v>
      </c>
      <c r="Q89" s="40">
        <v>0.19409999999999999</v>
      </c>
      <c r="R89" s="40">
        <v>5.0000000000000001E-4</v>
      </c>
      <c r="S89" s="40">
        <v>1</v>
      </c>
      <c r="T89" s="104">
        <v>42278</v>
      </c>
      <c r="U89" s="40">
        <v>12317946.377213934</v>
      </c>
      <c r="V89" s="3">
        <f>CurrentMtgRatesDataTable82523[[#This Row],[cum_df_pct]]*100</f>
        <v>0.05</v>
      </c>
      <c r="W89" s="3">
        <f>CurrentMtgRatesDataTable82523[[#This Row],[pct_dq]]*100</f>
        <v>0.3127217200314511</v>
      </c>
    </row>
    <row r="90" spans="3:23">
      <c r="C90" s="40" t="s">
        <v>67</v>
      </c>
      <c r="D90" s="40" t="s">
        <v>68</v>
      </c>
      <c r="E90" s="40">
        <v>19673327276.75</v>
      </c>
      <c r="F90" s="41">
        <v>41883</v>
      </c>
      <c r="G90" s="40">
        <v>87222</v>
      </c>
      <c r="H90" s="40">
        <v>688502017.20530057</v>
      </c>
      <c r="I90" s="40">
        <v>0</v>
      </c>
      <c r="J90" s="40">
        <v>3.4996724627204996E-2</v>
      </c>
      <c r="K90" s="40">
        <v>0</v>
      </c>
      <c r="L90" s="40">
        <v>34.785299999999999</v>
      </c>
      <c r="M90" s="40">
        <v>0</v>
      </c>
      <c r="N90" s="40">
        <v>2.108271959111732E-3</v>
      </c>
      <c r="O90" s="40">
        <v>688502017.20529997</v>
      </c>
      <c r="P90" s="40">
        <v>0</v>
      </c>
      <c r="Q90" s="40">
        <v>4.6399999999999997E-2</v>
      </c>
      <c r="R90" s="40">
        <v>0</v>
      </c>
      <c r="S90" s="40">
        <v>1</v>
      </c>
      <c r="T90" s="104">
        <v>41913</v>
      </c>
      <c r="U90" s="40">
        <v>10830092.295300558</v>
      </c>
      <c r="V90" s="3">
        <f>CurrentMtgRatesDataTable82523[[#This Row],[cum_df_pct]]*100</f>
        <v>0</v>
      </c>
      <c r="W90" s="3">
        <f>CurrentMtgRatesDataTable82523[[#This Row],[pct_dq]]*100</f>
        <v>0.21082719591117319</v>
      </c>
    </row>
    <row r="91" spans="3:23">
      <c r="C91" s="40" t="s">
        <v>67</v>
      </c>
      <c r="D91" s="40" t="s">
        <v>68</v>
      </c>
      <c r="E91" s="40">
        <v>18959026495.110001</v>
      </c>
      <c r="F91" s="41">
        <v>41913</v>
      </c>
      <c r="G91" s="40">
        <v>84869</v>
      </c>
      <c r="H91" s="40">
        <v>232715721.50368032</v>
      </c>
      <c r="I91" s="40">
        <v>0</v>
      </c>
      <c r="J91" s="40">
        <v>1.227466618941133E-2</v>
      </c>
      <c r="K91" s="40">
        <v>0</v>
      </c>
      <c r="L91" s="40">
        <v>13.774699999999999</v>
      </c>
      <c r="M91" s="40">
        <v>0</v>
      </c>
      <c r="N91" s="40">
        <v>2.5311011972253472E-3</v>
      </c>
      <c r="O91" s="40">
        <v>921217738.70889997</v>
      </c>
      <c r="P91" s="40">
        <v>0</v>
      </c>
      <c r="Q91" s="40">
        <v>6.2E-2</v>
      </c>
      <c r="R91" s="40">
        <v>0</v>
      </c>
      <c r="S91" s="40">
        <v>1</v>
      </c>
      <c r="T91" s="104">
        <v>41944</v>
      </c>
      <c r="U91" s="40">
        <v>10396526.133680305</v>
      </c>
      <c r="V91" s="3">
        <f>CurrentMtgRatesDataTable82523[[#This Row],[cum_df_pct]]*100</f>
        <v>0</v>
      </c>
      <c r="W91" s="3">
        <f>CurrentMtgRatesDataTable82523[[#This Row],[pct_dq]]*100</f>
        <v>0.25311011972253472</v>
      </c>
    </row>
    <row r="92" spans="3:23">
      <c r="C92" s="40" t="s">
        <v>67</v>
      </c>
      <c r="D92" s="40" t="s">
        <v>68</v>
      </c>
      <c r="E92" s="40">
        <v>18700722950.959999</v>
      </c>
      <c r="F92" s="41">
        <v>41944</v>
      </c>
      <c r="G92" s="40">
        <v>84088</v>
      </c>
      <c r="H92" s="40">
        <v>402387905.76197129</v>
      </c>
      <c r="I92" s="40">
        <v>0</v>
      </c>
      <c r="J92" s="40">
        <v>2.1517237960113983E-2</v>
      </c>
      <c r="K92" s="40">
        <v>0</v>
      </c>
      <c r="L92" s="40">
        <v>22.973800000000001</v>
      </c>
      <c r="M92" s="40">
        <v>0</v>
      </c>
      <c r="N92" s="40">
        <v>2.5227434101727157E-3</v>
      </c>
      <c r="O92" s="40">
        <v>1323605644.4709001</v>
      </c>
      <c r="P92" s="40">
        <v>0</v>
      </c>
      <c r="Q92" s="40">
        <v>8.9200000000000002E-2</v>
      </c>
      <c r="R92" s="40">
        <v>0</v>
      </c>
      <c r="S92" s="40">
        <v>1</v>
      </c>
      <c r="T92" s="104">
        <v>41974</v>
      </c>
      <c r="U92" s="40">
        <v>9341364.5819712654</v>
      </c>
      <c r="V92" s="3">
        <f>CurrentMtgRatesDataTable82523[[#This Row],[cum_df_pct]]*100</f>
        <v>0</v>
      </c>
      <c r="W92" s="3">
        <f>CurrentMtgRatesDataTable82523[[#This Row],[pct_dq]]*100</f>
        <v>0.25227434101727159</v>
      </c>
    </row>
    <row r="93" spans="3:23">
      <c r="C93" s="40" t="s">
        <v>67</v>
      </c>
      <c r="D93" s="40" t="s">
        <v>68</v>
      </c>
      <c r="E93" s="40">
        <v>18273757066.580002</v>
      </c>
      <c r="F93" s="41">
        <v>41974</v>
      </c>
      <c r="G93" s="40">
        <v>82804</v>
      </c>
      <c r="H93" s="40">
        <v>393704331.57545274</v>
      </c>
      <c r="I93" s="40">
        <v>651418.92000000004</v>
      </c>
      <c r="J93" s="40">
        <v>2.1544793998355148E-2</v>
      </c>
      <c r="K93" s="40">
        <v>3.5647782644070983E-5</v>
      </c>
      <c r="L93" s="40">
        <v>22.9998</v>
      </c>
      <c r="M93" s="40">
        <v>4.2700000000000002E-2</v>
      </c>
      <c r="N93" s="40">
        <v>4.0740804804807089E-3</v>
      </c>
      <c r="O93" s="40">
        <v>1717309976.0464001</v>
      </c>
      <c r="P93" s="40">
        <v>651418.92000000004</v>
      </c>
      <c r="Q93" s="40">
        <v>0.1157</v>
      </c>
      <c r="R93" s="40">
        <v>0</v>
      </c>
      <c r="S93" s="40">
        <v>1</v>
      </c>
      <c r="T93" s="104">
        <v>42005</v>
      </c>
      <c r="U93" s="40">
        <v>9233670.5854527354</v>
      </c>
      <c r="V93" s="3">
        <f>CurrentMtgRatesDataTable82523[[#This Row],[cum_df_pct]]*100</f>
        <v>0</v>
      </c>
      <c r="W93" s="3">
        <f>CurrentMtgRatesDataTable82523[[#This Row],[pct_dq]]*100</f>
        <v>0.4074080480480709</v>
      </c>
    </row>
    <row r="94" spans="3:23">
      <c r="C94" s="40" t="s">
        <v>67</v>
      </c>
      <c r="D94" s="40" t="s">
        <v>68</v>
      </c>
      <c r="E94" s="40">
        <v>17854723101.439999</v>
      </c>
      <c r="F94" s="41">
        <v>42005</v>
      </c>
      <c r="G94" s="40">
        <v>81501</v>
      </c>
      <c r="H94" s="40">
        <v>327684779.75974113</v>
      </c>
      <c r="I94" s="40">
        <v>0</v>
      </c>
      <c r="J94" s="40">
        <v>1.8352834591610835E-2</v>
      </c>
      <c r="K94" s="40">
        <v>0</v>
      </c>
      <c r="L94" s="40">
        <v>19.930800000000001</v>
      </c>
      <c r="M94" s="40">
        <v>0</v>
      </c>
      <c r="N94" s="40">
        <v>3.6228581951395864E-3</v>
      </c>
      <c r="O94" s="40">
        <v>2044994755.8060999</v>
      </c>
      <c r="P94" s="40">
        <v>651418.92000000004</v>
      </c>
      <c r="Q94" s="40">
        <v>0.13780000000000001</v>
      </c>
      <c r="R94" s="40">
        <v>0</v>
      </c>
      <c r="S94" s="40">
        <v>1</v>
      </c>
      <c r="T94" s="104">
        <v>42036</v>
      </c>
      <c r="U94" s="40">
        <v>9440748.1297411509</v>
      </c>
      <c r="V94" s="3">
        <f>CurrentMtgRatesDataTable82523[[#This Row],[cum_df_pct]]*100</f>
        <v>0</v>
      </c>
      <c r="W94" s="3">
        <f>CurrentMtgRatesDataTable82523[[#This Row],[pct_dq]]*100</f>
        <v>0.36228581951395866</v>
      </c>
    </row>
    <row r="95" spans="3:23">
      <c r="C95" s="40" t="s">
        <v>67</v>
      </c>
      <c r="D95" s="40" t="s">
        <v>68</v>
      </c>
      <c r="E95" s="40">
        <v>17502640487.57</v>
      </c>
      <c r="F95" s="41">
        <v>42036</v>
      </c>
      <c r="G95" s="40">
        <v>80430</v>
      </c>
      <c r="H95" s="40">
        <v>673375497.11212575</v>
      </c>
      <c r="I95" s="40">
        <v>599297.27</v>
      </c>
      <c r="J95" s="40">
        <v>3.8472794867171187E-2</v>
      </c>
      <c r="K95" s="40">
        <v>3.4240391924041863E-5</v>
      </c>
      <c r="L95" s="40">
        <v>37.548999999999999</v>
      </c>
      <c r="M95" s="40">
        <v>4.1000000000000002E-2</v>
      </c>
      <c r="N95" s="40">
        <v>3.7548234962988844E-3</v>
      </c>
      <c r="O95" s="40">
        <v>2718370252.9182</v>
      </c>
      <c r="P95" s="40">
        <v>1250716.19</v>
      </c>
      <c r="Q95" s="40">
        <v>0.1832</v>
      </c>
      <c r="R95" s="40">
        <v>0</v>
      </c>
      <c r="S95" s="40">
        <v>1</v>
      </c>
      <c r="T95" s="104">
        <v>42064</v>
      </c>
      <c r="U95" s="40">
        <v>8749688.7121257149</v>
      </c>
      <c r="V95" s="3">
        <f>CurrentMtgRatesDataTable82523[[#This Row],[cum_df_pct]]*100</f>
        <v>0</v>
      </c>
      <c r="W95" s="3">
        <f>CurrentMtgRatesDataTable82523[[#This Row],[pct_dq]]*100</f>
        <v>0.37548234962988841</v>
      </c>
    </row>
    <row r="96" spans="3:23">
      <c r="C96" s="40" t="s">
        <v>67</v>
      </c>
      <c r="D96" s="40" t="s">
        <v>68</v>
      </c>
      <c r="E96" s="40">
        <v>16806094470.57</v>
      </c>
      <c r="F96" s="41">
        <v>42064</v>
      </c>
      <c r="G96" s="40">
        <v>78205</v>
      </c>
      <c r="H96" s="40">
        <v>684463430.45291185</v>
      </c>
      <c r="I96" s="40">
        <v>645947.04</v>
      </c>
      <c r="J96" s="40">
        <v>4.0727096450130652E-2</v>
      </c>
      <c r="K96" s="40">
        <v>3.8435285552580375E-5</v>
      </c>
      <c r="L96" s="40">
        <v>39.283499999999997</v>
      </c>
      <c r="M96" s="40">
        <v>4.6100000000000002E-2</v>
      </c>
      <c r="N96" s="40">
        <v>4.7436455346365862E-3</v>
      </c>
      <c r="O96" s="40">
        <v>3402833683.3710999</v>
      </c>
      <c r="P96" s="40">
        <v>1896663.23</v>
      </c>
      <c r="Q96" s="40">
        <v>0.2293</v>
      </c>
      <c r="R96" s="40">
        <v>1E-4</v>
      </c>
      <c r="S96" s="40">
        <v>1</v>
      </c>
      <c r="T96" s="104">
        <v>42095</v>
      </c>
      <c r="U96" s="40">
        <v>9635959.1329118796</v>
      </c>
      <c r="V96" s="3">
        <f>CurrentMtgRatesDataTable82523[[#This Row],[cum_df_pct]]*100</f>
        <v>0.01</v>
      </c>
      <c r="W96" s="3">
        <f>CurrentMtgRatesDataTable82523[[#This Row],[pct_dq]]*100</f>
        <v>0.47436455346365863</v>
      </c>
    </row>
    <row r="97" spans="3:23">
      <c r="C97" s="40" t="s">
        <v>67</v>
      </c>
      <c r="D97" s="40" t="s">
        <v>68</v>
      </c>
      <c r="E97" s="40">
        <v>16098208030.52</v>
      </c>
      <c r="F97" s="41">
        <v>42095</v>
      </c>
      <c r="G97" s="40">
        <v>75849</v>
      </c>
      <c r="H97" s="40">
        <v>435979282.86998951</v>
      </c>
      <c r="I97" s="40">
        <v>1299799</v>
      </c>
      <c r="J97" s="40">
        <v>2.7082472908999091E-2</v>
      </c>
      <c r="K97" s="40">
        <v>8.0741843908077159E-5</v>
      </c>
      <c r="L97" s="40">
        <v>28.069600000000001</v>
      </c>
      <c r="M97" s="40">
        <v>9.6799999999999997E-2</v>
      </c>
      <c r="N97" s="40">
        <v>3.9850514932082024E-3</v>
      </c>
      <c r="O97" s="40">
        <v>3838812966.2410998</v>
      </c>
      <c r="P97" s="40">
        <v>3196462.23</v>
      </c>
      <c r="Q97" s="40">
        <v>0.25869999999999999</v>
      </c>
      <c r="R97" s="40">
        <v>2.0000000000000001E-4</v>
      </c>
      <c r="S97" s="40">
        <v>1</v>
      </c>
      <c r="T97" s="104">
        <v>42125</v>
      </c>
      <c r="U97" s="40">
        <v>11641866.519989537</v>
      </c>
      <c r="V97" s="3">
        <f>CurrentMtgRatesDataTable82523[[#This Row],[cum_df_pct]]*100</f>
        <v>0.02</v>
      </c>
      <c r="W97" s="3">
        <f>CurrentMtgRatesDataTable82523[[#This Row],[pct_dq]]*100</f>
        <v>0.39850514932082026</v>
      </c>
    </row>
    <row r="98" spans="3:23">
      <c r="C98" s="40" t="s">
        <v>67</v>
      </c>
      <c r="D98" s="40" t="s">
        <v>68</v>
      </c>
      <c r="E98" s="40">
        <v>15638257078.51</v>
      </c>
      <c r="F98" s="41">
        <v>42125</v>
      </c>
      <c r="G98" s="40">
        <v>74283</v>
      </c>
      <c r="H98" s="40">
        <v>379347667.61427748</v>
      </c>
      <c r="I98" s="40">
        <v>778404.67</v>
      </c>
      <c r="J98" s="40">
        <v>2.4257669234481045E-2</v>
      </c>
      <c r="K98" s="40">
        <v>4.9775666565149326E-5</v>
      </c>
      <c r="L98" s="40">
        <v>25.523</v>
      </c>
      <c r="M98" s="40">
        <v>5.9700000000000003E-2</v>
      </c>
      <c r="N98" s="40">
        <v>4.0309554871447431E-3</v>
      </c>
      <c r="O98" s="40">
        <v>4218160633.8554001</v>
      </c>
      <c r="P98" s="40">
        <v>3974866.9</v>
      </c>
      <c r="Q98" s="40">
        <v>0.28420000000000001</v>
      </c>
      <c r="R98" s="40">
        <v>2.0000000000000001E-4</v>
      </c>
      <c r="S98" s="40">
        <v>1</v>
      </c>
      <c r="T98" s="104">
        <v>42156</v>
      </c>
      <c r="U98" s="40">
        <v>10200232.484277468</v>
      </c>
      <c r="V98" s="3">
        <f>CurrentMtgRatesDataTable82523[[#This Row],[cum_df_pct]]*100</f>
        <v>0.02</v>
      </c>
      <c r="W98" s="3">
        <f>CurrentMtgRatesDataTable82523[[#This Row],[pct_dq]]*100</f>
        <v>0.40309554871447428</v>
      </c>
    </row>
    <row r="99" spans="3:23">
      <c r="C99" s="40" t="s">
        <v>67</v>
      </c>
      <c r="D99" s="40" t="s">
        <v>68</v>
      </c>
      <c r="E99" s="40">
        <v>15236316428.049999</v>
      </c>
      <c r="F99" s="41">
        <v>42156</v>
      </c>
      <c r="G99" s="40">
        <v>72925</v>
      </c>
      <c r="H99" s="40">
        <v>310112016.01463276</v>
      </c>
      <c r="I99" s="40">
        <v>1387142.57</v>
      </c>
      <c r="J99" s="40">
        <v>2.0353477002073659E-2</v>
      </c>
      <c r="K99" s="40">
        <v>9.1041858873859821E-5</v>
      </c>
      <c r="L99" s="40">
        <v>21.8673</v>
      </c>
      <c r="M99" s="40">
        <v>0.1091</v>
      </c>
      <c r="N99" s="40">
        <v>5.2144966754387803E-3</v>
      </c>
      <c r="O99" s="40">
        <v>4528272649.8699999</v>
      </c>
      <c r="P99" s="40">
        <v>5362009.47</v>
      </c>
      <c r="Q99" s="40">
        <v>0.30509999999999998</v>
      </c>
      <c r="R99" s="40">
        <v>2.9999999999999997E-4</v>
      </c>
      <c r="S99" s="40">
        <v>1</v>
      </c>
      <c r="T99" s="104">
        <v>42186</v>
      </c>
      <c r="U99" s="40">
        <v>8153699.6146327797</v>
      </c>
      <c r="V99" s="3">
        <f>CurrentMtgRatesDataTable82523[[#This Row],[cum_df_pct]]*100</f>
        <v>0.03</v>
      </c>
      <c r="W99" s="3">
        <f>CurrentMtgRatesDataTable82523[[#This Row],[pct_dq]]*100</f>
        <v>0.521449667543878</v>
      </c>
    </row>
    <row r="100" spans="3:23">
      <c r="C100" s="40" t="s">
        <v>67</v>
      </c>
      <c r="D100" s="40" t="s">
        <v>68</v>
      </c>
      <c r="E100" s="40">
        <v>14903591509.59</v>
      </c>
      <c r="F100" s="41">
        <v>42186</v>
      </c>
      <c r="G100" s="40">
        <v>71708</v>
      </c>
      <c r="H100" s="40">
        <v>234073661.14102265</v>
      </c>
      <c r="I100" s="40">
        <v>2346985.0099999998</v>
      </c>
      <c r="J100" s="40">
        <v>1.5705855933477744E-2</v>
      </c>
      <c r="K100" s="40">
        <v>1.5747781388732963E-4</v>
      </c>
      <c r="L100" s="40">
        <v>17.301200000000001</v>
      </c>
      <c r="M100" s="40">
        <v>0.1888</v>
      </c>
      <c r="N100" s="40">
        <v>5.0057755368559725E-3</v>
      </c>
      <c r="O100" s="40">
        <v>4762346311.0110998</v>
      </c>
      <c r="P100" s="40">
        <v>7708994.4800000004</v>
      </c>
      <c r="Q100" s="40">
        <v>0.32090000000000002</v>
      </c>
      <c r="R100" s="40">
        <v>5.0000000000000001E-4</v>
      </c>
      <c r="S100" s="40">
        <v>1</v>
      </c>
      <c r="T100" s="104">
        <v>42217</v>
      </c>
      <c r="U100" s="40">
        <v>9102425.6410226431</v>
      </c>
      <c r="V100" s="3">
        <f>CurrentMtgRatesDataTable82523[[#This Row],[cum_df_pct]]*100</f>
        <v>0.05</v>
      </c>
      <c r="W100" s="3">
        <f>CurrentMtgRatesDataTable82523[[#This Row],[pct_dq]]*100</f>
        <v>0.5005775536855972</v>
      </c>
    </row>
    <row r="101" spans="3:23">
      <c r="C101" s="40" t="s">
        <v>67</v>
      </c>
      <c r="D101" s="40" t="s">
        <v>68</v>
      </c>
      <c r="E101" s="40">
        <v>14646073086.91</v>
      </c>
      <c r="F101" s="41">
        <v>42217</v>
      </c>
      <c r="G101" s="40">
        <v>70758</v>
      </c>
      <c r="H101" s="40">
        <v>188604997.34443745</v>
      </c>
      <c r="I101" s="40">
        <v>855351.23</v>
      </c>
      <c r="J101" s="40">
        <v>1.2877513052492144E-2</v>
      </c>
      <c r="K101" s="40">
        <v>5.8401403906995E-5</v>
      </c>
      <c r="L101" s="40">
        <v>14.4041</v>
      </c>
      <c r="M101" s="40">
        <v>7.0000000000000007E-2</v>
      </c>
      <c r="N101" s="40">
        <v>5.4953301347331028E-3</v>
      </c>
      <c r="O101" s="40">
        <v>4950951308.3555002</v>
      </c>
      <c r="P101" s="40">
        <v>8564345.7100000009</v>
      </c>
      <c r="Q101" s="40">
        <v>0.33360000000000001</v>
      </c>
      <c r="R101" s="40">
        <v>5.0000000000000001E-4</v>
      </c>
      <c r="S101" s="40">
        <v>1</v>
      </c>
      <c r="T101" s="104">
        <v>42248</v>
      </c>
      <c r="U101" s="40">
        <v>9527405.1344374456</v>
      </c>
      <c r="V101" s="3">
        <f>CurrentMtgRatesDataTable82523[[#This Row],[cum_df_pct]]*100</f>
        <v>0.05</v>
      </c>
      <c r="W101" s="3">
        <f>CurrentMtgRatesDataTable82523[[#This Row],[pct_dq]]*100</f>
        <v>0.54953301347331029</v>
      </c>
    </row>
    <row r="102" spans="3:23">
      <c r="C102" s="40" t="s">
        <v>67</v>
      </c>
      <c r="D102" s="40" t="s">
        <v>68</v>
      </c>
      <c r="E102" s="40">
        <v>14436065244.309999</v>
      </c>
      <c r="F102" s="41">
        <v>42248</v>
      </c>
      <c r="G102" s="40">
        <v>69973</v>
      </c>
      <c r="H102" s="40">
        <v>199863745.95265245</v>
      </c>
      <c r="I102" s="40">
        <v>530256</v>
      </c>
      <c r="J102" s="40">
        <v>1.3844752193221701E-2</v>
      </c>
      <c r="K102" s="40">
        <v>3.6731338562563047E-5</v>
      </c>
      <c r="L102" s="40">
        <v>15.405200000000001</v>
      </c>
      <c r="M102" s="40">
        <v>4.3999999999999997E-2</v>
      </c>
      <c r="N102" s="40">
        <v>5.5651263990834044E-3</v>
      </c>
      <c r="O102" s="40">
        <v>5150815054.3080997</v>
      </c>
      <c r="P102" s="40">
        <v>9094601.7100000009</v>
      </c>
      <c r="Q102" s="40">
        <v>0.34710000000000002</v>
      </c>
      <c r="R102" s="40">
        <v>5.9999999999999995E-4</v>
      </c>
      <c r="S102" s="40">
        <v>1</v>
      </c>
      <c r="T102" s="104">
        <v>42278</v>
      </c>
      <c r="U102" s="40">
        <v>8718368.1726524439</v>
      </c>
      <c r="V102" s="3">
        <f>CurrentMtgRatesDataTable82523[[#This Row],[cum_df_pct]]*100</f>
        <v>0.06</v>
      </c>
      <c r="W102" s="3">
        <f>CurrentMtgRatesDataTable82523[[#This Row],[pct_dq]]*100</f>
        <v>0.55651263990834043</v>
      </c>
    </row>
    <row r="103" spans="3:23">
      <c r="C103" s="40" t="s">
        <v>69</v>
      </c>
      <c r="D103" s="40" t="s">
        <v>70</v>
      </c>
      <c r="E103" s="40">
        <v>15740708858.99</v>
      </c>
      <c r="F103" s="41">
        <v>41913</v>
      </c>
      <c r="G103" s="40">
        <v>69780</v>
      </c>
      <c r="H103" s="40">
        <v>197742885.88737267</v>
      </c>
      <c r="I103" s="40">
        <v>0</v>
      </c>
      <c r="J103" s="40">
        <v>1.2562514665560036E-2</v>
      </c>
      <c r="K103" s="40">
        <v>0</v>
      </c>
      <c r="L103" s="40">
        <v>14.075799999999999</v>
      </c>
      <c r="M103" s="40">
        <v>0</v>
      </c>
      <c r="N103" s="40">
        <v>1.8931953044147801E-3</v>
      </c>
      <c r="O103" s="40">
        <v>197742885.88730001</v>
      </c>
      <c r="P103" s="40">
        <v>0</v>
      </c>
      <c r="Q103" s="40">
        <v>1.61E-2</v>
      </c>
      <c r="R103" s="40">
        <v>0</v>
      </c>
      <c r="S103" s="40">
        <v>1</v>
      </c>
      <c r="T103" s="104">
        <v>41944</v>
      </c>
      <c r="U103" s="40">
        <v>11399941.587372664</v>
      </c>
      <c r="V103" s="3">
        <f>CurrentMtgRatesDataTable82523[[#This Row],[cum_df_pct]]*100</f>
        <v>0</v>
      </c>
      <c r="W103" s="3">
        <f>CurrentMtgRatesDataTable82523[[#This Row],[pct_dq]]*100</f>
        <v>0.18931953044147801</v>
      </c>
    </row>
    <row r="104" spans="3:23">
      <c r="C104" s="40" t="s">
        <v>69</v>
      </c>
      <c r="D104" s="40" t="s">
        <v>70</v>
      </c>
      <c r="E104" s="40">
        <v>15522385738.57</v>
      </c>
      <c r="F104" s="41">
        <v>41944</v>
      </c>
      <c r="G104" s="40">
        <v>69127</v>
      </c>
      <c r="H104" s="40">
        <v>330961384.40286112</v>
      </c>
      <c r="I104" s="40">
        <v>0</v>
      </c>
      <c r="J104" s="40">
        <v>2.1321553914260022E-2</v>
      </c>
      <c r="K104" s="40">
        <v>0</v>
      </c>
      <c r="L104" s="40">
        <v>22.788799999999998</v>
      </c>
      <c r="M104" s="40">
        <v>0</v>
      </c>
      <c r="N104" s="40">
        <v>1.7013657980666157E-3</v>
      </c>
      <c r="O104" s="40">
        <v>528704270.2902</v>
      </c>
      <c r="P104" s="40">
        <v>0</v>
      </c>
      <c r="Q104" s="40">
        <v>4.3200000000000002E-2</v>
      </c>
      <c r="R104" s="40">
        <v>0</v>
      </c>
      <c r="S104" s="40">
        <v>1</v>
      </c>
      <c r="T104" s="104">
        <v>41974</v>
      </c>
      <c r="U104" s="40">
        <v>8635207.9628611393</v>
      </c>
      <c r="V104" s="3">
        <f>CurrentMtgRatesDataTable82523[[#This Row],[cum_df_pct]]*100</f>
        <v>0</v>
      </c>
      <c r="W104" s="3">
        <f>CurrentMtgRatesDataTable82523[[#This Row],[pct_dq]]*100</f>
        <v>0.17013657980666155</v>
      </c>
    </row>
    <row r="105" spans="3:23">
      <c r="C105" s="40" t="s">
        <v>69</v>
      </c>
      <c r="D105" s="40" t="s">
        <v>70</v>
      </c>
      <c r="E105" s="40">
        <v>15171194093.5</v>
      </c>
      <c r="F105" s="41">
        <v>41974</v>
      </c>
      <c r="G105" s="40">
        <v>68132</v>
      </c>
      <c r="H105" s="40">
        <v>313161765.23925549</v>
      </c>
      <c r="I105" s="40">
        <v>0</v>
      </c>
      <c r="J105" s="40">
        <v>2.0641866639451119E-2</v>
      </c>
      <c r="K105" s="40">
        <v>0</v>
      </c>
      <c r="L105" s="40">
        <v>22.142800000000001</v>
      </c>
      <c r="M105" s="40">
        <v>0</v>
      </c>
      <c r="N105" s="40">
        <v>3.4702441156267711E-3</v>
      </c>
      <c r="O105" s="40">
        <v>841866035.52939999</v>
      </c>
      <c r="P105" s="40">
        <v>0</v>
      </c>
      <c r="Q105" s="40">
        <v>6.8900000000000003E-2</v>
      </c>
      <c r="R105" s="40">
        <v>0</v>
      </c>
      <c r="S105" s="40">
        <v>1</v>
      </c>
      <c r="T105" s="104">
        <v>42005</v>
      </c>
      <c r="U105" s="40">
        <v>8133497.3092554826</v>
      </c>
      <c r="V105" s="3">
        <f>CurrentMtgRatesDataTable82523[[#This Row],[cum_df_pct]]*100</f>
        <v>0</v>
      </c>
      <c r="W105" s="3">
        <f>CurrentMtgRatesDataTable82523[[#This Row],[pct_dq]]*100</f>
        <v>0.3470244115626771</v>
      </c>
    </row>
    <row r="106" spans="3:23">
      <c r="C106" s="40" t="s">
        <v>69</v>
      </c>
      <c r="D106" s="40" t="s">
        <v>70</v>
      </c>
      <c r="E106" s="40">
        <v>14838043875</v>
      </c>
      <c r="F106" s="41">
        <v>42005</v>
      </c>
      <c r="G106" s="40">
        <v>67165</v>
      </c>
      <c r="H106" s="40">
        <v>298093530.06055266</v>
      </c>
      <c r="I106" s="40">
        <v>0</v>
      </c>
      <c r="J106" s="40">
        <v>2.0089813224154023E-2</v>
      </c>
      <c r="K106" s="40">
        <v>0</v>
      </c>
      <c r="L106" s="40">
        <v>21.6145</v>
      </c>
      <c r="M106" s="40">
        <v>0</v>
      </c>
      <c r="N106" s="40">
        <v>2.7193111410044272E-3</v>
      </c>
      <c r="O106" s="40">
        <v>1139959565.5899999</v>
      </c>
      <c r="P106" s="40">
        <v>0</v>
      </c>
      <c r="Q106" s="40">
        <v>9.3299999999999994E-2</v>
      </c>
      <c r="R106" s="40">
        <v>0</v>
      </c>
      <c r="S106" s="40">
        <v>1</v>
      </c>
      <c r="T106" s="104">
        <v>42036</v>
      </c>
      <c r="U106" s="40">
        <v>9427075.3505526315</v>
      </c>
      <c r="V106" s="3">
        <f>CurrentMtgRatesDataTable82523[[#This Row],[cum_df_pct]]*100</f>
        <v>0</v>
      </c>
      <c r="W106" s="3">
        <f>CurrentMtgRatesDataTable82523[[#This Row],[pct_dq]]*100</f>
        <v>0.27193111410044274</v>
      </c>
    </row>
    <row r="107" spans="3:23">
      <c r="C107" s="40" t="s">
        <v>69</v>
      </c>
      <c r="D107" s="40" t="s">
        <v>70</v>
      </c>
      <c r="E107" s="40">
        <v>14519089510.52</v>
      </c>
      <c r="F107" s="41">
        <v>42036</v>
      </c>
      <c r="G107" s="40">
        <v>66213</v>
      </c>
      <c r="H107" s="40">
        <v>529032261.08841604</v>
      </c>
      <c r="I107" s="40">
        <v>0</v>
      </c>
      <c r="J107" s="40">
        <v>3.6437013540353114E-2</v>
      </c>
      <c r="K107" s="40">
        <v>0</v>
      </c>
      <c r="L107" s="40">
        <v>35.9437</v>
      </c>
      <c r="M107" s="40">
        <v>0</v>
      </c>
      <c r="N107" s="40">
        <v>2.9792978635924646E-3</v>
      </c>
      <c r="O107" s="40">
        <v>1668991826.6784</v>
      </c>
      <c r="P107" s="40">
        <v>0</v>
      </c>
      <c r="Q107" s="40">
        <v>0.1366</v>
      </c>
      <c r="R107" s="40">
        <v>0</v>
      </c>
      <c r="S107" s="40">
        <v>1</v>
      </c>
      <c r="T107" s="104">
        <v>42064</v>
      </c>
      <c r="U107" s="40">
        <v>7293332.1384160686</v>
      </c>
      <c r="V107" s="3">
        <f>CurrentMtgRatesDataTable82523[[#This Row],[cum_df_pct]]*100</f>
        <v>0</v>
      </c>
      <c r="W107" s="3">
        <f>CurrentMtgRatesDataTable82523[[#This Row],[pct_dq]]*100</f>
        <v>0.29792978635924644</v>
      </c>
    </row>
    <row r="108" spans="3:23">
      <c r="C108" s="40" t="s">
        <v>69</v>
      </c>
      <c r="D108" s="40" t="s">
        <v>70</v>
      </c>
      <c r="E108" s="40">
        <v>13971658579.58</v>
      </c>
      <c r="F108" s="41">
        <v>42064</v>
      </c>
      <c r="G108" s="40">
        <v>64470</v>
      </c>
      <c r="H108" s="40">
        <v>618316682.93807089</v>
      </c>
      <c r="I108" s="40">
        <v>222479.34</v>
      </c>
      <c r="J108" s="40">
        <v>4.4255066742166123E-2</v>
      </c>
      <c r="K108" s="40">
        <v>1.5923616994560708E-5</v>
      </c>
      <c r="L108" s="40">
        <v>41.909599999999998</v>
      </c>
      <c r="M108" s="40">
        <v>1.9099999999999999E-2</v>
      </c>
      <c r="N108" s="40">
        <v>4.0507928888784319E-3</v>
      </c>
      <c r="O108" s="40">
        <v>2287308509.6164999</v>
      </c>
      <c r="P108" s="40">
        <v>222479.34</v>
      </c>
      <c r="Q108" s="40">
        <v>0.18720000000000001</v>
      </c>
      <c r="R108" s="40">
        <v>0</v>
      </c>
      <c r="S108" s="40">
        <v>1</v>
      </c>
      <c r="T108" s="104">
        <v>42095</v>
      </c>
      <c r="U108" s="40">
        <v>7373813.0880708648</v>
      </c>
      <c r="V108" s="3">
        <f>CurrentMtgRatesDataTable82523[[#This Row],[cum_df_pct]]*100</f>
        <v>0</v>
      </c>
      <c r="W108" s="3">
        <f>CurrentMtgRatesDataTable82523[[#This Row],[pct_dq]]*100</f>
        <v>0.40507928888784317</v>
      </c>
    </row>
    <row r="109" spans="3:23">
      <c r="C109" s="40" t="s">
        <v>69</v>
      </c>
      <c r="D109" s="40" t="s">
        <v>70</v>
      </c>
      <c r="E109" s="40">
        <v>13334670468.51</v>
      </c>
      <c r="F109" s="41">
        <v>42095</v>
      </c>
      <c r="G109" s="40">
        <v>62417</v>
      </c>
      <c r="H109" s="40">
        <v>356516548.33457476</v>
      </c>
      <c r="I109" s="40">
        <v>0</v>
      </c>
      <c r="J109" s="40">
        <v>2.6736059895630215E-2</v>
      </c>
      <c r="K109" s="40">
        <v>0</v>
      </c>
      <c r="L109" s="40">
        <v>27.761600000000001</v>
      </c>
      <c r="M109" s="40">
        <v>0</v>
      </c>
      <c r="N109" s="40">
        <v>3.4823485199472425E-3</v>
      </c>
      <c r="O109" s="40">
        <v>2643825057.9510999</v>
      </c>
      <c r="P109" s="40">
        <v>222479.34</v>
      </c>
      <c r="Q109" s="40">
        <v>0.21640000000000001</v>
      </c>
      <c r="R109" s="40">
        <v>0</v>
      </c>
      <c r="S109" s="40">
        <v>1</v>
      </c>
      <c r="T109" s="104">
        <v>42125</v>
      </c>
      <c r="U109" s="40">
        <v>9925254.9145747833</v>
      </c>
      <c r="V109" s="3">
        <f>CurrentMtgRatesDataTable82523[[#This Row],[cum_df_pct]]*100</f>
        <v>0</v>
      </c>
      <c r="W109" s="3">
        <f>CurrentMtgRatesDataTable82523[[#This Row],[pct_dq]]*100</f>
        <v>0.34823485199472426</v>
      </c>
    </row>
    <row r="110" spans="3:23">
      <c r="C110" s="40" t="s">
        <v>69</v>
      </c>
      <c r="D110" s="40" t="s">
        <v>70</v>
      </c>
      <c r="E110" s="40">
        <v>12960092254.6</v>
      </c>
      <c r="F110" s="41">
        <v>42125</v>
      </c>
      <c r="G110" s="40">
        <v>61190</v>
      </c>
      <c r="H110" s="40">
        <v>294050052.52598476</v>
      </c>
      <c r="I110" s="40">
        <v>738752.75</v>
      </c>
      <c r="J110" s="40">
        <v>2.2688885754005021E-2</v>
      </c>
      <c r="K110" s="40">
        <v>5.7002121241674822E-5</v>
      </c>
      <c r="L110" s="40">
        <v>24.0733</v>
      </c>
      <c r="M110" s="40">
        <v>6.83E-2</v>
      </c>
      <c r="N110" s="40">
        <v>3.8334413794289287E-3</v>
      </c>
      <c r="O110" s="40">
        <v>2937875110.4770002</v>
      </c>
      <c r="P110" s="40">
        <v>961232.09</v>
      </c>
      <c r="Q110" s="40">
        <v>0.2404</v>
      </c>
      <c r="R110" s="40">
        <v>0</v>
      </c>
      <c r="S110" s="40">
        <v>1</v>
      </c>
      <c r="T110" s="104">
        <v>42156</v>
      </c>
      <c r="U110" s="40">
        <v>7531835.4259847552</v>
      </c>
      <c r="V110" s="3">
        <f>CurrentMtgRatesDataTable82523[[#This Row],[cum_df_pct]]*100</f>
        <v>0</v>
      </c>
      <c r="W110" s="3">
        <f>CurrentMtgRatesDataTable82523[[#This Row],[pct_dq]]*100</f>
        <v>0.38334413794289285</v>
      </c>
    </row>
    <row r="111" spans="3:23">
      <c r="C111" s="40" t="s">
        <v>69</v>
      </c>
      <c r="D111" s="40" t="s">
        <v>70</v>
      </c>
      <c r="E111" s="40">
        <v>12647606750.530001</v>
      </c>
      <c r="F111" s="41">
        <v>42156</v>
      </c>
      <c r="G111" s="40">
        <v>60127</v>
      </c>
      <c r="H111" s="40">
        <v>274331422.1310553</v>
      </c>
      <c r="I111" s="40">
        <v>54403.1</v>
      </c>
      <c r="J111" s="40">
        <v>2.1690382025797834E-2</v>
      </c>
      <c r="K111" s="40">
        <v>4.3014541069376803E-6</v>
      </c>
      <c r="L111" s="40">
        <v>23.1372</v>
      </c>
      <c r="M111" s="40">
        <v>5.1000000000000004E-3</v>
      </c>
      <c r="N111" s="40">
        <v>4.6020475239365675E-3</v>
      </c>
      <c r="O111" s="40">
        <v>3212206532.6080999</v>
      </c>
      <c r="P111" s="40">
        <v>1015635.19</v>
      </c>
      <c r="Q111" s="40">
        <v>0.26290000000000002</v>
      </c>
      <c r="R111" s="40">
        <v>0</v>
      </c>
      <c r="S111" s="40">
        <v>1</v>
      </c>
      <c r="T111" s="104">
        <v>42186</v>
      </c>
      <c r="U111" s="40">
        <v>6895523.7910552723</v>
      </c>
      <c r="V111" s="3">
        <f>CurrentMtgRatesDataTable82523[[#This Row],[cum_df_pct]]*100</f>
        <v>0</v>
      </c>
      <c r="W111" s="3">
        <f>CurrentMtgRatesDataTable82523[[#This Row],[pct_dq]]*100</f>
        <v>0.46020475239365677</v>
      </c>
    </row>
    <row r="112" spans="3:23">
      <c r="C112" s="40" t="s">
        <v>69</v>
      </c>
      <c r="D112" s="40" t="s">
        <v>70</v>
      </c>
      <c r="E112" s="40">
        <v>12356174994.129999</v>
      </c>
      <c r="F112" s="41">
        <v>42186</v>
      </c>
      <c r="G112" s="40">
        <v>59082</v>
      </c>
      <c r="H112" s="40">
        <v>204345130.84756091</v>
      </c>
      <c r="I112" s="40">
        <v>168517.6</v>
      </c>
      <c r="J112" s="40">
        <v>1.6537895501207968E-2</v>
      </c>
      <c r="K112" s="40">
        <v>1.3638330638733832E-5</v>
      </c>
      <c r="L112" s="40">
        <v>18.136199999999999</v>
      </c>
      <c r="M112" s="40">
        <v>1.6299999999999999E-2</v>
      </c>
      <c r="N112" s="40">
        <v>4.8527008041311616E-3</v>
      </c>
      <c r="O112" s="40">
        <v>3416551663.4556999</v>
      </c>
      <c r="P112" s="40">
        <v>1184152.79</v>
      </c>
      <c r="Q112" s="40">
        <v>0.27960000000000002</v>
      </c>
      <c r="R112" s="40">
        <v>0</v>
      </c>
      <c r="S112" s="40">
        <v>1</v>
      </c>
      <c r="T112" s="104">
        <v>42217</v>
      </c>
      <c r="U112" s="40">
        <v>7888139.9575609164</v>
      </c>
      <c r="V112" s="3">
        <f>CurrentMtgRatesDataTable82523[[#This Row],[cum_df_pct]]*100</f>
        <v>0</v>
      </c>
      <c r="W112" s="3">
        <f>CurrentMtgRatesDataTable82523[[#This Row],[pct_dq]]*100</f>
        <v>0.48527008041311614</v>
      </c>
    </row>
    <row r="113" spans="3:23">
      <c r="C113" s="40" t="s">
        <v>69</v>
      </c>
      <c r="D113" s="40" t="s">
        <v>70</v>
      </c>
      <c r="E113" s="40">
        <v>12134517377.190001</v>
      </c>
      <c r="F113" s="41">
        <v>42217</v>
      </c>
      <c r="G113" s="40">
        <v>58276</v>
      </c>
      <c r="H113" s="40">
        <v>168868566.82760599</v>
      </c>
      <c r="I113" s="40">
        <v>1865471.5</v>
      </c>
      <c r="J113" s="40">
        <v>1.3916380979851629E-2</v>
      </c>
      <c r="K113" s="40">
        <v>1.5373264893968027E-4</v>
      </c>
      <c r="L113" s="40">
        <v>15.478899999999999</v>
      </c>
      <c r="M113" s="40">
        <v>0.18429999999999999</v>
      </c>
      <c r="N113" s="40">
        <v>4.4704856554057745E-3</v>
      </c>
      <c r="O113" s="40">
        <v>3585420230.2832999</v>
      </c>
      <c r="P113" s="40">
        <v>3049624.29</v>
      </c>
      <c r="Q113" s="40">
        <v>0.29349999999999998</v>
      </c>
      <c r="R113" s="40">
        <v>2.0000000000000001E-4</v>
      </c>
      <c r="S113" s="40">
        <v>1</v>
      </c>
      <c r="T113" s="104">
        <v>42248</v>
      </c>
      <c r="U113" s="40">
        <v>6384568.3276060028</v>
      </c>
      <c r="V113" s="3">
        <f>CurrentMtgRatesDataTable82523[[#This Row],[cum_df_pct]]*100</f>
        <v>0.02</v>
      </c>
      <c r="W113" s="3">
        <f>CurrentMtgRatesDataTable82523[[#This Row],[pct_dq]]*100</f>
        <v>0.44704856554057748</v>
      </c>
    </row>
    <row r="114" spans="3:23">
      <c r="C114" s="40" t="s">
        <v>69</v>
      </c>
      <c r="D114" s="40" t="s">
        <v>70</v>
      </c>
      <c r="E114" s="40">
        <v>11947094432.530001</v>
      </c>
      <c r="F114" s="41">
        <v>42248</v>
      </c>
      <c r="G114" s="40">
        <v>57589</v>
      </c>
      <c r="H114" s="40">
        <v>167791541.51475462</v>
      </c>
      <c r="I114" s="40">
        <v>698057.31</v>
      </c>
      <c r="J114" s="40">
        <v>1.4044548024822292E-2</v>
      </c>
      <c r="K114" s="40">
        <v>5.8429044312172102E-5</v>
      </c>
      <c r="L114" s="40">
        <v>15.6106</v>
      </c>
      <c r="M114" s="40">
        <v>7.0000000000000007E-2</v>
      </c>
      <c r="N114" s="40">
        <v>4.8407804781829978E-3</v>
      </c>
      <c r="O114" s="40">
        <v>3753211771.7979999</v>
      </c>
      <c r="P114" s="40">
        <v>3747681.6</v>
      </c>
      <c r="Q114" s="40">
        <v>0.30719999999999997</v>
      </c>
      <c r="R114" s="40">
        <v>2.9999999999999997E-4</v>
      </c>
      <c r="S114" s="40">
        <v>1</v>
      </c>
      <c r="T114" s="104">
        <v>42278</v>
      </c>
      <c r="U114" s="40">
        <v>7738941.8847546158</v>
      </c>
      <c r="V114" s="3">
        <f>CurrentMtgRatesDataTable82523[[#This Row],[cum_df_pct]]*100</f>
        <v>0.03</v>
      </c>
      <c r="W114" s="3">
        <f>CurrentMtgRatesDataTable82523[[#This Row],[pct_dq]]*100</f>
        <v>0.48407804781829977</v>
      </c>
    </row>
    <row r="115" spans="3:23">
      <c r="C115" s="40" t="s">
        <v>71</v>
      </c>
      <c r="D115" s="40" t="s">
        <v>72</v>
      </c>
      <c r="E115" s="40">
        <v>9940429900.0400009</v>
      </c>
      <c r="F115" s="41">
        <v>41883</v>
      </c>
      <c r="G115" s="40">
        <v>45112</v>
      </c>
      <c r="H115" s="40">
        <v>258576691.73924199</v>
      </c>
      <c r="I115" s="40">
        <v>0</v>
      </c>
      <c r="J115" s="40">
        <v>2.6012626650905861E-2</v>
      </c>
      <c r="K115" s="40">
        <v>0</v>
      </c>
      <c r="L115" s="40">
        <v>27.114699999999999</v>
      </c>
      <c r="M115" s="40">
        <v>0</v>
      </c>
      <c r="N115" s="40">
        <v>2.5850697241873409E-3</v>
      </c>
      <c r="O115" s="40">
        <v>258576691.7392</v>
      </c>
      <c r="P115" s="40">
        <v>0</v>
      </c>
      <c r="Q115" s="40">
        <v>3.3000000000000002E-2</v>
      </c>
      <c r="R115" s="40">
        <v>0</v>
      </c>
      <c r="S115" s="40">
        <v>1</v>
      </c>
      <c r="T115" s="104">
        <v>41913</v>
      </c>
      <c r="U115" s="40">
        <v>3078150.5892419741</v>
      </c>
      <c r="V115" s="3">
        <f>CurrentMtgRatesDataTable82523[[#This Row],[cum_df_pct]]*100</f>
        <v>0</v>
      </c>
      <c r="W115" s="3">
        <f>CurrentMtgRatesDataTable82523[[#This Row],[pct_dq]]*100</f>
        <v>0.2585069724187341</v>
      </c>
    </row>
    <row r="116" spans="3:23">
      <c r="C116" s="40" t="s">
        <v>71</v>
      </c>
      <c r="D116" s="40" t="s">
        <v>72</v>
      </c>
      <c r="E116" s="40">
        <v>9668617060.4899998</v>
      </c>
      <c r="F116" s="41">
        <v>41913</v>
      </c>
      <c r="G116" s="40">
        <v>44147</v>
      </c>
      <c r="H116" s="40">
        <v>99712188.399724573</v>
      </c>
      <c r="I116" s="40">
        <v>0</v>
      </c>
      <c r="J116" s="40">
        <v>1.0312973176607659E-2</v>
      </c>
      <c r="K116" s="40">
        <v>0</v>
      </c>
      <c r="L116" s="40">
        <v>11.697100000000001</v>
      </c>
      <c r="M116" s="40">
        <v>0</v>
      </c>
      <c r="N116" s="40">
        <v>3.0410772953407125E-3</v>
      </c>
      <c r="O116" s="40">
        <v>358288880.13889998</v>
      </c>
      <c r="P116" s="40">
        <v>0</v>
      </c>
      <c r="Q116" s="40">
        <v>4.58E-2</v>
      </c>
      <c r="R116" s="40">
        <v>0</v>
      </c>
      <c r="S116" s="40">
        <v>1</v>
      </c>
      <c r="T116" s="104">
        <v>41944</v>
      </c>
      <c r="U116" s="40">
        <v>3186179.2697245665</v>
      </c>
      <c r="V116" s="3">
        <f>CurrentMtgRatesDataTable82523[[#This Row],[cum_df_pct]]*100</f>
        <v>0</v>
      </c>
      <c r="W116" s="3">
        <f>CurrentMtgRatesDataTable82523[[#This Row],[pct_dq]]*100</f>
        <v>0.30410772953407122</v>
      </c>
    </row>
    <row r="117" spans="3:23">
      <c r="C117" s="40" t="s">
        <v>71</v>
      </c>
      <c r="D117" s="40" t="s">
        <v>72</v>
      </c>
      <c r="E117" s="40">
        <v>9556067688.0200005</v>
      </c>
      <c r="F117" s="41">
        <v>41944</v>
      </c>
      <c r="G117" s="40">
        <v>43762</v>
      </c>
      <c r="H117" s="40">
        <v>157572280.84608743</v>
      </c>
      <c r="I117" s="40">
        <v>0</v>
      </c>
      <c r="J117" s="40">
        <v>1.6489238669126268E-2</v>
      </c>
      <c r="K117" s="40">
        <v>0</v>
      </c>
      <c r="L117" s="40">
        <v>18.087599999999998</v>
      </c>
      <c r="M117" s="40">
        <v>0</v>
      </c>
      <c r="N117" s="40">
        <v>3.4783031195635074E-3</v>
      </c>
      <c r="O117" s="40">
        <v>515861160.98500001</v>
      </c>
      <c r="P117" s="40">
        <v>0</v>
      </c>
      <c r="Q117" s="40">
        <v>6.59E-2</v>
      </c>
      <c r="R117" s="40">
        <v>0</v>
      </c>
      <c r="S117" s="40">
        <v>1</v>
      </c>
      <c r="T117" s="104">
        <v>41974</v>
      </c>
      <c r="U117" s="40">
        <v>3703144.7960874401</v>
      </c>
      <c r="V117" s="3">
        <f>CurrentMtgRatesDataTable82523[[#This Row],[cum_df_pct]]*100</f>
        <v>0</v>
      </c>
      <c r="W117" s="3">
        <f>CurrentMtgRatesDataTable82523[[#This Row],[pct_dq]]*100</f>
        <v>0.34783031195635072</v>
      </c>
    </row>
    <row r="118" spans="3:23">
      <c r="C118" s="40" t="s">
        <v>71</v>
      </c>
      <c r="D118" s="40" t="s">
        <v>72</v>
      </c>
      <c r="E118" s="40">
        <v>9385514861.4400005</v>
      </c>
      <c r="F118" s="41">
        <v>41974</v>
      </c>
      <c r="G118" s="40">
        <v>43202</v>
      </c>
      <c r="H118" s="40">
        <v>159651453.06462628</v>
      </c>
      <c r="I118" s="40">
        <v>337571.16</v>
      </c>
      <c r="J118" s="40">
        <v>1.7010409702780151E-2</v>
      </c>
      <c r="K118" s="40">
        <v>3.5967250063914681E-5</v>
      </c>
      <c r="L118" s="40">
        <v>18.606999999999999</v>
      </c>
      <c r="M118" s="40">
        <v>4.3099999999999999E-2</v>
      </c>
      <c r="N118" s="40">
        <v>5.075642298081778E-3</v>
      </c>
      <c r="O118" s="40">
        <v>675512614.04960001</v>
      </c>
      <c r="P118" s="40">
        <v>337571.16</v>
      </c>
      <c r="Q118" s="40">
        <v>8.6300000000000002E-2</v>
      </c>
      <c r="R118" s="40">
        <v>0</v>
      </c>
      <c r="S118" s="40">
        <v>1</v>
      </c>
      <c r="T118" s="104">
        <v>42005</v>
      </c>
      <c r="U118" s="40">
        <v>3153447.1046262709</v>
      </c>
      <c r="V118" s="3">
        <f>CurrentMtgRatesDataTable82523[[#This Row],[cum_df_pct]]*100</f>
        <v>0</v>
      </c>
      <c r="W118" s="3">
        <f>CurrentMtgRatesDataTable82523[[#This Row],[pct_dq]]*100</f>
        <v>0.50756422980817784</v>
      </c>
    </row>
    <row r="119" spans="3:23">
      <c r="C119" s="40" t="s">
        <v>71</v>
      </c>
      <c r="D119" s="40" t="s">
        <v>72</v>
      </c>
      <c r="E119" s="40">
        <v>9212632603.0100002</v>
      </c>
      <c r="F119" s="41">
        <v>42005</v>
      </c>
      <c r="G119" s="40">
        <v>42618</v>
      </c>
      <c r="H119" s="40">
        <v>131563927.13049649</v>
      </c>
      <c r="I119" s="40">
        <v>1497510.51</v>
      </c>
      <c r="J119" s="40">
        <v>1.4280817742315179E-2</v>
      </c>
      <c r="K119" s="40">
        <v>1.6254968308523728E-4</v>
      </c>
      <c r="L119" s="40">
        <v>15.853</v>
      </c>
      <c r="M119" s="40">
        <v>0.1948</v>
      </c>
      <c r="N119" s="40">
        <v>4.1982281912949981E-3</v>
      </c>
      <c r="O119" s="40">
        <v>807076541.18009996</v>
      </c>
      <c r="P119" s="40">
        <v>1835081.67</v>
      </c>
      <c r="Q119" s="40">
        <v>0.1032</v>
      </c>
      <c r="R119" s="40">
        <v>2.0000000000000001E-4</v>
      </c>
      <c r="S119" s="40">
        <v>1</v>
      </c>
      <c r="T119" s="104">
        <v>42036</v>
      </c>
      <c r="U119" s="40">
        <v>2303113.4604964852</v>
      </c>
      <c r="V119" s="3">
        <f>CurrentMtgRatesDataTable82523[[#This Row],[cum_df_pct]]*100</f>
        <v>0.02</v>
      </c>
      <c r="W119" s="3">
        <f>CurrentMtgRatesDataTable82523[[#This Row],[pct_dq]]*100</f>
        <v>0.41982281912949981</v>
      </c>
    </row>
    <row r="120" spans="3:23">
      <c r="C120" s="40" t="s">
        <v>71</v>
      </c>
      <c r="D120" s="40" t="s">
        <v>72</v>
      </c>
      <c r="E120" s="40">
        <v>9066975658.4200001</v>
      </c>
      <c r="F120" s="41">
        <v>42036</v>
      </c>
      <c r="G120" s="40">
        <v>42132</v>
      </c>
      <c r="H120" s="40">
        <v>272526758.544599</v>
      </c>
      <c r="I120" s="40">
        <v>0</v>
      </c>
      <c r="J120" s="40">
        <v>3.0057074024624569E-2</v>
      </c>
      <c r="K120" s="40">
        <v>0</v>
      </c>
      <c r="L120" s="40">
        <v>30.6647</v>
      </c>
      <c r="M120" s="40">
        <v>0</v>
      </c>
      <c r="N120" s="40">
        <v>5.1623364386704984E-3</v>
      </c>
      <c r="O120" s="40">
        <v>1079603299.7247</v>
      </c>
      <c r="P120" s="40">
        <v>1835081.67</v>
      </c>
      <c r="Q120" s="40">
        <v>0.13800000000000001</v>
      </c>
      <c r="R120" s="40">
        <v>2.0000000000000001E-4</v>
      </c>
      <c r="S120" s="40">
        <v>1</v>
      </c>
      <c r="T120" s="104">
        <v>42064</v>
      </c>
      <c r="U120" s="40">
        <v>2814231.024599026</v>
      </c>
      <c r="V120" s="3">
        <f>CurrentMtgRatesDataTable82523[[#This Row],[cum_df_pct]]*100</f>
        <v>0.02</v>
      </c>
      <c r="W120" s="3">
        <f>CurrentMtgRatesDataTable82523[[#This Row],[pct_dq]]*100</f>
        <v>0.51623364386704984</v>
      </c>
    </row>
    <row r="121" spans="3:23">
      <c r="C121" s="40" t="s">
        <v>71</v>
      </c>
      <c r="D121" s="40" t="s">
        <v>72</v>
      </c>
      <c r="E121" s="40">
        <v>8782262327.0300007</v>
      </c>
      <c r="F121" s="41">
        <v>42064</v>
      </c>
      <c r="G121" s="40">
        <v>41141</v>
      </c>
      <c r="H121" s="40">
        <v>295214292.39120054</v>
      </c>
      <c r="I121" s="40">
        <v>793770.14</v>
      </c>
      <c r="J121" s="40">
        <v>3.3614834241809381E-2</v>
      </c>
      <c r="K121" s="40">
        <v>9.0383332954760244E-5</v>
      </c>
      <c r="L121" s="40">
        <v>33.655700000000003</v>
      </c>
      <c r="M121" s="40">
        <v>0.1084</v>
      </c>
      <c r="N121" s="40">
        <v>5.6874028297093223E-3</v>
      </c>
      <c r="O121" s="40">
        <v>1374817592.1159</v>
      </c>
      <c r="P121" s="40">
        <v>2628851.81</v>
      </c>
      <c r="Q121" s="40">
        <v>0.17580000000000001</v>
      </c>
      <c r="R121" s="40">
        <v>2.9999999999999997E-4</v>
      </c>
      <c r="S121" s="40">
        <v>1</v>
      </c>
      <c r="T121" s="104">
        <v>42095</v>
      </c>
      <c r="U121" s="40">
        <v>2413133.0112005635</v>
      </c>
      <c r="V121" s="3">
        <f>CurrentMtgRatesDataTable82523[[#This Row],[cum_df_pct]]*100</f>
        <v>0.03</v>
      </c>
      <c r="W121" s="3">
        <f>CurrentMtgRatesDataTable82523[[#This Row],[pct_dq]]*100</f>
        <v>0.56874028297093226</v>
      </c>
    </row>
    <row r="122" spans="3:23">
      <c r="C122" s="40" t="s">
        <v>71</v>
      </c>
      <c r="D122" s="40" t="s">
        <v>72</v>
      </c>
      <c r="E122" s="40">
        <v>8474595278.0200005</v>
      </c>
      <c r="F122" s="41">
        <v>42095</v>
      </c>
      <c r="G122" s="40">
        <v>40029</v>
      </c>
      <c r="H122" s="40">
        <v>180278370.77320015</v>
      </c>
      <c r="I122" s="40">
        <v>1277554.23</v>
      </c>
      <c r="J122" s="40">
        <v>2.1272800040466392E-2</v>
      </c>
      <c r="K122" s="40">
        <v>1.5075106103456154E-4</v>
      </c>
      <c r="L122" s="40">
        <v>22.742599999999999</v>
      </c>
      <c r="M122" s="40">
        <v>0.1807</v>
      </c>
      <c r="N122" s="40">
        <v>4.1814244500746498E-3</v>
      </c>
      <c r="O122" s="40">
        <v>1555095962.8891001</v>
      </c>
      <c r="P122" s="40">
        <v>3906406.04</v>
      </c>
      <c r="Q122" s="40">
        <v>0.1988</v>
      </c>
      <c r="R122" s="40">
        <v>4.0000000000000002E-4</v>
      </c>
      <c r="S122" s="40">
        <v>1</v>
      </c>
      <c r="T122" s="104">
        <v>42125</v>
      </c>
      <c r="U122" s="40">
        <v>3557361.1332001458</v>
      </c>
      <c r="V122" s="3">
        <f>CurrentMtgRatesDataTable82523[[#This Row],[cum_df_pct]]*100</f>
        <v>0.04</v>
      </c>
      <c r="W122" s="3">
        <f>CurrentMtgRatesDataTable82523[[#This Row],[pct_dq]]*100</f>
        <v>0.418142445007465</v>
      </c>
    </row>
    <row r="123" spans="3:23">
      <c r="C123" s="40" t="s">
        <v>71</v>
      </c>
      <c r="D123" s="40" t="s">
        <v>72</v>
      </c>
      <c r="E123" s="40">
        <v>8281394201.75</v>
      </c>
      <c r="F123" s="41">
        <v>42125</v>
      </c>
      <c r="G123" s="40">
        <v>39324</v>
      </c>
      <c r="H123" s="40">
        <v>172167947.34239084</v>
      </c>
      <c r="I123" s="40">
        <v>1580228.66</v>
      </c>
      <c r="J123" s="40">
        <v>2.0789729742125885E-2</v>
      </c>
      <c r="K123" s="40">
        <v>1.9081674190392611E-4</v>
      </c>
      <c r="L123" s="40">
        <v>22.283799999999999</v>
      </c>
      <c r="M123" s="40">
        <v>0.22869999999999999</v>
      </c>
      <c r="N123" s="40">
        <v>5.0240731664733303E-3</v>
      </c>
      <c r="O123" s="40">
        <v>1727263910.2314999</v>
      </c>
      <c r="P123" s="40">
        <v>5486634.7000000002</v>
      </c>
      <c r="Q123" s="40">
        <v>0.22090000000000001</v>
      </c>
      <c r="R123" s="40">
        <v>6.9999999999999999E-4</v>
      </c>
      <c r="S123" s="40">
        <v>1</v>
      </c>
      <c r="T123" s="104">
        <v>42156</v>
      </c>
      <c r="U123" s="40">
        <v>2863254.3923908221</v>
      </c>
      <c r="V123" s="3">
        <f>CurrentMtgRatesDataTable82523[[#This Row],[cum_df_pct]]*100</f>
        <v>6.9999999999999993E-2</v>
      </c>
      <c r="W123" s="3">
        <f>CurrentMtgRatesDataTable82523[[#This Row],[pct_dq]]*100</f>
        <v>0.50240731664733307</v>
      </c>
    </row>
    <row r="124" spans="3:23">
      <c r="C124" s="40" t="s">
        <v>71</v>
      </c>
      <c r="D124" s="40" t="s">
        <v>72</v>
      </c>
      <c r="E124" s="40">
        <v>8096216510.6300001</v>
      </c>
      <c r="F124" s="41">
        <v>42156</v>
      </c>
      <c r="G124" s="40">
        <v>38647</v>
      </c>
      <c r="H124" s="40">
        <v>164988606.19009739</v>
      </c>
      <c r="I124" s="40">
        <v>438173.31</v>
      </c>
      <c r="J124" s="40">
        <v>2.0378482464429418E-2</v>
      </c>
      <c r="K124" s="40">
        <v>5.4120750034870783E-5</v>
      </c>
      <c r="L124" s="40">
        <v>21.891200000000001</v>
      </c>
      <c r="M124" s="40">
        <v>6.4899999999999999E-2</v>
      </c>
      <c r="N124" s="40">
        <v>6.0385130716070412E-3</v>
      </c>
      <c r="O124" s="40">
        <v>1892252516.4216001</v>
      </c>
      <c r="P124" s="40">
        <v>5924808.0099999998</v>
      </c>
      <c r="Q124" s="40">
        <v>0.24199999999999999</v>
      </c>
      <c r="R124" s="40">
        <v>6.9999999999999999E-4</v>
      </c>
      <c r="S124" s="40">
        <v>1</v>
      </c>
      <c r="T124" s="104">
        <v>42186</v>
      </c>
      <c r="U124" s="40">
        <v>2322500.8700973783</v>
      </c>
      <c r="V124" s="3">
        <f>CurrentMtgRatesDataTable82523[[#This Row],[cum_df_pct]]*100</f>
        <v>6.9999999999999993E-2</v>
      </c>
      <c r="W124" s="3">
        <f>CurrentMtgRatesDataTable82523[[#This Row],[pct_dq]]*100</f>
        <v>0.60385130716070412</v>
      </c>
    </row>
    <row r="125" spans="3:23">
      <c r="C125" s="40" t="s">
        <v>71</v>
      </c>
      <c r="D125" s="40" t="s">
        <v>72</v>
      </c>
      <c r="E125" s="40">
        <v>7919678628.1700001</v>
      </c>
      <c r="F125" s="41">
        <v>42186</v>
      </c>
      <c r="G125" s="40">
        <v>37981</v>
      </c>
      <c r="H125" s="40">
        <v>135384314.52017525</v>
      </c>
      <c r="I125" s="40">
        <v>889090.28</v>
      </c>
      <c r="J125" s="40">
        <v>1.7094672760914604E-2</v>
      </c>
      <c r="K125" s="40">
        <v>1.1226342907874307E-4</v>
      </c>
      <c r="L125" s="40">
        <v>18.6906</v>
      </c>
      <c r="M125" s="40">
        <v>0.1346</v>
      </c>
      <c r="N125" s="40">
        <v>6.3429161887099874E-3</v>
      </c>
      <c r="O125" s="40">
        <v>2027636830.9418001</v>
      </c>
      <c r="P125" s="40">
        <v>6813898.29</v>
      </c>
      <c r="Q125" s="40">
        <v>0.25929999999999997</v>
      </c>
      <c r="R125" s="40">
        <v>8.0000000000000004E-4</v>
      </c>
      <c r="S125" s="40">
        <v>1</v>
      </c>
      <c r="T125" s="104">
        <v>42217</v>
      </c>
      <c r="U125" s="40">
        <v>2603828.6101752408</v>
      </c>
      <c r="V125" s="3">
        <f>CurrentMtgRatesDataTable82523[[#This Row],[cum_df_pct]]*100</f>
        <v>0.08</v>
      </c>
      <c r="W125" s="3">
        <f>CurrentMtgRatesDataTable82523[[#This Row],[pct_dq]]*100</f>
        <v>0.63429161887099872</v>
      </c>
    </row>
    <row r="126" spans="3:23">
      <c r="C126" s="40" t="s">
        <v>71</v>
      </c>
      <c r="D126" s="40" t="s">
        <v>72</v>
      </c>
      <c r="E126" s="40">
        <v>7772404701.54</v>
      </c>
      <c r="F126" s="41">
        <v>42217</v>
      </c>
      <c r="G126" s="40">
        <v>37409</v>
      </c>
      <c r="H126" s="40">
        <v>112935917.91110042</v>
      </c>
      <c r="I126" s="40">
        <v>329162.06</v>
      </c>
      <c r="J126" s="40">
        <v>1.4530370232615867E-2</v>
      </c>
      <c r="K126" s="40">
        <v>4.235009274990285E-5</v>
      </c>
      <c r="L126" s="40">
        <v>16.1083</v>
      </c>
      <c r="M126" s="40">
        <v>5.0799999999999998E-2</v>
      </c>
      <c r="N126" s="40">
        <v>5.6222035686512573E-3</v>
      </c>
      <c r="O126" s="40">
        <v>2140572748.8529</v>
      </c>
      <c r="P126" s="40">
        <v>7143060.3499999996</v>
      </c>
      <c r="Q126" s="40">
        <v>0.2737</v>
      </c>
      <c r="R126" s="40">
        <v>8.9999999999999998E-4</v>
      </c>
      <c r="S126" s="40">
        <v>1</v>
      </c>
      <c r="T126" s="104">
        <v>42248</v>
      </c>
      <c r="U126" s="40">
        <v>2706951.7511004196</v>
      </c>
      <c r="V126" s="3">
        <f>CurrentMtgRatesDataTable82523[[#This Row],[cum_df_pct]]*100</f>
        <v>0.09</v>
      </c>
      <c r="W126" s="3">
        <f>CurrentMtgRatesDataTable82523[[#This Row],[pct_dq]]*100</f>
        <v>0.56222035686512573</v>
      </c>
    </row>
    <row r="127" spans="3:23">
      <c r="C127" s="40" t="s">
        <v>71</v>
      </c>
      <c r="D127" s="40" t="s">
        <v>72</v>
      </c>
      <c r="E127" s="40">
        <v>7648488238.3999996</v>
      </c>
      <c r="F127" s="41">
        <v>42248</v>
      </c>
      <c r="G127" s="40">
        <v>36939</v>
      </c>
      <c r="H127" s="40">
        <v>109646579.79874627</v>
      </c>
      <c r="I127" s="40">
        <v>234411.17</v>
      </c>
      <c r="J127" s="40">
        <v>1.4335719214191198E-2</v>
      </c>
      <c r="K127" s="40">
        <v>3.0648039546313912E-5</v>
      </c>
      <c r="L127" s="40">
        <v>15.9092</v>
      </c>
      <c r="M127" s="40">
        <v>3.6700000000000003E-2</v>
      </c>
      <c r="N127" s="40">
        <v>6.0113112927552984E-3</v>
      </c>
      <c r="O127" s="40">
        <v>2250219328.6515999</v>
      </c>
      <c r="P127" s="40">
        <v>7377471.5199999996</v>
      </c>
      <c r="Q127" s="40">
        <v>0.28770000000000001</v>
      </c>
      <c r="R127" s="40">
        <v>8.9999999999999998E-4</v>
      </c>
      <c r="S127" s="40">
        <v>1</v>
      </c>
      <c r="T127" s="104">
        <v>42278</v>
      </c>
      <c r="U127" s="40">
        <v>2662253.9087462677</v>
      </c>
      <c r="V127" s="3">
        <f>CurrentMtgRatesDataTable82523[[#This Row],[cum_df_pct]]*100</f>
        <v>0.09</v>
      </c>
      <c r="W127" s="3">
        <f>CurrentMtgRatesDataTable82523[[#This Row],[pct_dq]]*100</f>
        <v>0.60113112927552981</v>
      </c>
    </row>
    <row r="128" spans="3:23">
      <c r="C128" s="40" t="s">
        <v>73</v>
      </c>
      <c r="D128" s="40" t="s">
        <v>74</v>
      </c>
      <c r="E128" s="40">
        <v>33311753569.889999</v>
      </c>
      <c r="F128" s="41">
        <v>41913</v>
      </c>
      <c r="G128" s="40">
        <v>147771</v>
      </c>
      <c r="H128" s="40">
        <v>555040180.74057996</v>
      </c>
      <c r="I128" s="40">
        <v>172175.28</v>
      </c>
      <c r="J128" s="40">
        <v>1.6661992277772871E-2</v>
      </c>
      <c r="K128" s="40">
        <v>5.1686045178848429E-6</v>
      </c>
      <c r="L128" s="40">
        <v>18.260100000000001</v>
      </c>
      <c r="M128" s="40">
        <v>6.1999999999999998E-3</v>
      </c>
      <c r="N128" s="40">
        <v>1.9376712761330968E-3</v>
      </c>
      <c r="O128" s="40">
        <v>555040180.74049997</v>
      </c>
      <c r="P128" s="40">
        <v>172175.28</v>
      </c>
      <c r="Q128" s="40">
        <v>1.8200000000000001E-2</v>
      </c>
      <c r="R128" s="40">
        <v>0</v>
      </c>
      <c r="S128" s="40">
        <v>1</v>
      </c>
      <c r="T128" s="104">
        <v>41944</v>
      </c>
      <c r="U128" s="40">
        <v>9387017.1805800088</v>
      </c>
      <c r="V128" s="3">
        <f>CurrentMtgRatesDataTable82523[[#This Row],[cum_df_pct]]*100</f>
        <v>0</v>
      </c>
      <c r="W128" s="3">
        <f>CurrentMtgRatesDataTable82523[[#This Row],[pct_dq]]*100</f>
        <v>0.19376712761330969</v>
      </c>
    </row>
    <row r="129" spans="3:23">
      <c r="C129" s="40" t="s">
        <v>73</v>
      </c>
      <c r="D129" s="40" t="s">
        <v>74</v>
      </c>
      <c r="E129" s="40">
        <v>32702854732.900002</v>
      </c>
      <c r="F129" s="41">
        <v>41944</v>
      </c>
      <c r="G129" s="40">
        <v>145469</v>
      </c>
      <c r="H129" s="40">
        <v>211971797.44763729</v>
      </c>
      <c r="I129" s="40">
        <v>0</v>
      </c>
      <c r="J129" s="40">
        <v>6.4817521032617268E-3</v>
      </c>
      <c r="K129" s="40">
        <v>0</v>
      </c>
      <c r="L129" s="40">
        <v>7.5067000000000004</v>
      </c>
      <c r="M129" s="40">
        <v>0</v>
      </c>
      <c r="N129" s="40">
        <v>1.8158945598182616E-3</v>
      </c>
      <c r="O129" s="40">
        <v>767011978.1882</v>
      </c>
      <c r="P129" s="40">
        <v>172175.28</v>
      </c>
      <c r="Q129" s="40">
        <v>2.5100000000000001E-2</v>
      </c>
      <c r="R129" s="40">
        <v>0</v>
      </c>
      <c r="S129" s="40">
        <v>1</v>
      </c>
      <c r="T129" s="104">
        <v>41974</v>
      </c>
      <c r="U129" s="40">
        <v>11502108.697637284</v>
      </c>
      <c r="V129" s="3">
        <f>CurrentMtgRatesDataTable82523[[#This Row],[cum_df_pct]]*100</f>
        <v>0</v>
      </c>
      <c r="W129" s="3">
        <f>CurrentMtgRatesDataTable82523[[#This Row],[pct_dq]]*100</f>
        <v>0.18158945598182616</v>
      </c>
    </row>
    <row r="130" spans="3:23">
      <c r="C130" s="40" t="s">
        <v>73</v>
      </c>
      <c r="D130" s="40" t="s">
        <v>74</v>
      </c>
      <c r="E130" s="40">
        <v>32439664423.18</v>
      </c>
      <c r="F130" s="41">
        <v>41974</v>
      </c>
      <c r="G130" s="40">
        <v>144665</v>
      </c>
      <c r="H130" s="40">
        <v>224543353.97407466</v>
      </c>
      <c r="I130" s="40">
        <v>0</v>
      </c>
      <c r="J130" s="40">
        <v>6.9218765966526322E-3</v>
      </c>
      <c r="K130" s="40">
        <v>0</v>
      </c>
      <c r="L130" s="40">
        <v>7.9972000000000003</v>
      </c>
      <c r="M130" s="40">
        <v>0</v>
      </c>
      <c r="N130" s="40">
        <v>3.0956968305825552E-3</v>
      </c>
      <c r="O130" s="40">
        <v>991555332.16219997</v>
      </c>
      <c r="P130" s="40">
        <v>172175.28</v>
      </c>
      <c r="Q130" s="40">
        <v>3.2500000000000001E-2</v>
      </c>
      <c r="R130" s="40">
        <v>0</v>
      </c>
      <c r="S130" s="40">
        <v>1</v>
      </c>
      <c r="T130" s="104">
        <v>42005</v>
      </c>
      <c r="U130" s="40">
        <v>10152742.714074666</v>
      </c>
      <c r="V130" s="3">
        <f>CurrentMtgRatesDataTable82523[[#This Row],[cum_df_pct]]*100</f>
        <v>0</v>
      </c>
      <c r="W130" s="3">
        <f>CurrentMtgRatesDataTable82523[[#This Row],[pct_dq]]*100</f>
        <v>0.3095696830582555</v>
      </c>
    </row>
    <row r="131" spans="3:23">
      <c r="C131" s="40" t="s">
        <v>73</v>
      </c>
      <c r="D131" s="40" t="s">
        <v>74</v>
      </c>
      <c r="E131" s="40">
        <v>32163282682.549999</v>
      </c>
      <c r="F131" s="41">
        <v>42005</v>
      </c>
      <c r="G131" s="40">
        <v>143797</v>
      </c>
      <c r="H131" s="40">
        <v>186890953.52152473</v>
      </c>
      <c r="I131" s="40">
        <v>697801.46</v>
      </c>
      <c r="J131" s="40">
        <v>5.8106927506787519E-3</v>
      </c>
      <c r="K131" s="40">
        <v>2.1695592047841187E-5</v>
      </c>
      <c r="L131" s="40">
        <v>6.7542</v>
      </c>
      <c r="M131" s="40">
        <v>2.5999999999999999E-2</v>
      </c>
      <c r="N131" s="40">
        <v>2.571606395291067E-3</v>
      </c>
      <c r="O131" s="40">
        <v>1178446285.6838</v>
      </c>
      <c r="P131" s="40">
        <v>869976.74</v>
      </c>
      <c r="Q131" s="40">
        <v>3.8600000000000002E-2</v>
      </c>
      <c r="R131" s="40">
        <v>0</v>
      </c>
      <c r="S131" s="40">
        <v>1</v>
      </c>
      <c r="T131" s="104">
        <v>42036</v>
      </c>
      <c r="U131" s="40">
        <v>10162599.761524731</v>
      </c>
      <c r="V131" s="3">
        <f>CurrentMtgRatesDataTable82523[[#This Row],[cum_df_pct]]*100</f>
        <v>0</v>
      </c>
      <c r="W131" s="3">
        <f>CurrentMtgRatesDataTable82523[[#This Row],[pct_dq]]*100</f>
        <v>0.25716063952910667</v>
      </c>
    </row>
    <row r="132" spans="3:23">
      <c r="C132" s="40" t="s">
        <v>73</v>
      </c>
      <c r="D132" s="40" t="s">
        <v>74</v>
      </c>
      <c r="E132" s="40">
        <v>31924370768.91</v>
      </c>
      <c r="F132" s="41">
        <v>42036</v>
      </c>
      <c r="G132" s="40">
        <v>143082</v>
      </c>
      <c r="H132" s="40">
        <v>331425387.7009384</v>
      </c>
      <c r="I132" s="40">
        <v>1736088.91</v>
      </c>
      <c r="J132" s="40">
        <v>1.0381579330099176E-2</v>
      </c>
      <c r="K132" s="40">
        <v>5.4381303943842012E-5</v>
      </c>
      <c r="L132" s="40">
        <v>11.7706</v>
      </c>
      <c r="M132" s="40">
        <v>6.5199999999999994E-2</v>
      </c>
      <c r="N132" s="40">
        <v>2.9207395505131081E-3</v>
      </c>
      <c r="O132" s="40">
        <v>1509871673.3847001</v>
      </c>
      <c r="P132" s="40">
        <v>2606065.65</v>
      </c>
      <c r="Q132" s="40">
        <v>4.9500000000000002E-2</v>
      </c>
      <c r="R132" s="40">
        <v>0</v>
      </c>
      <c r="S132" s="40">
        <v>1</v>
      </c>
      <c r="T132" s="104">
        <v>42064</v>
      </c>
      <c r="U132" s="40">
        <v>10969997.940938387</v>
      </c>
      <c r="V132" s="3">
        <f>CurrentMtgRatesDataTable82523[[#This Row],[cum_df_pct]]*100</f>
        <v>0</v>
      </c>
      <c r="W132" s="3">
        <f>CurrentMtgRatesDataTable82523[[#This Row],[pct_dq]]*100</f>
        <v>0.29207395505131079</v>
      </c>
    </row>
    <row r="133" spans="3:23">
      <c r="C133" s="40" t="s">
        <v>73</v>
      </c>
      <c r="D133" s="40" t="s">
        <v>74</v>
      </c>
      <c r="E133" s="40">
        <v>31541680808.580002</v>
      </c>
      <c r="F133" s="41">
        <v>42064</v>
      </c>
      <c r="G133" s="40">
        <v>141849</v>
      </c>
      <c r="H133" s="40">
        <v>408245799.66475695</v>
      </c>
      <c r="I133" s="40">
        <v>2205360.34</v>
      </c>
      <c r="J133" s="40">
        <v>1.2943057858657472E-2</v>
      </c>
      <c r="K133" s="40">
        <v>6.991892262761392E-5</v>
      </c>
      <c r="L133" s="40">
        <v>14.472300000000001</v>
      </c>
      <c r="M133" s="40">
        <v>8.3799999999999999E-2</v>
      </c>
      <c r="N133" s="40">
        <v>3.3675156205089335E-3</v>
      </c>
      <c r="O133" s="40">
        <v>1918117473.0495</v>
      </c>
      <c r="P133" s="40">
        <v>4811425.99</v>
      </c>
      <c r="Q133" s="40">
        <v>6.2899999999999998E-2</v>
      </c>
      <c r="R133" s="40">
        <v>1E-4</v>
      </c>
      <c r="S133" s="40">
        <v>1</v>
      </c>
      <c r="T133" s="104">
        <v>42095</v>
      </c>
      <c r="U133" s="40">
        <v>11113716.674756959</v>
      </c>
      <c r="V133" s="3">
        <f>CurrentMtgRatesDataTable82523[[#This Row],[cum_df_pct]]*100</f>
        <v>0.01</v>
      </c>
      <c r="W133" s="3">
        <f>CurrentMtgRatesDataTable82523[[#This Row],[pct_dq]]*100</f>
        <v>0.33675156205089335</v>
      </c>
    </row>
    <row r="134" spans="3:23">
      <c r="C134" s="40" t="s">
        <v>73</v>
      </c>
      <c r="D134" s="40" t="s">
        <v>74</v>
      </c>
      <c r="E134" s="40">
        <v>31080609964.099998</v>
      </c>
      <c r="F134" s="41">
        <v>42095</v>
      </c>
      <c r="G134" s="40">
        <v>140266</v>
      </c>
      <c r="H134" s="40">
        <v>346722153.68206829</v>
      </c>
      <c r="I134" s="40">
        <v>1554543.77</v>
      </c>
      <c r="J134" s="40">
        <v>1.1155577515452673E-2</v>
      </c>
      <c r="K134" s="40">
        <v>5.0016514212417096E-5</v>
      </c>
      <c r="L134" s="40">
        <v>12.5951</v>
      </c>
      <c r="M134" s="40">
        <v>0.06</v>
      </c>
      <c r="N134" s="40">
        <v>2.5092646801360271E-3</v>
      </c>
      <c r="O134" s="40">
        <v>2264839626.7315001</v>
      </c>
      <c r="P134" s="40">
        <v>6365969.7599999998</v>
      </c>
      <c r="Q134" s="40">
        <v>7.4300000000000005E-2</v>
      </c>
      <c r="R134" s="40">
        <v>2.0000000000000001E-4</v>
      </c>
      <c r="S134" s="40">
        <v>1</v>
      </c>
      <c r="T134" s="104">
        <v>42125</v>
      </c>
      <c r="U134" s="40">
        <v>13102285.252068263</v>
      </c>
      <c r="V134" s="3">
        <f>CurrentMtgRatesDataTable82523[[#This Row],[cum_df_pct]]*100</f>
        <v>0.02</v>
      </c>
      <c r="W134" s="3">
        <f>CurrentMtgRatesDataTable82523[[#This Row],[pct_dq]]*100</f>
        <v>0.25092646801360269</v>
      </c>
    </row>
    <row r="135" spans="3:23">
      <c r="C135" s="40" t="s">
        <v>73</v>
      </c>
      <c r="D135" s="40" t="s">
        <v>74</v>
      </c>
      <c r="E135" s="40">
        <v>30681406216.549999</v>
      </c>
      <c r="F135" s="41">
        <v>42125</v>
      </c>
      <c r="G135" s="40">
        <v>138896</v>
      </c>
      <c r="H135" s="40">
        <v>347960548.76959467</v>
      </c>
      <c r="I135" s="40">
        <v>1547448.28</v>
      </c>
      <c r="J135" s="40">
        <v>1.1341088681323207E-2</v>
      </c>
      <c r="K135" s="40">
        <v>5.0436028553517985E-5</v>
      </c>
      <c r="L135" s="40">
        <v>12.791600000000001</v>
      </c>
      <c r="M135" s="40">
        <v>6.0499999999999998E-2</v>
      </c>
      <c r="N135" s="40">
        <v>2.9310412901313262E-3</v>
      </c>
      <c r="O135" s="40">
        <v>2612800175.5011001</v>
      </c>
      <c r="P135" s="40">
        <v>7913418.04</v>
      </c>
      <c r="Q135" s="40">
        <v>8.5699999999999998E-2</v>
      </c>
      <c r="R135" s="40">
        <v>2.0000000000000001E-4</v>
      </c>
      <c r="S135" s="40">
        <v>1</v>
      </c>
      <c r="T135" s="104">
        <v>42156</v>
      </c>
      <c r="U135" s="40">
        <v>11727901.499594681</v>
      </c>
      <c r="V135" s="3">
        <f>CurrentMtgRatesDataTable82523[[#This Row],[cum_df_pct]]*100</f>
        <v>0.02</v>
      </c>
      <c r="W135" s="3">
        <f>CurrentMtgRatesDataTable82523[[#This Row],[pct_dq]]*100</f>
        <v>0.2931041290131326</v>
      </c>
    </row>
    <row r="136" spans="3:23">
      <c r="C136" s="3" t="s">
        <v>73</v>
      </c>
      <c r="D136" s="3" t="s">
        <v>74</v>
      </c>
      <c r="E136" s="3">
        <v>30281605272.830002</v>
      </c>
      <c r="F136" s="104">
        <v>42156</v>
      </c>
      <c r="G136" s="3">
        <v>137461</v>
      </c>
      <c r="H136" s="3">
        <v>354745330.62694341</v>
      </c>
      <c r="I136" s="3">
        <v>1536908.01</v>
      </c>
      <c r="J136" s="3">
        <v>1.1714878634430806E-2</v>
      </c>
      <c r="K136" s="3">
        <v>5.0753848620402634E-5</v>
      </c>
      <c r="L136" s="3">
        <v>13.186500000000001</v>
      </c>
      <c r="M136" s="3">
        <v>6.08E-2</v>
      </c>
      <c r="N136" s="3">
        <v>3.720971494239072E-3</v>
      </c>
      <c r="O136" s="3">
        <v>2967545506.1280999</v>
      </c>
      <c r="P136" s="3">
        <v>9450326.0500000007</v>
      </c>
      <c r="Q136" s="3">
        <v>9.74E-2</v>
      </c>
      <c r="R136" s="3">
        <v>2.9999999999999997E-4</v>
      </c>
      <c r="S136" s="3">
        <v>1</v>
      </c>
      <c r="T136" s="104">
        <v>42186</v>
      </c>
      <c r="U136" s="3">
        <v>9504941.2969434205</v>
      </c>
      <c r="V136" s="105">
        <f>CurrentMtgRatesDataTable82523[[#This Row],[cum_df_pct]]*100</f>
        <v>0.03</v>
      </c>
      <c r="W136" s="105">
        <f>CurrentMtgRatesDataTable82523[[#This Row],[pct_dq]]*100</f>
        <v>0.3720971494239072</v>
      </c>
    </row>
    <row r="137" spans="3:23">
      <c r="C137" s="3" t="s">
        <v>73</v>
      </c>
      <c r="D137" s="3" t="s">
        <v>74</v>
      </c>
      <c r="E137" s="3">
        <v>29875609801.369999</v>
      </c>
      <c r="F137" s="104">
        <v>42186</v>
      </c>
      <c r="G137" s="3">
        <v>135963</v>
      </c>
      <c r="H137" s="3">
        <v>323646857.82485408</v>
      </c>
      <c r="I137" s="3">
        <v>2043367.79</v>
      </c>
      <c r="J137" s="3">
        <v>1.0833146502335583E-2</v>
      </c>
      <c r="K137" s="3">
        <v>6.839585212102676E-5</v>
      </c>
      <c r="L137" s="3">
        <v>12.2525</v>
      </c>
      <c r="M137" s="3">
        <v>8.2000000000000003E-2</v>
      </c>
      <c r="N137" s="3">
        <v>3.6970535501817618E-3</v>
      </c>
      <c r="O137" s="3">
        <v>3291192363.9528999</v>
      </c>
      <c r="P137" s="3">
        <v>11493693.84</v>
      </c>
      <c r="Q137" s="3">
        <v>0.108</v>
      </c>
      <c r="R137" s="3">
        <v>2.9999999999999997E-4</v>
      </c>
      <c r="S137" s="3">
        <v>1</v>
      </c>
      <c r="T137" s="104">
        <v>42217</v>
      </c>
      <c r="U137" s="3">
        <v>10598959.924854057</v>
      </c>
      <c r="V137" s="105">
        <f>CurrentMtgRatesDataTable82523[[#This Row],[cum_df_pct]]*100</f>
        <v>0.03</v>
      </c>
      <c r="W137" s="105">
        <f>CurrentMtgRatesDataTable82523[[#This Row],[pct_dq]]*100</f>
        <v>0.3697053550181762</v>
      </c>
    </row>
    <row r="138" spans="3:23">
      <c r="C138" s="3" t="s">
        <v>73</v>
      </c>
      <c r="D138" s="3" t="s">
        <v>74</v>
      </c>
      <c r="E138" s="3">
        <v>29500630953.099998</v>
      </c>
      <c r="F138" s="104">
        <v>42217</v>
      </c>
      <c r="G138" s="3">
        <v>134566</v>
      </c>
      <c r="H138" s="3">
        <v>284924690.60868526</v>
      </c>
      <c r="I138" s="3">
        <v>3005330.5</v>
      </c>
      <c r="J138" s="3">
        <v>9.6582575152937417E-3</v>
      </c>
      <c r="K138" s="3">
        <v>1.018734312760247E-4</v>
      </c>
      <c r="L138" s="3">
        <v>10.993600000000001</v>
      </c>
      <c r="M138" s="3">
        <v>0.1221</v>
      </c>
      <c r="N138" s="3">
        <v>3.6414265891730555E-3</v>
      </c>
      <c r="O138" s="3">
        <v>3576117054.5616002</v>
      </c>
      <c r="P138" s="3">
        <v>14499024.34</v>
      </c>
      <c r="Q138" s="3">
        <v>0.1174</v>
      </c>
      <c r="R138" s="3">
        <v>4.0000000000000002E-4</v>
      </c>
      <c r="S138" s="3">
        <v>1</v>
      </c>
      <c r="T138" s="104">
        <v>42248</v>
      </c>
      <c r="U138" s="3">
        <v>11253280.268685244</v>
      </c>
      <c r="V138" s="105">
        <f>CurrentMtgRatesDataTable82523[[#This Row],[cum_df_pct]]*100</f>
        <v>0.04</v>
      </c>
      <c r="W138" s="105">
        <f>CurrentMtgRatesDataTable82523[[#This Row],[pct_dq]]*100</f>
        <v>0.36414265891730557</v>
      </c>
    </row>
    <row r="139" spans="3:23">
      <c r="C139" s="3" t="s">
        <v>73</v>
      </c>
      <c r="D139" s="3" t="s">
        <v>74</v>
      </c>
      <c r="E139" s="3">
        <v>29164762441.799999</v>
      </c>
      <c r="F139" s="104">
        <v>42248</v>
      </c>
      <c r="G139" s="3">
        <v>133335</v>
      </c>
      <c r="H139" s="3">
        <v>277342847.26417929</v>
      </c>
      <c r="I139" s="3">
        <v>3252727.93</v>
      </c>
      <c r="J139" s="3">
        <v>9.5095184751678771E-3</v>
      </c>
      <c r="K139" s="3">
        <v>1.1152938195505655E-4</v>
      </c>
      <c r="L139" s="3">
        <v>10.833</v>
      </c>
      <c r="M139" s="3">
        <v>0.13370000000000001</v>
      </c>
      <c r="N139" s="3">
        <v>4.1481829149619936E-3</v>
      </c>
      <c r="O139" s="3">
        <v>3853459901.8257999</v>
      </c>
      <c r="P139" s="3">
        <v>17751752.27</v>
      </c>
      <c r="Q139" s="3">
        <v>0.1265</v>
      </c>
      <c r="R139" s="3">
        <v>5.0000000000000001E-4</v>
      </c>
      <c r="S139" s="3">
        <v>1</v>
      </c>
      <c r="T139" s="104">
        <v>42278</v>
      </c>
      <c r="U139" s="3">
        <v>11332454.834179306</v>
      </c>
      <c r="V139" s="105">
        <f>CurrentMtgRatesDataTable82523[[#This Row],[cum_df_pct]]*100</f>
        <v>0.05</v>
      </c>
      <c r="W139" s="105">
        <f>CurrentMtgRatesDataTable82523[[#This Row],[pct_dq]]*100</f>
        <v>0.41481829149619937</v>
      </c>
    </row>
    <row r="140" spans="3:23">
      <c r="C140" s="3" t="s">
        <v>75</v>
      </c>
      <c r="D140" s="3" t="s">
        <v>76</v>
      </c>
      <c r="E140" s="3">
        <v>8000610178.8900003</v>
      </c>
      <c r="F140" s="104">
        <v>41913</v>
      </c>
      <c r="G140" s="3">
        <v>36226</v>
      </c>
      <c r="H140" s="3">
        <v>57812668.998420507</v>
      </c>
      <c r="I140" s="3">
        <v>0</v>
      </c>
      <c r="J140" s="3">
        <v>7.2260324782429794E-3</v>
      </c>
      <c r="K140" s="3">
        <v>0</v>
      </c>
      <c r="L140" s="3">
        <v>8.3346999999999998</v>
      </c>
      <c r="M140" s="3">
        <v>0</v>
      </c>
      <c r="N140" s="3">
        <v>1.6508230928247041E-3</v>
      </c>
      <c r="O140" s="3">
        <v>57812668.998400003</v>
      </c>
      <c r="P140" s="3">
        <v>0</v>
      </c>
      <c r="Q140" s="3">
        <v>8.8000000000000005E-3</v>
      </c>
      <c r="R140" s="3">
        <v>0</v>
      </c>
      <c r="S140" s="3">
        <v>1</v>
      </c>
      <c r="T140" s="104">
        <v>41944</v>
      </c>
      <c r="U140" s="3">
        <v>3091391.9884205097</v>
      </c>
      <c r="V140" s="105">
        <f>CurrentMtgRatesDataTable82523[[#This Row],[cum_df_pct]]*100</f>
        <v>0</v>
      </c>
      <c r="W140" s="105">
        <f>CurrentMtgRatesDataTable82523[[#This Row],[pct_dq]]*100</f>
        <v>0.16508230928247042</v>
      </c>
    </row>
    <row r="141" spans="3:23">
      <c r="C141" s="3" t="s">
        <v>75</v>
      </c>
      <c r="D141" s="3" t="s">
        <v>76</v>
      </c>
      <c r="E141" s="3">
        <v>7932337047.4300003</v>
      </c>
      <c r="F141" s="104">
        <v>41944</v>
      </c>
      <c r="G141" s="3">
        <v>36025</v>
      </c>
      <c r="H141" s="3">
        <v>121433940.52068634</v>
      </c>
      <c r="I141" s="3">
        <v>0</v>
      </c>
      <c r="J141" s="3">
        <v>1.5308721729118881E-2</v>
      </c>
      <c r="K141" s="3">
        <v>0</v>
      </c>
      <c r="L141" s="3">
        <v>16.899899999999999</v>
      </c>
      <c r="M141" s="3">
        <v>0</v>
      </c>
      <c r="N141" s="3">
        <v>1.7848004850710344E-3</v>
      </c>
      <c r="O141" s="3">
        <v>179246609.51910001</v>
      </c>
      <c r="P141" s="3">
        <v>0</v>
      </c>
      <c r="Q141" s="3">
        <v>2.7300000000000001E-2</v>
      </c>
      <c r="R141" s="3">
        <v>0</v>
      </c>
      <c r="S141" s="3">
        <v>1</v>
      </c>
      <c r="T141" s="104">
        <v>41974</v>
      </c>
      <c r="U141" s="3">
        <v>2893082.95068635</v>
      </c>
      <c r="V141" s="105">
        <f>CurrentMtgRatesDataTable82523[[#This Row],[cum_df_pct]]*100</f>
        <v>0</v>
      </c>
      <c r="W141" s="105">
        <f>CurrentMtgRatesDataTable82523[[#This Row],[pct_dq]]*100</f>
        <v>0.17848004850710344</v>
      </c>
    </row>
    <row r="142" spans="3:23">
      <c r="C142" s="3" t="s">
        <v>75</v>
      </c>
      <c r="D142" s="3" t="s">
        <v>76</v>
      </c>
      <c r="E142" s="3">
        <v>7800430279.4899998</v>
      </c>
      <c r="F142" s="104">
        <v>41974</v>
      </c>
      <c r="G142" s="3">
        <v>35630</v>
      </c>
      <c r="H142" s="3">
        <v>106328485.75895104</v>
      </c>
      <c r="I142" s="3">
        <v>0</v>
      </c>
      <c r="J142" s="3">
        <v>1.3631105201789317E-2</v>
      </c>
      <c r="K142" s="3">
        <v>0</v>
      </c>
      <c r="L142" s="3">
        <v>15.185</v>
      </c>
      <c r="M142" s="3">
        <v>0</v>
      </c>
      <c r="N142" s="3">
        <v>3.1661858557903494E-3</v>
      </c>
      <c r="O142" s="3">
        <v>285575095.278</v>
      </c>
      <c r="P142" s="3">
        <v>0</v>
      </c>
      <c r="Q142" s="3">
        <v>4.36E-2</v>
      </c>
      <c r="R142" s="3">
        <v>0</v>
      </c>
      <c r="S142" s="3">
        <v>1</v>
      </c>
      <c r="T142" s="104">
        <v>42005</v>
      </c>
      <c r="U142" s="3">
        <v>3376512.2889510342</v>
      </c>
      <c r="V142" s="105">
        <f>CurrentMtgRatesDataTable82523[[#This Row],[cum_df_pct]]*100</f>
        <v>0</v>
      </c>
      <c r="W142" s="105">
        <f>CurrentMtgRatesDataTable82523[[#This Row],[pct_dq]]*100</f>
        <v>0.31661858557903494</v>
      </c>
    </row>
    <row r="143" spans="3:23">
      <c r="C143" s="3" t="s">
        <v>75</v>
      </c>
      <c r="D143" s="3" t="s">
        <v>76</v>
      </c>
      <c r="E143" s="3">
        <v>7683642798.5</v>
      </c>
      <c r="F143" s="104">
        <v>42005</v>
      </c>
      <c r="G143" s="3">
        <v>35266</v>
      </c>
      <c r="H143" s="3">
        <v>112788196.02796765</v>
      </c>
      <c r="I143" s="3">
        <v>0</v>
      </c>
      <c r="J143" s="3">
        <v>1.4679000441039002E-2</v>
      </c>
      <c r="K143" s="3">
        <v>0</v>
      </c>
      <c r="L143" s="3">
        <v>16.260000000000002</v>
      </c>
      <c r="M143" s="3">
        <v>0</v>
      </c>
      <c r="N143" s="3">
        <v>3.3879402156854442E-3</v>
      </c>
      <c r="O143" s="3">
        <v>398363291.30599999</v>
      </c>
      <c r="P143" s="3">
        <v>0</v>
      </c>
      <c r="Q143" s="3">
        <v>6.08E-2</v>
      </c>
      <c r="R143" s="3">
        <v>0</v>
      </c>
      <c r="S143" s="3">
        <v>1</v>
      </c>
      <c r="T143" s="104">
        <v>42036</v>
      </c>
      <c r="U143" s="3">
        <v>2476183.0979676442</v>
      </c>
      <c r="V143" s="105">
        <f>CurrentMtgRatesDataTable82523[[#This Row],[cum_df_pct]]*100</f>
        <v>0</v>
      </c>
      <c r="W143" s="105">
        <f>CurrentMtgRatesDataTable82523[[#This Row],[pct_dq]]*100</f>
        <v>0.33879402156854443</v>
      </c>
    </row>
    <row r="144" spans="3:23">
      <c r="C144" s="3" t="s">
        <v>75</v>
      </c>
      <c r="D144" s="3" t="s">
        <v>76</v>
      </c>
      <c r="E144" s="3">
        <v>7560282083.3699999</v>
      </c>
      <c r="F144" s="104">
        <v>42036</v>
      </c>
      <c r="G144" s="3">
        <v>34867</v>
      </c>
      <c r="H144" s="3">
        <v>207872487.93407756</v>
      </c>
      <c r="I144" s="3">
        <v>0</v>
      </c>
      <c r="J144" s="3">
        <v>2.7495334914992786E-2</v>
      </c>
      <c r="K144" s="3">
        <v>0</v>
      </c>
      <c r="L144" s="3">
        <v>28.434999999999999</v>
      </c>
      <c r="M144" s="3">
        <v>0</v>
      </c>
      <c r="N144" s="3">
        <v>3.9987890619187167E-3</v>
      </c>
      <c r="O144" s="3">
        <v>606235779.24010003</v>
      </c>
      <c r="P144" s="3">
        <v>0</v>
      </c>
      <c r="Q144" s="3">
        <v>9.2499999999999999E-2</v>
      </c>
      <c r="R144" s="3">
        <v>0</v>
      </c>
      <c r="S144" s="3">
        <v>1</v>
      </c>
      <c r="T144" s="104">
        <v>42064</v>
      </c>
      <c r="U144" s="3">
        <v>2300417.3440775704</v>
      </c>
      <c r="V144" s="105">
        <f>CurrentMtgRatesDataTable82523[[#This Row],[cum_df_pct]]*100</f>
        <v>0</v>
      </c>
      <c r="W144" s="105">
        <f>CurrentMtgRatesDataTable82523[[#This Row],[pct_dq]]*100</f>
        <v>0.39987890619187166</v>
      </c>
    </row>
    <row r="145" spans="3:23">
      <c r="C145" s="3" t="s">
        <v>75</v>
      </c>
      <c r="D145" s="3" t="s">
        <v>76</v>
      </c>
      <c r="E145" s="3">
        <v>7342769532.79</v>
      </c>
      <c r="F145" s="104">
        <v>42064</v>
      </c>
      <c r="G145" s="3">
        <v>34126</v>
      </c>
      <c r="H145" s="3">
        <v>259048455.31784421</v>
      </c>
      <c r="I145" s="3">
        <v>1143031.8799999999</v>
      </c>
      <c r="J145" s="3">
        <v>3.5279393444262806E-2</v>
      </c>
      <c r="K145" s="3">
        <v>1.5566767755622137E-4</v>
      </c>
      <c r="L145" s="3">
        <v>35.014099999999999</v>
      </c>
      <c r="M145" s="3">
        <v>0.18659999999999999</v>
      </c>
      <c r="N145" s="3">
        <v>4.8882000789642003E-3</v>
      </c>
      <c r="O145" s="3">
        <v>865284234.55789995</v>
      </c>
      <c r="P145" s="3">
        <v>1143031.8799999999</v>
      </c>
      <c r="Q145" s="3">
        <v>0.1321</v>
      </c>
      <c r="R145" s="3">
        <v>1E-4</v>
      </c>
      <c r="S145" s="3">
        <v>1</v>
      </c>
      <c r="T145" s="104">
        <v>42095</v>
      </c>
      <c r="U145" s="3">
        <v>2121101.1678442201</v>
      </c>
      <c r="V145" s="105">
        <f>CurrentMtgRatesDataTable82523[[#This Row],[cum_df_pct]]*100</f>
        <v>0.01</v>
      </c>
      <c r="W145" s="105">
        <f>CurrentMtgRatesDataTable82523[[#This Row],[pct_dq]]*100</f>
        <v>0.48882000789642005</v>
      </c>
    </row>
    <row r="146" spans="3:23">
      <c r="C146" s="3" t="s">
        <v>75</v>
      </c>
      <c r="D146" s="3" t="s">
        <v>76</v>
      </c>
      <c r="E146" s="3">
        <v>7073056405.8999996</v>
      </c>
      <c r="F146" s="104">
        <v>42095</v>
      </c>
      <c r="G146" s="3">
        <v>33186</v>
      </c>
      <c r="H146" s="3">
        <v>148931398.52597862</v>
      </c>
      <c r="I146" s="3">
        <v>600270.37</v>
      </c>
      <c r="J146" s="3">
        <v>2.1056158749384112E-2</v>
      </c>
      <c r="K146" s="3">
        <v>8.4867182665089962E-5</v>
      </c>
      <c r="L146" s="3">
        <v>22.537099999999999</v>
      </c>
      <c r="M146" s="3">
        <v>0.1017</v>
      </c>
      <c r="N146" s="3">
        <v>3.7001957948714849E-3</v>
      </c>
      <c r="O146" s="3">
        <v>1014215633.0839</v>
      </c>
      <c r="P146" s="3">
        <v>1743302.25</v>
      </c>
      <c r="Q146" s="3">
        <v>0.15479999999999999</v>
      </c>
      <c r="R146" s="3">
        <v>2.0000000000000001E-4</v>
      </c>
      <c r="S146" s="3">
        <v>1</v>
      </c>
      <c r="T146" s="104">
        <v>42125</v>
      </c>
      <c r="U146" s="3">
        <v>2705690.1059786361</v>
      </c>
      <c r="V146" s="105">
        <f>CurrentMtgRatesDataTable82523[[#This Row],[cum_df_pct]]*100</f>
        <v>0.02</v>
      </c>
      <c r="W146" s="105">
        <f>CurrentMtgRatesDataTable82523[[#This Row],[pct_dq]]*100</f>
        <v>0.37001957948714848</v>
      </c>
    </row>
    <row r="147" spans="3:23">
      <c r="C147" s="3" t="s">
        <v>75</v>
      </c>
      <c r="D147" s="3" t="s">
        <v>76</v>
      </c>
      <c r="E147" s="3">
        <v>6913666895.29</v>
      </c>
      <c r="F147" s="104">
        <v>42125</v>
      </c>
      <c r="G147" s="3">
        <v>32636</v>
      </c>
      <c r="H147" s="3">
        <v>136529973.6468398</v>
      </c>
      <c r="I147" s="3">
        <v>631441.91</v>
      </c>
      <c r="J147" s="3">
        <v>1.9747837972907273E-2</v>
      </c>
      <c r="K147" s="3">
        <v>9.1332417306679283E-5</v>
      </c>
      <c r="L147" s="3">
        <v>21.285599999999999</v>
      </c>
      <c r="M147" s="3">
        <v>0.1095</v>
      </c>
      <c r="N147" s="3">
        <v>4.3768078138989837E-3</v>
      </c>
      <c r="O147" s="3">
        <v>1150745606.7307</v>
      </c>
      <c r="P147" s="3">
        <v>2374744.16</v>
      </c>
      <c r="Q147" s="3">
        <v>0.1757</v>
      </c>
      <c r="R147" s="3">
        <v>2.9999999999999997E-4</v>
      </c>
      <c r="S147" s="3">
        <v>1</v>
      </c>
      <c r="T147" s="104">
        <v>42156</v>
      </c>
      <c r="U147" s="3">
        <v>2330981.1668397933</v>
      </c>
      <c r="V147" s="105">
        <f>CurrentMtgRatesDataTable82523[[#This Row],[cum_df_pct]]*100</f>
        <v>0.03</v>
      </c>
      <c r="W147" s="105">
        <f>CurrentMtgRatesDataTable82523[[#This Row],[pct_dq]]*100</f>
        <v>0.43768078138989835</v>
      </c>
    </row>
    <row r="148" spans="3:23">
      <c r="C148" s="3" t="s">
        <v>75</v>
      </c>
      <c r="D148" s="3" t="s">
        <v>76</v>
      </c>
      <c r="E148" s="3">
        <v>6767148341.4099998</v>
      </c>
      <c r="F148" s="104">
        <v>42156</v>
      </c>
      <c r="G148" s="3">
        <v>32117</v>
      </c>
      <c r="H148" s="3">
        <v>124241608.64817961</v>
      </c>
      <c r="I148" s="3">
        <v>927611.53</v>
      </c>
      <c r="J148" s="3">
        <v>1.8359521969972464E-2</v>
      </c>
      <c r="K148" s="3">
        <v>1.3707569026139056E-4</v>
      </c>
      <c r="L148" s="3">
        <v>19.9374</v>
      </c>
      <c r="M148" s="3">
        <v>0.1643</v>
      </c>
      <c r="N148" s="3">
        <v>5.7942973305399777E-3</v>
      </c>
      <c r="O148" s="3">
        <v>1274987215.3789001</v>
      </c>
      <c r="P148" s="3">
        <v>3302355.69</v>
      </c>
      <c r="Q148" s="3">
        <v>0.19470000000000001</v>
      </c>
      <c r="R148" s="3">
        <v>5.0000000000000001E-4</v>
      </c>
      <c r="S148" s="3">
        <v>1</v>
      </c>
      <c r="T148" s="104">
        <v>42186</v>
      </c>
      <c r="U148" s="3">
        <v>1887881.6981796056</v>
      </c>
      <c r="V148" s="105">
        <f>CurrentMtgRatesDataTable82523[[#This Row],[cum_df_pct]]*100</f>
        <v>0.05</v>
      </c>
      <c r="W148" s="105">
        <f>CurrentMtgRatesDataTable82523[[#This Row],[pct_dq]]*100</f>
        <v>0.57942973305399781</v>
      </c>
    </row>
    <row r="149" spans="3:23">
      <c r="C149" s="3" t="s">
        <v>75</v>
      </c>
      <c r="D149" s="3" t="s">
        <v>76</v>
      </c>
      <c r="E149" s="3">
        <v>6632739546.4499998</v>
      </c>
      <c r="F149" s="104">
        <v>42186</v>
      </c>
      <c r="G149" s="3">
        <v>31630</v>
      </c>
      <c r="H149" s="3">
        <v>90475796.303769037</v>
      </c>
      <c r="I149" s="3">
        <v>1459708.62</v>
      </c>
      <c r="J149" s="3">
        <v>1.3640788345472398E-2</v>
      </c>
      <c r="K149" s="3">
        <v>2.2007627614162398E-4</v>
      </c>
      <c r="L149" s="3">
        <v>15.195</v>
      </c>
      <c r="M149" s="3">
        <v>0.26369999999999999</v>
      </c>
      <c r="N149" s="3">
        <v>5.3953086517852713E-3</v>
      </c>
      <c r="O149" s="3">
        <v>1365463011.6826999</v>
      </c>
      <c r="P149" s="3">
        <v>4762064.3099999996</v>
      </c>
      <c r="Q149" s="3">
        <v>0.20849999999999999</v>
      </c>
      <c r="R149" s="3">
        <v>6.9999999999999999E-4</v>
      </c>
      <c r="S149" s="3">
        <v>1</v>
      </c>
      <c r="T149" s="104">
        <v>42217</v>
      </c>
      <c r="U149" s="3">
        <v>1723598.2737690406</v>
      </c>
      <c r="V149" s="105">
        <f>CurrentMtgRatesDataTable82523[[#This Row],[cum_df_pct]]*100</f>
        <v>6.9999999999999993E-2</v>
      </c>
      <c r="W149" s="105">
        <f>CurrentMtgRatesDataTable82523[[#This Row],[pct_dq]]*100</f>
        <v>0.53953086517852711</v>
      </c>
    </row>
    <row r="150" spans="3:23">
      <c r="C150" s="3" t="s">
        <v>75</v>
      </c>
      <c r="D150" s="3" t="s">
        <v>76</v>
      </c>
      <c r="E150" s="3">
        <v>6531730329.0900002</v>
      </c>
      <c r="F150" s="104">
        <v>42217</v>
      </c>
      <c r="G150" s="3">
        <v>31247</v>
      </c>
      <c r="H150" s="3">
        <v>83147221.017009094</v>
      </c>
      <c r="I150" s="3">
        <v>1028773.68</v>
      </c>
      <c r="J150" s="3">
        <v>1.2729738802396817E-2</v>
      </c>
      <c r="K150" s="3">
        <v>1.5750400401838522E-4</v>
      </c>
      <c r="L150" s="3">
        <v>14.2502</v>
      </c>
      <c r="M150" s="3">
        <v>0.1888</v>
      </c>
      <c r="N150" s="3">
        <v>5.7403589479211896E-3</v>
      </c>
      <c r="O150" s="3">
        <v>1448610232.6997001</v>
      </c>
      <c r="P150" s="3">
        <v>5790837.9900000002</v>
      </c>
      <c r="Q150" s="3">
        <v>0.22120000000000001</v>
      </c>
      <c r="R150" s="3">
        <v>8.0000000000000004E-4</v>
      </c>
      <c r="S150" s="3">
        <v>1</v>
      </c>
      <c r="T150" s="104">
        <v>42248</v>
      </c>
      <c r="U150" s="3">
        <v>2289436.8170090988</v>
      </c>
      <c r="V150" s="105">
        <f>CurrentMtgRatesDataTable82523[[#This Row],[cum_df_pct]]*100</f>
        <v>0.08</v>
      </c>
      <c r="W150" s="105">
        <f>CurrentMtgRatesDataTable82523[[#This Row],[pct_dq]]*100</f>
        <v>0.57403589479211892</v>
      </c>
    </row>
    <row r="151" spans="3:23">
      <c r="C151" s="3" t="s">
        <v>75</v>
      </c>
      <c r="D151" s="3" t="s">
        <v>76</v>
      </c>
      <c r="E151" s="3">
        <v>6438720328.4099998</v>
      </c>
      <c r="F151" s="104">
        <v>42248</v>
      </c>
      <c r="G151" s="3">
        <v>30896</v>
      </c>
      <c r="H151" s="3">
        <v>95724709.092577711</v>
      </c>
      <c r="I151" s="3">
        <v>676663.79</v>
      </c>
      <c r="J151" s="3">
        <v>1.4867039444189729E-2</v>
      </c>
      <c r="K151" s="3">
        <v>1.0509289975126124E-4</v>
      </c>
      <c r="L151" s="3">
        <v>16.451499999999999</v>
      </c>
      <c r="M151" s="3">
        <v>0.126</v>
      </c>
      <c r="N151" s="3">
        <v>6.7203106134422355E-3</v>
      </c>
      <c r="O151" s="3">
        <v>1544334941.7923</v>
      </c>
      <c r="P151" s="3">
        <v>6467501.7800000003</v>
      </c>
      <c r="Q151" s="3">
        <v>0.23580000000000001</v>
      </c>
      <c r="R151" s="3">
        <v>8.9999999999999998E-4</v>
      </c>
      <c r="S151" s="3">
        <v>1</v>
      </c>
      <c r="T151" s="104">
        <v>42278</v>
      </c>
      <c r="U151" s="3">
        <v>2123702.582577717</v>
      </c>
      <c r="V151" s="105">
        <f>CurrentMtgRatesDataTable82523[[#This Row],[cum_df_pct]]*100</f>
        <v>0.09</v>
      </c>
      <c r="W151" s="105">
        <f>CurrentMtgRatesDataTable82523[[#This Row],[pct_dq]]*100</f>
        <v>0.67203106134422352</v>
      </c>
    </row>
    <row r="152" spans="3:23">
      <c r="C152" s="3" t="s">
        <v>77</v>
      </c>
      <c r="D152" s="3" t="s">
        <v>78</v>
      </c>
      <c r="E152" s="3">
        <v>27594847322.099998</v>
      </c>
      <c r="F152" s="104">
        <v>42036</v>
      </c>
      <c r="G152" s="3">
        <v>121129</v>
      </c>
      <c r="H152" s="3">
        <v>1653325575.956826</v>
      </c>
      <c r="I152" s="3">
        <v>0</v>
      </c>
      <c r="J152" s="3">
        <v>5.9914286049798877E-2</v>
      </c>
      <c r="K152" s="3">
        <v>0</v>
      </c>
      <c r="L152" s="3">
        <v>52.355800000000002</v>
      </c>
      <c r="M152" s="3">
        <v>0</v>
      </c>
      <c r="N152" s="3">
        <v>1.6282007062969602E-3</v>
      </c>
      <c r="O152" s="3">
        <v>1653325575.9568</v>
      </c>
      <c r="P152" s="3">
        <v>0</v>
      </c>
      <c r="Q152" s="3">
        <v>7.1999999999999995E-2</v>
      </c>
      <c r="R152" s="3">
        <v>0</v>
      </c>
      <c r="S152" s="3">
        <v>1</v>
      </c>
      <c r="T152" s="104">
        <v>42064</v>
      </c>
      <c r="U152" s="3">
        <v>17072131.74682593</v>
      </c>
      <c r="V152" s="105">
        <f>CurrentMtgRatesDataTable82523[[#This Row],[cum_df_pct]]*100</f>
        <v>0</v>
      </c>
      <c r="W152" s="105">
        <f>CurrentMtgRatesDataTable82523[[#This Row],[pct_dq]]*100</f>
        <v>0.16282007062969603</v>
      </c>
    </row>
    <row r="153" spans="3:23">
      <c r="C153" s="3" t="s">
        <v>77</v>
      </c>
      <c r="D153" s="3" t="s">
        <v>78</v>
      </c>
      <c r="E153" s="3">
        <v>25907738596.080002</v>
      </c>
      <c r="F153" s="104">
        <v>42064</v>
      </c>
      <c r="G153" s="3">
        <v>116083</v>
      </c>
      <c r="H153" s="3">
        <v>1024886401.3342497</v>
      </c>
      <c r="I153" s="3">
        <v>0</v>
      </c>
      <c r="J153" s="3">
        <v>3.955908376693755E-2</v>
      </c>
      <c r="K153" s="3">
        <v>0</v>
      </c>
      <c r="L153" s="3">
        <v>38.3904</v>
      </c>
      <c r="M153" s="3">
        <v>0</v>
      </c>
      <c r="N153" s="3">
        <v>3.2878214682499638E-3</v>
      </c>
      <c r="O153" s="3">
        <v>2678211977.2909999</v>
      </c>
      <c r="P153" s="3">
        <v>0</v>
      </c>
      <c r="Q153" s="3">
        <v>0.1166</v>
      </c>
      <c r="R153" s="3">
        <v>0</v>
      </c>
      <c r="S153" s="3">
        <v>1</v>
      </c>
      <c r="T153" s="104">
        <v>42095</v>
      </c>
      <c r="U153" s="3">
        <v>14776274.19424976</v>
      </c>
      <c r="V153" s="105">
        <f>CurrentMtgRatesDataTable82523[[#This Row],[cum_df_pct]]*100</f>
        <v>0</v>
      </c>
      <c r="W153" s="105">
        <f>CurrentMtgRatesDataTable82523[[#This Row],[pct_dq]]*100</f>
        <v>0.3287821468249964</v>
      </c>
    </row>
    <row r="154" spans="3:23">
      <c r="C154" s="3" t="s">
        <v>77</v>
      </c>
      <c r="D154" s="3" t="s">
        <v>78</v>
      </c>
      <c r="E154" s="3">
        <v>24847898745.950001</v>
      </c>
      <c r="F154" s="104">
        <v>42095</v>
      </c>
      <c r="G154" s="3">
        <v>112863</v>
      </c>
      <c r="H154" s="3">
        <v>578688779.16778004</v>
      </c>
      <c r="I154" s="3">
        <v>0</v>
      </c>
      <c r="J154" s="3">
        <v>2.3289244096026489E-2</v>
      </c>
      <c r="K154" s="3">
        <v>0</v>
      </c>
      <c r="L154" s="3">
        <v>24.6311</v>
      </c>
      <c r="M154" s="3">
        <v>0</v>
      </c>
      <c r="N154" s="3">
        <v>2.0729003291835792E-3</v>
      </c>
      <c r="O154" s="3">
        <v>3256900756.4587998</v>
      </c>
      <c r="P154" s="3">
        <v>0</v>
      </c>
      <c r="Q154" s="3">
        <v>0.14180000000000001</v>
      </c>
      <c r="R154" s="3">
        <v>0</v>
      </c>
      <c r="S154" s="3">
        <v>1</v>
      </c>
      <c r="T154" s="104">
        <v>42125</v>
      </c>
      <c r="U154" s="3">
        <v>17969785.417780075</v>
      </c>
      <c r="V154" s="105">
        <f>CurrentMtgRatesDataTable82523[[#This Row],[cum_df_pct]]*100</f>
        <v>0</v>
      </c>
      <c r="W154" s="105">
        <f>CurrentMtgRatesDataTable82523[[#This Row],[pct_dq]]*100</f>
        <v>0.20729003291835793</v>
      </c>
    </row>
    <row r="155" spans="3:23">
      <c r="C155" s="3" t="s">
        <v>77</v>
      </c>
      <c r="D155" s="3" t="s">
        <v>78</v>
      </c>
      <c r="E155" s="3">
        <v>24235181840.02</v>
      </c>
      <c r="F155" s="104">
        <v>42125</v>
      </c>
      <c r="G155" s="3">
        <v>110952</v>
      </c>
      <c r="H155" s="3">
        <v>530434890.12425309</v>
      </c>
      <c r="I155" s="3">
        <v>0</v>
      </c>
      <c r="J155" s="3">
        <v>2.1886977932566457E-2</v>
      </c>
      <c r="K155" s="3">
        <v>0</v>
      </c>
      <c r="L155" s="3">
        <v>23.322399999999998</v>
      </c>
      <c r="M155" s="3">
        <v>0</v>
      </c>
      <c r="N155" s="3">
        <v>2.71682245978748E-3</v>
      </c>
      <c r="O155" s="3">
        <v>3787335646.5830998</v>
      </c>
      <c r="P155" s="3">
        <v>0</v>
      </c>
      <c r="Q155" s="3">
        <v>0.16489999999999999</v>
      </c>
      <c r="R155" s="3">
        <v>0</v>
      </c>
      <c r="S155" s="3">
        <v>1</v>
      </c>
      <c r="T155" s="104">
        <v>42156</v>
      </c>
      <c r="U155" s="3">
        <v>16200997.16425311</v>
      </c>
      <c r="V155" s="105">
        <f>CurrentMtgRatesDataTable82523[[#This Row],[cum_df_pct]]*100</f>
        <v>0</v>
      </c>
      <c r="W155" s="105">
        <f>CurrentMtgRatesDataTable82523[[#This Row],[pct_dq]]*100</f>
        <v>0.27168224597874802</v>
      </c>
    </row>
    <row r="156" spans="3:23">
      <c r="C156" s="3" t="s">
        <v>77</v>
      </c>
      <c r="D156" s="3" t="s">
        <v>78</v>
      </c>
      <c r="E156" s="3">
        <v>23671232853.060001</v>
      </c>
      <c r="F156" s="104">
        <v>42156</v>
      </c>
      <c r="G156" s="3">
        <v>109136</v>
      </c>
      <c r="H156" s="3">
        <v>434151122.69739175</v>
      </c>
      <c r="I156" s="3">
        <v>551845.68999999994</v>
      </c>
      <c r="J156" s="3">
        <v>1.8340874993389652E-2</v>
      </c>
      <c r="K156" s="3">
        <v>2.3312925584636899E-5</v>
      </c>
      <c r="L156" s="3">
        <v>19.9191</v>
      </c>
      <c r="M156" s="3">
        <v>2.7900000000000001E-2</v>
      </c>
      <c r="N156" s="3">
        <v>3.489617024713682E-3</v>
      </c>
      <c r="O156" s="3">
        <v>4221486769.2804999</v>
      </c>
      <c r="P156" s="3">
        <v>551845.68999999994</v>
      </c>
      <c r="Q156" s="3">
        <v>0.18379999999999999</v>
      </c>
      <c r="R156" s="3">
        <v>0</v>
      </c>
      <c r="S156" s="3">
        <v>1</v>
      </c>
      <c r="T156" s="104">
        <v>42186</v>
      </c>
      <c r="U156" s="3">
        <v>14938556.817391731</v>
      </c>
      <c r="V156" s="105">
        <f>CurrentMtgRatesDataTable82523[[#This Row],[cum_df_pct]]*100</f>
        <v>0</v>
      </c>
      <c r="W156" s="105">
        <f>CurrentMtgRatesDataTable82523[[#This Row],[pct_dq]]*100</f>
        <v>0.34896170247136821</v>
      </c>
    </row>
    <row r="157" spans="3:23">
      <c r="C157" s="3" t="s">
        <v>77</v>
      </c>
      <c r="D157" s="3" t="s">
        <v>78</v>
      </c>
      <c r="E157" s="3">
        <v>23204440894.529999</v>
      </c>
      <c r="F157" s="104">
        <v>42186</v>
      </c>
      <c r="G157" s="3">
        <v>107563</v>
      </c>
      <c r="H157" s="3">
        <v>302331537.80251056</v>
      </c>
      <c r="I157" s="3">
        <v>434760.44</v>
      </c>
      <c r="J157" s="3">
        <v>1.3029037811196707E-2</v>
      </c>
      <c r="K157" s="3">
        <v>1.8736087715971918E-5</v>
      </c>
      <c r="L157" s="3">
        <v>14.5617</v>
      </c>
      <c r="M157" s="3">
        <v>2.24E-2</v>
      </c>
      <c r="N157" s="3">
        <v>3.4387796117427731E-3</v>
      </c>
      <c r="O157" s="3">
        <v>4523818307.0830002</v>
      </c>
      <c r="P157" s="3">
        <v>986606.13</v>
      </c>
      <c r="Q157" s="3">
        <v>0.19700000000000001</v>
      </c>
      <c r="R157" s="3">
        <v>0</v>
      </c>
      <c r="S157" s="3">
        <v>1</v>
      </c>
      <c r="T157" s="104">
        <v>42217</v>
      </c>
      <c r="U157" s="3">
        <v>15930179.27251053</v>
      </c>
      <c r="V157" s="105">
        <f>CurrentMtgRatesDataTable82523[[#This Row],[cum_df_pct]]*100</f>
        <v>0</v>
      </c>
      <c r="W157" s="105">
        <f>CurrentMtgRatesDataTable82523[[#This Row],[pct_dq]]*100</f>
        <v>0.34387796117427732</v>
      </c>
    </row>
    <row r="158" spans="3:23">
      <c r="C158" s="3" t="s">
        <v>77</v>
      </c>
      <c r="D158" s="3" t="s">
        <v>78</v>
      </c>
      <c r="E158" s="3">
        <v>22870169426.880001</v>
      </c>
      <c r="F158" s="104">
        <v>42217</v>
      </c>
      <c r="G158" s="3">
        <v>106395</v>
      </c>
      <c r="H158" s="3">
        <v>262585706.34744516</v>
      </c>
      <c r="I158" s="3">
        <v>424063.6</v>
      </c>
      <c r="J158" s="3">
        <v>1.1481581156929264E-2</v>
      </c>
      <c r="K158" s="3">
        <v>1.8542215061231041E-5</v>
      </c>
      <c r="L158" s="3">
        <v>12.940200000000001</v>
      </c>
      <c r="M158" s="3">
        <v>2.2200000000000001E-2</v>
      </c>
      <c r="N158" s="3">
        <v>3.5320936851065618E-3</v>
      </c>
      <c r="O158" s="3">
        <v>4786404013.4303999</v>
      </c>
      <c r="P158" s="3">
        <v>1410669.73</v>
      </c>
      <c r="Q158" s="3">
        <v>0.2084</v>
      </c>
      <c r="R158" s="3">
        <v>0</v>
      </c>
      <c r="S158" s="3">
        <v>1</v>
      </c>
      <c r="T158" s="104">
        <v>42248</v>
      </c>
      <c r="U158" s="3">
        <v>12980998.217445148</v>
      </c>
      <c r="V158" s="105">
        <f>CurrentMtgRatesDataTable82523[[#This Row],[cum_df_pct]]*100</f>
        <v>0</v>
      </c>
      <c r="W158" s="105">
        <f>CurrentMtgRatesDataTable82523[[#This Row],[pct_dq]]*100</f>
        <v>0.35320936851065621</v>
      </c>
    </row>
    <row r="159" spans="3:23">
      <c r="C159" s="3" t="s">
        <v>77</v>
      </c>
      <c r="D159" s="3" t="s">
        <v>78</v>
      </c>
      <c r="E159" s="3">
        <v>22575290741.830002</v>
      </c>
      <c r="F159" s="104">
        <v>42248</v>
      </c>
      <c r="G159" s="3">
        <v>105356</v>
      </c>
      <c r="H159" s="3">
        <v>285601044.61883855</v>
      </c>
      <c r="I159" s="3">
        <v>552515.16</v>
      </c>
      <c r="J159" s="3">
        <v>1.2651046132028117E-2</v>
      </c>
      <c r="K159" s="3">
        <v>2.4474331972887449E-5</v>
      </c>
      <c r="L159" s="3">
        <v>14.168200000000001</v>
      </c>
      <c r="M159" s="3">
        <v>2.93E-2</v>
      </c>
      <c r="N159" s="3">
        <v>3.9789972757054487E-3</v>
      </c>
      <c r="O159" s="3">
        <v>5072005058.0492001</v>
      </c>
      <c r="P159" s="3">
        <v>1963184.89</v>
      </c>
      <c r="Q159" s="3">
        <v>0.2208</v>
      </c>
      <c r="R159" s="3">
        <v>0</v>
      </c>
      <c r="S159" s="3">
        <v>1</v>
      </c>
      <c r="T159" s="104">
        <v>42278</v>
      </c>
      <c r="U159" s="3">
        <v>14168097.078838564</v>
      </c>
      <c r="V159" s="105">
        <f>CurrentMtgRatesDataTable82523[[#This Row],[cum_df_pct]]*100</f>
        <v>0</v>
      </c>
      <c r="W159" s="105">
        <f>CurrentMtgRatesDataTable82523[[#This Row],[pct_dq]]*100</f>
        <v>0.39789972757054487</v>
      </c>
    </row>
    <row r="160" spans="3:23">
      <c r="C160" s="3" t="s">
        <v>79</v>
      </c>
      <c r="D160" s="3" t="s">
        <v>80</v>
      </c>
      <c r="E160" s="3">
        <v>31802513580.400002</v>
      </c>
      <c r="F160" s="104">
        <v>42125</v>
      </c>
      <c r="G160" s="3">
        <v>135794</v>
      </c>
      <c r="H160" s="3">
        <v>490913672.82104492</v>
      </c>
      <c r="I160" s="3">
        <v>0</v>
      </c>
      <c r="J160" s="3">
        <v>1.5436316742070246E-2</v>
      </c>
      <c r="K160" s="3">
        <v>0</v>
      </c>
      <c r="L160" s="3">
        <v>17.0291</v>
      </c>
      <c r="M160" s="3">
        <v>0</v>
      </c>
      <c r="N160" s="3">
        <v>7.5054010808474543E-4</v>
      </c>
      <c r="O160" s="3">
        <v>490913672.82099998</v>
      </c>
      <c r="P160" s="3">
        <v>0</v>
      </c>
      <c r="Q160" s="3">
        <v>1.52E-2</v>
      </c>
      <c r="R160" s="3">
        <v>0</v>
      </c>
      <c r="S160" s="3">
        <v>1</v>
      </c>
      <c r="T160" s="104">
        <v>42156</v>
      </c>
      <c r="U160" s="3">
        <v>17135028.091044895</v>
      </c>
      <c r="V160" s="105">
        <f>CurrentMtgRatesDataTable82523[[#This Row],[cum_df_pct]]*100</f>
        <v>0</v>
      </c>
      <c r="W160" s="105">
        <f>CurrentMtgRatesDataTable82523[[#This Row],[pct_dq]]*100</f>
        <v>7.5054010808474542E-2</v>
      </c>
    </row>
    <row r="161" spans="3:23">
      <c r="C161" s="3" t="s">
        <v>79</v>
      </c>
      <c r="D161" s="3" t="s">
        <v>80</v>
      </c>
      <c r="E161" s="3">
        <v>31255911118.709999</v>
      </c>
      <c r="F161" s="104">
        <v>42156</v>
      </c>
      <c r="G161" s="3">
        <v>133819</v>
      </c>
      <c r="H161" s="3">
        <v>298337269.77606767</v>
      </c>
      <c r="I161" s="3">
        <v>0</v>
      </c>
      <c r="J161" s="3">
        <v>9.5449871431673283E-3</v>
      </c>
      <c r="K161" s="3">
        <v>0</v>
      </c>
      <c r="L161" s="3">
        <v>10.8714</v>
      </c>
      <c r="M161" s="3">
        <v>0</v>
      </c>
      <c r="N161" s="3">
        <v>1.1732460740217733E-3</v>
      </c>
      <c r="O161" s="3">
        <v>789250942.59710002</v>
      </c>
      <c r="P161" s="3">
        <v>0</v>
      </c>
      <c r="Q161" s="3">
        <v>2.4400000000000002E-2</v>
      </c>
      <c r="R161" s="3">
        <v>0</v>
      </c>
      <c r="S161" s="3">
        <v>1</v>
      </c>
      <c r="T161" s="104">
        <v>42186</v>
      </c>
      <c r="U161" s="3">
        <v>16348494.77606768</v>
      </c>
      <c r="V161" s="105">
        <f>CurrentMtgRatesDataTable82523[[#This Row],[cum_df_pct]]*100</f>
        <v>0</v>
      </c>
      <c r="W161" s="105">
        <f>CurrentMtgRatesDataTable82523[[#This Row],[pct_dq]]*100</f>
        <v>0.11732460740217733</v>
      </c>
    </row>
    <row r="162" spans="3:23">
      <c r="C162" s="3" t="s">
        <v>79</v>
      </c>
      <c r="D162" s="3" t="s">
        <v>80</v>
      </c>
      <c r="E162" s="3">
        <v>30902656949.099998</v>
      </c>
      <c r="F162" s="104">
        <v>42186</v>
      </c>
      <c r="G162" s="3">
        <v>132605</v>
      </c>
      <c r="H162" s="3">
        <v>272463548.73453063</v>
      </c>
      <c r="I162" s="3">
        <v>0</v>
      </c>
      <c r="J162" s="3">
        <v>8.8168324549991739E-3</v>
      </c>
      <c r="K162" s="3">
        <v>0</v>
      </c>
      <c r="L162" s="3">
        <v>10.081899999999999</v>
      </c>
      <c r="M162" s="3">
        <v>0</v>
      </c>
      <c r="N162" s="3">
        <v>1.2083104272070521E-3</v>
      </c>
      <c r="O162" s="3">
        <v>1061714491.3316</v>
      </c>
      <c r="P162" s="3">
        <v>0</v>
      </c>
      <c r="Q162" s="3">
        <v>3.2800000000000003E-2</v>
      </c>
      <c r="R162" s="3">
        <v>0</v>
      </c>
      <c r="S162" s="3">
        <v>1</v>
      </c>
      <c r="T162" s="104">
        <v>42217</v>
      </c>
      <c r="U162" s="3">
        <v>16625400.504530638</v>
      </c>
      <c r="V162" s="105">
        <f>CurrentMtgRatesDataTable82523[[#This Row],[cum_df_pct]]*100</f>
        <v>0</v>
      </c>
      <c r="W162" s="105">
        <f>CurrentMtgRatesDataTable82523[[#This Row],[pct_dq]]*100</f>
        <v>0.1208310427207052</v>
      </c>
    </row>
    <row r="163" spans="3:23">
      <c r="C163" s="3" t="s">
        <v>79</v>
      </c>
      <c r="D163" s="3" t="s">
        <v>80</v>
      </c>
      <c r="E163" s="3">
        <v>30575343028.310001</v>
      </c>
      <c r="F163" s="104">
        <v>42217</v>
      </c>
      <c r="G163" s="3">
        <v>131496</v>
      </c>
      <c r="H163" s="3">
        <v>218231853.00379854</v>
      </c>
      <c r="I163" s="3">
        <v>0</v>
      </c>
      <c r="J163" s="3">
        <v>7.1375111900375274E-3</v>
      </c>
      <c r="K163" s="3">
        <v>0</v>
      </c>
      <c r="L163" s="3">
        <v>8.2365999999999993</v>
      </c>
      <c r="M163" s="3">
        <v>0</v>
      </c>
      <c r="N163" s="3">
        <v>1.0078302425411327E-3</v>
      </c>
      <c r="O163" s="3">
        <v>1279946344.3354001</v>
      </c>
      <c r="P163" s="3">
        <v>0</v>
      </c>
      <c r="Q163" s="3">
        <v>3.9600000000000003E-2</v>
      </c>
      <c r="R163" s="3">
        <v>0</v>
      </c>
      <c r="S163" s="3">
        <v>1</v>
      </c>
      <c r="T163" s="104">
        <v>42248</v>
      </c>
      <c r="U163" s="3">
        <v>16372366.593798529</v>
      </c>
      <c r="V163" s="105">
        <f>CurrentMtgRatesDataTable82523[[#This Row],[cum_df_pct]]*100</f>
        <v>0</v>
      </c>
      <c r="W163" s="105">
        <f>CurrentMtgRatesDataTable82523[[#This Row],[pct_dq]]*100</f>
        <v>0.10078302425411327</v>
      </c>
    </row>
    <row r="164" spans="3:23">
      <c r="C164" s="3" t="s">
        <v>79</v>
      </c>
      <c r="D164" s="3" t="s">
        <v>80</v>
      </c>
      <c r="E164" s="3">
        <v>30303664565.369999</v>
      </c>
      <c r="F164" s="104">
        <v>42248</v>
      </c>
      <c r="G164" s="3">
        <v>130586</v>
      </c>
      <c r="H164" s="3">
        <v>218457226.39398825</v>
      </c>
      <c r="I164" s="3">
        <v>1215475.57</v>
      </c>
      <c r="J164" s="3">
        <v>7.2089375832002107E-3</v>
      </c>
      <c r="K164" s="3">
        <v>4.0109854284389233E-5</v>
      </c>
      <c r="L164" s="3">
        <v>8.3157999999999994</v>
      </c>
      <c r="M164" s="3">
        <v>4.8099999999999997E-2</v>
      </c>
      <c r="N164" s="3">
        <v>1.314417958068289E-3</v>
      </c>
      <c r="O164" s="3">
        <v>1498403570.7293999</v>
      </c>
      <c r="P164" s="3">
        <v>1215475.57</v>
      </c>
      <c r="Q164" s="3">
        <v>4.6399999999999997E-2</v>
      </c>
      <c r="R164" s="3">
        <v>0</v>
      </c>
      <c r="S164" s="3">
        <v>1</v>
      </c>
      <c r="T164" s="104">
        <v>42278</v>
      </c>
      <c r="U164" s="3">
        <v>18181547.753988259</v>
      </c>
      <c r="V164" s="105">
        <f>CurrentMtgRatesDataTable82523[[#This Row],[cum_df_pct]]*100</f>
        <v>0</v>
      </c>
      <c r="W164" s="105">
        <f>CurrentMtgRatesDataTable82523[[#This Row],[pct_dq]]*100</f>
        <v>0.13144179580682891</v>
      </c>
    </row>
    <row r="165" spans="3:23">
      <c r="C165" s="3" t="s">
        <v>81</v>
      </c>
      <c r="D165" s="3" t="s">
        <v>82</v>
      </c>
      <c r="E165" s="3">
        <v>31928168573.73</v>
      </c>
      <c r="F165" s="104">
        <v>42186</v>
      </c>
      <c r="G165" s="3">
        <v>141967</v>
      </c>
      <c r="H165" s="3">
        <v>762138953.47351575</v>
      </c>
      <c r="I165" s="3">
        <v>0</v>
      </c>
      <c r="J165" s="3">
        <v>2.3870425004602104E-2</v>
      </c>
      <c r="K165" s="3">
        <v>0</v>
      </c>
      <c r="L165" s="3">
        <v>25.1676</v>
      </c>
      <c r="M165" s="3">
        <v>0</v>
      </c>
      <c r="N165" s="3">
        <v>1.8896133215620811E-3</v>
      </c>
      <c r="O165" s="3">
        <v>762138953.47350001</v>
      </c>
      <c r="P165" s="3">
        <v>0</v>
      </c>
      <c r="Q165" s="3">
        <v>2.4400000000000002E-2</v>
      </c>
      <c r="R165" s="3">
        <v>0</v>
      </c>
      <c r="S165" s="3">
        <v>1</v>
      </c>
      <c r="T165" s="104">
        <v>42217</v>
      </c>
      <c r="U165" s="3">
        <v>20654620.663515732</v>
      </c>
      <c r="V165" s="105">
        <f>CurrentMtgRatesDataTable82523[[#This Row],[cum_df_pct]]*100</f>
        <v>0</v>
      </c>
      <c r="W165" s="105">
        <f>CurrentMtgRatesDataTable82523[[#This Row],[pct_dq]]*100</f>
        <v>0.18896133215620811</v>
      </c>
    </row>
    <row r="166" spans="3:23">
      <c r="C166" s="3" t="s">
        <v>81</v>
      </c>
      <c r="D166" s="3" t="s">
        <v>82</v>
      </c>
      <c r="E166" s="3">
        <v>31122805030.990002</v>
      </c>
      <c r="F166" s="104">
        <v>42217</v>
      </c>
      <c r="G166" s="3">
        <v>139266</v>
      </c>
      <c r="H166" s="3">
        <v>285973245.78126425</v>
      </c>
      <c r="I166" s="3">
        <v>0</v>
      </c>
      <c r="J166" s="3">
        <v>9.1885434329107302E-3</v>
      </c>
      <c r="K166" s="3">
        <v>0</v>
      </c>
      <c r="L166" s="3">
        <v>10.4857</v>
      </c>
      <c r="M166" s="3">
        <v>0</v>
      </c>
      <c r="N166" s="3">
        <v>2.2078166643906215E-3</v>
      </c>
      <c r="O166" s="3">
        <v>1048112199.2546999</v>
      </c>
      <c r="P166" s="3">
        <v>0</v>
      </c>
      <c r="Q166" s="3">
        <v>3.3599999999999998E-2</v>
      </c>
      <c r="R166" s="3">
        <v>0</v>
      </c>
      <c r="S166" s="3">
        <v>1</v>
      </c>
      <c r="T166" s="104">
        <v>42248</v>
      </c>
      <c r="U166" s="3">
        <v>20681631.151264224</v>
      </c>
      <c r="V166" s="105">
        <f>CurrentMtgRatesDataTable82523[[#This Row],[cum_df_pct]]*100</f>
        <v>0</v>
      </c>
      <c r="W166" s="105">
        <f>CurrentMtgRatesDataTable82523[[#This Row],[pct_dq]]*100</f>
        <v>0.22078166643906216</v>
      </c>
    </row>
    <row r="167" spans="3:23">
      <c r="C167" s="3" t="s">
        <v>81</v>
      </c>
      <c r="D167" s="3" t="s">
        <v>82</v>
      </c>
      <c r="E167" s="3">
        <v>30794011188.389999</v>
      </c>
      <c r="F167" s="104">
        <v>42248</v>
      </c>
      <c r="G167" s="3">
        <v>138202</v>
      </c>
      <c r="H167" s="3">
        <v>309684496.71577102</v>
      </c>
      <c r="I167" s="3">
        <v>0</v>
      </c>
      <c r="J167" s="3">
        <v>1.005664688569473E-2</v>
      </c>
      <c r="K167" s="3">
        <v>0</v>
      </c>
      <c r="L167" s="3">
        <v>11.4223</v>
      </c>
      <c r="M167" s="3">
        <v>0</v>
      </c>
      <c r="N167" s="3">
        <v>2.7808821028903843E-3</v>
      </c>
      <c r="O167" s="3">
        <v>1357796695.9705</v>
      </c>
      <c r="P167" s="3">
        <v>0</v>
      </c>
      <c r="Q167" s="3">
        <v>4.3499999999999997E-2</v>
      </c>
      <c r="R167" s="3">
        <v>0</v>
      </c>
      <c r="S167" s="3">
        <v>1</v>
      </c>
      <c r="T167" s="104">
        <v>42278</v>
      </c>
      <c r="U167" s="3">
        <v>19656745.995770991</v>
      </c>
      <c r="V167" s="105">
        <f>CurrentMtgRatesDataTable82523[[#This Row],[cum_df_pct]]*100</f>
        <v>0</v>
      </c>
      <c r="W167" s="105">
        <f>CurrentMtgRatesDataTable82523[[#This Row],[pct_dq]]*100</f>
        <v>0.27808821028903841</v>
      </c>
    </row>
    <row r="168" spans="3:23">
      <c r="C168" s="3" t="s">
        <v>83</v>
      </c>
      <c r="D168" s="3" t="s">
        <v>84</v>
      </c>
      <c r="E168" s="3">
        <v>16527604803.85</v>
      </c>
      <c r="F168" s="104">
        <v>42095</v>
      </c>
      <c r="G168" s="3">
        <v>75508</v>
      </c>
      <c r="H168" s="3">
        <v>684492392.82001936</v>
      </c>
      <c r="I168" s="3">
        <v>0</v>
      </c>
      <c r="J168" s="3">
        <v>4.1415099219977186E-2</v>
      </c>
      <c r="K168" s="3">
        <v>0</v>
      </c>
      <c r="L168" s="3">
        <v>39.804000000000002</v>
      </c>
      <c r="M168" s="3">
        <v>0</v>
      </c>
      <c r="N168" s="3">
        <v>1.6196510612211845E-3</v>
      </c>
      <c r="O168" s="3">
        <v>684492392.82000005</v>
      </c>
      <c r="P168" s="3">
        <v>0</v>
      </c>
      <c r="Q168" s="3">
        <v>4.5199999999999997E-2</v>
      </c>
      <c r="R168" s="3">
        <v>0</v>
      </c>
      <c r="S168" s="3">
        <v>1</v>
      </c>
      <c r="T168" s="104">
        <v>42125</v>
      </c>
      <c r="U168" s="3">
        <v>7038313.9300193684</v>
      </c>
      <c r="V168" s="105">
        <f>CurrentMtgRatesDataTable82523[[#This Row],[cum_df_pct]]*100</f>
        <v>0</v>
      </c>
      <c r="W168" s="105">
        <f>CurrentMtgRatesDataTable82523[[#This Row],[pct_dq]]*100</f>
        <v>0.16196510612211845</v>
      </c>
    </row>
    <row r="169" spans="3:23">
      <c r="C169" s="3" t="s">
        <v>83</v>
      </c>
      <c r="D169" s="3" t="s">
        <v>84</v>
      </c>
      <c r="E169" s="3">
        <v>15821156242.959999</v>
      </c>
      <c r="F169" s="104">
        <v>42125</v>
      </c>
      <c r="G169" s="3">
        <v>73077</v>
      </c>
      <c r="H169" s="3">
        <v>251363370.72856423</v>
      </c>
      <c r="I169" s="3">
        <v>0</v>
      </c>
      <c r="J169" s="3">
        <v>1.5887800288958927E-2</v>
      </c>
      <c r="K169" s="3">
        <v>0</v>
      </c>
      <c r="L169" s="3">
        <v>17.484500000000001</v>
      </c>
      <c r="M169" s="3">
        <v>0</v>
      </c>
      <c r="N169" s="3">
        <v>1.9136133532258008E-3</v>
      </c>
      <c r="O169" s="3">
        <v>935855763.54849994</v>
      </c>
      <c r="P169" s="3">
        <v>0</v>
      </c>
      <c r="Q169" s="3">
        <v>6.1800000000000001E-2</v>
      </c>
      <c r="R169" s="3">
        <v>0</v>
      </c>
      <c r="S169" s="3">
        <v>1</v>
      </c>
      <c r="T169" s="104">
        <v>42156</v>
      </c>
      <c r="U169" s="3">
        <v>5435958.5985642187</v>
      </c>
      <c r="V169" s="105">
        <f>CurrentMtgRatesDataTable82523[[#This Row],[cum_df_pct]]*100</f>
        <v>0</v>
      </c>
      <c r="W169" s="105">
        <f>CurrentMtgRatesDataTable82523[[#This Row],[pct_dq]]*100</f>
        <v>0.1913613353225801</v>
      </c>
    </row>
    <row r="170" spans="3:23">
      <c r="C170" s="3" t="s">
        <v>83</v>
      </c>
      <c r="D170" s="3" t="s">
        <v>84</v>
      </c>
      <c r="E170" s="3">
        <v>15548062345.92</v>
      </c>
      <c r="F170" s="104">
        <v>42156</v>
      </c>
      <c r="G170" s="3">
        <v>72137</v>
      </c>
      <c r="H170" s="3">
        <v>219312744.52380025</v>
      </c>
      <c r="I170" s="3">
        <v>0</v>
      </c>
      <c r="J170" s="3">
        <v>1.4105471128455475E-2</v>
      </c>
      <c r="K170" s="3">
        <v>0</v>
      </c>
      <c r="L170" s="3">
        <v>15.6732</v>
      </c>
      <c r="M170" s="3">
        <v>0</v>
      </c>
      <c r="N170" s="3">
        <v>2.6125791475655694E-3</v>
      </c>
      <c r="O170" s="3">
        <v>1155168508.0723</v>
      </c>
      <c r="P170" s="3">
        <v>0</v>
      </c>
      <c r="Q170" s="3">
        <v>7.6399999999999996E-2</v>
      </c>
      <c r="R170" s="3">
        <v>0</v>
      </c>
      <c r="S170" s="3">
        <v>1</v>
      </c>
      <c r="T170" s="104">
        <v>42186</v>
      </c>
      <c r="U170" s="3">
        <v>5260609.7838002518</v>
      </c>
      <c r="V170" s="105">
        <f>CurrentMtgRatesDataTable82523[[#This Row],[cum_df_pct]]*100</f>
        <v>0</v>
      </c>
      <c r="W170" s="105">
        <f>CurrentMtgRatesDataTable82523[[#This Row],[pct_dq]]*100</f>
        <v>0.26125791475655696</v>
      </c>
    </row>
    <row r="171" spans="3:23">
      <c r="C171" s="3" t="s">
        <v>83</v>
      </c>
      <c r="D171" s="3" t="s">
        <v>84</v>
      </c>
      <c r="E171" s="3">
        <v>15307704367.93</v>
      </c>
      <c r="F171" s="104">
        <v>42186</v>
      </c>
      <c r="G171" s="3">
        <v>71306</v>
      </c>
      <c r="H171" s="3">
        <v>181152202.59310973</v>
      </c>
      <c r="I171" s="3">
        <v>0</v>
      </c>
      <c r="J171" s="3">
        <v>1.1834054162466572E-2</v>
      </c>
      <c r="K171" s="3">
        <v>0</v>
      </c>
      <c r="L171" s="3">
        <v>13.311999999999999</v>
      </c>
      <c r="M171" s="3">
        <v>0</v>
      </c>
      <c r="N171" s="3">
        <v>3.159629562831728E-3</v>
      </c>
      <c r="O171" s="3">
        <v>1336320710.6654</v>
      </c>
      <c r="P171" s="3">
        <v>0</v>
      </c>
      <c r="Q171" s="3">
        <v>8.8300000000000003E-2</v>
      </c>
      <c r="R171" s="3">
        <v>0</v>
      </c>
      <c r="S171" s="3">
        <v>1</v>
      </c>
      <c r="T171" s="104">
        <v>42217</v>
      </c>
      <c r="U171" s="3">
        <v>5034689.7631097361</v>
      </c>
      <c r="V171" s="105">
        <f>CurrentMtgRatesDataTable82523[[#This Row],[cum_df_pct]]*100</f>
        <v>0</v>
      </c>
      <c r="W171" s="105">
        <f>CurrentMtgRatesDataTable82523[[#This Row],[pct_dq]]*100</f>
        <v>0.31596295628317278</v>
      </c>
    </row>
    <row r="172" spans="3:23">
      <c r="C172" s="3" t="s">
        <v>83</v>
      </c>
      <c r="D172" s="3" t="s">
        <v>84</v>
      </c>
      <c r="E172" s="3">
        <v>15105272694.459999</v>
      </c>
      <c r="F172" s="104">
        <v>42217</v>
      </c>
      <c r="G172" s="3">
        <v>70599</v>
      </c>
      <c r="H172" s="3">
        <v>157044433.74154019</v>
      </c>
      <c r="I172" s="3">
        <v>323927.98</v>
      </c>
      <c r="J172" s="3">
        <v>1.0396663265744134E-2</v>
      </c>
      <c r="K172" s="3">
        <v>2.1444695938445628E-5</v>
      </c>
      <c r="L172" s="3">
        <v>11.7867</v>
      </c>
      <c r="M172" s="3">
        <v>2.5700000000000001E-2</v>
      </c>
      <c r="N172" s="3">
        <v>3.9150748196482088E-3</v>
      </c>
      <c r="O172" s="3">
        <v>1493365144.4070001</v>
      </c>
      <c r="P172" s="3">
        <v>323927.98</v>
      </c>
      <c r="Q172" s="3">
        <v>9.8699999999999996E-2</v>
      </c>
      <c r="R172" s="3">
        <v>0</v>
      </c>
      <c r="S172" s="3">
        <v>1</v>
      </c>
      <c r="T172" s="104">
        <v>42248</v>
      </c>
      <c r="U172" s="3">
        <v>4596581.3915401967</v>
      </c>
      <c r="V172" s="105">
        <f>CurrentMtgRatesDataTable82523[[#This Row],[cum_df_pct]]*100</f>
        <v>0</v>
      </c>
      <c r="W172" s="105">
        <f>CurrentMtgRatesDataTable82523[[#This Row],[pct_dq]]*100</f>
        <v>0.39150748196482088</v>
      </c>
    </row>
    <row r="173" spans="3:23">
      <c r="C173" s="3" t="s">
        <v>83</v>
      </c>
      <c r="D173" s="3" t="s">
        <v>84</v>
      </c>
      <c r="E173" s="3">
        <v>14927511456.639999</v>
      </c>
      <c r="F173" s="104">
        <v>42248</v>
      </c>
      <c r="G173" s="3">
        <v>69951</v>
      </c>
      <c r="H173" s="3">
        <v>188385215.49443871</v>
      </c>
      <c r="I173" s="3">
        <v>820719.74</v>
      </c>
      <c r="J173" s="3">
        <v>1.2620001400879308E-2</v>
      </c>
      <c r="K173" s="3">
        <v>5.4980345678109027E-5</v>
      </c>
      <c r="L173" s="3">
        <v>14.1358</v>
      </c>
      <c r="M173" s="3">
        <v>6.59E-2</v>
      </c>
      <c r="N173" s="3">
        <v>4.5051384509295338E-3</v>
      </c>
      <c r="O173" s="3">
        <v>1681750359.9014001</v>
      </c>
      <c r="P173" s="3">
        <v>1144647.72</v>
      </c>
      <c r="Q173" s="3">
        <v>0.11119999999999999</v>
      </c>
      <c r="R173" s="3">
        <v>0</v>
      </c>
      <c r="S173" s="3">
        <v>1</v>
      </c>
      <c r="T173" s="104">
        <v>42278</v>
      </c>
      <c r="U173" s="3">
        <v>5285207.4444387015</v>
      </c>
      <c r="V173" s="105">
        <f>CurrentMtgRatesDataTable82523[[#This Row],[cum_df_pct]]*100</f>
        <v>0</v>
      </c>
      <c r="W173" s="105">
        <f>CurrentMtgRatesDataTable82523[[#This Row],[pct_dq]]*100</f>
        <v>0.45051384509295339</v>
      </c>
    </row>
    <row r="174" spans="3:23">
      <c r="C174" s="3" t="s">
        <v>85</v>
      </c>
      <c r="D174" s="3" t="s">
        <v>86</v>
      </c>
      <c r="E174" s="3">
        <v>30324752420.939999</v>
      </c>
      <c r="F174" s="104">
        <v>42125</v>
      </c>
      <c r="G174" s="3">
        <v>137280</v>
      </c>
      <c r="H174" s="3">
        <v>345128294.15028518</v>
      </c>
      <c r="I174" s="3">
        <v>0</v>
      </c>
      <c r="J174" s="3">
        <v>1.13810754119122E-2</v>
      </c>
      <c r="K174" s="3">
        <v>0</v>
      </c>
      <c r="L174" s="3">
        <v>12.834</v>
      </c>
      <c r="M174" s="3">
        <v>0</v>
      </c>
      <c r="N174" s="3">
        <v>1.0286290716246872E-3</v>
      </c>
      <c r="O174" s="3">
        <v>345128294.15020001</v>
      </c>
      <c r="P174" s="3">
        <v>0</v>
      </c>
      <c r="Q174" s="3">
        <v>1.14E-2</v>
      </c>
      <c r="R174" s="3">
        <v>0</v>
      </c>
      <c r="S174" s="3">
        <v>1</v>
      </c>
      <c r="T174" s="104">
        <v>42156</v>
      </c>
      <c r="U174" s="3">
        <v>11608291.950285176</v>
      </c>
      <c r="V174" s="105">
        <f>CurrentMtgRatesDataTable82523[[#This Row],[cum_df_pct]]*100</f>
        <v>0</v>
      </c>
      <c r="W174" s="105">
        <f>CurrentMtgRatesDataTable82523[[#This Row],[pct_dq]]*100</f>
        <v>0.10286290716246872</v>
      </c>
    </row>
    <row r="175" spans="3:23">
      <c r="C175" s="3" t="s">
        <v>85</v>
      </c>
      <c r="D175" s="3" t="s">
        <v>86</v>
      </c>
      <c r="E175" s="3">
        <v>29929673811.75</v>
      </c>
      <c r="F175" s="104">
        <v>42156</v>
      </c>
      <c r="G175" s="3">
        <v>135863</v>
      </c>
      <c r="H175" s="3">
        <v>349114156.65828335</v>
      </c>
      <c r="I175" s="3">
        <v>0</v>
      </c>
      <c r="J175" s="3">
        <v>1.1664482508366854E-2</v>
      </c>
      <c r="K175" s="3">
        <v>0</v>
      </c>
      <c r="L175" s="3">
        <v>13.1333</v>
      </c>
      <c r="M175" s="3">
        <v>0</v>
      </c>
      <c r="N175" s="3">
        <v>1.6480840372752412E-3</v>
      </c>
      <c r="O175" s="3">
        <v>694242450.80850005</v>
      </c>
      <c r="P175" s="3">
        <v>0</v>
      </c>
      <c r="Q175" s="3">
        <v>2.3E-2</v>
      </c>
      <c r="R175" s="3">
        <v>0</v>
      </c>
      <c r="S175" s="3">
        <v>1</v>
      </c>
      <c r="T175" s="104">
        <v>42186</v>
      </c>
      <c r="U175" s="3">
        <v>9417106.5482833646</v>
      </c>
      <c r="V175" s="105">
        <f>CurrentMtgRatesDataTable82523[[#This Row],[cum_df_pct]]*100</f>
        <v>0</v>
      </c>
      <c r="W175" s="105">
        <f>CurrentMtgRatesDataTable82523[[#This Row],[pct_dq]]*100</f>
        <v>0.16480840372752412</v>
      </c>
    </row>
    <row r="176" spans="3:23">
      <c r="C176" s="3" t="s">
        <v>85</v>
      </c>
      <c r="D176" s="3" t="s">
        <v>86</v>
      </c>
      <c r="E176" s="3">
        <v>29531552788.639999</v>
      </c>
      <c r="F176" s="104">
        <v>42186</v>
      </c>
      <c r="G176" s="3">
        <v>134396</v>
      </c>
      <c r="H176" s="3">
        <v>319629831.1053797</v>
      </c>
      <c r="I176" s="3">
        <v>0</v>
      </c>
      <c r="J176" s="3">
        <v>1.0823333042898196E-2</v>
      </c>
      <c r="K176" s="3">
        <v>0</v>
      </c>
      <c r="L176" s="3">
        <v>12.242000000000001</v>
      </c>
      <c r="M176" s="3">
        <v>0</v>
      </c>
      <c r="N176" s="3">
        <v>1.8794026635588906E-3</v>
      </c>
      <c r="O176" s="3">
        <v>1013872281.9139</v>
      </c>
      <c r="P176" s="3">
        <v>0</v>
      </c>
      <c r="Q176" s="3">
        <v>3.3599999999999998E-2</v>
      </c>
      <c r="R176" s="3">
        <v>0</v>
      </c>
      <c r="S176" s="3">
        <v>1</v>
      </c>
      <c r="T176" s="104">
        <v>42217</v>
      </c>
      <c r="U176" s="3">
        <v>10509217.865379704</v>
      </c>
      <c r="V176" s="105">
        <f>CurrentMtgRatesDataTable82523[[#This Row],[cum_df_pct]]*100</f>
        <v>0</v>
      </c>
      <c r="W176" s="105">
        <f>CurrentMtgRatesDataTable82523[[#This Row],[pct_dq]]*100</f>
        <v>0.18794026635588906</v>
      </c>
    </row>
    <row r="177" spans="3:23">
      <c r="C177" s="3" t="s">
        <v>85</v>
      </c>
      <c r="D177" s="3" t="s">
        <v>86</v>
      </c>
      <c r="E177" s="3">
        <v>29163164646.68</v>
      </c>
      <c r="F177" s="104">
        <v>42217</v>
      </c>
      <c r="G177" s="3">
        <v>133029</v>
      </c>
      <c r="H177" s="3">
        <v>282747417.62557614</v>
      </c>
      <c r="I177" s="3">
        <v>0</v>
      </c>
      <c r="J177" s="3">
        <v>9.6953612905574943E-3</v>
      </c>
      <c r="K177" s="3">
        <v>0</v>
      </c>
      <c r="L177" s="3">
        <v>11.0336</v>
      </c>
      <c r="M177" s="3">
        <v>0</v>
      </c>
      <c r="N177" s="3">
        <v>1.874338201023146E-3</v>
      </c>
      <c r="O177" s="3">
        <v>1296619699.5395</v>
      </c>
      <c r="P177" s="3">
        <v>0</v>
      </c>
      <c r="Q177" s="3">
        <v>4.2999999999999997E-2</v>
      </c>
      <c r="R177" s="3">
        <v>0</v>
      </c>
      <c r="S177" s="3">
        <v>1</v>
      </c>
      <c r="T177" s="104">
        <v>42248</v>
      </c>
      <c r="U177" s="3">
        <v>11030285.075576115</v>
      </c>
      <c r="V177" s="105">
        <f>CurrentMtgRatesDataTable82523[[#This Row],[cum_df_pct]]*100</f>
        <v>0</v>
      </c>
      <c r="W177" s="105">
        <f>CurrentMtgRatesDataTable82523[[#This Row],[pct_dq]]*100</f>
        <v>0.1874338201023146</v>
      </c>
    </row>
    <row r="178" spans="3:23">
      <c r="C178" s="3" t="s">
        <v>85</v>
      </c>
      <c r="D178" s="3" t="s">
        <v>86</v>
      </c>
      <c r="E178" s="3">
        <v>28832939886.130001</v>
      </c>
      <c r="F178" s="104">
        <v>42248</v>
      </c>
      <c r="G178" s="3">
        <v>131820</v>
      </c>
      <c r="H178" s="3">
        <v>274878802.42634457</v>
      </c>
      <c r="I178" s="3">
        <v>0</v>
      </c>
      <c r="J178" s="3">
        <v>9.5334989602837619E-3</v>
      </c>
      <c r="K178" s="3">
        <v>0</v>
      </c>
      <c r="L178" s="3">
        <v>10.859</v>
      </c>
      <c r="M178" s="3">
        <v>0</v>
      </c>
      <c r="N178" s="3">
        <v>2.4309686107907968E-3</v>
      </c>
      <c r="O178" s="3">
        <v>1571498501.9658</v>
      </c>
      <c r="P178" s="3">
        <v>0</v>
      </c>
      <c r="Q178" s="3">
        <v>5.21E-2</v>
      </c>
      <c r="R178" s="3">
        <v>0</v>
      </c>
      <c r="S178" s="3">
        <v>1</v>
      </c>
      <c r="T178" s="104">
        <v>42278</v>
      </c>
      <c r="U178" s="3">
        <v>11245184.086344559</v>
      </c>
      <c r="V178" s="105">
        <f>CurrentMtgRatesDataTable82523[[#This Row],[cum_df_pct]]*100</f>
        <v>0</v>
      </c>
      <c r="W178" s="105">
        <f>CurrentMtgRatesDataTable82523[[#This Row],[pct_dq]]*100</f>
        <v>0.24309686107907968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H48"/>
  <sheetViews>
    <sheetView workbookViewId="0">
      <selection activeCell="K42" sqref="K42"/>
    </sheetView>
  </sheetViews>
  <sheetFormatPr defaultRowHeight="15"/>
  <cols>
    <col min="2" max="2" width="8.42578125" bestFit="1" customWidth="1"/>
    <col min="3" max="3" width="9.140625" style="96"/>
    <col min="4" max="4" width="18.5703125" style="96" bestFit="1" customWidth="1"/>
    <col min="5" max="5" width="16.28515625" style="96" bestFit="1" customWidth="1"/>
    <col min="6" max="6" width="11" style="96" bestFit="1" customWidth="1"/>
    <col min="7" max="7" width="11" style="96" customWidth="1"/>
    <col min="8" max="8" width="10.42578125" style="96" bestFit="1" customWidth="1"/>
  </cols>
  <sheetData>
    <row r="3" spans="2:8">
      <c r="B3" s="40" t="s">
        <v>130</v>
      </c>
      <c r="C3" s="40" t="s">
        <v>131</v>
      </c>
      <c r="D3" s="40" t="s">
        <v>132</v>
      </c>
      <c r="E3" s="40" t="s">
        <v>133</v>
      </c>
      <c r="F3" s="40" t="s">
        <v>134</v>
      </c>
      <c r="G3" s="40" t="s">
        <v>33</v>
      </c>
      <c r="H3"/>
    </row>
    <row r="4" spans="2:8">
      <c r="B4" s="40" t="s">
        <v>59</v>
      </c>
      <c r="C4" s="40" t="s">
        <v>135</v>
      </c>
      <c r="D4" s="40" t="s">
        <v>136</v>
      </c>
      <c r="E4" s="40" t="s">
        <v>137</v>
      </c>
      <c r="F4" s="41">
        <v>41478</v>
      </c>
      <c r="G4" s="41" t="s">
        <v>60</v>
      </c>
      <c r="H4"/>
    </row>
    <row r="5" spans="2:8">
      <c r="B5" s="40" t="s">
        <v>59</v>
      </c>
      <c r="C5" s="40" t="s">
        <v>138</v>
      </c>
      <c r="D5" s="40" t="s">
        <v>139</v>
      </c>
      <c r="E5" s="40" t="s">
        <v>140</v>
      </c>
      <c r="F5" s="41">
        <v>41478</v>
      </c>
      <c r="G5" s="41" t="s">
        <v>60</v>
      </c>
      <c r="H5"/>
    </row>
    <row r="6" spans="2:8">
      <c r="B6" s="40" t="s">
        <v>61</v>
      </c>
      <c r="C6" s="40" t="s">
        <v>141</v>
      </c>
      <c r="D6" s="40" t="s">
        <v>142</v>
      </c>
      <c r="E6" s="40" t="s">
        <v>143</v>
      </c>
      <c r="F6" s="41">
        <v>41585</v>
      </c>
      <c r="G6" s="41" t="s">
        <v>62</v>
      </c>
      <c r="H6"/>
    </row>
    <row r="7" spans="2:8">
      <c r="B7" s="40" t="s">
        <v>61</v>
      </c>
      <c r="C7" s="40" t="s">
        <v>144</v>
      </c>
      <c r="D7" s="40" t="s">
        <v>145</v>
      </c>
      <c r="E7" s="40" t="s">
        <v>146</v>
      </c>
      <c r="F7" s="41">
        <v>41585</v>
      </c>
      <c r="G7" s="41" t="s">
        <v>62</v>
      </c>
      <c r="H7"/>
    </row>
    <row r="8" spans="2:8">
      <c r="B8" s="40" t="s">
        <v>63</v>
      </c>
      <c r="C8" s="40" t="s">
        <v>147</v>
      </c>
      <c r="D8" s="40" t="s">
        <v>148</v>
      </c>
      <c r="E8" s="40" t="s">
        <v>149</v>
      </c>
      <c r="F8" s="41">
        <v>41676</v>
      </c>
      <c r="G8" s="41" t="s">
        <v>64</v>
      </c>
      <c r="H8"/>
    </row>
    <row r="9" spans="2:8">
      <c r="B9" s="40" t="s">
        <v>63</v>
      </c>
      <c r="C9" s="40" t="s">
        <v>150</v>
      </c>
      <c r="D9" s="40" t="s">
        <v>151</v>
      </c>
      <c r="E9" s="40" t="s">
        <v>152</v>
      </c>
      <c r="F9" s="41">
        <v>41676</v>
      </c>
      <c r="G9" s="41" t="s">
        <v>64</v>
      </c>
      <c r="H9"/>
    </row>
    <row r="10" spans="2:8">
      <c r="B10" s="40" t="s">
        <v>63</v>
      </c>
      <c r="C10" s="40" t="s">
        <v>153</v>
      </c>
      <c r="D10" s="40" t="s">
        <v>154</v>
      </c>
      <c r="E10" s="40" t="s">
        <v>155</v>
      </c>
      <c r="F10" s="41">
        <v>41676</v>
      </c>
      <c r="G10" s="41" t="s">
        <v>64</v>
      </c>
      <c r="H10"/>
    </row>
    <row r="11" spans="2:8">
      <c r="B11" s="40" t="s">
        <v>65</v>
      </c>
      <c r="C11" s="40" t="s">
        <v>156</v>
      </c>
      <c r="D11" s="40" t="s">
        <v>157</v>
      </c>
      <c r="E11" s="40" t="s">
        <v>158</v>
      </c>
      <c r="F11" s="41">
        <v>41736</v>
      </c>
      <c r="G11" s="41" t="s">
        <v>66</v>
      </c>
      <c r="H11"/>
    </row>
    <row r="12" spans="2:8">
      <c r="B12" s="40" t="s">
        <v>65</v>
      </c>
      <c r="C12" s="40" t="s">
        <v>159</v>
      </c>
      <c r="D12" s="40" t="s">
        <v>160</v>
      </c>
      <c r="E12" s="40" t="s">
        <v>161</v>
      </c>
      <c r="F12" s="41">
        <v>41736</v>
      </c>
      <c r="G12" s="41" t="s">
        <v>66</v>
      </c>
      <c r="H12"/>
    </row>
    <row r="13" spans="2:8">
      <c r="B13" s="40" t="s">
        <v>65</v>
      </c>
      <c r="C13" s="40" t="s">
        <v>162</v>
      </c>
      <c r="D13" s="40" t="s">
        <v>163</v>
      </c>
      <c r="E13" s="40" t="s">
        <v>164</v>
      </c>
      <c r="F13" s="41">
        <v>41736</v>
      </c>
      <c r="G13" s="41" t="s">
        <v>66</v>
      </c>
      <c r="H13"/>
    </row>
    <row r="14" spans="2:8">
      <c r="B14" s="40" t="s">
        <v>67</v>
      </c>
      <c r="C14" s="40" t="s">
        <v>165</v>
      </c>
      <c r="D14" s="40" t="s">
        <v>166</v>
      </c>
      <c r="E14" s="40" t="s">
        <v>167</v>
      </c>
      <c r="F14" s="41">
        <v>41857</v>
      </c>
      <c r="G14" s="41" t="s">
        <v>68</v>
      </c>
      <c r="H14"/>
    </row>
    <row r="15" spans="2:8">
      <c r="B15" s="40" t="s">
        <v>67</v>
      </c>
      <c r="C15" s="40" t="s">
        <v>168</v>
      </c>
      <c r="D15" s="40" t="s">
        <v>169</v>
      </c>
      <c r="E15" s="40" t="s">
        <v>170</v>
      </c>
      <c r="F15" s="41">
        <v>41857</v>
      </c>
      <c r="G15" s="41" t="s">
        <v>68</v>
      </c>
      <c r="H15"/>
    </row>
    <row r="16" spans="2:8">
      <c r="B16" s="40" t="s">
        <v>67</v>
      </c>
      <c r="C16" s="40" t="s">
        <v>171</v>
      </c>
      <c r="D16" s="40" t="s">
        <v>172</v>
      </c>
      <c r="E16" s="40" t="s">
        <v>173</v>
      </c>
      <c r="F16" s="41">
        <v>41857</v>
      </c>
      <c r="G16" s="41" t="s">
        <v>68</v>
      </c>
      <c r="H16"/>
    </row>
    <row r="17" spans="2:8">
      <c r="B17" s="40" t="s">
        <v>69</v>
      </c>
      <c r="C17" s="40" t="s">
        <v>174</v>
      </c>
      <c r="D17" s="40" t="s">
        <v>175</v>
      </c>
      <c r="E17" s="40" t="s">
        <v>176</v>
      </c>
      <c r="F17" s="41">
        <v>41935</v>
      </c>
      <c r="G17" s="41" t="s">
        <v>70</v>
      </c>
      <c r="H17"/>
    </row>
    <row r="18" spans="2:8">
      <c r="B18" s="40" t="s">
        <v>69</v>
      </c>
      <c r="C18" s="40" t="s">
        <v>177</v>
      </c>
      <c r="D18" s="40" t="s">
        <v>178</v>
      </c>
      <c r="E18" s="40" t="s">
        <v>179</v>
      </c>
      <c r="F18" s="41">
        <v>41935</v>
      </c>
      <c r="G18" s="41" t="s">
        <v>70</v>
      </c>
      <c r="H18"/>
    </row>
    <row r="19" spans="2:8">
      <c r="B19" s="40" t="s">
        <v>69</v>
      </c>
      <c r="C19" s="40" t="s">
        <v>180</v>
      </c>
      <c r="D19" s="40" t="s">
        <v>181</v>
      </c>
      <c r="E19" s="40" t="s">
        <v>182</v>
      </c>
      <c r="F19" s="41">
        <v>41935</v>
      </c>
      <c r="G19" s="41" t="s">
        <v>70</v>
      </c>
      <c r="H19"/>
    </row>
    <row r="20" spans="2:8">
      <c r="B20" s="40" t="s">
        <v>71</v>
      </c>
      <c r="C20" s="40" t="s">
        <v>183</v>
      </c>
      <c r="D20" s="40" t="s">
        <v>184</v>
      </c>
      <c r="E20" s="40" t="s">
        <v>185</v>
      </c>
      <c r="F20" s="41">
        <v>41857</v>
      </c>
      <c r="G20" s="41" t="s">
        <v>72</v>
      </c>
      <c r="H20"/>
    </row>
    <row r="21" spans="2:8">
      <c r="B21" s="40" t="s">
        <v>71</v>
      </c>
      <c r="C21" s="40" t="s">
        <v>186</v>
      </c>
      <c r="D21" s="40" t="s">
        <v>187</v>
      </c>
      <c r="E21" s="40" t="s">
        <v>188</v>
      </c>
      <c r="F21" s="41">
        <v>41857</v>
      </c>
      <c r="G21" s="41" t="s">
        <v>72</v>
      </c>
      <c r="H21"/>
    </row>
    <row r="22" spans="2:8">
      <c r="B22" s="40" t="s">
        <v>71</v>
      </c>
      <c r="C22" s="40" t="s">
        <v>189</v>
      </c>
      <c r="D22" s="40" t="s">
        <v>190</v>
      </c>
      <c r="E22" s="40" t="s">
        <v>191</v>
      </c>
      <c r="F22" s="41">
        <v>41857</v>
      </c>
      <c r="G22" s="41" t="s">
        <v>72</v>
      </c>
      <c r="H22"/>
    </row>
    <row r="23" spans="2:8">
      <c r="B23" s="40" t="s">
        <v>73</v>
      </c>
      <c r="C23" s="40" t="s">
        <v>192</v>
      </c>
      <c r="D23" s="40" t="s">
        <v>193</v>
      </c>
      <c r="E23" s="40" t="s">
        <v>194</v>
      </c>
      <c r="F23" s="41">
        <v>41893</v>
      </c>
      <c r="G23" s="41" t="s">
        <v>74</v>
      </c>
      <c r="H23"/>
    </row>
    <row r="24" spans="2:8">
      <c r="B24" s="40" t="s">
        <v>73</v>
      </c>
      <c r="C24" s="40" t="s">
        <v>195</v>
      </c>
      <c r="D24" s="40" t="s">
        <v>196</v>
      </c>
      <c r="E24" s="40" t="s">
        <v>197</v>
      </c>
      <c r="F24" s="41">
        <v>41893</v>
      </c>
      <c r="G24" s="41" t="s">
        <v>74</v>
      </c>
      <c r="H24"/>
    </row>
    <row r="25" spans="2:8">
      <c r="B25" s="40" t="s">
        <v>73</v>
      </c>
      <c r="C25" s="40" t="s">
        <v>198</v>
      </c>
      <c r="D25" s="40" t="s">
        <v>199</v>
      </c>
      <c r="E25" s="40" t="s">
        <v>200</v>
      </c>
      <c r="F25" s="41">
        <v>41893</v>
      </c>
      <c r="G25" s="41" t="s">
        <v>74</v>
      </c>
      <c r="H25"/>
    </row>
    <row r="26" spans="2:8">
      <c r="B26" s="40" t="s">
        <v>75</v>
      </c>
      <c r="C26" s="40" t="s">
        <v>201</v>
      </c>
      <c r="D26" s="40" t="s">
        <v>202</v>
      </c>
      <c r="E26" s="40" t="s">
        <v>203</v>
      </c>
      <c r="F26" s="41">
        <v>41936</v>
      </c>
      <c r="G26" s="41" t="s">
        <v>76</v>
      </c>
      <c r="H26"/>
    </row>
    <row r="27" spans="2:8">
      <c r="B27" s="40" t="s">
        <v>75</v>
      </c>
      <c r="C27" s="40" t="s">
        <v>204</v>
      </c>
      <c r="D27" s="40" t="s">
        <v>205</v>
      </c>
      <c r="E27" s="40" t="s">
        <v>206</v>
      </c>
      <c r="F27" s="41">
        <v>41936</v>
      </c>
      <c r="G27" s="41" t="s">
        <v>76</v>
      </c>
      <c r="H27"/>
    </row>
    <row r="28" spans="2:8">
      <c r="B28" s="40" t="s">
        <v>75</v>
      </c>
      <c r="C28" s="40" t="s">
        <v>207</v>
      </c>
      <c r="D28" s="40" t="s">
        <v>208</v>
      </c>
      <c r="E28" s="40" t="s">
        <v>209</v>
      </c>
      <c r="F28" s="41">
        <v>41936</v>
      </c>
      <c r="G28" s="41" t="s">
        <v>76</v>
      </c>
      <c r="H28"/>
    </row>
    <row r="29" spans="2:8">
      <c r="B29" s="40" t="s">
        <v>77</v>
      </c>
      <c r="C29" s="40" t="s">
        <v>210</v>
      </c>
      <c r="D29" s="40" t="s">
        <v>211</v>
      </c>
      <c r="E29" s="40" t="s">
        <v>212</v>
      </c>
      <c r="F29" s="41">
        <v>42032</v>
      </c>
      <c r="G29" s="41" t="s">
        <v>78</v>
      </c>
      <c r="H29"/>
    </row>
    <row r="30" spans="2:8">
      <c r="B30" s="40" t="s">
        <v>77</v>
      </c>
      <c r="C30" s="40" t="s">
        <v>213</v>
      </c>
      <c r="D30" s="40" t="s">
        <v>214</v>
      </c>
      <c r="E30" s="40" t="s">
        <v>215</v>
      </c>
      <c r="F30" s="41">
        <v>42032</v>
      </c>
      <c r="G30" s="41" t="s">
        <v>78</v>
      </c>
      <c r="H30"/>
    </row>
    <row r="31" spans="2:8">
      <c r="B31" s="40" t="s">
        <v>77</v>
      </c>
      <c r="C31" s="40" t="s">
        <v>216</v>
      </c>
      <c r="D31" s="40" t="s">
        <v>217</v>
      </c>
      <c r="E31" s="40" t="s">
        <v>218</v>
      </c>
      <c r="F31" s="41">
        <v>42032</v>
      </c>
      <c r="G31" s="41" t="s">
        <v>78</v>
      </c>
      <c r="H31"/>
    </row>
    <row r="32" spans="2:8">
      <c r="B32" s="40" t="s">
        <v>77</v>
      </c>
      <c r="C32" s="40" t="s">
        <v>219</v>
      </c>
      <c r="D32" s="40" t="s">
        <v>220</v>
      </c>
      <c r="E32" s="40" t="s">
        <v>221</v>
      </c>
      <c r="F32" s="41">
        <v>42032</v>
      </c>
      <c r="G32" s="41" t="s">
        <v>78</v>
      </c>
      <c r="H32"/>
    </row>
    <row r="33" spans="2:8">
      <c r="B33" s="40" t="s">
        <v>83</v>
      </c>
      <c r="C33" s="40" t="s">
        <v>222</v>
      </c>
      <c r="D33" s="40" t="s">
        <v>223</v>
      </c>
      <c r="E33" s="40" t="s">
        <v>224</v>
      </c>
      <c r="F33" s="41">
        <v>42087</v>
      </c>
      <c r="G33" s="41" t="s">
        <v>84</v>
      </c>
      <c r="H33"/>
    </row>
    <row r="34" spans="2:8">
      <c r="B34" s="40" t="s">
        <v>83</v>
      </c>
      <c r="C34" s="40" t="s">
        <v>225</v>
      </c>
      <c r="D34" s="40" t="s">
        <v>226</v>
      </c>
      <c r="E34" s="40" t="s">
        <v>227</v>
      </c>
      <c r="F34" s="41">
        <v>42087</v>
      </c>
      <c r="G34" s="41" t="s">
        <v>84</v>
      </c>
      <c r="H34"/>
    </row>
    <row r="35" spans="2:8">
      <c r="B35" s="40" t="s">
        <v>83</v>
      </c>
      <c r="C35" s="40" t="s">
        <v>228</v>
      </c>
      <c r="D35" s="40" t="s">
        <v>229</v>
      </c>
      <c r="E35" s="40" t="s">
        <v>230</v>
      </c>
      <c r="F35" s="41">
        <v>42087</v>
      </c>
      <c r="G35" s="41" t="s">
        <v>84</v>
      </c>
      <c r="H35"/>
    </row>
    <row r="36" spans="2:8">
      <c r="B36" s="40" t="s">
        <v>83</v>
      </c>
      <c r="C36" s="40" t="s">
        <v>231</v>
      </c>
      <c r="D36" s="40" t="s">
        <v>232</v>
      </c>
      <c r="E36" s="40" t="s">
        <v>233</v>
      </c>
      <c r="F36" s="41">
        <v>42087</v>
      </c>
      <c r="G36" s="41" t="s">
        <v>84</v>
      </c>
      <c r="H36"/>
    </row>
    <row r="37" spans="2:8">
      <c r="B37" s="40" t="s">
        <v>79</v>
      </c>
      <c r="C37" s="40" t="s">
        <v>234</v>
      </c>
      <c r="D37" s="40" t="s">
        <v>235</v>
      </c>
      <c r="E37" s="40" t="s">
        <v>236</v>
      </c>
      <c r="F37" s="41">
        <v>42116</v>
      </c>
      <c r="G37" s="41" t="s">
        <v>80</v>
      </c>
      <c r="H37"/>
    </row>
    <row r="38" spans="2:8">
      <c r="B38" s="40" t="s">
        <v>79</v>
      </c>
      <c r="C38" s="40" t="s">
        <v>237</v>
      </c>
      <c r="D38" s="40" t="s">
        <v>238</v>
      </c>
      <c r="E38" s="40" t="s">
        <v>239</v>
      </c>
      <c r="F38" s="41">
        <v>42116</v>
      </c>
      <c r="G38" s="41" t="s">
        <v>80</v>
      </c>
      <c r="H38"/>
    </row>
    <row r="39" spans="2:8">
      <c r="B39" s="40" t="s">
        <v>79</v>
      </c>
      <c r="C39" s="40" t="s">
        <v>240</v>
      </c>
      <c r="D39" s="40" t="s">
        <v>241</v>
      </c>
      <c r="E39" s="40" t="s">
        <v>242</v>
      </c>
      <c r="F39" s="41">
        <v>42116</v>
      </c>
      <c r="G39" s="41" t="s">
        <v>80</v>
      </c>
      <c r="H39"/>
    </row>
    <row r="40" spans="2:8">
      <c r="B40" s="40" t="s">
        <v>79</v>
      </c>
      <c r="C40" s="40" t="s">
        <v>243</v>
      </c>
      <c r="D40" s="40" t="s">
        <v>244</v>
      </c>
      <c r="E40" s="40" t="s">
        <v>245</v>
      </c>
      <c r="F40" s="41">
        <v>42116</v>
      </c>
      <c r="G40" s="41" t="s">
        <v>80</v>
      </c>
      <c r="H40"/>
    </row>
    <row r="41" spans="2:8">
      <c r="B41" s="40" t="s">
        <v>85</v>
      </c>
      <c r="C41" s="40" t="s">
        <v>246</v>
      </c>
      <c r="D41" s="40" t="s">
        <v>247</v>
      </c>
      <c r="E41" s="40" t="s">
        <v>248</v>
      </c>
      <c r="F41" s="41">
        <v>42157</v>
      </c>
      <c r="G41" s="41" t="s">
        <v>86</v>
      </c>
      <c r="H41"/>
    </row>
    <row r="42" spans="2:8">
      <c r="B42" s="40" t="s">
        <v>85</v>
      </c>
      <c r="C42" s="40" t="s">
        <v>249</v>
      </c>
      <c r="D42" s="40" t="s">
        <v>250</v>
      </c>
      <c r="E42" s="40" t="s">
        <v>251</v>
      </c>
      <c r="F42" s="41">
        <v>42157</v>
      </c>
      <c r="G42" s="41" t="s">
        <v>86</v>
      </c>
      <c r="H42"/>
    </row>
    <row r="43" spans="2:8">
      <c r="B43" s="40" t="s">
        <v>85</v>
      </c>
      <c r="C43" s="40" t="s">
        <v>252</v>
      </c>
      <c r="D43" s="40" t="s">
        <v>253</v>
      </c>
      <c r="E43" s="40" t="s">
        <v>254</v>
      </c>
      <c r="F43" s="41">
        <v>42157</v>
      </c>
      <c r="G43" s="41" t="s">
        <v>86</v>
      </c>
      <c r="H43"/>
    </row>
    <row r="44" spans="2:8">
      <c r="B44" s="40" t="s">
        <v>85</v>
      </c>
      <c r="C44" s="40" t="s">
        <v>255</v>
      </c>
      <c r="D44" s="40" t="s">
        <v>256</v>
      </c>
      <c r="E44" s="40" t="s">
        <v>257</v>
      </c>
      <c r="F44" s="41">
        <v>42157</v>
      </c>
      <c r="G44" s="41" t="s">
        <v>86</v>
      </c>
      <c r="H44"/>
    </row>
    <row r="45" spans="2:8">
      <c r="B45" s="40" t="s">
        <v>81</v>
      </c>
      <c r="C45" s="40" t="s">
        <v>258</v>
      </c>
      <c r="D45" s="40" t="s">
        <v>259</v>
      </c>
      <c r="E45" s="40" t="s">
        <v>260</v>
      </c>
      <c r="F45" s="41">
        <v>42179</v>
      </c>
      <c r="G45" s="41" t="s">
        <v>82</v>
      </c>
      <c r="H45"/>
    </row>
    <row r="46" spans="2:8">
      <c r="B46" s="40" t="s">
        <v>81</v>
      </c>
      <c r="C46" s="40" t="s">
        <v>261</v>
      </c>
      <c r="D46" s="40" t="s">
        <v>262</v>
      </c>
      <c r="E46" s="40" t="s">
        <v>263</v>
      </c>
      <c r="F46" s="41">
        <v>42179</v>
      </c>
      <c r="G46" s="41" t="s">
        <v>82</v>
      </c>
      <c r="H46"/>
    </row>
    <row r="47" spans="2:8">
      <c r="B47" s="40" t="s">
        <v>81</v>
      </c>
      <c r="C47" s="40" t="s">
        <v>264</v>
      </c>
      <c r="D47" s="40" t="s">
        <v>265</v>
      </c>
      <c r="E47" s="40" t="s">
        <v>266</v>
      </c>
      <c r="F47" s="41">
        <v>42179</v>
      </c>
      <c r="G47" s="41" t="s">
        <v>82</v>
      </c>
      <c r="H47"/>
    </row>
    <row r="48" spans="2:8">
      <c r="B48" s="40" t="s">
        <v>81</v>
      </c>
      <c r="C48" s="40" t="s">
        <v>267</v>
      </c>
      <c r="D48" s="40" t="s">
        <v>268</v>
      </c>
      <c r="E48" s="40" t="s">
        <v>269</v>
      </c>
      <c r="F48" s="41">
        <v>42179</v>
      </c>
      <c r="G48" s="41" t="s">
        <v>82</v>
      </c>
      <c r="H48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Collateral Report</vt:lpstr>
      <vt:lpstr>Performance Report</vt:lpstr>
      <vt:lpstr>Performance Pivot</vt:lpstr>
      <vt:lpstr>Colleteral Data</vt:lpstr>
      <vt:lpstr>Performance Data</vt:lpstr>
      <vt:lpstr>Deal Pool Mapping</vt:lpstr>
      <vt:lpstr>'Performance Pivot'!CurrentCloseDate</vt:lpstr>
      <vt:lpstr>'Performance Report'!CurrentCloseDate</vt:lpstr>
      <vt:lpstr>'Performance Pivot'!DatabaseEnv</vt:lpstr>
      <vt:lpstr>'Performance Report'!DatabaseEnv</vt:lpstr>
      <vt:lpstr>LatestUpdateDate</vt:lpstr>
      <vt:lpstr>'Performance Pivot'!PDFReportDir</vt:lpstr>
      <vt:lpstr>'Performance Report'!PDFReportDir</vt:lpstr>
      <vt:lpstr>'Performance Pivot'!PDFReportName</vt:lpstr>
      <vt:lpstr>'Performance Report'!PDFReportName</vt:lpstr>
      <vt:lpstr>'Collateral Report'!Print_Area</vt:lpstr>
      <vt:lpstr>'Performance Pivot'!Print_Area</vt:lpstr>
      <vt:lpstr>'Performance Report'!Print_Area</vt:lpstr>
      <vt:lpstr>'Performance Pivot'!SaveRatesToDB</vt:lpstr>
      <vt:lpstr>'Performance Report'!SaveRatesToDB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2015-11-19T20:00:23Z</cp:lastPrinted>
  <dcterms:created xsi:type="dcterms:W3CDTF">2015-03-12T13:39:23Z</dcterms:created>
  <dcterms:modified xsi:type="dcterms:W3CDTF">2015-11-19T20:00:31Z</dcterms:modified>
</cp:coreProperties>
</file>