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140" yWindow="2850" windowWidth="19275" windowHeight="13350" tabRatio="812"/>
  </bookViews>
  <sheets>
    <sheet name="FNCL" sheetId="24" r:id="rId1"/>
    <sheet name="GNSF" sheetId="26" r:id="rId2"/>
  </sheets>
  <calcPr calcId="145621"/>
</workbook>
</file>

<file path=xl/calcChain.xml><?xml version="1.0" encoding="utf-8"?>
<calcChain xmlns="http://schemas.openxmlformats.org/spreadsheetml/2006/main">
  <c r="D3" i="24" l="1"/>
  <c r="C24" i="24"/>
  <c r="C3" i="24"/>
  <c r="B24" i="24"/>
  <c r="C23" i="24"/>
  <c r="B23" i="24"/>
  <c r="C22" i="24"/>
  <c r="B22" i="24"/>
  <c r="E4" i="24" l="1"/>
  <c r="C6" i="26"/>
  <c r="E6" i="26" s="1"/>
  <c r="C5" i="26"/>
  <c r="E5" i="26" s="1"/>
  <c r="C4" i="26"/>
  <c r="E4" i="26" s="1"/>
  <c r="E3" i="26"/>
  <c r="C3" i="26"/>
  <c r="F4" i="26" l="1"/>
  <c r="G4" i="26" s="1"/>
  <c r="F5" i="26"/>
  <c r="G5" i="26" s="1"/>
  <c r="F6" i="26"/>
  <c r="G6" i="26" s="1"/>
  <c r="E5" i="24"/>
  <c r="F5" i="24" l="1"/>
  <c r="E24" i="24" s="1"/>
  <c r="D24" i="24"/>
  <c r="F4" i="24"/>
  <c r="E23" i="24" s="1"/>
  <c r="D23" i="24"/>
  <c r="B10" i="26"/>
  <c r="C10" i="26" s="1"/>
  <c r="B9" i="24" l="1"/>
  <c r="C9" i="24" s="1"/>
  <c r="G23" i="24" s="1"/>
  <c r="F23" i="24" l="1"/>
</calcChain>
</file>

<file path=xl/sharedStrings.xml><?xml version="1.0" encoding="utf-8"?>
<sst xmlns="http://schemas.openxmlformats.org/spreadsheetml/2006/main" count="55" uniqueCount="27">
  <si>
    <t>FNCL 3</t>
  </si>
  <si>
    <t>FNCL 3.5</t>
  </si>
  <si>
    <t xml:space="preserve"> </t>
  </si>
  <si>
    <t>FNCL 2.5 Citi</t>
  </si>
  <si>
    <t>Drop</t>
  </si>
  <si>
    <t>YB Actual</t>
  </si>
  <si>
    <t>Sofia</t>
  </si>
  <si>
    <t>TBA Clean Prices</t>
  </si>
  <si>
    <t>Cello</t>
  </si>
  <si>
    <t>Fwd Price</t>
  </si>
  <si>
    <t>Delay Adj</t>
  </si>
  <si>
    <t>August Settle</t>
  </si>
  <si>
    <t>Sept Settle</t>
  </si>
  <si>
    <t>FNCL 2.5 TBA</t>
  </si>
  <si>
    <t>FNCL 3 TBA</t>
  </si>
  <si>
    <t xml:space="preserve">Price, Settle 1 = </t>
  </si>
  <si>
    <t xml:space="preserve">Price, Settle 2 = </t>
  </si>
  <si>
    <t>Step i: 30 Day</t>
  </si>
  <si>
    <t>Forward Prices</t>
  </si>
  <si>
    <t>Step ii: Delay</t>
  </si>
  <si>
    <t>Adjusted Prices</t>
  </si>
  <si>
    <t>Step iii: Monthly</t>
  </si>
  <si>
    <t>Par Rate</t>
  </si>
  <si>
    <t>Step iv:</t>
  </si>
  <si>
    <t>Yield Conversion</t>
  </si>
  <si>
    <t>June Settle</t>
  </si>
  <si>
    <t>July Settle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</si>
</sst>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7">
    <numFmt numFmtId="5" formatCode="&quot;$&quot;#,##0_);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"/>
    <numFmt numFmtId="165" formatCode="0.0"/>
    <numFmt numFmtId="166" formatCode="\£\ #,##0_);[Red]\(\£\ #,##0\)"/>
    <numFmt numFmtId="167" formatCode="\¥\ #,##0_);[Red]\(\¥\ #,##0\)"/>
    <numFmt numFmtId="168" formatCode="\•\ \ @"/>
    <numFmt numFmtId="169" formatCode="_(&quot;$&quot;* #,##0_);_(&quot;$&quot;* \(#,##0.0\);_(&quot;$&quot;* &quot;-&quot;??_);_(@_)"/>
    <numFmt numFmtId="170" formatCode="&quot;$&quot;#,##0.000"/>
    <numFmt numFmtId="171" formatCode="&quot;$&quot;#,##0.000000_);\(&quot;$&quot;#,##0.000000\)"/>
    <numFmt numFmtId="172" formatCode="#,##0.0_);[Red]\(&quot;$&quot;#,##0.0\)"/>
    <numFmt numFmtId="173" formatCode="0.000_)"/>
    <numFmt numFmtId="174" formatCode="\ \ _•\–\ \ \ \ @"/>
    <numFmt numFmtId="175" formatCode="0.00&quot;%&quot;"/>
    <numFmt numFmtId="176" formatCode="0&quot;%&quot;"/>
    <numFmt numFmtId="177" formatCode="mmmm\ d\,\ yyyy"/>
    <numFmt numFmtId="178" formatCode="0.0000000"/>
    <numFmt numFmtId="179" formatCode="_([$€-2]* #,##0.00_);_([$€-2]* \(#,##0.00\);_([$€-2]* &quot;-&quot;??_)"/>
    <numFmt numFmtId="180" formatCode="dd\-mmm\-yy\ hh:mm:ss"/>
    <numFmt numFmtId="181" formatCode="0.00_)"/>
    <numFmt numFmtId="182" formatCode="0.0#\%;\-0.0#\%"/>
    <numFmt numFmtId="183" formatCode="#,##0.0\ ;\(#,##0.0\)"/>
    <numFmt numFmtId="184" formatCode="#,##0\ \ \ ;\(#,##0\)\ \ "/>
    <numFmt numFmtId="185" formatCode="0.0000_)"/>
    <numFmt numFmtId="186" formatCode="0.000;\-0.000"/>
    <numFmt numFmtId="187" formatCode="0.00;\-0.00"/>
    <numFmt numFmtId="188" formatCode="#,##0.0_);\(#,##0.0\)"/>
    <numFmt numFmtId="189" formatCode="mm/dd/yy"/>
    <numFmt numFmtId="190" formatCode="#,###\ &quot;Months&quot;"/>
    <numFmt numFmtId="191" formatCode="##########.###"/>
    <numFmt numFmtId="192" formatCode="0.0#%"/>
    <numFmt numFmtId="193" formatCode="0.0;\-0.0"/>
    <numFmt numFmtId="194" formatCode="_(* #,##0.0000_);_(* \(#,##0.0000\);_(* &quot;-&quot;????_);_(@_)"/>
    <numFmt numFmtId="195" formatCode="#,##0.0"/>
    <numFmt numFmtId="196" formatCode="0.0000"/>
  </numFmts>
  <fonts count="13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4"/>
      <name val="Calibri"/>
      <family val="2"/>
      <scheme val="minor"/>
    </font>
    <font>
      <sz val="10"/>
      <color theme="2" tint="-0.499984740745262"/>
      <name val="Calibri"/>
      <family val="2"/>
      <scheme val="minor"/>
    </font>
    <font>
      <sz val="10"/>
      <color theme="6" tint="-0.24994659260841701"/>
      <name val="Calibri"/>
      <family val="2"/>
      <scheme val="minor"/>
    </font>
    <font>
      <sz val="10"/>
      <color indexed="10"/>
      <name val="Calibri"/>
      <family val="2"/>
    </font>
    <font>
      <sz val="10"/>
      <color indexed="17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FA7D00"/>
      <name val="Calibri"/>
      <family val="2"/>
      <scheme val="minor"/>
    </font>
    <font>
      <sz val="10"/>
      <color theme="1" tint="0.499984740745262"/>
      <name val="Calibri"/>
      <family val="2"/>
      <scheme val="minor"/>
    </font>
    <font>
      <sz val="11"/>
      <color theme="1" tint="0.499984740745262"/>
      <name val="Calibri"/>
      <family val="2"/>
      <scheme val="minor"/>
    </font>
    <font>
      <sz val="11"/>
      <color theme="5"/>
      <name val="Calibri"/>
      <family val="2"/>
      <scheme val="minor"/>
    </font>
    <font>
      <sz val="11"/>
      <color theme="2" tint="-0.499984740745262"/>
      <name val="Calibri"/>
      <family val="2"/>
      <scheme val="minor"/>
    </font>
    <font>
      <sz val="11"/>
      <color theme="6" tint="-0.24994659260841701"/>
      <name val="Calibri"/>
      <family val="2"/>
      <scheme val="minor"/>
    </font>
    <font>
      <b/>
      <sz val="10"/>
      <color rgb="FFFA7D00"/>
      <name val="Calibri"/>
      <family val="2"/>
      <scheme val="minor"/>
    </font>
    <font>
      <sz val="10"/>
      <color indexed="8"/>
      <name val="Calibri"/>
      <family val="2"/>
    </font>
    <font>
      <b/>
      <sz val="10"/>
      <color indexed="8"/>
      <name val="Calibri"/>
      <family val="2"/>
    </font>
    <font>
      <sz val="10"/>
      <name val="Arial"/>
      <family val="2"/>
    </font>
    <font>
      <sz val="12"/>
      <name val="Times New Roman"/>
      <family val="1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0"/>
      <color indexed="9"/>
      <name val="Calibri"/>
      <family val="2"/>
    </font>
    <font>
      <sz val="10"/>
      <color indexed="9"/>
      <name val="Arial"/>
      <family val="2"/>
    </font>
    <font>
      <sz val="11"/>
      <color indexed="9"/>
      <name val="Calibri"/>
      <family val="2"/>
    </font>
    <font>
      <sz val="10"/>
      <color indexed="20"/>
      <name val="Calibri"/>
      <family val="2"/>
    </font>
    <font>
      <sz val="10"/>
      <color indexed="10"/>
      <name val="Arial"/>
      <family val="2"/>
    </font>
    <font>
      <sz val="11"/>
      <color indexed="20"/>
      <name val="Calibri"/>
      <family val="2"/>
    </font>
    <font>
      <b/>
      <sz val="10"/>
      <color indexed="8"/>
      <name val="Arial"/>
      <family val="2"/>
    </font>
    <font>
      <sz val="8"/>
      <color indexed="12"/>
      <name val="Tms Rmn"/>
    </font>
    <font>
      <b/>
      <sz val="8"/>
      <color indexed="9"/>
      <name val="Arial"/>
      <family val="2"/>
    </font>
    <font>
      <b/>
      <sz val="9"/>
      <color indexed="12"/>
      <name val="Arial"/>
      <family val="2"/>
    </font>
    <font>
      <sz val="12"/>
      <name val="Tms Rmn"/>
    </font>
    <font>
      <b/>
      <sz val="12"/>
      <name val="Times New Roman"/>
      <family val="1"/>
    </font>
    <font>
      <sz val="9"/>
      <name val="Arial"/>
      <family val="2"/>
    </font>
    <font>
      <sz val="10"/>
      <name val="Century Schoolbook"/>
      <family val="1"/>
    </font>
    <font>
      <b/>
      <sz val="10"/>
      <color indexed="52"/>
      <name val="Calibri"/>
      <family val="2"/>
    </font>
    <font>
      <b/>
      <sz val="10"/>
      <color indexed="52"/>
      <name val="Arial"/>
      <family val="2"/>
    </font>
    <font>
      <b/>
      <sz val="11"/>
      <color indexed="52"/>
      <name val="Calibri"/>
      <family val="2"/>
    </font>
    <font>
      <b/>
      <sz val="10"/>
      <color indexed="9"/>
      <name val="Calibri"/>
      <family val="2"/>
    </font>
    <font>
      <b/>
      <sz val="10"/>
      <color indexed="9"/>
      <name val="Arial"/>
      <family val="2"/>
    </font>
    <font>
      <b/>
      <sz val="11"/>
      <color indexed="9"/>
      <name val="Calibri"/>
      <family val="2"/>
    </font>
    <font>
      <sz val="8"/>
      <name val="Arial"/>
      <family val="2"/>
    </font>
    <font>
      <sz val="11"/>
      <name val="Tms Rmn"/>
      <family val="1"/>
    </font>
    <font>
      <sz val="11"/>
      <name val="Tms Rmn"/>
    </font>
    <font>
      <sz val="10"/>
      <name val="Helv"/>
    </font>
    <font>
      <sz val="10"/>
      <name val="MS Serif"/>
      <family val="1"/>
    </font>
    <font>
      <b/>
      <sz val="8"/>
      <name val="Arial"/>
      <family val="2"/>
    </font>
    <font>
      <sz val="11"/>
      <color indexed="12"/>
      <name val="Book Antiqua"/>
      <family val="1"/>
    </font>
    <font>
      <sz val="10"/>
      <name val="Times New Roman"/>
      <family val="1"/>
    </font>
    <font>
      <b/>
      <sz val="10"/>
      <name val="Arial"/>
      <family val="2"/>
    </font>
    <font>
      <b/>
      <i/>
      <sz val="10"/>
      <name val="Arial"/>
      <family val="2"/>
    </font>
    <font>
      <sz val="10"/>
      <name val="MS Sans Serif"/>
      <family val="2"/>
    </font>
    <font>
      <sz val="10"/>
      <color indexed="16"/>
      <name val="MS Serif"/>
      <family val="1"/>
    </font>
    <font>
      <b/>
      <sz val="9.5"/>
      <color indexed="10"/>
      <name val="Arial"/>
      <family val="2"/>
    </font>
    <font>
      <i/>
      <sz val="10"/>
      <color indexed="23"/>
      <name val="Calibri"/>
      <family val="2"/>
    </font>
    <font>
      <i/>
      <sz val="10"/>
      <color indexed="23"/>
      <name val="Arial"/>
      <family val="2"/>
    </font>
    <font>
      <i/>
      <sz val="11"/>
      <color indexed="23"/>
      <name val="Calibri"/>
      <family val="2"/>
    </font>
    <font>
      <sz val="10"/>
      <color indexed="17"/>
      <name val="Arial"/>
      <family val="2"/>
    </font>
    <font>
      <sz val="11"/>
      <color indexed="17"/>
      <name val="Calibri"/>
      <family val="2"/>
    </font>
    <font>
      <b/>
      <sz val="9"/>
      <color indexed="23"/>
      <name val="Arial"/>
      <family val="2"/>
    </font>
    <font>
      <b/>
      <sz val="12"/>
      <name val="Arial"/>
      <family val="2"/>
    </font>
    <font>
      <b/>
      <sz val="11"/>
      <name val="Book Antiqua"/>
      <family val="1"/>
    </font>
    <font>
      <b/>
      <sz val="15"/>
      <color indexed="62"/>
      <name val="Calibri"/>
      <family val="2"/>
    </font>
    <font>
      <b/>
      <sz val="15"/>
      <color indexed="56"/>
      <name val="Arial"/>
      <family val="2"/>
    </font>
    <font>
      <b/>
      <sz val="10"/>
      <name val="Times New Roman"/>
      <family val="1"/>
    </font>
    <font>
      <b/>
      <sz val="18"/>
      <name val="Arial"/>
      <family val="2"/>
    </font>
    <font>
      <b/>
      <sz val="15"/>
      <color indexed="56"/>
      <name val="Calibri"/>
      <family val="2"/>
    </font>
    <font>
      <b/>
      <sz val="13"/>
      <color indexed="62"/>
      <name val="Calibri"/>
      <family val="2"/>
    </font>
    <font>
      <b/>
      <sz val="13"/>
      <color indexed="56"/>
      <name val="Arial"/>
      <family val="2"/>
    </font>
    <font>
      <b/>
      <sz val="13"/>
      <color indexed="56"/>
      <name val="Calibri"/>
      <family val="2"/>
    </font>
    <font>
      <b/>
      <sz val="11"/>
      <color indexed="62"/>
      <name val="Calibri"/>
      <family val="2"/>
    </font>
    <font>
      <b/>
      <sz val="11"/>
      <color indexed="56"/>
      <name val="Arial"/>
      <family val="2"/>
    </font>
    <font>
      <b/>
      <sz val="11"/>
      <color indexed="56"/>
      <name val="Calibri"/>
      <family val="2"/>
    </font>
    <font>
      <b/>
      <sz val="16"/>
      <color indexed="8"/>
      <name val="Arial"/>
      <family val="2"/>
    </font>
    <font>
      <sz val="10"/>
      <color indexed="12"/>
      <name val="MS Sans Serif"/>
      <family val="2"/>
    </font>
    <font>
      <sz val="10"/>
      <color indexed="56"/>
      <name val="Arial"/>
      <family val="2"/>
    </font>
    <font>
      <sz val="10"/>
      <color indexed="12"/>
      <name val="Arial"/>
      <family val="2"/>
    </font>
    <font>
      <b/>
      <sz val="10"/>
      <name val="Book Antiqua"/>
      <family val="1"/>
    </font>
    <font>
      <sz val="10"/>
      <color indexed="52"/>
      <name val="Calibri"/>
      <family val="2"/>
    </font>
    <font>
      <sz val="10"/>
      <color indexed="52"/>
      <name val="Arial"/>
      <family val="2"/>
    </font>
    <font>
      <sz val="11"/>
      <color indexed="52"/>
      <name val="Calibri"/>
      <family val="2"/>
    </font>
    <font>
      <sz val="10"/>
      <color indexed="60"/>
      <name val="Calibri"/>
      <family val="2"/>
    </font>
    <font>
      <sz val="10"/>
      <color indexed="60"/>
      <name val="Arial"/>
      <family val="2"/>
    </font>
    <font>
      <sz val="11"/>
      <color indexed="60"/>
      <name val="Calibri"/>
      <family val="2"/>
    </font>
    <font>
      <sz val="7"/>
      <name val="Small Fonts"/>
      <family val="2"/>
    </font>
    <font>
      <b/>
      <i/>
      <sz val="16"/>
      <name val="Helv"/>
    </font>
    <font>
      <b/>
      <sz val="11"/>
      <name val="Arial"/>
      <family val="2"/>
    </font>
    <font>
      <b/>
      <i/>
      <sz val="8"/>
      <name val="Book Antiqua"/>
      <family val="1"/>
    </font>
    <font>
      <sz val="10"/>
      <name val="Book Antiqua"/>
      <family val="1"/>
    </font>
    <font>
      <b/>
      <sz val="9"/>
      <color indexed="52"/>
      <name val="Arial"/>
      <family val="2"/>
    </font>
    <font>
      <b/>
      <sz val="10"/>
      <color indexed="63"/>
      <name val="Calibri"/>
      <family val="2"/>
    </font>
    <font>
      <b/>
      <sz val="10"/>
      <color indexed="63"/>
      <name val="Arial"/>
      <family val="2"/>
    </font>
    <font>
      <b/>
      <sz val="11"/>
      <color indexed="63"/>
      <name val="Calibri"/>
      <family val="2"/>
    </font>
    <font>
      <b/>
      <i/>
      <sz val="10"/>
      <color indexed="8"/>
      <name val="Arial"/>
      <family val="2"/>
    </font>
    <font>
      <b/>
      <sz val="11"/>
      <color indexed="21"/>
      <name val="Arial"/>
      <family val="2"/>
    </font>
    <font>
      <b/>
      <sz val="22"/>
      <color indexed="21"/>
      <name val="Times New Roman"/>
      <family val="1"/>
    </font>
    <font>
      <sz val="9"/>
      <name val="Times New Roman"/>
      <family val="1"/>
    </font>
    <font>
      <b/>
      <sz val="9"/>
      <name val="Arial"/>
      <family val="2"/>
    </font>
    <font>
      <b/>
      <sz val="10"/>
      <color indexed="8"/>
      <name val="Arial Narrow"/>
      <family val="2"/>
    </font>
    <font>
      <b/>
      <sz val="10"/>
      <name val="MS Sans Serif"/>
      <family val="2"/>
    </font>
    <font>
      <sz val="8"/>
      <name val="Helv"/>
    </font>
    <font>
      <b/>
      <sz val="14"/>
      <name val="Arial Narrow"/>
      <family val="2"/>
    </font>
    <font>
      <sz val="9"/>
      <color indexed="10"/>
      <name val="Arial"/>
      <family val="2"/>
    </font>
    <font>
      <sz val="9"/>
      <color indexed="8"/>
      <name val="Times New Roman"/>
      <family val="1"/>
    </font>
    <font>
      <b/>
      <sz val="8"/>
      <color indexed="12"/>
      <name val="Arial"/>
      <family val="2"/>
    </font>
    <font>
      <b/>
      <sz val="8"/>
      <color indexed="8"/>
      <name val="Helv"/>
    </font>
    <font>
      <b/>
      <i/>
      <sz val="9"/>
      <name val="Arial"/>
      <family val="2"/>
    </font>
    <font>
      <sz val="9"/>
      <color indexed="9"/>
      <name val="Arial"/>
      <family val="2"/>
    </font>
    <font>
      <b/>
      <u/>
      <sz val="8"/>
      <name val="Arial"/>
      <family val="2"/>
    </font>
    <font>
      <sz val="8"/>
      <name val="Book Antiqua"/>
      <family val="1"/>
    </font>
    <font>
      <sz val="10"/>
      <name val="Courier New"/>
      <family val="3"/>
    </font>
    <font>
      <sz val="10"/>
      <color indexed="12"/>
      <name val="Courier New"/>
      <family val="3"/>
    </font>
    <font>
      <b/>
      <u/>
      <sz val="9"/>
      <name val="Arial"/>
      <family val="2"/>
    </font>
    <font>
      <b/>
      <sz val="18"/>
      <color indexed="62"/>
      <name val="Cambria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b/>
      <sz val="16"/>
      <color indexed="10"/>
      <name val="Arial"/>
      <family val="2"/>
    </font>
    <font>
      <sz val="10"/>
      <color indexed="53"/>
      <name val="Arial"/>
      <family val="2"/>
    </font>
    <font>
      <sz val="11"/>
      <color indexed="10"/>
      <name val="Calibri"/>
      <family val="2"/>
    </font>
    <font>
      <sz val="11"/>
      <color theme="7" tint="-0.24994659260841701"/>
      <name val="Calibri"/>
      <family val="2"/>
      <scheme val="minor"/>
    </font>
    <font>
      <u/>
      <sz val="10"/>
      <color indexed="12"/>
      <name val="Arial"/>
      <family val="2"/>
    </font>
    <font>
      <u/>
      <sz val="9"/>
      <color theme="10"/>
      <name val="Arial"/>
      <family val="2"/>
    </font>
    <font>
      <sz val="10"/>
      <name val="Verdana"/>
      <family val="2"/>
    </font>
    <font>
      <sz val="10"/>
      <name val="Courier"/>
      <family val="3"/>
    </font>
    <font>
      <sz val="11"/>
      <color indexed="62"/>
      <name val="Calibri"/>
      <family val="2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2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theme="0"/>
        <bgColor indexed="64"/>
      </patternFill>
    </fill>
    <fill>
      <patternFill patternType="solid">
        <fgColor rgb="FFEFEBE4"/>
        <bgColor indexed="64"/>
      </patternFill>
    </fill>
    <fill>
      <patternFill patternType="solid">
        <fgColor rgb="FFF6F9FC"/>
        <bgColor indexed="64"/>
      </patternFill>
    </fill>
    <fill>
      <patternFill patternType="solid">
        <fgColor rgb="FFE5F4F7"/>
        <bgColor indexed="64"/>
      </patternFill>
    </fill>
    <fill>
      <patternFill patternType="solid">
        <fgColor rgb="FFEFF3E5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8F8F8"/>
        <bgColor indexed="64"/>
      </patternFill>
    </fill>
    <fill>
      <patternFill patternType="solid">
        <fgColor rgb="FFF2F1EA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9"/>
      </patternFill>
    </fill>
    <fill>
      <patternFill patternType="solid">
        <fgColor indexed="40"/>
      </patternFill>
    </fill>
    <fill>
      <patternFill patternType="solid">
        <fgColor indexed="31"/>
      </patternFill>
    </fill>
    <fill>
      <patternFill patternType="solid">
        <fgColor indexed="47"/>
      </patternFill>
    </fill>
    <fill>
      <patternFill patternType="solid">
        <fgColor indexed="45"/>
      </patternFill>
    </fill>
    <fill>
      <patternFill patternType="solid">
        <fgColor indexed="26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13"/>
      </patternFill>
    </fill>
    <fill>
      <patternFill patternType="solid">
        <fgColor indexed="22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4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15"/>
      </patternFill>
    </fill>
    <fill>
      <patternFill patternType="solid">
        <fgColor indexed="30"/>
      </patternFill>
    </fill>
    <fill>
      <patternFill patternType="solid">
        <fgColor indexed="18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54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19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30"/>
        <bgColor indexed="64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8"/>
      </patternFill>
    </fill>
    <fill>
      <patternFill patternType="solid">
        <fgColor rgb="FF00B0F0"/>
        <bgColor indexed="64"/>
      </patternFill>
    </fill>
  </fills>
  <borders count="38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hair">
        <color rgb="FF3F3F3F"/>
      </top>
      <bottom style="hair">
        <color rgb="FF3F3F3F"/>
      </bottom>
      <diagonal/>
    </border>
    <border>
      <left/>
      <right/>
      <top style="hair">
        <color rgb="FF7F7F7F"/>
      </top>
      <bottom style="hair">
        <color rgb="FF7F7F7F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5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15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15"/>
      </bottom>
      <diagonal/>
    </border>
    <border>
      <left/>
      <right/>
      <top/>
      <bottom style="medium">
        <color indexed="3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tted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ck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thin">
        <color indexed="54"/>
      </top>
      <bottom style="double">
        <color indexed="54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696">
    <xf numFmtId="0" fontId="0" fillId="0" borderId="0"/>
    <xf numFmtId="0" fontId="4" fillId="4" borderId="0"/>
    <xf numFmtId="0" fontId="5" fillId="6" borderId="7" applyNumberFormat="0" applyBorder="0"/>
    <xf numFmtId="9" fontId="4" fillId="0" borderId="0" applyFont="0" applyFill="0" applyBorder="0" applyAlignment="0" applyProtection="0"/>
    <xf numFmtId="0" fontId="3" fillId="7" borderId="8" applyBorder="0">
      <alignment horizontal="center" wrapText="1"/>
    </xf>
    <xf numFmtId="0" fontId="4" fillId="8" borderId="5" applyBorder="0">
      <alignment horizontal="center" wrapText="1"/>
    </xf>
    <xf numFmtId="0" fontId="6" fillId="4" borderId="7" applyNumberFormat="0" applyAlignment="0"/>
    <xf numFmtId="1" fontId="7" fillId="4" borderId="9"/>
    <xf numFmtId="0" fontId="10" fillId="9" borderId="10" applyNumberFormat="0"/>
    <xf numFmtId="0" fontId="11" fillId="10" borderId="8" applyBorder="0">
      <alignment horizontal="center" wrapText="1"/>
    </xf>
    <xf numFmtId="0" fontId="11" fillId="11" borderId="8" applyBorder="0">
      <alignment horizontal="center" wrapText="1"/>
    </xf>
    <xf numFmtId="0" fontId="12" fillId="4" borderId="10" applyNumberFormat="0"/>
    <xf numFmtId="0" fontId="12" fillId="12" borderId="10" applyNumberFormat="0"/>
    <xf numFmtId="0" fontId="2" fillId="12" borderId="10" applyNumberFormat="0"/>
    <xf numFmtId="0" fontId="4" fillId="9" borderId="10" applyNumberFormat="0"/>
    <xf numFmtId="0" fontId="10" fillId="9" borderId="10" applyNumberFormat="0"/>
    <xf numFmtId="0" fontId="5" fillId="6" borderId="7" applyNumberFormat="0"/>
    <xf numFmtId="14" fontId="13" fillId="4" borderId="9" applyNumberFormat="0" applyAlignment="0"/>
    <xf numFmtId="14" fontId="13" fillId="12" borderId="9" applyNumberFormat="0" applyAlignment="0"/>
    <xf numFmtId="14" fontId="14" fillId="12" borderId="9" applyNumberFormat="0" applyAlignment="0"/>
    <xf numFmtId="0" fontId="1" fillId="0" borderId="0"/>
    <xf numFmtId="0" fontId="1" fillId="0" borderId="0"/>
    <xf numFmtId="0" fontId="1" fillId="0" borderId="0"/>
    <xf numFmtId="0" fontId="4" fillId="5" borderId="0" applyNumberFormat="0" applyFont="0" applyBorder="0" applyAlignment="0" applyProtection="0"/>
    <xf numFmtId="0" fontId="11" fillId="10" borderId="8" applyBorder="0">
      <alignment horizontal="center" wrapText="1"/>
    </xf>
    <xf numFmtId="0" fontId="4" fillId="13" borderId="8" applyBorder="0">
      <alignment horizontal="center" wrapText="1"/>
    </xf>
    <xf numFmtId="0" fontId="11" fillId="11" borderId="8" applyBorder="0">
      <alignment horizontal="center" wrapText="1"/>
    </xf>
    <xf numFmtId="0" fontId="3" fillId="7" borderId="8" applyBorder="0">
      <alignment horizontal="center" wrapText="1"/>
    </xf>
    <xf numFmtId="0" fontId="11" fillId="14" borderId="8" applyBorder="0">
      <alignment horizontal="center" wrapText="1"/>
    </xf>
    <xf numFmtId="0" fontId="3" fillId="7" borderId="8" applyBorder="0">
      <alignment horizontal="center" wrapText="1"/>
    </xf>
    <xf numFmtId="0" fontId="3" fillId="7" borderId="8" applyBorder="0">
      <alignment horizontal="center" wrapText="1"/>
    </xf>
    <xf numFmtId="0" fontId="3" fillId="7" borderId="8" applyBorder="0">
      <alignment horizontal="center" wrapText="1"/>
    </xf>
    <xf numFmtId="0" fontId="3" fillId="7" borderId="8" applyBorder="0">
      <alignment horizontal="center" wrapText="1"/>
    </xf>
    <xf numFmtId="0" fontId="3" fillId="7" borderId="8" applyBorder="0">
      <alignment horizontal="center" wrapText="1"/>
    </xf>
    <xf numFmtId="0" fontId="3" fillId="7" borderId="8" applyBorder="0">
      <alignment horizontal="center" wrapText="1"/>
    </xf>
    <xf numFmtId="0" fontId="3" fillId="7" borderId="8" applyBorder="0">
      <alignment horizontal="center" wrapText="1"/>
    </xf>
    <xf numFmtId="0" fontId="3" fillId="7" borderId="8" applyBorder="0">
      <alignment horizontal="center" wrapText="1"/>
    </xf>
    <xf numFmtId="1" fontId="7" fillId="12" borderId="9"/>
    <xf numFmtId="2" fontId="15" fillId="12" borderId="9"/>
    <xf numFmtId="0" fontId="16" fillId="12" borderId="7" applyNumberFormat="0" applyAlignment="0"/>
    <xf numFmtId="164" fontId="17" fillId="12" borderId="9" applyNumberFormat="0"/>
    <xf numFmtId="0" fontId="21" fillId="0" borderId="0" applyNumberFormat="0" applyFill="0" applyBorder="0" applyAlignment="0" applyProtection="0">
      <alignment horizontal="left" wrapText="1"/>
    </xf>
    <xf numFmtId="0" fontId="21" fillId="0" borderId="0" applyNumberFormat="0" applyFill="0" applyBorder="0" applyAlignment="0" applyProtection="0">
      <alignment horizontal="left" wrapText="1"/>
    </xf>
    <xf numFmtId="0" fontId="21" fillId="0" borderId="0" applyNumberFormat="0" applyFill="0" applyBorder="0" applyAlignment="0" applyProtection="0">
      <alignment horizontal="left" wrapText="1"/>
    </xf>
    <xf numFmtId="0" fontId="21" fillId="0" borderId="0" applyNumberFormat="0" applyFill="0" applyBorder="0" applyAlignment="0" applyProtection="0">
      <alignment horizontal="left" wrapText="1"/>
    </xf>
    <xf numFmtId="166" fontId="22" fillId="0" borderId="0" applyFont="0" applyFill="0" applyBorder="0" applyAlignment="0" applyProtection="0"/>
    <xf numFmtId="167" fontId="22" fillId="0" borderId="0" applyFont="0" applyFill="0" applyBorder="0" applyAlignment="0" applyProtection="0"/>
    <xf numFmtId="0" fontId="19" fillId="16" borderId="0" applyNumberFormat="0" applyBorder="0" applyAlignment="0" applyProtection="0"/>
    <xf numFmtId="0" fontId="23" fillId="17" borderId="0" applyNumberFormat="0" applyBorder="0" applyAlignment="0" applyProtection="0"/>
    <xf numFmtId="0" fontId="24" fillId="18" borderId="0" applyNumberFormat="0" applyBorder="0" applyAlignment="0" applyProtection="0"/>
    <xf numFmtId="0" fontId="19" fillId="19" borderId="0" applyNumberFormat="0" applyBorder="0" applyAlignment="0" applyProtection="0"/>
    <xf numFmtId="0" fontId="23" fillId="19" borderId="0" applyNumberFormat="0" applyBorder="0" applyAlignment="0" applyProtection="0"/>
    <xf numFmtId="0" fontId="24" fillId="20" borderId="0" applyNumberFormat="0" applyBorder="0" applyAlignment="0" applyProtection="0"/>
    <xf numFmtId="0" fontId="19" fillId="21" borderId="0" applyNumberFormat="0" applyBorder="0" applyAlignment="0" applyProtection="0"/>
    <xf numFmtId="0" fontId="23" fillId="21" borderId="0" applyNumberFormat="0" applyBorder="0" applyAlignment="0" applyProtection="0"/>
    <xf numFmtId="0" fontId="24" fillId="22" borderId="0" applyNumberFormat="0" applyBorder="0" applyAlignment="0" applyProtection="0"/>
    <xf numFmtId="0" fontId="19" fillId="16" borderId="0" applyNumberFormat="0" applyBorder="0" applyAlignment="0" applyProtection="0"/>
    <xf numFmtId="0" fontId="23" fillId="22" borderId="0" applyNumberFormat="0" applyBorder="0" applyAlignment="0" applyProtection="0"/>
    <xf numFmtId="0" fontId="24" fillId="23" borderId="0" applyNumberFormat="0" applyBorder="0" applyAlignment="0" applyProtection="0"/>
    <xf numFmtId="0" fontId="19" fillId="24" borderId="0" applyNumberFormat="0" applyBorder="0" applyAlignment="0" applyProtection="0"/>
    <xf numFmtId="0" fontId="23" fillId="25" borderId="0" applyNumberFormat="0" applyBorder="0" applyAlignment="0" applyProtection="0"/>
    <xf numFmtId="0" fontId="24" fillId="24" borderId="0" applyNumberFormat="0" applyBorder="0" applyAlignment="0" applyProtection="0"/>
    <xf numFmtId="0" fontId="19" fillId="19" borderId="0" applyNumberFormat="0" applyBorder="0" applyAlignment="0" applyProtection="0"/>
    <xf numFmtId="0" fontId="23" fillId="19" borderId="0" applyNumberFormat="0" applyBorder="0" applyAlignment="0" applyProtection="0"/>
    <xf numFmtId="0" fontId="24" fillId="19" borderId="0" applyNumberFormat="0" applyBorder="0" applyAlignment="0" applyProtection="0"/>
    <xf numFmtId="0" fontId="19" fillId="26" borderId="0" applyNumberFormat="0" applyBorder="0" applyAlignment="0" applyProtection="0"/>
    <xf numFmtId="0" fontId="23" fillId="17" borderId="0" applyNumberFormat="0" applyBorder="0" applyAlignment="0" applyProtection="0"/>
    <xf numFmtId="0" fontId="24" fillId="27" borderId="0" applyNumberFormat="0" applyBorder="0" applyAlignment="0" applyProtection="0"/>
    <xf numFmtId="0" fontId="19" fillId="28" borderId="0" applyNumberFormat="0" applyBorder="0" applyAlignment="0" applyProtection="0"/>
    <xf numFmtId="0" fontId="23" fillId="28" borderId="0" applyNumberFormat="0" applyBorder="0" applyAlignment="0" applyProtection="0"/>
    <xf numFmtId="0" fontId="24" fillId="28" borderId="0" applyNumberFormat="0" applyBorder="0" applyAlignment="0" applyProtection="0"/>
    <xf numFmtId="0" fontId="19" fillId="21" borderId="0" applyNumberFormat="0" applyBorder="0" applyAlignment="0" applyProtection="0"/>
    <xf numFmtId="0" fontId="23" fillId="23" borderId="0" applyNumberFormat="0" applyBorder="0" applyAlignment="0" applyProtection="0"/>
    <xf numFmtId="0" fontId="24" fillId="29" borderId="0" applyNumberFormat="0" applyBorder="0" applyAlignment="0" applyProtection="0"/>
    <xf numFmtId="0" fontId="19" fillId="26" borderId="0" applyNumberFormat="0" applyBorder="0" applyAlignment="0" applyProtection="0"/>
    <xf numFmtId="0" fontId="23" fillId="30" borderId="0" applyNumberFormat="0" applyBorder="0" applyAlignment="0" applyProtection="0"/>
    <xf numFmtId="0" fontId="24" fillId="23" borderId="0" applyNumberFormat="0" applyBorder="0" applyAlignment="0" applyProtection="0"/>
    <xf numFmtId="0" fontId="19" fillId="27" borderId="0" applyNumberFormat="0" applyBorder="0" applyAlignment="0" applyProtection="0"/>
    <xf numFmtId="0" fontId="23" fillId="25" borderId="0" applyNumberFormat="0" applyBorder="0" applyAlignment="0" applyProtection="0"/>
    <xf numFmtId="0" fontId="24" fillId="27" borderId="0" applyNumberFormat="0" applyBorder="0" applyAlignment="0" applyProtection="0"/>
    <xf numFmtId="0" fontId="19" fillId="19" borderId="0" applyNumberFormat="0" applyBorder="0" applyAlignment="0" applyProtection="0"/>
    <xf numFmtId="0" fontId="23" fillId="19" borderId="0" applyNumberFormat="0" applyBorder="0" applyAlignment="0" applyProtection="0"/>
    <xf numFmtId="0" fontId="24" fillId="31" borderId="0" applyNumberFormat="0" applyBorder="0" applyAlignment="0" applyProtection="0"/>
    <xf numFmtId="0" fontId="25" fillId="32" borderId="0" applyNumberFormat="0" applyBorder="0" applyAlignment="0" applyProtection="0"/>
    <xf numFmtId="0" fontId="26" fillId="33" borderId="0" applyNumberFormat="0" applyBorder="0" applyAlignment="0" applyProtection="0"/>
    <xf numFmtId="0" fontId="27" fillId="34" borderId="0" applyNumberFormat="0" applyBorder="0" applyAlignment="0" applyProtection="0"/>
    <xf numFmtId="0" fontId="25" fillId="28" borderId="0" applyNumberFormat="0" applyBorder="0" applyAlignment="0" applyProtection="0"/>
    <xf numFmtId="0" fontId="26" fillId="28" borderId="0" applyNumberFormat="0" applyBorder="0" applyAlignment="0" applyProtection="0"/>
    <xf numFmtId="0" fontId="27" fillId="28" borderId="0" applyNumberFormat="0" applyBorder="0" applyAlignment="0" applyProtection="0"/>
    <xf numFmtId="0" fontId="25" fillId="21" borderId="0" applyNumberFormat="0" applyBorder="0" applyAlignment="0" applyProtection="0"/>
    <xf numFmtId="0" fontId="26" fillId="23" borderId="0" applyNumberFormat="0" applyBorder="0" applyAlignment="0" applyProtection="0"/>
    <xf numFmtId="0" fontId="27" fillId="29" borderId="0" applyNumberFormat="0" applyBorder="0" applyAlignment="0" applyProtection="0"/>
    <xf numFmtId="0" fontId="25" fillId="26" borderId="0" applyNumberFormat="0" applyBorder="0" applyAlignment="0" applyProtection="0"/>
    <xf numFmtId="0" fontId="26" fillId="35" borderId="0" applyNumberFormat="0" applyBorder="0" applyAlignment="0" applyProtection="0"/>
    <xf numFmtId="0" fontId="27" fillId="36" borderId="0" applyNumberFormat="0" applyBorder="0" applyAlignment="0" applyProtection="0"/>
    <xf numFmtId="0" fontId="25" fillId="32" borderId="0" applyNumberFormat="0" applyBorder="0" applyAlignment="0" applyProtection="0"/>
    <xf numFmtId="0" fontId="26" fillId="33" borderId="0" applyNumberFormat="0" applyBorder="0" applyAlignment="0" applyProtection="0"/>
    <xf numFmtId="0" fontId="27" fillId="32" borderId="0" applyNumberFormat="0" applyBorder="0" applyAlignment="0" applyProtection="0"/>
    <xf numFmtId="0" fontId="25" fillId="19" borderId="0" applyNumberFormat="0" applyBorder="0" applyAlignment="0" applyProtection="0"/>
    <xf numFmtId="0" fontId="26" fillId="19" borderId="0" applyNumberFormat="0" applyBorder="0" applyAlignment="0" applyProtection="0"/>
    <xf numFmtId="0" fontId="27" fillId="37" borderId="0" applyNumberFormat="0" applyBorder="0" applyAlignment="0" applyProtection="0"/>
    <xf numFmtId="0" fontId="25" fillId="32" borderId="0" applyNumberFormat="0" applyBorder="0" applyAlignment="0" applyProtection="0"/>
    <xf numFmtId="0" fontId="26" fillId="38" borderId="0" applyNumberFormat="0" applyBorder="0" applyAlignment="0" applyProtection="0"/>
    <xf numFmtId="0" fontId="27" fillId="39" borderId="0" applyNumberFormat="0" applyBorder="0" applyAlignment="0" applyProtection="0"/>
    <xf numFmtId="0" fontId="25" fillId="40" borderId="0" applyNumberFormat="0" applyBorder="0" applyAlignment="0" applyProtection="0"/>
    <xf numFmtId="0" fontId="26" fillId="41" borderId="0" applyNumberFormat="0" applyBorder="0" applyAlignment="0" applyProtection="0"/>
    <xf numFmtId="0" fontId="27" fillId="40" borderId="0" applyNumberFormat="0" applyBorder="0" applyAlignment="0" applyProtection="0"/>
    <xf numFmtId="0" fontId="25" fillId="42" borderId="0" applyNumberFormat="0" applyBorder="0" applyAlignment="0" applyProtection="0"/>
    <xf numFmtId="0" fontId="26" fillId="41" borderId="0" applyNumberFormat="0" applyBorder="0" applyAlignment="0" applyProtection="0"/>
    <xf numFmtId="0" fontId="27" fillId="42" borderId="0" applyNumberFormat="0" applyBorder="0" applyAlignment="0" applyProtection="0"/>
    <xf numFmtId="0" fontId="25" fillId="38" borderId="0" applyNumberFormat="0" applyBorder="0" applyAlignment="0" applyProtection="0"/>
    <xf numFmtId="0" fontId="26" fillId="38" borderId="0" applyNumberFormat="0" applyBorder="0" applyAlignment="0" applyProtection="0"/>
    <xf numFmtId="0" fontId="27" fillId="36" borderId="0" applyNumberFormat="0" applyBorder="0" applyAlignment="0" applyProtection="0"/>
    <xf numFmtId="0" fontId="25" fillId="32" borderId="0" applyNumberFormat="0" applyBorder="0" applyAlignment="0" applyProtection="0"/>
    <xf numFmtId="0" fontId="26" fillId="42" borderId="0" applyNumberFormat="0" applyBorder="0" applyAlignment="0" applyProtection="0"/>
    <xf numFmtId="0" fontId="27" fillId="32" borderId="0" applyNumberFormat="0" applyBorder="0" applyAlignment="0" applyProtection="0"/>
    <xf numFmtId="0" fontId="25" fillId="43" borderId="0" applyNumberFormat="0" applyBorder="0" applyAlignment="0" applyProtection="0"/>
    <xf numFmtId="0" fontId="26" fillId="43" borderId="0" applyNumberFormat="0" applyBorder="0" applyAlignment="0" applyProtection="0"/>
    <xf numFmtId="0" fontId="27" fillId="43" borderId="0" applyNumberFormat="0" applyBorder="0" applyAlignment="0" applyProtection="0"/>
    <xf numFmtId="0" fontId="21" fillId="0" borderId="0"/>
    <xf numFmtId="17" fontId="21" fillId="0" borderId="0" applyFont="0" applyFill="0" applyBorder="0" applyProtection="0">
      <alignment horizontal="left"/>
    </xf>
    <xf numFmtId="0" fontId="21" fillId="0" borderId="0" applyFont="0" applyFill="0" applyBorder="0" applyProtection="0">
      <alignment horizontal="left"/>
    </xf>
    <xf numFmtId="0" fontId="28" fillId="20" borderId="0" applyNumberFormat="0" applyBorder="0" applyAlignment="0" applyProtection="0"/>
    <xf numFmtId="0" fontId="29" fillId="20" borderId="0" applyNumberFormat="0" applyBorder="0" applyAlignment="0" applyProtection="0"/>
    <xf numFmtId="0" fontId="30" fillId="20" borderId="0" applyNumberFormat="0" applyBorder="0" applyAlignment="0" applyProtection="0"/>
    <xf numFmtId="38" fontId="31" fillId="16" borderId="0"/>
    <xf numFmtId="0" fontId="32" fillId="0" borderId="0" applyNumberFormat="0" applyFill="0" applyBorder="0" applyAlignment="0" applyProtection="0"/>
    <xf numFmtId="0" fontId="33" fillId="44" borderId="0">
      <alignment horizontal="left"/>
    </xf>
    <xf numFmtId="2" fontId="34" fillId="15" borderId="3" applyProtection="0">
      <alignment horizontal="left"/>
      <protection locked="0"/>
    </xf>
    <xf numFmtId="0" fontId="35" fillId="0" borderId="0" applyNumberFormat="0" applyFill="0" applyBorder="0" applyAlignment="0" applyProtection="0"/>
    <xf numFmtId="0" fontId="36" fillId="0" borderId="4" applyNumberFormat="0" applyFill="0" applyAlignment="0" applyProtection="0"/>
    <xf numFmtId="0" fontId="21" fillId="45" borderId="0"/>
    <xf numFmtId="168" fontId="22" fillId="0" borderId="0" applyFont="0" applyFill="0" applyBorder="0" applyAlignment="0" applyProtection="0"/>
    <xf numFmtId="0" fontId="37" fillId="0" borderId="0" applyFill="0" applyBorder="0" applyAlignment="0"/>
    <xf numFmtId="169" fontId="21" fillId="0" borderId="0" applyFill="0" applyBorder="0" applyAlignment="0"/>
    <xf numFmtId="0" fontId="37" fillId="0" borderId="0" applyFill="0" applyBorder="0" applyAlignment="0"/>
    <xf numFmtId="170" fontId="21" fillId="0" borderId="0" applyFill="0" applyBorder="0" applyAlignment="0"/>
    <xf numFmtId="0" fontId="21" fillId="0" borderId="0" applyFill="0" applyBorder="0" applyAlignment="0"/>
    <xf numFmtId="171" fontId="21" fillId="0" borderId="0" applyFill="0" applyBorder="0" applyAlignment="0"/>
    <xf numFmtId="0" fontId="21" fillId="0" borderId="0" applyFill="0" applyBorder="0" applyAlignment="0"/>
    <xf numFmtId="169" fontId="38" fillId="0" borderId="0" applyFill="0" applyBorder="0" applyAlignment="0"/>
    <xf numFmtId="0" fontId="21" fillId="0" borderId="0" applyFill="0" applyBorder="0" applyAlignment="0"/>
    <xf numFmtId="172" fontId="21" fillId="0" borderId="0" applyFill="0" applyBorder="0" applyAlignment="0"/>
    <xf numFmtId="0" fontId="37" fillId="0" borderId="0" applyFill="0" applyBorder="0" applyAlignment="0"/>
    <xf numFmtId="169" fontId="21" fillId="0" borderId="0" applyFill="0" applyBorder="0" applyAlignment="0"/>
    <xf numFmtId="0" fontId="37" fillId="0" borderId="0" applyFill="0" applyBorder="0" applyAlignment="0"/>
    <xf numFmtId="169" fontId="21" fillId="0" borderId="0" applyFill="0" applyBorder="0" applyAlignment="0"/>
    <xf numFmtId="0" fontId="37" fillId="0" borderId="0" applyFill="0" applyBorder="0" applyAlignment="0"/>
    <xf numFmtId="170" fontId="21" fillId="0" borderId="0" applyFill="0" applyBorder="0" applyAlignment="0"/>
    <xf numFmtId="0" fontId="39" fillId="16" borderId="11" applyNumberFormat="0" applyAlignment="0" applyProtection="0"/>
    <xf numFmtId="0" fontId="40" fillId="24" borderId="11" applyNumberFormat="0" applyAlignment="0" applyProtection="0"/>
    <xf numFmtId="0" fontId="41" fillId="26" borderId="11" applyNumberFormat="0" applyAlignment="0" applyProtection="0"/>
    <xf numFmtId="0" fontId="18" fillId="2" borderId="1" applyNumberFormat="0" applyAlignment="0" applyProtection="0"/>
    <xf numFmtId="0" fontId="42" fillId="46" borderId="12" applyNumberFormat="0" applyAlignment="0" applyProtection="0"/>
    <xf numFmtId="0" fontId="43" fillId="46" borderId="12" applyNumberFormat="0" applyAlignment="0" applyProtection="0"/>
    <xf numFmtId="0" fontId="44" fillId="46" borderId="12" applyNumberFormat="0" applyAlignment="0" applyProtection="0"/>
    <xf numFmtId="0" fontId="45" fillId="0" borderId="0" applyNumberFormat="0" applyFill="0" applyBorder="0" applyAlignment="0" applyProtection="0"/>
    <xf numFmtId="173" fontId="46" fillId="0" borderId="0"/>
    <xf numFmtId="173" fontId="47" fillId="0" borderId="0"/>
    <xf numFmtId="173" fontId="46" fillId="0" borderId="0"/>
    <xf numFmtId="173" fontId="47" fillId="0" borderId="0"/>
    <xf numFmtId="173" fontId="46" fillId="0" borderId="0"/>
    <xf numFmtId="173" fontId="47" fillId="0" borderId="0"/>
    <xf numFmtId="173" fontId="46" fillId="0" borderId="0"/>
    <xf numFmtId="173" fontId="47" fillId="0" borderId="0"/>
    <xf numFmtId="173" fontId="46" fillId="0" borderId="0"/>
    <xf numFmtId="173" fontId="47" fillId="0" borderId="0"/>
    <xf numFmtId="173" fontId="46" fillId="0" borderId="0"/>
    <xf numFmtId="173" fontId="47" fillId="0" borderId="0"/>
    <xf numFmtId="173" fontId="46" fillId="0" borderId="0"/>
    <xf numFmtId="173" fontId="47" fillId="0" borderId="0"/>
    <xf numFmtId="173" fontId="46" fillId="0" borderId="0"/>
    <xf numFmtId="173" fontId="47" fillId="0" borderId="0"/>
    <xf numFmtId="0" fontId="37" fillId="0" borderId="0" applyFont="0" applyFill="0" applyBorder="0" applyAlignment="0" applyProtection="0"/>
    <xf numFmtId="169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3" fontId="21" fillId="0" borderId="0" applyFill="0" applyBorder="0" applyAlignment="0" applyProtection="0"/>
    <xf numFmtId="0" fontId="48" fillId="0" borderId="0"/>
    <xf numFmtId="0" fontId="49" fillId="0" borderId="0" applyNumberFormat="0" applyAlignment="0">
      <alignment horizontal="left"/>
    </xf>
    <xf numFmtId="0" fontId="50" fillId="0" borderId="0">
      <alignment horizontal="center"/>
    </xf>
    <xf numFmtId="0" fontId="48" fillId="0" borderId="0"/>
    <xf numFmtId="0" fontId="37" fillId="0" borderId="0" applyFont="0" applyFill="0" applyBorder="0" applyAlignment="0" applyProtection="0"/>
    <xf numFmtId="170" fontId="21" fillId="0" borderId="0" applyFont="0" applyFill="0" applyBorder="0" applyAlignment="0" applyProtection="0"/>
    <xf numFmtId="8" fontId="51" fillId="0" borderId="13">
      <protection locked="0"/>
    </xf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2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5" fontId="21" fillId="0" borderId="0" applyFill="0" applyBorder="0" applyAlignment="0" applyProtection="0"/>
    <xf numFmtId="174" fontId="22" fillId="0" borderId="0" applyFont="0" applyFill="0" applyBorder="0" applyAlignment="0" applyProtection="0"/>
    <xf numFmtId="10" fontId="21" fillId="0" borderId="0" applyFont="0" applyFill="0" applyBorder="0" applyProtection="0">
      <alignment horizontal="center"/>
    </xf>
    <xf numFmtId="175" fontId="21" fillId="0" borderId="0" applyFont="0" applyFill="0" applyBorder="0" applyProtection="0"/>
    <xf numFmtId="176" fontId="21" fillId="0" borderId="0" applyFont="0" applyFill="0" applyBorder="0" applyProtection="0"/>
    <xf numFmtId="15" fontId="52" fillId="0" borderId="0" applyFont="0" applyFill="0" applyBorder="0" applyAlignment="0" applyProtection="0"/>
    <xf numFmtId="0" fontId="48" fillId="0" borderId="0"/>
    <xf numFmtId="177" fontId="21" fillId="0" borderId="0" applyFill="0" applyBorder="0" applyAlignment="0" applyProtection="0"/>
    <xf numFmtId="177" fontId="21" fillId="0" borderId="0" applyFill="0" applyBorder="0" applyAlignment="0" applyProtection="0"/>
    <xf numFmtId="177" fontId="21" fillId="0" borderId="0" applyFill="0" applyBorder="0" applyAlignment="0" applyProtection="0"/>
    <xf numFmtId="177" fontId="21" fillId="0" borderId="0" applyFill="0" applyBorder="0" applyAlignment="0" applyProtection="0"/>
    <xf numFmtId="177" fontId="21" fillId="0" borderId="0" applyFill="0" applyBorder="0" applyAlignment="0" applyProtection="0"/>
    <xf numFmtId="15" fontId="23" fillId="16" borderId="0"/>
    <xf numFmtId="14" fontId="23" fillId="0" borderId="0" applyFill="0" applyBorder="0" applyAlignment="0"/>
    <xf numFmtId="0" fontId="50" fillId="15" borderId="0">
      <alignment horizontal="left"/>
    </xf>
    <xf numFmtId="177" fontId="21" fillId="0" borderId="0" applyFill="0" applyBorder="0" applyAlignment="0" applyProtection="0"/>
    <xf numFmtId="14" fontId="21" fillId="0" borderId="0"/>
    <xf numFmtId="0" fontId="53" fillId="28" borderId="0">
      <alignment horizontal="left"/>
    </xf>
    <xf numFmtId="0" fontId="54" fillId="0" borderId="0">
      <alignment horizontal="left"/>
    </xf>
    <xf numFmtId="38" fontId="55" fillId="0" borderId="14">
      <alignment vertical="center"/>
    </xf>
    <xf numFmtId="164" fontId="21" fillId="0" borderId="0">
      <alignment horizontal="right"/>
    </xf>
    <xf numFmtId="1" fontId="21" fillId="0" borderId="0">
      <alignment horizontal="right"/>
    </xf>
    <xf numFmtId="1" fontId="21" fillId="0" borderId="0">
      <alignment horizontal="right"/>
    </xf>
    <xf numFmtId="178" fontId="21" fillId="0" borderId="0">
      <alignment horizontal="right"/>
    </xf>
    <xf numFmtId="49" fontId="21" fillId="0" borderId="0">
      <alignment horizontal="left"/>
    </xf>
    <xf numFmtId="49" fontId="21" fillId="0" borderId="0">
      <alignment horizontal="left"/>
    </xf>
    <xf numFmtId="49" fontId="21" fillId="0" borderId="0">
      <alignment horizontal="right"/>
    </xf>
    <xf numFmtId="14" fontId="21" fillId="0" borderId="0">
      <alignment horizontal="left"/>
    </xf>
    <xf numFmtId="0" fontId="37" fillId="0" borderId="0" applyFill="0" applyBorder="0" applyAlignment="0"/>
    <xf numFmtId="169" fontId="21" fillId="0" borderId="0" applyFill="0" applyBorder="0" applyAlignment="0"/>
    <xf numFmtId="0" fontId="37" fillId="0" borderId="0" applyFill="0" applyBorder="0" applyAlignment="0"/>
    <xf numFmtId="170" fontId="21" fillId="0" borderId="0" applyFill="0" applyBorder="0" applyAlignment="0"/>
    <xf numFmtId="0" fontId="37" fillId="0" borderId="0" applyFill="0" applyBorder="0" applyAlignment="0"/>
    <xf numFmtId="169" fontId="21" fillId="0" borderId="0" applyFill="0" applyBorder="0" applyAlignment="0"/>
    <xf numFmtId="0" fontId="37" fillId="0" borderId="0" applyFill="0" applyBorder="0" applyAlignment="0"/>
    <xf numFmtId="169" fontId="21" fillId="0" borderId="0" applyFill="0" applyBorder="0" applyAlignment="0"/>
    <xf numFmtId="0" fontId="37" fillId="0" borderId="0" applyFill="0" applyBorder="0" applyAlignment="0"/>
    <xf numFmtId="170" fontId="21" fillId="0" borderId="0" applyFill="0" applyBorder="0" applyAlignment="0"/>
    <xf numFmtId="0" fontId="56" fillId="0" borderId="0" applyNumberFormat="0" applyAlignment="0">
      <alignment horizontal="left"/>
    </xf>
    <xf numFmtId="9" fontId="57" fillId="0" borderId="15" applyNumberFormat="0" applyBorder="0" applyAlignment="0">
      <protection locked="0"/>
    </xf>
    <xf numFmtId="179" fontId="21" fillId="0" borderId="0" applyFont="0" applyFill="0" applyBorder="0" applyAlignment="0" applyProtection="0"/>
    <xf numFmtId="0" fontId="58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2" fontId="21" fillId="0" borderId="0" applyFill="0" applyBorder="0" applyAlignment="0" applyProtection="0"/>
    <xf numFmtId="180" fontId="21" fillId="0" borderId="0" applyFont="0" applyFill="0" applyBorder="0" applyAlignment="0" applyProtection="0"/>
    <xf numFmtId="0" fontId="23" fillId="16" borderId="0"/>
    <xf numFmtId="0" fontId="9" fillId="22" borderId="0" applyNumberFormat="0" applyBorder="0" applyAlignment="0" applyProtection="0"/>
    <xf numFmtId="0" fontId="61" fillId="25" borderId="0" applyNumberFormat="0" applyBorder="0" applyAlignment="0" applyProtection="0"/>
    <xf numFmtId="0" fontId="62" fillId="22" borderId="0" applyNumberFormat="0" applyBorder="0" applyAlignment="0" applyProtection="0"/>
    <xf numFmtId="2" fontId="63" fillId="15" borderId="3" applyProtection="0">
      <alignment horizontal="left"/>
      <protection locked="0"/>
    </xf>
    <xf numFmtId="38" fontId="45" fillId="47" borderId="0" applyNumberFormat="0" applyBorder="0" applyAlignment="0" applyProtection="0"/>
    <xf numFmtId="0" fontId="64" fillId="0" borderId="16" applyNumberFormat="0" applyAlignment="0" applyProtection="0">
      <alignment horizontal="left" vertical="center"/>
    </xf>
    <xf numFmtId="0" fontId="64" fillId="0" borderId="6">
      <alignment horizontal="left" vertical="center"/>
    </xf>
    <xf numFmtId="0" fontId="65" fillId="26" borderId="15">
      <alignment horizontal="centerContinuous"/>
    </xf>
    <xf numFmtId="0" fontId="66" fillId="0" borderId="17" applyNumberFormat="0" applyFill="0" applyAlignment="0" applyProtection="0"/>
    <xf numFmtId="0" fontId="67" fillId="0" borderId="18" applyNumberFormat="0" applyFill="0" applyAlignment="0" applyProtection="0"/>
    <xf numFmtId="0" fontId="68" fillId="0" borderId="0" applyNumberFormat="0" applyFill="0" applyBorder="0" applyAlignment="0" applyProtection="0"/>
    <xf numFmtId="0" fontId="69" fillId="0" borderId="0" applyNumberFormat="0" applyFill="0" applyBorder="0" applyAlignment="0" applyProtection="0"/>
    <xf numFmtId="0" fontId="70" fillId="0" borderId="19" applyNumberFormat="0" applyFill="0" applyAlignment="0" applyProtection="0"/>
    <xf numFmtId="0" fontId="71" fillId="0" borderId="20" applyNumberFormat="0" applyFill="0" applyAlignment="0" applyProtection="0"/>
    <xf numFmtId="0" fontId="72" fillId="0" borderId="21" applyNumberFormat="0" applyFill="0" applyAlignment="0" applyProtection="0"/>
    <xf numFmtId="0" fontId="53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73" fillId="0" borderId="20" applyNumberFormat="0" applyFill="0" applyAlignment="0" applyProtection="0"/>
    <xf numFmtId="0" fontId="74" fillId="0" borderId="22" applyNumberFormat="0" applyFill="0" applyAlignment="0" applyProtection="0"/>
    <xf numFmtId="0" fontId="75" fillId="0" borderId="23" applyNumberFormat="0" applyFill="0" applyAlignment="0" applyProtection="0"/>
    <xf numFmtId="0" fontId="76" fillId="0" borderId="24" applyNumberFormat="0" applyFill="0" applyAlignment="0" applyProtection="0"/>
    <xf numFmtId="0" fontId="74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76" fillId="0" borderId="0" applyNumberFormat="0" applyFill="0" applyBorder="0" applyAlignment="0" applyProtection="0"/>
    <xf numFmtId="0" fontId="77" fillId="16" borderId="0"/>
    <xf numFmtId="0" fontId="69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10" fontId="45" fillId="48" borderId="15" applyNumberFormat="0" applyBorder="0" applyAlignment="0" applyProtection="0"/>
    <xf numFmtId="2" fontId="78" fillId="0" borderId="25" applyNumberFormat="0" applyFill="0" applyBorder="0" applyAlignment="0">
      <alignment horizontal="center"/>
      <protection locked="0"/>
    </xf>
    <xf numFmtId="0" fontId="79" fillId="19" borderId="11" applyNumberFormat="0" applyAlignment="0" applyProtection="0"/>
    <xf numFmtId="0" fontId="79" fillId="19" borderId="11" applyNumberFormat="0" applyAlignment="0" applyProtection="0"/>
    <xf numFmtId="0" fontId="79" fillId="19" borderId="11" applyNumberFormat="0" applyAlignment="0" applyProtection="0"/>
    <xf numFmtId="0" fontId="79" fillId="19" borderId="11" applyNumberFormat="0" applyAlignment="0" applyProtection="0"/>
    <xf numFmtId="37" fontId="80" fillId="0" borderId="0" applyNumberFormat="0" applyAlignment="0">
      <protection locked="0"/>
    </xf>
    <xf numFmtId="0" fontId="81" fillId="0" borderId="0"/>
    <xf numFmtId="0" fontId="37" fillId="0" borderId="0" applyFill="0" applyBorder="0" applyAlignment="0"/>
    <xf numFmtId="169" fontId="21" fillId="0" borderId="0" applyFill="0" applyBorder="0" applyAlignment="0"/>
    <xf numFmtId="0" fontId="37" fillId="0" borderId="0" applyFill="0" applyBorder="0" applyAlignment="0"/>
    <xf numFmtId="170" fontId="21" fillId="0" borderId="0" applyFill="0" applyBorder="0" applyAlignment="0"/>
    <xf numFmtId="0" fontId="37" fillId="0" borderId="0" applyFill="0" applyBorder="0" applyAlignment="0"/>
    <xf numFmtId="169" fontId="21" fillId="0" borderId="0" applyFill="0" applyBorder="0" applyAlignment="0"/>
    <xf numFmtId="0" fontId="37" fillId="0" borderId="0" applyFill="0" applyBorder="0" applyAlignment="0"/>
    <xf numFmtId="169" fontId="21" fillId="0" borderId="0" applyFill="0" applyBorder="0" applyAlignment="0"/>
    <xf numFmtId="0" fontId="37" fillId="0" borderId="0" applyFill="0" applyBorder="0" applyAlignment="0"/>
    <xf numFmtId="170" fontId="21" fillId="0" borderId="0" applyFill="0" applyBorder="0" applyAlignment="0"/>
    <xf numFmtId="0" fontId="82" fillId="0" borderId="26" applyNumberFormat="0" applyFill="0" applyAlignment="0" applyProtection="0"/>
    <xf numFmtId="0" fontId="83" fillId="0" borderId="26" applyNumberFormat="0" applyFill="0" applyAlignment="0" applyProtection="0"/>
    <xf numFmtId="0" fontId="84" fillId="0" borderId="26" applyNumberFormat="0" applyFill="0" applyAlignment="0" applyProtection="0"/>
    <xf numFmtId="0" fontId="21" fillId="47" borderId="0"/>
    <xf numFmtId="0" fontId="21" fillId="0" borderId="0" applyFont="0" applyFill="0" applyBorder="0" applyAlignment="0" applyProtection="0"/>
    <xf numFmtId="0" fontId="21" fillId="0" borderId="0" applyFont="0" applyFill="0" applyBorder="0" applyAlignment="0" applyProtection="0"/>
    <xf numFmtId="0" fontId="21" fillId="0" borderId="0" applyFont="0" applyFill="0" applyBorder="0" applyAlignment="0" applyProtection="0"/>
    <xf numFmtId="0" fontId="21" fillId="0" borderId="0" applyFont="0" applyFill="0" applyBorder="0" applyAlignment="0" applyProtection="0"/>
    <xf numFmtId="38" fontId="23" fillId="16" borderId="0"/>
    <xf numFmtId="0" fontId="85" fillId="19" borderId="0" applyNumberFormat="0" applyBorder="0" applyAlignment="0" applyProtection="0"/>
    <xf numFmtId="0" fontId="86" fillId="23" borderId="0" applyNumberFormat="0" applyBorder="0" applyAlignment="0" applyProtection="0"/>
    <xf numFmtId="0" fontId="87" fillId="45" borderId="0" applyNumberFormat="0" applyBorder="0" applyAlignment="0" applyProtection="0"/>
    <xf numFmtId="37" fontId="88" fillId="0" borderId="0"/>
    <xf numFmtId="0" fontId="53" fillId="16" borderId="0" applyNumberFormat="0" applyFont="0" applyFill="0" applyBorder="0" applyAlignment="0"/>
    <xf numFmtId="10" fontId="23" fillId="16" borderId="0"/>
    <xf numFmtId="181" fontId="89" fillId="0" borderId="0"/>
    <xf numFmtId="0" fontId="21" fillId="0" borderId="0"/>
    <xf numFmtId="0" fontId="21" fillId="0" borderId="0"/>
    <xf numFmtId="0" fontId="22" fillId="0" borderId="0"/>
    <xf numFmtId="0" fontId="22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1" fillId="0" borderId="0"/>
    <xf numFmtId="0" fontId="21" fillId="0" borderId="0"/>
    <xf numFmtId="0" fontId="21" fillId="0" borderId="0"/>
    <xf numFmtId="0" fontId="21" fillId="0" borderId="0"/>
    <xf numFmtId="0" fontId="22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12" borderId="0"/>
    <xf numFmtId="0" fontId="21" fillId="12" borderId="0"/>
    <xf numFmtId="0" fontId="21" fillId="0" borderId="0"/>
    <xf numFmtId="0" fontId="21" fillId="0" borderId="0"/>
    <xf numFmtId="0" fontId="4" fillId="4" borderId="0"/>
    <xf numFmtId="0" fontId="4" fillId="4" borderId="0"/>
    <xf numFmtId="0" fontId="4" fillId="4" borderId="0"/>
    <xf numFmtId="0" fontId="1" fillId="0" borderId="0"/>
    <xf numFmtId="0" fontId="24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90" fillId="21" borderId="27" applyNumberFormat="0" applyFont="0" applyAlignment="0" applyProtection="0"/>
    <xf numFmtId="0" fontId="23" fillId="21" borderId="27" applyNumberFormat="0" applyFont="0" applyAlignment="0" applyProtection="0"/>
    <xf numFmtId="0" fontId="91" fillId="0" borderId="0"/>
    <xf numFmtId="0" fontId="24" fillId="21" borderId="27" applyNumberFormat="0" applyFont="0" applyAlignment="0" applyProtection="0"/>
    <xf numFmtId="0" fontId="4" fillId="3" borderId="2" applyNumberFormat="0" applyFont="0" applyAlignment="0" applyProtection="0"/>
    <xf numFmtId="182" fontId="37" fillId="0" borderId="0">
      <alignment horizontal="center"/>
    </xf>
    <xf numFmtId="37" fontId="21" fillId="0" borderId="0"/>
    <xf numFmtId="183" fontId="45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184" fontId="92" fillId="0" borderId="0" applyNumberFormat="0" applyFill="0" applyBorder="0" applyAlignment="0" applyProtection="0"/>
    <xf numFmtId="165" fontId="37" fillId="0" borderId="0">
      <alignment horizontal="center"/>
    </xf>
    <xf numFmtId="0" fontId="92" fillId="0" borderId="28"/>
    <xf numFmtId="2" fontId="93" fillId="15" borderId="3">
      <alignment horizontal="left"/>
    </xf>
    <xf numFmtId="0" fontId="94" fillId="16" borderId="29" applyNumberFormat="0" applyAlignment="0" applyProtection="0"/>
    <xf numFmtId="0" fontId="95" fillId="24" borderId="29" applyNumberFormat="0" applyAlignment="0" applyProtection="0"/>
    <xf numFmtId="0" fontId="96" fillId="26" borderId="29" applyNumberFormat="0" applyAlignment="0" applyProtection="0"/>
    <xf numFmtId="40" fontId="23" fillId="15" borderId="0">
      <alignment horizontal="right"/>
    </xf>
    <xf numFmtId="0" fontId="97" fillId="48" borderId="0">
      <alignment horizontal="center"/>
    </xf>
    <xf numFmtId="0" fontId="43" fillId="49" borderId="3"/>
    <xf numFmtId="0" fontId="98" fillId="0" borderId="0" applyBorder="0">
      <alignment horizontal="centerContinuous"/>
    </xf>
    <xf numFmtId="0" fontId="99" fillId="0" borderId="0" applyBorder="0">
      <alignment horizontal="centerContinuous"/>
    </xf>
    <xf numFmtId="0" fontId="64" fillId="0" borderId="0"/>
    <xf numFmtId="0" fontId="21" fillId="0" borderId="0" applyFont="0" applyFill="0" applyBorder="0" applyAlignment="0" applyProtection="0"/>
    <xf numFmtId="172" fontId="21" fillId="0" borderId="0" applyFont="0" applyFill="0" applyBorder="0" applyAlignment="0" applyProtection="0"/>
    <xf numFmtId="0" fontId="100" fillId="0" borderId="0" applyFont="0" applyFill="0" applyBorder="0" applyAlignment="0" applyProtection="0"/>
    <xf numFmtId="185" fontId="38" fillId="0" borderId="0" applyFont="0" applyFill="0" applyBorder="0" applyAlignment="0" applyProtection="0"/>
    <xf numFmtId="10" fontId="21" fillId="0" borderId="0" applyFont="0" applyFill="0" applyBorder="0" applyAlignment="0" applyProtection="0"/>
    <xf numFmtId="0" fontId="92" fillId="0" borderId="0"/>
    <xf numFmtId="0" fontId="37" fillId="0" borderId="0" applyFill="0" applyBorder="0" applyAlignment="0"/>
    <xf numFmtId="169" fontId="21" fillId="0" borderId="0" applyFill="0" applyBorder="0" applyAlignment="0"/>
    <xf numFmtId="0" fontId="37" fillId="0" borderId="0" applyFill="0" applyBorder="0" applyAlignment="0"/>
    <xf numFmtId="170" fontId="21" fillId="0" borderId="0" applyFill="0" applyBorder="0" applyAlignment="0"/>
    <xf numFmtId="0" fontId="37" fillId="0" borderId="0" applyFill="0" applyBorder="0" applyAlignment="0"/>
    <xf numFmtId="169" fontId="21" fillId="0" borderId="0" applyFill="0" applyBorder="0" applyAlignment="0"/>
    <xf numFmtId="0" fontId="37" fillId="0" borderId="0" applyFill="0" applyBorder="0" applyAlignment="0"/>
    <xf numFmtId="169" fontId="21" fillId="0" borderId="0" applyFill="0" applyBorder="0" applyAlignment="0"/>
    <xf numFmtId="0" fontId="37" fillId="0" borderId="0" applyFill="0" applyBorder="0" applyAlignment="0"/>
    <xf numFmtId="170" fontId="21" fillId="0" borderId="0" applyFill="0" applyBorder="0" applyAlignment="0"/>
    <xf numFmtId="186" fontId="37" fillId="0" borderId="0">
      <alignment horizontal="center"/>
    </xf>
    <xf numFmtId="187" fontId="37" fillId="0" borderId="15">
      <alignment horizontal="center"/>
    </xf>
    <xf numFmtId="0" fontId="101" fillId="0" borderId="30" applyAlignment="0">
      <alignment horizontal="center"/>
    </xf>
    <xf numFmtId="0" fontId="102" fillId="47" borderId="0"/>
    <xf numFmtId="0" fontId="55" fillId="0" borderId="0" applyNumberFormat="0" applyFont="0" applyFill="0" applyBorder="0" applyAlignment="0" applyProtection="0">
      <alignment horizontal="left"/>
    </xf>
    <xf numFmtId="0" fontId="103" fillId="0" borderId="31">
      <alignment horizontal="center"/>
    </xf>
    <xf numFmtId="0" fontId="52" fillId="0" borderId="0">
      <alignment vertical="top"/>
    </xf>
    <xf numFmtId="188" fontId="52" fillId="0" borderId="0">
      <alignment vertical="top"/>
    </xf>
    <xf numFmtId="0" fontId="101" fillId="0" borderId="0">
      <alignment horizontal="left"/>
    </xf>
    <xf numFmtId="0" fontId="101" fillId="0" borderId="0">
      <alignment horizontal="right"/>
    </xf>
    <xf numFmtId="0" fontId="23" fillId="0" borderId="3" applyNumberFormat="0" applyBorder="0" applyAlignment="0"/>
    <xf numFmtId="189" fontId="104" fillId="0" borderId="0" applyNumberFormat="0" applyFill="0" applyBorder="0" applyAlignment="0" applyProtection="0">
      <alignment horizontal="left"/>
    </xf>
    <xf numFmtId="0" fontId="53" fillId="42" borderId="0">
      <alignment horizontal="left"/>
    </xf>
    <xf numFmtId="0" fontId="105" fillId="0" borderId="32"/>
    <xf numFmtId="187" fontId="34" fillId="21" borderId="0">
      <alignment horizontal="center"/>
    </xf>
    <xf numFmtId="187" fontId="106" fillId="21" borderId="0">
      <alignment horizontal="center"/>
    </xf>
    <xf numFmtId="187" fontId="34" fillId="22" borderId="0">
      <alignment horizontal="center"/>
    </xf>
    <xf numFmtId="0" fontId="34" fillId="21" borderId="0">
      <alignment horizontal="left"/>
    </xf>
    <xf numFmtId="0" fontId="107" fillId="0" borderId="0" applyFont="0" applyFill="0" applyBorder="0" applyAlignment="0" applyProtection="0"/>
    <xf numFmtId="190" fontId="38" fillId="0" borderId="0" applyFont="0" applyFill="0" applyBorder="0" applyAlignment="0" applyProtection="0"/>
    <xf numFmtId="191" fontId="21" fillId="0" borderId="0"/>
    <xf numFmtId="0" fontId="21" fillId="0" borderId="0"/>
    <xf numFmtId="0" fontId="21" fillId="0" borderId="0">
      <alignment horizontal="left" wrapText="1"/>
    </xf>
    <xf numFmtId="0" fontId="34" fillId="21" borderId="0">
      <alignment horizontal="center"/>
    </xf>
    <xf numFmtId="0" fontId="101" fillId="0" borderId="0"/>
    <xf numFmtId="0" fontId="108" fillId="0" borderId="0"/>
    <xf numFmtId="40" fontId="109" fillId="0" borderId="0" applyBorder="0">
      <alignment horizontal="right"/>
    </xf>
    <xf numFmtId="0" fontId="21" fillId="15" borderId="27"/>
    <xf numFmtId="0" fontId="37" fillId="0" borderId="0">
      <alignment horizontal="center"/>
    </xf>
    <xf numFmtId="15" fontId="37" fillId="0" borderId="0">
      <alignment horizontal="center"/>
    </xf>
    <xf numFmtId="0" fontId="110" fillId="0" borderId="0">
      <alignment horizontal="center"/>
    </xf>
    <xf numFmtId="3" fontId="37" fillId="0" borderId="0">
      <alignment horizontal="center"/>
    </xf>
    <xf numFmtId="192" fontId="37" fillId="0" borderId="0">
      <alignment horizontal="center"/>
    </xf>
    <xf numFmtId="187" fontId="37" fillId="0" borderId="0">
      <alignment horizontal="center"/>
    </xf>
    <xf numFmtId="0" fontId="111" fillId="50" borderId="0"/>
    <xf numFmtId="193" fontId="37" fillId="0" borderId="0">
      <alignment horizontal="center"/>
    </xf>
    <xf numFmtId="193" fontId="37" fillId="0" borderId="33">
      <alignment horizontal="center"/>
    </xf>
    <xf numFmtId="0" fontId="37" fillId="0" borderId="0">
      <alignment horizontal="left"/>
    </xf>
    <xf numFmtId="0" fontId="112" fillId="0" borderId="0">
      <alignment horizontal="center"/>
    </xf>
    <xf numFmtId="0" fontId="113" fillId="0" borderId="0" applyNumberFormat="0" applyFill="0" applyBorder="0"/>
    <xf numFmtId="0" fontId="23" fillId="16" borderId="0"/>
    <xf numFmtId="49" fontId="23" fillId="0" borderId="0" applyFill="0" applyBorder="0" applyAlignment="0"/>
    <xf numFmtId="0" fontId="37" fillId="0" borderId="0" applyFill="0" applyBorder="0" applyAlignment="0"/>
    <xf numFmtId="170" fontId="21" fillId="0" borderId="0" applyFill="0" applyBorder="0" applyAlignment="0"/>
    <xf numFmtId="0" fontId="21" fillId="0" borderId="0" applyFill="0" applyBorder="0" applyAlignment="0"/>
    <xf numFmtId="172" fontId="21" fillId="0" borderId="0" applyFill="0" applyBorder="0" applyAlignment="0"/>
    <xf numFmtId="49" fontId="21" fillId="0" borderId="0"/>
    <xf numFmtId="0" fontId="114" fillId="0" borderId="0">
      <alignment horizontal="right"/>
    </xf>
    <xf numFmtId="0" fontId="115" fillId="0" borderId="0">
      <alignment horizontal="right"/>
      <protection locked="0"/>
    </xf>
    <xf numFmtId="0" fontId="116" fillId="0" borderId="0" applyNumberFormat="0" applyFill="0" applyBorder="0" applyAlignment="0" applyProtection="0"/>
    <xf numFmtId="0" fontId="117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118" fillId="0" borderId="0" applyNumberFormat="0" applyFill="0" applyBorder="0" applyAlignment="0" applyProtection="0"/>
    <xf numFmtId="0" fontId="31" fillId="16" borderId="0"/>
    <xf numFmtId="0" fontId="3" fillId="7" borderId="8" applyBorder="0">
      <alignment horizontal="center" wrapText="1"/>
    </xf>
    <xf numFmtId="0" fontId="3" fillId="7" borderId="8" applyBorder="0">
      <alignment horizontal="center" wrapText="1"/>
    </xf>
    <xf numFmtId="0" fontId="3" fillId="7" borderId="8" applyBorder="0">
      <alignment horizontal="center" wrapText="1"/>
    </xf>
    <xf numFmtId="0" fontId="3" fillId="7" borderId="8" applyBorder="0">
      <alignment horizontal="center" wrapText="1"/>
    </xf>
    <xf numFmtId="0" fontId="3" fillId="7" borderId="8" applyBorder="0">
      <alignment horizontal="center" wrapText="1"/>
    </xf>
    <xf numFmtId="0" fontId="3" fillId="7" borderId="8" applyBorder="0">
      <alignment horizontal="center" wrapText="1"/>
    </xf>
    <xf numFmtId="0" fontId="3" fillId="7" borderId="8" applyBorder="0">
      <alignment horizontal="center" wrapText="1"/>
    </xf>
    <xf numFmtId="0" fontId="3" fillId="7" borderId="8" applyBorder="0">
      <alignment horizontal="center" wrapText="1"/>
    </xf>
    <xf numFmtId="0" fontId="3" fillId="7" borderId="8" applyBorder="0">
      <alignment horizontal="center" wrapText="1"/>
    </xf>
    <xf numFmtId="0" fontId="3" fillId="7" borderId="8" applyBorder="0">
      <alignment horizontal="center" wrapText="1"/>
    </xf>
    <xf numFmtId="0" fontId="3" fillId="7" borderId="8" applyBorder="0">
      <alignment horizontal="center" wrapText="1"/>
    </xf>
    <xf numFmtId="0" fontId="3" fillId="7" borderId="8" applyBorder="0">
      <alignment horizontal="center" wrapText="1"/>
    </xf>
    <xf numFmtId="0" fontId="3" fillId="7" borderId="8" applyBorder="0">
      <alignment horizontal="center" wrapText="1"/>
    </xf>
    <xf numFmtId="0" fontId="3" fillId="7" borderId="8" applyBorder="0">
      <alignment horizontal="center" wrapText="1"/>
    </xf>
    <xf numFmtId="0" fontId="3" fillId="7" borderId="8" applyBorder="0">
      <alignment horizontal="center" wrapText="1"/>
    </xf>
    <xf numFmtId="0" fontId="3" fillId="7" borderId="8" applyBorder="0">
      <alignment horizontal="center" wrapText="1"/>
    </xf>
    <xf numFmtId="0" fontId="3" fillId="7" borderId="8" applyBorder="0">
      <alignment horizontal="center" wrapText="1"/>
    </xf>
    <xf numFmtId="0" fontId="3" fillId="7" borderId="8" applyBorder="0">
      <alignment horizontal="center" wrapText="1"/>
    </xf>
    <xf numFmtId="0" fontId="3" fillId="7" borderId="8" applyBorder="0">
      <alignment horizontal="center" wrapText="1"/>
    </xf>
    <xf numFmtId="0" fontId="3" fillId="7" borderId="8" applyBorder="0">
      <alignment horizontal="center" wrapText="1"/>
    </xf>
    <xf numFmtId="0" fontId="3" fillId="7" borderId="8" applyBorder="0">
      <alignment horizontal="center" wrapText="1"/>
    </xf>
    <xf numFmtId="0" fontId="3" fillId="7" borderId="8" applyBorder="0">
      <alignment horizontal="center" wrapText="1"/>
    </xf>
    <xf numFmtId="0" fontId="3" fillId="7" borderId="8" applyBorder="0">
      <alignment horizontal="center" wrapText="1"/>
    </xf>
    <xf numFmtId="0" fontId="3" fillId="7" borderId="8" applyBorder="0">
      <alignment horizontal="center" wrapText="1"/>
    </xf>
    <xf numFmtId="0" fontId="3" fillId="7" borderId="8" applyBorder="0">
      <alignment horizontal="center" wrapText="1"/>
    </xf>
    <xf numFmtId="0" fontId="3" fillId="7" borderId="8" applyBorder="0">
      <alignment horizontal="center" wrapText="1"/>
    </xf>
    <xf numFmtId="0" fontId="3" fillId="7" borderId="8" applyBorder="0">
      <alignment horizontal="center" wrapText="1"/>
    </xf>
    <xf numFmtId="0" fontId="3" fillId="7" borderId="8" applyBorder="0">
      <alignment horizontal="center" wrapText="1"/>
    </xf>
    <xf numFmtId="0" fontId="3" fillId="7" borderId="8" applyBorder="0">
      <alignment horizontal="center" wrapText="1"/>
    </xf>
    <xf numFmtId="0" fontId="3" fillId="7" borderId="8" applyBorder="0">
      <alignment horizontal="center" wrapText="1"/>
    </xf>
    <xf numFmtId="0" fontId="3" fillId="7" borderId="8" applyBorder="0">
      <alignment horizontal="center" wrapText="1"/>
    </xf>
    <xf numFmtId="0" fontId="3" fillId="7" borderId="8" applyBorder="0">
      <alignment horizontal="center" wrapText="1"/>
    </xf>
    <xf numFmtId="0" fontId="3" fillId="7" borderId="8" applyBorder="0">
      <alignment horizontal="center" wrapText="1"/>
    </xf>
    <xf numFmtId="0" fontId="3" fillId="7" borderId="8" applyBorder="0">
      <alignment horizontal="center" wrapText="1"/>
    </xf>
    <xf numFmtId="0" fontId="3" fillId="7" borderId="8" applyBorder="0">
      <alignment horizontal="center" wrapText="1"/>
    </xf>
    <xf numFmtId="0" fontId="3" fillId="7" borderId="8" applyBorder="0">
      <alignment horizontal="center" wrapText="1"/>
    </xf>
    <xf numFmtId="0" fontId="3" fillId="7" borderId="8" applyBorder="0">
      <alignment horizontal="center" wrapText="1"/>
    </xf>
    <xf numFmtId="0" fontId="3" fillId="7" borderId="8" applyBorder="0">
      <alignment horizontal="center" wrapText="1"/>
    </xf>
    <xf numFmtId="0" fontId="3" fillId="7" borderId="8" applyBorder="0">
      <alignment horizontal="center" wrapText="1"/>
    </xf>
    <xf numFmtId="0" fontId="3" fillId="7" borderId="8" applyBorder="0">
      <alignment horizontal="center" wrapText="1"/>
    </xf>
    <xf numFmtId="0" fontId="3" fillId="7" borderId="8" applyBorder="0">
      <alignment horizontal="center" wrapText="1"/>
    </xf>
    <xf numFmtId="0" fontId="3" fillId="7" borderId="8" applyBorder="0">
      <alignment horizontal="center" wrapText="1"/>
    </xf>
    <xf numFmtId="0" fontId="3" fillId="7" borderId="8" applyBorder="0">
      <alignment horizontal="center" wrapText="1"/>
    </xf>
    <xf numFmtId="0" fontId="3" fillId="7" borderId="8" applyBorder="0">
      <alignment horizontal="center" wrapText="1"/>
    </xf>
    <xf numFmtId="0" fontId="3" fillId="7" borderId="8" applyBorder="0">
      <alignment horizontal="center" wrapText="1"/>
    </xf>
    <xf numFmtId="0" fontId="3" fillId="7" borderId="8" applyBorder="0">
      <alignment horizontal="center" wrapText="1"/>
    </xf>
    <xf numFmtId="0" fontId="3" fillId="7" borderId="8" applyBorder="0">
      <alignment horizontal="center" wrapText="1"/>
    </xf>
    <xf numFmtId="0" fontId="3" fillId="7" borderId="8" applyBorder="0">
      <alignment horizontal="center" wrapText="1"/>
    </xf>
    <xf numFmtId="0" fontId="3" fillId="7" borderId="8" applyBorder="0">
      <alignment horizontal="center" wrapText="1"/>
    </xf>
    <xf numFmtId="0" fontId="3" fillId="7" borderId="8" applyBorder="0">
      <alignment horizontal="center" wrapText="1"/>
    </xf>
    <xf numFmtId="0" fontId="3" fillId="7" borderId="8" applyBorder="0">
      <alignment horizontal="center" wrapText="1"/>
    </xf>
    <xf numFmtId="0" fontId="3" fillId="7" borderId="8" applyBorder="0">
      <alignment horizontal="center" wrapText="1"/>
    </xf>
    <xf numFmtId="0" fontId="3" fillId="7" borderId="8" applyBorder="0">
      <alignment horizontal="center" wrapText="1"/>
    </xf>
    <xf numFmtId="0" fontId="3" fillId="7" borderId="8" applyBorder="0">
      <alignment horizontal="center" wrapText="1"/>
    </xf>
    <xf numFmtId="0" fontId="3" fillId="7" borderId="8" applyBorder="0">
      <alignment horizontal="center" wrapText="1"/>
    </xf>
    <xf numFmtId="0" fontId="3" fillId="7" borderId="8" applyBorder="0">
      <alignment horizontal="center" wrapText="1"/>
    </xf>
    <xf numFmtId="0" fontId="3" fillId="7" borderId="8" applyBorder="0">
      <alignment horizontal="center" wrapText="1"/>
    </xf>
    <xf numFmtId="0" fontId="3" fillId="7" borderId="8" applyBorder="0">
      <alignment horizontal="center" wrapText="1"/>
    </xf>
    <xf numFmtId="0" fontId="3" fillId="7" borderId="8" applyBorder="0">
      <alignment horizontal="center" wrapText="1"/>
    </xf>
    <xf numFmtId="0" fontId="3" fillId="7" borderId="8" applyBorder="0">
      <alignment horizontal="center" wrapText="1"/>
    </xf>
    <xf numFmtId="0" fontId="3" fillId="7" borderId="8" applyBorder="0">
      <alignment horizontal="center" wrapText="1"/>
    </xf>
    <xf numFmtId="0" fontId="3" fillId="7" borderId="8" applyBorder="0">
      <alignment horizontal="center" wrapText="1"/>
    </xf>
    <xf numFmtId="0" fontId="3" fillId="7" borderId="8" applyBorder="0">
      <alignment horizontal="center" wrapText="1"/>
    </xf>
    <xf numFmtId="0" fontId="3" fillId="7" borderId="8" applyBorder="0">
      <alignment horizontal="center" wrapText="1"/>
    </xf>
    <xf numFmtId="0" fontId="3" fillId="7" borderId="8" applyBorder="0">
      <alignment horizontal="center" wrapText="1"/>
    </xf>
    <xf numFmtId="0" fontId="3" fillId="7" borderId="8" applyBorder="0">
      <alignment horizontal="center" wrapText="1"/>
    </xf>
    <xf numFmtId="0" fontId="3" fillId="7" borderId="8" applyBorder="0">
      <alignment horizontal="center" wrapText="1"/>
    </xf>
    <xf numFmtId="0" fontId="101" fillId="0" borderId="0" applyNumberFormat="0" applyFill="0" applyBorder="0" applyAlignment="0" applyProtection="0"/>
    <xf numFmtId="0" fontId="20" fillId="0" borderId="34" applyNumberFormat="0" applyFill="0" applyAlignment="0" applyProtection="0"/>
    <xf numFmtId="0" fontId="31" fillId="0" borderId="35" applyNumberFormat="0" applyFill="0" applyAlignment="0" applyProtection="0"/>
    <xf numFmtId="0" fontId="21" fillId="0" borderId="36" applyNumberFormat="0" applyFill="0" applyAlignment="0" applyProtection="0"/>
    <xf numFmtId="0" fontId="119" fillId="0" borderId="37" applyNumberFormat="0" applyFill="0" applyAlignment="0" applyProtection="0"/>
    <xf numFmtId="0" fontId="120" fillId="16" borderId="0"/>
    <xf numFmtId="0" fontId="8" fillId="0" borderId="0" applyNumberFormat="0" applyFill="0" applyBorder="0" applyAlignment="0" applyProtection="0"/>
    <xf numFmtId="0" fontId="121" fillId="0" borderId="0" applyNumberFormat="0" applyFill="0" applyBorder="0" applyAlignment="0" applyProtection="0"/>
    <xf numFmtId="0" fontId="122" fillId="0" borderId="0" applyNumberFormat="0" applyFill="0" applyBorder="0" applyAlignment="0" applyProtection="0"/>
    <xf numFmtId="1" fontId="123" fillId="12" borderId="9" applyNumberFormat="0"/>
    <xf numFmtId="0" fontId="21" fillId="0" borderId="0"/>
    <xf numFmtId="0" fontId="4" fillId="4" borderId="0"/>
    <xf numFmtId="0" fontId="4" fillId="4" borderId="0"/>
    <xf numFmtId="0" fontId="21" fillId="0" borderId="0"/>
    <xf numFmtId="0" fontId="124" fillId="0" borderId="0" applyNumberFormat="0" applyFill="0" applyBorder="0" applyAlignment="0" applyProtection="0">
      <alignment vertical="top"/>
      <protection locked="0"/>
    </xf>
    <xf numFmtId="0" fontId="21" fillId="0" borderId="0"/>
    <xf numFmtId="0" fontId="23" fillId="0" borderId="0"/>
    <xf numFmtId="43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0" fontId="4" fillId="4" borderId="10" applyNumberFormat="0"/>
    <xf numFmtId="44" fontId="21" fillId="0" borderId="0" applyFont="0" applyFill="0" applyBorder="0" applyAlignment="0" applyProtection="0"/>
    <xf numFmtId="0" fontId="1" fillId="0" borderId="0"/>
    <xf numFmtId="0" fontId="4" fillId="3" borderId="2" applyNumberFormat="0" applyFont="0" applyAlignment="0" applyProtection="0"/>
    <xf numFmtId="0" fontId="5" fillId="6" borderId="7" applyNumberFormat="0" applyBorder="0"/>
    <xf numFmtId="43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4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21" fillId="0" borderId="0">
      <alignment vertical="top"/>
    </xf>
    <xf numFmtId="0" fontId="125" fillId="0" borderId="0" applyNumberFormat="0" applyFill="0" applyBorder="0" applyAlignment="0" applyProtection="0">
      <alignment vertical="top"/>
      <protection locked="0"/>
    </xf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" borderId="2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21" fillId="0" borderId="0">
      <alignment vertical="top"/>
    </xf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" borderId="2" applyNumberFormat="0" applyFont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" borderId="2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1" fillId="0" borderId="0"/>
    <xf numFmtId="43" fontId="21" fillId="0" borderId="0" applyFont="0" applyFill="0" applyBorder="0" applyAlignment="0" applyProtection="0"/>
    <xf numFmtId="190" fontId="38" fillId="0" borderId="0" applyFont="0" applyFill="0" applyBorder="0" applyAlignment="0" applyProtection="0"/>
    <xf numFmtId="185" fontId="38" fillId="0" borderId="0" applyFont="0" applyFill="0" applyBorder="0" applyAlignment="0" applyProtection="0"/>
    <xf numFmtId="0" fontId="79" fillId="19" borderId="11" applyNumberFormat="0" applyAlignment="0" applyProtection="0"/>
    <xf numFmtId="177" fontId="21" fillId="0" borderId="0" applyFill="0" applyBorder="0" applyAlignment="0" applyProtection="0"/>
    <xf numFmtId="44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169" fontId="38" fillId="0" borderId="0" applyFill="0" applyBorder="0" applyAlignment="0"/>
    <xf numFmtId="0" fontId="22" fillId="0" borderId="0"/>
    <xf numFmtId="0" fontId="118" fillId="0" borderId="0" applyNumberFormat="0" applyFill="0" applyBorder="0" applyAlignment="0" applyProtection="0"/>
    <xf numFmtId="0" fontId="21" fillId="0" borderId="0"/>
    <xf numFmtId="0" fontId="21" fillId="0" borderId="0"/>
    <xf numFmtId="43" fontId="21" fillId="0" borderId="0" applyFont="0" applyFill="0" applyBorder="0" applyAlignment="0" applyProtection="0"/>
    <xf numFmtId="15" fontId="23" fillId="16" borderId="0"/>
    <xf numFmtId="37" fontId="80" fillId="0" borderId="0" applyNumberFormat="0" applyAlignment="0">
      <protection locked="0"/>
    </xf>
    <xf numFmtId="0" fontId="31" fillId="16" borderId="0"/>
    <xf numFmtId="0" fontId="3" fillId="0" borderId="0"/>
    <xf numFmtId="43" fontId="3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" borderId="2" applyNumberFormat="0" applyFont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" borderId="2" applyNumberFormat="0" applyFont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" borderId="2" applyNumberFormat="0" applyFont="0" applyAlignment="0" applyProtection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3" borderId="2" applyNumberFormat="0" applyFont="0" applyAlignment="0" applyProtection="0"/>
    <xf numFmtId="0" fontId="1" fillId="0" borderId="0"/>
    <xf numFmtId="0" fontId="1" fillId="0" borderId="0"/>
    <xf numFmtId="0" fontId="1" fillId="0" borderId="0"/>
    <xf numFmtId="0" fontId="21" fillId="0" borderId="0"/>
    <xf numFmtId="190" fontId="38" fillId="0" borderId="0" applyFont="0" applyFill="0" applyBorder="0" applyAlignment="0" applyProtection="0"/>
    <xf numFmtId="185" fontId="38" fillId="0" borderId="0" applyFont="0" applyFill="0" applyBorder="0" applyAlignment="0" applyProtection="0"/>
    <xf numFmtId="44" fontId="22" fillId="0" borderId="0" applyFont="0" applyFill="0" applyBorder="0" applyAlignment="0" applyProtection="0"/>
    <xf numFmtId="43" fontId="22" fillId="0" borderId="0" applyFont="0" applyFill="0" applyBorder="0" applyAlignment="0" applyProtection="0"/>
    <xf numFmtId="169" fontId="38" fillId="0" borderId="0" applyFill="0" applyBorder="0" applyAlignment="0"/>
    <xf numFmtId="0" fontId="22" fillId="0" borderId="0"/>
    <xf numFmtId="44" fontId="4" fillId="0" borderId="0" applyFont="0" applyFill="0" applyBorder="0" applyAlignment="0" applyProtection="0"/>
    <xf numFmtId="0" fontId="1" fillId="0" borderId="0"/>
    <xf numFmtId="0" fontId="24" fillId="18" borderId="0" applyNumberFormat="0" applyBorder="0" applyAlignment="0" applyProtection="0"/>
    <xf numFmtId="0" fontId="24" fillId="20" borderId="0" applyNumberFormat="0" applyBorder="0" applyAlignment="0" applyProtection="0"/>
    <xf numFmtId="0" fontId="24" fillId="22" borderId="0" applyNumberFormat="0" applyBorder="0" applyAlignment="0" applyProtection="0"/>
    <xf numFmtId="0" fontId="24" fillId="23" borderId="0" applyNumberFormat="0" applyBorder="0" applyAlignment="0" applyProtection="0"/>
    <xf numFmtId="0" fontId="24" fillId="24" borderId="0" applyNumberFormat="0" applyBorder="0" applyAlignment="0" applyProtection="0"/>
    <xf numFmtId="0" fontId="24" fillId="19" borderId="0" applyNumberFormat="0" applyBorder="0" applyAlignment="0" applyProtection="0"/>
    <xf numFmtId="0" fontId="24" fillId="27" borderId="0" applyNumberFormat="0" applyBorder="0" applyAlignment="0" applyProtection="0"/>
    <xf numFmtId="0" fontId="24" fillId="28" borderId="0" applyNumberFormat="0" applyBorder="0" applyAlignment="0" applyProtection="0"/>
    <xf numFmtId="0" fontId="24" fillId="29" borderId="0" applyNumberFormat="0" applyBorder="0" applyAlignment="0" applyProtection="0"/>
    <xf numFmtId="0" fontId="24" fillId="23" borderId="0" applyNumberFormat="0" applyBorder="0" applyAlignment="0" applyProtection="0"/>
    <xf numFmtId="0" fontId="24" fillId="27" borderId="0" applyNumberFormat="0" applyBorder="0" applyAlignment="0" applyProtection="0"/>
    <xf numFmtId="0" fontId="24" fillId="31" borderId="0" applyNumberFormat="0" applyBorder="0" applyAlignment="0" applyProtection="0"/>
    <xf numFmtId="0" fontId="27" fillId="34" borderId="0" applyNumberFormat="0" applyBorder="0" applyAlignment="0" applyProtection="0"/>
    <xf numFmtId="0" fontId="27" fillId="28" borderId="0" applyNumberFormat="0" applyBorder="0" applyAlignment="0" applyProtection="0"/>
    <xf numFmtId="0" fontId="27" fillId="29" borderId="0" applyNumberFormat="0" applyBorder="0" applyAlignment="0" applyProtection="0"/>
    <xf numFmtId="0" fontId="27" fillId="36" borderId="0" applyNumberFormat="0" applyBorder="0" applyAlignment="0" applyProtection="0"/>
    <xf numFmtId="0" fontId="27" fillId="32" borderId="0" applyNumberFormat="0" applyBorder="0" applyAlignment="0" applyProtection="0"/>
    <xf numFmtId="0" fontId="27" fillId="37" borderId="0" applyNumberFormat="0" applyBorder="0" applyAlignment="0" applyProtection="0"/>
    <xf numFmtId="0" fontId="27" fillId="39" borderId="0" applyNumberFormat="0" applyBorder="0" applyAlignment="0" applyProtection="0"/>
    <xf numFmtId="0" fontId="27" fillId="40" borderId="0" applyNumberFormat="0" applyBorder="0" applyAlignment="0" applyProtection="0"/>
    <xf numFmtId="0" fontId="27" fillId="42" borderId="0" applyNumberFormat="0" applyBorder="0" applyAlignment="0" applyProtection="0"/>
    <xf numFmtId="0" fontId="27" fillId="36" borderId="0" applyNumberFormat="0" applyBorder="0" applyAlignment="0" applyProtection="0"/>
    <xf numFmtId="0" fontId="27" fillId="32" borderId="0" applyNumberFormat="0" applyBorder="0" applyAlignment="0" applyProtection="0"/>
    <xf numFmtId="0" fontId="27" fillId="43" borderId="0" applyNumberFormat="0" applyBorder="0" applyAlignment="0" applyProtection="0"/>
    <xf numFmtId="0" fontId="30" fillId="20" borderId="0" applyNumberFormat="0" applyBorder="0" applyAlignment="0" applyProtection="0"/>
    <xf numFmtId="0" fontId="41" fillId="26" borderId="11" applyNumberFormat="0" applyAlignment="0" applyProtection="0"/>
    <xf numFmtId="0" fontId="44" fillId="46" borderId="12" applyNumberFormat="0" applyAlignment="0" applyProtection="0"/>
    <xf numFmtId="43" fontId="24" fillId="0" borderId="0" applyFont="0" applyFill="0" applyBorder="0" applyAlignment="0" applyProtection="0"/>
    <xf numFmtId="43" fontId="127" fillId="0" borderId="0" applyFont="0" applyFill="0" applyBorder="0" applyAlignment="0" applyProtection="0"/>
    <xf numFmtId="44" fontId="127" fillId="0" borderId="0" applyFont="0" applyFill="0" applyBorder="0" applyAlignment="0" applyProtection="0"/>
    <xf numFmtId="0" fontId="60" fillId="0" borderId="0" applyNumberFormat="0" applyFill="0" applyBorder="0" applyAlignment="0" applyProtection="0"/>
    <xf numFmtId="0" fontId="62" fillId="22" borderId="0" applyNumberFormat="0" applyBorder="0" applyAlignment="0" applyProtection="0"/>
    <xf numFmtId="0" fontId="70" fillId="0" borderId="19" applyNumberFormat="0" applyFill="0" applyAlignment="0" applyProtection="0"/>
    <xf numFmtId="0" fontId="73" fillId="0" borderId="20" applyNumberFormat="0" applyFill="0" applyAlignment="0" applyProtection="0"/>
    <xf numFmtId="0" fontId="76" fillId="0" borderId="24" applyNumberFormat="0" applyFill="0" applyAlignment="0" applyProtection="0"/>
    <xf numFmtId="0" fontId="76" fillId="0" borderId="0" applyNumberFormat="0" applyFill="0" applyBorder="0" applyAlignment="0" applyProtection="0"/>
    <xf numFmtId="0" fontId="128" fillId="19" borderId="11" applyNumberFormat="0" applyAlignment="0" applyProtection="0"/>
    <xf numFmtId="0" fontId="84" fillId="0" borderId="26" applyNumberFormat="0" applyFill="0" applyAlignment="0" applyProtection="0"/>
    <xf numFmtId="0" fontId="87" fillId="45" borderId="0" applyNumberFormat="0" applyBorder="0" applyAlignment="0" applyProtection="0"/>
    <xf numFmtId="0" fontId="21" fillId="0" borderId="0"/>
    <xf numFmtId="0" fontId="126" fillId="0" borderId="0"/>
    <xf numFmtId="0" fontId="127" fillId="0" borderId="0"/>
    <xf numFmtId="0" fontId="24" fillId="21" borderId="27" applyNumberFormat="0" applyFont="0" applyAlignment="0" applyProtection="0"/>
    <xf numFmtId="0" fontId="96" fillId="26" borderId="29" applyNumberFormat="0" applyAlignment="0" applyProtection="0"/>
    <xf numFmtId="9" fontId="24" fillId="0" borderId="0" applyFont="0" applyFill="0" applyBorder="0" applyAlignment="0" applyProtection="0"/>
    <xf numFmtId="9" fontId="127" fillId="0" borderId="0" applyFont="0" applyFill="0" applyBorder="0" applyAlignment="0" applyProtection="0"/>
    <xf numFmtId="0" fontId="118" fillId="0" borderId="0" applyNumberFormat="0" applyFill="0" applyBorder="0" applyAlignment="0" applyProtection="0"/>
    <xf numFmtId="0" fontId="119" fillId="0" borderId="37" applyNumberFormat="0" applyFill="0" applyAlignment="0" applyProtection="0"/>
    <xf numFmtId="0" fontId="122" fillId="0" borderId="0" applyNumberForma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21" fillId="0" borderId="0"/>
    <xf numFmtId="0" fontId="21" fillId="0" borderId="0">
      <alignment horizontal="left" wrapText="1"/>
    </xf>
    <xf numFmtId="44" fontId="4" fillId="0" borderId="0" applyFont="0" applyFill="0" applyBorder="0" applyAlignment="0" applyProtection="0"/>
  </cellStyleXfs>
  <cellXfs count="14">
    <xf numFmtId="0" fontId="0" fillId="0" borderId="0" xfId="0"/>
    <xf numFmtId="194" fontId="0" fillId="0" borderId="0" xfId="0" applyNumberFormat="1"/>
    <xf numFmtId="16" fontId="0" fillId="0" borderId="0" xfId="0" applyNumberFormat="1"/>
    <xf numFmtId="43" fontId="0" fillId="0" borderId="0" xfId="0" applyNumberFormat="1"/>
    <xf numFmtId="1" fontId="0" fillId="0" borderId="0" xfId="0" applyNumberFormat="1"/>
    <xf numFmtId="0" fontId="0" fillId="0" borderId="0" xfId="0"/>
    <xf numFmtId="164" fontId="0" fillId="0" borderId="0" xfId="0" applyNumberFormat="1"/>
    <xf numFmtId="195" fontId="0" fillId="0" borderId="0" xfId="0" applyNumberFormat="1"/>
    <xf numFmtId="0" fontId="129" fillId="51" borderId="0" xfId="0" applyFont="1" applyFill="1"/>
    <xf numFmtId="14" fontId="129" fillId="51" borderId="0" xfId="0" applyNumberFormat="1" applyFont="1" applyFill="1"/>
    <xf numFmtId="14" fontId="0" fillId="0" borderId="0" xfId="0" applyNumberFormat="1"/>
    <xf numFmtId="196" fontId="0" fillId="0" borderId="0" xfId="0" applyNumberFormat="1"/>
    <xf numFmtId="196" fontId="0" fillId="0" borderId="0" xfId="0" applyNumberFormat="1" applyAlignment="1">
      <alignment horizontal="center" vertical="center"/>
    </xf>
    <xf numFmtId="196" fontId="130" fillId="0" borderId="0" xfId="0" applyNumberFormat="1" applyFont="1" applyAlignment="1">
      <alignment horizontal="center" vertical="center"/>
    </xf>
  </cellXfs>
  <cellStyles count="696">
    <cellStyle name="_Bonds" xfId="41"/>
    <cellStyle name="_Bonds 2" xfId="42"/>
    <cellStyle name="_Offering" xfId="43"/>
    <cellStyle name="_Offering 2" xfId="44"/>
    <cellStyle name="£ BP" xfId="45"/>
    <cellStyle name="¥ JY" xfId="46"/>
    <cellStyle name="20% - Accent1 2" xfId="47"/>
    <cellStyle name="20% - Accent1 2 2" xfId="640"/>
    <cellStyle name="20% - Accent1 3" xfId="48"/>
    <cellStyle name="20% - Accent1 4" xfId="49"/>
    <cellStyle name="20% - Accent2 2" xfId="50"/>
    <cellStyle name="20% - Accent2 2 2" xfId="641"/>
    <cellStyle name="20% - Accent2 3" xfId="51"/>
    <cellStyle name="20% - Accent2 4" xfId="52"/>
    <cellStyle name="20% - Accent3 2" xfId="53"/>
    <cellStyle name="20% - Accent3 2 2" xfId="642"/>
    <cellStyle name="20% - Accent3 3" xfId="54"/>
    <cellStyle name="20% - Accent3 4" xfId="55"/>
    <cellStyle name="20% - Accent4 2" xfId="56"/>
    <cellStyle name="20% - Accent4 2 2" xfId="643"/>
    <cellStyle name="20% - Accent4 3" xfId="57"/>
    <cellStyle name="20% - Accent4 4" xfId="58"/>
    <cellStyle name="20% - Accent5 2" xfId="59"/>
    <cellStyle name="20% - Accent5 2 2" xfId="644"/>
    <cellStyle name="20% - Accent5 3" xfId="60"/>
    <cellStyle name="20% - Accent5 4" xfId="61"/>
    <cellStyle name="20% - Accent6 2" xfId="62"/>
    <cellStyle name="20% - Accent6 2 2" xfId="645"/>
    <cellStyle name="20% - Accent6 3" xfId="63"/>
    <cellStyle name="20% - Accent6 4" xfId="64"/>
    <cellStyle name="40% - Accent1 2" xfId="65"/>
    <cellStyle name="40% - Accent1 2 2" xfId="646"/>
    <cellStyle name="40% - Accent1 3" xfId="66"/>
    <cellStyle name="40% - Accent1 4" xfId="67"/>
    <cellStyle name="40% - Accent2 2" xfId="68"/>
    <cellStyle name="40% - Accent2 2 2" xfId="647"/>
    <cellStyle name="40% - Accent2 3" xfId="69"/>
    <cellStyle name="40% - Accent2 4" xfId="70"/>
    <cellStyle name="40% - Accent3 2" xfId="71"/>
    <cellStyle name="40% - Accent3 2 2" xfId="648"/>
    <cellStyle name="40% - Accent3 3" xfId="72"/>
    <cellStyle name="40% - Accent3 4" xfId="73"/>
    <cellStyle name="40% - Accent4 2" xfId="74"/>
    <cellStyle name="40% - Accent4 2 2" xfId="649"/>
    <cellStyle name="40% - Accent4 3" xfId="75"/>
    <cellStyle name="40% - Accent4 4" xfId="76"/>
    <cellStyle name="40% - Accent5 2" xfId="77"/>
    <cellStyle name="40% - Accent5 2 2" xfId="650"/>
    <cellStyle name="40% - Accent5 3" xfId="78"/>
    <cellStyle name="40% - Accent5 4" xfId="79"/>
    <cellStyle name="40% - Accent6 2" xfId="80"/>
    <cellStyle name="40% - Accent6 2 2" xfId="651"/>
    <cellStyle name="40% - Accent6 3" xfId="81"/>
    <cellStyle name="40% - Accent6 4" xfId="82"/>
    <cellStyle name="60% - Accent1 2" xfId="83"/>
    <cellStyle name="60% - Accent1 2 2" xfId="652"/>
    <cellStyle name="60% - Accent1 3" xfId="84"/>
    <cellStyle name="60% - Accent1 4" xfId="85"/>
    <cellStyle name="60% - Accent2 2" xfId="86"/>
    <cellStyle name="60% - Accent2 2 2" xfId="653"/>
    <cellStyle name="60% - Accent2 3" xfId="87"/>
    <cellStyle name="60% - Accent2 4" xfId="88"/>
    <cellStyle name="60% - Accent3 2" xfId="89"/>
    <cellStyle name="60% - Accent3 2 2" xfId="654"/>
    <cellStyle name="60% - Accent3 3" xfId="90"/>
    <cellStyle name="60% - Accent3 4" xfId="91"/>
    <cellStyle name="60% - Accent4 2" xfId="92"/>
    <cellStyle name="60% - Accent4 2 2" xfId="655"/>
    <cellStyle name="60% - Accent4 3" xfId="93"/>
    <cellStyle name="60% - Accent4 4" xfId="94"/>
    <cellStyle name="60% - Accent5 2" xfId="95"/>
    <cellStyle name="60% - Accent5 2 2" xfId="656"/>
    <cellStyle name="60% - Accent5 3" xfId="96"/>
    <cellStyle name="60% - Accent5 4" xfId="97"/>
    <cellStyle name="60% - Accent6 2" xfId="98"/>
    <cellStyle name="60% - Accent6 2 2" xfId="657"/>
    <cellStyle name="60% - Accent6 3" xfId="99"/>
    <cellStyle name="60% - Accent6 4" xfId="100"/>
    <cellStyle name="Accent1 2" xfId="101"/>
    <cellStyle name="Accent1 2 2" xfId="658"/>
    <cellStyle name="Accent1 3" xfId="102"/>
    <cellStyle name="Accent1 4" xfId="103"/>
    <cellStyle name="Accent2 2" xfId="104"/>
    <cellStyle name="Accent2 2 2" xfId="659"/>
    <cellStyle name="Accent2 3" xfId="105"/>
    <cellStyle name="Accent2 4" xfId="106"/>
    <cellStyle name="Accent3 2" xfId="107"/>
    <cellStyle name="Accent3 2 2" xfId="660"/>
    <cellStyle name="Accent3 3" xfId="108"/>
    <cellStyle name="Accent3 4" xfId="109"/>
    <cellStyle name="Accent4 2" xfId="110"/>
    <cellStyle name="Accent4 2 2" xfId="661"/>
    <cellStyle name="Accent4 3" xfId="111"/>
    <cellStyle name="Accent4 4" xfId="112"/>
    <cellStyle name="Accent5 2" xfId="113"/>
    <cellStyle name="Accent5 2 2" xfId="662"/>
    <cellStyle name="Accent5 3" xfId="114"/>
    <cellStyle name="Accent5 4" xfId="115"/>
    <cellStyle name="Accent6 2" xfId="116"/>
    <cellStyle name="Accent6 2 2" xfId="663"/>
    <cellStyle name="Accent6 3" xfId="117"/>
    <cellStyle name="Accent6 4" xfId="118"/>
    <cellStyle name="Auto_OpenAuto_CloseExtractD_Sheet1" xfId="119"/>
    <cellStyle name="Axis.EffectiveDate" xfId="120"/>
    <cellStyle name="Axis.Seasoning" xfId="121"/>
    <cellStyle name="Bad 2" xfId="122"/>
    <cellStyle name="Bad 2 2" xfId="664"/>
    <cellStyle name="Bad 3" xfId="123"/>
    <cellStyle name="Bad 4" xfId="124"/>
    <cellStyle name="Big Money" xfId="125"/>
    <cellStyle name="Blue" xfId="126"/>
    <cellStyle name="blue axis cells" xfId="127"/>
    <cellStyle name="blue text cells" xfId="128"/>
    <cellStyle name="Body" xfId="129"/>
    <cellStyle name="Bold/Border" xfId="130"/>
    <cellStyle name="Border" xfId="131"/>
    <cellStyle name="Bullet" xfId="132"/>
    <cellStyle name="Calc Currency (0)" xfId="133"/>
    <cellStyle name="Calc Currency (0) 2" xfId="134"/>
    <cellStyle name="Calc Currency (2)" xfId="135"/>
    <cellStyle name="Calc Currency (2) 2" xfId="136"/>
    <cellStyle name="Calc Percent (0)" xfId="137"/>
    <cellStyle name="Calc Percent (0) 2" xfId="138"/>
    <cellStyle name="Calc Percent (1)" xfId="139"/>
    <cellStyle name="Calc Percent (1) 2" xfId="140"/>
    <cellStyle name="Calc Percent (1) 3" xfId="592"/>
    <cellStyle name="Calc Percent (1) 3 2" xfId="636"/>
    <cellStyle name="Calc Percent (2)" xfId="141"/>
    <cellStyle name="Calc Percent (2) 2" xfId="142"/>
    <cellStyle name="Calc Units (0)" xfId="143"/>
    <cellStyle name="Calc Units (0) 2" xfId="144"/>
    <cellStyle name="Calc Units (1)" xfId="145"/>
    <cellStyle name="Calc Units (1) 2" xfId="146"/>
    <cellStyle name="Calc Units (2)" xfId="147"/>
    <cellStyle name="Calc Units (2) 2" xfId="148"/>
    <cellStyle name="Calculation 2" xfId="149"/>
    <cellStyle name="Calculation 2 2" xfId="665"/>
    <cellStyle name="Calculation 3" xfId="150"/>
    <cellStyle name="Calculation 4" xfId="151"/>
    <cellStyle name="Calculation 5" xfId="152"/>
    <cellStyle name="CCM Input" xfId="8"/>
    <cellStyle name="CCM Title Calculations" xfId="9"/>
    <cellStyle name="CCM Title Indicative" xfId="10"/>
    <cellStyle name="Cello Calculation" xfId="11"/>
    <cellStyle name="Cello Calculation 2" xfId="12"/>
    <cellStyle name="Cello Calculation 2 2" xfId="13"/>
    <cellStyle name="Cello Calculation 3" xfId="533"/>
    <cellStyle name="Cello Input" xfId="2"/>
    <cellStyle name="Cello Input 2" xfId="14"/>
    <cellStyle name="Cello Input 2 2" xfId="15"/>
    <cellStyle name="Cello Input 2 3" xfId="537"/>
    <cellStyle name="Cello Input 3" xfId="16"/>
    <cellStyle name="Cello Linked Cell" xfId="17"/>
    <cellStyle name="Cello Linked Cell 2" xfId="18"/>
    <cellStyle name="Cello Linked Cell 2 2" xfId="19"/>
    <cellStyle name="Check Cell 2" xfId="153"/>
    <cellStyle name="Check Cell 2 2" xfId="666"/>
    <cellStyle name="Check Cell 3" xfId="154"/>
    <cellStyle name="Check Cell 4" xfId="155"/>
    <cellStyle name="Co. Names" xfId="156"/>
    <cellStyle name="Comma  - Style1" xfId="157"/>
    <cellStyle name="Comma  - Style1 2" xfId="158"/>
    <cellStyle name="Comma  - Style2" xfId="159"/>
    <cellStyle name="Comma  - Style2 2" xfId="160"/>
    <cellStyle name="Comma  - Style3" xfId="161"/>
    <cellStyle name="Comma  - Style3 2" xfId="162"/>
    <cellStyle name="Comma  - Style4" xfId="163"/>
    <cellStyle name="Comma  - Style4 2" xfId="164"/>
    <cellStyle name="Comma  - Style5" xfId="165"/>
    <cellStyle name="Comma  - Style5 2" xfId="166"/>
    <cellStyle name="Comma  - Style6" xfId="167"/>
    <cellStyle name="Comma  - Style6 2" xfId="168"/>
    <cellStyle name="Comma  - Style7" xfId="169"/>
    <cellStyle name="Comma  - Style7 2" xfId="170"/>
    <cellStyle name="Comma  - Style8" xfId="171"/>
    <cellStyle name="Comma  - Style8 2" xfId="172"/>
    <cellStyle name="Comma [00]" xfId="173"/>
    <cellStyle name="Comma [00] 2" xfId="174"/>
    <cellStyle name="Comma 10" xfId="175"/>
    <cellStyle name="Comma 11" xfId="176"/>
    <cellStyle name="Comma 12" xfId="177"/>
    <cellStyle name="Comma 13" xfId="178"/>
    <cellStyle name="Comma 14" xfId="179"/>
    <cellStyle name="Comma 15" xfId="180"/>
    <cellStyle name="Comma 16" xfId="181"/>
    <cellStyle name="Comma 16 2" xfId="540"/>
    <cellStyle name="Comma 17" xfId="182"/>
    <cellStyle name="Comma 18" xfId="183"/>
    <cellStyle name="Comma 19" xfId="184"/>
    <cellStyle name="Comma 2" xfId="185"/>
    <cellStyle name="Comma 2 2" xfId="667"/>
    <cellStyle name="Comma 20" xfId="186"/>
    <cellStyle name="Comma 21" xfId="187"/>
    <cellStyle name="Comma 22" xfId="531"/>
    <cellStyle name="Comma 23" xfId="553"/>
    <cellStyle name="Comma 24" xfId="538"/>
    <cellStyle name="Comma 25" xfId="552"/>
    <cellStyle name="Comma 26" xfId="556"/>
    <cellStyle name="Comma 27" xfId="557"/>
    <cellStyle name="Comma 28" xfId="549"/>
    <cellStyle name="Comma 29" xfId="560"/>
    <cellStyle name="Comma 29 2" xfId="575"/>
    <cellStyle name="Comma 29 2 2" xfId="624"/>
    <cellStyle name="Comma 29 3" xfId="610"/>
    <cellStyle name="Comma 3" xfId="188"/>
    <cellStyle name="Comma 30" xfId="568"/>
    <cellStyle name="Comma 30 2" xfId="617"/>
    <cellStyle name="Comma 31" xfId="585"/>
    <cellStyle name="Comma 32" xfId="591"/>
    <cellStyle name="Comma 32 2" xfId="635"/>
    <cellStyle name="Comma 33" xfId="597"/>
    <cellStyle name="Comma 34" xfId="602"/>
    <cellStyle name="Comma 34 2" xfId="692"/>
    <cellStyle name="Comma 35" xfId="603"/>
    <cellStyle name="Comma 36" xfId="689"/>
    <cellStyle name="Comma 4" xfId="189"/>
    <cellStyle name="Comma 4 2" xfId="541"/>
    <cellStyle name="Comma 4 3" xfId="668"/>
    <cellStyle name="Comma 5" xfId="190"/>
    <cellStyle name="Comma 6" xfId="191"/>
    <cellStyle name="Comma 7" xfId="192"/>
    <cellStyle name="Comma 8" xfId="193"/>
    <cellStyle name="Comma 9" xfId="194"/>
    <cellStyle name="Comma0" xfId="195"/>
    <cellStyle name="Comma1 - Style1" xfId="196"/>
    <cellStyle name="Copied" xfId="197"/>
    <cellStyle name="CTDSwitchAnalysisHeader" xfId="198"/>
    <cellStyle name="Curren - Style2" xfId="199"/>
    <cellStyle name="Currency [00]" xfId="200"/>
    <cellStyle name="Currency [00] 2" xfId="201"/>
    <cellStyle name="Currency [2]" xfId="202"/>
    <cellStyle name="Currency 10" xfId="534"/>
    <cellStyle name="Currency 11" xfId="539"/>
    <cellStyle name="Currency 12" xfId="551"/>
    <cellStyle name="Currency 13" xfId="555"/>
    <cellStyle name="Currency 14" xfId="550"/>
    <cellStyle name="Currency 15" xfId="554"/>
    <cellStyle name="Currency 16" xfId="590"/>
    <cellStyle name="Currency 16 2" xfId="634"/>
    <cellStyle name="Currency 17" xfId="638"/>
    <cellStyle name="Currency 18" xfId="695"/>
    <cellStyle name="Currency 2" xfId="203"/>
    <cellStyle name="Currency 2 2" xfId="669"/>
    <cellStyle name="Currency 3" xfId="204"/>
    <cellStyle name="Currency 4" xfId="205"/>
    <cellStyle name="Currency 5" xfId="206"/>
    <cellStyle name="Currency 6" xfId="207"/>
    <cellStyle name="Currency 7" xfId="208"/>
    <cellStyle name="Currency 8" xfId="209"/>
    <cellStyle name="Currency 9" xfId="532"/>
    <cellStyle name="Currency0" xfId="210"/>
    <cellStyle name="Dash" xfId="211"/>
    <cellStyle name="Data.LongPercent" xfId="212"/>
    <cellStyle name="Data.NumPercent" xfId="213"/>
    <cellStyle name="Data.NumShortPercent" xfId="214"/>
    <cellStyle name="date" xfId="215"/>
    <cellStyle name="Date - Style3" xfId="216"/>
    <cellStyle name="Date 2" xfId="217"/>
    <cellStyle name="Date 3" xfId="218"/>
    <cellStyle name="Date 4" xfId="219"/>
    <cellStyle name="Date 5" xfId="220"/>
    <cellStyle name="Date 6" xfId="221"/>
    <cellStyle name="Date 7" xfId="222"/>
    <cellStyle name="Date 8" xfId="589"/>
    <cellStyle name="Date 9" xfId="598"/>
    <cellStyle name="Date Short" xfId="223"/>
    <cellStyle name="date title" xfId="224"/>
    <cellStyle name="Date_DV01" xfId="225"/>
    <cellStyle name="DateFormat" xfId="226"/>
    <cellStyle name="DBAHandle" xfId="227"/>
    <cellStyle name="DBAParameter" xfId="228"/>
    <cellStyle name="DELTA" xfId="229"/>
    <cellStyle name="DS 0" xfId="230"/>
    <cellStyle name="DS 1" xfId="231"/>
    <cellStyle name="DS 2" xfId="232"/>
    <cellStyle name="DS 3" xfId="233"/>
    <cellStyle name="DS 4" xfId="234"/>
    <cellStyle name="DS 5" xfId="235"/>
    <cellStyle name="DS 5 2" xfId="236"/>
    <cellStyle name="DS 6" xfId="237"/>
    <cellStyle name="Enter Currency (0)" xfId="238"/>
    <cellStyle name="Enter Currency (0) 2" xfId="239"/>
    <cellStyle name="Enter Currency (2)" xfId="240"/>
    <cellStyle name="Enter Currency (2) 2" xfId="241"/>
    <cellStyle name="Enter Units (0)" xfId="242"/>
    <cellStyle name="Enter Units (0) 2" xfId="243"/>
    <cellStyle name="Enter Units (1)" xfId="244"/>
    <cellStyle name="Enter Units (1) 2" xfId="245"/>
    <cellStyle name="Enter Units (2)" xfId="246"/>
    <cellStyle name="Enter Units (2) 2" xfId="247"/>
    <cellStyle name="Entered" xfId="248"/>
    <cellStyle name="Entries" xfId="249"/>
    <cellStyle name="Euro" xfId="250"/>
    <cellStyle name="Explanatory Text 2" xfId="251"/>
    <cellStyle name="Explanatory Text 2 2" xfId="670"/>
    <cellStyle name="Explanatory Text 3" xfId="252"/>
    <cellStyle name="Explanatory Text 4" xfId="253"/>
    <cellStyle name="Fixed" xfId="254"/>
    <cellStyle name="FullTime" xfId="255"/>
    <cellStyle name="General" xfId="256"/>
    <cellStyle name="Good 2" xfId="257"/>
    <cellStyle name="Good 2 2" xfId="671"/>
    <cellStyle name="Good 3" xfId="258"/>
    <cellStyle name="Good 4" xfId="259"/>
    <cellStyle name="gray text cells" xfId="260"/>
    <cellStyle name="Grey" xfId="261"/>
    <cellStyle name="Header1" xfId="262"/>
    <cellStyle name="Header2" xfId="263"/>
    <cellStyle name="Heading" xfId="264"/>
    <cellStyle name="Heading 1 2" xfId="265"/>
    <cellStyle name="Heading 1 2 2" xfId="266"/>
    <cellStyle name="Heading 1 2 3" xfId="672"/>
    <cellStyle name="Heading 1 3" xfId="267"/>
    <cellStyle name="Heading 1 4" xfId="268"/>
    <cellStyle name="Heading 1 5" xfId="269"/>
    <cellStyle name="Heading 2 2" xfId="270"/>
    <cellStyle name="Heading 2 2 2" xfId="271"/>
    <cellStyle name="Heading 2 2 3" xfId="673"/>
    <cellStyle name="Heading 2 3" xfId="272"/>
    <cellStyle name="Heading 2 4" xfId="273"/>
    <cellStyle name="Heading 2 5" xfId="274"/>
    <cellStyle name="Heading 3 2" xfId="275"/>
    <cellStyle name="Heading 3 2 2" xfId="674"/>
    <cellStyle name="Heading 3 3" xfId="276"/>
    <cellStyle name="Heading 3 4" xfId="277"/>
    <cellStyle name="Heading 4 2" xfId="278"/>
    <cellStyle name="Heading 4 2 2" xfId="675"/>
    <cellStyle name="Heading 4 3" xfId="279"/>
    <cellStyle name="Heading 4 4" xfId="280"/>
    <cellStyle name="Heading 5" xfId="281"/>
    <cellStyle name="HEADING1" xfId="282"/>
    <cellStyle name="HEADING2" xfId="283"/>
    <cellStyle name="Hyperlink 2" xfId="559"/>
    <cellStyle name="Hyperlink 3" xfId="528"/>
    <cellStyle name="Input [yellow]" xfId="284"/>
    <cellStyle name="Input 2" xfId="285"/>
    <cellStyle name="Input 2 2" xfId="676"/>
    <cellStyle name="Input 3" xfId="286"/>
    <cellStyle name="Input 4" xfId="287"/>
    <cellStyle name="Input 5" xfId="288"/>
    <cellStyle name="Input 6" xfId="289"/>
    <cellStyle name="Input 7" xfId="290"/>
    <cellStyle name="Input 8" xfId="588"/>
    <cellStyle name="Input 9" xfId="599"/>
    <cellStyle name="Item" xfId="291"/>
    <cellStyle name="Link Currency (0)" xfId="292"/>
    <cellStyle name="Link Currency (0) 2" xfId="293"/>
    <cellStyle name="Link Currency (2)" xfId="294"/>
    <cellStyle name="Link Currency (2) 2" xfId="295"/>
    <cellStyle name="Link Units (0)" xfId="296"/>
    <cellStyle name="Link Units (0) 2" xfId="297"/>
    <cellStyle name="Link Units (1)" xfId="298"/>
    <cellStyle name="Link Units (1) 2" xfId="299"/>
    <cellStyle name="Link Units (2)" xfId="300"/>
    <cellStyle name="Link Units (2) 2" xfId="301"/>
    <cellStyle name="Linked Cell 2" xfId="302"/>
    <cellStyle name="Linked Cell 2 2" xfId="677"/>
    <cellStyle name="Linked Cell 3" xfId="303"/>
    <cellStyle name="Linked Cell 4" xfId="304"/>
    <cellStyle name="Lookup" xfId="305"/>
    <cellStyle name="Milliers [0]_Basis" xfId="306"/>
    <cellStyle name="Milliers_Basis" xfId="307"/>
    <cellStyle name="Monétaire [0]_Basis" xfId="308"/>
    <cellStyle name="Monétaire_Basis" xfId="309"/>
    <cellStyle name="Money" xfId="310"/>
    <cellStyle name="Neutral 2" xfId="311"/>
    <cellStyle name="Neutral 2 2" xfId="678"/>
    <cellStyle name="Neutral 3" xfId="312"/>
    <cellStyle name="Neutral 4" xfId="313"/>
    <cellStyle name="no dec" xfId="314"/>
    <cellStyle name="NoChange" xfId="315"/>
    <cellStyle name="Non Zero" xfId="316"/>
    <cellStyle name="Normal" xfId="0" builtinId="0"/>
    <cellStyle name="Normal - Style1" xfId="317"/>
    <cellStyle name="Normal 10" xfId="318"/>
    <cellStyle name="Normal 10 2" xfId="542"/>
    <cellStyle name="Normal 11" xfId="319"/>
    <cellStyle name="Normal 11 2" xfId="543"/>
    <cellStyle name="Normal 12" xfId="320"/>
    <cellStyle name="Normal 13" xfId="321"/>
    <cellStyle name="Normal 14" xfId="322"/>
    <cellStyle name="Normal 15" xfId="323"/>
    <cellStyle name="Normal 16" xfId="324"/>
    <cellStyle name="Normal 17" xfId="325"/>
    <cellStyle name="Normal 18" xfId="326"/>
    <cellStyle name="Normal 19" xfId="327"/>
    <cellStyle name="Normal 2" xfId="1"/>
    <cellStyle name="Normal 2 2" xfId="20"/>
    <cellStyle name="Normal 2 2 2" xfId="530"/>
    <cellStyle name="Normal 2 3" xfId="328"/>
    <cellStyle name="Normal 2 3 2" xfId="566"/>
    <cellStyle name="Normal 2 3 2 2" xfId="581"/>
    <cellStyle name="Normal 2 3 2 2 2" xfId="630"/>
    <cellStyle name="Normal 2 3 2 3" xfId="616"/>
    <cellStyle name="Normal 2 3 3" xfId="574"/>
    <cellStyle name="Normal 2 3 3 2" xfId="623"/>
    <cellStyle name="Normal 2 3 4" xfId="609"/>
    <cellStyle name="Normal 2 4" xfId="535"/>
    <cellStyle name="Normal 2 4 2" xfId="564"/>
    <cellStyle name="Normal 2 4 2 2" xfId="579"/>
    <cellStyle name="Normal 2 4 2 2 2" xfId="628"/>
    <cellStyle name="Normal 2 4 2 3" xfId="614"/>
    <cellStyle name="Normal 2 4 3" xfId="572"/>
    <cellStyle name="Normal 2 4 3 2" xfId="621"/>
    <cellStyle name="Normal 2 4 4" xfId="607"/>
    <cellStyle name="Normal 2 5" xfId="562"/>
    <cellStyle name="Normal 2 5 2" xfId="577"/>
    <cellStyle name="Normal 2 5 2 2" xfId="626"/>
    <cellStyle name="Normal 2 5 3" xfId="612"/>
    <cellStyle name="Normal 2 6" xfId="570"/>
    <cellStyle name="Normal 2 6 2" xfId="619"/>
    <cellStyle name="Normal 2 7" xfId="605"/>
    <cellStyle name="Normal 2 8" xfId="679"/>
    <cellStyle name="Normal 20" xfId="329"/>
    <cellStyle name="Normal 21" xfId="330"/>
    <cellStyle name="Normal 22" xfId="331"/>
    <cellStyle name="Normal 23" xfId="332"/>
    <cellStyle name="Normal 24" xfId="333"/>
    <cellStyle name="Normal 25" xfId="334"/>
    <cellStyle name="Normal 26" xfId="335"/>
    <cellStyle name="Normal 27" xfId="336"/>
    <cellStyle name="Normal 28" xfId="337"/>
    <cellStyle name="Normal 28 2" xfId="544"/>
    <cellStyle name="Normal 29" xfId="338"/>
    <cellStyle name="Normal 3" xfId="21"/>
    <cellStyle name="Normal 3 2" xfId="680"/>
    <cellStyle name="Normal 3 3" xfId="527"/>
    <cellStyle name="Normal 30" xfId="339"/>
    <cellStyle name="Normal 31" xfId="340"/>
    <cellStyle name="Normal 32" xfId="341"/>
    <cellStyle name="Normal 33" xfId="342"/>
    <cellStyle name="Normal 34" xfId="343"/>
    <cellStyle name="Normal 35" xfId="344"/>
    <cellStyle name="Normal 36" xfId="345"/>
    <cellStyle name="Normal 37" xfId="346"/>
    <cellStyle name="Normal 38" xfId="347"/>
    <cellStyle name="Normal 38 2" xfId="565"/>
    <cellStyle name="Normal 38 2 2" xfId="580"/>
    <cellStyle name="Normal 38 2 2 2" xfId="629"/>
    <cellStyle name="Normal 38 2 3" xfId="615"/>
    <cellStyle name="Normal 38 3" xfId="573"/>
    <cellStyle name="Normal 38 3 2" xfId="622"/>
    <cellStyle name="Normal 38 4" xfId="608"/>
    <cellStyle name="Normal 39" xfId="582"/>
    <cellStyle name="Normal 4" xfId="22"/>
    <cellStyle name="Normal 4 2" xfId="545"/>
    <cellStyle name="Normal 4 3" xfId="681"/>
    <cellStyle name="Normal 4 4" xfId="529"/>
    <cellStyle name="Normal 40" xfId="583"/>
    <cellStyle name="Normal 41" xfId="584"/>
    <cellStyle name="Normal 41 2" xfId="631"/>
    <cellStyle name="Normal 42" xfId="558"/>
    <cellStyle name="Normal 42 2" xfId="567"/>
    <cellStyle name="Normal 43" xfId="593"/>
    <cellStyle name="Normal 43 2" xfId="637"/>
    <cellStyle name="Normal 44" xfId="595"/>
    <cellStyle name="Normal 45" xfId="596"/>
    <cellStyle name="Normal 46" xfId="601"/>
    <cellStyle name="Normal 46 2" xfId="691"/>
    <cellStyle name="Normal 47" xfId="639"/>
    <cellStyle name="Normal 48" xfId="693"/>
    <cellStyle name="Normal 49" xfId="525"/>
    <cellStyle name="Normal 5" xfId="348"/>
    <cellStyle name="Normal 50" xfId="526"/>
    <cellStyle name="Normal 6" xfId="349"/>
    <cellStyle name="Normal 6 2" xfId="546"/>
    <cellStyle name="Normal 7" xfId="350"/>
    <cellStyle name="Normal 7 2" xfId="547"/>
    <cellStyle name="Normal 8" xfId="351"/>
    <cellStyle name="Normal 9" xfId="352"/>
    <cellStyle name="Normal 9 2" xfId="548"/>
    <cellStyle name="Note 2" xfId="353"/>
    <cellStyle name="Note 2 2" xfId="354"/>
    <cellStyle name="Note 2 3" xfId="682"/>
    <cellStyle name="Note 3" xfId="355"/>
    <cellStyle name="Note 4" xfId="356"/>
    <cellStyle name="Note 5" xfId="357"/>
    <cellStyle name="Note 6" xfId="536"/>
    <cellStyle name="Note 7" xfId="563"/>
    <cellStyle name="Note 7 2" xfId="578"/>
    <cellStyle name="Note 7 2 2" xfId="627"/>
    <cellStyle name="Note 7 3" xfId="613"/>
    <cellStyle name="Note 8" xfId="571"/>
    <cellStyle name="Note 8 2" xfId="620"/>
    <cellStyle name="Note 9" xfId="606"/>
    <cellStyle name="NumberAsPercent" xfId="358"/>
    <cellStyle name="NumberFormat" xfId="359"/>
    <cellStyle name="Numbers" xfId="360"/>
    <cellStyle name="Numbers - Bold" xfId="361"/>
    <cellStyle name="Numbers_increm pf" xfId="362"/>
    <cellStyle name="NumberTo1DecPlace" xfId="363"/>
    <cellStyle name="OffWhite" xfId="23"/>
    <cellStyle name="Option" xfId="364"/>
    <cellStyle name="orange text cell" xfId="365"/>
    <cellStyle name="Output 2" xfId="366"/>
    <cellStyle name="Output 2 2" xfId="683"/>
    <cellStyle name="Output 3" xfId="367"/>
    <cellStyle name="Output 4" xfId="368"/>
    <cellStyle name="Output Amounts" xfId="369"/>
    <cellStyle name="Output Column Headings" xfId="370"/>
    <cellStyle name="Output Line Items" xfId="371"/>
    <cellStyle name="Output Report Heading" xfId="372"/>
    <cellStyle name="Output Report Title" xfId="373"/>
    <cellStyle name="Pageheading" xfId="374"/>
    <cellStyle name="Percent [0]" xfId="375"/>
    <cellStyle name="Percent [0] 2" xfId="376"/>
    <cellStyle name="Percent [00]" xfId="377"/>
    <cellStyle name="Percent [00] 2" xfId="378"/>
    <cellStyle name="Percent [00] 3" xfId="587"/>
    <cellStyle name="Percent [00] 3 2" xfId="633"/>
    <cellStyle name="Percent [2]" xfId="379"/>
    <cellStyle name="Percent 2" xfId="3"/>
    <cellStyle name="Percent 2 2" xfId="576"/>
    <cellStyle name="Percent 2 2 2" xfId="625"/>
    <cellStyle name="Percent 2 3" xfId="611"/>
    <cellStyle name="Percent 2 4" xfId="684"/>
    <cellStyle name="Percent 2 5" xfId="561"/>
    <cellStyle name="Percent 3" xfId="569"/>
    <cellStyle name="Percent 3 2" xfId="618"/>
    <cellStyle name="Percent 3 3" xfId="685"/>
    <cellStyle name="Percent 4" xfId="604"/>
    <cellStyle name="Percent 5" xfId="690"/>
    <cellStyle name="Percentage" xfId="380"/>
    <cellStyle name="PrePop Currency (0)" xfId="381"/>
    <cellStyle name="PrePop Currency (0) 2" xfId="382"/>
    <cellStyle name="PrePop Currency (2)" xfId="383"/>
    <cellStyle name="PrePop Currency (2) 2" xfId="384"/>
    <cellStyle name="PrePop Units (0)" xfId="385"/>
    <cellStyle name="PrePop Units (0) 2" xfId="386"/>
    <cellStyle name="PrePop Units (1)" xfId="387"/>
    <cellStyle name="PrePop Units (1) 2" xfId="388"/>
    <cellStyle name="PrePop Units (2)" xfId="389"/>
    <cellStyle name="PrePop Units (2) 2" xfId="390"/>
    <cellStyle name="PriceTo3DecPlaces" xfId="391"/>
    <cellStyle name="PriceWithBorderAround" xfId="392"/>
    <cellStyle name="PRICING" xfId="393"/>
    <cellStyle name="Product Header" xfId="394"/>
    <cellStyle name="PSChar" xfId="395"/>
    <cellStyle name="PSHeading" xfId="396"/>
    <cellStyle name="r" xfId="397"/>
    <cellStyle name="r_pldt" xfId="398"/>
    <cellStyle name="ReportLeftHeader" xfId="399"/>
    <cellStyle name="ReportRightHeader" xfId="400"/>
    <cellStyle name="results" xfId="401"/>
    <cellStyle name="RevList" xfId="402"/>
    <cellStyle name="RVRQueryHandle" xfId="403"/>
    <cellStyle name="Section" xfId="404"/>
    <cellStyle name="SecuritiesPricingTable" xfId="405"/>
    <cellStyle name="SecuritiesPricingTableFinalData" xfId="406"/>
    <cellStyle name="SecuritiesPricingTableManualData" xfId="407"/>
    <cellStyle name="SecuritiesPricingTableText" xfId="408"/>
    <cellStyle name="Short $" xfId="409"/>
    <cellStyle name="Short $ 2" xfId="410"/>
    <cellStyle name="Short $ 3" xfId="586"/>
    <cellStyle name="Short $ 3 2" xfId="632"/>
    <cellStyle name="SIZE" xfId="411"/>
    <cellStyle name="Standard_Swaps-Bonds-Blending" xfId="412"/>
    <cellStyle name="Style 1" xfId="413"/>
    <cellStyle name="Style 1 2" xfId="694"/>
    <cellStyle name="StyleSecuritiesPricingTableInteger" xfId="414"/>
    <cellStyle name="Subheading" xfId="415"/>
    <cellStyle name="subtitle" xfId="416"/>
    <cellStyle name="Subtotal" xfId="417"/>
    <cellStyle name="Table" xfId="418"/>
    <cellStyle name="Tablebody" xfId="419"/>
    <cellStyle name="TablebodyDate" xfId="420"/>
    <cellStyle name="TablebodyHeading" xfId="421"/>
    <cellStyle name="TablebodyOutstandingAmount" xfId="422"/>
    <cellStyle name="TablebodyPercent" xfId="423"/>
    <cellStyle name="TablebodyPrice" xfId="424"/>
    <cellStyle name="TablebodyReverse" xfId="425"/>
    <cellStyle name="TablebodySpread" xfId="426"/>
    <cellStyle name="TablebodySpreadBorder" xfId="427"/>
    <cellStyle name="TablebodyText" xfId="428"/>
    <cellStyle name="Tableheading" xfId="429"/>
    <cellStyle name="Text" xfId="430"/>
    <cellStyle name="Text 2" xfId="431"/>
    <cellStyle name="Text Indent A" xfId="432"/>
    <cellStyle name="Text Indent B" xfId="433"/>
    <cellStyle name="Text Indent B 2" xfId="434"/>
    <cellStyle name="Text Indent C" xfId="435"/>
    <cellStyle name="Text Indent C 2" xfId="436"/>
    <cellStyle name="TextStyle" xfId="437"/>
    <cellStyle name="tic display" xfId="438"/>
    <cellStyle name="tic input" xfId="439"/>
    <cellStyle name="Title - Underline" xfId="440"/>
    <cellStyle name="Title 2" xfId="441"/>
    <cellStyle name="Title 2 2" xfId="686"/>
    <cellStyle name="Title 3" xfId="442"/>
    <cellStyle name="Title 4" xfId="443"/>
    <cellStyle name="Title 5" xfId="444"/>
    <cellStyle name="Title 6" xfId="445"/>
    <cellStyle name="Title 7" xfId="446"/>
    <cellStyle name="Title 8" xfId="594"/>
    <cellStyle name="Title 9" xfId="600"/>
    <cellStyle name="Title Calculations" xfId="5"/>
    <cellStyle name="Title Calculations 2" xfId="24"/>
    <cellStyle name="Title Indicative" xfId="25"/>
    <cellStyle name="Title Indicative 2" xfId="26"/>
    <cellStyle name="Title Pricing Assumptions" xfId="27"/>
    <cellStyle name="Title Pricing Assumptions 10" xfId="447"/>
    <cellStyle name="Title Pricing Assumptions 10 2" xfId="448"/>
    <cellStyle name="Title Pricing Assumptions 11" xfId="449"/>
    <cellStyle name="Title Pricing Assumptions 12" xfId="450"/>
    <cellStyle name="Title Pricing Assumptions 2" xfId="28"/>
    <cellStyle name="Title Pricing Assumptions 3" xfId="4"/>
    <cellStyle name="Title Pricing Assumptions 3 2" xfId="29"/>
    <cellStyle name="Title Pricing Assumptions 3 2 2" xfId="451"/>
    <cellStyle name="Title Pricing Assumptions 3 2 2 2" xfId="452"/>
    <cellStyle name="Title Pricing Assumptions 3 2 3" xfId="453"/>
    <cellStyle name="Title Pricing Assumptions 3 2 3 2" xfId="454"/>
    <cellStyle name="Title Pricing Assumptions 3 2 4" xfId="455"/>
    <cellStyle name="Title Pricing Assumptions 3 2 4 2" xfId="456"/>
    <cellStyle name="Title Pricing Assumptions 3 2 5" xfId="457"/>
    <cellStyle name="Title Pricing Assumptions 3 3" xfId="30"/>
    <cellStyle name="Title Pricing Assumptions 3 3 2" xfId="458"/>
    <cellStyle name="Title Pricing Assumptions 3 3 2 2" xfId="459"/>
    <cellStyle name="Title Pricing Assumptions 3 3 3" xfId="460"/>
    <cellStyle name="Title Pricing Assumptions 3 3 3 2" xfId="461"/>
    <cellStyle name="Title Pricing Assumptions 3 3 4" xfId="462"/>
    <cellStyle name="Title Pricing Assumptions 3 3 4 2" xfId="463"/>
    <cellStyle name="Title Pricing Assumptions 3 3 5" xfId="464"/>
    <cellStyle name="Title Pricing Assumptions 3 4" xfId="31"/>
    <cellStyle name="Title Pricing Assumptions 3 4 2" xfId="465"/>
    <cellStyle name="Title Pricing Assumptions 3 4 2 2" xfId="466"/>
    <cellStyle name="Title Pricing Assumptions 3 4 3" xfId="467"/>
    <cellStyle name="Title Pricing Assumptions 3 4 3 2" xfId="468"/>
    <cellStyle name="Title Pricing Assumptions 3 4 4" xfId="469"/>
    <cellStyle name="Title Pricing Assumptions 3 4 4 2" xfId="470"/>
    <cellStyle name="Title Pricing Assumptions 3 4 5" xfId="471"/>
    <cellStyle name="Title Pricing Assumptions 3 5" xfId="32"/>
    <cellStyle name="Title Pricing Assumptions 3 5 2" xfId="472"/>
    <cellStyle name="Title Pricing Assumptions 3 5 2 2" xfId="473"/>
    <cellStyle name="Title Pricing Assumptions 3 5 3" xfId="474"/>
    <cellStyle name="Title Pricing Assumptions 3 5 3 2" xfId="475"/>
    <cellStyle name="Title Pricing Assumptions 3 5 4" xfId="476"/>
    <cellStyle name="Title Pricing Assumptions 3 6" xfId="477"/>
    <cellStyle name="Title Pricing Assumptions 3 6 2" xfId="478"/>
    <cellStyle name="Title Pricing Assumptions 3 7" xfId="479"/>
    <cellStyle name="Title Pricing Assumptions 3 7 2" xfId="480"/>
    <cellStyle name="Title Pricing Assumptions 3 8" xfId="481"/>
    <cellStyle name="Title Pricing Assumptions 3 8 2" xfId="482"/>
    <cellStyle name="Title Pricing Assumptions 3 9" xfId="483"/>
    <cellStyle name="Title Pricing Assumptions 4" xfId="33"/>
    <cellStyle name="Title Pricing Assumptions 4 2" xfId="484"/>
    <cellStyle name="Title Pricing Assumptions 4 2 2" xfId="485"/>
    <cellStyle name="Title Pricing Assumptions 4 3" xfId="486"/>
    <cellStyle name="Title Pricing Assumptions 4 3 2" xfId="487"/>
    <cellStyle name="Title Pricing Assumptions 4 4" xfId="488"/>
    <cellStyle name="Title Pricing Assumptions 4 4 2" xfId="489"/>
    <cellStyle name="Title Pricing Assumptions 4 5" xfId="490"/>
    <cellStyle name="Title Pricing Assumptions 5" xfId="34"/>
    <cellStyle name="Title Pricing Assumptions 5 2" xfId="491"/>
    <cellStyle name="Title Pricing Assumptions 5 2 2" xfId="492"/>
    <cellStyle name="Title Pricing Assumptions 5 3" xfId="493"/>
    <cellStyle name="Title Pricing Assumptions 5 3 2" xfId="494"/>
    <cellStyle name="Title Pricing Assumptions 5 4" xfId="495"/>
    <cellStyle name="Title Pricing Assumptions 5 4 2" xfId="496"/>
    <cellStyle name="Title Pricing Assumptions 5 5" xfId="497"/>
    <cellStyle name="Title Pricing Assumptions 6" xfId="35"/>
    <cellStyle name="Title Pricing Assumptions 6 2" xfId="498"/>
    <cellStyle name="Title Pricing Assumptions 6 2 2" xfId="499"/>
    <cellStyle name="Title Pricing Assumptions 6 3" xfId="500"/>
    <cellStyle name="Title Pricing Assumptions 6 3 2" xfId="501"/>
    <cellStyle name="Title Pricing Assumptions 6 4" xfId="502"/>
    <cellStyle name="Title Pricing Assumptions 6 4 2" xfId="503"/>
    <cellStyle name="Title Pricing Assumptions 6 5" xfId="504"/>
    <cellStyle name="Title Pricing Assumptions 7" xfId="36"/>
    <cellStyle name="Title Pricing Assumptions 7 2" xfId="505"/>
    <cellStyle name="Title Pricing Assumptions 7 2 2" xfId="506"/>
    <cellStyle name="Title Pricing Assumptions 7 3" xfId="507"/>
    <cellStyle name="Title Pricing Assumptions 7 3 2" xfId="508"/>
    <cellStyle name="Title Pricing Assumptions 7 4" xfId="509"/>
    <cellStyle name="Title Pricing Assumptions 8" xfId="510"/>
    <cellStyle name="Title Pricing Assumptions 8 2" xfId="511"/>
    <cellStyle name="Title Pricing Assumptions 9" xfId="512"/>
    <cellStyle name="Title Pricing Assumptions 9 2" xfId="513"/>
    <cellStyle name="Titles - Other" xfId="514"/>
    <cellStyle name="Total 2" xfId="515"/>
    <cellStyle name="Total 2 2" xfId="516"/>
    <cellStyle name="Total 2 3" xfId="687"/>
    <cellStyle name="Total 3" xfId="517"/>
    <cellStyle name="Total 4" xfId="518"/>
    <cellStyle name="Warning" xfId="519"/>
    <cellStyle name="Warning Text 2" xfId="520"/>
    <cellStyle name="Warning Text 2 2" xfId="688"/>
    <cellStyle name="Warning Text 3" xfId="521"/>
    <cellStyle name="Warning Text 4" xfId="522"/>
    <cellStyle name="YB Calculations" xfId="7"/>
    <cellStyle name="YB Calculations 2" xfId="37"/>
    <cellStyle name="YB Curve" xfId="38"/>
    <cellStyle name="YB Indicative" xfId="6"/>
    <cellStyle name="YBINDIC" xfId="39"/>
    <cellStyle name="YBIOPOBE" xfId="523"/>
    <cellStyle name="YBPRICE" xfId="40"/>
    <cellStyle name="一般_原始檔案" xfId="52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4"/>
  <sheetViews>
    <sheetView tabSelected="1" workbookViewId="0">
      <selection activeCell="E6" sqref="E6"/>
    </sheetView>
  </sheetViews>
  <sheetFormatPr defaultRowHeight="15"/>
  <cols>
    <col min="1" max="1" width="15.7109375" style="5" bestFit="1" customWidth="1"/>
    <col min="2" max="3" width="15.140625" style="5" bestFit="1" customWidth="1"/>
    <col min="4" max="4" width="14.140625" style="5" bestFit="1" customWidth="1"/>
    <col min="5" max="5" width="14.85546875" style="5" bestFit="1" customWidth="1"/>
    <col min="6" max="6" width="15.7109375" style="5" bestFit="1" customWidth="1"/>
    <col min="7" max="7" width="16" style="5" bestFit="1" customWidth="1"/>
    <col min="8" max="16384" width="9.140625" style="5"/>
  </cols>
  <sheetData>
    <row r="1" spans="1:9">
      <c r="A1" s="5" t="s">
        <v>7</v>
      </c>
      <c r="B1" s="10">
        <v>42136</v>
      </c>
      <c r="C1" s="2" t="s">
        <v>25</v>
      </c>
      <c r="D1" s="2" t="s">
        <v>26</v>
      </c>
      <c r="E1" s="2" t="s">
        <v>9</v>
      </c>
      <c r="F1" s="2" t="s">
        <v>10</v>
      </c>
      <c r="G1" s="2"/>
      <c r="H1" s="2"/>
    </row>
    <row r="2" spans="1:9">
      <c r="B2" s="2"/>
      <c r="C2" s="10">
        <v>42166</v>
      </c>
      <c r="D2" s="10">
        <v>42199</v>
      </c>
      <c r="E2" s="2"/>
      <c r="F2" s="2" t="s">
        <v>2</v>
      </c>
      <c r="G2" s="2"/>
      <c r="H2" s="2"/>
    </row>
    <row r="3" spans="1:9" s="4" customFormat="1">
      <c r="C3" s="4">
        <f>$C$2-$B$1</f>
        <v>30</v>
      </c>
      <c r="D3" s="4">
        <f>$D$2-$B$1</f>
        <v>63</v>
      </c>
      <c r="E3" s="4">
        <v>30</v>
      </c>
      <c r="F3" s="4">
        <v>25</v>
      </c>
    </row>
    <row r="4" spans="1:9">
      <c r="A4" s="5" t="s">
        <v>13</v>
      </c>
      <c r="B4" s="5">
        <v>2.5</v>
      </c>
      <c r="C4">
        <v>96.640600000000006</v>
      </c>
      <c r="D4">
        <v>96.406300000000002</v>
      </c>
      <c r="E4" s="3">
        <f>($E$3-$C$3)/($D$3-$C$3)*(D4-C4)+C4</f>
        <v>96.640600000000006</v>
      </c>
      <c r="F4" s="1">
        <f>E4+($F$3-1)/360*B4</f>
        <v>96.807266666666678</v>
      </c>
      <c r="H4" s="3"/>
      <c r="I4" s="3"/>
    </row>
    <row r="5" spans="1:9">
      <c r="A5" s="5" t="s">
        <v>14</v>
      </c>
      <c r="B5" s="5">
        <v>3</v>
      </c>
      <c r="C5">
        <v>100.422</v>
      </c>
      <c r="D5">
        <v>100.14100000000001</v>
      </c>
      <c r="E5" s="3">
        <f>($E$3-$C$3)/($D$3-$C$3)*(D5-C5)+C5</f>
        <v>100.422</v>
      </c>
      <c r="F5" s="1">
        <f>E5+($F$3-1)/360*B5</f>
        <v>100.622</v>
      </c>
      <c r="H5" s="3"/>
      <c r="I5" s="3"/>
    </row>
    <row r="6" spans="1:9">
      <c r="D6" s="3"/>
      <c r="E6" s="3"/>
      <c r="F6" s="1"/>
      <c r="H6" s="3"/>
      <c r="I6" s="3"/>
    </row>
    <row r="7" spans="1:9">
      <c r="A7" s="5" t="s">
        <v>5</v>
      </c>
      <c r="C7" s="5" t="s">
        <v>2</v>
      </c>
    </row>
    <row r="8" spans="1:9">
      <c r="A8" s="5" t="s">
        <v>6</v>
      </c>
      <c r="C8" s="5" t="s">
        <v>2</v>
      </c>
    </row>
    <row r="9" spans="1:9" s="6" customFormat="1">
      <c r="A9" s="6" t="s">
        <v>8</v>
      </c>
      <c r="B9" s="6">
        <f>(100-F4)/(F5-F4)*($B5-$B4)+$B4</f>
        <v>2.9184739868230194</v>
      </c>
      <c r="C9" s="6">
        <f>200*((1+B9/1200)^6-1)</f>
        <v>2.9362764054138069</v>
      </c>
      <c r="D9" s="6" t="s">
        <v>2</v>
      </c>
    </row>
    <row r="10" spans="1:9" s="6" customFormat="1"/>
    <row r="12" spans="1:9">
      <c r="B12" s="5" t="s">
        <v>2</v>
      </c>
    </row>
    <row r="13" spans="1:9">
      <c r="C13" s="5" t="s">
        <v>2</v>
      </c>
      <c r="D13" s="5" t="s">
        <v>2</v>
      </c>
    </row>
    <row r="14" spans="1:9">
      <c r="C14" s="5" t="s">
        <v>2</v>
      </c>
    </row>
    <row r="15" spans="1:9">
      <c r="C15" s="5" t="s">
        <v>2</v>
      </c>
    </row>
    <row r="17" spans="1:7">
      <c r="B17" s="5" t="s">
        <v>2</v>
      </c>
    </row>
    <row r="21" spans="1:7">
      <c r="A21" s="8"/>
      <c r="B21" s="8" t="s">
        <v>15</v>
      </c>
      <c r="C21" s="8" t="s">
        <v>16</v>
      </c>
      <c r="D21" s="8" t="s">
        <v>17</v>
      </c>
      <c r="E21" s="8" t="s">
        <v>19</v>
      </c>
      <c r="F21" s="8" t="s">
        <v>21</v>
      </c>
      <c r="G21" s="8" t="s">
        <v>23</v>
      </c>
    </row>
    <row r="22" spans="1:7">
      <c r="A22" s="8"/>
      <c r="B22" s="9">
        <f>C2</f>
        <v>42166</v>
      </c>
      <c r="C22" s="9">
        <f>D2</f>
        <v>42199</v>
      </c>
      <c r="D22" s="8" t="s">
        <v>18</v>
      </c>
      <c r="E22" s="8" t="s">
        <v>20</v>
      </c>
      <c r="F22" s="8" t="s">
        <v>22</v>
      </c>
      <c r="G22" s="8" t="s">
        <v>24</v>
      </c>
    </row>
    <row r="23" spans="1:7">
      <c r="A23" s="5" t="s">
        <v>13</v>
      </c>
      <c r="B23" s="11">
        <f>C4</f>
        <v>96.640600000000006</v>
      </c>
      <c r="C23" s="11">
        <f>D4</f>
        <v>96.406300000000002</v>
      </c>
      <c r="D23" s="11">
        <f t="shared" ref="D23:E24" si="0">E4</f>
        <v>96.640600000000006</v>
      </c>
      <c r="E23" s="11">
        <f t="shared" si="0"/>
        <v>96.807266666666678</v>
      </c>
      <c r="F23" s="12">
        <f>B9</f>
        <v>2.9184739868230194</v>
      </c>
      <c r="G23" s="13">
        <f>C9</f>
        <v>2.9362764054138069</v>
      </c>
    </row>
    <row r="24" spans="1:7">
      <c r="A24" s="5" t="s">
        <v>14</v>
      </c>
      <c r="B24" s="11">
        <f>C5</f>
        <v>100.422</v>
      </c>
      <c r="C24" s="11">
        <f>D5</f>
        <v>100.14100000000001</v>
      </c>
      <c r="D24" s="11">
        <f t="shared" si="0"/>
        <v>100.422</v>
      </c>
      <c r="E24" s="11">
        <f t="shared" si="0"/>
        <v>100.622</v>
      </c>
      <c r="F24" s="12"/>
      <c r="G24" s="13"/>
    </row>
  </sheetData>
  <mergeCells count="2">
    <mergeCell ref="F23:F24"/>
    <mergeCell ref="G23:G24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8"/>
  <sheetViews>
    <sheetView workbookViewId="0">
      <selection activeCell="E9" sqref="E9"/>
    </sheetView>
  </sheetViews>
  <sheetFormatPr defaultRowHeight="15"/>
  <cols>
    <col min="1" max="2" width="9.140625" style="5"/>
    <col min="3" max="3" width="10" style="5" bestFit="1" customWidth="1"/>
    <col min="4" max="4" width="9.140625" style="7"/>
    <col min="5" max="5" width="11" style="5" customWidth="1"/>
    <col min="6" max="6" width="13.85546875" style="5" customWidth="1"/>
    <col min="7" max="7" width="10.85546875" style="5" customWidth="1"/>
    <col min="8" max="16384" width="9.140625" style="5"/>
  </cols>
  <sheetData>
    <row r="1" spans="1:10">
      <c r="A1" s="5" t="s">
        <v>7</v>
      </c>
      <c r="B1" s="2">
        <v>41473</v>
      </c>
      <c r="C1" s="2" t="s">
        <v>11</v>
      </c>
      <c r="D1" s="7" t="s">
        <v>4</v>
      </c>
      <c r="E1" s="2" t="s">
        <v>12</v>
      </c>
      <c r="F1" s="2" t="s">
        <v>9</v>
      </c>
      <c r="G1" s="2" t="s">
        <v>10</v>
      </c>
      <c r="H1" s="2"/>
      <c r="I1" s="2"/>
    </row>
    <row r="2" spans="1:10">
      <c r="B2" s="2"/>
      <c r="C2" s="2">
        <v>41506</v>
      </c>
      <c r="E2" s="2">
        <v>41536</v>
      </c>
      <c r="F2" s="2"/>
      <c r="G2" s="2" t="s">
        <v>2</v>
      </c>
      <c r="H2" s="2"/>
      <c r="I2" s="2"/>
    </row>
    <row r="3" spans="1:10" s="4" customFormat="1">
      <c r="C3" s="4">
        <f>$C$2-$B$1</f>
        <v>33</v>
      </c>
      <c r="D3" s="7"/>
      <c r="E3" s="4">
        <f>$E$2-$B$1</f>
        <v>63</v>
      </c>
      <c r="F3" s="4">
        <v>30</v>
      </c>
      <c r="G3" s="4">
        <v>15</v>
      </c>
    </row>
    <row r="4" spans="1:10">
      <c r="A4" s="5" t="s">
        <v>3</v>
      </c>
      <c r="B4" s="5">
        <v>2.5</v>
      </c>
      <c r="C4" s="1">
        <f>92+19/32</f>
        <v>92.59375</v>
      </c>
      <c r="D4" s="7">
        <v>7.5</v>
      </c>
      <c r="E4" s="3">
        <f>C4-D4/32</f>
        <v>92.359375</v>
      </c>
      <c r="F4" s="3">
        <f>($F$3-$C$3)/($E$3-$C$3)*(E4-C4)+C4</f>
        <v>92.6171875</v>
      </c>
      <c r="G4" s="1">
        <f>F4+($G$3-1)/360*B4</f>
        <v>92.714409722222229</v>
      </c>
      <c r="I4" s="3"/>
      <c r="J4" s="3"/>
    </row>
    <row r="5" spans="1:10">
      <c r="A5" s="5" t="s">
        <v>0</v>
      </c>
      <c r="B5" s="5">
        <v>3</v>
      </c>
      <c r="C5" s="5">
        <f>98+3.5/32</f>
        <v>98.109375</v>
      </c>
      <c r="D5" s="7">
        <v>8</v>
      </c>
      <c r="E5" s="3">
        <f>C5-D5/32</f>
        <v>97.859375</v>
      </c>
      <c r="F5" s="3">
        <f>($F$3-$C$3)/($E$3-$C$3)*(E5-C5)+C5</f>
        <v>98.134375000000006</v>
      </c>
      <c r="G5" s="1">
        <f t="shared" ref="G5:G6" si="0">F5+($G$3-1)/360*B5</f>
        <v>98.251041666666666</v>
      </c>
      <c r="I5" s="3"/>
      <c r="J5" s="3"/>
    </row>
    <row r="6" spans="1:10">
      <c r="A6" s="5" t="s">
        <v>1</v>
      </c>
      <c r="B6" s="5">
        <v>3.5</v>
      </c>
      <c r="C6" s="5">
        <f>101+25/32</f>
        <v>101.78125</v>
      </c>
      <c r="D6" s="7">
        <v>9</v>
      </c>
      <c r="E6" s="3">
        <f>C6-D6/32</f>
        <v>101.5</v>
      </c>
      <c r="F6" s="3">
        <f>($F$3-$C$3)/($E$3-$C$3)*(E6-C6)+C6</f>
        <v>101.809375</v>
      </c>
      <c r="G6" s="1">
        <f t="shared" si="0"/>
        <v>101.94548611111111</v>
      </c>
      <c r="I6" s="3"/>
      <c r="J6" s="3"/>
    </row>
    <row r="7" spans="1:10">
      <c r="E7" s="3"/>
      <c r="F7" s="3"/>
      <c r="G7" s="1"/>
      <c r="I7" s="3"/>
      <c r="J7" s="3"/>
    </row>
    <row r="8" spans="1:10">
      <c r="A8" s="5" t="s">
        <v>5</v>
      </c>
      <c r="C8" s="5" t="s">
        <v>2</v>
      </c>
    </row>
    <row r="9" spans="1:10">
      <c r="A9" s="5" t="s">
        <v>6</v>
      </c>
      <c r="C9" s="5" t="s">
        <v>2</v>
      </c>
    </row>
    <row r="10" spans="1:10" s="6" customFormat="1">
      <c r="A10" s="6" t="s">
        <v>8</v>
      </c>
      <c r="B10" s="6">
        <f>(100-G5)/(G6-G5)*($B6-$B5)+$B5</f>
        <v>3.2367011278195492</v>
      </c>
      <c r="C10" s="6">
        <f>200*((1+B10/1200)^6-1)</f>
        <v>3.2586052664293597</v>
      </c>
      <c r="E10" s="6" t="s">
        <v>2</v>
      </c>
    </row>
    <row r="11" spans="1:10" s="6" customFormat="1"/>
    <row r="13" spans="1:10">
      <c r="B13" s="5" t="s">
        <v>2</v>
      </c>
    </row>
    <row r="14" spans="1:10">
      <c r="C14" s="5" t="s">
        <v>2</v>
      </c>
      <c r="D14" s="7" t="s">
        <v>2</v>
      </c>
      <c r="E14" s="5" t="s">
        <v>2</v>
      </c>
    </row>
    <row r="15" spans="1:10">
      <c r="C15" s="5" t="s">
        <v>2</v>
      </c>
    </row>
    <row r="16" spans="1:10">
      <c r="C16" s="5" t="s">
        <v>2</v>
      </c>
    </row>
    <row r="18" spans="2:2">
      <c r="B18" s="5" t="s">
        <v>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FNCL</vt:lpstr>
      <vt:lpstr>GNSF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Chunnip</dc:creator>
  <cp:lastModifiedBy>Lien Chen</cp:lastModifiedBy>
  <dcterms:created xsi:type="dcterms:W3CDTF">2012-04-25T16:11:38Z</dcterms:created>
  <dcterms:modified xsi:type="dcterms:W3CDTF">2015-05-14T14:36:43Z</dcterms:modified>
</cp:coreProperties>
</file>