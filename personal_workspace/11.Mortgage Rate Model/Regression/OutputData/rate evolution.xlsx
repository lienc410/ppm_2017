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3955" windowHeight="17175" activeTab="1"/>
  </bookViews>
  <sheets>
    <sheet name="Result" sheetId="2" r:id="rId1"/>
    <sheet name="Weekly Calculation" sheetId="1" r:id="rId2"/>
  </sheets>
  <calcPr calcId="145621"/>
</workbook>
</file>

<file path=xl/calcChain.xml><?xml version="1.0" encoding="utf-8"?>
<calcChain xmlns="http://schemas.openxmlformats.org/spreadsheetml/2006/main">
  <c r="F39" i="1" l="1"/>
  <c r="E39" i="1"/>
  <c r="F38" i="1"/>
  <c r="G38" i="1" s="1"/>
  <c r="E38" i="1"/>
  <c r="F37" i="1"/>
  <c r="E37" i="1"/>
  <c r="F36" i="1"/>
  <c r="G36" i="1" s="1"/>
  <c r="E36" i="1"/>
  <c r="F35" i="1"/>
  <c r="E35" i="1"/>
  <c r="F34" i="1"/>
  <c r="G34" i="1" s="1"/>
  <c r="E34" i="1"/>
  <c r="F33" i="1"/>
  <c r="E33" i="1"/>
  <c r="F32" i="1"/>
  <c r="G32" i="1" s="1"/>
  <c r="E32" i="1"/>
  <c r="F31" i="1"/>
  <c r="E31" i="1"/>
  <c r="F30" i="1"/>
  <c r="G30" i="1" s="1"/>
  <c r="E30" i="1"/>
  <c r="F29" i="1"/>
  <c r="E29" i="1"/>
  <c r="F28" i="1"/>
  <c r="G28" i="1" s="1"/>
  <c r="E28" i="1"/>
  <c r="F27" i="1"/>
  <c r="E27" i="1"/>
  <c r="F26" i="1"/>
  <c r="G26" i="1" s="1"/>
  <c r="E26" i="1"/>
  <c r="F25" i="1"/>
  <c r="G25" i="1" s="1"/>
  <c r="E25" i="1"/>
  <c r="F24" i="1"/>
  <c r="E24" i="1"/>
  <c r="F23" i="1"/>
  <c r="G23" i="1" s="1"/>
  <c r="E23" i="1"/>
  <c r="F22" i="1"/>
  <c r="E22" i="1"/>
  <c r="F21" i="1"/>
  <c r="G21" i="1" s="1"/>
  <c r="E21" i="1"/>
  <c r="F20" i="1"/>
  <c r="E20" i="1"/>
  <c r="F19" i="1"/>
  <c r="G19" i="1" s="1"/>
  <c r="E19" i="1"/>
  <c r="F18" i="1"/>
  <c r="E18" i="1"/>
  <c r="F17" i="1"/>
  <c r="G17" i="1" s="1"/>
  <c r="E17" i="1"/>
  <c r="F16" i="1"/>
  <c r="G16" i="1" s="1"/>
  <c r="E16" i="1"/>
  <c r="F15" i="1"/>
  <c r="E15" i="1"/>
  <c r="F14" i="1"/>
  <c r="G14" i="1" s="1"/>
  <c r="E14" i="1"/>
  <c r="F13" i="1"/>
  <c r="E13" i="1"/>
  <c r="F12" i="1"/>
  <c r="G12" i="1" s="1"/>
  <c r="E12" i="1"/>
  <c r="F11" i="1"/>
  <c r="E11" i="1"/>
  <c r="F10" i="1"/>
  <c r="G10" i="1" s="1"/>
  <c r="E10" i="1"/>
  <c r="F9" i="1"/>
  <c r="E9" i="1"/>
  <c r="F8" i="1"/>
  <c r="G8" i="1" s="1"/>
  <c r="E8" i="1"/>
  <c r="F7" i="1"/>
  <c r="E7" i="1"/>
  <c r="F6" i="1"/>
  <c r="E6" i="1"/>
  <c r="F5" i="1"/>
  <c r="E5" i="1"/>
  <c r="F4" i="1"/>
  <c r="E4" i="1"/>
  <c r="F3" i="1"/>
  <c r="E3" i="1"/>
  <c r="F2" i="1"/>
  <c r="H2" i="1" s="1"/>
  <c r="E2" i="1"/>
  <c r="H3" i="1" l="1"/>
  <c r="H4" i="1" s="1"/>
  <c r="G3" i="1"/>
  <c r="G5" i="1"/>
  <c r="G7" i="1"/>
  <c r="G9" i="1"/>
  <c r="G11" i="1"/>
  <c r="G13" i="1"/>
  <c r="G15" i="1"/>
  <c r="G18" i="1"/>
  <c r="G20" i="1"/>
  <c r="G22" i="1"/>
  <c r="G24" i="1"/>
  <c r="G27" i="1"/>
  <c r="G29" i="1"/>
  <c r="G31" i="1"/>
  <c r="G33" i="1"/>
  <c r="G35" i="1"/>
  <c r="G37" i="1"/>
  <c r="G39" i="1"/>
  <c r="G2" i="1"/>
  <c r="J2" i="1" s="1"/>
  <c r="G4" i="1"/>
  <c r="G6" i="1"/>
  <c r="K3" i="1" l="1"/>
  <c r="L4" i="1" s="1"/>
  <c r="H5" i="1"/>
  <c r="H6" i="1" s="1"/>
  <c r="H7" i="1" s="1"/>
  <c r="H8" i="1" s="1"/>
  <c r="K2" i="1"/>
  <c r="L3" i="1" s="1"/>
  <c r="J3" i="1"/>
  <c r="J4" i="1" s="1"/>
  <c r="I2" i="1"/>
  <c r="I3" i="1" s="1"/>
  <c r="I4" i="1" s="1"/>
  <c r="I5" i="1"/>
  <c r="I6" i="1" s="1"/>
  <c r="I7" i="1" s="1"/>
  <c r="J5" i="1" l="1"/>
  <c r="J6" i="1" s="1"/>
  <c r="J7" i="1" s="1"/>
  <c r="J8" i="1" s="1"/>
  <c r="K5" i="1"/>
  <c r="L6" i="1" s="1"/>
  <c r="K6" i="1"/>
  <c r="L7" i="1" s="1"/>
  <c r="I8" i="1"/>
  <c r="H9" i="1"/>
  <c r="K7" i="1"/>
  <c r="L8" i="1" s="1"/>
  <c r="K4" i="1"/>
  <c r="L5" i="1" s="1"/>
  <c r="J9" i="1" l="1"/>
  <c r="I9" i="1"/>
  <c r="H10" i="1"/>
  <c r="K8" i="1"/>
  <c r="L9" i="1" s="1"/>
  <c r="J10" i="1" l="1"/>
  <c r="I10" i="1"/>
  <c r="H11" i="1"/>
  <c r="K9" i="1"/>
  <c r="L10" i="1" s="1"/>
  <c r="J11" i="1" l="1"/>
  <c r="I11" i="1"/>
  <c r="H12" i="1"/>
  <c r="K10" i="1"/>
  <c r="L11" i="1" s="1"/>
  <c r="J12" i="1" l="1"/>
  <c r="I12" i="1"/>
  <c r="H13" i="1"/>
  <c r="K11" i="1"/>
  <c r="L12" i="1" s="1"/>
  <c r="J13" i="1" l="1"/>
  <c r="I13" i="1"/>
  <c r="H14" i="1"/>
  <c r="K12" i="1"/>
  <c r="L13" i="1" s="1"/>
  <c r="J14" i="1" l="1"/>
  <c r="I14" i="1"/>
  <c r="H15" i="1"/>
  <c r="K13" i="1"/>
  <c r="L14" i="1" s="1"/>
  <c r="K14" i="1" l="1"/>
  <c r="L15" i="1" s="1"/>
  <c r="J15" i="1"/>
  <c r="K15" i="1"/>
  <c r="L16" i="1" s="1"/>
  <c r="I15" i="1"/>
  <c r="H16" i="1"/>
  <c r="K16" i="1" l="1"/>
  <c r="L17" i="1" s="1"/>
  <c r="J16" i="1"/>
  <c r="I16" i="1"/>
  <c r="H17" i="1"/>
  <c r="J17" i="1" l="1"/>
  <c r="K17" i="1"/>
  <c r="L18" i="1" s="1"/>
  <c r="I17" i="1"/>
  <c r="H18" i="1"/>
  <c r="K18" i="1" l="1"/>
  <c r="L19" i="1" s="1"/>
  <c r="J18" i="1"/>
  <c r="I18" i="1"/>
  <c r="H19" i="1"/>
  <c r="J19" i="1" l="1"/>
  <c r="I19" i="1"/>
  <c r="H20" i="1"/>
  <c r="K19" i="1" l="1"/>
  <c r="L20" i="1" s="1"/>
  <c r="K20" i="1"/>
  <c r="L21" i="1" s="1"/>
  <c r="J20" i="1"/>
  <c r="I20" i="1"/>
  <c r="H21" i="1"/>
  <c r="J21" i="1" l="1"/>
  <c r="K21" i="1"/>
  <c r="L22" i="1" s="1"/>
  <c r="I21" i="1"/>
  <c r="H22" i="1"/>
  <c r="J22" i="1" l="1"/>
  <c r="I22" i="1"/>
  <c r="H23" i="1"/>
  <c r="K22" i="1" s="1"/>
  <c r="L23" i="1" s="1"/>
  <c r="J23" i="1" l="1"/>
  <c r="I23" i="1"/>
  <c r="H24" i="1"/>
  <c r="K23" i="1" l="1"/>
  <c r="L24" i="1" s="1"/>
  <c r="K24" i="1"/>
  <c r="L25" i="1" s="1"/>
  <c r="J24" i="1"/>
  <c r="I24" i="1"/>
  <c r="H25" i="1"/>
  <c r="J25" i="1" l="1"/>
  <c r="I25" i="1"/>
  <c r="H26" i="1"/>
  <c r="J26" i="1" l="1"/>
  <c r="I26" i="1"/>
  <c r="H27" i="1"/>
  <c r="K25" i="1"/>
  <c r="L26" i="1" s="1"/>
  <c r="J27" i="1" l="1"/>
  <c r="I27" i="1"/>
  <c r="H28" i="1"/>
  <c r="K26" i="1"/>
  <c r="L27" i="1" s="1"/>
  <c r="J28" i="1" l="1"/>
  <c r="I28" i="1"/>
  <c r="H29" i="1"/>
  <c r="K27" i="1"/>
  <c r="L28" i="1" s="1"/>
  <c r="J29" i="1" l="1"/>
  <c r="I29" i="1"/>
  <c r="H30" i="1"/>
  <c r="K28" i="1"/>
  <c r="L29" i="1" s="1"/>
  <c r="J30" i="1" l="1"/>
  <c r="I30" i="1"/>
  <c r="H31" i="1"/>
  <c r="K29" i="1"/>
  <c r="L30" i="1" s="1"/>
  <c r="J31" i="1" l="1"/>
  <c r="I31" i="1"/>
  <c r="H32" i="1"/>
  <c r="K30" i="1"/>
  <c r="L31" i="1" s="1"/>
  <c r="J32" i="1" l="1"/>
  <c r="I32" i="1"/>
  <c r="H33" i="1"/>
  <c r="K32" i="1" s="1"/>
  <c r="L33" i="1" s="1"/>
  <c r="K31" i="1"/>
  <c r="L32" i="1" s="1"/>
  <c r="J33" i="1" l="1"/>
  <c r="I33" i="1"/>
  <c r="H34" i="1"/>
  <c r="J34" i="1" l="1"/>
  <c r="I34" i="1"/>
  <c r="H35" i="1"/>
  <c r="K33" i="1"/>
  <c r="L34" i="1" s="1"/>
  <c r="J35" i="1" l="1"/>
  <c r="I35" i="1"/>
  <c r="H36" i="1"/>
  <c r="K34" i="1"/>
  <c r="L35" i="1" s="1"/>
  <c r="J36" i="1" l="1"/>
  <c r="I36" i="1"/>
  <c r="H37" i="1"/>
  <c r="K35" i="1"/>
  <c r="L36" i="1" s="1"/>
  <c r="J37" i="1" l="1"/>
  <c r="I37" i="1"/>
  <c r="H38" i="1"/>
  <c r="K36" i="1"/>
  <c r="L37" i="1" s="1"/>
  <c r="K37" i="1" l="1"/>
  <c r="L38" i="1" s="1"/>
  <c r="J38" i="1"/>
  <c r="I38" i="1"/>
  <c r="H39" i="1"/>
  <c r="J39" i="1" l="1"/>
  <c r="I39" i="1"/>
  <c r="K38" i="1"/>
  <c r="L39" i="1" s="1"/>
</calcChain>
</file>

<file path=xl/sharedStrings.xml><?xml version="1.0" encoding="utf-8"?>
<sst xmlns="http://schemas.openxmlformats.org/spreadsheetml/2006/main" count="25" uniqueCount="22">
  <si>
    <t>MONDAY</t>
  </si>
  <si>
    <t>TUESDAY</t>
  </si>
  <si>
    <t>WEDNESDAY</t>
  </si>
  <si>
    <t>THURSDAY</t>
  </si>
  <si>
    <t>FRIDAY</t>
  </si>
  <si>
    <t>SATURDAY</t>
  </si>
  <si>
    <t>SUNDAY</t>
  </si>
  <si>
    <t>asOfDate</t>
  </si>
  <si>
    <t>RealCoupon</t>
  </si>
  <si>
    <t>ModelCoupon</t>
  </si>
  <si>
    <t>RealMortgageRate</t>
  </si>
  <si>
    <t>Weekday</t>
  </si>
  <si>
    <t>Weight</t>
  </si>
  <si>
    <t>Counter</t>
  </si>
  <si>
    <t>accumulated Weighted CC</t>
  </si>
  <si>
    <t>accumulated Weight</t>
  </si>
  <si>
    <t>Weekly WA CC</t>
  </si>
  <si>
    <t>Weekly Servicing Spread</t>
  </si>
  <si>
    <t>MortgageRate</t>
  </si>
  <si>
    <t>DailyServiceSpread</t>
  </si>
  <si>
    <t>Coupon</t>
  </si>
  <si>
    <t xml:space="preserve">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</si>
</sst>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activeCell="H27" sqref="H27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3.5703125" bestFit="1" customWidth="1"/>
    <col min="4" max="4" width="18.28515625" bestFit="1" customWidth="1"/>
  </cols>
  <sheetData>
    <row r="1" spans="1:5" x14ac:dyDescent="0.25">
      <c r="A1" t="s">
        <v>7</v>
      </c>
      <c r="B1" t="s">
        <v>20</v>
      </c>
      <c r="C1" t="s">
        <v>18</v>
      </c>
      <c r="D1" t="s">
        <v>19</v>
      </c>
      <c r="E1" t="s">
        <v>17</v>
      </c>
    </row>
    <row r="2" spans="1:5" x14ac:dyDescent="0.25">
      <c r="A2" s="1">
        <v>41974</v>
      </c>
      <c r="B2" s="2">
        <v>2.8622800000000002</v>
      </c>
      <c r="C2" s="2">
        <v>3.7650000000000001</v>
      </c>
      <c r="D2" s="2">
        <v>0.90271999999999997</v>
      </c>
      <c r="E2" s="2">
        <v>0</v>
      </c>
    </row>
    <row r="3" spans="1:5" x14ac:dyDescent="0.25">
      <c r="A3" s="1">
        <v>41975</v>
      </c>
      <c r="B3" s="2">
        <v>2.9250400000000001</v>
      </c>
      <c r="C3" s="2">
        <v>3.7650000000000001</v>
      </c>
      <c r="D3" s="2">
        <v>0.83996000000000004</v>
      </c>
      <c r="E3" s="2">
        <v>0</v>
      </c>
    </row>
    <row r="4" spans="1:5" x14ac:dyDescent="0.25">
      <c r="A4" s="1">
        <v>41976</v>
      </c>
      <c r="B4" s="2">
        <v>2.9323199999999998</v>
      </c>
      <c r="C4" s="2">
        <v>3.7650000000000001</v>
      </c>
      <c r="D4" s="2">
        <v>0.83268000000000031</v>
      </c>
      <c r="E4" s="2">
        <v>0</v>
      </c>
    </row>
    <row r="5" spans="1:5" x14ac:dyDescent="0.25">
      <c r="A5" s="1">
        <v>41977</v>
      </c>
      <c r="B5" s="2">
        <v>2.9025099999999999</v>
      </c>
      <c r="C5" s="2">
        <v>3.8050000000000002</v>
      </c>
      <c r="D5" s="2">
        <v>0.90249000000000024</v>
      </c>
      <c r="E5" s="2">
        <v>0.88127800000000045</v>
      </c>
    </row>
    <row r="6" spans="1:5" x14ac:dyDescent="0.25">
      <c r="A6" s="1">
        <v>41978</v>
      </c>
      <c r="B6" s="2">
        <v>2.9546299999999999</v>
      </c>
      <c r="C6" s="2">
        <v>3.8050000000000002</v>
      </c>
      <c r="D6" s="2">
        <v>0.85037000000000029</v>
      </c>
      <c r="E6" s="2">
        <v>0</v>
      </c>
    </row>
    <row r="7" spans="1:5" x14ac:dyDescent="0.25">
      <c r="A7" s="1">
        <v>41981</v>
      </c>
      <c r="B7" s="2">
        <v>2.90876</v>
      </c>
      <c r="C7" s="2">
        <v>3.8050000000000002</v>
      </c>
      <c r="D7" s="2">
        <v>0.89624000000000015</v>
      </c>
      <c r="E7" s="2">
        <v>0</v>
      </c>
    </row>
    <row r="8" spans="1:5" x14ac:dyDescent="0.25">
      <c r="A8" s="1">
        <v>41982</v>
      </c>
      <c r="B8" s="2">
        <v>2.8860199999999998</v>
      </c>
      <c r="C8" s="2">
        <v>3.8050000000000002</v>
      </c>
      <c r="D8" s="2">
        <v>0.91898000000000035</v>
      </c>
      <c r="E8" s="2">
        <v>0</v>
      </c>
    </row>
    <row r="9" spans="1:5" x14ac:dyDescent="0.25">
      <c r="A9" s="1">
        <v>41983</v>
      </c>
      <c r="B9" s="2">
        <v>2.8515100000000002</v>
      </c>
      <c r="C9" s="2">
        <v>3.8050000000000002</v>
      </c>
      <c r="D9" s="2">
        <v>0.95348999999999995</v>
      </c>
      <c r="E9" s="2">
        <v>0</v>
      </c>
    </row>
    <row r="10" spans="1:5" x14ac:dyDescent="0.25">
      <c r="A10" s="1">
        <v>41984</v>
      </c>
      <c r="B10" s="2">
        <v>2.8634300000000001</v>
      </c>
      <c r="C10" s="2">
        <v>3.7</v>
      </c>
      <c r="D10" s="2">
        <v>0.83657000000000004</v>
      </c>
      <c r="E10" s="2">
        <v>0.82147050000000021</v>
      </c>
    </row>
    <row r="11" spans="1:5" x14ac:dyDescent="0.25">
      <c r="A11" s="1">
        <v>41985</v>
      </c>
      <c r="B11" s="2">
        <v>2.8005800000000001</v>
      </c>
      <c r="C11" s="2">
        <v>3.7</v>
      </c>
      <c r="D11" s="2">
        <v>0.89942000000000011</v>
      </c>
      <c r="E11" s="2">
        <v>0</v>
      </c>
    </row>
    <row r="12" spans="1:5" x14ac:dyDescent="0.25">
      <c r="A12" s="1">
        <v>41988</v>
      </c>
      <c r="B12" s="2">
        <v>2.82917</v>
      </c>
      <c r="C12" s="2">
        <v>3.7</v>
      </c>
      <c r="D12" s="2">
        <v>0.87083000000000022</v>
      </c>
      <c r="E12" s="2">
        <v>0</v>
      </c>
    </row>
    <row r="13" spans="1:5" x14ac:dyDescent="0.25">
      <c r="A13" s="1">
        <v>41989</v>
      </c>
      <c r="B13" s="2">
        <v>2.7872499999999998</v>
      </c>
      <c r="C13" s="2">
        <v>3.7</v>
      </c>
      <c r="D13" s="2">
        <v>0.91275000000000039</v>
      </c>
      <c r="E13" s="2">
        <v>0</v>
      </c>
    </row>
    <row r="14" spans="1:5" x14ac:dyDescent="0.25">
      <c r="A14" s="1">
        <v>41990</v>
      </c>
      <c r="B14" s="2">
        <v>2.8371499999999998</v>
      </c>
      <c r="C14" s="2">
        <v>3.7</v>
      </c>
      <c r="D14" s="2">
        <v>0.86285000000000034</v>
      </c>
      <c r="E14" s="2">
        <v>0</v>
      </c>
    </row>
    <row r="15" spans="1:5" x14ac:dyDescent="0.25">
      <c r="A15" s="1">
        <v>41991</v>
      </c>
      <c r="B15" s="2">
        <v>2.8582299999999998</v>
      </c>
      <c r="C15" s="2">
        <v>3.73</v>
      </c>
      <c r="D15" s="2">
        <v>0.87177000000000016</v>
      </c>
      <c r="E15" s="2">
        <v>0.92817900000000053</v>
      </c>
    </row>
    <row r="16" spans="1:5" x14ac:dyDescent="0.25">
      <c r="A16" s="1">
        <v>41992</v>
      </c>
      <c r="B16" s="2">
        <v>2.8337400000000001</v>
      </c>
      <c r="C16" s="2">
        <v>3.73</v>
      </c>
      <c r="D16" s="2">
        <v>0.89625999999999983</v>
      </c>
      <c r="E16" s="2">
        <v>0</v>
      </c>
    </row>
    <row r="17" spans="1:8" x14ac:dyDescent="0.25">
      <c r="A17" s="1">
        <v>41995</v>
      </c>
      <c r="B17" s="2">
        <v>2.8256399999999999</v>
      </c>
      <c r="C17" s="2">
        <v>3.73</v>
      </c>
      <c r="D17" s="2">
        <v>0.90436000000000005</v>
      </c>
      <c r="E17" s="2">
        <v>0</v>
      </c>
    </row>
    <row r="18" spans="1:8" x14ac:dyDescent="0.25">
      <c r="A18" s="1">
        <v>41996</v>
      </c>
      <c r="B18" s="2">
        <v>2.91032</v>
      </c>
      <c r="C18" s="2">
        <v>3.73</v>
      </c>
      <c r="D18" s="2">
        <v>0.81967999999999996</v>
      </c>
      <c r="E18" s="2">
        <v>0</v>
      </c>
    </row>
    <row r="19" spans="1:8" x14ac:dyDescent="0.25">
      <c r="A19" s="1">
        <v>41997</v>
      </c>
      <c r="B19" s="2">
        <v>2.9097499999999998</v>
      </c>
      <c r="C19" s="2">
        <v>3.77</v>
      </c>
      <c r="D19" s="2">
        <v>0.86025000000000018</v>
      </c>
      <c r="E19" s="2">
        <v>0</v>
      </c>
    </row>
    <row r="20" spans="1:8" x14ac:dyDescent="0.25">
      <c r="A20" s="1">
        <v>41999</v>
      </c>
      <c r="B20" s="2">
        <v>2.8912399999999998</v>
      </c>
      <c r="C20" s="2">
        <v>3.77</v>
      </c>
      <c r="D20" s="2">
        <v>0.87876000000000021</v>
      </c>
      <c r="E20" s="2">
        <v>0.86405650000000067</v>
      </c>
    </row>
    <row r="21" spans="1:8" x14ac:dyDescent="0.25">
      <c r="A21" s="1">
        <v>42002</v>
      </c>
      <c r="B21" s="2">
        <v>2.8609800000000001</v>
      </c>
      <c r="C21" s="2">
        <v>3.77</v>
      </c>
      <c r="D21" s="2">
        <v>0.90901999999999994</v>
      </c>
      <c r="E21" s="2">
        <v>0</v>
      </c>
    </row>
    <row r="22" spans="1:8" x14ac:dyDescent="0.25">
      <c r="A22" s="1">
        <v>42003</v>
      </c>
      <c r="B22" s="2">
        <v>2.8519999999999999</v>
      </c>
      <c r="C22" s="2">
        <v>3.77</v>
      </c>
      <c r="D22" s="2">
        <v>0.91800000000000015</v>
      </c>
      <c r="E22" s="2">
        <v>0</v>
      </c>
    </row>
    <row r="23" spans="1:8" x14ac:dyDescent="0.25">
      <c r="A23" s="1">
        <v>42004</v>
      </c>
      <c r="B23" s="2">
        <v>2.8338700000000001</v>
      </c>
      <c r="C23" s="2">
        <v>3.77</v>
      </c>
      <c r="D23" s="2">
        <v>0.93612999999999991</v>
      </c>
      <c r="E23" s="2">
        <v>0</v>
      </c>
    </row>
    <row r="24" spans="1:8" x14ac:dyDescent="0.25">
      <c r="A24" s="1">
        <v>42006</v>
      </c>
      <c r="B24" s="2">
        <v>2.78545</v>
      </c>
      <c r="C24" s="2">
        <v>3.77</v>
      </c>
      <c r="D24" s="2">
        <v>0.98455000000000004</v>
      </c>
      <c r="E24" s="2">
        <v>0.92208349999999983</v>
      </c>
    </row>
    <row r="25" spans="1:8" x14ac:dyDescent="0.25">
      <c r="A25" s="1">
        <v>42009</v>
      </c>
      <c r="B25" s="2">
        <v>2.6962700000000002</v>
      </c>
      <c r="C25" s="2">
        <v>3.77</v>
      </c>
      <c r="D25" s="2">
        <v>1.0737299999999999</v>
      </c>
      <c r="E25" s="2">
        <v>0</v>
      </c>
    </row>
    <row r="26" spans="1:8" x14ac:dyDescent="0.25">
      <c r="A26" s="1">
        <v>42010</v>
      </c>
      <c r="B26" s="2">
        <v>2.6163599999999998</v>
      </c>
      <c r="C26" s="2">
        <v>3.77</v>
      </c>
      <c r="D26" s="2">
        <v>1.1536400000000002</v>
      </c>
      <c r="E26" s="2">
        <v>0</v>
      </c>
    </row>
    <row r="27" spans="1:8" x14ac:dyDescent="0.25">
      <c r="A27" s="1">
        <v>42013</v>
      </c>
      <c r="B27" s="2">
        <v>2.64629</v>
      </c>
      <c r="C27" s="2">
        <v>3.56</v>
      </c>
      <c r="D27" s="2">
        <v>0.91371000000000002</v>
      </c>
      <c r="E27" s="2">
        <v>0.93831266666666746</v>
      </c>
      <c r="H27" t="s">
        <v>21</v>
      </c>
    </row>
    <row r="28" spans="1:8" x14ac:dyDescent="0.25">
      <c r="A28" s="1">
        <v>42016</v>
      </c>
      <c r="B28" s="2">
        <v>2.59362</v>
      </c>
      <c r="C28" s="2">
        <v>3.56</v>
      </c>
      <c r="D28" s="2">
        <v>0.96638000000000002</v>
      </c>
      <c r="E28" s="2">
        <v>0</v>
      </c>
    </row>
    <row r="29" spans="1:8" x14ac:dyDescent="0.25">
      <c r="A29" s="1">
        <v>42017</v>
      </c>
      <c r="B29" s="2">
        <v>2.5795400000000002</v>
      </c>
      <c r="C29" s="2">
        <v>3.56</v>
      </c>
      <c r="D29" s="2">
        <v>0.98045999999999989</v>
      </c>
      <c r="E29" s="2">
        <v>0</v>
      </c>
    </row>
    <row r="30" spans="1:8" x14ac:dyDescent="0.25">
      <c r="A30" s="1">
        <v>42018</v>
      </c>
      <c r="B30" s="2">
        <v>2.4910700000000001</v>
      </c>
      <c r="C30" s="2">
        <v>3.56</v>
      </c>
      <c r="D30" s="2">
        <v>1.0689299999999999</v>
      </c>
      <c r="E30" s="2">
        <v>0</v>
      </c>
    </row>
    <row r="31" spans="1:8" x14ac:dyDescent="0.25">
      <c r="A31" s="1">
        <v>42019</v>
      </c>
      <c r="B31" s="2">
        <v>2.45533</v>
      </c>
      <c r="C31" s="2">
        <v>3.5550000000000002</v>
      </c>
      <c r="D31" s="2">
        <v>1.0996700000000001</v>
      </c>
      <c r="E31" s="2">
        <v>0.99687350000000041</v>
      </c>
    </row>
    <row r="32" spans="1:8" x14ac:dyDescent="0.25">
      <c r="A32" s="1">
        <v>42020</v>
      </c>
      <c r="B32" s="2">
        <v>2.54548</v>
      </c>
      <c r="C32" s="2">
        <v>3.5550000000000002</v>
      </c>
      <c r="D32" s="2">
        <v>1.0095200000000002</v>
      </c>
      <c r="E32" s="2">
        <v>0</v>
      </c>
    </row>
    <row r="33" spans="1:5" x14ac:dyDescent="0.25">
      <c r="A33" s="1">
        <v>42024</v>
      </c>
      <c r="B33" s="2">
        <v>2.5573700000000001</v>
      </c>
      <c r="C33" s="2">
        <v>3.5550000000000002</v>
      </c>
      <c r="D33" s="2">
        <v>0.99763000000000002</v>
      </c>
      <c r="E33" s="2">
        <v>0</v>
      </c>
    </row>
    <row r="34" spans="1:5" x14ac:dyDescent="0.25">
      <c r="A34" s="1">
        <v>42025</v>
      </c>
      <c r="B34" s="2">
        <v>2.6084900000000002</v>
      </c>
      <c r="C34" s="2">
        <v>3.5550000000000002</v>
      </c>
      <c r="D34" s="2">
        <v>0.94650999999999996</v>
      </c>
      <c r="E34" s="2">
        <v>0</v>
      </c>
    </row>
    <row r="35" spans="1:5" x14ac:dyDescent="0.25">
      <c r="A35" s="1">
        <v>42026</v>
      </c>
      <c r="B35" s="2">
        <v>2.6170200000000001</v>
      </c>
      <c r="C35" s="2">
        <v>3.56</v>
      </c>
      <c r="D35" s="2">
        <v>0.94297999999999993</v>
      </c>
      <c r="E35" s="2">
        <v>0.98917736842105253</v>
      </c>
    </row>
    <row r="36" spans="1:5" x14ac:dyDescent="0.25">
      <c r="A36" s="1">
        <v>42031</v>
      </c>
      <c r="B36" s="2">
        <v>2.5856699999999999</v>
      </c>
      <c r="C36" s="2">
        <v>3.56</v>
      </c>
      <c r="D36" s="2">
        <v>0.97433000000000014</v>
      </c>
      <c r="E36" s="2">
        <v>0</v>
      </c>
    </row>
    <row r="37" spans="1:5" x14ac:dyDescent="0.25">
      <c r="A37" s="1">
        <v>42032</v>
      </c>
      <c r="B37" s="2">
        <v>2.50759</v>
      </c>
      <c r="C37" s="2">
        <v>3.56</v>
      </c>
      <c r="D37" s="2">
        <v>1.0524100000000001</v>
      </c>
      <c r="E37" s="2">
        <v>0</v>
      </c>
    </row>
    <row r="38" spans="1:5" x14ac:dyDescent="0.25">
      <c r="A38" s="1">
        <v>42033</v>
      </c>
      <c r="B38" s="2">
        <v>2.51336</v>
      </c>
      <c r="C38" s="2">
        <v>3.5150000000000001</v>
      </c>
      <c r="D38" s="2">
        <v>1.0016400000000001</v>
      </c>
      <c r="E38" s="2">
        <v>0.94987736842105264</v>
      </c>
    </row>
    <row r="39" spans="1:5" x14ac:dyDescent="0.25">
      <c r="A39" s="1">
        <v>42034</v>
      </c>
      <c r="B39" s="2">
        <v>2.4526699999999999</v>
      </c>
      <c r="C39" s="2">
        <v>3.5150000000000001</v>
      </c>
      <c r="D39" s="2">
        <v>1.0623300000000002</v>
      </c>
      <c r="E39" s="2">
        <v>0</v>
      </c>
    </row>
  </sheetData>
  <conditionalFormatting sqref="E1:E1048576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H2" sqref="H2"/>
    </sheetView>
  </sheetViews>
  <sheetFormatPr defaultRowHeight="15" x14ac:dyDescent="0.25"/>
  <cols>
    <col min="1" max="1" width="10.7109375" bestFit="1" customWidth="1"/>
    <col min="3" max="3" width="0" hidden="1" customWidth="1"/>
    <col min="14" max="14" width="12.140625" bestFit="1" customWidth="1"/>
  </cols>
  <sheetData>
    <row r="1" spans="1:16" x14ac:dyDescent="0.25">
      <c r="A1" t="s">
        <v>7</v>
      </c>
      <c r="B1" t="s">
        <v>8</v>
      </c>
      <c r="C1" t="s">
        <v>9</v>
      </c>
      <c r="D1" t="s">
        <v>10</v>
      </c>
      <c r="E1" t="s">
        <v>19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6" x14ac:dyDescent="0.25">
      <c r="A2" s="1">
        <v>41974</v>
      </c>
      <c r="B2" s="2">
        <v>2.8622800000000002</v>
      </c>
      <c r="C2" s="2">
        <v>2.985594163</v>
      </c>
      <c r="D2" s="2">
        <v>3.7650000000000001</v>
      </c>
      <c r="E2" s="2">
        <f t="shared" ref="E2:E39" si="0">D2-B2</f>
        <v>0.90271999999999997</v>
      </c>
      <c r="F2" s="3">
        <f t="shared" ref="F2:F39" si="1">WEEKDAY(A2,14)</f>
        <v>5</v>
      </c>
      <c r="G2" s="2">
        <f t="shared" ref="G2:G39" si="2">VLOOKUP(F2,O$2:P$8,2,FALSE)</f>
        <v>0.05</v>
      </c>
      <c r="H2" s="3">
        <f t="shared" ref="H2:H39" si="3">IF(AND(F2&gt;F1,H1&lt;6),H1+1,1)</f>
        <v>1</v>
      </c>
      <c r="I2" s="2">
        <f t="shared" ref="I2:I39" si="4">IF(H2&gt;H1,I1+B2*G2,B2*G2)</f>
        <v>0.14311400000000002</v>
      </c>
      <c r="J2" s="2">
        <f t="shared" ref="J2:J39" si="5">IF(AND(H2&lt;6,H2&gt;H1),G2+J1,G2)</f>
        <v>0.05</v>
      </c>
      <c r="K2" s="2">
        <f t="shared" ref="K2:K39" si="6">IF(H2&gt;H3,I2/J2,0)</f>
        <v>0</v>
      </c>
      <c r="L2" s="2">
        <v>0</v>
      </c>
      <c r="N2" t="s">
        <v>0</v>
      </c>
      <c r="O2">
        <v>5</v>
      </c>
      <c r="P2">
        <v>0.05</v>
      </c>
    </row>
    <row r="3" spans="1:16" x14ac:dyDescent="0.25">
      <c r="A3" s="1">
        <v>41975</v>
      </c>
      <c r="B3" s="2">
        <v>2.9250400000000001</v>
      </c>
      <c r="C3" s="2">
        <v>3.041650185</v>
      </c>
      <c r="D3" s="2">
        <v>3.7650000000000001</v>
      </c>
      <c r="E3" s="2">
        <f t="shared" si="0"/>
        <v>0.83996000000000004</v>
      </c>
      <c r="F3" s="3">
        <f t="shared" si="1"/>
        <v>6</v>
      </c>
      <c r="G3" s="2">
        <f t="shared" si="2"/>
        <v>0.7</v>
      </c>
      <c r="H3" s="3">
        <f t="shared" si="3"/>
        <v>2</v>
      </c>
      <c r="I3" s="2">
        <f t="shared" si="4"/>
        <v>2.190642</v>
      </c>
      <c r="J3" s="2">
        <f t="shared" si="5"/>
        <v>0.75</v>
      </c>
      <c r="K3" s="2">
        <f t="shared" si="6"/>
        <v>0</v>
      </c>
      <c r="L3" s="2">
        <f t="shared" ref="L2:L4" si="7">IF(K2=0,0,D3-K2)</f>
        <v>0</v>
      </c>
      <c r="N3" t="s">
        <v>1</v>
      </c>
      <c r="O3">
        <v>6</v>
      </c>
      <c r="P3">
        <v>0.7</v>
      </c>
    </row>
    <row r="4" spans="1:16" x14ac:dyDescent="0.25">
      <c r="A4" s="1">
        <v>41976</v>
      </c>
      <c r="B4" s="2">
        <v>2.9323199999999998</v>
      </c>
      <c r="C4" s="2">
        <v>3.0425988390000001</v>
      </c>
      <c r="D4" s="2">
        <v>3.7650000000000001</v>
      </c>
      <c r="E4" s="2">
        <f t="shared" si="0"/>
        <v>0.83268000000000031</v>
      </c>
      <c r="F4" s="3">
        <f t="shared" si="1"/>
        <v>7</v>
      </c>
      <c r="G4" s="2">
        <f t="shared" si="2"/>
        <v>0.25</v>
      </c>
      <c r="H4" s="3">
        <f t="shared" si="3"/>
        <v>3</v>
      </c>
      <c r="I4" s="2">
        <f t="shared" si="4"/>
        <v>2.9237219999999997</v>
      </c>
      <c r="J4" s="2">
        <f t="shared" si="5"/>
        <v>1</v>
      </c>
      <c r="K4" s="2">
        <f t="shared" si="6"/>
        <v>2.9237219999999997</v>
      </c>
      <c r="L4" s="2">
        <f t="shared" si="7"/>
        <v>0</v>
      </c>
      <c r="N4" t="s">
        <v>2</v>
      </c>
      <c r="O4">
        <v>7</v>
      </c>
      <c r="P4">
        <v>0.25</v>
      </c>
    </row>
    <row r="5" spans="1:16" x14ac:dyDescent="0.25">
      <c r="A5" s="1">
        <v>41977</v>
      </c>
      <c r="B5" s="2">
        <v>2.9025099999999999</v>
      </c>
      <c r="C5" s="2">
        <v>3.0030394550000001</v>
      </c>
      <c r="D5" s="2">
        <v>3.8050000000000002</v>
      </c>
      <c r="E5" s="2">
        <f t="shared" si="0"/>
        <v>0.90249000000000024</v>
      </c>
      <c r="F5" s="3">
        <f t="shared" si="1"/>
        <v>1</v>
      </c>
      <c r="G5" s="2">
        <f t="shared" si="2"/>
        <v>0</v>
      </c>
      <c r="H5" s="3">
        <f t="shared" si="3"/>
        <v>1</v>
      </c>
      <c r="I5" s="2">
        <f t="shared" si="4"/>
        <v>0</v>
      </c>
      <c r="J5" s="2">
        <f t="shared" si="5"/>
        <v>0</v>
      </c>
      <c r="K5" s="2">
        <f t="shared" si="6"/>
        <v>0</v>
      </c>
      <c r="L5" s="2">
        <f>IF(K4=0,0,D5-K4)</f>
        <v>0.88127800000000045</v>
      </c>
      <c r="N5" t="s">
        <v>3</v>
      </c>
      <c r="O5">
        <v>1</v>
      </c>
      <c r="P5">
        <v>0</v>
      </c>
    </row>
    <row r="6" spans="1:16" x14ac:dyDescent="0.25">
      <c r="A6" s="1">
        <v>41978</v>
      </c>
      <c r="B6" s="2">
        <v>2.9546299999999999</v>
      </c>
      <c r="C6" s="2">
        <v>3.0611763060000001</v>
      </c>
      <c r="D6" s="2">
        <v>3.8050000000000002</v>
      </c>
      <c r="E6" s="2">
        <f t="shared" si="0"/>
        <v>0.85037000000000029</v>
      </c>
      <c r="F6" s="3">
        <f t="shared" si="1"/>
        <v>2</v>
      </c>
      <c r="G6" s="2">
        <f t="shared" si="2"/>
        <v>0</v>
      </c>
      <c r="H6" s="3">
        <f t="shared" si="3"/>
        <v>2</v>
      </c>
      <c r="I6" s="2">
        <f t="shared" si="4"/>
        <v>0</v>
      </c>
      <c r="J6" s="2">
        <f t="shared" si="5"/>
        <v>0</v>
      </c>
      <c r="K6" s="2">
        <f t="shared" si="6"/>
        <v>0</v>
      </c>
      <c r="L6" s="2">
        <f t="shared" ref="L6:L39" si="8">IF(K5=0,0,D6-K5)</f>
        <v>0</v>
      </c>
      <c r="N6" t="s">
        <v>4</v>
      </c>
      <c r="O6">
        <v>2</v>
      </c>
      <c r="P6">
        <v>0</v>
      </c>
    </row>
    <row r="7" spans="1:16" x14ac:dyDescent="0.25">
      <c r="A7" s="1">
        <v>41981</v>
      </c>
      <c r="B7" s="2">
        <v>2.90876</v>
      </c>
      <c r="C7" s="2">
        <v>3.0277470119999998</v>
      </c>
      <c r="D7" s="2">
        <v>3.8050000000000002</v>
      </c>
      <c r="E7" s="2">
        <f t="shared" si="0"/>
        <v>0.89624000000000015</v>
      </c>
      <c r="F7" s="3">
        <f t="shared" si="1"/>
        <v>5</v>
      </c>
      <c r="G7" s="2">
        <f t="shared" si="2"/>
        <v>0.05</v>
      </c>
      <c r="H7" s="3">
        <f t="shared" si="3"/>
        <v>3</v>
      </c>
      <c r="I7" s="2">
        <f t="shared" si="4"/>
        <v>0.14543800000000001</v>
      </c>
      <c r="J7" s="2">
        <f t="shared" si="5"/>
        <v>0.05</v>
      </c>
      <c r="K7" s="2">
        <f t="shared" si="6"/>
        <v>0</v>
      </c>
      <c r="L7" s="2">
        <f t="shared" si="8"/>
        <v>0</v>
      </c>
      <c r="N7" t="s">
        <v>5</v>
      </c>
      <c r="O7">
        <v>3</v>
      </c>
      <c r="P7">
        <v>0</v>
      </c>
    </row>
    <row r="8" spans="1:16" x14ac:dyDescent="0.25">
      <c r="A8" s="1">
        <v>41982</v>
      </c>
      <c r="B8" s="2">
        <v>2.8860199999999998</v>
      </c>
      <c r="C8" s="2">
        <v>2.9950963260000001</v>
      </c>
      <c r="D8" s="2">
        <v>3.8050000000000002</v>
      </c>
      <c r="E8" s="2">
        <f t="shared" si="0"/>
        <v>0.91898000000000035</v>
      </c>
      <c r="F8" s="3">
        <f t="shared" si="1"/>
        <v>6</v>
      </c>
      <c r="G8" s="2">
        <f t="shared" si="2"/>
        <v>0.7</v>
      </c>
      <c r="H8" s="3">
        <f t="shared" si="3"/>
        <v>4</v>
      </c>
      <c r="I8" s="2">
        <f t="shared" si="4"/>
        <v>2.1656519999999997</v>
      </c>
      <c r="J8" s="2">
        <f t="shared" si="5"/>
        <v>0.75</v>
      </c>
      <c r="K8" s="2">
        <f t="shared" si="6"/>
        <v>0</v>
      </c>
      <c r="L8" s="2">
        <f t="shared" si="8"/>
        <v>0</v>
      </c>
      <c r="N8" t="s">
        <v>6</v>
      </c>
      <c r="O8">
        <v>4</v>
      </c>
      <c r="P8">
        <v>0</v>
      </c>
    </row>
    <row r="9" spans="1:16" x14ac:dyDescent="0.25">
      <c r="A9" s="1">
        <v>41983</v>
      </c>
      <c r="B9" s="2">
        <v>2.8515100000000002</v>
      </c>
      <c r="C9" s="2">
        <v>2.9498660249999999</v>
      </c>
      <c r="D9" s="2">
        <v>3.8050000000000002</v>
      </c>
      <c r="E9" s="2">
        <f t="shared" si="0"/>
        <v>0.95348999999999995</v>
      </c>
      <c r="F9" s="3">
        <f t="shared" si="1"/>
        <v>7</v>
      </c>
      <c r="G9" s="2">
        <f t="shared" si="2"/>
        <v>0.25</v>
      </c>
      <c r="H9" s="3">
        <f t="shared" si="3"/>
        <v>5</v>
      </c>
      <c r="I9" s="2">
        <f t="shared" si="4"/>
        <v>2.8785295</v>
      </c>
      <c r="J9" s="2">
        <f t="shared" si="5"/>
        <v>1</v>
      </c>
      <c r="K9" s="2">
        <f t="shared" si="6"/>
        <v>2.8785295</v>
      </c>
      <c r="L9" s="2">
        <f t="shared" si="8"/>
        <v>0</v>
      </c>
    </row>
    <row r="10" spans="1:16" x14ac:dyDescent="0.25">
      <c r="A10" s="1">
        <v>41984</v>
      </c>
      <c r="B10" s="2">
        <v>2.8634300000000001</v>
      </c>
      <c r="C10" s="2">
        <v>2.9808633750000002</v>
      </c>
      <c r="D10" s="2">
        <v>3.7</v>
      </c>
      <c r="E10" s="2">
        <f t="shared" si="0"/>
        <v>0.83657000000000004</v>
      </c>
      <c r="F10" s="3">
        <f t="shared" si="1"/>
        <v>1</v>
      </c>
      <c r="G10" s="2">
        <f t="shared" si="2"/>
        <v>0</v>
      </c>
      <c r="H10" s="3">
        <f t="shared" si="3"/>
        <v>1</v>
      </c>
      <c r="I10" s="2">
        <f t="shared" si="4"/>
        <v>0</v>
      </c>
      <c r="J10" s="2">
        <f t="shared" si="5"/>
        <v>0</v>
      </c>
      <c r="K10" s="2">
        <f t="shared" si="6"/>
        <v>0</v>
      </c>
      <c r="L10" s="2">
        <f t="shared" si="8"/>
        <v>0.82147050000000021</v>
      </c>
    </row>
    <row r="11" spans="1:16" x14ac:dyDescent="0.25">
      <c r="A11" s="1">
        <v>41985</v>
      </c>
      <c r="B11" s="2">
        <v>2.8005800000000001</v>
      </c>
      <c r="C11" s="2">
        <v>2.9353979790000002</v>
      </c>
      <c r="D11" s="2">
        <v>3.7</v>
      </c>
      <c r="E11" s="2">
        <f t="shared" si="0"/>
        <v>0.89942000000000011</v>
      </c>
      <c r="F11" s="3">
        <f t="shared" si="1"/>
        <v>2</v>
      </c>
      <c r="G11" s="2">
        <f t="shared" si="2"/>
        <v>0</v>
      </c>
      <c r="H11" s="3">
        <f t="shared" si="3"/>
        <v>2</v>
      </c>
      <c r="I11" s="2">
        <f t="shared" si="4"/>
        <v>0</v>
      </c>
      <c r="J11" s="2">
        <f t="shared" si="5"/>
        <v>0</v>
      </c>
      <c r="K11" s="2">
        <f t="shared" si="6"/>
        <v>0</v>
      </c>
      <c r="L11" s="2">
        <f t="shared" si="8"/>
        <v>0</v>
      </c>
    </row>
    <row r="12" spans="1:16" x14ac:dyDescent="0.25">
      <c r="A12" s="1">
        <v>41988</v>
      </c>
      <c r="B12" s="2">
        <v>2.82917</v>
      </c>
      <c r="C12" s="2">
        <v>2.9603438519999998</v>
      </c>
      <c r="D12" s="2">
        <v>3.7</v>
      </c>
      <c r="E12" s="2">
        <f t="shared" si="0"/>
        <v>0.87083000000000022</v>
      </c>
      <c r="F12" s="3">
        <f t="shared" si="1"/>
        <v>5</v>
      </c>
      <c r="G12" s="2">
        <f t="shared" si="2"/>
        <v>0.05</v>
      </c>
      <c r="H12" s="3">
        <f t="shared" si="3"/>
        <v>3</v>
      </c>
      <c r="I12" s="2">
        <f t="shared" si="4"/>
        <v>0.14145850000000001</v>
      </c>
      <c r="J12" s="2">
        <f t="shared" si="5"/>
        <v>0.05</v>
      </c>
      <c r="K12" s="2">
        <f t="shared" si="6"/>
        <v>0</v>
      </c>
      <c r="L12" s="2">
        <f t="shared" si="8"/>
        <v>0</v>
      </c>
    </row>
    <row r="13" spans="1:16" x14ac:dyDescent="0.25">
      <c r="A13" s="1">
        <v>41989</v>
      </c>
      <c r="B13" s="2">
        <v>2.7872499999999998</v>
      </c>
      <c r="C13" s="2">
        <v>2.9320959609999999</v>
      </c>
      <c r="D13" s="2">
        <v>3.7</v>
      </c>
      <c r="E13" s="2">
        <f t="shared" si="0"/>
        <v>0.91275000000000039</v>
      </c>
      <c r="F13" s="3">
        <f t="shared" si="1"/>
        <v>6</v>
      </c>
      <c r="G13" s="2">
        <f t="shared" si="2"/>
        <v>0.7</v>
      </c>
      <c r="H13" s="3">
        <f t="shared" si="3"/>
        <v>4</v>
      </c>
      <c r="I13" s="2">
        <f t="shared" si="4"/>
        <v>2.0925334999999996</v>
      </c>
      <c r="J13" s="2">
        <f t="shared" si="5"/>
        <v>0.75</v>
      </c>
      <c r="K13" s="2">
        <f t="shared" si="6"/>
        <v>0</v>
      </c>
      <c r="L13" s="2">
        <f t="shared" si="8"/>
        <v>0</v>
      </c>
    </row>
    <row r="14" spans="1:16" x14ac:dyDescent="0.25">
      <c r="A14" s="1">
        <v>41990</v>
      </c>
      <c r="B14" s="2">
        <v>2.8371499999999998</v>
      </c>
      <c r="C14" s="2">
        <v>2.9830851389999999</v>
      </c>
      <c r="D14" s="2">
        <v>3.7</v>
      </c>
      <c r="E14" s="2">
        <f t="shared" si="0"/>
        <v>0.86285000000000034</v>
      </c>
      <c r="F14" s="3">
        <f t="shared" si="1"/>
        <v>7</v>
      </c>
      <c r="G14" s="2">
        <f t="shared" si="2"/>
        <v>0.25</v>
      </c>
      <c r="H14" s="3">
        <f t="shared" si="3"/>
        <v>5</v>
      </c>
      <c r="I14" s="2">
        <f t="shared" si="4"/>
        <v>2.8018209999999995</v>
      </c>
      <c r="J14" s="2">
        <f t="shared" si="5"/>
        <v>1</v>
      </c>
      <c r="K14" s="2">
        <f t="shared" si="6"/>
        <v>2.8018209999999995</v>
      </c>
      <c r="L14" s="2">
        <f t="shared" si="8"/>
        <v>0</v>
      </c>
    </row>
    <row r="15" spans="1:16" x14ac:dyDescent="0.25">
      <c r="A15" s="1">
        <v>41991</v>
      </c>
      <c r="B15" s="2">
        <v>2.8582299999999998</v>
      </c>
      <c r="C15" s="2">
        <v>3.0344267700000001</v>
      </c>
      <c r="D15" s="2">
        <v>3.73</v>
      </c>
      <c r="E15" s="2">
        <f t="shared" si="0"/>
        <v>0.87177000000000016</v>
      </c>
      <c r="F15" s="3">
        <f t="shared" si="1"/>
        <v>1</v>
      </c>
      <c r="G15" s="2">
        <f t="shared" si="2"/>
        <v>0</v>
      </c>
      <c r="H15" s="3">
        <f t="shared" si="3"/>
        <v>1</v>
      </c>
      <c r="I15" s="2">
        <f t="shared" si="4"/>
        <v>0</v>
      </c>
      <c r="J15" s="2">
        <f t="shared" si="5"/>
        <v>0</v>
      </c>
      <c r="K15" s="2">
        <f t="shared" si="6"/>
        <v>0</v>
      </c>
      <c r="L15" s="2">
        <f t="shared" si="8"/>
        <v>0.92817900000000053</v>
      </c>
    </row>
    <row r="16" spans="1:16" x14ac:dyDescent="0.25">
      <c r="A16" s="1">
        <v>41992</v>
      </c>
      <c r="B16" s="2">
        <v>2.8337400000000001</v>
      </c>
      <c r="C16" s="2">
        <v>3.0151080549999998</v>
      </c>
      <c r="D16" s="2">
        <v>3.73</v>
      </c>
      <c r="E16" s="2">
        <f t="shared" si="0"/>
        <v>0.89625999999999983</v>
      </c>
      <c r="F16" s="3">
        <f t="shared" si="1"/>
        <v>2</v>
      </c>
      <c r="G16" s="2">
        <f t="shared" si="2"/>
        <v>0</v>
      </c>
      <c r="H16" s="3">
        <f t="shared" si="3"/>
        <v>2</v>
      </c>
      <c r="I16" s="2">
        <f t="shared" si="4"/>
        <v>0</v>
      </c>
      <c r="J16" s="2">
        <f t="shared" si="5"/>
        <v>0</v>
      </c>
      <c r="K16" s="2">
        <f t="shared" si="6"/>
        <v>0</v>
      </c>
      <c r="L16" s="2">
        <f t="shared" si="8"/>
        <v>0</v>
      </c>
    </row>
    <row r="17" spans="1:12" x14ac:dyDescent="0.25">
      <c r="A17" s="1">
        <v>41995</v>
      </c>
      <c r="B17" s="2">
        <v>2.8256399999999999</v>
      </c>
      <c r="C17" s="2">
        <v>3.0044775029999999</v>
      </c>
      <c r="D17" s="2">
        <v>3.73</v>
      </c>
      <c r="E17" s="2">
        <f t="shared" si="0"/>
        <v>0.90436000000000005</v>
      </c>
      <c r="F17" s="3">
        <f t="shared" si="1"/>
        <v>5</v>
      </c>
      <c r="G17" s="2">
        <f t="shared" si="2"/>
        <v>0.05</v>
      </c>
      <c r="H17" s="3">
        <f t="shared" si="3"/>
        <v>3</v>
      </c>
      <c r="I17" s="2">
        <f t="shared" si="4"/>
        <v>0.14128199999999999</v>
      </c>
      <c r="J17" s="2">
        <f t="shared" si="5"/>
        <v>0.05</v>
      </c>
      <c r="K17" s="2">
        <f t="shared" si="6"/>
        <v>0</v>
      </c>
      <c r="L17" s="2">
        <f t="shared" si="8"/>
        <v>0</v>
      </c>
    </row>
    <row r="18" spans="1:12" x14ac:dyDescent="0.25">
      <c r="A18" s="1">
        <v>41996</v>
      </c>
      <c r="B18" s="2">
        <v>2.91032</v>
      </c>
      <c r="C18" s="2">
        <v>3.0704023490000001</v>
      </c>
      <c r="D18" s="2">
        <v>3.73</v>
      </c>
      <c r="E18" s="2">
        <f t="shared" si="0"/>
        <v>0.81967999999999996</v>
      </c>
      <c r="F18" s="3">
        <f t="shared" si="1"/>
        <v>6</v>
      </c>
      <c r="G18" s="2">
        <f t="shared" si="2"/>
        <v>0.7</v>
      </c>
      <c r="H18" s="3">
        <f t="shared" si="3"/>
        <v>4</v>
      </c>
      <c r="I18" s="2">
        <f t="shared" si="4"/>
        <v>2.1785059999999996</v>
      </c>
      <c r="J18" s="2">
        <f t="shared" si="5"/>
        <v>0.75</v>
      </c>
      <c r="K18" s="2">
        <f t="shared" si="6"/>
        <v>0</v>
      </c>
      <c r="L18" s="2">
        <f t="shared" si="8"/>
        <v>0</v>
      </c>
    </row>
    <row r="19" spans="1:12" x14ac:dyDescent="0.25">
      <c r="A19" s="1">
        <v>41997</v>
      </c>
      <c r="B19" s="2">
        <v>2.9097499999999998</v>
      </c>
      <c r="C19" s="2">
        <v>3.0691697489999998</v>
      </c>
      <c r="D19" s="2">
        <v>3.77</v>
      </c>
      <c r="E19" s="2">
        <f t="shared" si="0"/>
        <v>0.86025000000000018</v>
      </c>
      <c r="F19" s="3">
        <f t="shared" si="1"/>
        <v>7</v>
      </c>
      <c r="G19" s="2">
        <f t="shared" si="2"/>
        <v>0.25</v>
      </c>
      <c r="H19" s="3">
        <f t="shared" si="3"/>
        <v>5</v>
      </c>
      <c r="I19" s="2">
        <f t="shared" si="4"/>
        <v>2.9059434999999993</v>
      </c>
      <c r="J19" s="2">
        <f t="shared" si="5"/>
        <v>1</v>
      </c>
      <c r="K19" s="2">
        <f t="shared" si="6"/>
        <v>2.9059434999999993</v>
      </c>
      <c r="L19" s="2">
        <f t="shared" si="8"/>
        <v>0</v>
      </c>
    </row>
    <row r="20" spans="1:12" x14ac:dyDescent="0.25">
      <c r="A20" s="1">
        <v>41999</v>
      </c>
      <c r="B20" s="2">
        <v>2.8912399999999998</v>
      </c>
      <c r="C20" s="2">
        <v>3.0539993170000002</v>
      </c>
      <c r="D20" s="2">
        <v>3.77</v>
      </c>
      <c r="E20" s="2">
        <f t="shared" si="0"/>
        <v>0.87876000000000021</v>
      </c>
      <c r="F20" s="3">
        <f t="shared" si="1"/>
        <v>2</v>
      </c>
      <c r="G20" s="2">
        <f t="shared" si="2"/>
        <v>0</v>
      </c>
      <c r="H20" s="3">
        <f t="shared" si="3"/>
        <v>1</v>
      </c>
      <c r="I20" s="2">
        <f t="shared" si="4"/>
        <v>0</v>
      </c>
      <c r="J20" s="2">
        <f t="shared" si="5"/>
        <v>0</v>
      </c>
      <c r="K20" s="2">
        <f t="shared" si="6"/>
        <v>0</v>
      </c>
      <c r="L20" s="2">
        <f t="shared" si="8"/>
        <v>0.86405650000000067</v>
      </c>
    </row>
    <row r="21" spans="1:12" x14ac:dyDescent="0.25">
      <c r="A21" s="1">
        <v>42002</v>
      </c>
      <c r="B21" s="2">
        <v>2.8609800000000001</v>
      </c>
      <c r="C21" s="2">
        <v>3.012036234</v>
      </c>
      <c r="D21" s="2">
        <v>3.77</v>
      </c>
      <c r="E21" s="2">
        <f t="shared" si="0"/>
        <v>0.90901999999999994</v>
      </c>
      <c r="F21" s="3">
        <f t="shared" si="1"/>
        <v>5</v>
      </c>
      <c r="G21" s="2">
        <f t="shared" si="2"/>
        <v>0.05</v>
      </c>
      <c r="H21" s="3">
        <f t="shared" si="3"/>
        <v>2</v>
      </c>
      <c r="I21" s="2">
        <f t="shared" si="4"/>
        <v>0.14304900000000001</v>
      </c>
      <c r="J21" s="2">
        <f t="shared" si="5"/>
        <v>0.05</v>
      </c>
      <c r="K21" s="2">
        <f t="shared" si="6"/>
        <v>0</v>
      </c>
      <c r="L21" s="2">
        <f t="shared" si="8"/>
        <v>0</v>
      </c>
    </row>
    <row r="22" spans="1:12" x14ac:dyDescent="0.25">
      <c r="A22" s="1">
        <v>42003</v>
      </c>
      <c r="B22" s="2">
        <v>2.8519999999999999</v>
      </c>
      <c r="C22" s="2">
        <v>2.994273132</v>
      </c>
      <c r="D22" s="2">
        <v>3.77</v>
      </c>
      <c r="E22" s="2">
        <f>D22-B22</f>
        <v>0.91800000000000015</v>
      </c>
      <c r="F22" s="3">
        <f t="shared" si="1"/>
        <v>6</v>
      </c>
      <c r="G22" s="2">
        <f t="shared" si="2"/>
        <v>0.7</v>
      </c>
      <c r="H22" s="3">
        <f t="shared" si="3"/>
        <v>3</v>
      </c>
      <c r="I22" s="2">
        <f t="shared" si="4"/>
        <v>2.1394489999999999</v>
      </c>
      <c r="J22" s="2">
        <f t="shared" si="5"/>
        <v>0.75</v>
      </c>
      <c r="K22" s="2">
        <f t="shared" si="6"/>
        <v>0</v>
      </c>
      <c r="L22" s="2">
        <f t="shared" si="8"/>
        <v>0</v>
      </c>
    </row>
    <row r="23" spans="1:12" x14ac:dyDescent="0.25">
      <c r="A23" s="1">
        <v>42004</v>
      </c>
      <c r="B23" s="2">
        <v>2.8338700000000001</v>
      </c>
      <c r="C23" s="2">
        <v>2.9746028437209402</v>
      </c>
      <c r="D23" s="2">
        <v>3.77</v>
      </c>
      <c r="E23" s="2">
        <f t="shared" ref="E23:E39" si="9">D23-B23</f>
        <v>0.93612999999999991</v>
      </c>
      <c r="F23" s="3">
        <f t="shared" si="1"/>
        <v>7</v>
      </c>
      <c r="G23" s="2">
        <f t="shared" si="2"/>
        <v>0.25</v>
      </c>
      <c r="H23" s="3">
        <f t="shared" si="3"/>
        <v>4</v>
      </c>
      <c r="I23" s="2">
        <f t="shared" si="4"/>
        <v>2.8479165000000002</v>
      </c>
      <c r="J23" s="2">
        <f t="shared" si="5"/>
        <v>1</v>
      </c>
      <c r="K23" s="2">
        <f t="shared" si="6"/>
        <v>2.8479165000000002</v>
      </c>
      <c r="L23" s="2">
        <f t="shared" si="8"/>
        <v>0</v>
      </c>
    </row>
    <row r="24" spans="1:12" x14ac:dyDescent="0.25">
      <c r="A24" s="1">
        <v>42006</v>
      </c>
      <c r="B24" s="2">
        <v>2.78545</v>
      </c>
      <c r="C24" s="2">
        <v>2.9310347171181199</v>
      </c>
      <c r="D24" s="2">
        <v>3.77</v>
      </c>
      <c r="E24" s="2">
        <f t="shared" si="9"/>
        <v>0.98455000000000004</v>
      </c>
      <c r="F24" s="3">
        <f t="shared" si="1"/>
        <v>2</v>
      </c>
      <c r="G24" s="2">
        <f t="shared" si="2"/>
        <v>0</v>
      </c>
      <c r="H24" s="3">
        <f t="shared" si="3"/>
        <v>1</v>
      </c>
      <c r="I24" s="2">
        <f t="shared" si="4"/>
        <v>0</v>
      </c>
      <c r="J24" s="2">
        <f t="shared" si="5"/>
        <v>0</v>
      </c>
      <c r="K24" s="2">
        <f t="shared" si="6"/>
        <v>0</v>
      </c>
      <c r="L24" s="2">
        <f t="shared" si="8"/>
        <v>0.92208349999999983</v>
      </c>
    </row>
    <row r="25" spans="1:12" x14ac:dyDescent="0.25">
      <c r="A25" s="1">
        <v>42009</v>
      </c>
      <c r="B25" s="2">
        <v>2.6962700000000002</v>
      </c>
      <c r="C25" s="2">
        <v>2.87831947251675</v>
      </c>
      <c r="D25" s="2">
        <v>3.77</v>
      </c>
      <c r="E25" s="2">
        <f t="shared" si="9"/>
        <v>1.0737299999999999</v>
      </c>
      <c r="F25" s="3">
        <f t="shared" si="1"/>
        <v>5</v>
      </c>
      <c r="G25" s="2">
        <f t="shared" si="2"/>
        <v>0.05</v>
      </c>
      <c r="H25" s="3">
        <f t="shared" si="3"/>
        <v>2</v>
      </c>
      <c r="I25" s="2">
        <f t="shared" si="4"/>
        <v>0.1348135</v>
      </c>
      <c r="J25" s="2">
        <f t="shared" si="5"/>
        <v>0.05</v>
      </c>
      <c r="K25" s="2">
        <f t="shared" si="6"/>
        <v>0</v>
      </c>
      <c r="L25" s="2">
        <f t="shared" si="8"/>
        <v>0</v>
      </c>
    </row>
    <row r="26" spans="1:12" x14ac:dyDescent="0.25">
      <c r="A26" s="1">
        <v>42010</v>
      </c>
      <c r="B26" s="2">
        <v>2.6163599999999998</v>
      </c>
      <c r="C26" s="2">
        <v>2.83489934877788</v>
      </c>
      <c r="D26" s="2">
        <v>3.77</v>
      </c>
      <c r="E26" s="2">
        <f t="shared" si="9"/>
        <v>1.1536400000000002</v>
      </c>
      <c r="F26" s="3">
        <f t="shared" si="1"/>
        <v>6</v>
      </c>
      <c r="G26" s="2">
        <f t="shared" si="2"/>
        <v>0.7</v>
      </c>
      <c r="H26" s="3">
        <f t="shared" si="3"/>
        <v>3</v>
      </c>
      <c r="I26" s="2">
        <f t="shared" si="4"/>
        <v>1.9662654999999996</v>
      </c>
      <c r="J26" s="2">
        <f t="shared" si="5"/>
        <v>0.75</v>
      </c>
      <c r="K26" s="2">
        <f t="shared" si="6"/>
        <v>2.6216873333333326</v>
      </c>
      <c r="L26" s="2">
        <f t="shared" si="8"/>
        <v>0</v>
      </c>
    </row>
    <row r="27" spans="1:12" x14ac:dyDescent="0.25">
      <c r="A27" s="1">
        <v>42013</v>
      </c>
      <c r="B27" s="2">
        <v>2.64629</v>
      </c>
      <c r="C27" s="2">
        <v>2.83439964727489</v>
      </c>
      <c r="D27" s="2">
        <v>3.56</v>
      </c>
      <c r="E27" s="2">
        <f t="shared" si="9"/>
        <v>0.91371000000000002</v>
      </c>
      <c r="F27" s="3">
        <f t="shared" si="1"/>
        <v>2</v>
      </c>
      <c r="G27" s="2">
        <f t="shared" si="2"/>
        <v>0</v>
      </c>
      <c r="H27" s="3">
        <f t="shared" si="3"/>
        <v>1</v>
      </c>
      <c r="I27" s="2">
        <f t="shared" si="4"/>
        <v>0</v>
      </c>
      <c r="J27" s="2">
        <f t="shared" si="5"/>
        <v>0</v>
      </c>
      <c r="K27" s="2">
        <f t="shared" si="6"/>
        <v>0</v>
      </c>
      <c r="L27" s="2">
        <f t="shared" si="8"/>
        <v>0.93831266666666746</v>
      </c>
    </row>
    <row r="28" spans="1:12" x14ac:dyDescent="0.25">
      <c r="A28" s="1">
        <v>42016</v>
      </c>
      <c r="B28" s="2">
        <v>2.59362</v>
      </c>
      <c r="C28" s="2">
        <v>2.7977185345447602</v>
      </c>
      <c r="D28" s="2">
        <v>3.56</v>
      </c>
      <c r="E28" s="2">
        <f t="shared" si="9"/>
        <v>0.96638000000000002</v>
      </c>
      <c r="F28" s="3">
        <f t="shared" si="1"/>
        <v>5</v>
      </c>
      <c r="G28" s="2">
        <f t="shared" si="2"/>
        <v>0.05</v>
      </c>
      <c r="H28" s="3">
        <f t="shared" si="3"/>
        <v>2</v>
      </c>
      <c r="I28" s="2">
        <f t="shared" si="4"/>
        <v>0.12968100000000002</v>
      </c>
      <c r="J28" s="2">
        <f t="shared" si="5"/>
        <v>0.05</v>
      </c>
      <c r="K28" s="2">
        <f t="shared" si="6"/>
        <v>0</v>
      </c>
      <c r="L28" s="2">
        <f t="shared" si="8"/>
        <v>0</v>
      </c>
    </row>
    <row r="29" spans="1:12" x14ac:dyDescent="0.25">
      <c r="A29" s="1">
        <v>42017</v>
      </c>
      <c r="B29" s="2">
        <v>2.5795400000000002</v>
      </c>
      <c r="C29" s="2">
        <v>2.7830006957612801</v>
      </c>
      <c r="D29" s="2">
        <v>3.56</v>
      </c>
      <c r="E29" s="2">
        <f t="shared" si="9"/>
        <v>0.98045999999999989</v>
      </c>
      <c r="F29" s="3">
        <f t="shared" si="1"/>
        <v>6</v>
      </c>
      <c r="G29" s="2">
        <f t="shared" si="2"/>
        <v>0.7</v>
      </c>
      <c r="H29" s="3">
        <f t="shared" si="3"/>
        <v>3</v>
      </c>
      <c r="I29" s="2">
        <f t="shared" si="4"/>
        <v>1.9353589999999998</v>
      </c>
      <c r="J29" s="2">
        <f t="shared" si="5"/>
        <v>0.75</v>
      </c>
      <c r="K29" s="2">
        <f t="shared" si="6"/>
        <v>0</v>
      </c>
      <c r="L29" s="2">
        <f t="shared" si="8"/>
        <v>0</v>
      </c>
    </row>
    <row r="30" spans="1:12" x14ac:dyDescent="0.25">
      <c r="A30" s="1">
        <v>42018</v>
      </c>
      <c r="B30" s="2">
        <v>2.4910700000000001</v>
      </c>
      <c r="C30" s="2">
        <v>2.7483025428830898</v>
      </c>
      <c r="D30" s="2">
        <v>3.56</v>
      </c>
      <c r="E30" s="2">
        <f t="shared" si="9"/>
        <v>1.0689299999999999</v>
      </c>
      <c r="F30" s="3">
        <f t="shared" si="1"/>
        <v>7</v>
      </c>
      <c r="G30" s="2">
        <f t="shared" si="2"/>
        <v>0.25</v>
      </c>
      <c r="H30" s="3">
        <f t="shared" si="3"/>
        <v>4</v>
      </c>
      <c r="I30" s="2">
        <f t="shared" si="4"/>
        <v>2.5581264999999997</v>
      </c>
      <c r="J30" s="2">
        <f t="shared" si="5"/>
        <v>1</v>
      </c>
      <c r="K30" s="2">
        <f t="shared" si="6"/>
        <v>2.5581264999999997</v>
      </c>
      <c r="L30" s="2">
        <f t="shared" si="8"/>
        <v>0</v>
      </c>
    </row>
    <row r="31" spans="1:12" x14ac:dyDescent="0.25">
      <c r="A31" s="1">
        <v>42019</v>
      </c>
      <c r="B31" s="2">
        <v>2.45533</v>
      </c>
      <c r="C31" s="2">
        <v>2.7158938789683198</v>
      </c>
      <c r="D31" s="2">
        <v>3.5550000000000002</v>
      </c>
      <c r="E31" s="2">
        <f t="shared" si="9"/>
        <v>1.0996700000000001</v>
      </c>
      <c r="F31" s="3">
        <f t="shared" si="1"/>
        <v>1</v>
      </c>
      <c r="G31" s="2">
        <f t="shared" si="2"/>
        <v>0</v>
      </c>
      <c r="H31" s="3">
        <f t="shared" si="3"/>
        <v>1</v>
      </c>
      <c r="I31" s="2">
        <f t="shared" si="4"/>
        <v>0</v>
      </c>
      <c r="J31" s="2">
        <f t="shared" si="5"/>
        <v>0</v>
      </c>
      <c r="K31" s="2">
        <f t="shared" si="6"/>
        <v>0</v>
      </c>
      <c r="L31" s="2">
        <f t="shared" si="8"/>
        <v>0.99687350000000041</v>
      </c>
    </row>
    <row r="32" spans="1:12" x14ac:dyDescent="0.25">
      <c r="A32" s="1">
        <v>42020</v>
      </c>
      <c r="B32" s="2">
        <v>2.54548</v>
      </c>
      <c r="C32" s="2">
        <v>2.7378275875032498</v>
      </c>
      <c r="D32" s="2">
        <v>3.5550000000000002</v>
      </c>
      <c r="E32" s="2">
        <f t="shared" si="9"/>
        <v>1.0095200000000002</v>
      </c>
      <c r="F32" s="3">
        <f t="shared" si="1"/>
        <v>2</v>
      </c>
      <c r="G32" s="2">
        <f t="shared" si="2"/>
        <v>0</v>
      </c>
      <c r="H32" s="3">
        <f t="shared" si="3"/>
        <v>2</v>
      </c>
      <c r="I32" s="2">
        <f t="shared" si="4"/>
        <v>0</v>
      </c>
      <c r="J32" s="2">
        <f t="shared" si="5"/>
        <v>0</v>
      </c>
      <c r="K32" s="2">
        <f t="shared" si="6"/>
        <v>0</v>
      </c>
      <c r="L32" s="2">
        <f t="shared" si="8"/>
        <v>0</v>
      </c>
    </row>
    <row r="33" spans="1:12" x14ac:dyDescent="0.25">
      <c r="A33" s="1">
        <v>42024</v>
      </c>
      <c r="B33" s="2">
        <v>2.5573700000000001</v>
      </c>
      <c r="C33" s="2">
        <v>2.7403431052813301</v>
      </c>
      <c r="D33" s="2">
        <v>3.5550000000000002</v>
      </c>
      <c r="E33" s="2">
        <f t="shared" si="9"/>
        <v>0.99763000000000002</v>
      </c>
      <c r="F33" s="3">
        <f t="shared" si="1"/>
        <v>6</v>
      </c>
      <c r="G33" s="2">
        <f t="shared" si="2"/>
        <v>0.7</v>
      </c>
      <c r="H33" s="3">
        <f t="shared" si="3"/>
        <v>3</v>
      </c>
      <c r="I33" s="2">
        <f t="shared" si="4"/>
        <v>1.7901590000000001</v>
      </c>
      <c r="J33" s="2">
        <f t="shared" si="5"/>
        <v>0.7</v>
      </c>
      <c r="K33" s="2">
        <f t="shared" si="6"/>
        <v>0</v>
      </c>
      <c r="L33" s="2">
        <f t="shared" si="8"/>
        <v>0</v>
      </c>
    </row>
    <row r="34" spans="1:12" x14ac:dyDescent="0.25">
      <c r="A34" s="1">
        <v>42025</v>
      </c>
      <c r="B34" s="2">
        <v>2.6084900000000002</v>
      </c>
      <c r="C34" s="2">
        <v>2.7695002355973899</v>
      </c>
      <c r="D34" s="2">
        <v>3.5550000000000002</v>
      </c>
      <c r="E34" s="2">
        <f t="shared" si="9"/>
        <v>0.94650999999999996</v>
      </c>
      <c r="F34" s="3">
        <f t="shared" si="1"/>
        <v>7</v>
      </c>
      <c r="G34" s="2">
        <f t="shared" si="2"/>
        <v>0.25</v>
      </c>
      <c r="H34" s="3">
        <f t="shared" si="3"/>
        <v>4</v>
      </c>
      <c r="I34" s="2">
        <f t="shared" si="4"/>
        <v>2.4422815</v>
      </c>
      <c r="J34" s="2">
        <f t="shared" si="5"/>
        <v>0.95</v>
      </c>
      <c r="K34" s="2">
        <f t="shared" si="6"/>
        <v>2.5708226315789475</v>
      </c>
      <c r="L34" s="2">
        <f t="shared" si="8"/>
        <v>0</v>
      </c>
    </row>
    <row r="35" spans="1:12" x14ac:dyDescent="0.25">
      <c r="A35" s="1">
        <v>42026</v>
      </c>
      <c r="B35" s="2">
        <v>2.6170200000000001</v>
      </c>
      <c r="C35" s="2">
        <v>2.7847038496724399</v>
      </c>
      <c r="D35" s="2">
        <v>3.56</v>
      </c>
      <c r="E35" s="2">
        <f t="shared" si="9"/>
        <v>0.94297999999999993</v>
      </c>
      <c r="F35" s="3">
        <f t="shared" si="1"/>
        <v>1</v>
      </c>
      <c r="G35" s="2">
        <f t="shared" si="2"/>
        <v>0</v>
      </c>
      <c r="H35" s="3">
        <f t="shared" si="3"/>
        <v>1</v>
      </c>
      <c r="I35" s="2">
        <f t="shared" si="4"/>
        <v>0</v>
      </c>
      <c r="J35" s="2">
        <f t="shared" si="5"/>
        <v>0</v>
      </c>
      <c r="K35" s="2">
        <f t="shared" si="6"/>
        <v>0</v>
      </c>
      <c r="L35" s="2">
        <f t="shared" si="8"/>
        <v>0.98917736842105253</v>
      </c>
    </row>
    <row r="36" spans="1:12" x14ac:dyDescent="0.25">
      <c r="A36" s="1">
        <v>42031</v>
      </c>
      <c r="B36" s="2">
        <v>2.5856699999999999</v>
      </c>
      <c r="C36" s="2">
        <v>2.7129598452549302</v>
      </c>
      <c r="D36" s="2">
        <v>3.56</v>
      </c>
      <c r="E36" s="2">
        <f t="shared" si="9"/>
        <v>0.97433000000000014</v>
      </c>
      <c r="F36" s="3">
        <f t="shared" si="1"/>
        <v>6</v>
      </c>
      <c r="G36" s="2">
        <f t="shared" si="2"/>
        <v>0.7</v>
      </c>
      <c r="H36" s="3">
        <f t="shared" si="3"/>
        <v>2</v>
      </c>
      <c r="I36" s="2">
        <f t="shared" si="4"/>
        <v>1.8099689999999997</v>
      </c>
      <c r="J36" s="2">
        <f t="shared" si="5"/>
        <v>0.7</v>
      </c>
      <c r="K36" s="2">
        <f t="shared" si="6"/>
        <v>0</v>
      </c>
      <c r="L36" s="2">
        <f t="shared" si="8"/>
        <v>0</v>
      </c>
    </row>
    <row r="37" spans="1:12" x14ac:dyDescent="0.25">
      <c r="A37" s="1">
        <v>42032</v>
      </c>
      <c r="B37" s="2">
        <v>2.50759</v>
      </c>
      <c r="C37" s="2">
        <v>2.6265711312056301</v>
      </c>
      <c r="D37" s="2">
        <v>3.56</v>
      </c>
      <c r="E37" s="2">
        <f t="shared" si="9"/>
        <v>1.0524100000000001</v>
      </c>
      <c r="F37" s="3">
        <f t="shared" si="1"/>
        <v>7</v>
      </c>
      <c r="G37" s="2">
        <f t="shared" si="2"/>
        <v>0.25</v>
      </c>
      <c r="H37" s="3">
        <f t="shared" si="3"/>
        <v>3</v>
      </c>
      <c r="I37" s="2">
        <f t="shared" si="4"/>
        <v>2.4368664999999998</v>
      </c>
      <c r="J37" s="2">
        <f t="shared" si="5"/>
        <v>0.95</v>
      </c>
      <c r="K37" s="2">
        <f t="shared" si="6"/>
        <v>2.5651226315789475</v>
      </c>
      <c r="L37" s="2">
        <f t="shared" si="8"/>
        <v>0</v>
      </c>
    </row>
    <row r="38" spans="1:12" x14ac:dyDescent="0.25">
      <c r="A38" s="1">
        <v>42033</v>
      </c>
      <c r="B38" s="2">
        <v>2.51336</v>
      </c>
      <c r="C38" s="2">
        <v>2.6516806231947099</v>
      </c>
      <c r="D38" s="2">
        <v>3.5150000000000001</v>
      </c>
      <c r="E38" s="2">
        <f t="shared" si="9"/>
        <v>1.0016400000000001</v>
      </c>
      <c r="F38" s="3">
        <f t="shared" si="1"/>
        <v>1</v>
      </c>
      <c r="G38" s="2">
        <f t="shared" si="2"/>
        <v>0</v>
      </c>
      <c r="H38" s="3">
        <f t="shared" si="3"/>
        <v>1</v>
      </c>
      <c r="I38" s="2">
        <f t="shared" si="4"/>
        <v>0</v>
      </c>
      <c r="J38" s="2">
        <f t="shared" si="5"/>
        <v>0</v>
      </c>
      <c r="K38" s="2">
        <f t="shared" si="6"/>
        <v>0</v>
      </c>
      <c r="L38" s="2">
        <f t="shared" si="8"/>
        <v>0.94987736842105264</v>
      </c>
    </row>
    <row r="39" spans="1:12" x14ac:dyDescent="0.25">
      <c r="A39" s="1">
        <v>42034</v>
      </c>
      <c r="B39" s="2">
        <v>2.4526699999999999</v>
      </c>
      <c r="C39" s="2">
        <v>2.5935495602093499</v>
      </c>
      <c r="D39" s="2">
        <v>3.5150000000000001</v>
      </c>
      <c r="E39" s="2">
        <f t="shared" si="9"/>
        <v>1.0623300000000002</v>
      </c>
      <c r="F39" s="3">
        <f t="shared" si="1"/>
        <v>2</v>
      </c>
      <c r="G39" s="2">
        <f t="shared" si="2"/>
        <v>0</v>
      </c>
      <c r="H39" s="3">
        <f t="shared" si="3"/>
        <v>2</v>
      </c>
      <c r="I39" s="2">
        <f t="shared" si="4"/>
        <v>0</v>
      </c>
      <c r="J39" s="2">
        <f t="shared" si="5"/>
        <v>0</v>
      </c>
      <c r="K39" s="2">
        <v>0</v>
      </c>
      <c r="L39" s="2">
        <f t="shared" si="8"/>
        <v>0</v>
      </c>
    </row>
  </sheetData>
  <conditionalFormatting sqref="B2:L39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Weekly Calculation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2015-02-17T20:12:25Z</dcterms:created>
  <dcterms:modified xsi:type="dcterms:W3CDTF">2015-02-17T20:36:58Z</dcterms:modified>
</cp:coreProperties>
</file>