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675" windowWidth="30195" windowHeight="17115"/>
  </bookViews>
  <sheets>
    <sheet name="Current Paying PMI" sheetId="4" r:id="rId1"/>
    <sheet name="Sheet2" sheetId="2" r:id="rId2"/>
    <sheet name="Sheet3" sheetId="3" r:id="rId3"/>
  </sheets>
  <externalReferences>
    <externalReference r:id="rId4"/>
    <externalReference r:id="rId5"/>
    <externalReference r:id="rId6"/>
  </externalReferences>
  <definedNames>
    <definedName name="CAPR">'[1]Wells - Conventional'!$C$5</definedName>
    <definedName name="CIR">'[1]Wells - Conventional'!$C$4</definedName>
    <definedName name="CP">'[1]Wells - Conventional'!$C$6</definedName>
    <definedName name="CurrentCloseDate">[2]Report!$U$2</definedName>
    <definedName name="HistoricalMtgRatesDataTable">#REF!</definedName>
    <definedName name="IR">#REF!</definedName>
    <definedName name="MmExcelLinker_D5EFE7B8_A5AE_4CC6_B628_05FDC84CBEA4">Early Market [3]Data!$C$44:$C$44</definedName>
    <definedName name="NoLagTopTenDataTable">#REF!</definedName>
    <definedName name="OneDayBusDate">#REF!</definedName>
    <definedName name="OneMonthBusDate">#REF!</definedName>
    <definedName name="OneWeekBusDate">#REF!</definedName>
    <definedName name="PDFReportDir">[2]Report!$U$3</definedName>
    <definedName name="PivotTable10">#REF!</definedName>
    <definedName name="PivotTable11">#REF!</definedName>
    <definedName name="PivotTable12">#REF!</definedName>
    <definedName name="temp" localSheetId="0">'Current Paying PMI'!$H$2:$I$230</definedName>
    <definedName name="temp_1" localSheetId="0">'Current Paying PMI'!$Z$2:$AA$230</definedName>
    <definedName name="temp_17">#REF!</definedName>
    <definedName name="temp_8">#REF!</definedName>
  </definedNames>
  <calcPr calcId="145621"/>
  <fileRecoveryPr repairLoad="1"/>
</workbook>
</file>

<file path=xl/calcChain.xml><?xml version="1.0" encoding="utf-8"?>
<calcChain xmlns="http://schemas.openxmlformats.org/spreadsheetml/2006/main">
  <c r="O227" i="4" l="1"/>
  <c r="N227" i="4"/>
  <c r="F227" i="4"/>
  <c r="O226" i="4"/>
  <c r="N226" i="4"/>
  <c r="F226" i="4"/>
  <c r="O225" i="4"/>
  <c r="N225" i="4"/>
  <c r="F225" i="4"/>
  <c r="O224" i="4"/>
  <c r="N224" i="4"/>
  <c r="F224" i="4"/>
  <c r="O223" i="4"/>
  <c r="N223" i="4"/>
  <c r="F223" i="4"/>
  <c r="O222" i="4"/>
  <c r="N222" i="4"/>
  <c r="F222" i="4"/>
  <c r="O221" i="4"/>
  <c r="N221" i="4"/>
  <c r="F221" i="4"/>
  <c r="O220" i="4"/>
  <c r="N220" i="4"/>
  <c r="F220" i="4"/>
  <c r="O219" i="4"/>
  <c r="N219" i="4"/>
  <c r="F219" i="4"/>
  <c r="O218" i="4"/>
  <c r="N218" i="4"/>
  <c r="F218" i="4"/>
  <c r="O217" i="4"/>
  <c r="N217" i="4"/>
  <c r="F217" i="4"/>
  <c r="O216" i="4"/>
  <c r="N216" i="4"/>
  <c r="F216" i="4"/>
  <c r="O215" i="4"/>
  <c r="N215" i="4"/>
  <c r="F215" i="4"/>
  <c r="O214" i="4"/>
  <c r="N214" i="4"/>
  <c r="F214" i="4"/>
  <c r="O213" i="4"/>
  <c r="N213" i="4"/>
  <c r="F213" i="4"/>
  <c r="O212" i="4"/>
  <c r="N212" i="4"/>
  <c r="F212" i="4"/>
  <c r="O211" i="4"/>
  <c r="N211" i="4"/>
  <c r="F211" i="4"/>
  <c r="O210" i="4"/>
  <c r="N210" i="4"/>
  <c r="F210" i="4"/>
  <c r="O209" i="4"/>
  <c r="N209" i="4"/>
  <c r="F209" i="4"/>
  <c r="O208" i="4"/>
  <c r="N208" i="4"/>
  <c r="F208" i="4"/>
  <c r="O207" i="4"/>
  <c r="N207" i="4"/>
  <c r="F207" i="4"/>
  <c r="O206" i="4"/>
  <c r="N206" i="4"/>
  <c r="F206" i="4"/>
  <c r="O205" i="4"/>
  <c r="N205" i="4"/>
  <c r="F205" i="4"/>
  <c r="O204" i="4"/>
  <c r="N204" i="4"/>
  <c r="F204" i="4"/>
  <c r="O203" i="4"/>
  <c r="N203" i="4"/>
  <c r="F203" i="4"/>
  <c r="O202" i="4"/>
  <c r="N202" i="4"/>
  <c r="F202" i="4"/>
  <c r="O201" i="4"/>
  <c r="N201" i="4"/>
  <c r="F201" i="4"/>
  <c r="O200" i="4"/>
  <c r="N200" i="4"/>
  <c r="F200" i="4"/>
  <c r="O199" i="4"/>
  <c r="N199" i="4"/>
  <c r="F199" i="4"/>
  <c r="O198" i="4"/>
  <c r="N198" i="4"/>
  <c r="F198" i="4"/>
  <c r="O197" i="4"/>
  <c r="N197" i="4"/>
  <c r="F197" i="4"/>
  <c r="O196" i="4"/>
  <c r="N196" i="4"/>
  <c r="F196" i="4"/>
  <c r="O195" i="4"/>
  <c r="N195" i="4"/>
  <c r="F195" i="4"/>
  <c r="O194" i="4"/>
  <c r="N194" i="4"/>
  <c r="F194" i="4"/>
  <c r="O193" i="4"/>
  <c r="N193" i="4"/>
  <c r="F193" i="4"/>
  <c r="O192" i="4"/>
  <c r="N192" i="4"/>
  <c r="F192" i="4"/>
  <c r="O191" i="4"/>
  <c r="N191" i="4"/>
  <c r="F191" i="4"/>
  <c r="O190" i="4"/>
  <c r="N190" i="4"/>
  <c r="F190" i="4"/>
  <c r="O189" i="4"/>
  <c r="N189" i="4"/>
  <c r="F189" i="4"/>
  <c r="O188" i="4"/>
  <c r="N188" i="4"/>
  <c r="F188" i="4"/>
  <c r="O187" i="4"/>
  <c r="N187" i="4"/>
  <c r="F187" i="4"/>
  <c r="O186" i="4"/>
  <c r="N186" i="4"/>
  <c r="F186" i="4"/>
  <c r="O185" i="4"/>
  <c r="N185" i="4"/>
  <c r="F185" i="4"/>
  <c r="O184" i="4"/>
  <c r="N184" i="4"/>
  <c r="F184" i="4"/>
  <c r="O183" i="4"/>
  <c r="N183" i="4"/>
  <c r="F183" i="4"/>
  <c r="O182" i="4"/>
  <c r="N182" i="4"/>
  <c r="F182" i="4"/>
  <c r="O181" i="4"/>
  <c r="N181" i="4"/>
  <c r="F181" i="4"/>
  <c r="O180" i="4"/>
  <c r="N180" i="4"/>
  <c r="F180" i="4"/>
  <c r="O179" i="4"/>
  <c r="N179" i="4"/>
  <c r="F179" i="4"/>
  <c r="O178" i="4"/>
  <c r="N178" i="4"/>
  <c r="F178" i="4"/>
  <c r="O177" i="4"/>
  <c r="N177" i="4"/>
  <c r="F177" i="4"/>
  <c r="O176" i="4"/>
  <c r="N176" i="4"/>
  <c r="F176" i="4"/>
  <c r="O175" i="4"/>
  <c r="N175" i="4"/>
  <c r="F175" i="4"/>
  <c r="O174" i="4"/>
  <c r="N174" i="4"/>
  <c r="F174" i="4"/>
  <c r="O173" i="4"/>
  <c r="N173" i="4"/>
  <c r="F173" i="4"/>
  <c r="O172" i="4"/>
  <c r="N172" i="4"/>
  <c r="F172" i="4"/>
  <c r="O171" i="4"/>
  <c r="N171" i="4"/>
  <c r="F171" i="4"/>
  <c r="O170" i="4"/>
  <c r="N170" i="4"/>
  <c r="F170" i="4"/>
  <c r="O169" i="4"/>
  <c r="N169" i="4"/>
  <c r="F169" i="4"/>
  <c r="O168" i="4"/>
  <c r="N168" i="4"/>
  <c r="F168" i="4"/>
  <c r="O167" i="4"/>
  <c r="N167" i="4"/>
  <c r="F167" i="4"/>
  <c r="O166" i="4"/>
  <c r="N166" i="4"/>
  <c r="F166" i="4"/>
  <c r="O165" i="4"/>
  <c r="N165" i="4"/>
  <c r="F165" i="4"/>
  <c r="O164" i="4"/>
  <c r="N164" i="4"/>
  <c r="F164" i="4"/>
  <c r="O163" i="4"/>
  <c r="N163" i="4"/>
  <c r="F163" i="4"/>
  <c r="O162" i="4"/>
  <c r="N162" i="4"/>
  <c r="F162" i="4"/>
  <c r="O161" i="4"/>
  <c r="N161" i="4"/>
  <c r="F161" i="4"/>
  <c r="O160" i="4"/>
  <c r="N160" i="4"/>
  <c r="F160" i="4"/>
  <c r="O159" i="4"/>
  <c r="N159" i="4"/>
  <c r="F159" i="4"/>
  <c r="O158" i="4"/>
  <c r="N158" i="4"/>
  <c r="F158" i="4"/>
  <c r="O157" i="4"/>
  <c r="N157" i="4"/>
  <c r="F157" i="4"/>
  <c r="O156" i="4"/>
  <c r="N156" i="4"/>
  <c r="F156" i="4"/>
  <c r="O155" i="4"/>
  <c r="N155" i="4"/>
  <c r="F155" i="4"/>
  <c r="O154" i="4"/>
  <c r="N154" i="4"/>
  <c r="F154" i="4"/>
  <c r="O153" i="4"/>
  <c r="N153" i="4"/>
  <c r="F153" i="4"/>
  <c r="O152" i="4"/>
  <c r="N152" i="4"/>
  <c r="F152" i="4"/>
  <c r="O151" i="4"/>
  <c r="N151" i="4"/>
  <c r="F151" i="4"/>
  <c r="O150" i="4"/>
  <c r="N150" i="4"/>
  <c r="F150" i="4"/>
  <c r="O149" i="4"/>
  <c r="N149" i="4"/>
  <c r="F149" i="4"/>
  <c r="O148" i="4"/>
  <c r="N148" i="4"/>
  <c r="F148" i="4"/>
  <c r="O147" i="4"/>
  <c r="N147" i="4"/>
  <c r="F147" i="4"/>
  <c r="O146" i="4"/>
  <c r="N146" i="4"/>
  <c r="F146" i="4"/>
  <c r="O145" i="4"/>
  <c r="N145" i="4"/>
  <c r="F145" i="4"/>
  <c r="O144" i="4"/>
  <c r="N144" i="4"/>
  <c r="F144" i="4"/>
  <c r="O143" i="4"/>
  <c r="N143" i="4"/>
  <c r="F143" i="4"/>
  <c r="O142" i="4"/>
  <c r="N142" i="4"/>
  <c r="F142" i="4"/>
  <c r="O141" i="4"/>
  <c r="N141" i="4"/>
  <c r="F141" i="4"/>
  <c r="O140" i="4"/>
  <c r="N140" i="4"/>
  <c r="F140" i="4"/>
  <c r="O139" i="4"/>
  <c r="N139" i="4"/>
  <c r="F139" i="4"/>
  <c r="O138" i="4"/>
  <c r="N138" i="4"/>
  <c r="F138" i="4"/>
  <c r="O137" i="4"/>
  <c r="N137" i="4"/>
  <c r="F137" i="4"/>
  <c r="O136" i="4"/>
  <c r="N136" i="4"/>
  <c r="F136" i="4"/>
  <c r="O135" i="4"/>
  <c r="N135" i="4"/>
  <c r="F135" i="4"/>
  <c r="O134" i="4"/>
  <c r="N134" i="4"/>
  <c r="F134" i="4"/>
  <c r="O133" i="4"/>
  <c r="N133" i="4"/>
  <c r="F133" i="4"/>
  <c r="O132" i="4"/>
  <c r="N132" i="4"/>
  <c r="F132" i="4"/>
  <c r="O131" i="4"/>
  <c r="N131" i="4"/>
  <c r="F131" i="4"/>
  <c r="O130" i="4"/>
  <c r="N130" i="4"/>
  <c r="F130" i="4"/>
  <c r="O129" i="4"/>
  <c r="N129" i="4"/>
  <c r="F129" i="4"/>
  <c r="O128" i="4"/>
  <c r="N128" i="4"/>
  <c r="F128" i="4"/>
  <c r="O127" i="4"/>
  <c r="N127" i="4"/>
  <c r="F127" i="4"/>
  <c r="O126" i="4"/>
  <c r="N126" i="4"/>
  <c r="F126" i="4"/>
  <c r="O125" i="4"/>
  <c r="N125" i="4"/>
  <c r="F125" i="4"/>
  <c r="O124" i="4"/>
  <c r="N124" i="4"/>
  <c r="F124" i="4"/>
  <c r="O123" i="4"/>
  <c r="N123" i="4"/>
  <c r="F123" i="4"/>
  <c r="O122" i="4"/>
  <c r="N122" i="4"/>
  <c r="F122" i="4"/>
  <c r="O121" i="4"/>
  <c r="N121" i="4"/>
  <c r="F121" i="4"/>
  <c r="O120" i="4"/>
  <c r="N120" i="4"/>
  <c r="F120" i="4"/>
  <c r="O119" i="4"/>
  <c r="N119" i="4"/>
  <c r="F119" i="4"/>
  <c r="O118" i="4"/>
  <c r="N118" i="4"/>
  <c r="F118" i="4"/>
  <c r="O117" i="4"/>
  <c r="N117" i="4"/>
  <c r="F117" i="4"/>
  <c r="O116" i="4"/>
  <c r="N116" i="4"/>
  <c r="F116" i="4"/>
  <c r="O115" i="4"/>
  <c r="N115" i="4"/>
  <c r="F115" i="4"/>
  <c r="O114" i="4"/>
  <c r="N114" i="4"/>
  <c r="F114" i="4"/>
  <c r="O113" i="4"/>
  <c r="N113" i="4"/>
  <c r="F113" i="4"/>
  <c r="O112" i="4"/>
  <c r="N112" i="4"/>
  <c r="F112" i="4"/>
  <c r="O111" i="4"/>
  <c r="N111" i="4"/>
  <c r="F111" i="4"/>
  <c r="O110" i="4"/>
  <c r="N110" i="4"/>
  <c r="F110" i="4"/>
  <c r="O109" i="4"/>
  <c r="N109" i="4"/>
  <c r="F109" i="4"/>
  <c r="O108" i="4"/>
  <c r="N108" i="4"/>
  <c r="F108" i="4"/>
  <c r="O107" i="4"/>
  <c r="N107" i="4"/>
  <c r="F107" i="4"/>
  <c r="O106" i="4"/>
  <c r="N106" i="4"/>
  <c r="F106" i="4"/>
  <c r="O105" i="4"/>
  <c r="N105" i="4"/>
  <c r="F105" i="4"/>
  <c r="O104" i="4"/>
  <c r="N104" i="4"/>
  <c r="F104" i="4"/>
  <c r="O103" i="4"/>
  <c r="N103" i="4"/>
  <c r="F103" i="4"/>
  <c r="O102" i="4"/>
  <c r="N102" i="4"/>
  <c r="F102" i="4"/>
  <c r="O101" i="4"/>
  <c r="N101" i="4"/>
  <c r="F101" i="4"/>
  <c r="O100" i="4"/>
  <c r="N100" i="4"/>
  <c r="F100" i="4"/>
  <c r="O99" i="4"/>
  <c r="N99" i="4"/>
  <c r="F99" i="4"/>
  <c r="O98" i="4"/>
  <c r="N98" i="4"/>
  <c r="F98" i="4"/>
  <c r="O97" i="4"/>
  <c r="N97" i="4"/>
  <c r="F97" i="4"/>
  <c r="O96" i="4"/>
  <c r="N96" i="4"/>
  <c r="F96" i="4"/>
  <c r="O95" i="4"/>
  <c r="N95" i="4"/>
  <c r="F95" i="4"/>
  <c r="O94" i="4"/>
  <c r="N94" i="4"/>
  <c r="F94" i="4"/>
  <c r="O93" i="4"/>
  <c r="N93" i="4"/>
  <c r="F93" i="4"/>
  <c r="O92" i="4"/>
  <c r="N92" i="4"/>
  <c r="F92" i="4"/>
  <c r="O91" i="4"/>
  <c r="N91" i="4"/>
  <c r="F91" i="4"/>
  <c r="O90" i="4"/>
  <c r="N90" i="4"/>
  <c r="F90" i="4"/>
  <c r="O89" i="4"/>
  <c r="N89" i="4"/>
  <c r="F89" i="4"/>
  <c r="O88" i="4"/>
  <c r="N88" i="4"/>
  <c r="F88" i="4"/>
  <c r="O87" i="4"/>
  <c r="N87" i="4"/>
  <c r="F87" i="4"/>
  <c r="O86" i="4"/>
  <c r="N86" i="4"/>
  <c r="F86" i="4"/>
  <c r="O85" i="4"/>
  <c r="N85" i="4"/>
  <c r="F85" i="4"/>
  <c r="O84" i="4"/>
  <c r="N84" i="4"/>
  <c r="F84" i="4"/>
  <c r="O83" i="4"/>
  <c r="N83" i="4"/>
  <c r="F83" i="4"/>
  <c r="O82" i="4"/>
  <c r="N82" i="4"/>
  <c r="F82" i="4"/>
  <c r="O81" i="4"/>
  <c r="N81" i="4"/>
  <c r="F81" i="4"/>
  <c r="O80" i="4"/>
  <c r="N80" i="4"/>
  <c r="F80" i="4"/>
  <c r="O79" i="4"/>
  <c r="N79" i="4"/>
  <c r="F79" i="4"/>
  <c r="O78" i="4"/>
  <c r="N78" i="4"/>
  <c r="F78" i="4"/>
  <c r="O77" i="4"/>
  <c r="N77" i="4"/>
  <c r="F77" i="4"/>
  <c r="O76" i="4"/>
  <c r="N76" i="4"/>
  <c r="F76" i="4"/>
  <c r="O75" i="4"/>
  <c r="N75" i="4"/>
  <c r="F75" i="4"/>
  <c r="O74" i="4"/>
  <c r="N74" i="4"/>
  <c r="F74" i="4"/>
  <c r="O73" i="4"/>
  <c r="N73" i="4"/>
  <c r="F73" i="4"/>
  <c r="O72" i="4"/>
  <c r="N72" i="4"/>
  <c r="F72" i="4"/>
  <c r="O71" i="4"/>
  <c r="N71" i="4"/>
  <c r="F71" i="4"/>
  <c r="O70" i="4"/>
  <c r="N70" i="4"/>
  <c r="F70" i="4"/>
  <c r="O69" i="4"/>
  <c r="N69" i="4"/>
  <c r="F69" i="4"/>
  <c r="O68" i="4"/>
  <c r="N68" i="4"/>
  <c r="F68" i="4"/>
  <c r="O67" i="4"/>
  <c r="N67" i="4"/>
  <c r="F67" i="4"/>
  <c r="O66" i="4"/>
  <c r="N66" i="4"/>
  <c r="F66" i="4"/>
  <c r="O65" i="4"/>
  <c r="N65" i="4"/>
  <c r="F65" i="4"/>
  <c r="O64" i="4"/>
  <c r="N64" i="4"/>
  <c r="F64" i="4"/>
  <c r="O63" i="4"/>
  <c r="N63" i="4"/>
  <c r="F63" i="4"/>
  <c r="O62" i="4"/>
  <c r="N62" i="4"/>
  <c r="F62" i="4"/>
  <c r="O61" i="4"/>
  <c r="N61" i="4"/>
  <c r="F61" i="4"/>
  <c r="O60" i="4"/>
  <c r="N60" i="4"/>
  <c r="F60" i="4"/>
  <c r="O59" i="4"/>
  <c r="N59" i="4"/>
  <c r="F59" i="4"/>
  <c r="O58" i="4"/>
  <c r="N58" i="4"/>
  <c r="F58" i="4"/>
  <c r="O57" i="4"/>
  <c r="N57" i="4"/>
  <c r="F57" i="4"/>
  <c r="O56" i="4"/>
  <c r="N56" i="4"/>
  <c r="F56" i="4"/>
  <c r="O55" i="4"/>
  <c r="N55" i="4"/>
  <c r="F55" i="4"/>
  <c r="O54" i="4"/>
  <c r="N54" i="4"/>
  <c r="F54" i="4"/>
  <c r="O53" i="4"/>
  <c r="N53" i="4"/>
  <c r="F53" i="4"/>
  <c r="O52" i="4"/>
  <c r="N52" i="4"/>
  <c r="F52" i="4"/>
  <c r="O51" i="4"/>
  <c r="N51" i="4"/>
  <c r="F51" i="4"/>
  <c r="O50" i="4"/>
  <c r="N50" i="4"/>
  <c r="F50" i="4"/>
  <c r="O49" i="4"/>
  <c r="N49" i="4"/>
  <c r="F49" i="4"/>
  <c r="O48" i="4"/>
  <c r="N48" i="4"/>
  <c r="F48" i="4"/>
  <c r="O47" i="4"/>
  <c r="N47" i="4"/>
  <c r="F47" i="4"/>
  <c r="O46" i="4"/>
  <c r="N46" i="4"/>
  <c r="F46" i="4"/>
  <c r="O45" i="4"/>
  <c r="N45" i="4"/>
  <c r="F45" i="4"/>
  <c r="O44" i="4"/>
  <c r="N44" i="4"/>
  <c r="F44" i="4"/>
  <c r="O43" i="4"/>
  <c r="N43" i="4"/>
  <c r="F43" i="4"/>
  <c r="O42" i="4"/>
  <c r="N42" i="4"/>
  <c r="F42" i="4"/>
  <c r="O41" i="4"/>
  <c r="N41" i="4"/>
  <c r="F41" i="4"/>
  <c r="O40" i="4"/>
  <c r="N40" i="4"/>
  <c r="F40" i="4"/>
  <c r="O39" i="4"/>
  <c r="N39" i="4"/>
  <c r="F39" i="4"/>
  <c r="O38" i="4"/>
  <c r="N38" i="4"/>
  <c r="F38" i="4"/>
  <c r="O37" i="4"/>
  <c r="N37" i="4"/>
  <c r="F37" i="4"/>
  <c r="O36" i="4"/>
  <c r="N36" i="4"/>
  <c r="F36" i="4"/>
  <c r="O35" i="4"/>
  <c r="N35" i="4"/>
  <c r="F35" i="4"/>
  <c r="O34" i="4"/>
  <c r="N34" i="4"/>
  <c r="F34" i="4"/>
  <c r="O33" i="4"/>
  <c r="N33" i="4"/>
  <c r="F33" i="4"/>
  <c r="O32" i="4"/>
  <c r="N32" i="4"/>
  <c r="F32" i="4"/>
  <c r="O31" i="4"/>
  <c r="N31" i="4"/>
  <c r="F31" i="4"/>
  <c r="O30" i="4"/>
  <c r="N30" i="4"/>
  <c r="F30" i="4"/>
  <c r="O29" i="4"/>
  <c r="N29" i="4"/>
  <c r="F29" i="4"/>
  <c r="O28" i="4"/>
  <c r="N28" i="4"/>
  <c r="F28" i="4"/>
  <c r="O27" i="4"/>
  <c r="N27" i="4"/>
  <c r="F27" i="4"/>
  <c r="O26" i="4"/>
  <c r="N26" i="4"/>
  <c r="F26" i="4"/>
  <c r="O25" i="4"/>
  <c r="N25" i="4"/>
  <c r="F25" i="4"/>
  <c r="O24" i="4"/>
  <c r="N24" i="4"/>
  <c r="F24" i="4"/>
  <c r="O23" i="4"/>
  <c r="N23" i="4"/>
  <c r="F23" i="4"/>
  <c r="O22" i="4"/>
  <c r="N22" i="4"/>
  <c r="F22" i="4"/>
  <c r="O21" i="4"/>
  <c r="N21" i="4"/>
  <c r="F21" i="4"/>
  <c r="O20" i="4"/>
  <c r="N20" i="4"/>
  <c r="F20" i="4"/>
  <c r="O19" i="4"/>
  <c r="N19" i="4"/>
  <c r="F19" i="4"/>
  <c r="O18" i="4"/>
  <c r="N18" i="4"/>
  <c r="F18" i="4"/>
  <c r="O17" i="4"/>
  <c r="N17" i="4"/>
  <c r="F17" i="4"/>
  <c r="O16" i="4"/>
  <c r="N16" i="4"/>
  <c r="F16" i="4"/>
  <c r="O15" i="4"/>
  <c r="N15" i="4"/>
  <c r="F15" i="4"/>
  <c r="O14" i="4"/>
  <c r="N14" i="4"/>
  <c r="F14" i="4"/>
  <c r="O13" i="4"/>
  <c r="N13" i="4"/>
  <c r="F13" i="4"/>
  <c r="O12" i="4"/>
  <c r="N12" i="4"/>
  <c r="F12" i="4"/>
  <c r="O11" i="4"/>
  <c r="N11" i="4"/>
  <c r="F11" i="4"/>
  <c r="O10" i="4"/>
  <c r="N10" i="4"/>
  <c r="F10" i="4"/>
  <c r="O9" i="4"/>
  <c r="N9" i="4"/>
  <c r="F9" i="4"/>
  <c r="O8" i="4"/>
  <c r="N8" i="4"/>
  <c r="F8" i="4"/>
  <c r="O7" i="4"/>
  <c r="N7" i="4"/>
  <c r="F7" i="4"/>
  <c r="O6" i="4"/>
  <c r="N6" i="4"/>
  <c r="F6" i="4"/>
  <c r="O5" i="4"/>
  <c r="N5" i="4"/>
  <c r="F5" i="4"/>
  <c r="O4" i="4"/>
  <c r="N4" i="4"/>
  <c r="F4" i="4"/>
  <c r="O3" i="4"/>
  <c r="N3" i="4"/>
  <c r="F3" i="4"/>
</calcChain>
</file>

<file path=xl/connections.xml><?xml version="1.0" encoding="utf-8"?>
<connections xmlns="http://schemas.openxmlformats.org/spreadsheetml/2006/main">
  <connection id="1" name="temp8" type="6" refreshedVersion="4" background="1" saveData="1">
    <textPr codePage="437" sourceFile="C:\Users\lien.chen\Desktop\temp.csv" space="1" comma="1" consecutive="1" qualifier="singleQuote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<sst xmlns="http://schemas.openxmlformats.org/spreadsheetml/2006/main" count="14" uniqueCount="8">
  <si>
    <t>Diff(New-HARP)</t>
  </si>
  <si>
    <t>Currnet PMI</t>
  </si>
  <si>
    <t>HARP</t>
  </si>
  <si>
    <t>Pool Level</t>
  </si>
  <si>
    <t>asOfDate</t>
  </si>
  <si>
    <t>refinanceible</t>
  </si>
  <si>
    <t>Correct</t>
  </si>
  <si>
    <t>Wrong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</si>
</sst>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4">
    <numFmt numFmtId="5" formatCode="&quot;$&quot;#,##0_);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\£\ #,##0_);[Red]\(\£\ #,##0\)"/>
    <numFmt numFmtId="165" formatCode="\¥\ #,##0_);[Red]\(\¥\ #,##0\)"/>
    <numFmt numFmtId="166" formatCode="\•\ \ @"/>
    <numFmt numFmtId="167" formatCode="_(&quot;$&quot;* #,##0_);_(&quot;$&quot;* \(#,##0.0\);_(&quot;$&quot;* &quot;-&quot;??_);_(@_)"/>
    <numFmt numFmtId="168" formatCode="&quot;$&quot;#,##0.000"/>
    <numFmt numFmtId="169" formatCode="&quot;$&quot;#,##0.000000_);\(&quot;$&quot;#,##0.000000\)"/>
    <numFmt numFmtId="170" formatCode="#,##0.0_);[Red]\(&quot;$&quot;#,##0.0\)"/>
    <numFmt numFmtId="171" formatCode="0.000_)"/>
    <numFmt numFmtId="172" formatCode="\ \ _•\–\ \ \ \ @"/>
    <numFmt numFmtId="173" formatCode="0.00&quot;%&quot;"/>
    <numFmt numFmtId="174" formatCode="0&quot;%&quot;"/>
    <numFmt numFmtId="175" formatCode="mmmm\ d\,\ yyyy"/>
    <numFmt numFmtId="176" formatCode="0.000"/>
    <numFmt numFmtId="177" formatCode="0.0000000"/>
    <numFmt numFmtId="178" formatCode="_([$€-2]* #,##0.00_);_([$€-2]* \(#,##0.00\);_([$€-2]* &quot;-&quot;??_)"/>
    <numFmt numFmtId="179" formatCode="dd\-mmm\-yy\ hh:mm:ss"/>
    <numFmt numFmtId="180" formatCode="0.00_)"/>
    <numFmt numFmtId="181" formatCode="0.0#\%;\-0.0#\%"/>
    <numFmt numFmtId="182" formatCode="#,##0.0\ ;\(#,##0.0\)"/>
    <numFmt numFmtId="183" formatCode="#,##0\ \ \ ;\(#,##0\)\ \ "/>
    <numFmt numFmtId="184" formatCode="0.0"/>
    <numFmt numFmtId="185" formatCode="0.0000_)"/>
    <numFmt numFmtId="186" formatCode="0.000;\-0.000"/>
    <numFmt numFmtId="187" formatCode="0.00;\-0.00"/>
    <numFmt numFmtId="188" formatCode="#,##0.0_);\(#,##0.0\)"/>
    <numFmt numFmtId="189" formatCode="mm/dd/yy"/>
    <numFmt numFmtId="190" formatCode="#,###\ &quot;Months&quot;"/>
    <numFmt numFmtId="191" formatCode="##########.###"/>
    <numFmt numFmtId="192" formatCode="0.0#%"/>
    <numFmt numFmtId="193" formatCode="0.0;\-0.0"/>
  </numFmts>
  <fonts count="13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Arial"/>
      <family val="2"/>
    </font>
    <font>
      <sz val="12"/>
      <name val="Times New Roman"/>
      <family val="1"/>
    </font>
    <font>
      <sz val="11"/>
      <color indexed="8"/>
      <name val="Calibri"/>
      <family val="2"/>
    </font>
    <font>
      <sz val="10"/>
      <color indexed="8"/>
      <name val="Calibri"/>
      <family val="2"/>
    </font>
    <font>
      <sz val="10"/>
      <color indexed="8"/>
      <name val="Arial"/>
      <family val="2"/>
    </font>
    <font>
      <sz val="10"/>
      <color indexed="9"/>
      <name val="Calibri"/>
      <family val="2"/>
    </font>
    <font>
      <sz val="10"/>
      <color indexed="9"/>
      <name val="Arial"/>
      <family val="2"/>
    </font>
    <font>
      <sz val="11"/>
      <color indexed="9"/>
      <name val="Calibri"/>
      <family val="2"/>
    </font>
    <font>
      <sz val="10"/>
      <color indexed="20"/>
      <name val="Calibri"/>
      <family val="2"/>
    </font>
    <font>
      <sz val="10"/>
      <color indexed="10"/>
      <name val="Arial"/>
      <family val="2"/>
    </font>
    <font>
      <sz val="11"/>
      <color indexed="20"/>
      <name val="Calibri"/>
      <family val="2"/>
    </font>
    <font>
      <b/>
      <sz val="10"/>
      <color indexed="8"/>
      <name val="Arial"/>
      <family val="2"/>
    </font>
    <font>
      <sz val="8"/>
      <color indexed="12"/>
      <name val="Tms Rmn"/>
    </font>
    <font>
      <b/>
      <sz val="8"/>
      <color indexed="9"/>
      <name val="Arial"/>
      <family val="2"/>
    </font>
    <font>
      <b/>
      <sz val="9"/>
      <color indexed="12"/>
      <name val="Arial"/>
      <family val="2"/>
    </font>
    <font>
      <sz val="12"/>
      <name val="Tms Rmn"/>
    </font>
    <font>
      <b/>
      <sz val="12"/>
      <name val="Times New Roman"/>
      <family val="1"/>
    </font>
    <font>
      <sz val="9"/>
      <name val="Arial"/>
      <family val="2"/>
    </font>
    <font>
      <sz val="10"/>
      <name val="Century Schoolbook"/>
      <family val="1"/>
    </font>
    <font>
      <b/>
      <sz val="10"/>
      <color indexed="52"/>
      <name val="Calibri"/>
      <family val="2"/>
    </font>
    <font>
      <b/>
      <sz val="10"/>
      <color indexed="52"/>
      <name val="Arial"/>
      <family val="2"/>
    </font>
    <font>
      <b/>
      <sz val="11"/>
      <color indexed="52"/>
      <name val="Calibri"/>
      <family val="2"/>
    </font>
    <font>
      <b/>
      <sz val="10"/>
      <color rgb="FFFA7D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Calibri"/>
      <family val="2"/>
      <scheme val="minor"/>
    </font>
    <font>
      <sz val="10"/>
      <color rgb="FFFA7D00"/>
      <name val="Calibri"/>
      <family val="2"/>
      <scheme val="minor"/>
    </font>
    <font>
      <sz val="10"/>
      <color indexed="52"/>
      <name val="Calibri"/>
      <family val="2"/>
    </font>
    <font>
      <sz val="10"/>
      <color theme="4"/>
      <name val="Calibri"/>
      <family val="2"/>
      <scheme val="minor"/>
    </font>
    <font>
      <sz val="10"/>
      <name val="Calibri"/>
      <family val="2"/>
    </font>
    <font>
      <sz val="10"/>
      <color theme="1" tint="0.499984740745262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b/>
      <sz val="10"/>
      <color indexed="9"/>
      <name val="Calibri"/>
      <family val="2"/>
    </font>
    <font>
      <b/>
      <sz val="10"/>
      <color indexed="9"/>
      <name val="Arial"/>
      <family val="2"/>
    </font>
    <font>
      <b/>
      <sz val="11"/>
      <color indexed="9"/>
      <name val="Calibri"/>
      <family val="2"/>
    </font>
    <font>
      <sz val="8"/>
      <name val="Arial"/>
      <family val="2"/>
    </font>
    <font>
      <sz val="11"/>
      <name val="Tms Rmn"/>
      <family val="1"/>
    </font>
    <font>
      <sz val="11"/>
      <name val="Tms Rmn"/>
    </font>
    <font>
      <sz val="10"/>
      <name val="Helv"/>
    </font>
    <font>
      <sz val="10"/>
      <name val="MS Serif"/>
      <family val="1"/>
    </font>
    <font>
      <b/>
      <sz val="8"/>
      <name val="Arial"/>
      <family val="2"/>
    </font>
    <font>
      <sz val="11"/>
      <color indexed="12"/>
      <name val="Book Antiqua"/>
      <family val="1"/>
    </font>
    <font>
      <sz val="10"/>
      <name val="Times New Roman"/>
      <family val="1"/>
    </font>
    <font>
      <b/>
      <sz val="10"/>
      <name val="Arial"/>
      <family val="2"/>
    </font>
    <font>
      <b/>
      <i/>
      <sz val="10"/>
      <name val="Arial"/>
      <family val="2"/>
    </font>
    <font>
      <sz val="10"/>
      <name val="MS Sans Serif"/>
      <family val="2"/>
    </font>
    <font>
      <sz val="10"/>
      <color indexed="16"/>
      <name val="MS Serif"/>
      <family val="1"/>
    </font>
    <font>
      <b/>
      <sz val="9.5"/>
      <color indexed="10"/>
      <name val="Arial"/>
      <family val="2"/>
    </font>
    <font>
      <i/>
      <sz val="10"/>
      <color indexed="23"/>
      <name val="Calibri"/>
      <family val="2"/>
    </font>
    <font>
      <i/>
      <sz val="10"/>
      <color indexed="23"/>
      <name val="Arial"/>
      <family val="2"/>
    </font>
    <font>
      <i/>
      <sz val="11"/>
      <color indexed="23"/>
      <name val="Calibri"/>
      <family val="2"/>
    </font>
    <font>
      <sz val="10"/>
      <color indexed="17"/>
      <name val="Calibri"/>
      <family val="2"/>
    </font>
    <font>
      <sz val="10"/>
      <color indexed="17"/>
      <name val="Arial"/>
      <family val="2"/>
    </font>
    <font>
      <sz val="11"/>
      <color indexed="17"/>
      <name val="Calibri"/>
      <family val="2"/>
    </font>
    <font>
      <b/>
      <sz val="9"/>
      <color indexed="23"/>
      <name val="Arial"/>
      <family val="2"/>
    </font>
    <font>
      <b/>
      <sz val="12"/>
      <name val="Arial"/>
      <family val="2"/>
    </font>
    <font>
      <b/>
      <sz val="11"/>
      <name val="Book Antiqua"/>
      <family val="1"/>
    </font>
    <font>
      <b/>
      <sz val="15"/>
      <color indexed="62"/>
      <name val="Calibri"/>
      <family val="2"/>
    </font>
    <font>
      <b/>
      <sz val="15"/>
      <color indexed="56"/>
      <name val="Arial"/>
      <family val="2"/>
    </font>
    <font>
      <b/>
      <sz val="10"/>
      <name val="Times New Roman"/>
      <family val="1"/>
    </font>
    <font>
      <b/>
      <sz val="18"/>
      <name val="Arial"/>
      <family val="2"/>
    </font>
    <font>
      <b/>
      <sz val="15"/>
      <color indexed="56"/>
      <name val="Calibri"/>
      <family val="2"/>
    </font>
    <font>
      <b/>
      <sz val="13"/>
      <color indexed="62"/>
      <name val="Calibri"/>
      <family val="2"/>
    </font>
    <font>
      <b/>
      <sz val="13"/>
      <color indexed="56"/>
      <name val="Arial"/>
      <family val="2"/>
    </font>
    <font>
      <b/>
      <sz val="13"/>
      <color indexed="56"/>
      <name val="Calibri"/>
      <family val="2"/>
    </font>
    <font>
      <b/>
      <sz val="11"/>
      <color indexed="62"/>
      <name val="Calibri"/>
      <family val="2"/>
    </font>
    <font>
      <b/>
      <sz val="11"/>
      <color indexed="56"/>
      <name val="Arial"/>
      <family val="2"/>
    </font>
    <font>
      <b/>
      <sz val="11"/>
      <color indexed="56"/>
      <name val="Calibri"/>
      <family val="2"/>
    </font>
    <font>
      <b/>
      <sz val="16"/>
      <color indexed="8"/>
      <name val="Arial"/>
      <family val="2"/>
    </font>
    <font>
      <u/>
      <sz val="9"/>
      <color theme="10"/>
      <name val="Arial"/>
      <family val="2"/>
    </font>
    <font>
      <u/>
      <sz val="11"/>
      <color theme="10"/>
      <name val="Calibri"/>
      <family val="2"/>
    </font>
    <font>
      <sz val="10"/>
      <color indexed="12"/>
      <name val="MS Sans Serif"/>
      <family val="2"/>
    </font>
    <font>
      <sz val="10"/>
      <color indexed="56"/>
      <name val="Arial"/>
      <family val="2"/>
    </font>
    <font>
      <sz val="10"/>
      <color indexed="12"/>
      <name val="Arial"/>
      <family val="2"/>
    </font>
    <font>
      <b/>
      <sz val="10"/>
      <name val="Book Antiqua"/>
      <family val="1"/>
    </font>
    <font>
      <sz val="10"/>
      <color indexed="52"/>
      <name val="Arial"/>
      <family val="2"/>
    </font>
    <font>
      <sz val="11"/>
      <color indexed="52"/>
      <name val="Calibri"/>
      <family val="2"/>
    </font>
    <font>
      <sz val="10"/>
      <color indexed="60"/>
      <name val="Calibri"/>
      <family val="2"/>
    </font>
    <font>
      <sz val="10"/>
      <color indexed="60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i/>
      <sz val="16"/>
      <name val="Helv"/>
    </font>
    <font>
      <sz val="9"/>
      <color theme="1"/>
      <name val="Arial"/>
      <family val="2"/>
    </font>
    <font>
      <b/>
      <sz val="11"/>
      <name val="Arial"/>
      <family val="2"/>
    </font>
    <font>
      <b/>
      <i/>
      <sz val="8"/>
      <name val="Book Antiqua"/>
      <family val="1"/>
    </font>
    <font>
      <sz val="10"/>
      <name val="Book Antiqua"/>
      <family val="1"/>
    </font>
    <font>
      <b/>
      <sz val="9"/>
      <color indexed="52"/>
      <name val="Arial"/>
      <family val="2"/>
    </font>
    <font>
      <b/>
      <sz val="10"/>
      <color indexed="63"/>
      <name val="Calibri"/>
      <family val="2"/>
    </font>
    <font>
      <b/>
      <sz val="10"/>
      <color indexed="63"/>
      <name val="Arial"/>
      <family val="2"/>
    </font>
    <font>
      <b/>
      <sz val="11"/>
      <color indexed="63"/>
      <name val="Calibri"/>
      <family val="2"/>
    </font>
    <font>
      <b/>
      <i/>
      <sz val="10"/>
      <color indexed="8"/>
      <name val="Arial"/>
      <family val="2"/>
    </font>
    <font>
      <b/>
      <sz val="11"/>
      <color indexed="21"/>
      <name val="Arial"/>
      <family val="2"/>
    </font>
    <font>
      <b/>
      <sz val="22"/>
      <color indexed="21"/>
      <name val="Times New Roman"/>
      <family val="1"/>
    </font>
    <font>
      <sz val="9"/>
      <name val="Times New Roman"/>
      <family val="1"/>
    </font>
    <font>
      <b/>
      <sz val="9"/>
      <name val="Arial"/>
      <family val="2"/>
    </font>
    <font>
      <b/>
      <sz val="10"/>
      <color indexed="8"/>
      <name val="Arial Narrow"/>
      <family val="2"/>
    </font>
    <font>
      <b/>
      <sz val="10"/>
      <name val="MS Sans Serif"/>
      <family val="2"/>
    </font>
    <font>
      <sz val="8"/>
      <name val="Helv"/>
    </font>
    <font>
      <b/>
      <sz val="14"/>
      <name val="Arial Narrow"/>
      <family val="2"/>
    </font>
    <font>
      <sz val="9"/>
      <color indexed="10"/>
      <name val="Arial"/>
      <family val="2"/>
    </font>
    <font>
      <sz val="9"/>
      <color indexed="8"/>
      <name val="Times New Roman"/>
      <family val="1"/>
    </font>
    <font>
      <b/>
      <sz val="8"/>
      <color indexed="12"/>
      <name val="Arial"/>
      <family val="2"/>
    </font>
    <font>
      <b/>
      <sz val="8"/>
      <color indexed="8"/>
      <name val="Helv"/>
    </font>
    <font>
      <b/>
      <i/>
      <sz val="9"/>
      <name val="Arial"/>
      <family val="2"/>
    </font>
    <font>
      <sz val="9"/>
      <color indexed="9"/>
      <name val="Arial"/>
      <family val="2"/>
    </font>
    <font>
      <b/>
      <u/>
      <sz val="8"/>
      <name val="Arial"/>
      <family val="2"/>
    </font>
    <font>
      <sz val="8"/>
      <name val="Book Antiqua"/>
      <family val="1"/>
    </font>
    <font>
      <sz val="10"/>
      <name val="Courier New"/>
      <family val="3"/>
    </font>
    <font>
      <sz val="10"/>
      <color indexed="12"/>
      <name val="Courier New"/>
      <family val="3"/>
    </font>
    <font>
      <b/>
      <u/>
      <sz val="9"/>
      <name val="Arial"/>
      <family val="2"/>
    </font>
    <font>
      <b/>
      <sz val="18"/>
      <color indexed="62"/>
      <name val="Cambria"/>
      <family val="2"/>
    </font>
    <font>
      <b/>
      <sz val="18"/>
      <color indexed="56"/>
      <name val="Cambria"/>
      <family val="2"/>
    </font>
    <font>
      <b/>
      <sz val="10"/>
      <color indexed="8"/>
      <name val="Calibri"/>
      <family val="2"/>
    </font>
    <font>
      <b/>
      <sz val="11"/>
      <color indexed="8"/>
      <name val="Calibri"/>
      <family val="2"/>
    </font>
    <font>
      <b/>
      <sz val="16"/>
      <color indexed="10"/>
      <name val="Arial"/>
      <family val="2"/>
    </font>
    <font>
      <sz val="10"/>
      <color indexed="10"/>
      <name val="Calibri"/>
      <family val="2"/>
    </font>
    <font>
      <sz val="10"/>
      <color indexed="53"/>
      <name val="Arial"/>
      <family val="2"/>
    </font>
    <font>
      <sz val="11"/>
      <color indexed="10"/>
      <name val="Calibri"/>
      <family val="2"/>
    </font>
    <font>
      <sz val="10"/>
      <color theme="6" tint="-0.24994659260841701"/>
      <name val="Calibri"/>
      <family val="2"/>
      <scheme val="minor"/>
    </font>
    <font>
      <sz val="11"/>
      <color theme="5"/>
      <name val="Calibri"/>
      <family val="2"/>
      <scheme val="minor"/>
    </font>
    <font>
      <sz val="10"/>
      <color theme="2" tint="-0.499984740745262"/>
      <name val="Calibri"/>
      <family val="2"/>
      <scheme val="minor"/>
    </font>
    <font>
      <sz val="11"/>
      <color theme="2" tint="-0.499984740745262"/>
      <name val="Calibri"/>
      <family val="2"/>
      <scheme val="minor"/>
    </font>
    <font>
      <sz val="11"/>
      <color theme="7" tint="-0.24994659260841701"/>
      <name val="Calibri"/>
      <family val="2"/>
      <scheme val="minor"/>
    </font>
    <font>
      <sz val="11"/>
      <color theme="6" tint="-0.24994659260841701"/>
      <name val="Calibri"/>
      <family val="2"/>
      <scheme val="minor"/>
    </font>
  </fonts>
  <fills count="67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/>
        <bgColor theme="4"/>
      </patternFill>
    </fill>
    <fill>
      <patternFill patternType="solid">
        <fgColor indexed="31"/>
      </patternFill>
    </fill>
    <fill>
      <patternFill patternType="solid">
        <fgColor indexed="47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9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13"/>
      </patternFill>
    </fill>
    <fill>
      <patternFill patternType="solid">
        <fgColor indexed="22"/>
      </patternFill>
    </fill>
    <fill>
      <patternFill patternType="solid">
        <fgColor indexed="40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15"/>
      </patternFill>
    </fill>
    <fill>
      <patternFill patternType="solid">
        <fgColor indexed="30"/>
      </patternFill>
    </fill>
    <fill>
      <patternFill patternType="solid">
        <fgColor indexed="18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5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1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3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rgb="FFF6F9FC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EFEBE4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8"/>
      </patternFill>
    </fill>
    <fill>
      <patternFill patternType="solid">
        <fgColor rgb="FFEFF3E5"/>
        <bgColor indexed="64"/>
      </patternFill>
    </fill>
    <fill>
      <patternFill patternType="solid">
        <fgColor rgb="FFF2F1EA"/>
        <bgColor indexed="64"/>
      </patternFill>
    </fill>
    <fill>
      <patternFill patternType="solid">
        <fgColor rgb="FFE5F4F7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8" tint="0.79998168889431442"/>
        <bgColor indexed="64"/>
      </patternFill>
    </fill>
  </fills>
  <borders count="4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4"/>
      </right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hair">
        <color rgb="FF7F7F7F"/>
      </top>
      <bottom style="hair">
        <color rgb="FF7F7F7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hair">
        <color indexed="23"/>
      </top>
      <bottom style="hair">
        <color indexed="23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rgb="FF3F3F3F"/>
      </top>
      <bottom style="hair">
        <color rgb="FF3F3F3F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15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15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tted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ck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049">
    <xf numFmtId="0" fontId="0" fillId="0" borderId="0"/>
    <xf numFmtId="9" fontId="1" fillId="0" borderId="0" applyFont="0" applyFill="0" applyBorder="0" applyAlignment="0" applyProtection="0"/>
    <xf numFmtId="0" fontId="9" fillId="0" borderId="0" applyNumberFormat="0" applyFill="0" applyBorder="0" applyAlignment="0" applyProtection="0">
      <alignment horizontal="left" wrapText="1"/>
    </xf>
    <xf numFmtId="0" fontId="9" fillId="0" borderId="0" applyNumberFormat="0" applyFill="0" applyBorder="0" applyAlignment="0" applyProtection="0">
      <alignment horizontal="left" wrapText="1"/>
    </xf>
    <xf numFmtId="0" fontId="9" fillId="0" borderId="0" applyNumberFormat="0" applyFill="0" applyBorder="0" applyAlignment="0" applyProtection="0">
      <alignment horizontal="left" wrapText="1"/>
    </xf>
    <xf numFmtId="0" fontId="9" fillId="0" borderId="0" applyNumberFormat="0" applyFill="0" applyBorder="0" applyAlignment="0" applyProtection="0">
      <alignment horizontal="left" wrapText="1"/>
    </xf>
    <xf numFmtId="164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7" fillId="5" borderId="0" applyNumberFormat="0" applyBorder="0" applyAlignment="0" applyProtection="0"/>
    <xf numFmtId="0" fontId="12" fillId="19" borderId="0" applyNumberFormat="0" applyBorder="0" applyAlignment="0" applyProtection="0"/>
    <xf numFmtId="0" fontId="13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" fillId="7" borderId="0" applyNumberFormat="0" applyBorder="0" applyAlignment="0" applyProtection="0"/>
    <xf numFmtId="0" fontId="12" fillId="21" borderId="0" applyNumberFormat="0" applyBorder="0" applyAlignment="0" applyProtection="0"/>
    <xf numFmtId="0" fontId="13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" fillId="9" borderId="0" applyNumberFormat="0" applyBorder="0" applyAlignment="0" applyProtection="0"/>
    <xf numFmtId="0" fontId="12" fillId="23" borderId="0" applyNumberFormat="0" applyBorder="0" applyAlignment="0" applyProtection="0"/>
    <xf numFmtId="0" fontId="13" fillId="22" borderId="0" applyNumberFormat="0" applyBorder="0" applyAlignment="0" applyProtection="0"/>
    <xf numFmtId="0" fontId="11" fillId="24" borderId="0" applyNumberFormat="0" applyBorder="0" applyAlignment="0" applyProtection="0"/>
    <xf numFmtId="0" fontId="11" fillId="24" borderId="0" applyNumberFormat="0" applyBorder="0" applyAlignment="0" applyProtection="0"/>
    <xf numFmtId="0" fontId="11" fillId="24" borderId="0" applyNumberFormat="0" applyBorder="0" applyAlignment="0" applyProtection="0"/>
    <xf numFmtId="0" fontId="11" fillId="24" borderId="0" applyNumberFormat="0" applyBorder="0" applyAlignment="0" applyProtection="0"/>
    <xf numFmtId="0" fontId="11" fillId="24" borderId="0" applyNumberFormat="0" applyBorder="0" applyAlignment="0" applyProtection="0"/>
    <xf numFmtId="0" fontId="11" fillId="24" borderId="0" applyNumberFormat="0" applyBorder="0" applyAlignment="0" applyProtection="0"/>
    <xf numFmtId="0" fontId="11" fillId="24" borderId="0" applyNumberFormat="0" applyBorder="0" applyAlignment="0" applyProtection="0"/>
    <xf numFmtId="0" fontId="1" fillId="11" borderId="0" applyNumberFormat="0" applyBorder="0" applyAlignment="0" applyProtection="0"/>
    <xf numFmtId="0" fontId="12" fillId="25" borderId="0" applyNumberFormat="0" applyBorder="0" applyAlignment="0" applyProtection="0"/>
    <xf numFmtId="0" fontId="13" fillId="26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" fillId="13" borderId="0" applyNumberFormat="0" applyBorder="0" applyAlignment="0" applyProtection="0"/>
    <xf numFmtId="0" fontId="12" fillId="19" borderId="0" applyNumberFormat="0" applyBorder="0" applyAlignment="0" applyProtection="0"/>
    <xf numFmtId="0" fontId="13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" fillId="15" borderId="0" applyNumberFormat="0" applyBorder="0" applyAlignment="0" applyProtection="0"/>
    <xf numFmtId="0" fontId="12" fillId="27" borderId="0" applyNumberFormat="0" applyBorder="0" applyAlignment="0" applyProtection="0"/>
    <xf numFmtId="0" fontId="13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" fillId="6" borderId="0" applyNumberFormat="0" applyBorder="0" applyAlignment="0" applyProtection="0"/>
    <xf numFmtId="0" fontId="12" fillId="30" borderId="0" applyNumberFormat="0" applyBorder="0" applyAlignment="0" applyProtection="0"/>
    <xf numFmtId="0" fontId="13" fillId="30" borderId="0" applyNumberFormat="0" applyBorder="0" applyAlignment="0" applyProtection="0"/>
    <xf numFmtId="0" fontId="11" fillId="30" borderId="0" applyNumberFormat="0" applyBorder="0" applyAlignment="0" applyProtection="0"/>
    <xf numFmtId="0" fontId="11" fillId="30" borderId="0" applyNumberFormat="0" applyBorder="0" applyAlignment="0" applyProtection="0"/>
    <xf numFmtId="0" fontId="11" fillId="30" borderId="0" applyNumberFormat="0" applyBorder="0" applyAlignment="0" applyProtection="0"/>
    <xf numFmtId="0" fontId="11" fillId="30" borderId="0" applyNumberFormat="0" applyBorder="0" applyAlignment="0" applyProtection="0"/>
    <xf numFmtId="0" fontId="11" fillId="30" borderId="0" applyNumberFormat="0" applyBorder="0" applyAlignment="0" applyProtection="0"/>
    <xf numFmtId="0" fontId="11" fillId="30" borderId="0" applyNumberFormat="0" applyBorder="0" applyAlignment="0" applyProtection="0"/>
    <xf numFmtId="0" fontId="11" fillId="30" borderId="0" applyNumberFormat="0" applyBorder="0" applyAlignment="0" applyProtection="0"/>
    <xf numFmtId="0" fontId="1" fillId="8" borderId="0" applyNumberFormat="0" applyBorder="0" applyAlignment="0" applyProtection="0"/>
    <xf numFmtId="0" fontId="12" fillId="21" borderId="0" applyNumberFormat="0" applyBorder="0" applyAlignment="0" applyProtection="0"/>
    <xf numFmtId="0" fontId="13" fillId="24" borderId="0" applyNumberFormat="0" applyBorder="0" applyAlignment="0" applyProtection="0"/>
    <xf numFmtId="0" fontId="11" fillId="31" borderId="0" applyNumberFormat="0" applyBorder="0" applyAlignment="0" applyProtection="0"/>
    <xf numFmtId="0" fontId="11" fillId="31" borderId="0" applyNumberFormat="0" applyBorder="0" applyAlignment="0" applyProtection="0"/>
    <xf numFmtId="0" fontId="11" fillId="31" borderId="0" applyNumberFormat="0" applyBorder="0" applyAlignment="0" applyProtection="0"/>
    <xf numFmtId="0" fontId="11" fillId="31" borderId="0" applyNumberFormat="0" applyBorder="0" applyAlignment="0" applyProtection="0"/>
    <xf numFmtId="0" fontId="11" fillId="31" borderId="0" applyNumberFormat="0" applyBorder="0" applyAlignment="0" applyProtection="0"/>
    <xf numFmtId="0" fontId="11" fillId="31" borderId="0" applyNumberFormat="0" applyBorder="0" applyAlignment="0" applyProtection="0"/>
    <xf numFmtId="0" fontId="11" fillId="31" borderId="0" applyNumberFormat="0" applyBorder="0" applyAlignment="0" applyProtection="0"/>
    <xf numFmtId="0" fontId="1" fillId="10" borderId="0" applyNumberFormat="0" applyBorder="0" applyAlignment="0" applyProtection="0"/>
    <xf numFmtId="0" fontId="12" fillId="27" borderId="0" applyNumberFormat="0" applyBorder="0" applyAlignment="0" applyProtection="0"/>
    <xf numFmtId="0" fontId="13" fillId="32" borderId="0" applyNumberFormat="0" applyBorder="0" applyAlignment="0" applyProtection="0"/>
    <xf numFmtId="0" fontId="11" fillId="24" borderId="0" applyNumberFormat="0" applyBorder="0" applyAlignment="0" applyProtection="0"/>
    <xf numFmtId="0" fontId="11" fillId="24" borderId="0" applyNumberFormat="0" applyBorder="0" applyAlignment="0" applyProtection="0"/>
    <xf numFmtId="0" fontId="11" fillId="24" borderId="0" applyNumberFormat="0" applyBorder="0" applyAlignment="0" applyProtection="0"/>
    <xf numFmtId="0" fontId="11" fillId="24" borderId="0" applyNumberFormat="0" applyBorder="0" applyAlignment="0" applyProtection="0"/>
    <xf numFmtId="0" fontId="11" fillId="24" borderId="0" applyNumberFormat="0" applyBorder="0" applyAlignment="0" applyProtection="0"/>
    <xf numFmtId="0" fontId="11" fillId="24" borderId="0" applyNumberFormat="0" applyBorder="0" applyAlignment="0" applyProtection="0"/>
    <xf numFmtId="0" fontId="11" fillId="24" borderId="0" applyNumberFormat="0" applyBorder="0" applyAlignment="0" applyProtection="0"/>
    <xf numFmtId="0" fontId="1" fillId="12" borderId="0" applyNumberFormat="0" applyBorder="0" applyAlignment="0" applyProtection="0"/>
    <xf numFmtId="0" fontId="12" fillId="29" borderId="0" applyNumberFormat="0" applyBorder="0" applyAlignment="0" applyProtection="0"/>
    <xf numFmtId="0" fontId="13" fillId="26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" fillId="14" borderId="0" applyNumberFormat="0" applyBorder="0" applyAlignment="0" applyProtection="0"/>
    <xf numFmtId="0" fontId="12" fillId="19" borderId="0" applyNumberFormat="0" applyBorder="0" applyAlignment="0" applyProtection="0"/>
    <xf numFmtId="0" fontId="13" fillId="19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" fillId="16" borderId="0" applyNumberFormat="0" applyBorder="0" applyAlignment="0" applyProtection="0"/>
    <xf numFmtId="0" fontId="14" fillId="34" borderId="0" applyNumberFormat="0" applyBorder="0" applyAlignment="0" applyProtection="0"/>
    <xf numFmtId="0" fontId="15" fillId="35" borderId="0" applyNumberFormat="0" applyBorder="0" applyAlignment="0" applyProtection="0"/>
    <xf numFmtId="0" fontId="16" fillId="36" borderId="0" applyNumberFormat="0" applyBorder="0" applyAlignment="0" applyProtection="0"/>
    <xf numFmtId="0" fontId="14" fillId="30" borderId="0" applyNumberFormat="0" applyBorder="0" applyAlignment="0" applyProtection="0"/>
    <xf numFmtId="0" fontId="15" fillId="30" borderId="0" applyNumberFormat="0" applyBorder="0" applyAlignment="0" applyProtection="0"/>
    <xf numFmtId="0" fontId="16" fillId="30" borderId="0" applyNumberFormat="0" applyBorder="0" applyAlignment="0" applyProtection="0"/>
    <xf numFmtId="0" fontId="14" fillId="21" borderId="0" applyNumberFormat="0" applyBorder="0" applyAlignment="0" applyProtection="0"/>
    <xf numFmtId="0" fontId="15" fillId="24" borderId="0" applyNumberFormat="0" applyBorder="0" applyAlignment="0" applyProtection="0"/>
    <xf numFmtId="0" fontId="16" fillId="31" borderId="0" applyNumberFormat="0" applyBorder="0" applyAlignment="0" applyProtection="0"/>
    <xf numFmtId="0" fontId="14" fillId="27" borderId="0" applyNumberFormat="0" applyBorder="0" applyAlignment="0" applyProtection="0"/>
    <xf numFmtId="0" fontId="15" fillId="37" borderId="0" applyNumberFormat="0" applyBorder="0" applyAlignment="0" applyProtection="0"/>
    <xf numFmtId="0" fontId="16" fillId="38" borderId="0" applyNumberFormat="0" applyBorder="0" applyAlignment="0" applyProtection="0"/>
    <xf numFmtId="0" fontId="14" fillId="34" borderId="0" applyNumberFormat="0" applyBorder="0" applyAlignment="0" applyProtection="0"/>
    <xf numFmtId="0" fontId="15" fillId="35" borderId="0" applyNumberFormat="0" applyBorder="0" applyAlignment="0" applyProtection="0"/>
    <xf numFmtId="0" fontId="16" fillId="34" borderId="0" applyNumberFormat="0" applyBorder="0" applyAlignment="0" applyProtection="0"/>
    <xf numFmtId="0" fontId="14" fillId="19" borderId="0" applyNumberFormat="0" applyBorder="0" applyAlignment="0" applyProtection="0"/>
    <xf numFmtId="0" fontId="15" fillId="19" borderId="0" applyNumberFormat="0" applyBorder="0" applyAlignment="0" applyProtection="0"/>
    <xf numFmtId="0" fontId="16" fillId="39" borderId="0" applyNumberFormat="0" applyBorder="0" applyAlignment="0" applyProtection="0"/>
    <xf numFmtId="0" fontId="14" fillId="34" borderId="0" applyNumberFormat="0" applyBorder="0" applyAlignment="0" applyProtection="0"/>
    <xf numFmtId="0" fontId="15" fillId="40" borderId="0" applyNumberFormat="0" applyBorder="0" applyAlignment="0" applyProtection="0"/>
    <xf numFmtId="0" fontId="16" fillId="41" borderId="0" applyNumberFormat="0" applyBorder="0" applyAlignment="0" applyProtection="0"/>
    <xf numFmtId="0" fontId="14" fillId="42" borderId="0" applyNumberFormat="0" applyBorder="0" applyAlignment="0" applyProtection="0"/>
    <xf numFmtId="0" fontId="15" fillId="43" borderId="0" applyNumberFormat="0" applyBorder="0" applyAlignment="0" applyProtection="0"/>
    <xf numFmtId="0" fontId="16" fillId="42" borderId="0" applyNumberFormat="0" applyBorder="0" applyAlignment="0" applyProtection="0"/>
    <xf numFmtId="0" fontId="14" fillId="44" borderId="0" applyNumberFormat="0" applyBorder="0" applyAlignment="0" applyProtection="0"/>
    <xf numFmtId="0" fontId="15" fillId="43" borderId="0" applyNumberFormat="0" applyBorder="0" applyAlignment="0" applyProtection="0"/>
    <xf numFmtId="0" fontId="16" fillId="44" borderId="0" applyNumberFormat="0" applyBorder="0" applyAlignment="0" applyProtection="0"/>
    <xf numFmtId="0" fontId="14" fillId="40" borderId="0" applyNumberFormat="0" applyBorder="0" applyAlignment="0" applyProtection="0"/>
    <xf numFmtId="0" fontId="15" fillId="40" borderId="0" applyNumberFormat="0" applyBorder="0" applyAlignment="0" applyProtection="0"/>
    <xf numFmtId="0" fontId="16" fillId="38" borderId="0" applyNumberFormat="0" applyBorder="0" applyAlignment="0" applyProtection="0"/>
    <xf numFmtId="0" fontId="14" fillId="34" borderId="0" applyNumberFormat="0" applyBorder="0" applyAlignment="0" applyProtection="0"/>
    <xf numFmtId="0" fontId="15" fillId="44" borderId="0" applyNumberFormat="0" applyBorder="0" applyAlignment="0" applyProtection="0"/>
    <xf numFmtId="0" fontId="16" fillId="34" borderId="0" applyNumberFormat="0" applyBorder="0" applyAlignment="0" applyProtection="0"/>
    <xf numFmtId="0" fontId="14" fillId="45" borderId="0" applyNumberFormat="0" applyBorder="0" applyAlignment="0" applyProtection="0"/>
    <xf numFmtId="0" fontId="15" fillId="45" borderId="0" applyNumberFormat="0" applyBorder="0" applyAlignment="0" applyProtection="0"/>
    <xf numFmtId="0" fontId="16" fillId="45" borderId="0" applyNumberFormat="0" applyBorder="0" applyAlignment="0" applyProtection="0"/>
    <xf numFmtId="0" fontId="9" fillId="0" borderId="0"/>
    <xf numFmtId="17" fontId="9" fillId="0" borderId="0" applyFont="0" applyFill="0" applyBorder="0" applyProtection="0">
      <alignment horizontal="left"/>
    </xf>
    <xf numFmtId="0" fontId="9" fillId="0" borderId="0" applyFont="0" applyFill="0" applyBorder="0" applyProtection="0">
      <alignment horizontal="left"/>
    </xf>
    <xf numFmtId="0" fontId="17" fillId="20" borderId="0" applyNumberFormat="0" applyBorder="0" applyAlignment="0" applyProtection="0"/>
    <xf numFmtId="0" fontId="18" fillId="20" borderId="0" applyNumberFormat="0" applyBorder="0" applyAlignment="0" applyProtection="0"/>
    <xf numFmtId="0" fontId="19" fillId="20" borderId="0" applyNumberFormat="0" applyBorder="0" applyAlignment="0" applyProtection="0"/>
    <xf numFmtId="38" fontId="20" fillId="23" borderId="0"/>
    <xf numFmtId="0" fontId="21" fillId="0" borderId="0" applyNumberFormat="0" applyFill="0" applyBorder="0" applyAlignment="0" applyProtection="0"/>
    <xf numFmtId="0" fontId="22" fillId="46" borderId="0">
      <alignment horizontal="left"/>
    </xf>
    <xf numFmtId="2" fontId="23" fillId="47" borderId="8" applyProtection="0">
      <alignment horizontal="left"/>
      <protection locked="0"/>
    </xf>
    <xf numFmtId="0" fontId="24" fillId="0" borderId="0" applyNumberFormat="0" applyFill="0" applyBorder="0" applyAlignment="0" applyProtection="0"/>
    <xf numFmtId="0" fontId="25" fillId="0" borderId="9" applyNumberFormat="0" applyFill="0" applyAlignment="0" applyProtection="0"/>
    <xf numFmtId="0" fontId="9" fillId="48" borderId="0"/>
    <xf numFmtId="166" fontId="10" fillId="0" borderId="0" applyFont="0" applyFill="0" applyBorder="0" applyAlignment="0" applyProtection="0"/>
    <xf numFmtId="0" fontId="26" fillId="0" borderId="0" applyFill="0" applyBorder="0" applyAlignment="0"/>
    <xf numFmtId="167" fontId="9" fillId="0" borderId="0" applyFill="0" applyBorder="0" applyAlignment="0"/>
    <xf numFmtId="0" fontId="26" fillId="0" borderId="0" applyFill="0" applyBorder="0" applyAlignment="0"/>
    <xf numFmtId="168" fontId="9" fillId="0" borderId="0" applyFill="0" applyBorder="0" applyAlignment="0"/>
    <xf numFmtId="0" fontId="9" fillId="0" borderId="0" applyFill="0" applyBorder="0" applyAlignment="0"/>
    <xf numFmtId="169" fontId="9" fillId="0" borderId="0" applyFill="0" applyBorder="0" applyAlignment="0"/>
    <xf numFmtId="0" fontId="9" fillId="0" borderId="0" applyFill="0" applyBorder="0" applyAlignment="0"/>
    <xf numFmtId="167" fontId="27" fillId="0" borderId="0" applyFill="0" applyBorder="0" applyAlignment="0"/>
    <xf numFmtId="0" fontId="9" fillId="0" borderId="0" applyFill="0" applyBorder="0" applyAlignment="0"/>
    <xf numFmtId="170" fontId="9" fillId="0" borderId="0" applyFill="0" applyBorder="0" applyAlignment="0"/>
    <xf numFmtId="0" fontId="26" fillId="0" borderId="0" applyFill="0" applyBorder="0" applyAlignment="0"/>
    <xf numFmtId="167" fontId="9" fillId="0" borderId="0" applyFill="0" applyBorder="0" applyAlignment="0"/>
    <xf numFmtId="0" fontId="26" fillId="0" borderId="0" applyFill="0" applyBorder="0" applyAlignment="0"/>
    <xf numFmtId="167" fontId="9" fillId="0" borderId="0" applyFill="0" applyBorder="0" applyAlignment="0"/>
    <xf numFmtId="0" fontId="26" fillId="0" borderId="0" applyFill="0" applyBorder="0" applyAlignment="0"/>
    <xf numFmtId="168" fontId="9" fillId="0" borderId="0" applyFill="0" applyBorder="0" applyAlignment="0"/>
    <xf numFmtId="0" fontId="28" fillId="23" borderId="10" applyNumberFormat="0" applyAlignment="0" applyProtection="0"/>
    <xf numFmtId="0" fontId="29" fillId="25" borderId="10" applyNumberFormat="0" applyAlignment="0" applyProtection="0"/>
    <xf numFmtId="0" fontId="30" fillId="27" borderId="10" applyNumberFormat="0" applyAlignment="0" applyProtection="0"/>
    <xf numFmtId="0" fontId="31" fillId="3" borderId="1" applyNumberFormat="0" applyAlignment="0" applyProtection="0"/>
    <xf numFmtId="0" fontId="4" fillId="3" borderId="1" applyNumberFormat="0" applyAlignment="0" applyProtection="0"/>
    <xf numFmtId="0" fontId="32" fillId="49" borderId="11" applyNumberFormat="0"/>
    <xf numFmtId="0" fontId="33" fillId="50" borderId="12" applyBorder="0">
      <alignment horizontal="center" wrapText="1"/>
    </xf>
    <xf numFmtId="0" fontId="33" fillId="51" borderId="12" applyBorder="0">
      <alignment horizontal="center" wrapText="1"/>
    </xf>
    <xf numFmtId="0" fontId="34" fillId="52" borderId="11" applyNumberFormat="0"/>
    <xf numFmtId="0" fontId="35" fillId="53" borderId="11" applyNumberFormat="0"/>
    <xf numFmtId="0" fontId="5" fillId="53" borderId="11" applyNumberFormat="0"/>
    <xf numFmtId="0" fontId="35" fillId="53" borderId="11" applyNumberFormat="0"/>
    <xf numFmtId="0" fontId="36" fillId="47" borderId="13" applyNumberFormat="0"/>
    <xf numFmtId="0" fontId="34" fillId="52" borderId="11" applyNumberFormat="0"/>
    <xf numFmtId="0" fontId="35" fillId="52" borderId="11" applyNumberFormat="0"/>
    <xf numFmtId="0" fontId="36" fillId="47" borderId="13" applyNumberFormat="0"/>
    <xf numFmtId="0" fontId="37" fillId="54" borderId="14" applyNumberFormat="0"/>
    <xf numFmtId="0" fontId="34" fillId="49" borderId="11" applyNumberFormat="0"/>
    <xf numFmtId="0" fontId="32" fillId="49" borderId="11" applyNumberFormat="0"/>
    <xf numFmtId="0" fontId="37" fillId="54" borderId="14" applyNumberFormat="0" applyBorder="0"/>
    <xf numFmtId="0" fontId="34" fillId="49" borderId="11" applyNumberFormat="0"/>
    <xf numFmtId="0" fontId="37" fillId="54" borderId="14" applyNumberFormat="0" applyBorder="0"/>
    <xf numFmtId="0" fontId="38" fillId="55" borderId="13" applyNumberFormat="0"/>
    <xf numFmtId="0" fontId="37" fillId="54" borderId="14" applyNumberFormat="0"/>
    <xf numFmtId="0" fontId="37" fillId="54" borderId="14" applyNumberFormat="0" applyBorder="0"/>
    <xf numFmtId="14" fontId="39" fillId="52" borderId="15" applyNumberFormat="0" applyAlignment="0"/>
    <xf numFmtId="14" fontId="39" fillId="53" borderId="15" applyNumberFormat="0" applyAlignment="0"/>
    <xf numFmtId="14" fontId="40" fillId="53" borderId="15" applyNumberFormat="0" applyAlignment="0"/>
    <xf numFmtId="14" fontId="39" fillId="52" borderId="15" applyNumberFormat="0" applyAlignment="0"/>
    <xf numFmtId="0" fontId="41" fillId="56" borderId="16" applyNumberFormat="0" applyAlignment="0" applyProtection="0"/>
    <xf numFmtId="0" fontId="42" fillId="56" borderId="16" applyNumberFormat="0" applyAlignment="0" applyProtection="0"/>
    <xf numFmtId="0" fontId="43" fillId="56" borderId="16" applyNumberFormat="0" applyAlignment="0" applyProtection="0"/>
    <xf numFmtId="0" fontId="44" fillId="0" borderId="0" applyNumberFormat="0" applyFill="0" applyBorder="0" applyAlignment="0" applyProtection="0"/>
    <xf numFmtId="171" fontId="45" fillId="0" borderId="0"/>
    <xf numFmtId="171" fontId="46" fillId="0" borderId="0"/>
    <xf numFmtId="171" fontId="45" fillId="0" borderId="0"/>
    <xf numFmtId="171" fontId="46" fillId="0" borderId="0"/>
    <xf numFmtId="171" fontId="45" fillId="0" borderId="0"/>
    <xf numFmtId="171" fontId="46" fillId="0" borderId="0"/>
    <xf numFmtId="171" fontId="45" fillId="0" borderId="0"/>
    <xf numFmtId="171" fontId="46" fillId="0" borderId="0"/>
    <xf numFmtId="171" fontId="45" fillId="0" borderId="0"/>
    <xf numFmtId="171" fontId="46" fillId="0" borderId="0"/>
    <xf numFmtId="171" fontId="45" fillId="0" borderId="0"/>
    <xf numFmtId="171" fontId="46" fillId="0" borderId="0"/>
    <xf numFmtId="171" fontId="45" fillId="0" borderId="0"/>
    <xf numFmtId="171" fontId="46" fillId="0" borderId="0"/>
    <xf numFmtId="171" fontId="45" fillId="0" borderId="0"/>
    <xf numFmtId="171" fontId="46" fillId="0" borderId="0"/>
    <xf numFmtId="0" fontId="26" fillId="0" borderId="0" applyFont="0" applyFill="0" applyBorder="0" applyAlignment="0" applyProtection="0"/>
    <xf numFmtId="167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3" fontId="9" fillId="0" borderId="0" applyFill="0" applyBorder="0" applyAlignment="0" applyProtection="0"/>
    <xf numFmtId="0" fontId="47" fillId="0" borderId="0"/>
    <xf numFmtId="0" fontId="48" fillId="0" borderId="0" applyNumberFormat="0" applyAlignment="0">
      <alignment horizontal="left"/>
    </xf>
    <xf numFmtId="0" fontId="49" fillId="0" borderId="0">
      <alignment horizontal="center"/>
    </xf>
    <xf numFmtId="0" fontId="47" fillId="0" borderId="0"/>
    <xf numFmtId="0" fontId="26" fillId="0" borderId="0" applyFont="0" applyFill="0" applyBorder="0" applyAlignment="0" applyProtection="0"/>
    <xf numFmtId="168" fontId="9" fillId="0" borderId="0" applyFont="0" applyFill="0" applyBorder="0" applyAlignment="0" applyProtection="0"/>
    <xf numFmtId="8" fontId="50" fillId="0" borderId="17">
      <protection locked="0"/>
    </xf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5" fontId="9" fillId="0" borderId="0" applyFill="0" applyBorder="0" applyAlignment="0" applyProtection="0"/>
    <xf numFmtId="172" fontId="10" fillId="0" borderId="0" applyFont="0" applyFill="0" applyBorder="0" applyAlignment="0" applyProtection="0"/>
    <xf numFmtId="10" fontId="9" fillId="0" borderId="0" applyFont="0" applyFill="0" applyBorder="0" applyProtection="0">
      <alignment horizontal="center"/>
    </xf>
    <xf numFmtId="173" fontId="9" fillId="0" borderId="0" applyFont="0" applyFill="0" applyBorder="0" applyProtection="0"/>
    <xf numFmtId="174" fontId="9" fillId="0" borderId="0" applyFont="0" applyFill="0" applyBorder="0" applyProtection="0"/>
    <xf numFmtId="15" fontId="51" fillId="0" borderId="0" applyFont="0" applyFill="0" applyBorder="0" applyAlignment="0" applyProtection="0"/>
    <xf numFmtId="0" fontId="47" fillId="0" borderId="0"/>
    <xf numFmtId="175" fontId="9" fillId="0" borderId="0" applyFill="0" applyBorder="0" applyAlignment="0" applyProtection="0"/>
    <xf numFmtId="175" fontId="9" fillId="0" borderId="0" applyFill="0" applyBorder="0" applyAlignment="0" applyProtection="0"/>
    <xf numFmtId="175" fontId="9" fillId="0" borderId="0" applyFill="0" applyBorder="0" applyAlignment="0" applyProtection="0"/>
    <xf numFmtId="175" fontId="9" fillId="0" borderId="0" applyFill="0" applyBorder="0" applyAlignment="0" applyProtection="0"/>
    <xf numFmtId="175" fontId="9" fillId="0" borderId="0" applyFill="0" applyBorder="0" applyAlignment="0" applyProtection="0"/>
    <xf numFmtId="15" fontId="13" fillId="23" borderId="0"/>
    <xf numFmtId="14" fontId="13" fillId="0" borderId="0" applyFill="0" applyBorder="0" applyAlignment="0"/>
    <xf numFmtId="0" fontId="49" fillId="47" borderId="0">
      <alignment horizontal="left"/>
    </xf>
    <xf numFmtId="175" fontId="9" fillId="0" borderId="0" applyFill="0" applyBorder="0" applyAlignment="0" applyProtection="0"/>
    <xf numFmtId="14" fontId="9" fillId="0" borderId="0"/>
    <xf numFmtId="0" fontId="52" fillId="30" borderId="0">
      <alignment horizontal="left"/>
    </xf>
    <xf numFmtId="0" fontId="53" fillId="0" borderId="0">
      <alignment horizontal="left"/>
    </xf>
    <xf numFmtId="38" fontId="54" fillId="0" borderId="18">
      <alignment vertical="center"/>
    </xf>
    <xf numFmtId="176" fontId="9" fillId="0" borderId="0">
      <alignment horizontal="right"/>
    </xf>
    <xf numFmtId="1" fontId="9" fillId="0" borderId="0">
      <alignment horizontal="right"/>
    </xf>
    <xf numFmtId="1" fontId="9" fillId="0" borderId="0">
      <alignment horizontal="right"/>
    </xf>
    <xf numFmtId="177" fontId="9" fillId="0" borderId="0">
      <alignment horizontal="right"/>
    </xf>
    <xf numFmtId="49" fontId="9" fillId="0" borderId="0">
      <alignment horizontal="left"/>
    </xf>
    <xf numFmtId="49" fontId="9" fillId="0" borderId="0">
      <alignment horizontal="left"/>
    </xf>
    <xf numFmtId="49" fontId="9" fillId="0" borderId="0">
      <alignment horizontal="right"/>
    </xf>
    <xf numFmtId="14" fontId="9" fillId="0" borderId="0">
      <alignment horizontal="left"/>
    </xf>
    <xf numFmtId="0" fontId="26" fillId="0" borderId="0" applyFill="0" applyBorder="0" applyAlignment="0"/>
    <xf numFmtId="167" fontId="9" fillId="0" borderId="0" applyFill="0" applyBorder="0" applyAlignment="0"/>
    <xf numFmtId="0" fontId="26" fillId="0" borderId="0" applyFill="0" applyBorder="0" applyAlignment="0"/>
    <xf numFmtId="168" fontId="9" fillId="0" borderId="0" applyFill="0" applyBorder="0" applyAlignment="0"/>
    <xf numFmtId="0" fontId="26" fillId="0" borderId="0" applyFill="0" applyBorder="0" applyAlignment="0"/>
    <xf numFmtId="167" fontId="9" fillId="0" borderId="0" applyFill="0" applyBorder="0" applyAlignment="0"/>
    <xf numFmtId="0" fontId="26" fillId="0" borderId="0" applyFill="0" applyBorder="0" applyAlignment="0"/>
    <xf numFmtId="167" fontId="9" fillId="0" borderId="0" applyFill="0" applyBorder="0" applyAlignment="0"/>
    <xf numFmtId="0" fontId="26" fillId="0" borderId="0" applyFill="0" applyBorder="0" applyAlignment="0"/>
    <xf numFmtId="168" fontId="9" fillId="0" borderId="0" applyFill="0" applyBorder="0" applyAlignment="0"/>
    <xf numFmtId="0" fontId="55" fillId="0" borderId="0" applyNumberFormat="0" applyAlignment="0">
      <alignment horizontal="left"/>
    </xf>
    <xf numFmtId="9" fontId="56" fillId="0" borderId="4" applyNumberFormat="0" applyBorder="0" applyAlignment="0">
      <protection locked="0"/>
    </xf>
    <xf numFmtId="178" fontId="9" fillId="0" borderId="0" applyFont="0" applyFill="0" applyBorder="0" applyAlignment="0" applyProtection="0"/>
    <xf numFmtId="0" fontId="57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2" fontId="9" fillId="0" borderId="0" applyFill="0" applyBorder="0" applyAlignment="0" applyProtection="0"/>
    <xf numFmtId="179" fontId="9" fillId="0" borderId="0" applyFont="0" applyFill="0" applyBorder="0" applyAlignment="0" applyProtection="0"/>
    <xf numFmtId="0" fontId="13" fillId="23" borderId="0"/>
    <xf numFmtId="0" fontId="60" fillId="22" borderId="0" applyNumberFormat="0" applyBorder="0" applyAlignment="0" applyProtection="0"/>
    <xf numFmtId="0" fontId="61" fillId="26" borderId="0" applyNumberFormat="0" applyBorder="0" applyAlignment="0" applyProtection="0"/>
    <xf numFmtId="0" fontId="62" fillId="22" borderId="0" applyNumberFormat="0" applyBorder="0" applyAlignment="0" applyProtection="0"/>
    <xf numFmtId="2" fontId="63" fillId="47" borderId="8" applyProtection="0">
      <alignment horizontal="left"/>
      <protection locked="0"/>
    </xf>
    <xf numFmtId="38" fontId="44" fillId="57" borderId="0" applyNumberFormat="0" applyBorder="0" applyAlignment="0" applyProtection="0"/>
    <xf numFmtId="0" fontId="64" fillId="0" borderId="19" applyNumberFormat="0" applyAlignment="0" applyProtection="0">
      <alignment horizontal="left" vertical="center"/>
    </xf>
    <xf numFmtId="0" fontId="64" fillId="0" borderId="20">
      <alignment horizontal="left" vertical="center"/>
    </xf>
    <xf numFmtId="0" fontId="65" fillId="27" borderId="4">
      <alignment horizontal="centerContinuous"/>
    </xf>
    <xf numFmtId="0" fontId="66" fillId="0" borderId="21" applyNumberFormat="0" applyFill="0" applyAlignment="0" applyProtection="0"/>
    <xf numFmtId="0" fontId="67" fillId="0" borderId="22" applyNumberFormat="0" applyFill="0" applyAlignment="0" applyProtection="0"/>
    <xf numFmtId="0" fontId="68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70" fillId="0" borderId="23" applyNumberFormat="0" applyFill="0" applyAlignment="0" applyProtection="0"/>
    <xf numFmtId="0" fontId="71" fillId="0" borderId="24" applyNumberFormat="0" applyFill="0" applyAlignment="0" applyProtection="0"/>
    <xf numFmtId="0" fontId="72" fillId="0" borderId="25" applyNumberFormat="0" applyFill="0" applyAlignment="0" applyProtection="0"/>
    <xf numFmtId="0" fontId="52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73" fillId="0" borderId="24" applyNumberFormat="0" applyFill="0" applyAlignment="0" applyProtection="0"/>
    <xf numFmtId="0" fontId="74" fillId="0" borderId="26" applyNumberFormat="0" applyFill="0" applyAlignment="0" applyProtection="0"/>
    <xf numFmtId="0" fontId="75" fillId="0" borderId="27" applyNumberFormat="0" applyFill="0" applyAlignment="0" applyProtection="0"/>
    <xf numFmtId="0" fontId="76" fillId="0" borderId="28" applyNumberFormat="0" applyFill="0" applyAlignment="0" applyProtection="0"/>
    <xf numFmtId="0" fontId="74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7" fillId="23" borderId="0"/>
    <xf numFmtId="0" fontId="69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top"/>
      <protection locked="0"/>
    </xf>
    <xf numFmtId="0" fontId="79" fillId="0" borderId="0" applyNumberFormat="0" applyFill="0" applyBorder="0" applyAlignment="0" applyProtection="0">
      <alignment vertical="top"/>
      <protection locked="0"/>
    </xf>
    <xf numFmtId="10" fontId="44" fillId="58" borderId="4" applyNumberFormat="0" applyBorder="0" applyAlignment="0" applyProtection="0"/>
    <xf numFmtId="0" fontId="2" fillId="2" borderId="1" applyNumberFormat="0" applyAlignment="0" applyProtection="0"/>
    <xf numFmtId="0" fontId="2" fillId="2" borderId="1" applyNumberFormat="0" applyAlignment="0" applyProtection="0"/>
    <xf numFmtId="0" fontId="2" fillId="2" borderId="1" applyNumberFormat="0" applyAlignment="0" applyProtection="0"/>
    <xf numFmtId="0" fontId="2" fillId="2" borderId="1" applyNumberFormat="0" applyAlignment="0" applyProtection="0"/>
    <xf numFmtId="0" fontId="2" fillId="2" borderId="1" applyNumberFormat="0" applyAlignment="0" applyProtection="0"/>
    <xf numFmtId="0" fontId="2" fillId="2" borderId="1" applyNumberFormat="0" applyAlignment="0" applyProtection="0"/>
    <xf numFmtId="2" fontId="80" fillId="0" borderId="29" applyNumberFormat="0" applyFill="0" applyBorder="0" applyAlignment="0">
      <alignment horizontal="center"/>
      <protection locked="0"/>
    </xf>
    <xf numFmtId="2" fontId="80" fillId="0" borderId="29" applyNumberFormat="0" applyFill="0" applyBorder="0" applyAlignment="0">
      <alignment horizontal="center"/>
      <protection locked="0"/>
    </xf>
    <xf numFmtId="0" fontId="2" fillId="2" borderId="1" applyNumberFormat="0" applyAlignment="0" applyProtection="0"/>
    <xf numFmtId="0" fontId="81" fillId="19" borderId="10" applyNumberFormat="0" applyAlignment="0" applyProtection="0"/>
    <xf numFmtId="0" fontId="81" fillId="19" borderId="10" applyNumberFormat="0" applyAlignment="0" applyProtection="0"/>
    <xf numFmtId="0" fontId="81" fillId="19" borderId="10" applyNumberFormat="0" applyAlignment="0" applyProtection="0"/>
    <xf numFmtId="0" fontId="81" fillId="19" borderId="10" applyNumberFormat="0" applyAlignment="0" applyProtection="0"/>
    <xf numFmtId="37" fontId="82" fillId="0" borderId="0" applyNumberFormat="0" applyAlignment="0">
      <protection locked="0"/>
    </xf>
    <xf numFmtId="0" fontId="2" fillId="2" borderId="1" applyNumberFormat="0" applyAlignment="0" applyProtection="0"/>
    <xf numFmtId="0" fontId="2" fillId="2" borderId="1" applyNumberFormat="0" applyAlignment="0" applyProtection="0"/>
    <xf numFmtId="0" fontId="83" fillId="0" borderId="0"/>
    <xf numFmtId="0" fontId="26" fillId="0" borderId="0" applyFill="0" applyBorder="0" applyAlignment="0"/>
    <xf numFmtId="167" fontId="9" fillId="0" borderId="0" applyFill="0" applyBorder="0" applyAlignment="0"/>
    <xf numFmtId="0" fontId="26" fillId="0" borderId="0" applyFill="0" applyBorder="0" applyAlignment="0"/>
    <xf numFmtId="168" fontId="9" fillId="0" borderId="0" applyFill="0" applyBorder="0" applyAlignment="0"/>
    <xf numFmtId="0" fontId="26" fillId="0" borderId="0" applyFill="0" applyBorder="0" applyAlignment="0"/>
    <xf numFmtId="167" fontId="9" fillId="0" borderId="0" applyFill="0" applyBorder="0" applyAlignment="0"/>
    <xf numFmtId="0" fontId="26" fillId="0" borderId="0" applyFill="0" applyBorder="0" applyAlignment="0"/>
    <xf numFmtId="167" fontId="9" fillId="0" borderId="0" applyFill="0" applyBorder="0" applyAlignment="0"/>
    <xf numFmtId="0" fontId="26" fillId="0" borderId="0" applyFill="0" applyBorder="0" applyAlignment="0"/>
    <xf numFmtId="168" fontId="9" fillId="0" borderId="0" applyFill="0" applyBorder="0" applyAlignment="0"/>
    <xf numFmtId="0" fontId="36" fillId="0" borderId="30" applyNumberFormat="0" applyFill="0" applyAlignment="0" applyProtection="0"/>
    <xf numFmtId="0" fontId="84" fillId="0" borderId="30" applyNumberFormat="0" applyFill="0" applyAlignment="0" applyProtection="0"/>
    <xf numFmtId="0" fontId="85" fillId="0" borderId="30" applyNumberFormat="0" applyFill="0" applyAlignment="0" applyProtection="0"/>
    <xf numFmtId="0" fontId="9" fillId="57" borderId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38" fontId="13" fillId="23" borderId="0"/>
    <xf numFmtId="0" fontId="86" fillId="19" borderId="0" applyNumberFormat="0" applyBorder="0" applyAlignment="0" applyProtection="0"/>
    <xf numFmtId="0" fontId="87" fillId="24" borderId="0" applyNumberFormat="0" applyBorder="0" applyAlignment="0" applyProtection="0"/>
    <xf numFmtId="0" fontId="88" fillId="48" borderId="0" applyNumberFormat="0" applyBorder="0" applyAlignment="0" applyProtection="0"/>
    <xf numFmtId="37" fontId="89" fillId="0" borderId="0"/>
    <xf numFmtId="0" fontId="52" fillId="23" borderId="0" applyNumberFormat="0" applyFont="0" applyFill="0" applyBorder="0" applyAlignment="0"/>
    <xf numFmtId="10" fontId="13" fillId="23" borderId="0"/>
    <xf numFmtId="180" fontId="90" fillId="0" borderId="0"/>
    <xf numFmtId="0" fontId="9" fillId="0" borderId="0"/>
    <xf numFmtId="0" fontId="9" fillId="0" borderId="0"/>
    <xf numFmtId="0" fontId="1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3" fillId="0" borderId="0"/>
    <xf numFmtId="0" fontId="13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34" fillId="52" borderId="0"/>
    <xf numFmtId="0" fontId="38" fillId="47" borderId="0"/>
    <xf numFmtId="0" fontId="9" fillId="0" borderId="0"/>
    <xf numFmtId="0" fontId="9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9" fillId="0" borderId="0"/>
    <xf numFmtId="0" fontId="9" fillId="0" borderId="0"/>
    <xf numFmtId="0" fontId="11" fillId="0" borderId="0"/>
    <xf numFmtId="0" fontId="9" fillId="0" borderId="0"/>
    <xf numFmtId="0" fontId="9" fillId="53" borderId="0"/>
    <xf numFmtId="0" fontId="9" fillId="53" borderId="0"/>
    <xf numFmtId="0" fontId="9" fillId="0" borderId="0"/>
    <xf numFmtId="0" fontId="9" fillId="0" borderId="0"/>
    <xf numFmtId="0" fontId="34" fillId="52" borderId="0"/>
    <xf numFmtId="0" fontId="34" fillId="52" borderId="0"/>
    <xf numFmtId="0" fontId="34" fillId="52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34" fillId="52" borderId="0"/>
    <xf numFmtId="0" fontId="9" fillId="0" borderId="0"/>
    <xf numFmtId="0" fontId="9" fillId="0" borderId="0"/>
    <xf numFmtId="0" fontId="34" fillId="52" borderId="0"/>
    <xf numFmtId="0" fontId="11" fillId="0" borderId="0"/>
    <xf numFmtId="0" fontId="1" fillId="0" borderId="0"/>
    <xf numFmtId="0" fontId="1" fillId="0" borderId="0"/>
    <xf numFmtId="0" fontId="9" fillId="0" borderId="0">
      <alignment vertical="top"/>
    </xf>
    <xf numFmtId="0" fontId="9" fillId="0" borderId="0">
      <alignment vertical="top"/>
    </xf>
    <xf numFmtId="0" fontId="34" fillId="52" borderId="0"/>
    <xf numFmtId="0" fontId="34" fillId="52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1" fillId="0" borderId="0"/>
    <xf numFmtId="0" fontId="9" fillId="0" borderId="0"/>
    <xf numFmtId="0" fontId="9" fillId="0" borderId="0"/>
    <xf numFmtId="0" fontId="34" fillId="4" borderId="3" applyNumberFormat="0" applyFont="0" applyAlignment="0" applyProtection="0"/>
    <xf numFmtId="0" fontId="13" fillId="21" borderId="31" applyNumberFormat="0" applyFont="0" applyAlignment="0" applyProtection="0"/>
    <xf numFmtId="0" fontId="92" fillId="21" borderId="31" applyNumberFormat="0" applyFont="0" applyAlignment="0" applyProtection="0"/>
    <xf numFmtId="0" fontId="34" fillId="4" borderId="3" applyNumberFormat="0" applyFont="0" applyAlignment="0" applyProtection="0"/>
    <xf numFmtId="0" fontId="93" fillId="0" borderId="0"/>
    <xf numFmtId="0" fontId="11" fillId="21" borderId="31" applyNumberFormat="0" applyFont="0" applyAlignment="0" applyProtection="0"/>
    <xf numFmtId="0" fontId="11" fillId="21" borderId="31" applyNumberFormat="0" applyFont="0" applyAlignment="0" applyProtection="0"/>
    <xf numFmtId="0" fontId="11" fillId="21" borderId="31" applyNumberFormat="0" applyFont="0" applyAlignment="0" applyProtection="0"/>
    <xf numFmtId="0" fontId="11" fillId="21" borderId="31" applyNumberFormat="0" applyFont="0" applyAlignment="0" applyProtection="0"/>
    <xf numFmtId="0" fontId="11" fillId="21" borderId="31" applyNumberFormat="0" applyFont="0" applyAlignment="0" applyProtection="0"/>
    <xf numFmtId="0" fontId="11" fillId="21" borderId="31" applyNumberFormat="0" applyFont="0" applyAlignment="0" applyProtection="0"/>
    <xf numFmtId="0" fontId="34" fillId="4" borderId="3" applyNumberFormat="0" applyFont="0" applyAlignment="0" applyProtection="0"/>
    <xf numFmtId="0" fontId="38" fillId="4" borderId="3" applyNumberFormat="0" applyFont="0" applyAlignment="0" applyProtection="0"/>
    <xf numFmtId="0" fontId="38" fillId="4" borderId="3" applyNumberFormat="0" applyFont="0" applyAlignment="0" applyProtection="0"/>
    <xf numFmtId="0" fontId="38" fillId="4" borderId="3" applyNumberFormat="0" applyFont="0" applyAlignment="0" applyProtection="0"/>
    <xf numFmtId="0" fontId="38" fillId="4" borderId="3" applyNumberFormat="0" applyFont="0" applyAlignment="0" applyProtection="0"/>
    <xf numFmtId="0" fontId="34" fillId="4" borderId="3" applyNumberFormat="0" applyFont="0" applyAlignment="0" applyProtection="0"/>
    <xf numFmtId="0" fontId="34" fillId="4" borderId="3" applyNumberFormat="0" applyFont="0" applyAlignment="0" applyProtection="0"/>
    <xf numFmtId="0" fontId="11" fillId="4" borderId="3" applyNumberFormat="0" applyFont="0" applyAlignment="0" applyProtection="0"/>
    <xf numFmtId="0" fontId="11" fillId="4" borderId="3" applyNumberFormat="0" applyFont="0" applyAlignment="0" applyProtection="0"/>
    <xf numFmtId="0" fontId="11" fillId="4" borderId="3" applyNumberFormat="0" applyFont="0" applyAlignment="0" applyProtection="0"/>
    <xf numFmtId="0" fontId="11" fillId="4" borderId="3" applyNumberFormat="0" applyFont="0" applyAlignment="0" applyProtection="0"/>
    <xf numFmtId="0" fontId="1" fillId="4" borderId="3" applyNumberFormat="0" applyFont="0" applyAlignment="0" applyProtection="0"/>
    <xf numFmtId="0" fontId="11" fillId="4" borderId="3" applyNumberFormat="0" applyFont="0" applyAlignment="0" applyProtection="0"/>
    <xf numFmtId="0" fontId="1" fillId="4" borderId="3" applyNumberFormat="0" applyFont="0" applyAlignment="0" applyProtection="0"/>
    <xf numFmtId="0" fontId="1" fillId="4" borderId="3" applyNumberFormat="0" applyFont="0" applyAlignment="0" applyProtection="0"/>
    <xf numFmtId="0" fontId="11" fillId="4" borderId="3" applyNumberFormat="0" applyFont="0" applyAlignment="0" applyProtection="0"/>
    <xf numFmtId="0" fontId="11" fillId="4" borderId="3" applyNumberFormat="0" applyFont="0" applyAlignment="0" applyProtection="0"/>
    <xf numFmtId="0" fontId="11" fillId="4" borderId="3" applyNumberFormat="0" applyFont="0" applyAlignment="0" applyProtection="0"/>
    <xf numFmtId="0" fontId="1" fillId="4" borderId="3" applyNumberFormat="0" applyFont="0" applyAlignment="0" applyProtection="0"/>
    <xf numFmtId="0" fontId="11" fillId="4" borderId="3" applyNumberFormat="0" applyFont="0" applyAlignment="0" applyProtection="0"/>
    <xf numFmtId="0" fontId="1" fillId="4" borderId="3" applyNumberFormat="0" applyFont="0" applyAlignment="0" applyProtection="0"/>
    <xf numFmtId="0" fontId="1" fillId="4" borderId="3" applyNumberFormat="0" applyFont="0" applyAlignment="0" applyProtection="0"/>
    <xf numFmtId="181" fontId="26" fillId="0" borderId="0">
      <alignment horizontal="center"/>
    </xf>
    <xf numFmtId="37" fontId="9" fillId="0" borderId="0"/>
    <xf numFmtId="182" fontId="44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183" fontId="94" fillId="0" borderId="0" applyNumberFormat="0" applyFill="0" applyBorder="0" applyAlignment="0" applyProtection="0"/>
    <xf numFmtId="184" fontId="26" fillId="0" borderId="0">
      <alignment horizontal="center"/>
    </xf>
    <xf numFmtId="0" fontId="34" fillId="59" borderId="0" applyNumberFormat="0" applyFont="0" applyBorder="0" applyAlignment="0" applyProtection="0"/>
    <xf numFmtId="0" fontId="38" fillId="59" borderId="0" applyNumberFormat="0" applyFont="0" applyBorder="0" applyAlignment="0" applyProtection="0"/>
    <xf numFmtId="0" fontId="38" fillId="59" borderId="0" applyNumberFormat="0" applyFont="0" applyBorder="0" applyAlignment="0" applyProtection="0"/>
    <xf numFmtId="0" fontId="38" fillId="59" borderId="0" applyNumberFormat="0" applyFont="0" applyBorder="0" applyAlignment="0" applyProtection="0"/>
    <xf numFmtId="0" fontId="38" fillId="59" borderId="0" applyNumberFormat="0" applyFont="0" applyBorder="0" applyAlignment="0" applyProtection="0"/>
    <xf numFmtId="0" fontId="34" fillId="59" borderId="0" applyNumberFormat="0" applyFont="0" applyBorder="0" applyAlignment="0" applyProtection="0"/>
    <xf numFmtId="0" fontId="94" fillId="0" borderId="32"/>
    <xf numFmtId="2" fontId="95" fillId="47" borderId="8">
      <alignment horizontal="left"/>
    </xf>
    <xf numFmtId="0" fontId="96" fillId="23" borderId="33" applyNumberFormat="0" applyAlignment="0" applyProtection="0"/>
    <xf numFmtId="0" fontId="97" fillId="25" borderId="33" applyNumberFormat="0" applyAlignment="0" applyProtection="0"/>
    <xf numFmtId="0" fontId="98" fillId="27" borderId="33" applyNumberFormat="0" applyAlignment="0" applyProtection="0"/>
    <xf numFmtId="0" fontId="3" fillId="3" borderId="2" applyNumberFormat="0" applyAlignment="0" applyProtection="0"/>
    <xf numFmtId="40" fontId="13" fillId="47" borderId="0">
      <alignment horizontal="right"/>
    </xf>
    <xf numFmtId="0" fontId="99" fillId="58" borderId="0">
      <alignment horizontal="center"/>
    </xf>
    <xf numFmtId="0" fontId="42" fillId="60" borderId="8"/>
    <xf numFmtId="0" fontId="100" fillId="0" borderId="0" applyBorder="0">
      <alignment horizontal="centerContinuous"/>
    </xf>
    <xf numFmtId="0" fontId="101" fillId="0" borderId="0" applyBorder="0">
      <alignment horizontal="centerContinuous"/>
    </xf>
    <xf numFmtId="0" fontId="64" fillId="0" borderId="0"/>
    <xf numFmtId="0" fontId="9" fillId="0" borderId="0" applyFont="0" applyFill="0" applyBorder="0" applyAlignment="0" applyProtection="0"/>
    <xf numFmtId="170" fontId="9" fillId="0" borderId="0" applyFont="0" applyFill="0" applyBorder="0" applyAlignment="0" applyProtection="0"/>
    <xf numFmtId="0" fontId="102" fillId="0" borderId="0" applyFont="0" applyFill="0" applyBorder="0" applyAlignment="0" applyProtection="0"/>
    <xf numFmtId="185" fontId="27" fillId="0" borderId="0" applyFont="0" applyFill="0" applyBorder="0" applyAlignment="0" applyProtection="0"/>
    <xf numFmtId="10" fontId="9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94" fillId="0" borderId="0"/>
    <xf numFmtId="0" fontId="26" fillId="0" borderId="0" applyFill="0" applyBorder="0" applyAlignment="0"/>
    <xf numFmtId="167" fontId="9" fillId="0" borderId="0" applyFill="0" applyBorder="0" applyAlignment="0"/>
    <xf numFmtId="0" fontId="26" fillId="0" borderId="0" applyFill="0" applyBorder="0" applyAlignment="0"/>
    <xf numFmtId="168" fontId="9" fillId="0" borderId="0" applyFill="0" applyBorder="0" applyAlignment="0"/>
    <xf numFmtId="0" fontId="26" fillId="0" borderId="0" applyFill="0" applyBorder="0" applyAlignment="0"/>
    <xf numFmtId="167" fontId="9" fillId="0" borderId="0" applyFill="0" applyBorder="0" applyAlignment="0"/>
    <xf numFmtId="0" fontId="26" fillId="0" borderId="0" applyFill="0" applyBorder="0" applyAlignment="0"/>
    <xf numFmtId="167" fontId="9" fillId="0" borderId="0" applyFill="0" applyBorder="0" applyAlignment="0"/>
    <xf numFmtId="0" fontId="26" fillId="0" borderId="0" applyFill="0" applyBorder="0" applyAlignment="0"/>
    <xf numFmtId="168" fontId="9" fillId="0" borderId="0" applyFill="0" applyBorder="0" applyAlignment="0"/>
    <xf numFmtId="186" fontId="26" fillId="0" borderId="0">
      <alignment horizontal="center"/>
    </xf>
    <xf numFmtId="187" fontId="26" fillId="0" borderId="4">
      <alignment horizontal="center"/>
    </xf>
    <xf numFmtId="0" fontId="103" fillId="0" borderId="34" applyAlignment="0">
      <alignment horizontal="center"/>
    </xf>
    <xf numFmtId="0" fontId="104" fillId="57" borderId="0"/>
    <xf numFmtId="0" fontId="54" fillId="0" borderId="0" applyNumberFormat="0" applyFont="0" applyFill="0" applyBorder="0" applyAlignment="0" applyProtection="0">
      <alignment horizontal="left"/>
    </xf>
    <xf numFmtId="0" fontId="105" fillId="0" borderId="35">
      <alignment horizontal="center"/>
    </xf>
    <xf numFmtId="0" fontId="51" fillId="0" borderId="0">
      <alignment vertical="top"/>
    </xf>
    <xf numFmtId="188" fontId="51" fillId="0" borderId="0">
      <alignment vertical="top"/>
    </xf>
    <xf numFmtId="0" fontId="103" fillId="0" borderId="0">
      <alignment horizontal="left"/>
    </xf>
    <xf numFmtId="0" fontId="103" fillId="0" borderId="0">
      <alignment horizontal="right"/>
    </xf>
    <xf numFmtId="0" fontId="13" fillId="0" borderId="8" applyNumberFormat="0" applyBorder="0" applyAlignment="0"/>
    <xf numFmtId="189" fontId="106" fillId="0" borderId="0" applyNumberFormat="0" applyFill="0" applyBorder="0" applyAlignment="0" applyProtection="0">
      <alignment horizontal="left"/>
    </xf>
    <xf numFmtId="0" fontId="52" fillId="44" borderId="0">
      <alignment horizontal="left"/>
    </xf>
    <xf numFmtId="0" fontId="107" fillId="0" borderId="36"/>
    <xf numFmtId="187" fontId="23" fillId="21" borderId="0">
      <alignment horizontal="center"/>
    </xf>
    <xf numFmtId="187" fontId="108" fillId="21" borderId="0">
      <alignment horizontal="center"/>
    </xf>
    <xf numFmtId="187" fontId="23" fillId="22" borderId="0">
      <alignment horizontal="center"/>
    </xf>
    <xf numFmtId="0" fontId="23" fillId="21" borderId="0">
      <alignment horizontal="left"/>
    </xf>
    <xf numFmtId="0" fontId="109" fillId="0" borderId="0" applyFont="0" applyFill="0" applyBorder="0" applyAlignment="0" applyProtection="0"/>
    <xf numFmtId="190" fontId="27" fillId="0" borderId="0" applyFont="0" applyFill="0" applyBorder="0" applyAlignment="0" applyProtection="0"/>
    <xf numFmtId="191" fontId="9" fillId="0" borderId="0"/>
    <xf numFmtId="0" fontId="9" fillId="0" borderId="0"/>
    <xf numFmtId="0" fontId="9" fillId="0" borderId="0">
      <alignment horizontal="left" wrapText="1"/>
    </xf>
    <xf numFmtId="0" fontId="23" fillId="21" borderId="0">
      <alignment horizontal="center"/>
    </xf>
    <xf numFmtId="0" fontId="103" fillId="0" borderId="0"/>
    <xf numFmtId="0" fontId="110" fillId="0" borderId="0"/>
    <xf numFmtId="40" fontId="111" fillId="0" borderId="0" applyBorder="0">
      <alignment horizontal="right"/>
    </xf>
    <xf numFmtId="0" fontId="9" fillId="47" borderId="31"/>
    <xf numFmtId="0" fontId="26" fillId="0" borderId="0">
      <alignment horizontal="center"/>
    </xf>
    <xf numFmtId="15" fontId="26" fillId="0" borderId="0">
      <alignment horizontal="center"/>
    </xf>
    <xf numFmtId="0" fontId="112" fillId="0" borderId="0">
      <alignment horizontal="center"/>
    </xf>
    <xf numFmtId="3" fontId="26" fillId="0" borderId="0">
      <alignment horizontal="center"/>
    </xf>
    <xf numFmtId="192" fontId="26" fillId="0" borderId="0">
      <alignment horizontal="center"/>
    </xf>
    <xf numFmtId="187" fontId="26" fillId="0" borderId="0">
      <alignment horizontal="center"/>
    </xf>
    <xf numFmtId="0" fontId="113" fillId="61" borderId="0"/>
    <xf numFmtId="193" fontId="26" fillId="0" borderId="0">
      <alignment horizontal="center"/>
    </xf>
    <xf numFmtId="193" fontId="26" fillId="0" borderId="37">
      <alignment horizontal="center"/>
    </xf>
    <xf numFmtId="0" fontId="26" fillId="0" borderId="0">
      <alignment horizontal="left"/>
    </xf>
    <xf numFmtId="0" fontId="114" fillId="0" borderId="0">
      <alignment horizontal="center"/>
    </xf>
    <xf numFmtId="0" fontId="115" fillId="0" borderId="0" applyNumberFormat="0" applyFill="0" applyBorder="0"/>
    <xf numFmtId="0" fontId="13" fillId="23" borderId="0"/>
    <xf numFmtId="49" fontId="13" fillId="0" borderId="0" applyFill="0" applyBorder="0" applyAlignment="0"/>
    <xf numFmtId="0" fontId="26" fillId="0" borderId="0" applyFill="0" applyBorder="0" applyAlignment="0"/>
    <xf numFmtId="168" fontId="9" fillId="0" borderId="0" applyFill="0" applyBorder="0" applyAlignment="0"/>
    <xf numFmtId="0" fontId="9" fillId="0" borderId="0" applyFill="0" applyBorder="0" applyAlignment="0"/>
    <xf numFmtId="170" fontId="9" fillId="0" borderId="0" applyFill="0" applyBorder="0" applyAlignment="0"/>
    <xf numFmtId="49" fontId="9" fillId="0" borderId="0"/>
    <xf numFmtId="0" fontId="116" fillId="0" borderId="0">
      <alignment horizontal="right"/>
    </xf>
    <xf numFmtId="0" fontId="117" fillId="0" borderId="0">
      <alignment horizontal="right"/>
      <protection locked="0"/>
    </xf>
    <xf numFmtId="0" fontId="118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120" fillId="0" borderId="0" applyNumberFormat="0" applyFill="0" applyBorder="0" applyAlignment="0" applyProtection="0"/>
    <xf numFmtId="0" fontId="120" fillId="0" borderId="0" applyNumberFormat="0" applyFill="0" applyBorder="0" applyAlignment="0" applyProtection="0"/>
    <xf numFmtId="0" fontId="120" fillId="0" borderId="0" applyNumberFormat="0" applyFill="0" applyBorder="0" applyAlignment="0" applyProtection="0"/>
    <xf numFmtId="0" fontId="120" fillId="0" borderId="0" applyNumberFormat="0" applyFill="0" applyBorder="0" applyAlignment="0" applyProtection="0"/>
    <xf numFmtId="0" fontId="20" fillId="23" borderId="0"/>
    <xf numFmtId="0" fontId="34" fillId="62" borderId="38" applyBorder="0">
      <alignment horizontal="center" wrapText="1"/>
    </xf>
    <xf numFmtId="0" fontId="33" fillId="50" borderId="12" applyBorder="0">
      <alignment horizontal="center" wrapText="1"/>
    </xf>
    <xf numFmtId="0" fontId="33" fillId="50" borderId="12" applyBorder="0">
      <alignment horizontal="center" wrapText="1"/>
    </xf>
    <xf numFmtId="0" fontId="38" fillId="58" borderId="38" applyBorder="0">
      <alignment horizontal="center" wrapText="1"/>
    </xf>
    <xf numFmtId="0" fontId="34" fillId="63" borderId="12" applyBorder="0">
      <alignment horizontal="center" wrapText="1"/>
    </xf>
    <xf numFmtId="0" fontId="33" fillId="51" borderId="12" applyBorder="0">
      <alignment horizontal="center" wrapText="1"/>
    </xf>
    <xf numFmtId="0" fontId="34" fillId="63" borderId="12" applyBorder="0">
      <alignment horizontal="center" wrapText="1"/>
    </xf>
    <xf numFmtId="0" fontId="38" fillId="47" borderId="12" applyBorder="0">
      <alignment horizontal="center" wrapText="1"/>
    </xf>
    <xf numFmtId="0" fontId="7" fillId="64" borderId="12" applyBorder="0">
      <alignment horizontal="center" wrapText="1"/>
    </xf>
    <xf numFmtId="0" fontId="7" fillId="64" borderId="12" applyBorder="0">
      <alignment horizontal="center" wrapText="1"/>
    </xf>
    <xf numFmtId="0" fontId="7" fillId="64" borderId="12" applyBorder="0">
      <alignment horizontal="center" wrapText="1"/>
    </xf>
    <xf numFmtId="0" fontId="7" fillId="64" borderId="12" applyBorder="0">
      <alignment horizontal="center" wrapText="1"/>
    </xf>
    <xf numFmtId="0" fontId="12" fillId="65" borderId="12" applyBorder="0">
      <alignment horizontal="center" wrapText="1"/>
    </xf>
    <xf numFmtId="0" fontId="7" fillId="64" borderId="12" applyBorder="0">
      <alignment horizontal="center" wrapText="1"/>
    </xf>
    <xf numFmtId="0" fontId="7" fillId="64" borderId="12" applyBorder="0">
      <alignment horizontal="center" wrapText="1"/>
    </xf>
    <xf numFmtId="0" fontId="7" fillId="64" borderId="12" applyBorder="0">
      <alignment horizontal="center" wrapText="1"/>
    </xf>
    <xf numFmtId="0" fontId="12" fillId="65" borderId="12" applyBorder="0">
      <alignment horizontal="center" wrapText="1"/>
    </xf>
    <xf numFmtId="0" fontId="7" fillId="64" borderId="12" applyBorder="0">
      <alignment horizontal="center" wrapText="1"/>
    </xf>
    <xf numFmtId="0" fontId="7" fillId="64" borderId="12" applyBorder="0">
      <alignment horizontal="center" wrapText="1"/>
    </xf>
    <xf numFmtId="0" fontId="12" fillId="65" borderId="12" applyBorder="0">
      <alignment horizontal="center" wrapText="1"/>
    </xf>
    <xf numFmtId="0" fontId="7" fillId="64" borderId="12" applyBorder="0">
      <alignment horizontal="center" wrapText="1"/>
    </xf>
    <xf numFmtId="0" fontId="7" fillId="64" borderId="12" applyBorder="0">
      <alignment horizontal="center" wrapText="1"/>
    </xf>
    <xf numFmtId="0" fontId="12" fillId="65" borderId="12" applyBorder="0">
      <alignment horizontal="center" wrapText="1"/>
    </xf>
    <xf numFmtId="0" fontId="7" fillId="64" borderId="12" applyBorder="0">
      <alignment horizontal="center" wrapText="1"/>
    </xf>
    <xf numFmtId="0" fontId="7" fillId="64" borderId="12" applyBorder="0">
      <alignment horizontal="center" wrapText="1"/>
    </xf>
    <xf numFmtId="0" fontId="7" fillId="64" borderId="12" applyBorder="0">
      <alignment horizontal="center" wrapText="1"/>
    </xf>
    <xf numFmtId="0" fontId="33" fillId="66" borderId="12" applyBorder="0">
      <alignment horizontal="center" wrapText="1"/>
    </xf>
    <xf numFmtId="0" fontId="33" fillId="66" borderId="12" applyBorder="0">
      <alignment horizontal="center" wrapText="1"/>
    </xf>
    <xf numFmtId="0" fontId="7" fillId="64" borderId="12" applyBorder="0">
      <alignment horizontal="center" wrapText="1"/>
    </xf>
    <xf numFmtId="0" fontId="7" fillId="64" borderId="12" applyBorder="0">
      <alignment horizontal="center" wrapText="1"/>
    </xf>
    <xf numFmtId="0" fontId="7" fillId="64" borderId="12" applyBorder="0">
      <alignment horizontal="center" wrapText="1"/>
    </xf>
    <xf numFmtId="0" fontId="7" fillId="64" borderId="12" applyBorder="0">
      <alignment horizontal="center" wrapText="1"/>
    </xf>
    <xf numFmtId="0" fontId="12" fillId="65" borderId="12" applyBorder="0">
      <alignment horizontal="center" wrapText="1"/>
    </xf>
    <xf numFmtId="0" fontId="7" fillId="64" borderId="12" applyBorder="0">
      <alignment horizontal="center" wrapText="1"/>
    </xf>
    <xf numFmtId="0" fontId="7" fillId="64" borderId="12" applyBorder="0">
      <alignment horizontal="center" wrapText="1"/>
    </xf>
    <xf numFmtId="0" fontId="7" fillId="64" borderId="12" applyBorder="0">
      <alignment horizontal="center" wrapText="1"/>
    </xf>
    <xf numFmtId="0" fontId="7" fillId="64" borderId="12" applyBorder="0">
      <alignment horizontal="center" wrapText="1"/>
    </xf>
    <xf numFmtId="0" fontId="7" fillId="64" borderId="12" applyBorder="0">
      <alignment horizontal="center" wrapText="1"/>
    </xf>
    <xf numFmtId="0" fontId="7" fillId="64" borderId="12" applyBorder="0">
      <alignment horizontal="center" wrapText="1"/>
    </xf>
    <xf numFmtId="0" fontId="7" fillId="64" borderId="12" applyBorder="0">
      <alignment horizontal="center" wrapText="1"/>
    </xf>
    <xf numFmtId="0" fontId="12" fillId="65" borderId="12" applyBorder="0">
      <alignment horizontal="center" wrapText="1"/>
    </xf>
    <xf numFmtId="0" fontId="7" fillId="64" borderId="12" applyBorder="0">
      <alignment horizontal="center" wrapText="1"/>
    </xf>
    <xf numFmtId="0" fontId="7" fillId="64" borderId="12" applyBorder="0">
      <alignment horizontal="center" wrapText="1"/>
    </xf>
    <xf numFmtId="0" fontId="7" fillId="64" borderId="12" applyBorder="0">
      <alignment horizontal="center" wrapText="1"/>
    </xf>
    <xf numFmtId="0" fontId="12" fillId="65" borderId="12" applyBorder="0">
      <alignment horizontal="center" wrapText="1"/>
    </xf>
    <xf numFmtId="0" fontId="7" fillId="64" borderId="12" applyBorder="0">
      <alignment horizontal="center" wrapText="1"/>
    </xf>
    <xf numFmtId="0" fontId="7" fillId="64" borderId="12" applyBorder="0">
      <alignment horizontal="center" wrapText="1"/>
    </xf>
    <xf numFmtId="0" fontId="7" fillId="64" borderId="12" applyBorder="0">
      <alignment horizontal="center" wrapText="1"/>
    </xf>
    <xf numFmtId="0" fontId="12" fillId="65" borderId="12" applyBorder="0">
      <alignment horizontal="center" wrapText="1"/>
    </xf>
    <xf numFmtId="0" fontId="7" fillId="64" borderId="12" applyBorder="0">
      <alignment horizontal="center" wrapText="1"/>
    </xf>
    <xf numFmtId="0" fontId="7" fillId="64" borderId="12" applyBorder="0">
      <alignment horizontal="center" wrapText="1"/>
    </xf>
    <xf numFmtId="0" fontId="7" fillId="64" borderId="12" applyBorder="0">
      <alignment horizontal="center" wrapText="1"/>
    </xf>
    <xf numFmtId="0" fontId="12" fillId="65" borderId="12" applyBorder="0">
      <alignment horizontal="center" wrapText="1"/>
    </xf>
    <xf numFmtId="0" fontId="7" fillId="64" borderId="12" applyBorder="0">
      <alignment horizontal="center" wrapText="1"/>
    </xf>
    <xf numFmtId="0" fontId="7" fillId="64" borderId="12" applyBorder="0">
      <alignment horizontal="center" wrapText="1"/>
    </xf>
    <xf numFmtId="0" fontId="7" fillId="64" borderId="12" applyBorder="0">
      <alignment horizontal="center" wrapText="1"/>
    </xf>
    <xf numFmtId="0" fontId="12" fillId="65" borderId="12" applyBorder="0">
      <alignment horizontal="center" wrapText="1"/>
    </xf>
    <xf numFmtId="0" fontId="7" fillId="64" borderId="12" applyBorder="0">
      <alignment horizontal="center" wrapText="1"/>
    </xf>
    <xf numFmtId="0" fontId="7" fillId="64" borderId="12" applyBorder="0">
      <alignment horizontal="center" wrapText="1"/>
    </xf>
    <xf numFmtId="0" fontId="7" fillId="64" borderId="12" applyBorder="0">
      <alignment horizontal="center" wrapText="1"/>
    </xf>
    <xf numFmtId="0" fontId="12" fillId="65" borderId="12" applyBorder="0">
      <alignment horizontal="center" wrapText="1"/>
    </xf>
    <xf numFmtId="0" fontId="7" fillId="64" borderId="12" applyBorder="0">
      <alignment horizontal="center" wrapText="1"/>
    </xf>
    <xf numFmtId="0" fontId="7" fillId="64" borderId="12" applyBorder="0">
      <alignment horizontal="center" wrapText="1"/>
    </xf>
    <xf numFmtId="0" fontId="12" fillId="65" borderId="12" applyBorder="0">
      <alignment horizontal="center" wrapText="1"/>
    </xf>
    <xf numFmtId="0" fontId="7" fillId="64" borderId="12" applyBorder="0">
      <alignment horizontal="center" wrapText="1"/>
    </xf>
    <xf numFmtId="0" fontId="7" fillId="64" borderId="12" applyBorder="0">
      <alignment horizontal="center" wrapText="1"/>
    </xf>
    <xf numFmtId="0" fontId="12" fillId="65" borderId="12" applyBorder="0">
      <alignment horizontal="center" wrapText="1"/>
    </xf>
    <xf numFmtId="0" fontId="7" fillId="64" borderId="12" applyBorder="0">
      <alignment horizontal="center" wrapText="1"/>
    </xf>
    <xf numFmtId="0" fontId="7" fillId="64" borderId="12" applyBorder="0">
      <alignment horizontal="center" wrapText="1"/>
    </xf>
    <xf numFmtId="0" fontId="12" fillId="65" borderId="12" applyBorder="0">
      <alignment horizontal="center" wrapText="1"/>
    </xf>
    <xf numFmtId="0" fontId="7" fillId="64" borderId="12" applyBorder="0">
      <alignment horizontal="center" wrapText="1"/>
    </xf>
    <xf numFmtId="0" fontId="7" fillId="64" borderId="12" applyBorder="0">
      <alignment horizontal="center" wrapText="1"/>
    </xf>
    <xf numFmtId="0" fontId="7" fillId="64" borderId="12" applyBorder="0">
      <alignment horizontal="center" wrapText="1"/>
    </xf>
    <xf numFmtId="0" fontId="7" fillId="64" borderId="12" applyBorder="0">
      <alignment horizontal="center" wrapText="1"/>
    </xf>
    <xf numFmtId="0" fontId="12" fillId="65" borderId="12" applyBorder="0">
      <alignment horizontal="center" wrapText="1"/>
    </xf>
    <xf numFmtId="0" fontId="7" fillId="64" borderId="12" applyBorder="0">
      <alignment horizontal="center" wrapText="1"/>
    </xf>
    <xf numFmtId="0" fontId="7" fillId="64" borderId="12" applyBorder="0">
      <alignment horizontal="center" wrapText="1"/>
    </xf>
    <xf numFmtId="0" fontId="7" fillId="64" borderId="12" applyBorder="0">
      <alignment horizontal="center" wrapText="1"/>
    </xf>
    <xf numFmtId="0" fontId="12" fillId="65" borderId="12" applyBorder="0">
      <alignment horizontal="center" wrapText="1"/>
    </xf>
    <xf numFmtId="0" fontId="7" fillId="64" borderId="12" applyBorder="0">
      <alignment horizontal="center" wrapText="1"/>
    </xf>
    <xf numFmtId="0" fontId="7" fillId="64" borderId="12" applyBorder="0">
      <alignment horizontal="center" wrapText="1"/>
    </xf>
    <xf numFmtId="0" fontId="7" fillId="64" borderId="12" applyBorder="0">
      <alignment horizontal="center" wrapText="1"/>
    </xf>
    <xf numFmtId="0" fontId="12" fillId="65" borderId="12" applyBorder="0">
      <alignment horizontal="center" wrapText="1"/>
    </xf>
    <xf numFmtId="0" fontId="7" fillId="64" borderId="12" applyBorder="0">
      <alignment horizontal="center" wrapText="1"/>
    </xf>
    <xf numFmtId="0" fontId="7" fillId="64" borderId="12" applyBorder="0">
      <alignment horizontal="center" wrapText="1"/>
    </xf>
    <xf numFmtId="0" fontId="7" fillId="64" borderId="12" applyBorder="0">
      <alignment horizontal="center" wrapText="1"/>
    </xf>
    <xf numFmtId="0" fontId="12" fillId="65" borderId="12" applyBorder="0">
      <alignment horizontal="center" wrapText="1"/>
    </xf>
    <xf numFmtId="0" fontId="7" fillId="64" borderId="12" applyBorder="0">
      <alignment horizontal="center" wrapText="1"/>
    </xf>
    <xf numFmtId="0" fontId="7" fillId="64" borderId="12" applyBorder="0">
      <alignment horizontal="center" wrapText="1"/>
    </xf>
    <xf numFmtId="0" fontId="7" fillId="64" borderId="12" applyBorder="0">
      <alignment horizontal="center" wrapText="1"/>
    </xf>
    <xf numFmtId="0" fontId="12" fillId="65" borderId="12" applyBorder="0">
      <alignment horizontal="center" wrapText="1"/>
    </xf>
    <xf numFmtId="0" fontId="7" fillId="64" borderId="12" applyBorder="0">
      <alignment horizontal="center" wrapText="1"/>
    </xf>
    <xf numFmtId="0" fontId="7" fillId="64" borderId="12" applyBorder="0">
      <alignment horizontal="center" wrapText="1"/>
    </xf>
    <xf numFmtId="0" fontId="7" fillId="64" borderId="12" applyBorder="0">
      <alignment horizontal="center" wrapText="1"/>
    </xf>
    <xf numFmtId="0" fontId="12" fillId="65" borderId="12" applyBorder="0">
      <alignment horizontal="center" wrapText="1"/>
    </xf>
    <xf numFmtId="0" fontId="7" fillId="64" borderId="12" applyBorder="0">
      <alignment horizontal="center" wrapText="1"/>
    </xf>
    <xf numFmtId="0" fontId="7" fillId="64" borderId="12" applyBorder="0">
      <alignment horizontal="center" wrapText="1"/>
    </xf>
    <xf numFmtId="0" fontId="12" fillId="65" borderId="12" applyBorder="0">
      <alignment horizontal="center" wrapText="1"/>
    </xf>
    <xf numFmtId="0" fontId="7" fillId="64" borderId="12" applyBorder="0">
      <alignment horizontal="center" wrapText="1"/>
    </xf>
    <xf numFmtId="0" fontId="7" fillId="64" borderId="12" applyBorder="0">
      <alignment horizontal="center" wrapText="1"/>
    </xf>
    <xf numFmtId="0" fontId="12" fillId="65" borderId="12" applyBorder="0">
      <alignment horizontal="center" wrapText="1"/>
    </xf>
    <xf numFmtId="0" fontId="7" fillId="64" borderId="12" applyBorder="0">
      <alignment horizontal="center" wrapText="1"/>
    </xf>
    <xf numFmtId="0" fontId="7" fillId="64" borderId="12" applyBorder="0">
      <alignment horizontal="center" wrapText="1"/>
    </xf>
    <xf numFmtId="0" fontId="12" fillId="65" borderId="12" applyBorder="0">
      <alignment horizontal="center" wrapText="1"/>
    </xf>
    <xf numFmtId="0" fontId="7" fillId="64" borderId="12" applyBorder="0">
      <alignment horizontal="center" wrapText="1"/>
    </xf>
    <xf numFmtId="0" fontId="7" fillId="64" borderId="12" applyBorder="0">
      <alignment horizontal="center" wrapText="1"/>
    </xf>
    <xf numFmtId="0" fontId="7" fillId="64" borderId="12" applyBorder="0">
      <alignment horizontal="center" wrapText="1"/>
    </xf>
    <xf numFmtId="0" fontId="7" fillId="64" borderId="12" applyBorder="0">
      <alignment horizontal="center" wrapText="1"/>
    </xf>
    <xf numFmtId="0" fontId="12" fillId="65" borderId="12" applyBorder="0">
      <alignment horizontal="center" wrapText="1"/>
    </xf>
    <xf numFmtId="0" fontId="7" fillId="64" borderId="12" applyBorder="0">
      <alignment horizontal="center" wrapText="1"/>
    </xf>
    <xf numFmtId="0" fontId="7" fillId="64" borderId="12" applyBorder="0">
      <alignment horizontal="center" wrapText="1"/>
    </xf>
    <xf numFmtId="0" fontId="7" fillId="64" borderId="12" applyBorder="0">
      <alignment horizontal="center" wrapText="1"/>
    </xf>
    <xf numFmtId="0" fontId="12" fillId="65" borderId="12" applyBorder="0">
      <alignment horizontal="center" wrapText="1"/>
    </xf>
    <xf numFmtId="0" fontId="7" fillId="64" borderId="12" applyBorder="0">
      <alignment horizontal="center" wrapText="1"/>
    </xf>
    <xf numFmtId="0" fontId="7" fillId="64" borderId="12" applyBorder="0">
      <alignment horizontal="center" wrapText="1"/>
    </xf>
    <xf numFmtId="0" fontId="7" fillId="64" borderId="12" applyBorder="0">
      <alignment horizontal="center" wrapText="1"/>
    </xf>
    <xf numFmtId="0" fontId="12" fillId="65" borderId="12" applyBorder="0">
      <alignment horizontal="center" wrapText="1"/>
    </xf>
    <xf numFmtId="0" fontId="7" fillId="64" borderId="12" applyBorder="0">
      <alignment horizontal="center" wrapText="1"/>
    </xf>
    <xf numFmtId="0" fontId="7" fillId="64" borderId="12" applyBorder="0">
      <alignment horizontal="center" wrapText="1"/>
    </xf>
    <xf numFmtId="0" fontId="7" fillId="64" borderId="12" applyBorder="0">
      <alignment horizontal="center" wrapText="1"/>
    </xf>
    <xf numFmtId="0" fontId="12" fillId="65" borderId="12" applyBorder="0">
      <alignment horizontal="center" wrapText="1"/>
    </xf>
    <xf numFmtId="0" fontId="7" fillId="64" borderId="12" applyBorder="0">
      <alignment horizontal="center" wrapText="1"/>
    </xf>
    <xf numFmtId="0" fontId="7" fillId="64" borderId="12" applyBorder="0">
      <alignment horizontal="center" wrapText="1"/>
    </xf>
    <xf numFmtId="0" fontId="7" fillId="64" borderId="12" applyBorder="0">
      <alignment horizontal="center" wrapText="1"/>
    </xf>
    <xf numFmtId="0" fontId="12" fillId="65" borderId="12" applyBorder="0">
      <alignment horizontal="center" wrapText="1"/>
    </xf>
    <xf numFmtId="0" fontId="7" fillId="64" borderId="12" applyBorder="0">
      <alignment horizontal="center" wrapText="1"/>
    </xf>
    <xf numFmtId="0" fontId="7" fillId="64" borderId="12" applyBorder="0">
      <alignment horizontal="center" wrapText="1"/>
    </xf>
    <xf numFmtId="0" fontId="7" fillId="64" borderId="12" applyBorder="0">
      <alignment horizontal="center" wrapText="1"/>
    </xf>
    <xf numFmtId="0" fontId="12" fillId="65" borderId="12" applyBorder="0">
      <alignment horizontal="center" wrapText="1"/>
    </xf>
    <xf numFmtId="0" fontId="7" fillId="64" borderId="12" applyBorder="0">
      <alignment horizontal="center" wrapText="1"/>
    </xf>
    <xf numFmtId="0" fontId="7" fillId="64" borderId="12" applyBorder="0">
      <alignment horizontal="center" wrapText="1"/>
    </xf>
    <xf numFmtId="0" fontId="12" fillId="65" borderId="12" applyBorder="0">
      <alignment horizontal="center" wrapText="1"/>
    </xf>
    <xf numFmtId="0" fontId="7" fillId="64" borderId="12" applyBorder="0">
      <alignment horizontal="center" wrapText="1"/>
    </xf>
    <xf numFmtId="0" fontId="7" fillId="64" borderId="12" applyBorder="0">
      <alignment horizontal="center" wrapText="1"/>
    </xf>
    <xf numFmtId="0" fontId="12" fillId="65" borderId="12" applyBorder="0">
      <alignment horizontal="center" wrapText="1"/>
    </xf>
    <xf numFmtId="0" fontId="7" fillId="64" borderId="12" applyBorder="0">
      <alignment horizontal="center" wrapText="1"/>
    </xf>
    <xf numFmtId="0" fontId="7" fillId="64" borderId="12" applyBorder="0">
      <alignment horizontal="center" wrapText="1"/>
    </xf>
    <xf numFmtId="0" fontId="12" fillId="65" borderId="12" applyBorder="0">
      <alignment horizontal="center" wrapText="1"/>
    </xf>
    <xf numFmtId="0" fontId="7" fillId="64" borderId="12" applyBorder="0">
      <alignment horizontal="center" wrapText="1"/>
    </xf>
    <xf numFmtId="0" fontId="7" fillId="64" borderId="12" applyBorder="0">
      <alignment horizontal="center" wrapText="1"/>
    </xf>
    <xf numFmtId="0" fontId="7" fillId="64" borderId="12" applyBorder="0">
      <alignment horizontal="center" wrapText="1"/>
    </xf>
    <xf numFmtId="0" fontId="7" fillId="64" borderId="12" applyBorder="0">
      <alignment horizontal="center" wrapText="1"/>
    </xf>
    <xf numFmtId="0" fontId="12" fillId="65" borderId="12" applyBorder="0">
      <alignment horizontal="center" wrapText="1"/>
    </xf>
    <xf numFmtId="0" fontId="7" fillId="64" borderId="12" applyBorder="0">
      <alignment horizontal="center" wrapText="1"/>
    </xf>
    <xf numFmtId="0" fontId="7" fillId="64" borderId="12" applyBorder="0">
      <alignment horizontal="center" wrapText="1"/>
    </xf>
    <xf numFmtId="0" fontId="7" fillId="64" borderId="12" applyBorder="0">
      <alignment horizontal="center" wrapText="1"/>
    </xf>
    <xf numFmtId="0" fontId="12" fillId="65" borderId="12" applyBorder="0">
      <alignment horizontal="center" wrapText="1"/>
    </xf>
    <xf numFmtId="0" fontId="7" fillId="64" borderId="12" applyBorder="0">
      <alignment horizontal="center" wrapText="1"/>
    </xf>
    <xf numFmtId="0" fontId="7" fillId="64" borderId="12" applyBorder="0">
      <alignment horizontal="center" wrapText="1"/>
    </xf>
    <xf numFmtId="0" fontId="7" fillId="64" borderId="12" applyBorder="0">
      <alignment horizontal="center" wrapText="1"/>
    </xf>
    <xf numFmtId="0" fontId="12" fillId="65" borderId="12" applyBorder="0">
      <alignment horizontal="center" wrapText="1"/>
    </xf>
    <xf numFmtId="0" fontId="7" fillId="64" borderId="12" applyBorder="0">
      <alignment horizontal="center" wrapText="1"/>
    </xf>
    <xf numFmtId="0" fontId="7" fillId="64" borderId="12" applyBorder="0">
      <alignment horizontal="center" wrapText="1"/>
    </xf>
    <xf numFmtId="0" fontId="7" fillId="64" borderId="12" applyBorder="0">
      <alignment horizontal="center" wrapText="1"/>
    </xf>
    <xf numFmtId="0" fontId="12" fillId="65" borderId="12" applyBorder="0">
      <alignment horizontal="center" wrapText="1"/>
    </xf>
    <xf numFmtId="0" fontId="7" fillId="64" borderId="12" applyBorder="0">
      <alignment horizontal="center" wrapText="1"/>
    </xf>
    <xf numFmtId="0" fontId="7" fillId="64" borderId="12" applyBorder="0">
      <alignment horizontal="center" wrapText="1"/>
    </xf>
    <xf numFmtId="0" fontId="12" fillId="65" borderId="12" applyBorder="0">
      <alignment horizontal="center" wrapText="1"/>
    </xf>
    <xf numFmtId="0" fontId="7" fillId="64" borderId="12" applyBorder="0">
      <alignment horizontal="center" wrapText="1"/>
    </xf>
    <xf numFmtId="0" fontId="7" fillId="64" borderId="12" applyBorder="0">
      <alignment horizontal="center" wrapText="1"/>
    </xf>
    <xf numFmtId="0" fontId="12" fillId="65" borderId="12" applyBorder="0">
      <alignment horizontal="center" wrapText="1"/>
    </xf>
    <xf numFmtId="0" fontId="7" fillId="64" borderId="12" applyBorder="0">
      <alignment horizontal="center" wrapText="1"/>
    </xf>
    <xf numFmtId="0" fontId="7" fillId="64" borderId="12" applyBorder="0">
      <alignment horizontal="center" wrapText="1"/>
    </xf>
    <xf numFmtId="0" fontId="12" fillId="65" borderId="12" applyBorder="0">
      <alignment horizontal="center" wrapText="1"/>
    </xf>
    <xf numFmtId="0" fontId="7" fillId="64" borderId="12" applyBorder="0">
      <alignment horizontal="center" wrapText="1"/>
    </xf>
    <xf numFmtId="0" fontId="7" fillId="64" borderId="12" applyBorder="0">
      <alignment horizontal="center" wrapText="1"/>
    </xf>
    <xf numFmtId="0" fontId="7" fillId="64" borderId="12" applyBorder="0">
      <alignment horizontal="center" wrapText="1"/>
    </xf>
    <xf numFmtId="0" fontId="12" fillId="65" borderId="12" applyBorder="0">
      <alignment horizontal="center" wrapText="1"/>
    </xf>
    <xf numFmtId="0" fontId="7" fillId="64" borderId="12" applyBorder="0">
      <alignment horizontal="center" wrapText="1"/>
    </xf>
    <xf numFmtId="0" fontId="7" fillId="64" borderId="12" applyBorder="0">
      <alignment horizontal="center" wrapText="1"/>
    </xf>
    <xf numFmtId="0" fontId="7" fillId="64" borderId="12" applyBorder="0">
      <alignment horizontal="center" wrapText="1"/>
    </xf>
    <xf numFmtId="0" fontId="7" fillId="64" borderId="12" applyBorder="0">
      <alignment horizontal="center" wrapText="1"/>
    </xf>
    <xf numFmtId="0" fontId="12" fillId="65" borderId="12" applyBorder="0">
      <alignment horizontal="center" wrapText="1"/>
    </xf>
    <xf numFmtId="0" fontId="7" fillId="64" borderId="12" applyBorder="0">
      <alignment horizontal="center" wrapText="1"/>
    </xf>
    <xf numFmtId="0" fontId="7" fillId="64" borderId="12" applyBorder="0">
      <alignment horizontal="center" wrapText="1"/>
    </xf>
    <xf numFmtId="0" fontId="7" fillId="64" borderId="12" applyBorder="0">
      <alignment horizontal="center" wrapText="1"/>
    </xf>
    <xf numFmtId="0" fontId="12" fillId="65" borderId="12" applyBorder="0">
      <alignment horizontal="center" wrapText="1"/>
    </xf>
    <xf numFmtId="0" fontId="7" fillId="64" borderId="12" applyBorder="0">
      <alignment horizontal="center" wrapText="1"/>
    </xf>
    <xf numFmtId="0" fontId="7" fillId="64" borderId="12" applyBorder="0">
      <alignment horizontal="center" wrapText="1"/>
    </xf>
    <xf numFmtId="0" fontId="7" fillId="64" borderId="12" applyBorder="0">
      <alignment horizontal="center" wrapText="1"/>
    </xf>
    <xf numFmtId="0" fontId="12" fillId="65" borderId="12" applyBorder="0">
      <alignment horizontal="center" wrapText="1"/>
    </xf>
    <xf numFmtId="0" fontId="7" fillId="64" borderId="12" applyBorder="0">
      <alignment horizontal="center" wrapText="1"/>
    </xf>
    <xf numFmtId="0" fontId="7" fillId="64" borderId="12" applyBorder="0">
      <alignment horizontal="center" wrapText="1"/>
    </xf>
    <xf numFmtId="0" fontId="7" fillId="64" borderId="12" applyBorder="0">
      <alignment horizontal="center" wrapText="1"/>
    </xf>
    <xf numFmtId="0" fontId="12" fillId="65" borderId="12" applyBorder="0">
      <alignment horizontal="center" wrapText="1"/>
    </xf>
    <xf numFmtId="0" fontId="7" fillId="64" borderId="12" applyBorder="0">
      <alignment horizontal="center" wrapText="1"/>
    </xf>
    <xf numFmtId="0" fontId="7" fillId="64" borderId="12" applyBorder="0">
      <alignment horizontal="center" wrapText="1"/>
    </xf>
    <xf numFmtId="0" fontId="7" fillId="64" borderId="12" applyBorder="0">
      <alignment horizontal="center" wrapText="1"/>
    </xf>
    <xf numFmtId="0" fontId="12" fillId="65" borderId="12" applyBorder="0">
      <alignment horizontal="center" wrapText="1"/>
    </xf>
    <xf numFmtId="0" fontId="7" fillId="64" borderId="12" applyBorder="0">
      <alignment horizontal="center" wrapText="1"/>
    </xf>
    <xf numFmtId="0" fontId="7" fillId="64" borderId="12" applyBorder="0">
      <alignment horizontal="center" wrapText="1"/>
    </xf>
    <xf numFmtId="0" fontId="12" fillId="65" borderId="12" applyBorder="0">
      <alignment horizontal="center" wrapText="1"/>
    </xf>
    <xf numFmtId="0" fontId="12" fillId="65" borderId="12" applyBorder="0">
      <alignment horizontal="center" wrapText="1"/>
    </xf>
    <xf numFmtId="0" fontId="7" fillId="64" borderId="12" applyBorder="0">
      <alignment horizontal="center" wrapText="1"/>
    </xf>
    <xf numFmtId="0" fontId="7" fillId="64" borderId="12" applyBorder="0">
      <alignment horizontal="center" wrapText="1"/>
    </xf>
    <xf numFmtId="0" fontId="7" fillId="64" borderId="12" applyBorder="0">
      <alignment horizontal="center" wrapText="1"/>
    </xf>
    <xf numFmtId="0" fontId="7" fillId="64" borderId="12" applyBorder="0">
      <alignment horizontal="center" wrapText="1"/>
    </xf>
    <xf numFmtId="0" fontId="12" fillId="65" borderId="12" applyBorder="0">
      <alignment horizontal="center" wrapText="1"/>
    </xf>
    <xf numFmtId="0" fontId="7" fillId="64" borderId="12" applyBorder="0">
      <alignment horizontal="center" wrapText="1"/>
    </xf>
    <xf numFmtId="0" fontId="7" fillId="64" borderId="12" applyBorder="0">
      <alignment horizontal="center" wrapText="1"/>
    </xf>
    <xf numFmtId="0" fontId="7" fillId="64" borderId="12" applyBorder="0">
      <alignment horizontal="center" wrapText="1"/>
    </xf>
    <xf numFmtId="0" fontId="12" fillId="65" borderId="12" applyBorder="0">
      <alignment horizontal="center" wrapText="1"/>
    </xf>
    <xf numFmtId="0" fontId="7" fillId="64" borderId="12" applyBorder="0">
      <alignment horizontal="center" wrapText="1"/>
    </xf>
    <xf numFmtId="0" fontId="7" fillId="64" borderId="12" applyBorder="0">
      <alignment horizontal="center" wrapText="1"/>
    </xf>
    <xf numFmtId="0" fontId="7" fillId="64" borderId="12" applyBorder="0">
      <alignment horizontal="center" wrapText="1"/>
    </xf>
    <xf numFmtId="0" fontId="12" fillId="65" borderId="12" applyBorder="0">
      <alignment horizontal="center" wrapText="1"/>
    </xf>
    <xf numFmtId="0" fontId="7" fillId="64" borderId="12" applyBorder="0">
      <alignment horizontal="center" wrapText="1"/>
    </xf>
    <xf numFmtId="0" fontId="7" fillId="64" borderId="12" applyBorder="0">
      <alignment horizontal="center" wrapText="1"/>
    </xf>
    <xf numFmtId="0" fontId="7" fillId="64" borderId="12" applyBorder="0">
      <alignment horizontal="center" wrapText="1"/>
    </xf>
    <xf numFmtId="0" fontId="12" fillId="65" borderId="12" applyBorder="0">
      <alignment horizontal="center" wrapText="1"/>
    </xf>
    <xf numFmtId="0" fontId="7" fillId="64" borderId="12" applyBorder="0">
      <alignment horizontal="center" wrapText="1"/>
    </xf>
    <xf numFmtId="0" fontId="7" fillId="64" borderId="12" applyBorder="0">
      <alignment horizontal="center" wrapText="1"/>
    </xf>
    <xf numFmtId="0" fontId="7" fillId="64" borderId="12" applyBorder="0">
      <alignment horizontal="center" wrapText="1"/>
    </xf>
    <xf numFmtId="0" fontId="12" fillId="65" borderId="12" applyBorder="0">
      <alignment horizontal="center" wrapText="1"/>
    </xf>
    <xf numFmtId="0" fontId="7" fillId="64" borderId="12" applyBorder="0">
      <alignment horizontal="center" wrapText="1"/>
    </xf>
    <xf numFmtId="0" fontId="7" fillId="64" borderId="12" applyBorder="0">
      <alignment horizontal="center" wrapText="1"/>
    </xf>
    <xf numFmtId="0" fontId="7" fillId="64" borderId="12" applyBorder="0">
      <alignment horizontal="center" wrapText="1"/>
    </xf>
    <xf numFmtId="0" fontId="12" fillId="65" borderId="12" applyBorder="0">
      <alignment horizontal="center" wrapText="1"/>
    </xf>
    <xf numFmtId="0" fontId="7" fillId="64" borderId="12" applyBorder="0">
      <alignment horizontal="center" wrapText="1"/>
    </xf>
    <xf numFmtId="0" fontId="7" fillId="64" borderId="12" applyBorder="0">
      <alignment horizontal="center" wrapText="1"/>
    </xf>
    <xf numFmtId="0" fontId="12" fillId="65" borderId="12" applyBorder="0">
      <alignment horizontal="center" wrapText="1"/>
    </xf>
    <xf numFmtId="0" fontId="7" fillId="64" borderId="12" applyBorder="0">
      <alignment horizontal="center" wrapText="1"/>
    </xf>
    <xf numFmtId="0" fontId="7" fillId="64" borderId="12" applyBorder="0">
      <alignment horizontal="center" wrapText="1"/>
    </xf>
    <xf numFmtId="0" fontId="12" fillId="65" borderId="12" applyBorder="0">
      <alignment horizontal="center" wrapText="1"/>
    </xf>
    <xf numFmtId="0" fontId="7" fillId="64" borderId="12" applyBorder="0">
      <alignment horizontal="center" wrapText="1"/>
    </xf>
    <xf numFmtId="0" fontId="7" fillId="64" borderId="12" applyBorder="0">
      <alignment horizontal="center" wrapText="1"/>
    </xf>
    <xf numFmtId="0" fontId="12" fillId="65" borderId="12" applyBorder="0">
      <alignment horizontal="center" wrapText="1"/>
    </xf>
    <xf numFmtId="0" fontId="7" fillId="64" borderId="12" applyBorder="0">
      <alignment horizontal="center" wrapText="1"/>
    </xf>
    <xf numFmtId="0" fontId="7" fillId="64" borderId="12" applyBorder="0">
      <alignment horizontal="center" wrapText="1"/>
    </xf>
    <xf numFmtId="0" fontId="7" fillId="64" borderId="12" applyBorder="0">
      <alignment horizontal="center" wrapText="1"/>
    </xf>
    <xf numFmtId="0" fontId="7" fillId="64" borderId="12" applyBorder="0">
      <alignment horizontal="center" wrapText="1"/>
    </xf>
    <xf numFmtId="0" fontId="12" fillId="65" borderId="12" applyBorder="0">
      <alignment horizontal="center" wrapText="1"/>
    </xf>
    <xf numFmtId="0" fontId="7" fillId="64" borderId="12" applyBorder="0">
      <alignment horizontal="center" wrapText="1"/>
    </xf>
    <xf numFmtId="0" fontId="7" fillId="64" borderId="12" applyBorder="0">
      <alignment horizontal="center" wrapText="1"/>
    </xf>
    <xf numFmtId="0" fontId="7" fillId="64" borderId="12" applyBorder="0">
      <alignment horizontal="center" wrapText="1"/>
    </xf>
    <xf numFmtId="0" fontId="12" fillId="65" borderId="12" applyBorder="0">
      <alignment horizontal="center" wrapText="1"/>
    </xf>
    <xf numFmtId="0" fontId="7" fillId="64" borderId="12" applyBorder="0">
      <alignment horizontal="center" wrapText="1"/>
    </xf>
    <xf numFmtId="0" fontId="7" fillId="64" borderId="12" applyBorder="0">
      <alignment horizontal="center" wrapText="1"/>
    </xf>
    <xf numFmtId="0" fontId="7" fillId="64" borderId="12" applyBorder="0">
      <alignment horizontal="center" wrapText="1"/>
    </xf>
    <xf numFmtId="0" fontId="12" fillId="65" borderId="12" applyBorder="0">
      <alignment horizontal="center" wrapText="1"/>
    </xf>
    <xf numFmtId="0" fontId="7" fillId="64" borderId="12" applyBorder="0">
      <alignment horizontal="center" wrapText="1"/>
    </xf>
    <xf numFmtId="0" fontId="7" fillId="64" borderId="12" applyBorder="0">
      <alignment horizontal="center" wrapText="1"/>
    </xf>
    <xf numFmtId="0" fontId="7" fillId="64" borderId="12" applyBorder="0">
      <alignment horizontal="center" wrapText="1"/>
    </xf>
    <xf numFmtId="0" fontId="12" fillId="65" borderId="12" applyBorder="0">
      <alignment horizontal="center" wrapText="1"/>
    </xf>
    <xf numFmtId="0" fontId="7" fillId="64" borderId="12" applyBorder="0">
      <alignment horizontal="center" wrapText="1"/>
    </xf>
    <xf numFmtId="0" fontId="7" fillId="64" borderId="12" applyBorder="0">
      <alignment horizontal="center" wrapText="1"/>
    </xf>
    <xf numFmtId="0" fontId="7" fillId="64" borderId="12" applyBorder="0">
      <alignment horizontal="center" wrapText="1"/>
    </xf>
    <xf numFmtId="0" fontId="12" fillId="65" borderId="12" applyBorder="0">
      <alignment horizontal="center" wrapText="1"/>
    </xf>
    <xf numFmtId="0" fontId="7" fillId="64" borderId="12" applyBorder="0">
      <alignment horizontal="center" wrapText="1"/>
    </xf>
    <xf numFmtId="0" fontId="7" fillId="64" borderId="12" applyBorder="0">
      <alignment horizontal="center" wrapText="1"/>
    </xf>
    <xf numFmtId="0" fontId="7" fillId="64" borderId="12" applyBorder="0">
      <alignment horizontal="center" wrapText="1"/>
    </xf>
    <xf numFmtId="0" fontId="12" fillId="65" borderId="12" applyBorder="0">
      <alignment horizontal="center" wrapText="1"/>
    </xf>
    <xf numFmtId="0" fontId="7" fillId="64" borderId="12" applyBorder="0">
      <alignment horizontal="center" wrapText="1"/>
    </xf>
    <xf numFmtId="0" fontId="7" fillId="64" borderId="12" applyBorder="0">
      <alignment horizontal="center" wrapText="1"/>
    </xf>
    <xf numFmtId="0" fontId="12" fillId="65" borderId="12" applyBorder="0">
      <alignment horizontal="center" wrapText="1"/>
    </xf>
    <xf numFmtId="0" fontId="7" fillId="64" borderId="12" applyBorder="0">
      <alignment horizontal="center" wrapText="1"/>
    </xf>
    <xf numFmtId="0" fontId="7" fillId="64" borderId="12" applyBorder="0">
      <alignment horizontal="center" wrapText="1"/>
    </xf>
    <xf numFmtId="0" fontId="12" fillId="65" borderId="12" applyBorder="0">
      <alignment horizontal="center" wrapText="1"/>
    </xf>
    <xf numFmtId="0" fontId="7" fillId="64" borderId="12" applyBorder="0">
      <alignment horizontal="center" wrapText="1"/>
    </xf>
    <xf numFmtId="0" fontId="7" fillId="64" borderId="12" applyBorder="0">
      <alignment horizontal="center" wrapText="1"/>
    </xf>
    <xf numFmtId="0" fontId="12" fillId="65" borderId="12" applyBorder="0">
      <alignment horizontal="center" wrapText="1"/>
    </xf>
    <xf numFmtId="0" fontId="7" fillId="64" borderId="12" applyBorder="0">
      <alignment horizontal="center" wrapText="1"/>
    </xf>
    <xf numFmtId="0" fontId="7" fillId="64" borderId="12" applyBorder="0">
      <alignment horizontal="center" wrapText="1"/>
    </xf>
    <xf numFmtId="0" fontId="7" fillId="64" borderId="12" applyBorder="0">
      <alignment horizontal="center" wrapText="1"/>
    </xf>
    <xf numFmtId="0" fontId="7" fillId="64" borderId="12" applyBorder="0">
      <alignment horizontal="center" wrapText="1"/>
    </xf>
    <xf numFmtId="0" fontId="12" fillId="65" borderId="12" applyBorder="0">
      <alignment horizontal="center" wrapText="1"/>
    </xf>
    <xf numFmtId="0" fontId="7" fillId="64" borderId="12" applyBorder="0">
      <alignment horizontal="center" wrapText="1"/>
    </xf>
    <xf numFmtId="0" fontId="7" fillId="64" borderId="12" applyBorder="0">
      <alignment horizontal="center" wrapText="1"/>
    </xf>
    <xf numFmtId="0" fontId="7" fillId="64" borderId="12" applyBorder="0">
      <alignment horizontal="center" wrapText="1"/>
    </xf>
    <xf numFmtId="0" fontId="12" fillId="65" borderId="12" applyBorder="0">
      <alignment horizontal="center" wrapText="1"/>
    </xf>
    <xf numFmtId="0" fontId="7" fillId="64" borderId="12" applyBorder="0">
      <alignment horizontal="center" wrapText="1"/>
    </xf>
    <xf numFmtId="0" fontId="7" fillId="64" borderId="12" applyBorder="0">
      <alignment horizontal="center" wrapText="1"/>
    </xf>
    <xf numFmtId="0" fontId="7" fillId="64" borderId="12" applyBorder="0">
      <alignment horizontal="center" wrapText="1"/>
    </xf>
    <xf numFmtId="0" fontId="12" fillId="65" borderId="12" applyBorder="0">
      <alignment horizontal="center" wrapText="1"/>
    </xf>
    <xf numFmtId="0" fontId="7" fillId="64" borderId="12" applyBorder="0">
      <alignment horizontal="center" wrapText="1"/>
    </xf>
    <xf numFmtId="0" fontId="7" fillId="64" borderId="12" applyBorder="0">
      <alignment horizontal="center" wrapText="1"/>
    </xf>
    <xf numFmtId="0" fontId="12" fillId="65" borderId="12" applyBorder="0">
      <alignment horizontal="center" wrapText="1"/>
    </xf>
    <xf numFmtId="0" fontId="7" fillId="64" borderId="12" applyBorder="0">
      <alignment horizontal="center" wrapText="1"/>
    </xf>
    <xf numFmtId="0" fontId="7" fillId="64" borderId="12" applyBorder="0">
      <alignment horizontal="center" wrapText="1"/>
    </xf>
    <xf numFmtId="0" fontId="7" fillId="64" borderId="12" applyBorder="0">
      <alignment horizontal="center" wrapText="1"/>
    </xf>
    <xf numFmtId="0" fontId="12" fillId="65" borderId="12" applyBorder="0">
      <alignment horizontal="center" wrapText="1"/>
    </xf>
    <xf numFmtId="0" fontId="7" fillId="64" borderId="12" applyBorder="0">
      <alignment horizontal="center" wrapText="1"/>
    </xf>
    <xf numFmtId="0" fontId="7" fillId="64" borderId="12" applyBorder="0">
      <alignment horizontal="center" wrapText="1"/>
    </xf>
    <xf numFmtId="0" fontId="7" fillId="64" borderId="12" applyBorder="0">
      <alignment horizontal="center" wrapText="1"/>
    </xf>
    <xf numFmtId="0" fontId="12" fillId="65" borderId="12" applyBorder="0">
      <alignment horizontal="center" wrapText="1"/>
    </xf>
    <xf numFmtId="0" fontId="7" fillId="64" borderId="12" applyBorder="0">
      <alignment horizontal="center" wrapText="1"/>
    </xf>
    <xf numFmtId="0" fontId="7" fillId="64" borderId="12" applyBorder="0">
      <alignment horizontal="center" wrapText="1"/>
    </xf>
    <xf numFmtId="0" fontId="12" fillId="65" borderId="12" applyBorder="0">
      <alignment horizontal="center" wrapText="1"/>
    </xf>
    <xf numFmtId="0" fontId="7" fillId="64" borderId="12" applyBorder="0">
      <alignment horizontal="center" wrapText="1"/>
    </xf>
    <xf numFmtId="0" fontId="7" fillId="64" borderId="12" applyBorder="0">
      <alignment horizontal="center" wrapText="1"/>
    </xf>
    <xf numFmtId="0" fontId="12" fillId="65" borderId="12" applyBorder="0">
      <alignment horizontal="center" wrapText="1"/>
    </xf>
    <xf numFmtId="0" fontId="7" fillId="64" borderId="12" applyBorder="0">
      <alignment horizontal="center" wrapText="1"/>
    </xf>
    <xf numFmtId="0" fontId="7" fillId="64" borderId="12" applyBorder="0">
      <alignment horizontal="center" wrapText="1"/>
    </xf>
    <xf numFmtId="0" fontId="12" fillId="65" borderId="12" applyBorder="0">
      <alignment horizontal="center" wrapText="1"/>
    </xf>
    <xf numFmtId="0" fontId="7" fillId="64" borderId="12" applyBorder="0">
      <alignment horizontal="center" wrapText="1"/>
    </xf>
    <xf numFmtId="0" fontId="7" fillId="64" borderId="12" applyBorder="0">
      <alignment horizontal="center" wrapText="1"/>
    </xf>
    <xf numFmtId="0" fontId="7" fillId="64" borderId="12" applyBorder="0">
      <alignment horizontal="center" wrapText="1"/>
    </xf>
    <xf numFmtId="0" fontId="7" fillId="64" borderId="12" applyBorder="0">
      <alignment horizontal="center" wrapText="1"/>
    </xf>
    <xf numFmtId="0" fontId="12" fillId="65" borderId="12" applyBorder="0">
      <alignment horizontal="center" wrapText="1"/>
    </xf>
    <xf numFmtId="0" fontId="7" fillId="64" borderId="12" applyBorder="0">
      <alignment horizontal="center" wrapText="1"/>
    </xf>
    <xf numFmtId="0" fontId="7" fillId="64" borderId="12" applyBorder="0">
      <alignment horizontal="center" wrapText="1"/>
    </xf>
    <xf numFmtId="0" fontId="7" fillId="64" borderId="12" applyBorder="0">
      <alignment horizontal="center" wrapText="1"/>
    </xf>
    <xf numFmtId="0" fontId="12" fillId="65" borderId="12" applyBorder="0">
      <alignment horizontal="center" wrapText="1"/>
    </xf>
    <xf numFmtId="0" fontId="7" fillId="64" borderId="12" applyBorder="0">
      <alignment horizontal="center" wrapText="1"/>
    </xf>
    <xf numFmtId="0" fontId="7" fillId="64" borderId="12" applyBorder="0">
      <alignment horizontal="center" wrapText="1"/>
    </xf>
    <xf numFmtId="0" fontId="7" fillId="64" borderId="12" applyBorder="0">
      <alignment horizontal="center" wrapText="1"/>
    </xf>
    <xf numFmtId="0" fontId="12" fillId="65" borderId="12" applyBorder="0">
      <alignment horizontal="center" wrapText="1"/>
    </xf>
    <xf numFmtId="0" fontId="7" fillId="64" borderId="12" applyBorder="0">
      <alignment horizontal="center" wrapText="1"/>
    </xf>
    <xf numFmtId="0" fontId="7" fillId="64" borderId="12" applyBorder="0">
      <alignment horizontal="center" wrapText="1"/>
    </xf>
    <xf numFmtId="0" fontId="7" fillId="64" borderId="12" applyBorder="0">
      <alignment horizontal="center" wrapText="1"/>
    </xf>
    <xf numFmtId="0" fontId="12" fillId="65" borderId="12" applyBorder="0">
      <alignment horizontal="center" wrapText="1"/>
    </xf>
    <xf numFmtId="0" fontId="7" fillId="64" borderId="12" applyBorder="0">
      <alignment horizontal="center" wrapText="1"/>
    </xf>
    <xf numFmtId="0" fontId="7" fillId="64" borderId="12" applyBorder="0">
      <alignment horizontal="center" wrapText="1"/>
    </xf>
    <xf numFmtId="0" fontId="12" fillId="65" borderId="12" applyBorder="0">
      <alignment horizontal="center" wrapText="1"/>
    </xf>
    <xf numFmtId="0" fontId="7" fillId="64" borderId="12" applyBorder="0">
      <alignment horizontal="center" wrapText="1"/>
    </xf>
    <xf numFmtId="0" fontId="7" fillId="64" borderId="12" applyBorder="0">
      <alignment horizontal="center" wrapText="1"/>
    </xf>
    <xf numFmtId="0" fontId="12" fillId="65" borderId="12" applyBorder="0">
      <alignment horizontal="center" wrapText="1"/>
    </xf>
    <xf numFmtId="0" fontId="7" fillId="64" borderId="12" applyBorder="0">
      <alignment horizontal="center" wrapText="1"/>
    </xf>
    <xf numFmtId="0" fontId="7" fillId="64" borderId="12" applyBorder="0">
      <alignment horizontal="center" wrapText="1"/>
    </xf>
    <xf numFmtId="0" fontId="12" fillId="65" borderId="12" applyBorder="0">
      <alignment horizontal="center" wrapText="1"/>
    </xf>
    <xf numFmtId="0" fontId="7" fillId="64" borderId="12" applyBorder="0">
      <alignment horizontal="center" wrapText="1"/>
    </xf>
    <xf numFmtId="0" fontId="7" fillId="64" borderId="12" applyBorder="0">
      <alignment horizontal="center" wrapText="1"/>
    </xf>
    <xf numFmtId="0" fontId="7" fillId="64" borderId="12" applyBorder="0">
      <alignment horizontal="center" wrapText="1"/>
    </xf>
    <xf numFmtId="0" fontId="12" fillId="65" borderId="12" applyBorder="0">
      <alignment horizontal="center" wrapText="1"/>
    </xf>
    <xf numFmtId="0" fontId="7" fillId="64" borderId="12" applyBorder="0">
      <alignment horizontal="center" wrapText="1"/>
    </xf>
    <xf numFmtId="0" fontId="7" fillId="64" borderId="12" applyBorder="0">
      <alignment horizontal="center" wrapText="1"/>
    </xf>
    <xf numFmtId="0" fontId="7" fillId="64" borderId="12" applyBorder="0">
      <alignment horizontal="center" wrapText="1"/>
    </xf>
    <xf numFmtId="0" fontId="12" fillId="65" borderId="12" applyBorder="0">
      <alignment horizontal="center" wrapText="1"/>
    </xf>
    <xf numFmtId="0" fontId="7" fillId="64" borderId="12" applyBorder="0">
      <alignment horizontal="center" wrapText="1"/>
    </xf>
    <xf numFmtId="0" fontId="7" fillId="64" borderId="12" applyBorder="0">
      <alignment horizontal="center" wrapText="1"/>
    </xf>
    <xf numFmtId="0" fontId="7" fillId="64" borderId="12" applyBorder="0">
      <alignment horizontal="center" wrapText="1"/>
    </xf>
    <xf numFmtId="0" fontId="12" fillId="65" borderId="12" applyBorder="0">
      <alignment horizontal="center" wrapText="1"/>
    </xf>
    <xf numFmtId="0" fontId="7" fillId="64" borderId="12" applyBorder="0">
      <alignment horizontal="center" wrapText="1"/>
    </xf>
    <xf numFmtId="0" fontId="7" fillId="64" borderId="12" applyBorder="0">
      <alignment horizontal="center" wrapText="1"/>
    </xf>
    <xf numFmtId="0" fontId="7" fillId="64" borderId="12" applyBorder="0">
      <alignment horizontal="center" wrapText="1"/>
    </xf>
    <xf numFmtId="0" fontId="12" fillId="65" borderId="12" applyBorder="0">
      <alignment horizontal="center" wrapText="1"/>
    </xf>
    <xf numFmtId="0" fontId="12" fillId="65" borderId="12" applyBorder="0">
      <alignment horizontal="center" wrapText="1"/>
    </xf>
    <xf numFmtId="0" fontId="103" fillId="0" borderId="0" applyNumberFormat="0" applyFill="0" applyBorder="0" applyAlignment="0" applyProtection="0"/>
    <xf numFmtId="0" fontId="121" fillId="0" borderId="39" applyNumberFormat="0" applyFill="0" applyAlignment="0" applyProtection="0"/>
    <xf numFmtId="0" fontId="20" fillId="0" borderId="40" applyNumberFormat="0" applyFill="0" applyAlignment="0" applyProtection="0"/>
    <xf numFmtId="0" fontId="9" fillId="0" borderId="41" applyNumberFormat="0" applyFill="0" applyAlignment="0" applyProtection="0"/>
    <xf numFmtId="0" fontId="122" fillId="0" borderId="42" applyNumberFormat="0" applyFill="0" applyAlignment="0" applyProtection="0"/>
    <xf numFmtId="0" fontId="122" fillId="0" borderId="42" applyNumberFormat="0" applyFill="0" applyAlignment="0" applyProtection="0"/>
    <xf numFmtId="0" fontId="122" fillId="0" borderId="42" applyNumberFormat="0" applyFill="0" applyAlignment="0" applyProtection="0"/>
    <xf numFmtId="0" fontId="123" fillId="23" borderId="0"/>
    <xf numFmtId="0" fontId="124" fillId="0" borderId="0" applyNumberFormat="0" applyFill="0" applyBorder="0" applyAlignment="0" applyProtection="0"/>
    <xf numFmtId="0" fontId="125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" fontId="127" fillId="52" borderId="15"/>
    <xf numFmtId="1" fontId="127" fillId="53" borderId="15"/>
    <xf numFmtId="1" fontId="127" fillId="53" borderId="15"/>
    <xf numFmtId="2" fontId="128" fillId="53" borderId="15"/>
    <xf numFmtId="0" fontId="129" fillId="52" borderId="14" applyNumberFormat="0" applyAlignment="0"/>
    <xf numFmtId="0" fontId="129" fillId="52" borderId="14" applyNumberFormat="0" applyAlignment="0"/>
    <xf numFmtId="0" fontId="130" fillId="53" borderId="14" applyNumberFormat="0" applyAlignment="0"/>
    <xf numFmtId="1" fontId="131" fillId="53" borderId="15" applyNumberFormat="0"/>
    <xf numFmtId="176" fontId="132" fillId="53" borderId="15" applyNumberFormat="0"/>
    <xf numFmtId="0" fontId="9" fillId="0" borderId="0"/>
  </cellStyleXfs>
  <cellXfs count="9">
    <xf numFmtId="0" fontId="0" fillId="0" borderId="0" xfId="0"/>
    <xf numFmtId="14" fontId="0" fillId="0" borderId="0" xfId="0" applyNumberFormat="1"/>
    <xf numFmtId="9" fontId="0" fillId="0" borderId="4" xfId="0" applyNumberFormat="1" applyBorder="1"/>
    <xf numFmtId="9" fontId="7" fillId="0" borderId="4" xfId="1" applyNumberFormat="1" applyFont="1" applyBorder="1"/>
    <xf numFmtId="14" fontId="7" fillId="0" borderId="4" xfId="0" applyNumberFormat="1" applyFont="1" applyBorder="1"/>
    <xf numFmtId="0" fontId="8" fillId="17" borderId="0" xfId="0" applyFont="1" applyFill="1" applyBorder="1"/>
    <xf numFmtId="0" fontId="8" fillId="17" borderId="5" xfId="0" applyFont="1" applyFill="1" applyBorder="1"/>
    <xf numFmtId="0" fontId="8" fillId="17" borderId="6" xfId="0" applyFont="1" applyFill="1" applyBorder="1"/>
    <xf numFmtId="0" fontId="8" fillId="17" borderId="7" xfId="0" applyFont="1" applyFill="1" applyBorder="1"/>
  </cellXfs>
  <cellStyles count="1049">
    <cellStyle name="_Bonds" xfId="2"/>
    <cellStyle name="_Bonds 2" xfId="3"/>
    <cellStyle name="_Offering" xfId="4"/>
    <cellStyle name="_Offering 2" xfId="5"/>
    <cellStyle name="£ BP" xfId="6"/>
    <cellStyle name="¥ JY" xfId="7"/>
    <cellStyle name="20% - Accent1 2" xfId="8"/>
    <cellStyle name="20% - Accent1 2 2" xfId="9"/>
    <cellStyle name="20% - Accent1 2 3" xfId="10"/>
    <cellStyle name="20% - Accent1 3" xfId="11"/>
    <cellStyle name="20% - Accent1 3 2" xfId="12"/>
    <cellStyle name="20% - Accent1 3 3" xfId="13"/>
    <cellStyle name="20% - Accent1 4" xfId="14"/>
    <cellStyle name="20% - Accent1 4 2" xfId="15"/>
    <cellStyle name="20% - Accent1 4 2 2" xfId="16"/>
    <cellStyle name="20% - Accent1 4 3" xfId="17"/>
    <cellStyle name="20% - Accent1 4 3 2" xfId="18"/>
    <cellStyle name="20% - Accent1 4 4" xfId="19"/>
    <cellStyle name="20% - Accent1 4_Primary vs Secondary Spread Oct 3" xfId="20"/>
    <cellStyle name="20% - Accent1 5" xfId="21"/>
    <cellStyle name="20% - Accent2 2" xfId="22"/>
    <cellStyle name="20% - Accent2 3" xfId="23"/>
    <cellStyle name="20% - Accent2 4" xfId="24"/>
    <cellStyle name="20% - Accent2 4 2" xfId="25"/>
    <cellStyle name="20% - Accent2 4 2 2" xfId="26"/>
    <cellStyle name="20% - Accent2 4 3" xfId="27"/>
    <cellStyle name="20% - Accent2 4 3 2" xfId="28"/>
    <cellStyle name="20% - Accent2 4 4" xfId="29"/>
    <cellStyle name="20% - Accent2 4_Primary vs Secondary Spread Oct 3" xfId="30"/>
    <cellStyle name="20% - Accent2 5" xfId="31"/>
    <cellStyle name="20% - Accent3 2" xfId="32"/>
    <cellStyle name="20% - Accent3 3" xfId="33"/>
    <cellStyle name="20% - Accent3 4" xfId="34"/>
    <cellStyle name="20% - Accent3 4 2" xfId="35"/>
    <cellStyle name="20% - Accent3 4 2 2" xfId="36"/>
    <cellStyle name="20% - Accent3 4 3" xfId="37"/>
    <cellStyle name="20% - Accent3 4 3 2" xfId="38"/>
    <cellStyle name="20% - Accent3 4 4" xfId="39"/>
    <cellStyle name="20% - Accent3 4_Primary vs Secondary Spread Oct 3" xfId="40"/>
    <cellStyle name="20% - Accent3 5" xfId="41"/>
    <cellStyle name="20% - Accent4 2" xfId="42"/>
    <cellStyle name="20% - Accent4 3" xfId="43"/>
    <cellStyle name="20% - Accent4 4" xfId="44"/>
    <cellStyle name="20% - Accent4 4 2" xfId="45"/>
    <cellStyle name="20% - Accent4 4 2 2" xfId="46"/>
    <cellStyle name="20% - Accent4 4 3" xfId="47"/>
    <cellStyle name="20% - Accent4 4 3 2" xfId="48"/>
    <cellStyle name="20% - Accent4 4 4" xfId="49"/>
    <cellStyle name="20% - Accent4 4_Primary vs Secondary Spread Oct 3" xfId="50"/>
    <cellStyle name="20% - Accent4 5" xfId="51"/>
    <cellStyle name="20% - Accent5 2" xfId="52"/>
    <cellStyle name="20% - Accent5 3" xfId="53"/>
    <cellStyle name="20% - Accent5 4" xfId="54"/>
    <cellStyle name="20% - Accent5 4 2" xfId="55"/>
    <cellStyle name="20% - Accent5 4 2 2" xfId="56"/>
    <cellStyle name="20% - Accent5 4 3" xfId="57"/>
    <cellStyle name="20% - Accent5 4 3 2" xfId="58"/>
    <cellStyle name="20% - Accent5 4 4" xfId="59"/>
    <cellStyle name="20% - Accent5 4_Primary vs Secondary Spread Oct 3" xfId="60"/>
    <cellStyle name="20% - Accent5 5" xfId="61"/>
    <cellStyle name="20% - Accent6 2" xfId="62"/>
    <cellStyle name="20% - Accent6 3" xfId="63"/>
    <cellStyle name="20% - Accent6 4" xfId="64"/>
    <cellStyle name="20% - Accent6 4 2" xfId="65"/>
    <cellStyle name="20% - Accent6 4 2 2" xfId="66"/>
    <cellStyle name="20% - Accent6 4 3" xfId="67"/>
    <cellStyle name="20% - Accent6 4 3 2" xfId="68"/>
    <cellStyle name="20% - Accent6 4 4" xfId="69"/>
    <cellStyle name="20% - Accent6 4_Primary vs Secondary Spread Oct 3" xfId="70"/>
    <cellStyle name="20% - Accent6 5" xfId="71"/>
    <cellStyle name="40% - Accent1 2" xfId="72"/>
    <cellStyle name="40% - Accent1 3" xfId="73"/>
    <cellStyle name="40% - Accent1 4" xfId="74"/>
    <cellStyle name="40% - Accent1 4 2" xfId="75"/>
    <cellStyle name="40% - Accent1 4 2 2" xfId="76"/>
    <cellStyle name="40% - Accent1 4 3" xfId="77"/>
    <cellStyle name="40% - Accent1 4 3 2" xfId="78"/>
    <cellStyle name="40% - Accent1 4 4" xfId="79"/>
    <cellStyle name="40% - Accent1 4_Primary vs Secondary Spread Oct 3" xfId="80"/>
    <cellStyle name="40% - Accent1 5" xfId="81"/>
    <cellStyle name="40% - Accent2 2" xfId="82"/>
    <cellStyle name="40% - Accent2 3" xfId="83"/>
    <cellStyle name="40% - Accent2 4" xfId="84"/>
    <cellStyle name="40% - Accent2 4 2" xfId="85"/>
    <cellStyle name="40% - Accent2 4 2 2" xfId="86"/>
    <cellStyle name="40% - Accent2 4 3" xfId="87"/>
    <cellStyle name="40% - Accent2 4 3 2" xfId="88"/>
    <cellStyle name="40% - Accent2 4 4" xfId="89"/>
    <cellStyle name="40% - Accent2 4_Primary vs Secondary Spread Oct 3" xfId="90"/>
    <cellStyle name="40% - Accent2 5" xfId="91"/>
    <cellStyle name="40% - Accent3 2" xfId="92"/>
    <cellStyle name="40% - Accent3 3" xfId="93"/>
    <cellStyle name="40% - Accent3 4" xfId="94"/>
    <cellStyle name="40% - Accent3 4 2" xfId="95"/>
    <cellStyle name="40% - Accent3 4 2 2" xfId="96"/>
    <cellStyle name="40% - Accent3 4 3" xfId="97"/>
    <cellStyle name="40% - Accent3 4 3 2" xfId="98"/>
    <cellStyle name="40% - Accent3 4 4" xfId="99"/>
    <cellStyle name="40% - Accent3 4_Primary vs Secondary Spread Oct 3" xfId="100"/>
    <cellStyle name="40% - Accent3 5" xfId="101"/>
    <cellStyle name="40% - Accent4 2" xfId="102"/>
    <cellStyle name="40% - Accent4 3" xfId="103"/>
    <cellStyle name="40% - Accent4 4" xfId="104"/>
    <cellStyle name="40% - Accent4 4 2" xfId="105"/>
    <cellStyle name="40% - Accent4 4 2 2" xfId="106"/>
    <cellStyle name="40% - Accent4 4 3" xfId="107"/>
    <cellStyle name="40% - Accent4 4 3 2" xfId="108"/>
    <cellStyle name="40% - Accent4 4 4" xfId="109"/>
    <cellStyle name="40% - Accent4 4_Primary vs Secondary Spread Oct 3" xfId="110"/>
    <cellStyle name="40% - Accent4 5" xfId="111"/>
    <cellStyle name="40% - Accent5 2" xfId="112"/>
    <cellStyle name="40% - Accent5 3" xfId="113"/>
    <cellStyle name="40% - Accent5 4" xfId="114"/>
    <cellStyle name="40% - Accent5 4 2" xfId="115"/>
    <cellStyle name="40% - Accent5 4 2 2" xfId="116"/>
    <cellStyle name="40% - Accent5 4 3" xfId="117"/>
    <cellStyle name="40% - Accent5 4 3 2" xfId="118"/>
    <cellStyle name="40% - Accent5 4 4" xfId="119"/>
    <cellStyle name="40% - Accent5 4_Primary vs Secondary Spread Oct 3" xfId="120"/>
    <cellStyle name="40% - Accent5 5" xfId="121"/>
    <cellStyle name="40% - Accent6 2" xfId="122"/>
    <cellStyle name="40% - Accent6 3" xfId="123"/>
    <cellStyle name="40% - Accent6 4" xfId="124"/>
    <cellStyle name="40% - Accent6 4 2" xfId="125"/>
    <cellStyle name="40% - Accent6 4 2 2" xfId="126"/>
    <cellStyle name="40% - Accent6 4 3" xfId="127"/>
    <cellStyle name="40% - Accent6 4 3 2" xfId="128"/>
    <cellStyle name="40% - Accent6 4 4" xfId="129"/>
    <cellStyle name="40% - Accent6 4_Primary vs Secondary Spread Oct 3" xfId="130"/>
    <cellStyle name="40% - Accent6 5" xfId="131"/>
    <cellStyle name="60% - Accent1 2" xfId="132"/>
    <cellStyle name="60% - Accent1 3" xfId="133"/>
    <cellStyle name="60% - Accent1 4" xfId="134"/>
    <cellStyle name="60% - Accent2 2" xfId="135"/>
    <cellStyle name="60% - Accent2 3" xfId="136"/>
    <cellStyle name="60% - Accent2 4" xfId="137"/>
    <cellStyle name="60% - Accent3 2" xfId="138"/>
    <cellStyle name="60% - Accent3 3" xfId="139"/>
    <cellStyle name="60% - Accent3 4" xfId="140"/>
    <cellStyle name="60% - Accent4 2" xfId="141"/>
    <cellStyle name="60% - Accent4 3" xfId="142"/>
    <cellStyle name="60% - Accent4 4" xfId="143"/>
    <cellStyle name="60% - Accent5 2" xfId="144"/>
    <cellStyle name="60% - Accent5 3" xfId="145"/>
    <cellStyle name="60% - Accent5 4" xfId="146"/>
    <cellStyle name="60% - Accent6 2" xfId="147"/>
    <cellStyle name="60% - Accent6 3" xfId="148"/>
    <cellStyle name="60% - Accent6 4" xfId="149"/>
    <cellStyle name="Accent1 2" xfId="150"/>
    <cellStyle name="Accent1 3" xfId="151"/>
    <cellStyle name="Accent1 4" xfId="152"/>
    <cellStyle name="Accent2 2" xfId="153"/>
    <cellStyle name="Accent2 3" xfId="154"/>
    <cellStyle name="Accent2 4" xfId="155"/>
    <cellStyle name="Accent3 2" xfId="156"/>
    <cellStyle name="Accent3 3" xfId="157"/>
    <cellStyle name="Accent3 4" xfId="158"/>
    <cellStyle name="Accent4 2" xfId="159"/>
    <cellStyle name="Accent4 3" xfId="160"/>
    <cellStyle name="Accent4 4" xfId="161"/>
    <cellStyle name="Accent5 2" xfId="162"/>
    <cellStyle name="Accent5 3" xfId="163"/>
    <cellStyle name="Accent5 4" xfId="164"/>
    <cellStyle name="Accent6 2" xfId="165"/>
    <cellStyle name="Accent6 3" xfId="166"/>
    <cellStyle name="Accent6 4" xfId="167"/>
    <cellStyle name="Auto_OpenAuto_CloseExtractD_Sheet1" xfId="168"/>
    <cellStyle name="Axis.EffectiveDate" xfId="169"/>
    <cellStyle name="Axis.Seasoning" xfId="170"/>
    <cellStyle name="Bad 2" xfId="171"/>
    <cellStyle name="Bad 3" xfId="172"/>
    <cellStyle name="Bad 4" xfId="173"/>
    <cellStyle name="Big Money" xfId="174"/>
    <cellStyle name="Blue" xfId="175"/>
    <cellStyle name="blue axis cells" xfId="176"/>
    <cellStyle name="blue text cells" xfId="177"/>
    <cellStyle name="Body" xfId="178"/>
    <cellStyle name="Bold/Border" xfId="179"/>
    <cellStyle name="Border" xfId="180"/>
    <cellStyle name="Bullet" xfId="181"/>
    <cellStyle name="Calc Currency (0)" xfId="182"/>
    <cellStyle name="Calc Currency (0) 2" xfId="183"/>
    <cellStyle name="Calc Currency (2)" xfId="184"/>
    <cellStyle name="Calc Currency (2) 2" xfId="185"/>
    <cellStyle name="Calc Percent (0)" xfId="186"/>
    <cellStyle name="Calc Percent (0) 2" xfId="187"/>
    <cellStyle name="Calc Percent (1)" xfId="188"/>
    <cellStyle name="Calc Percent (1) 2" xfId="189"/>
    <cellStyle name="Calc Percent (2)" xfId="190"/>
    <cellStyle name="Calc Percent (2) 2" xfId="191"/>
    <cellStyle name="Calc Units (0)" xfId="192"/>
    <cellStyle name="Calc Units (0) 2" xfId="193"/>
    <cellStyle name="Calc Units (1)" xfId="194"/>
    <cellStyle name="Calc Units (1) 2" xfId="195"/>
    <cellStyle name="Calc Units (2)" xfId="196"/>
    <cellStyle name="Calc Units (2) 2" xfId="197"/>
    <cellStyle name="Calculation 2" xfId="198"/>
    <cellStyle name="Calculation 3" xfId="199"/>
    <cellStyle name="Calculation 4" xfId="200"/>
    <cellStyle name="Calculation 5" xfId="201"/>
    <cellStyle name="Calculation 6" xfId="202"/>
    <cellStyle name="CCM Input" xfId="203"/>
    <cellStyle name="CCM Title Calculations" xfId="204"/>
    <cellStyle name="CCM Title Indicative" xfId="205"/>
    <cellStyle name="Cello Calculation" xfId="206"/>
    <cellStyle name="Cello Calculation 2" xfId="207"/>
    <cellStyle name="Cello Calculation 2 2" xfId="208"/>
    <cellStyle name="Cello Calculation 2 3" xfId="209"/>
    <cellStyle name="Cello Calculation 2_Primary vs Secondary Spread Oct 3" xfId="210"/>
    <cellStyle name="Cello Calculation 3" xfId="211"/>
    <cellStyle name="Cello Calculation 4" xfId="212"/>
    <cellStyle name="Cello Calculation_Primary vs Secondary Spread Oct 3" xfId="213"/>
    <cellStyle name="Cello Input" xfId="214"/>
    <cellStyle name="Cello Input 2" xfId="215"/>
    <cellStyle name="Cello Input 2 2" xfId="216"/>
    <cellStyle name="Cello Input 2 3" xfId="217"/>
    <cellStyle name="Cello Input 2 4" xfId="218"/>
    <cellStyle name="Cello Input 2 5" xfId="219"/>
    <cellStyle name="Cello Input 2_Primary vs Secondary Spread Oct 3" xfId="220"/>
    <cellStyle name="Cello Input 3" xfId="221"/>
    <cellStyle name="Cello Input 4" xfId="222"/>
    <cellStyle name="Cello Linked Cell" xfId="223"/>
    <cellStyle name="Cello Linked Cell 2" xfId="224"/>
    <cellStyle name="Cello Linked Cell 2 2" xfId="225"/>
    <cellStyle name="Cello Linked Cell 3" xfId="226"/>
    <cellStyle name="Check Cell 2" xfId="227"/>
    <cellStyle name="Check Cell 3" xfId="228"/>
    <cellStyle name="Check Cell 4" xfId="229"/>
    <cellStyle name="Co. Names" xfId="230"/>
    <cellStyle name="Comma  - Style1" xfId="231"/>
    <cellStyle name="Comma  - Style1 2" xfId="232"/>
    <cellStyle name="Comma  - Style2" xfId="233"/>
    <cellStyle name="Comma  - Style2 2" xfId="234"/>
    <cellStyle name="Comma  - Style3" xfId="235"/>
    <cellStyle name="Comma  - Style3 2" xfId="236"/>
    <cellStyle name="Comma  - Style4" xfId="237"/>
    <cellStyle name="Comma  - Style4 2" xfId="238"/>
    <cellStyle name="Comma  - Style5" xfId="239"/>
    <cellStyle name="Comma  - Style5 2" xfId="240"/>
    <cellStyle name="Comma  - Style6" xfId="241"/>
    <cellStyle name="Comma  - Style6 2" xfId="242"/>
    <cellStyle name="Comma  - Style7" xfId="243"/>
    <cellStyle name="Comma  - Style7 2" xfId="244"/>
    <cellStyle name="Comma  - Style8" xfId="245"/>
    <cellStyle name="Comma  - Style8 2" xfId="246"/>
    <cellStyle name="Comma [00]" xfId="247"/>
    <cellStyle name="Comma [00] 2" xfId="248"/>
    <cellStyle name="Comma 10" xfId="249"/>
    <cellStyle name="Comma 11" xfId="250"/>
    <cellStyle name="Comma 12" xfId="251"/>
    <cellStyle name="Comma 13" xfId="252"/>
    <cellStyle name="Comma 14" xfId="253"/>
    <cellStyle name="Comma 15" xfId="254"/>
    <cellStyle name="Comma 16" xfId="255"/>
    <cellStyle name="Comma 16 2" xfId="256"/>
    <cellStyle name="Comma 17" xfId="257"/>
    <cellStyle name="Comma 18" xfId="258"/>
    <cellStyle name="Comma 19" xfId="259"/>
    <cellStyle name="Comma 2" xfId="260"/>
    <cellStyle name="Comma 20" xfId="261"/>
    <cellStyle name="Comma 21" xfId="262"/>
    <cellStyle name="Comma 22" xfId="263"/>
    <cellStyle name="Comma 23" xfId="264"/>
    <cellStyle name="Comma 24" xfId="265"/>
    <cellStyle name="Comma 25" xfId="266"/>
    <cellStyle name="Comma 26" xfId="267"/>
    <cellStyle name="Comma 27" xfId="268"/>
    <cellStyle name="Comma 28" xfId="269"/>
    <cellStyle name="Comma 29" xfId="270"/>
    <cellStyle name="Comma 29 2" xfId="271"/>
    <cellStyle name="Comma 29 2 2" xfId="272"/>
    <cellStyle name="Comma 29 3" xfId="273"/>
    <cellStyle name="Comma 29 3 2" xfId="274"/>
    <cellStyle name="Comma 29 4" xfId="275"/>
    <cellStyle name="Comma 29 5" xfId="276"/>
    <cellStyle name="Comma 3" xfId="277"/>
    <cellStyle name="Comma 30" xfId="278"/>
    <cellStyle name="Comma 31" xfId="279"/>
    <cellStyle name="Comma 32" xfId="280"/>
    <cellStyle name="Comma 33" xfId="281"/>
    <cellStyle name="Comma 34" xfId="282"/>
    <cellStyle name="Comma 35" xfId="283"/>
    <cellStyle name="Comma 4" xfId="284"/>
    <cellStyle name="Comma 4 2" xfId="285"/>
    <cellStyle name="Comma 5" xfId="286"/>
    <cellStyle name="Comma 6" xfId="287"/>
    <cellStyle name="Comma 7" xfId="288"/>
    <cellStyle name="Comma 8" xfId="289"/>
    <cellStyle name="Comma 9" xfId="290"/>
    <cellStyle name="Comma0" xfId="291"/>
    <cellStyle name="Comma1 - Style1" xfId="292"/>
    <cellStyle name="Copied" xfId="293"/>
    <cellStyle name="CTDSwitchAnalysisHeader" xfId="294"/>
    <cellStyle name="Curren - Style2" xfId="295"/>
    <cellStyle name="Currency [00]" xfId="296"/>
    <cellStyle name="Currency [00] 2" xfId="297"/>
    <cellStyle name="Currency [2]" xfId="298"/>
    <cellStyle name="Currency 10" xfId="299"/>
    <cellStyle name="Currency 11" xfId="300"/>
    <cellStyle name="Currency 12" xfId="301"/>
    <cellStyle name="Currency 13" xfId="302"/>
    <cellStyle name="Currency 14" xfId="303"/>
    <cellStyle name="Currency 15" xfId="304"/>
    <cellStyle name="Currency 16" xfId="305"/>
    <cellStyle name="Currency 17" xfId="306"/>
    <cellStyle name="Currency 18" xfId="307"/>
    <cellStyle name="Currency 19" xfId="308"/>
    <cellStyle name="Currency 2" xfId="309"/>
    <cellStyle name="Currency 20" xfId="310"/>
    <cellStyle name="Currency 21" xfId="311"/>
    <cellStyle name="Currency 3" xfId="312"/>
    <cellStyle name="Currency 4" xfId="313"/>
    <cellStyle name="Currency 5" xfId="314"/>
    <cellStyle name="Currency 6" xfId="315"/>
    <cellStyle name="Currency 7" xfId="316"/>
    <cellStyle name="Currency 8" xfId="317"/>
    <cellStyle name="Currency 9" xfId="318"/>
    <cellStyle name="Currency0" xfId="319"/>
    <cellStyle name="Dash" xfId="320"/>
    <cellStyle name="Data.LongPercent" xfId="321"/>
    <cellStyle name="Data.NumPercent" xfId="322"/>
    <cellStyle name="Data.NumShortPercent" xfId="323"/>
    <cellStyle name="date" xfId="324"/>
    <cellStyle name="Date - Style3" xfId="325"/>
    <cellStyle name="Date 2" xfId="326"/>
    <cellStyle name="Date 3" xfId="327"/>
    <cellStyle name="Date 4" xfId="328"/>
    <cellStyle name="Date 5" xfId="329"/>
    <cellStyle name="Date 6" xfId="330"/>
    <cellStyle name="Date 7" xfId="331"/>
    <cellStyle name="Date Short" xfId="332"/>
    <cellStyle name="date title" xfId="333"/>
    <cellStyle name="Date_DV01" xfId="334"/>
    <cellStyle name="DateFormat" xfId="335"/>
    <cellStyle name="DBAHandle" xfId="336"/>
    <cellStyle name="DBAParameter" xfId="337"/>
    <cellStyle name="DELTA" xfId="338"/>
    <cellStyle name="DS 0" xfId="339"/>
    <cellStyle name="DS 1" xfId="340"/>
    <cellStyle name="DS 2" xfId="341"/>
    <cellStyle name="DS 3" xfId="342"/>
    <cellStyle name="DS 4" xfId="343"/>
    <cellStyle name="DS 5" xfId="344"/>
    <cellStyle name="DS 5 2" xfId="345"/>
    <cellStyle name="DS 6" xfId="346"/>
    <cellStyle name="Enter Currency (0)" xfId="347"/>
    <cellStyle name="Enter Currency (0) 2" xfId="348"/>
    <cellStyle name="Enter Currency (2)" xfId="349"/>
    <cellStyle name="Enter Currency (2) 2" xfId="350"/>
    <cellStyle name="Enter Units (0)" xfId="351"/>
    <cellStyle name="Enter Units (0) 2" xfId="352"/>
    <cellStyle name="Enter Units (1)" xfId="353"/>
    <cellStyle name="Enter Units (1) 2" xfId="354"/>
    <cellStyle name="Enter Units (2)" xfId="355"/>
    <cellStyle name="Enter Units (2) 2" xfId="356"/>
    <cellStyle name="Entered" xfId="357"/>
    <cellStyle name="Entries" xfId="358"/>
    <cellStyle name="Euro" xfId="359"/>
    <cellStyle name="Explanatory Text 2" xfId="360"/>
    <cellStyle name="Explanatory Text 3" xfId="361"/>
    <cellStyle name="Explanatory Text 4" xfId="362"/>
    <cellStyle name="Fixed" xfId="363"/>
    <cellStyle name="FullTime" xfId="364"/>
    <cellStyle name="General" xfId="365"/>
    <cellStyle name="Good 2" xfId="366"/>
    <cellStyle name="Good 3" xfId="367"/>
    <cellStyle name="Good 4" xfId="368"/>
    <cellStyle name="gray text cells" xfId="369"/>
    <cellStyle name="Grey" xfId="370"/>
    <cellStyle name="Header1" xfId="371"/>
    <cellStyle name="Header2" xfId="372"/>
    <cellStyle name="Heading" xfId="373"/>
    <cellStyle name="Heading 1 2" xfId="374"/>
    <cellStyle name="Heading 1 2 2" xfId="375"/>
    <cellStyle name="Heading 1 3" xfId="376"/>
    <cellStyle name="Heading 1 4" xfId="377"/>
    <cellStyle name="Heading 1 5" xfId="378"/>
    <cellStyle name="Heading 2 2" xfId="379"/>
    <cellStyle name="Heading 2 2 2" xfId="380"/>
    <cellStyle name="Heading 2 3" xfId="381"/>
    <cellStyle name="Heading 2 4" xfId="382"/>
    <cellStyle name="Heading 2 5" xfId="383"/>
    <cellStyle name="Heading 3 2" xfId="384"/>
    <cellStyle name="Heading 3 3" xfId="385"/>
    <cellStyle name="Heading 3 4" xfId="386"/>
    <cellStyle name="Heading 4 2" xfId="387"/>
    <cellStyle name="Heading 4 3" xfId="388"/>
    <cellStyle name="Heading 4 4" xfId="389"/>
    <cellStyle name="Heading 5" xfId="390"/>
    <cellStyle name="HEADING1" xfId="391"/>
    <cellStyle name="HEADING2" xfId="392"/>
    <cellStyle name="Hyperlink 2" xfId="393"/>
    <cellStyle name="Hyperlink 3" xfId="394"/>
    <cellStyle name="Input [yellow]" xfId="395"/>
    <cellStyle name="Input 10" xfId="396"/>
    <cellStyle name="Input 11" xfId="397"/>
    <cellStyle name="Input 12" xfId="398"/>
    <cellStyle name="Input 13" xfId="399"/>
    <cellStyle name="Input 14" xfId="400"/>
    <cellStyle name="Input 15" xfId="401"/>
    <cellStyle name="Input 2" xfId="402"/>
    <cellStyle name="Input 2 2" xfId="403"/>
    <cellStyle name="Input 2 3" xfId="404"/>
    <cellStyle name="Input 3" xfId="405"/>
    <cellStyle name="Input 4" xfId="406"/>
    <cellStyle name="Input 5" xfId="407"/>
    <cellStyle name="Input 6" xfId="408"/>
    <cellStyle name="Input 7" xfId="409"/>
    <cellStyle name="Input 8" xfId="410"/>
    <cellStyle name="Input 9" xfId="411"/>
    <cellStyle name="Item" xfId="412"/>
    <cellStyle name="Link Currency (0)" xfId="413"/>
    <cellStyle name="Link Currency (0) 2" xfId="414"/>
    <cellStyle name="Link Currency (2)" xfId="415"/>
    <cellStyle name="Link Currency (2) 2" xfId="416"/>
    <cellStyle name="Link Units (0)" xfId="417"/>
    <cellStyle name="Link Units (0) 2" xfId="418"/>
    <cellStyle name="Link Units (1)" xfId="419"/>
    <cellStyle name="Link Units (1) 2" xfId="420"/>
    <cellStyle name="Link Units (2)" xfId="421"/>
    <cellStyle name="Link Units (2) 2" xfId="422"/>
    <cellStyle name="Linked Cell 2" xfId="423"/>
    <cellStyle name="Linked Cell 3" xfId="424"/>
    <cellStyle name="Linked Cell 4" xfId="425"/>
    <cellStyle name="Lookup" xfId="426"/>
    <cellStyle name="Milliers [0]_Basis" xfId="427"/>
    <cellStyle name="Milliers_Basis" xfId="428"/>
    <cellStyle name="Monétaire [0]_Basis" xfId="429"/>
    <cellStyle name="Monétaire_Basis" xfId="430"/>
    <cellStyle name="Money" xfId="431"/>
    <cellStyle name="Neutral 2" xfId="432"/>
    <cellStyle name="Neutral 3" xfId="433"/>
    <cellStyle name="Neutral 4" xfId="434"/>
    <cellStyle name="no dec" xfId="435"/>
    <cellStyle name="NoChange" xfId="436"/>
    <cellStyle name="Non Zero" xfId="437"/>
    <cellStyle name="Normal" xfId="0" builtinId="0"/>
    <cellStyle name="Normal - Style1" xfId="438"/>
    <cellStyle name="Normal 10" xfId="439"/>
    <cellStyle name="Normal 10 2" xfId="440"/>
    <cellStyle name="Normal 107" xfId="441"/>
    <cellStyle name="Normal 11" xfId="442"/>
    <cellStyle name="Normal 11 2" xfId="443"/>
    <cellStyle name="Normal 12" xfId="444"/>
    <cellStyle name="Normal 13" xfId="445"/>
    <cellStyle name="Normal 14" xfId="446"/>
    <cellStyle name="Normal 15" xfId="447"/>
    <cellStyle name="Normal 16" xfId="448"/>
    <cellStyle name="Normal 17" xfId="449"/>
    <cellStyle name="Normal 18" xfId="450"/>
    <cellStyle name="Normal 19" xfId="451"/>
    <cellStyle name="Normal 2" xfId="452"/>
    <cellStyle name="Normal 2 2" xfId="453"/>
    <cellStyle name="Normal 2 2 2" xfId="454"/>
    <cellStyle name="Normal 2 2 3" xfId="455"/>
    <cellStyle name="Normal 2 2_Primary vs Secondary Spread Oct 3" xfId="456"/>
    <cellStyle name="Normal 2 3" xfId="457"/>
    <cellStyle name="Normal 2 3 2" xfId="458"/>
    <cellStyle name="Normal 2 3 2 2" xfId="459"/>
    <cellStyle name="Normal 2 3 3" xfId="460"/>
    <cellStyle name="Normal 2 3_Primary vs Secondary Spread Oct 3" xfId="461"/>
    <cellStyle name="Normal 2 4" xfId="462"/>
    <cellStyle name="Normal 2 4 2" xfId="463"/>
    <cellStyle name="Normal 2 4 2 2" xfId="464"/>
    <cellStyle name="Normal 2 4 3" xfId="465"/>
    <cellStyle name="Normal 2 4_Primary vs Secondary Spread Oct 3" xfId="466"/>
    <cellStyle name="Normal 2 5" xfId="467"/>
    <cellStyle name="Normal 2 5 2" xfId="468"/>
    <cellStyle name="Normal 2 6" xfId="469"/>
    <cellStyle name="Normal 2 7" xfId="470"/>
    <cellStyle name="Normal 2_Primary vs Secondary Spread Oct 3" xfId="471"/>
    <cellStyle name="Normal 20" xfId="472"/>
    <cellStyle name="Normal 21" xfId="473"/>
    <cellStyle name="Normal 22" xfId="474"/>
    <cellStyle name="Normal 23" xfId="475"/>
    <cellStyle name="Normal 24" xfId="476"/>
    <cellStyle name="Normal 25" xfId="477"/>
    <cellStyle name="Normal 26" xfId="478"/>
    <cellStyle name="Normal 27" xfId="479"/>
    <cellStyle name="Normal 28" xfId="480"/>
    <cellStyle name="Normal 28 2" xfId="481"/>
    <cellStyle name="Normal 29" xfId="482"/>
    <cellStyle name="Normal 3" xfId="483"/>
    <cellStyle name="Normal 3 2" xfId="484"/>
    <cellStyle name="Normal 3 3" xfId="485"/>
    <cellStyle name="Normal 3_Primary vs Secondary Spread Oct 3" xfId="486"/>
    <cellStyle name="Normal 30" xfId="487"/>
    <cellStyle name="Normal 31" xfId="488"/>
    <cellStyle name="Normal 32" xfId="489"/>
    <cellStyle name="Normal 33" xfId="490"/>
    <cellStyle name="Normal 34" xfId="491"/>
    <cellStyle name="Normal 35" xfId="492"/>
    <cellStyle name="Normal 36" xfId="493"/>
    <cellStyle name="Normal 37" xfId="494"/>
    <cellStyle name="Normal 38" xfId="495"/>
    <cellStyle name="Normal 38 2" xfId="496"/>
    <cellStyle name="Normal 38 2 2" xfId="497"/>
    <cellStyle name="Normal 38 3" xfId="498"/>
    <cellStyle name="Normal 38_Primary vs Secondary Spread Oct 3" xfId="499"/>
    <cellStyle name="Normal 39" xfId="500"/>
    <cellStyle name="Normal 4" xfId="501"/>
    <cellStyle name="Normal 4 2" xfId="502"/>
    <cellStyle name="Normal 4 3" xfId="503"/>
    <cellStyle name="Normal 4 4" xfId="504"/>
    <cellStyle name="Normal 4_Primary vs Secondary Spread Oct 3" xfId="505"/>
    <cellStyle name="Normal 40" xfId="506"/>
    <cellStyle name="Normal 41" xfId="507"/>
    <cellStyle name="Normal 42" xfId="508"/>
    <cellStyle name="Normal 42 2" xfId="509"/>
    <cellStyle name="Normal 43" xfId="510"/>
    <cellStyle name="Normal 44" xfId="511"/>
    <cellStyle name="Normal 45" xfId="512"/>
    <cellStyle name="Normal 46" xfId="513"/>
    <cellStyle name="Normal 47" xfId="514"/>
    <cellStyle name="Normal 48" xfId="515"/>
    <cellStyle name="Normal 49" xfId="516"/>
    <cellStyle name="Normal 5" xfId="517"/>
    <cellStyle name="Normal 5 2" xfId="518"/>
    <cellStyle name="Normal 5 2 2" xfId="519"/>
    <cellStyle name="Normal 5 3" xfId="520"/>
    <cellStyle name="Normal 5 3 2" xfId="521"/>
    <cellStyle name="Normal 5 4" xfId="522"/>
    <cellStyle name="Normal 5_Primary vs Secondary Spread Oct 3" xfId="523"/>
    <cellStyle name="Normal 50" xfId="524"/>
    <cellStyle name="Normal 51" xfId="525"/>
    <cellStyle name="Normal 52" xfId="526"/>
    <cellStyle name="Normal 53" xfId="527"/>
    <cellStyle name="Normal 6" xfId="528"/>
    <cellStyle name="Normal 6 2" xfId="529"/>
    <cellStyle name="Normal 7" xfId="530"/>
    <cellStyle name="Normal 7 2" xfId="531"/>
    <cellStyle name="Normal 8" xfId="532"/>
    <cellStyle name="Normal 88" xfId="533"/>
    <cellStyle name="Normal 9" xfId="534"/>
    <cellStyle name="Normal 9 2" xfId="535"/>
    <cellStyle name="Note 2" xfId="536"/>
    <cellStyle name="Note 2 2" xfId="537"/>
    <cellStyle name="Note 2 3" xfId="538"/>
    <cellStyle name="Note 2 4" xfId="539"/>
    <cellStyle name="Note 3" xfId="540"/>
    <cellStyle name="Note 4" xfId="541"/>
    <cellStyle name="Note 4 2" xfId="542"/>
    <cellStyle name="Note 4 2 2" xfId="543"/>
    <cellStyle name="Note 4 3" xfId="544"/>
    <cellStyle name="Note 4 3 2" xfId="545"/>
    <cellStyle name="Note 4 4" xfId="546"/>
    <cellStyle name="Note 5" xfId="547"/>
    <cellStyle name="Note 5 2" xfId="548"/>
    <cellStyle name="Note 5 2 2" xfId="549"/>
    <cellStyle name="Note 5 3" xfId="550"/>
    <cellStyle name="Note 5 3 2" xfId="551"/>
    <cellStyle name="Note 5 4" xfId="552"/>
    <cellStyle name="Note 6" xfId="553"/>
    <cellStyle name="Note 6 2" xfId="554"/>
    <cellStyle name="Note 6 2 2" xfId="555"/>
    <cellStyle name="Note 6 3" xfId="556"/>
    <cellStyle name="Note 6 3 2" xfId="557"/>
    <cellStyle name="Note 6 4" xfId="558"/>
    <cellStyle name="Note 6 5" xfId="559"/>
    <cellStyle name="Note 7" xfId="560"/>
    <cellStyle name="Note 7 2" xfId="561"/>
    <cellStyle name="Note 7 2 2" xfId="562"/>
    <cellStyle name="Note 7 3" xfId="563"/>
    <cellStyle name="Note 7 3 2" xfId="564"/>
    <cellStyle name="Note 7 4" xfId="565"/>
    <cellStyle name="Note 7 5" xfId="566"/>
    <cellStyle name="Note 8" xfId="567"/>
    <cellStyle name="Note 9" xfId="568"/>
    <cellStyle name="NumberAsPercent" xfId="569"/>
    <cellStyle name="NumberFormat" xfId="570"/>
    <cellStyle name="Numbers" xfId="571"/>
    <cellStyle name="Numbers - Bold" xfId="572"/>
    <cellStyle name="Numbers_increm pf" xfId="573"/>
    <cellStyle name="NumberTo1DecPlace" xfId="574"/>
    <cellStyle name="OffWhite" xfId="575"/>
    <cellStyle name="OffWhite 2" xfId="576"/>
    <cellStyle name="OffWhite 2 2" xfId="577"/>
    <cellStyle name="OffWhite 3" xfId="578"/>
    <cellStyle name="OffWhite 3 2" xfId="579"/>
    <cellStyle name="OffWhite 4" xfId="580"/>
    <cellStyle name="Option" xfId="581"/>
    <cellStyle name="orange text cell" xfId="582"/>
    <cellStyle name="Output 2" xfId="583"/>
    <cellStyle name="Output 3" xfId="584"/>
    <cellStyle name="Output 4" xfId="585"/>
    <cellStyle name="Output 5" xfId="586"/>
    <cellStyle name="Output Amounts" xfId="587"/>
    <cellStyle name="Output Column Headings" xfId="588"/>
    <cellStyle name="Output Line Items" xfId="589"/>
    <cellStyle name="Output Report Heading" xfId="590"/>
    <cellStyle name="Output Report Title" xfId="591"/>
    <cellStyle name="Pageheading" xfId="592"/>
    <cellStyle name="Percent" xfId="1" builtinId="5"/>
    <cellStyle name="Percent [0]" xfId="593"/>
    <cellStyle name="Percent [0] 2" xfId="594"/>
    <cellStyle name="Percent [00]" xfId="595"/>
    <cellStyle name="Percent [00] 2" xfId="596"/>
    <cellStyle name="Percent [2]" xfId="597"/>
    <cellStyle name="Percent 2" xfId="598"/>
    <cellStyle name="Percent 2 2" xfId="599"/>
    <cellStyle name="Percent 2 2 2" xfId="600"/>
    <cellStyle name="Percent 2 3" xfId="601"/>
    <cellStyle name="Percent 2 3 2" xfId="602"/>
    <cellStyle name="Percent 2 4" xfId="603"/>
    <cellStyle name="Percent 2 5" xfId="604"/>
    <cellStyle name="Percent 3" xfId="605"/>
    <cellStyle name="Percent 3 2" xfId="606"/>
    <cellStyle name="Percent 3 2 2" xfId="607"/>
    <cellStyle name="Percent 3 3" xfId="608"/>
    <cellStyle name="Percent 3 3 2" xfId="609"/>
    <cellStyle name="Percent 3 4" xfId="610"/>
    <cellStyle name="Percent 4" xfId="611"/>
    <cellStyle name="Percent 4 2" xfId="612"/>
    <cellStyle name="Percent 4 2 2" xfId="613"/>
    <cellStyle name="Percent 4 3" xfId="614"/>
    <cellStyle name="Percent 4 3 2" xfId="615"/>
    <cellStyle name="Percent 4 4" xfId="616"/>
    <cellStyle name="Percent 5" xfId="617"/>
    <cellStyle name="Percent 5 2" xfId="618"/>
    <cellStyle name="Percent 5 2 2" xfId="619"/>
    <cellStyle name="Percent 5 3" xfId="620"/>
    <cellStyle name="Percent 5 3 2" xfId="621"/>
    <cellStyle name="Percent 5 4" xfId="622"/>
    <cellStyle name="Percentage" xfId="623"/>
    <cellStyle name="PrePop Currency (0)" xfId="624"/>
    <cellStyle name="PrePop Currency (0) 2" xfId="625"/>
    <cellStyle name="PrePop Currency (2)" xfId="626"/>
    <cellStyle name="PrePop Currency (2) 2" xfId="627"/>
    <cellStyle name="PrePop Units (0)" xfId="628"/>
    <cellStyle name="PrePop Units (0) 2" xfId="629"/>
    <cellStyle name="PrePop Units (1)" xfId="630"/>
    <cellStyle name="PrePop Units (1) 2" xfId="631"/>
    <cellStyle name="PrePop Units (2)" xfId="632"/>
    <cellStyle name="PrePop Units (2) 2" xfId="633"/>
    <cellStyle name="PriceTo3DecPlaces" xfId="634"/>
    <cellStyle name="PriceWithBorderAround" xfId="635"/>
    <cellStyle name="PRICING" xfId="636"/>
    <cellStyle name="Product Header" xfId="637"/>
    <cellStyle name="PSChar" xfId="638"/>
    <cellStyle name="PSHeading" xfId="639"/>
    <cellStyle name="r" xfId="640"/>
    <cellStyle name="r_pldt" xfId="641"/>
    <cellStyle name="ReportLeftHeader" xfId="642"/>
    <cellStyle name="ReportRightHeader" xfId="643"/>
    <cellStyle name="results" xfId="644"/>
    <cellStyle name="RevList" xfId="645"/>
    <cellStyle name="RVRQueryHandle" xfId="646"/>
    <cellStyle name="Section" xfId="647"/>
    <cellStyle name="SecuritiesPricingTable" xfId="648"/>
    <cellStyle name="SecuritiesPricingTableFinalData" xfId="649"/>
    <cellStyle name="SecuritiesPricingTableManualData" xfId="650"/>
    <cellStyle name="SecuritiesPricingTableText" xfId="651"/>
    <cellStyle name="Short $" xfId="652"/>
    <cellStyle name="Short $ 2" xfId="653"/>
    <cellStyle name="SIZE" xfId="654"/>
    <cellStyle name="Standard_Swaps-Bonds-Blending" xfId="655"/>
    <cellStyle name="Style 1" xfId="656"/>
    <cellStyle name="StyleSecuritiesPricingTableInteger" xfId="657"/>
    <cellStyle name="Subheading" xfId="658"/>
    <cellStyle name="subtitle" xfId="659"/>
    <cellStyle name="Subtotal" xfId="660"/>
    <cellStyle name="Table" xfId="661"/>
    <cellStyle name="Tablebody" xfId="662"/>
    <cellStyle name="TablebodyDate" xfId="663"/>
    <cellStyle name="TablebodyHeading" xfId="664"/>
    <cellStyle name="TablebodyOutstandingAmount" xfId="665"/>
    <cellStyle name="TablebodyPercent" xfId="666"/>
    <cellStyle name="TablebodyPrice" xfId="667"/>
    <cellStyle name="TablebodyReverse" xfId="668"/>
    <cellStyle name="TablebodySpread" xfId="669"/>
    <cellStyle name="TablebodySpreadBorder" xfId="670"/>
    <cellStyle name="TablebodyText" xfId="671"/>
    <cellStyle name="Tableheading" xfId="672"/>
    <cellStyle name="Text" xfId="673"/>
    <cellStyle name="Text 2" xfId="674"/>
    <cellStyle name="Text Indent A" xfId="675"/>
    <cellStyle name="Text Indent B" xfId="676"/>
    <cellStyle name="Text Indent B 2" xfId="677"/>
    <cellStyle name="Text Indent C" xfId="678"/>
    <cellStyle name="Text Indent C 2" xfId="679"/>
    <cellStyle name="TextStyle" xfId="680"/>
    <cellStyle name="tic display" xfId="681"/>
    <cellStyle name="tic input" xfId="682"/>
    <cellStyle name="Title - Underline" xfId="683"/>
    <cellStyle name="Title 2" xfId="684"/>
    <cellStyle name="Title 3" xfId="685"/>
    <cellStyle name="Title 4" xfId="686"/>
    <cellStyle name="Title 5" xfId="687"/>
    <cellStyle name="Title 6" xfId="688"/>
    <cellStyle name="Title 7" xfId="689"/>
    <cellStyle name="Title Calculations" xfId="690"/>
    <cellStyle name="Title Calculations 2" xfId="691"/>
    <cellStyle name="Title Calculations 2 2" xfId="692"/>
    <cellStyle name="Title Calculations_Primary vs Secondary Spread Oct 3" xfId="693"/>
    <cellStyle name="Title Indicative" xfId="694"/>
    <cellStyle name="Title Indicative 2" xfId="695"/>
    <cellStyle name="Title Indicative 2 2" xfId="696"/>
    <cellStyle name="Title Indicative_Primary vs Secondary Spread Oct 3" xfId="697"/>
    <cellStyle name="Title Pricing Assumptions" xfId="698"/>
    <cellStyle name="Title Pricing Assumptions 10" xfId="699"/>
    <cellStyle name="Title Pricing Assumptions 10 2" xfId="700"/>
    <cellStyle name="Title Pricing Assumptions 10 2 2" xfId="701"/>
    <cellStyle name="Title Pricing Assumptions 10 2_Primary vs Secondary Spread Oct 3" xfId="702"/>
    <cellStyle name="Title Pricing Assumptions 10 3" xfId="703"/>
    <cellStyle name="Title Pricing Assumptions 10 4" xfId="704"/>
    <cellStyle name="Title Pricing Assumptions 10 5" xfId="705"/>
    <cellStyle name="Title Pricing Assumptions 10_Primary vs Secondary Spread Oct 3" xfId="706"/>
    <cellStyle name="Title Pricing Assumptions 11" xfId="707"/>
    <cellStyle name="Title Pricing Assumptions 11 2" xfId="708"/>
    <cellStyle name="Title Pricing Assumptions 11_Primary vs Secondary Spread Oct 3" xfId="709"/>
    <cellStyle name="Title Pricing Assumptions 12" xfId="710"/>
    <cellStyle name="Title Pricing Assumptions 12 2" xfId="711"/>
    <cellStyle name="Title Pricing Assumptions 12_Primary vs Secondary Spread Oct 3" xfId="712"/>
    <cellStyle name="Title Pricing Assumptions 13" xfId="713"/>
    <cellStyle name="Title Pricing Assumptions 14" xfId="714"/>
    <cellStyle name="Title Pricing Assumptions 15" xfId="715"/>
    <cellStyle name="Title Pricing Assumptions 2" xfId="716"/>
    <cellStyle name="Title Pricing Assumptions 2 2" xfId="717"/>
    <cellStyle name="Title Pricing Assumptions 2 3" xfId="718"/>
    <cellStyle name="Title Pricing Assumptions 3" xfId="719"/>
    <cellStyle name="Title Pricing Assumptions 3 10" xfId="720"/>
    <cellStyle name="Title Pricing Assumptions 3 10 2" xfId="721"/>
    <cellStyle name="Title Pricing Assumptions 3 10_Primary vs Secondary Spread Oct 3" xfId="722"/>
    <cellStyle name="Title Pricing Assumptions 3 11" xfId="723"/>
    <cellStyle name="Title Pricing Assumptions 3 12" xfId="724"/>
    <cellStyle name="Title Pricing Assumptions 3 12 8" xfId="725"/>
    <cellStyle name="Title Pricing Assumptions 3 2" xfId="726"/>
    <cellStyle name="Title Pricing Assumptions 3 2 2" xfId="727"/>
    <cellStyle name="Title Pricing Assumptions 3 2 2 2" xfId="728"/>
    <cellStyle name="Title Pricing Assumptions 3 2 2 2 2" xfId="729"/>
    <cellStyle name="Title Pricing Assumptions 3 2 2 2_Primary vs Secondary Spread Oct 3" xfId="730"/>
    <cellStyle name="Title Pricing Assumptions 3 2 2 3" xfId="731"/>
    <cellStyle name="Title Pricing Assumptions 3 2 2 4" xfId="732"/>
    <cellStyle name="Title Pricing Assumptions 3 2 2 5" xfId="733"/>
    <cellStyle name="Title Pricing Assumptions 3 2 2_Primary vs Secondary Spread Oct 3" xfId="734"/>
    <cellStyle name="Title Pricing Assumptions 3 2 3" xfId="735"/>
    <cellStyle name="Title Pricing Assumptions 3 2 3 2" xfId="736"/>
    <cellStyle name="Title Pricing Assumptions 3 2 3 2 2" xfId="737"/>
    <cellStyle name="Title Pricing Assumptions 3 2 3 2_Primary vs Secondary Spread Oct 3" xfId="738"/>
    <cellStyle name="Title Pricing Assumptions 3 2 3 3" xfId="739"/>
    <cellStyle name="Title Pricing Assumptions 3 2 3 4" xfId="740"/>
    <cellStyle name="Title Pricing Assumptions 3 2 3 5" xfId="741"/>
    <cellStyle name="Title Pricing Assumptions 3 2 3_Primary vs Secondary Spread Oct 3" xfId="742"/>
    <cellStyle name="Title Pricing Assumptions 3 2 4" xfId="743"/>
    <cellStyle name="Title Pricing Assumptions 3 2 4 2" xfId="744"/>
    <cellStyle name="Title Pricing Assumptions 3 2 4 2 2" xfId="745"/>
    <cellStyle name="Title Pricing Assumptions 3 2 4 2_Primary vs Secondary Spread Oct 3" xfId="746"/>
    <cellStyle name="Title Pricing Assumptions 3 2 4 3" xfId="747"/>
    <cellStyle name="Title Pricing Assumptions 3 2 4 4" xfId="748"/>
    <cellStyle name="Title Pricing Assumptions 3 2 4 5" xfId="749"/>
    <cellStyle name="Title Pricing Assumptions 3 2 4_Primary vs Secondary Spread Oct 3" xfId="750"/>
    <cellStyle name="Title Pricing Assumptions 3 2 5" xfId="751"/>
    <cellStyle name="Title Pricing Assumptions 3 2 5 2" xfId="752"/>
    <cellStyle name="Title Pricing Assumptions 3 2 5_Primary vs Secondary Spread Oct 3" xfId="753"/>
    <cellStyle name="Title Pricing Assumptions 3 2 6" xfId="754"/>
    <cellStyle name="Title Pricing Assumptions 3 2 6 2" xfId="755"/>
    <cellStyle name="Title Pricing Assumptions 3 2 6_Primary vs Secondary Spread Oct 3" xfId="756"/>
    <cellStyle name="Title Pricing Assumptions 3 2 7" xfId="757"/>
    <cellStyle name="Title Pricing Assumptions 3 2 8" xfId="758"/>
    <cellStyle name="Title Pricing Assumptions 3 2_Primary vs Secondary Spread Oct 3" xfId="759"/>
    <cellStyle name="Title Pricing Assumptions 3 3" xfId="760"/>
    <cellStyle name="Title Pricing Assumptions 3 3 2" xfId="761"/>
    <cellStyle name="Title Pricing Assumptions 3 3 2 2" xfId="762"/>
    <cellStyle name="Title Pricing Assumptions 3 3 2 2 2" xfId="763"/>
    <cellStyle name="Title Pricing Assumptions 3 3 2 2_Primary vs Secondary Spread Oct 3" xfId="764"/>
    <cellStyle name="Title Pricing Assumptions 3 3 2 3" xfId="765"/>
    <cellStyle name="Title Pricing Assumptions 3 3 2 4" xfId="766"/>
    <cellStyle name="Title Pricing Assumptions 3 3 2 5" xfId="767"/>
    <cellStyle name="Title Pricing Assumptions 3 3 2_Primary vs Secondary Spread Oct 3" xfId="768"/>
    <cellStyle name="Title Pricing Assumptions 3 3 3" xfId="769"/>
    <cellStyle name="Title Pricing Assumptions 3 3 3 2" xfId="770"/>
    <cellStyle name="Title Pricing Assumptions 3 3 3 2 2" xfId="771"/>
    <cellStyle name="Title Pricing Assumptions 3 3 3 2_Primary vs Secondary Spread Oct 3" xfId="772"/>
    <cellStyle name="Title Pricing Assumptions 3 3 3 3" xfId="773"/>
    <cellStyle name="Title Pricing Assumptions 3 3 3 4" xfId="774"/>
    <cellStyle name="Title Pricing Assumptions 3 3 3 5" xfId="775"/>
    <cellStyle name="Title Pricing Assumptions 3 3 3_Primary vs Secondary Spread Oct 3" xfId="776"/>
    <cellStyle name="Title Pricing Assumptions 3 3 4" xfId="777"/>
    <cellStyle name="Title Pricing Assumptions 3 3 4 2" xfId="778"/>
    <cellStyle name="Title Pricing Assumptions 3 3 4 2 2" xfId="779"/>
    <cellStyle name="Title Pricing Assumptions 3 3 4 2_Primary vs Secondary Spread Oct 3" xfId="780"/>
    <cellStyle name="Title Pricing Assumptions 3 3 4 3" xfId="781"/>
    <cellStyle name="Title Pricing Assumptions 3 3 4 4" xfId="782"/>
    <cellStyle name="Title Pricing Assumptions 3 3 4 5" xfId="783"/>
    <cellStyle name="Title Pricing Assumptions 3 3 4_Primary vs Secondary Spread Oct 3" xfId="784"/>
    <cellStyle name="Title Pricing Assumptions 3 3 5" xfId="785"/>
    <cellStyle name="Title Pricing Assumptions 3 3 5 2" xfId="786"/>
    <cellStyle name="Title Pricing Assumptions 3 3 5_Primary vs Secondary Spread Oct 3" xfId="787"/>
    <cellStyle name="Title Pricing Assumptions 3 3 6" xfId="788"/>
    <cellStyle name="Title Pricing Assumptions 3 3 6 2" xfId="789"/>
    <cellStyle name="Title Pricing Assumptions 3 3 6_Primary vs Secondary Spread Oct 3" xfId="790"/>
    <cellStyle name="Title Pricing Assumptions 3 3 7" xfId="791"/>
    <cellStyle name="Title Pricing Assumptions 3 3 8" xfId="792"/>
    <cellStyle name="Title Pricing Assumptions 3 3_Primary vs Secondary Spread Oct 3" xfId="793"/>
    <cellStyle name="Title Pricing Assumptions 3 4" xfId="794"/>
    <cellStyle name="Title Pricing Assumptions 3 4 2" xfId="795"/>
    <cellStyle name="Title Pricing Assumptions 3 4 2 2" xfId="796"/>
    <cellStyle name="Title Pricing Assumptions 3 4 2 2 2" xfId="797"/>
    <cellStyle name="Title Pricing Assumptions 3 4 2 2_Primary vs Secondary Spread Oct 3" xfId="798"/>
    <cellStyle name="Title Pricing Assumptions 3 4 2 3" xfId="799"/>
    <cellStyle name="Title Pricing Assumptions 3 4 2 4" xfId="800"/>
    <cellStyle name="Title Pricing Assumptions 3 4 2 5" xfId="801"/>
    <cellStyle name="Title Pricing Assumptions 3 4 2_Primary vs Secondary Spread Oct 3" xfId="802"/>
    <cellStyle name="Title Pricing Assumptions 3 4 3" xfId="803"/>
    <cellStyle name="Title Pricing Assumptions 3 4 3 2" xfId="804"/>
    <cellStyle name="Title Pricing Assumptions 3 4 3 2 2" xfId="805"/>
    <cellStyle name="Title Pricing Assumptions 3 4 3 2_Primary vs Secondary Spread Oct 3" xfId="806"/>
    <cellStyle name="Title Pricing Assumptions 3 4 3 3" xfId="807"/>
    <cellStyle name="Title Pricing Assumptions 3 4 3 4" xfId="808"/>
    <cellStyle name="Title Pricing Assumptions 3 4 3 5" xfId="809"/>
    <cellStyle name="Title Pricing Assumptions 3 4 3_Primary vs Secondary Spread Oct 3" xfId="810"/>
    <cellStyle name="Title Pricing Assumptions 3 4 4" xfId="811"/>
    <cellStyle name="Title Pricing Assumptions 3 4 4 2" xfId="812"/>
    <cellStyle name="Title Pricing Assumptions 3 4 4 2 2" xfId="813"/>
    <cellStyle name="Title Pricing Assumptions 3 4 4 2_Primary vs Secondary Spread Oct 3" xfId="814"/>
    <cellStyle name="Title Pricing Assumptions 3 4 4 3" xfId="815"/>
    <cellStyle name="Title Pricing Assumptions 3 4 4 4" xfId="816"/>
    <cellStyle name="Title Pricing Assumptions 3 4 4 5" xfId="817"/>
    <cellStyle name="Title Pricing Assumptions 3 4 4_Primary vs Secondary Spread Oct 3" xfId="818"/>
    <cellStyle name="Title Pricing Assumptions 3 4 5" xfId="819"/>
    <cellStyle name="Title Pricing Assumptions 3 4 5 2" xfId="820"/>
    <cellStyle name="Title Pricing Assumptions 3 4 5_Primary vs Secondary Spread Oct 3" xfId="821"/>
    <cellStyle name="Title Pricing Assumptions 3 4 6" xfId="822"/>
    <cellStyle name="Title Pricing Assumptions 3 4 6 2" xfId="823"/>
    <cellStyle name="Title Pricing Assumptions 3 4 6_Primary vs Secondary Spread Oct 3" xfId="824"/>
    <cellStyle name="Title Pricing Assumptions 3 4 7" xfId="825"/>
    <cellStyle name="Title Pricing Assumptions 3 4 8" xfId="826"/>
    <cellStyle name="Title Pricing Assumptions 3 4_Primary vs Secondary Spread Oct 3" xfId="827"/>
    <cellStyle name="Title Pricing Assumptions 3 5" xfId="828"/>
    <cellStyle name="Title Pricing Assumptions 3 5 2" xfId="829"/>
    <cellStyle name="Title Pricing Assumptions 3 5 2 2" xfId="830"/>
    <cellStyle name="Title Pricing Assumptions 3 5 2 2 2" xfId="831"/>
    <cellStyle name="Title Pricing Assumptions 3 5 2 2_Primary vs Secondary Spread Oct 3" xfId="832"/>
    <cellStyle name="Title Pricing Assumptions 3 5 2 3" xfId="833"/>
    <cellStyle name="Title Pricing Assumptions 3 5 2 4" xfId="834"/>
    <cellStyle name="Title Pricing Assumptions 3 5 2 5" xfId="835"/>
    <cellStyle name="Title Pricing Assumptions 3 5 2_Primary vs Secondary Spread Oct 3" xfId="836"/>
    <cellStyle name="Title Pricing Assumptions 3 5 3" xfId="837"/>
    <cellStyle name="Title Pricing Assumptions 3 5 3 2" xfId="838"/>
    <cellStyle name="Title Pricing Assumptions 3 5 3 2 2" xfId="839"/>
    <cellStyle name="Title Pricing Assumptions 3 5 3 2_Primary vs Secondary Spread Oct 3" xfId="840"/>
    <cellStyle name="Title Pricing Assumptions 3 5 3 3" xfId="841"/>
    <cellStyle name="Title Pricing Assumptions 3 5 3 4" xfId="842"/>
    <cellStyle name="Title Pricing Assumptions 3 5 3 5" xfId="843"/>
    <cellStyle name="Title Pricing Assumptions 3 5 3_Primary vs Secondary Spread Oct 3" xfId="844"/>
    <cellStyle name="Title Pricing Assumptions 3 5 4" xfId="845"/>
    <cellStyle name="Title Pricing Assumptions 3 5 4 2" xfId="846"/>
    <cellStyle name="Title Pricing Assumptions 3 5 4_Primary vs Secondary Spread Oct 3" xfId="847"/>
    <cellStyle name="Title Pricing Assumptions 3 5 5" xfId="848"/>
    <cellStyle name="Title Pricing Assumptions 3 5 5 2" xfId="849"/>
    <cellStyle name="Title Pricing Assumptions 3 5 5_Primary vs Secondary Spread Oct 3" xfId="850"/>
    <cellStyle name="Title Pricing Assumptions 3 5 6" xfId="851"/>
    <cellStyle name="Title Pricing Assumptions 3 5 7" xfId="852"/>
    <cellStyle name="Title Pricing Assumptions 3 5_Primary vs Secondary Spread Oct 3" xfId="853"/>
    <cellStyle name="Title Pricing Assumptions 3 6" xfId="854"/>
    <cellStyle name="Title Pricing Assumptions 3 6 2" xfId="855"/>
    <cellStyle name="Title Pricing Assumptions 3 6 2 2" xfId="856"/>
    <cellStyle name="Title Pricing Assumptions 3 6 2_Primary vs Secondary Spread Oct 3" xfId="857"/>
    <cellStyle name="Title Pricing Assumptions 3 6 3" xfId="858"/>
    <cellStyle name="Title Pricing Assumptions 3 6 4" xfId="859"/>
    <cellStyle name="Title Pricing Assumptions 3 6 4 2 8" xfId="860"/>
    <cellStyle name="Title Pricing Assumptions 3 6 5" xfId="861"/>
    <cellStyle name="Title Pricing Assumptions 3 6_Primary vs Secondary Spread Oct 3" xfId="862"/>
    <cellStyle name="Title Pricing Assumptions 3 7" xfId="863"/>
    <cellStyle name="Title Pricing Assumptions 3 7 2" xfId="864"/>
    <cellStyle name="Title Pricing Assumptions 3 7 2 2" xfId="865"/>
    <cellStyle name="Title Pricing Assumptions 3 7 2_Primary vs Secondary Spread Oct 3" xfId="866"/>
    <cellStyle name="Title Pricing Assumptions 3 7 3" xfId="867"/>
    <cellStyle name="Title Pricing Assumptions 3 7 4" xfId="868"/>
    <cellStyle name="Title Pricing Assumptions 3 7 5" xfId="869"/>
    <cellStyle name="Title Pricing Assumptions 3 7_Primary vs Secondary Spread Oct 3" xfId="870"/>
    <cellStyle name="Title Pricing Assumptions 3 8" xfId="871"/>
    <cellStyle name="Title Pricing Assumptions 3 8 2" xfId="872"/>
    <cellStyle name="Title Pricing Assumptions 3 8 2 2" xfId="873"/>
    <cellStyle name="Title Pricing Assumptions 3 8 2_Primary vs Secondary Spread Oct 3" xfId="874"/>
    <cellStyle name="Title Pricing Assumptions 3 8 3" xfId="875"/>
    <cellStyle name="Title Pricing Assumptions 3 8 4" xfId="876"/>
    <cellStyle name="Title Pricing Assumptions 3 8 5" xfId="877"/>
    <cellStyle name="Title Pricing Assumptions 3 8_Primary vs Secondary Spread Oct 3" xfId="878"/>
    <cellStyle name="Title Pricing Assumptions 3 9" xfId="879"/>
    <cellStyle name="Title Pricing Assumptions 3 9 2" xfId="880"/>
    <cellStyle name="Title Pricing Assumptions 3 9_Primary vs Secondary Spread Oct 3" xfId="881"/>
    <cellStyle name="Title Pricing Assumptions 3_Primary vs Secondary Spread Oct 3" xfId="882"/>
    <cellStyle name="Title Pricing Assumptions 4" xfId="883"/>
    <cellStyle name="Title Pricing Assumptions 4 2" xfId="884"/>
    <cellStyle name="Title Pricing Assumptions 4 2 2" xfId="885"/>
    <cellStyle name="Title Pricing Assumptions 4 2 2 2" xfId="886"/>
    <cellStyle name="Title Pricing Assumptions 4 2 2_Primary vs Secondary Spread Oct 3" xfId="887"/>
    <cellStyle name="Title Pricing Assumptions 4 2 3" xfId="888"/>
    <cellStyle name="Title Pricing Assumptions 4 2 4" xfId="889"/>
    <cellStyle name="Title Pricing Assumptions 4 2 5" xfId="890"/>
    <cellStyle name="Title Pricing Assumptions 4 2_Primary vs Secondary Spread Oct 3" xfId="891"/>
    <cellStyle name="Title Pricing Assumptions 4 3" xfId="892"/>
    <cellStyle name="Title Pricing Assumptions 4 3 2" xfId="893"/>
    <cellStyle name="Title Pricing Assumptions 4 3 2 2" xfId="894"/>
    <cellStyle name="Title Pricing Assumptions 4 3 2_Primary vs Secondary Spread Oct 3" xfId="895"/>
    <cellStyle name="Title Pricing Assumptions 4 3 3" xfId="896"/>
    <cellStyle name="Title Pricing Assumptions 4 3 4" xfId="897"/>
    <cellStyle name="Title Pricing Assumptions 4 3 5" xfId="898"/>
    <cellStyle name="Title Pricing Assumptions 4 3_Primary vs Secondary Spread Oct 3" xfId="899"/>
    <cellStyle name="Title Pricing Assumptions 4 4" xfId="900"/>
    <cellStyle name="Title Pricing Assumptions 4 4 2" xfId="901"/>
    <cellStyle name="Title Pricing Assumptions 4 4 2 2" xfId="902"/>
    <cellStyle name="Title Pricing Assumptions 4 4 2_Primary vs Secondary Spread Oct 3" xfId="903"/>
    <cellStyle name="Title Pricing Assumptions 4 4 3" xfId="904"/>
    <cellStyle name="Title Pricing Assumptions 4 4 4" xfId="905"/>
    <cellStyle name="Title Pricing Assumptions 4 4 5" xfId="906"/>
    <cellStyle name="Title Pricing Assumptions 4 4_Primary vs Secondary Spread Oct 3" xfId="907"/>
    <cellStyle name="Title Pricing Assumptions 4 5" xfId="908"/>
    <cellStyle name="Title Pricing Assumptions 4 5 2" xfId="909"/>
    <cellStyle name="Title Pricing Assumptions 4 5_Primary vs Secondary Spread Oct 3" xfId="910"/>
    <cellStyle name="Title Pricing Assumptions 4 6" xfId="911"/>
    <cellStyle name="Title Pricing Assumptions 4 6 2" xfId="912"/>
    <cellStyle name="Title Pricing Assumptions 4 6_Primary vs Secondary Spread Oct 3" xfId="913"/>
    <cellStyle name="Title Pricing Assumptions 4 7" xfId="914"/>
    <cellStyle name="Title Pricing Assumptions 4 8" xfId="915"/>
    <cellStyle name="Title Pricing Assumptions 4_Primary vs Secondary Spread Oct 3" xfId="916"/>
    <cellStyle name="Title Pricing Assumptions 5" xfId="917"/>
    <cellStyle name="Title Pricing Assumptions 5 2" xfId="918"/>
    <cellStyle name="Title Pricing Assumptions 5 2 2" xfId="919"/>
    <cellStyle name="Title Pricing Assumptions 5 2 2 2" xfId="920"/>
    <cellStyle name="Title Pricing Assumptions 5 2 2_Primary vs Secondary Spread Oct 3" xfId="921"/>
    <cellStyle name="Title Pricing Assumptions 5 2 3" xfId="922"/>
    <cellStyle name="Title Pricing Assumptions 5 2 4" xfId="923"/>
    <cellStyle name="Title Pricing Assumptions 5 2 5" xfId="924"/>
    <cellStyle name="Title Pricing Assumptions 5 2_Primary vs Secondary Spread Oct 3" xfId="925"/>
    <cellStyle name="Title Pricing Assumptions 5 3" xfId="926"/>
    <cellStyle name="Title Pricing Assumptions 5 3 2" xfId="927"/>
    <cellStyle name="Title Pricing Assumptions 5 3 2 2" xfId="928"/>
    <cellStyle name="Title Pricing Assumptions 5 3 2_Primary vs Secondary Spread Oct 3" xfId="929"/>
    <cellStyle name="Title Pricing Assumptions 5 3 3" xfId="930"/>
    <cellStyle name="Title Pricing Assumptions 5 3 4" xfId="931"/>
    <cellStyle name="Title Pricing Assumptions 5 3 5" xfId="932"/>
    <cellStyle name="Title Pricing Assumptions 5 3_Primary vs Secondary Spread Oct 3" xfId="933"/>
    <cellStyle name="Title Pricing Assumptions 5 4" xfId="934"/>
    <cellStyle name="Title Pricing Assumptions 5 4 2" xfId="935"/>
    <cellStyle name="Title Pricing Assumptions 5 4 2 2" xfId="936"/>
    <cellStyle name="Title Pricing Assumptions 5 4 2_Primary vs Secondary Spread Oct 3" xfId="937"/>
    <cellStyle name="Title Pricing Assumptions 5 4 3" xfId="938"/>
    <cellStyle name="Title Pricing Assumptions 5 4 4" xfId="939"/>
    <cellStyle name="Title Pricing Assumptions 5 4 5" xfId="940"/>
    <cellStyle name="Title Pricing Assumptions 5 4_Primary vs Secondary Spread Oct 3" xfId="941"/>
    <cellStyle name="Title Pricing Assumptions 5 5" xfId="942"/>
    <cellStyle name="Title Pricing Assumptions 5 5 2" xfId="943"/>
    <cellStyle name="Title Pricing Assumptions 5 5_Primary vs Secondary Spread Oct 3" xfId="944"/>
    <cellStyle name="Title Pricing Assumptions 5 6" xfId="945"/>
    <cellStyle name="Title Pricing Assumptions 5 6 2" xfId="946"/>
    <cellStyle name="Title Pricing Assumptions 5 6_Primary vs Secondary Spread Oct 3" xfId="947"/>
    <cellStyle name="Title Pricing Assumptions 5 7" xfId="948"/>
    <cellStyle name="Title Pricing Assumptions 5 8" xfId="949"/>
    <cellStyle name="Title Pricing Assumptions 5_Primary vs Secondary Spread Oct 3" xfId="950"/>
    <cellStyle name="Title Pricing Assumptions 6" xfId="951"/>
    <cellStyle name="Title Pricing Assumptions 6 2" xfId="952"/>
    <cellStyle name="Title Pricing Assumptions 6 2 2" xfId="953"/>
    <cellStyle name="Title Pricing Assumptions 6 2 2 2" xfId="954"/>
    <cellStyle name="Title Pricing Assumptions 6 2 2_Primary vs Secondary Spread Oct 3" xfId="955"/>
    <cellStyle name="Title Pricing Assumptions 6 2 3" xfId="956"/>
    <cellStyle name="Title Pricing Assumptions 6 2 4" xfId="957"/>
    <cellStyle name="Title Pricing Assumptions 6 2 5" xfId="958"/>
    <cellStyle name="Title Pricing Assumptions 6 2_Primary vs Secondary Spread Oct 3" xfId="959"/>
    <cellStyle name="Title Pricing Assumptions 6 3" xfId="960"/>
    <cellStyle name="Title Pricing Assumptions 6 3 2" xfId="961"/>
    <cellStyle name="Title Pricing Assumptions 6 3 2 2" xfId="962"/>
    <cellStyle name="Title Pricing Assumptions 6 3 2_Primary vs Secondary Spread Oct 3" xfId="963"/>
    <cellStyle name="Title Pricing Assumptions 6 3 3" xfId="964"/>
    <cellStyle name="Title Pricing Assumptions 6 3 4" xfId="965"/>
    <cellStyle name="Title Pricing Assumptions 6 3_Primary vs Secondary Spread Oct 3" xfId="966"/>
    <cellStyle name="Title Pricing Assumptions 6 4" xfId="967"/>
    <cellStyle name="Title Pricing Assumptions 6 4 2" xfId="968"/>
    <cellStyle name="Title Pricing Assumptions 6 4 2 2" xfId="969"/>
    <cellStyle name="Title Pricing Assumptions 6 4 2_Primary vs Secondary Spread Oct 3" xfId="970"/>
    <cellStyle name="Title Pricing Assumptions 6 4 3" xfId="971"/>
    <cellStyle name="Title Pricing Assumptions 6 4 4" xfId="972"/>
    <cellStyle name="Title Pricing Assumptions 6 4 5" xfId="973"/>
    <cellStyle name="Title Pricing Assumptions 6 4_Primary vs Secondary Spread Oct 3" xfId="974"/>
    <cellStyle name="Title Pricing Assumptions 6 5" xfId="975"/>
    <cellStyle name="Title Pricing Assumptions 6 5 2" xfId="976"/>
    <cellStyle name="Title Pricing Assumptions 6 5_Primary vs Secondary Spread Oct 3" xfId="977"/>
    <cellStyle name="Title Pricing Assumptions 6 6" xfId="978"/>
    <cellStyle name="Title Pricing Assumptions 6 6 2" xfId="979"/>
    <cellStyle name="Title Pricing Assumptions 6 6_Primary vs Secondary Spread Oct 3" xfId="980"/>
    <cellStyle name="Title Pricing Assumptions 6 7" xfId="981"/>
    <cellStyle name="Title Pricing Assumptions 6 8" xfId="982"/>
    <cellStyle name="Title Pricing Assumptions 6_Primary vs Secondary Spread Oct 3" xfId="983"/>
    <cellStyle name="Title Pricing Assumptions 7" xfId="984"/>
    <cellStyle name="Title Pricing Assumptions 7 2" xfId="985"/>
    <cellStyle name="Title Pricing Assumptions 7 2 2" xfId="986"/>
    <cellStyle name="Title Pricing Assumptions 7 2 2 2" xfId="987"/>
    <cellStyle name="Title Pricing Assumptions 7 2 2_Primary vs Secondary Spread Oct 3" xfId="988"/>
    <cellStyle name="Title Pricing Assumptions 7 2 3" xfId="989"/>
    <cellStyle name="Title Pricing Assumptions 7 2 4" xfId="990"/>
    <cellStyle name="Title Pricing Assumptions 7 2 5" xfId="991"/>
    <cellStyle name="Title Pricing Assumptions 7 2_Primary vs Secondary Spread Oct 3" xfId="992"/>
    <cellStyle name="Title Pricing Assumptions 7 3" xfId="993"/>
    <cellStyle name="Title Pricing Assumptions 7 3 2" xfId="994"/>
    <cellStyle name="Title Pricing Assumptions 7 3 2 2" xfId="995"/>
    <cellStyle name="Title Pricing Assumptions 7 3 2_Primary vs Secondary Spread Oct 3" xfId="996"/>
    <cellStyle name="Title Pricing Assumptions 7 3 3" xfId="997"/>
    <cellStyle name="Title Pricing Assumptions 7 3 4" xfId="998"/>
    <cellStyle name="Title Pricing Assumptions 7 3 5" xfId="999"/>
    <cellStyle name="Title Pricing Assumptions 7 3_Primary vs Secondary Spread Oct 3" xfId="1000"/>
    <cellStyle name="Title Pricing Assumptions 7 4" xfId="1001"/>
    <cellStyle name="Title Pricing Assumptions 7 4 2" xfId="1002"/>
    <cellStyle name="Title Pricing Assumptions 7 4_Primary vs Secondary Spread Oct 3" xfId="1003"/>
    <cellStyle name="Title Pricing Assumptions 7 5" xfId="1004"/>
    <cellStyle name="Title Pricing Assumptions 7 5 2" xfId="1005"/>
    <cellStyle name="Title Pricing Assumptions 7 5_Primary vs Secondary Spread Oct 3" xfId="1006"/>
    <cellStyle name="Title Pricing Assumptions 7 6" xfId="1007"/>
    <cellStyle name="Title Pricing Assumptions 7 7" xfId="1008"/>
    <cellStyle name="Title Pricing Assumptions 7_Primary vs Secondary Spread Oct 3" xfId="1009"/>
    <cellStyle name="Title Pricing Assumptions 8" xfId="1010"/>
    <cellStyle name="Title Pricing Assumptions 8 2" xfId="1011"/>
    <cellStyle name="Title Pricing Assumptions 8 2 2" xfId="1012"/>
    <cellStyle name="Title Pricing Assumptions 8 2_Primary vs Secondary Spread Oct 3" xfId="1013"/>
    <cellStyle name="Title Pricing Assumptions 8 3" xfId="1014"/>
    <cellStyle name="Title Pricing Assumptions 8 4" xfId="1015"/>
    <cellStyle name="Title Pricing Assumptions 8 5" xfId="1016"/>
    <cellStyle name="Title Pricing Assumptions 8_Primary vs Secondary Spread Oct 3" xfId="1017"/>
    <cellStyle name="Title Pricing Assumptions 9" xfId="1018"/>
    <cellStyle name="Title Pricing Assumptions 9 2" xfId="1019"/>
    <cellStyle name="Title Pricing Assumptions 9 2 2" xfId="1020"/>
    <cellStyle name="Title Pricing Assumptions 9 2_Primary vs Secondary Spread Oct 3" xfId="1021"/>
    <cellStyle name="Title Pricing Assumptions 9 3" xfId="1022"/>
    <cellStyle name="Title Pricing Assumptions 9 4" xfId="1023"/>
    <cellStyle name="Title Pricing Assumptions 9 5" xfId="1024"/>
    <cellStyle name="Title Pricing Assumptions 9_Primary vs Secondary Spread Oct 3" xfId="1025"/>
    <cellStyle name="Title Pricing Assumptions_Primary vs Secondary Spread Oct 3" xfId="1026"/>
    <cellStyle name="Titles - Other" xfId="1027"/>
    <cellStyle name="Total 2" xfId="1028"/>
    <cellStyle name="Total 2 2" xfId="1029"/>
    <cellStyle name="Total 3" xfId="1030"/>
    <cellStyle name="Total 4" xfId="1031"/>
    <cellStyle name="Total 4 2" xfId="1032"/>
    <cellStyle name="Total 4_Primary vs Secondary Spread Oct 3" xfId="1033"/>
    <cellStyle name="Warning" xfId="1034"/>
    <cellStyle name="Warning Text 2" xfId="1035"/>
    <cellStyle name="Warning Text 3" xfId="1036"/>
    <cellStyle name="Warning Text 4" xfId="1037"/>
    <cellStyle name="Warning Text 5" xfId="1038"/>
    <cellStyle name="YB Calculations" xfId="1039"/>
    <cellStyle name="YB Calculations 2" xfId="1040"/>
    <cellStyle name="YB Calculations 2 2" xfId="1041"/>
    <cellStyle name="YB Curve" xfId="1042"/>
    <cellStyle name="YB Indicative" xfId="1043"/>
    <cellStyle name="YB Indicative 2" xfId="1044"/>
    <cellStyle name="YBINDIC" xfId="1045"/>
    <cellStyle name="YBIOPOBE" xfId="1046"/>
    <cellStyle name="YBPRICE" xfId="1047"/>
    <cellStyle name="一般_原始檔案" xfId="104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2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3"/>
          <c:order val="3"/>
          <c:tx>
            <c:strRef>
              <c:f>'Current Paying PMI'!$F$2</c:f>
              <c:strCache>
                <c:ptCount val="1"/>
                <c:pt idx="0">
                  <c:v>Diff(New-HARP)</c:v>
                </c:pt>
              </c:strCache>
            </c:strRef>
          </c:tx>
          <c:invertIfNegative val="0"/>
          <c:cat>
            <c:numRef>
              <c:f>'Current Paying PMI'!$B$3:$B$227</c:f>
              <c:numCache>
                <c:formatCode>m/d/yyyy</c:formatCode>
                <c:ptCount val="225"/>
                <c:pt idx="0">
                  <c:v>40549</c:v>
                </c:pt>
                <c:pt idx="1">
                  <c:v>40556</c:v>
                </c:pt>
                <c:pt idx="2">
                  <c:v>40563</c:v>
                </c:pt>
                <c:pt idx="3">
                  <c:v>40570</c:v>
                </c:pt>
                <c:pt idx="4">
                  <c:v>40577</c:v>
                </c:pt>
                <c:pt idx="5">
                  <c:v>40584</c:v>
                </c:pt>
                <c:pt idx="6">
                  <c:v>40591</c:v>
                </c:pt>
                <c:pt idx="7">
                  <c:v>40598</c:v>
                </c:pt>
                <c:pt idx="8">
                  <c:v>40605</c:v>
                </c:pt>
                <c:pt idx="9">
                  <c:v>40612</c:v>
                </c:pt>
                <c:pt idx="10">
                  <c:v>40619</c:v>
                </c:pt>
                <c:pt idx="11">
                  <c:v>40626</c:v>
                </c:pt>
                <c:pt idx="12">
                  <c:v>40633</c:v>
                </c:pt>
                <c:pt idx="13">
                  <c:v>40640</c:v>
                </c:pt>
                <c:pt idx="14">
                  <c:v>40647</c:v>
                </c:pt>
                <c:pt idx="15">
                  <c:v>40654</c:v>
                </c:pt>
                <c:pt idx="16">
                  <c:v>40661</c:v>
                </c:pt>
                <c:pt idx="17">
                  <c:v>40668</c:v>
                </c:pt>
                <c:pt idx="18">
                  <c:v>40675</c:v>
                </c:pt>
                <c:pt idx="19">
                  <c:v>40682</c:v>
                </c:pt>
                <c:pt idx="20">
                  <c:v>40689</c:v>
                </c:pt>
                <c:pt idx="21">
                  <c:v>40696</c:v>
                </c:pt>
                <c:pt idx="22">
                  <c:v>40703</c:v>
                </c:pt>
                <c:pt idx="23">
                  <c:v>40710</c:v>
                </c:pt>
                <c:pt idx="24">
                  <c:v>40717</c:v>
                </c:pt>
                <c:pt idx="25">
                  <c:v>40724</c:v>
                </c:pt>
                <c:pt idx="26">
                  <c:v>40731</c:v>
                </c:pt>
                <c:pt idx="27">
                  <c:v>40738</c:v>
                </c:pt>
                <c:pt idx="28">
                  <c:v>40745</c:v>
                </c:pt>
                <c:pt idx="29">
                  <c:v>40752</c:v>
                </c:pt>
                <c:pt idx="30">
                  <c:v>40759</c:v>
                </c:pt>
                <c:pt idx="31">
                  <c:v>40766</c:v>
                </c:pt>
                <c:pt idx="32">
                  <c:v>40773</c:v>
                </c:pt>
                <c:pt idx="33">
                  <c:v>40780</c:v>
                </c:pt>
                <c:pt idx="34">
                  <c:v>40787</c:v>
                </c:pt>
                <c:pt idx="35">
                  <c:v>40794</c:v>
                </c:pt>
                <c:pt idx="36">
                  <c:v>40801</c:v>
                </c:pt>
                <c:pt idx="37">
                  <c:v>40808</c:v>
                </c:pt>
                <c:pt idx="38">
                  <c:v>40815</c:v>
                </c:pt>
                <c:pt idx="39">
                  <c:v>40822</c:v>
                </c:pt>
                <c:pt idx="40">
                  <c:v>40829</c:v>
                </c:pt>
                <c:pt idx="41">
                  <c:v>40836</c:v>
                </c:pt>
                <c:pt idx="42">
                  <c:v>40843</c:v>
                </c:pt>
                <c:pt idx="43">
                  <c:v>40850</c:v>
                </c:pt>
                <c:pt idx="44">
                  <c:v>40857</c:v>
                </c:pt>
                <c:pt idx="45">
                  <c:v>40864</c:v>
                </c:pt>
                <c:pt idx="46">
                  <c:v>40870</c:v>
                </c:pt>
                <c:pt idx="47">
                  <c:v>40878</c:v>
                </c:pt>
                <c:pt idx="48">
                  <c:v>40885</c:v>
                </c:pt>
                <c:pt idx="49">
                  <c:v>40892</c:v>
                </c:pt>
                <c:pt idx="50">
                  <c:v>40899</c:v>
                </c:pt>
                <c:pt idx="51">
                  <c:v>40906</c:v>
                </c:pt>
                <c:pt idx="52">
                  <c:v>40913</c:v>
                </c:pt>
                <c:pt idx="53">
                  <c:v>40920</c:v>
                </c:pt>
                <c:pt idx="54">
                  <c:v>40927</c:v>
                </c:pt>
                <c:pt idx="55">
                  <c:v>40934</c:v>
                </c:pt>
                <c:pt idx="56">
                  <c:v>40941</c:v>
                </c:pt>
                <c:pt idx="57">
                  <c:v>40948</c:v>
                </c:pt>
                <c:pt idx="58">
                  <c:v>40955</c:v>
                </c:pt>
                <c:pt idx="59">
                  <c:v>40962</c:v>
                </c:pt>
                <c:pt idx="60">
                  <c:v>40969</c:v>
                </c:pt>
                <c:pt idx="61">
                  <c:v>40976</c:v>
                </c:pt>
                <c:pt idx="62">
                  <c:v>40983</c:v>
                </c:pt>
                <c:pt idx="63">
                  <c:v>40990</c:v>
                </c:pt>
                <c:pt idx="64">
                  <c:v>40997</c:v>
                </c:pt>
                <c:pt idx="65">
                  <c:v>41004</c:v>
                </c:pt>
                <c:pt idx="66">
                  <c:v>41011</c:v>
                </c:pt>
                <c:pt idx="67">
                  <c:v>41018</c:v>
                </c:pt>
                <c:pt idx="68">
                  <c:v>41025</c:v>
                </c:pt>
                <c:pt idx="69">
                  <c:v>41032</c:v>
                </c:pt>
                <c:pt idx="70">
                  <c:v>41039</c:v>
                </c:pt>
                <c:pt idx="71">
                  <c:v>41046</c:v>
                </c:pt>
                <c:pt idx="72">
                  <c:v>41053</c:v>
                </c:pt>
                <c:pt idx="73">
                  <c:v>41060</c:v>
                </c:pt>
                <c:pt idx="74">
                  <c:v>41067</c:v>
                </c:pt>
                <c:pt idx="75">
                  <c:v>41074</c:v>
                </c:pt>
                <c:pt idx="76">
                  <c:v>41081</c:v>
                </c:pt>
                <c:pt idx="77">
                  <c:v>41088</c:v>
                </c:pt>
                <c:pt idx="78">
                  <c:v>41095</c:v>
                </c:pt>
                <c:pt idx="79">
                  <c:v>41102</c:v>
                </c:pt>
                <c:pt idx="80">
                  <c:v>41109</c:v>
                </c:pt>
                <c:pt idx="81">
                  <c:v>41116</c:v>
                </c:pt>
                <c:pt idx="82">
                  <c:v>41123</c:v>
                </c:pt>
                <c:pt idx="83">
                  <c:v>41130</c:v>
                </c:pt>
                <c:pt idx="84">
                  <c:v>41137</c:v>
                </c:pt>
                <c:pt idx="85">
                  <c:v>41144</c:v>
                </c:pt>
                <c:pt idx="86">
                  <c:v>41151</c:v>
                </c:pt>
                <c:pt idx="87">
                  <c:v>41158</c:v>
                </c:pt>
                <c:pt idx="88">
                  <c:v>41165</c:v>
                </c:pt>
                <c:pt idx="89">
                  <c:v>41172</c:v>
                </c:pt>
                <c:pt idx="90">
                  <c:v>41179</c:v>
                </c:pt>
                <c:pt idx="91">
                  <c:v>41186</c:v>
                </c:pt>
                <c:pt idx="92">
                  <c:v>41193</c:v>
                </c:pt>
                <c:pt idx="93">
                  <c:v>41200</c:v>
                </c:pt>
                <c:pt idx="94">
                  <c:v>41207</c:v>
                </c:pt>
                <c:pt idx="95">
                  <c:v>41214</c:v>
                </c:pt>
                <c:pt idx="96">
                  <c:v>41221</c:v>
                </c:pt>
                <c:pt idx="97">
                  <c:v>41228</c:v>
                </c:pt>
                <c:pt idx="98">
                  <c:v>41234</c:v>
                </c:pt>
                <c:pt idx="99">
                  <c:v>41242</c:v>
                </c:pt>
                <c:pt idx="100">
                  <c:v>41249</c:v>
                </c:pt>
                <c:pt idx="101">
                  <c:v>41256</c:v>
                </c:pt>
                <c:pt idx="102">
                  <c:v>41263</c:v>
                </c:pt>
                <c:pt idx="103">
                  <c:v>41270</c:v>
                </c:pt>
                <c:pt idx="104">
                  <c:v>41277</c:v>
                </c:pt>
                <c:pt idx="105">
                  <c:v>41284</c:v>
                </c:pt>
                <c:pt idx="106">
                  <c:v>41291</c:v>
                </c:pt>
                <c:pt idx="107">
                  <c:v>41298</c:v>
                </c:pt>
                <c:pt idx="108">
                  <c:v>41305</c:v>
                </c:pt>
                <c:pt idx="109">
                  <c:v>41312</c:v>
                </c:pt>
                <c:pt idx="110">
                  <c:v>41319</c:v>
                </c:pt>
                <c:pt idx="111">
                  <c:v>41326</c:v>
                </c:pt>
                <c:pt idx="112">
                  <c:v>41333</c:v>
                </c:pt>
                <c:pt idx="113">
                  <c:v>41340</c:v>
                </c:pt>
                <c:pt idx="114">
                  <c:v>41347</c:v>
                </c:pt>
                <c:pt idx="115">
                  <c:v>41354</c:v>
                </c:pt>
                <c:pt idx="116">
                  <c:v>41361</c:v>
                </c:pt>
                <c:pt idx="117">
                  <c:v>41368</c:v>
                </c:pt>
                <c:pt idx="118">
                  <c:v>41375</c:v>
                </c:pt>
                <c:pt idx="119">
                  <c:v>41382</c:v>
                </c:pt>
                <c:pt idx="120">
                  <c:v>41389</c:v>
                </c:pt>
                <c:pt idx="121">
                  <c:v>41396</c:v>
                </c:pt>
                <c:pt idx="122">
                  <c:v>41403</c:v>
                </c:pt>
                <c:pt idx="123">
                  <c:v>41410</c:v>
                </c:pt>
                <c:pt idx="124">
                  <c:v>41417</c:v>
                </c:pt>
                <c:pt idx="125">
                  <c:v>41424</c:v>
                </c:pt>
                <c:pt idx="126">
                  <c:v>41431</c:v>
                </c:pt>
                <c:pt idx="127">
                  <c:v>41438</c:v>
                </c:pt>
                <c:pt idx="128">
                  <c:v>41445</c:v>
                </c:pt>
                <c:pt idx="129">
                  <c:v>41452</c:v>
                </c:pt>
                <c:pt idx="130">
                  <c:v>41458</c:v>
                </c:pt>
                <c:pt idx="131">
                  <c:v>41466</c:v>
                </c:pt>
                <c:pt idx="132">
                  <c:v>41473</c:v>
                </c:pt>
                <c:pt idx="133">
                  <c:v>41480</c:v>
                </c:pt>
                <c:pt idx="134">
                  <c:v>41487</c:v>
                </c:pt>
                <c:pt idx="135">
                  <c:v>41494</c:v>
                </c:pt>
                <c:pt idx="136">
                  <c:v>41501</c:v>
                </c:pt>
                <c:pt idx="137">
                  <c:v>41508</c:v>
                </c:pt>
                <c:pt idx="138">
                  <c:v>41515</c:v>
                </c:pt>
                <c:pt idx="139">
                  <c:v>41522</c:v>
                </c:pt>
                <c:pt idx="140">
                  <c:v>41529</c:v>
                </c:pt>
                <c:pt idx="141">
                  <c:v>41536</c:v>
                </c:pt>
                <c:pt idx="142">
                  <c:v>41543</c:v>
                </c:pt>
                <c:pt idx="143">
                  <c:v>41550</c:v>
                </c:pt>
                <c:pt idx="144">
                  <c:v>41557</c:v>
                </c:pt>
                <c:pt idx="145">
                  <c:v>41564</c:v>
                </c:pt>
                <c:pt idx="146">
                  <c:v>41571</c:v>
                </c:pt>
                <c:pt idx="147">
                  <c:v>41578</c:v>
                </c:pt>
                <c:pt idx="148">
                  <c:v>41585</c:v>
                </c:pt>
                <c:pt idx="149">
                  <c:v>41592</c:v>
                </c:pt>
                <c:pt idx="150">
                  <c:v>41599</c:v>
                </c:pt>
                <c:pt idx="151">
                  <c:v>41605</c:v>
                </c:pt>
                <c:pt idx="152">
                  <c:v>41613</c:v>
                </c:pt>
                <c:pt idx="153">
                  <c:v>41620</c:v>
                </c:pt>
                <c:pt idx="154">
                  <c:v>41627</c:v>
                </c:pt>
                <c:pt idx="155">
                  <c:v>41634</c:v>
                </c:pt>
                <c:pt idx="156">
                  <c:v>41641</c:v>
                </c:pt>
                <c:pt idx="157">
                  <c:v>41648</c:v>
                </c:pt>
                <c:pt idx="158">
                  <c:v>41655</c:v>
                </c:pt>
                <c:pt idx="159">
                  <c:v>41662</c:v>
                </c:pt>
                <c:pt idx="160">
                  <c:v>41669</c:v>
                </c:pt>
                <c:pt idx="161">
                  <c:v>41676</c:v>
                </c:pt>
                <c:pt idx="162">
                  <c:v>41683</c:v>
                </c:pt>
                <c:pt idx="163">
                  <c:v>41690</c:v>
                </c:pt>
                <c:pt idx="164">
                  <c:v>41697</c:v>
                </c:pt>
                <c:pt idx="165">
                  <c:v>41704</c:v>
                </c:pt>
                <c:pt idx="166">
                  <c:v>41711</c:v>
                </c:pt>
                <c:pt idx="167">
                  <c:v>41718</c:v>
                </c:pt>
                <c:pt idx="168">
                  <c:v>41725</c:v>
                </c:pt>
                <c:pt idx="169">
                  <c:v>41732</c:v>
                </c:pt>
                <c:pt idx="170">
                  <c:v>41739</c:v>
                </c:pt>
                <c:pt idx="171">
                  <c:v>41746</c:v>
                </c:pt>
                <c:pt idx="172">
                  <c:v>41753</c:v>
                </c:pt>
                <c:pt idx="173">
                  <c:v>41760</c:v>
                </c:pt>
                <c:pt idx="174">
                  <c:v>41767</c:v>
                </c:pt>
                <c:pt idx="175">
                  <c:v>41774</c:v>
                </c:pt>
                <c:pt idx="176">
                  <c:v>41781</c:v>
                </c:pt>
                <c:pt idx="177">
                  <c:v>41788</c:v>
                </c:pt>
                <c:pt idx="178">
                  <c:v>41795</c:v>
                </c:pt>
                <c:pt idx="179">
                  <c:v>41802</c:v>
                </c:pt>
                <c:pt idx="180">
                  <c:v>41809</c:v>
                </c:pt>
                <c:pt idx="181">
                  <c:v>41816</c:v>
                </c:pt>
                <c:pt idx="182">
                  <c:v>41823</c:v>
                </c:pt>
                <c:pt idx="183">
                  <c:v>41830</c:v>
                </c:pt>
                <c:pt idx="184">
                  <c:v>41837</c:v>
                </c:pt>
                <c:pt idx="185">
                  <c:v>41844</c:v>
                </c:pt>
                <c:pt idx="186">
                  <c:v>41851</c:v>
                </c:pt>
                <c:pt idx="187">
                  <c:v>41858</c:v>
                </c:pt>
                <c:pt idx="188">
                  <c:v>41865</c:v>
                </c:pt>
                <c:pt idx="189">
                  <c:v>41872</c:v>
                </c:pt>
                <c:pt idx="190">
                  <c:v>41879</c:v>
                </c:pt>
                <c:pt idx="191">
                  <c:v>41886</c:v>
                </c:pt>
                <c:pt idx="192">
                  <c:v>41893</c:v>
                </c:pt>
                <c:pt idx="193">
                  <c:v>41900</c:v>
                </c:pt>
                <c:pt idx="194">
                  <c:v>41907</c:v>
                </c:pt>
                <c:pt idx="195">
                  <c:v>41914</c:v>
                </c:pt>
                <c:pt idx="196">
                  <c:v>41921</c:v>
                </c:pt>
                <c:pt idx="197">
                  <c:v>41928</c:v>
                </c:pt>
                <c:pt idx="198">
                  <c:v>41935</c:v>
                </c:pt>
                <c:pt idx="199">
                  <c:v>41942</c:v>
                </c:pt>
                <c:pt idx="200">
                  <c:v>41949</c:v>
                </c:pt>
                <c:pt idx="201">
                  <c:v>41956</c:v>
                </c:pt>
                <c:pt idx="202">
                  <c:v>41963</c:v>
                </c:pt>
                <c:pt idx="203">
                  <c:v>41969</c:v>
                </c:pt>
                <c:pt idx="204">
                  <c:v>41977</c:v>
                </c:pt>
                <c:pt idx="205">
                  <c:v>41984</c:v>
                </c:pt>
                <c:pt idx="206">
                  <c:v>41991</c:v>
                </c:pt>
                <c:pt idx="207">
                  <c:v>41997</c:v>
                </c:pt>
                <c:pt idx="208">
                  <c:v>42004</c:v>
                </c:pt>
                <c:pt idx="209">
                  <c:v>42012</c:v>
                </c:pt>
                <c:pt idx="210">
                  <c:v>42019</c:v>
                </c:pt>
                <c:pt idx="211">
                  <c:v>42026</c:v>
                </c:pt>
                <c:pt idx="212">
                  <c:v>42033</c:v>
                </c:pt>
                <c:pt idx="213">
                  <c:v>42040</c:v>
                </c:pt>
                <c:pt idx="214">
                  <c:v>42047</c:v>
                </c:pt>
                <c:pt idx="215">
                  <c:v>42054</c:v>
                </c:pt>
                <c:pt idx="216">
                  <c:v>42061</c:v>
                </c:pt>
                <c:pt idx="217">
                  <c:v>42068</c:v>
                </c:pt>
                <c:pt idx="218">
                  <c:v>42075</c:v>
                </c:pt>
                <c:pt idx="219">
                  <c:v>42082</c:v>
                </c:pt>
                <c:pt idx="220">
                  <c:v>42089</c:v>
                </c:pt>
                <c:pt idx="221">
                  <c:v>42096</c:v>
                </c:pt>
                <c:pt idx="222">
                  <c:v>42103</c:v>
                </c:pt>
                <c:pt idx="223">
                  <c:v>42110</c:v>
                </c:pt>
                <c:pt idx="224">
                  <c:v>42117</c:v>
                </c:pt>
              </c:numCache>
            </c:numRef>
          </c:cat>
          <c:val>
            <c:numRef>
              <c:f>'Current Paying PMI'!$F$3:$F$227</c:f>
              <c:numCache>
                <c:formatCode>0%</c:formatCode>
                <c:ptCount val="225"/>
                <c:pt idx="0">
                  <c:v>4.9681956069865973E-2</c:v>
                </c:pt>
                <c:pt idx="1">
                  <c:v>4.8660848703604986E-2</c:v>
                </c:pt>
                <c:pt idx="2">
                  <c:v>4.9665388139987998E-2</c:v>
                </c:pt>
                <c:pt idx="3">
                  <c:v>4.9687891859300004E-2</c:v>
                </c:pt>
                <c:pt idx="4">
                  <c:v>5.1522779675113983E-2</c:v>
                </c:pt>
                <c:pt idx="5">
                  <c:v>5.5942017761610008E-2</c:v>
                </c:pt>
                <c:pt idx="6">
                  <c:v>5.3742831672082991E-2</c:v>
                </c:pt>
                <c:pt idx="7">
                  <c:v>5.3229317811437027E-2</c:v>
                </c:pt>
                <c:pt idx="8">
                  <c:v>5.2254529605419986E-2</c:v>
                </c:pt>
                <c:pt idx="9">
                  <c:v>5.2266161726140015E-2</c:v>
                </c:pt>
                <c:pt idx="10">
                  <c:v>5.076051081566102E-2</c:v>
                </c:pt>
                <c:pt idx="11">
                  <c:v>5.1840271640716029E-2</c:v>
                </c:pt>
                <c:pt idx="12">
                  <c:v>5.2253841421740999E-2</c:v>
                </c:pt>
                <c:pt idx="13">
                  <c:v>5.3055423953806025E-2</c:v>
                </c:pt>
                <c:pt idx="14">
                  <c:v>5.3073531311389976E-2</c:v>
                </c:pt>
                <c:pt idx="15">
                  <c:v>5.2626544891899996E-2</c:v>
                </c:pt>
                <c:pt idx="16">
                  <c:v>5.2616785274462008E-2</c:v>
                </c:pt>
                <c:pt idx="17">
                  <c:v>5.2410307276545998E-2</c:v>
                </c:pt>
                <c:pt idx="18">
                  <c:v>5.0897996694234005E-2</c:v>
                </c:pt>
                <c:pt idx="19">
                  <c:v>5.0895735758964E-2</c:v>
                </c:pt>
                <c:pt idx="20">
                  <c:v>5.0836558812519972E-2</c:v>
                </c:pt>
                <c:pt idx="21">
                  <c:v>5.1449634205825046E-2</c:v>
                </c:pt>
                <c:pt idx="22">
                  <c:v>5.0596587132760995E-2</c:v>
                </c:pt>
                <c:pt idx="23">
                  <c:v>5.0597213247861039E-2</c:v>
                </c:pt>
                <c:pt idx="24">
                  <c:v>5.1449634205825046E-2</c:v>
                </c:pt>
                <c:pt idx="25">
                  <c:v>5.0599296152577022E-2</c:v>
                </c:pt>
                <c:pt idx="26">
                  <c:v>5.3388475571083005E-2</c:v>
                </c:pt>
                <c:pt idx="27">
                  <c:v>5.1845576376496005E-2</c:v>
                </c:pt>
                <c:pt idx="28">
                  <c:v>5.2679575258972933E-2</c:v>
                </c:pt>
                <c:pt idx="29">
                  <c:v>5.2785925753240037E-2</c:v>
                </c:pt>
                <c:pt idx="30">
                  <c:v>5.204892715568199E-2</c:v>
                </c:pt>
                <c:pt idx="31">
                  <c:v>4.8557759518373045E-2</c:v>
                </c:pt>
                <c:pt idx="32">
                  <c:v>4.3470774547205049E-2</c:v>
                </c:pt>
                <c:pt idx="33">
                  <c:v>4.5299246280715022E-2</c:v>
                </c:pt>
                <c:pt idx="34">
                  <c:v>4.6880234734432036E-2</c:v>
                </c:pt>
                <c:pt idx="35">
                  <c:v>4.3335763110829095E-2</c:v>
                </c:pt>
                <c:pt idx="36">
                  <c:v>4.212722522416501E-2</c:v>
                </c:pt>
                <c:pt idx="37">
                  <c:v>4.212722522416501E-2</c:v>
                </c:pt>
                <c:pt idx="38">
                  <c:v>3.9709611978290038E-2</c:v>
                </c:pt>
                <c:pt idx="39">
                  <c:v>4.0584634402153985E-2</c:v>
                </c:pt>
                <c:pt idx="40">
                  <c:v>4.6966171813505042E-2</c:v>
                </c:pt>
                <c:pt idx="41">
                  <c:v>4.5817546675279042E-2</c:v>
                </c:pt>
                <c:pt idx="42">
                  <c:v>4.5366069378486973E-2</c:v>
                </c:pt>
                <c:pt idx="43">
                  <c:v>4.3536352622293051E-2</c:v>
                </c:pt>
                <c:pt idx="44">
                  <c:v>4.3533583011687971E-2</c:v>
                </c:pt>
                <c:pt idx="45">
                  <c:v>4.3536352622293051E-2</c:v>
                </c:pt>
                <c:pt idx="46">
                  <c:v>4.2491166119224988E-2</c:v>
                </c:pt>
                <c:pt idx="47">
                  <c:v>4.4972673076295933E-2</c:v>
                </c:pt>
                <c:pt idx="48">
                  <c:v>4.4969749689974026E-2</c:v>
                </c:pt>
                <c:pt idx="49">
                  <c:v>4.3808514908793006E-2</c:v>
                </c:pt>
                <c:pt idx="50">
                  <c:v>4.2579497872953009E-2</c:v>
                </c:pt>
                <c:pt idx="51">
                  <c:v>4.3356540736460003E-2</c:v>
                </c:pt>
                <c:pt idx="52">
                  <c:v>4.5033347269854973E-2</c:v>
                </c:pt>
                <c:pt idx="53">
                  <c:v>4.4120124847241038E-2</c:v>
                </c:pt>
                <c:pt idx="54">
                  <c:v>4.4224808651309955E-2</c:v>
                </c:pt>
                <c:pt idx="55">
                  <c:v>4.5628594878543982E-2</c:v>
                </c:pt>
                <c:pt idx="56">
                  <c:v>4.5930080793434969E-2</c:v>
                </c:pt>
                <c:pt idx="57">
                  <c:v>4.5930080793434969E-2</c:v>
                </c:pt>
                <c:pt idx="58">
                  <c:v>4.5930080793434969E-2</c:v>
                </c:pt>
                <c:pt idx="59">
                  <c:v>4.7305104367195039E-2</c:v>
                </c:pt>
                <c:pt idx="60">
                  <c:v>4.849387073901601E-2</c:v>
                </c:pt>
                <c:pt idx="61">
                  <c:v>4.7727495975661949E-2</c:v>
                </c:pt>
                <c:pt idx="62">
                  <c:v>4.8504482962385964E-2</c:v>
                </c:pt>
                <c:pt idx="63">
                  <c:v>5.2316048521025005E-2</c:v>
                </c:pt>
                <c:pt idx="64">
                  <c:v>5.0002126026328031E-2</c:v>
                </c:pt>
                <c:pt idx="65">
                  <c:v>5.0536932626184972E-2</c:v>
                </c:pt>
                <c:pt idx="66">
                  <c:v>4.7142023384497023E-2</c:v>
                </c:pt>
                <c:pt idx="67">
                  <c:v>4.9827124625569041E-2</c:v>
                </c:pt>
                <c:pt idx="68">
                  <c:v>4.7142023384497023E-2</c:v>
                </c:pt>
                <c:pt idx="69">
                  <c:v>4.6513643893995038E-2</c:v>
                </c:pt>
                <c:pt idx="70">
                  <c:v>4.4962048997335913E-2</c:v>
                </c:pt>
                <c:pt idx="71">
                  <c:v>4.4049418264657025E-2</c:v>
                </c:pt>
                <c:pt idx="72">
                  <c:v>4.463988254888307E-2</c:v>
                </c:pt>
                <c:pt idx="73">
                  <c:v>4.3485193204071959E-2</c:v>
                </c:pt>
                <c:pt idx="74">
                  <c:v>4.0210186674963011E-2</c:v>
                </c:pt>
                <c:pt idx="75">
                  <c:v>4.119083451579697E-2</c:v>
                </c:pt>
                <c:pt idx="76">
                  <c:v>3.9415006624436977E-2</c:v>
                </c:pt>
                <c:pt idx="77">
                  <c:v>3.9415006624436977E-2</c:v>
                </c:pt>
                <c:pt idx="78">
                  <c:v>4.1386957775770949E-2</c:v>
                </c:pt>
                <c:pt idx="79">
                  <c:v>3.8313969867081021E-2</c:v>
                </c:pt>
                <c:pt idx="80">
                  <c:v>3.6602249854558955E-2</c:v>
                </c:pt>
                <c:pt idx="81">
                  <c:v>3.5465880668124061E-2</c:v>
                </c:pt>
                <c:pt idx="82">
                  <c:v>4.1884876870885934E-2</c:v>
                </c:pt>
                <c:pt idx="83">
                  <c:v>4.191259257431601E-2</c:v>
                </c:pt>
                <c:pt idx="84">
                  <c:v>4.2244079902605924E-2</c:v>
                </c:pt>
                <c:pt idx="85">
                  <c:v>4.5171992456946031E-2</c:v>
                </c:pt>
                <c:pt idx="86">
                  <c:v>4.191259257431601E-2</c:v>
                </c:pt>
                <c:pt idx="87">
                  <c:v>4.4481326001255983E-2</c:v>
                </c:pt>
                <c:pt idx="88">
                  <c:v>4.2729007195453028E-2</c:v>
                </c:pt>
                <c:pt idx="89">
                  <c:v>4.0397824553434991E-2</c:v>
                </c:pt>
                <c:pt idx="90">
                  <c:v>3.671793314546401E-2</c:v>
                </c:pt>
                <c:pt idx="91">
                  <c:v>4.0069189691301021E-2</c:v>
                </c:pt>
                <c:pt idx="92">
                  <c:v>4.2465977401286992E-2</c:v>
                </c:pt>
                <c:pt idx="93">
                  <c:v>4.1325455512144949E-2</c:v>
                </c:pt>
                <c:pt idx="94">
                  <c:v>4.2798572221068976E-2</c:v>
                </c:pt>
                <c:pt idx="95">
                  <c:v>4.7852691336546016E-2</c:v>
                </c:pt>
                <c:pt idx="96">
                  <c:v>4.8022190060210912E-2</c:v>
                </c:pt>
                <c:pt idx="97">
                  <c:v>4.5559123217848052E-2</c:v>
                </c:pt>
                <c:pt idx="98">
                  <c:v>4.5005134377127942E-2</c:v>
                </c:pt>
                <c:pt idx="99">
                  <c:v>4.5562969308011958E-2</c:v>
                </c:pt>
                <c:pt idx="100">
                  <c:v>4.8480990056891993E-2</c:v>
                </c:pt>
                <c:pt idx="101">
                  <c:v>4.7950043620263005E-2</c:v>
                </c:pt>
                <c:pt idx="102">
                  <c:v>4.9658330443559051E-2</c:v>
                </c:pt>
                <c:pt idx="103">
                  <c:v>4.8759460889514994E-2</c:v>
                </c:pt>
                <c:pt idx="104">
                  <c:v>5.167236310817902E-2</c:v>
                </c:pt>
                <c:pt idx="105">
                  <c:v>5.4023988578536963E-2</c:v>
                </c:pt>
                <c:pt idx="106">
                  <c:v>5.2826210591674028E-2</c:v>
                </c:pt>
                <c:pt idx="107">
                  <c:v>5.4922196166124926E-2</c:v>
                </c:pt>
                <c:pt idx="108">
                  <c:v>5.8480524051467975E-2</c:v>
                </c:pt>
                <c:pt idx="109">
                  <c:v>6.4069792538737014E-2</c:v>
                </c:pt>
                <c:pt idx="110">
                  <c:v>6.4069792538737014E-2</c:v>
                </c:pt>
                <c:pt idx="111">
                  <c:v>6.4589627652551052E-2</c:v>
                </c:pt>
                <c:pt idx="112">
                  <c:v>6.2808723737799999E-2</c:v>
                </c:pt>
                <c:pt idx="113">
                  <c:v>6.6119036917175911E-2</c:v>
                </c:pt>
                <c:pt idx="114">
                  <c:v>7.0202414852295059E-2</c:v>
                </c:pt>
                <c:pt idx="115">
                  <c:v>6.7607062022061015E-2</c:v>
                </c:pt>
                <c:pt idx="116">
                  <c:v>6.8147431444700035E-2</c:v>
                </c:pt>
                <c:pt idx="117">
                  <c:v>7.0366635884142936E-2</c:v>
                </c:pt>
                <c:pt idx="118">
                  <c:v>6.6939404421787918E-2</c:v>
                </c:pt>
                <c:pt idx="119">
                  <c:v>6.457017237993401E-2</c:v>
                </c:pt>
                <c:pt idx="120">
                  <c:v>6.5922609873589E-2</c:v>
                </c:pt>
                <c:pt idx="121">
                  <c:v>6.5020553468626008E-2</c:v>
                </c:pt>
                <c:pt idx="122">
                  <c:v>6.7542928607321917E-2</c:v>
                </c:pt>
                <c:pt idx="123">
                  <c:v>7.0251667692796005E-2</c:v>
                </c:pt>
                <c:pt idx="124">
                  <c:v>7.3784060733451007E-2</c:v>
                </c:pt>
                <c:pt idx="125">
                  <c:v>8.265601113059895E-2</c:v>
                </c:pt>
                <c:pt idx="126">
                  <c:v>8.8858118403525976E-2</c:v>
                </c:pt>
                <c:pt idx="127">
                  <c:v>9.1423313409527973E-2</c:v>
                </c:pt>
                <c:pt idx="128">
                  <c:v>9.1272572997163959E-2</c:v>
                </c:pt>
                <c:pt idx="129">
                  <c:v>0.10858146909287497</c:v>
                </c:pt>
                <c:pt idx="130">
                  <c:v>0.10591932116693303</c:v>
                </c:pt>
                <c:pt idx="131">
                  <c:v>0.11304471223312201</c:v>
                </c:pt>
                <c:pt idx="132">
                  <c:v>0.10860563082670499</c:v>
                </c:pt>
                <c:pt idx="133">
                  <c:v>0.10846939237572301</c:v>
                </c:pt>
                <c:pt idx="134">
                  <c:v>0.11428735406067903</c:v>
                </c:pt>
                <c:pt idx="135">
                  <c:v>0.11436459529991899</c:v>
                </c:pt>
                <c:pt idx="136">
                  <c:v>0.11436459529991899</c:v>
                </c:pt>
                <c:pt idx="137">
                  <c:v>0.11793513882251802</c:v>
                </c:pt>
                <c:pt idx="138">
                  <c:v>0.11606145999202302</c:v>
                </c:pt>
                <c:pt idx="139">
                  <c:v>0.12036813113654096</c:v>
                </c:pt>
                <c:pt idx="140">
                  <c:v>0.12106720924196002</c:v>
                </c:pt>
                <c:pt idx="141">
                  <c:v>0.11912245980973599</c:v>
                </c:pt>
                <c:pt idx="142">
                  <c:v>0.11331803434194804</c:v>
                </c:pt>
                <c:pt idx="143">
                  <c:v>0.11326918389790597</c:v>
                </c:pt>
                <c:pt idx="144">
                  <c:v>0.11338479306098298</c:v>
                </c:pt>
                <c:pt idx="145">
                  <c:v>0.11567318665679499</c:v>
                </c:pt>
                <c:pt idx="146">
                  <c:v>0.11083011454733699</c:v>
                </c:pt>
                <c:pt idx="147">
                  <c:v>0.10923001035334001</c:v>
                </c:pt>
                <c:pt idx="148">
                  <c:v>0.11489209899150399</c:v>
                </c:pt>
                <c:pt idx="149">
                  <c:v>0.121476275921925</c:v>
                </c:pt>
                <c:pt idx="150">
                  <c:v>0.116572236804385</c:v>
                </c:pt>
                <c:pt idx="151">
                  <c:v>0.11907962492922503</c:v>
                </c:pt>
                <c:pt idx="152">
                  <c:v>0.12665224498601899</c:v>
                </c:pt>
                <c:pt idx="153">
                  <c:v>0.12670462491107398</c:v>
                </c:pt>
                <c:pt idx="154">
                  <c:v>0.12868787506670498</c:v>
                </c:pt>
                <c:pt idx="155">
                  <c:v>0.12869822838356401</c:v>
                </c:pt>
                <c:pt idx="156">
                  <c:v>0.13235164261676</c:v>
                </c:pt>
                <c:pt idx="157">
                  <c:v>0.13052998310084499</c:v>
                </c:pt>
                <c:pt idx="158">
                  <c:v>0.129067230613571</c:v>
                </c:pt>
                <c:pt idx="159">
                  <c:v>0.128959458211717</c:v>
                </c:pt>
                <c:pt idx="160">
                  <c:v>0.12516176327866302</c:v>
                </c:pt>
                <c:pt idx="161">
                  <c:v>0.12498812825746303</c:v>
                </c:pt>
                <c:pt idx="162">
                  <c:v>0.12723741836596197</c:v>
                </c:pt>
                <c:pt idx="163">
                  <c:v>0.12940261076594201</c:v>
                </c:pt>
                <c:pt idx="164">
                  <c:v>0.12963743782098303</c:v>
                </c:pt>
                <c:pt idx="165">
                  <c:v>0.12915453306417901</c:v>
                </c:pt>
                <c:pt idx="166">
                  <c:v>0.13139674598219397</c:v>
                </c:pt>
                <c:pt idx="167">
                  <c:v>0.12955976056676</c:v>
                </c:pt>
                <c:pt idx="168">
                  <c:v>0.13149914839885302</c:v>
                </c:pt>
                <c:pt idx="169">
                  <c:v>0.13553098621107298</c:v>
                </c:pt>
                <c:pt idx="170">
                  <c:v>0.13335373893424096</c:v>
                </c:pt>
                <c:pt idx="171">
                  <c:v>0.13106221940475804</c:v>
                </c:pt>
                <c:pt idx="172">
                  <c:v>0.13147501699685998</c:v>
                </c:pt>
                <c:pt idx="173">
                  <c:v>0.13341732927557104</c:v>
                </c:pt>
                <c:pt idx="174">
                  <c:v>0.129074678830153</c:v>
                </c:pt>
                <c:pt idx="175">
                  <c:v>0.12907123991127301</c:v>
                </c:pt>
                <c:pt idx="176">
                  <c:v>0.12692637574172699</c:v>
                </c:pt>
                <c:pt idx="177">
                  <c:v>0.126688957908763</c:v>
                </c:pt>
                <c:pt idx="178">
                  <c:v>0.129357731190895</c:v>
                </c:pt>
                <c:pt idx="179">
                  <c:v>0.13174338866962304</c:v>
                </c:pt>
                <c:pt idx="180">
                  <c:v>0.13117540970414698</c:v>
                </c:pt>
                <c:pt idx="181">
                  <c:v>0.129357731190895</c:v>
                </c:pt>
                <c:pt idx="182">
                  <c:v>0.13206256951987799</c:v>
                </c:pt>
                <c:pt idx="183">
                  <c:v>0.13507876509500705</c:v>
                </c:pt>
                <c:pt idx="184">
                  <c:v>0.13336025888524</c:v>
                </c:pt>
                <c:pt idx="185">
                  <c:v>0.13336025888524</c:v>
                </c:pt>
                <c:pt idx="186">
                  <c:v>0.133248975840009</c:v>
                </c:pt>
                <c:pt idx="187">
                  <c:v>0.13869601439951795</c:v>
                </c:pt>
                <c:pt idx="188">
                  <c:v>0.13697829136067596</c:v>
                </c:pt>
                <c:pt idx="189">
                  <c:v>0.13573257975389896</c:v>
                </c:pt>
                <c:pt idx="190">
                  <c:v>0.13573257975389896</c:v>
                </c:pt>
                <c:pt idx="191">
                  <c:v>0.13940122502878999</c:v>
                </c:pt>
                <c:pt idx="192">
                  <c:v>0.139424419743299</c:v>
                </c:pt>
                <c:pt idx="193">
                  <c:v>0.143000232665905</c:v>
                </c:pt>
                <c:pt idx="194">
                  <c:v>0.142495036279146</c:v>
                </c:pt>
                <c:pt idx="195">
                  <c:v>0.14494921983651998</c:v>
                </c:pt>
                <c:pt idx="196">
                  <c:v>0.14351304250540303</c:v>
                </c:pt>
                <c:pt idx="197">
                  <c:v>0.139044264392162</c:v>
                </c:pt>
                <c:pt idx="198">
                  <c:v>0.13556287119251398</c:v>
                </c:pt>
                <c:pt idx="199">
                  <c:v>0.13904705172683901</c:v>
                </c:pt>
                <c:pt idx="200">
                  <c:v>0.14460378848361399</c:v>
                </c:pt>
                <c:pt idx="201">
                  <c:v>0.14458471964689901</c:v>
                </c:pt>
                <c:pt idx="202">
                  <c:v>0.14297271363370706</c:v>
                </c:pt>
                <c:pt idx="203">
                  <c:v>0.14296438407052303</c:v>
                </c:pt>
                <c:pt idx="204">
                  <c:v>0.14215413573701696</c:v>
                </c:pt>
                <c:pt idx="205">
                  <c:v>0.142496353399862</c:v>
                </c:pt>
                <c:pt idx="206">
                  <c:v>0.13884491721130904</c:v>
                </c:pt>
                <c:pt idx="207">
                  <c:v>0.14046537244677598</c:v>
                </c:pt>
                <c:pt idx="208">
                  <c:v>0.14215487269297394</c:v>
                </c:pt>
                <c:pt idx="209">
                  <c:v>0.137201969127423</c:v>
                </c:pt>
                <c:pt idx="210">
                  <c:v>0.13161890987067004</c:v>
                </c:pt>
                <c:pt idx="211">
                  <c:v>0.12958318624448695</c:v>
                </c:pt>
                <c:pt idx="212">
                  <c:v>0.13161890987067004</c:v>
                </c:pt>
                <c:pt idx="213">
                  <c:v>0.12998501576494204</c:v>
                </c:pt>
                <c:pt idx="214">
                  <c:v>0.13645933344849803</c:v>
                </c:pt>
                <c:pt idx="215">
                  <c:v>0.14025964003600594</c:v>
                </c:pt>
                <c:pt idx="216">
                  <c:v>0.14371582239505298</c:v>
                </c:pt>
                <c:pt idx="217">
                  <c:v>0.14212688776549898</c:v>
                </c:pt>
                <c:pt idx="218">
                  <c:v>0.14883475373922694</c:v>
                </c:pt>
                <c:pt idx="219">
                  <c:v>0.14265004103212298</c:v>
                </c:pt>
                <c:pt idx="220">
                  <c:v>0.13849107607925293</c:v>
                </c:pt>
                <c:pt idx="221">
                  <c:v>0.14349355854661294</c:v>
                </c:pt>
                <c:pt idx="222">
                  <c:v>0.139475386684352</c:v>
                </c:pt>
                <c:pt idx="223">
                  <c:v>0.14216269498466499</c:v>
                </c:pt>
                <c:pt idx="224">
                  <c:v>0.13754864317428006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91789824"/>
        <c:axId val="291787904"/>
      </c:barChart>
      <c:lineChart>
        <c:grouping val="standard"/>
        <c:varyColors val="0"/>
        <c:ser>
          <c:idx val="0"/>
          <c:order val="0"/>
          <c:tx>
            <c:strRef>
              <c:f>'Current Paying PMI'!$C$2</c:f>
              <c:strCache>
                <c:ptCount val="1"/>
                <c:pt idx="0">
                  <c:v>Pool Level</c:v>
                </c:pt>
              </c:strCache>
            </c:strRef>
          </c:tx>
          <c:marker>
            <c:symbol val="none"/>
          </c:marker>
          <c:cat>
            <c:numRef>
              <c:f>'Current Paying PMI'!$B$3:$B$227</c:f>
              <c:numCache>
                <c:formatCode>m/d/yyyy</c:formatCode>
                <c:ptCount val="225"/>
                <c:pt idx="0">
                  <c:v>40549</c:v>
                </c:pt>
                <c:pt idx="1">
                  <c:v>40556</c:v>
                </c:pt>
                <c:pt idx="2">
                  <c:v>40563</c:v>
                </c:pt>
                <c:pt idx="3">
                  <c:v>40570</c:v>
                </c:pt>
                <c:pt idx="4">
                  <c:v>40577</c:v>
                </c:pt>
                <c:pt idx="5">
                  <c:v>40584</c:v>
                </c:pt>
                <c:pt idx="6">
                  <c:v>40591</c:v>
                </c:pt>
                <c:pt idx="7">
                  <c:v>40598</c:v>
                </c:pt>
                <c:pt idx="8">
                  <c:v>40605</c:v>
                </c:pt>
                <c:pt idx="9">
                  <c:v>40612</c:v>
                </c:pt>
                <c:pt idx="10">
                  <c:v>40619</c:v>
                </c:pt>
                <c:pt idx="11">
                  <c:v>40626</c:v>
                </c:pt>
                <c:pt idx="12">
                  <c:v>40633</c:v>
                </c:pt>
                <c:pt idx="13">
                  <c:v>40640</c:v>
                </c:pt>
                <c:pt idx="14">
                  <c:v>40647</c:v>
                </c:pt>
                <c:pt idx="15">
                  <c:v>40654</c:v>
                </c:pt>
                <c:pt idx="16">
                  <c:v>40661</c:v>
                </c:pt>
                <c:pt idx="17">
                  <c:v>40668</c:v>
                </c:pt>
                <c:pt idx="18">
                  <c:v>40675</c:v>
                </c:pt>
                <c:pt idx="19">
                  <c:v>40682</c:v>
                </c:pt>
                <c:pt idx="20">
                  <c:v>40689</c:v>
                </c:pt>
                <c:pt idx="21">
                  <c:v>40696</c:v>
                </c:pt>
                <c:pt idx="22">
                  <c:v>40703</c:v>
                </c:pt>
                <c:pt idx="23">
                  <c:v>40710</c:v>
                </c:pt>
                <c:pt idx="24">
                  <c:v>40717</c:v>
                </c:pt>
                <c:pt idx="25">
                  <c:v>40724</c:v>
                </c:pt>
                <c:pt idx="26">
                  <c:v>40731</c:v>
                </c:pt>
                <c:pt idx="27">
                  <c:v>40738</c:v>
                </c:pt>
                <c:pt idx="28">
                  <c:v>40745</c:v>
                </c:pt>
                <c:pt idx="29">
                  <c:v>40752</c:v>
                </c:pt>
                <c:pt idx="30">
                  <c:v>40759</c:v>
                </c:pt>
                <c:pt idx="31">
                  <c:v>40766</c:v>
                </c:pt>
                <c:pt idx="32">
                  <c:v>40773</c:v>
                </c:pt>
                <c:pt idx="33">
                  <c:v>40780</c:v>
                </c:pt>
                <c:pt idx="34">
                  <c:v>40787</c:v>
                </c:pt>
                <c:pt idx="35">
                  <c:v>40794</c:v>
                </c:pt>
                <c:pt idx="36">
                  <c:v>40801</c:v>
                </c:pt>
                <c:pt idx="37">
                  <c:v>40808</c:v>
                </c:pt>
                <c:pt idx="38">
                  <c:v>40815</c:v>
                </c:pt>
                <c:pt idx="39">
                  <c:v>40822</c:v>
                </c:pt>
                <c:pt idx="40">
                  <c:v>40829</c:v>
                </c:pt>
                <c:pt idx="41">
                  <c:v>40836</c:v>
                </c:pt>
                <c:pt idx="42">
                  <c:v>40843</c:v>
                </c:pt>
                <c:pt idx="43">
                  <c:v>40850</c:v>
                </c:pt>
                <c:pt idx="44">
                  <c:v>40857</c:v>
                </c:pt>
                <c:pt idx="45">
                  <c:v>40864</c:v>
                </c:pt>
                <c:pt idx="46">
                  <c:v>40870</c:v>
                </c:pt>
                <c:pt idx="47">
                  <c:v>40878</c:v>
                </c:pt>
                <c:pt idx="48">
                  <c:v>40885</c:v>
                </c:pt>
                <c:pt idx="49">
                  <c:v>40892</c:v>
                </c:pt>
                <c:pt idx="50">
                  <c:v>40899</c:v>
                </c:pt>
                <c:pt idx="51">
                  <c:v>40906</c:v>
                </c:pt>
                <c:pt idx="52">
                  <c:v>40913</c:v>
                </c:pt>
                <c:pt idx="53">
                  <c:v>40920</c:v>
                </c:pt>
                <c:pt idx="54">
                  <c:v>40927</c:v>
                </c:pt>
                <c:pt idx="55">
                  <c:v>40934</c:v>
                </c:pt>
                <c:pt idx="56">
                  <c:v>40941</c:v>
                </c:pt>
                <c:pt idx="57">
                  <c:v>40948</c:v>
                </c:pt>
                <c:pt idx="58">
                  <c:v>40955</c:v>
                </c:pt>
                <c:pt idx="59">
                  <c:v>40962</c:v>
                </c:pt>
                <c:pt idx="60">
                  <c:v>40969</c:v>
                </c:pt>
                <c:pt idx="61">
                  <c:v>40976</c:v>
                </c:pt>
                <c:pt idx="62">
                  <c:v>40983</c:v>
                </c:pt>
                <c:pt idx="63">
                  <c:v>40990</c:v>
                </c:pt>
                <c:pt idx="64">
                  <c:v>40997</c:v>
                </c:pt>
                <c:pt idx="65">
                  <c:v>41004</c:v>
                </c:pt>
                <c:pt idx="66">
                  <c:v>41011</c:v>
                </c:pt>
                <c:pt idx="67">
                  <c:v>41018</c:v>
                </c:pt>
                <c:pt idx="68">
                  <c:v>41025</c:v>
                </c:pt>
                <c:pt idx="69">
                  <c:v>41032</c:v>
                </c:pt>
                <c:pt idx="70">
                  <c:v>41039</c:v>
                </c:pt>
                <c:pt idx="71">
                  <c:v>41046</c:v>
                </c:pt>
                <c:pt idx="72">
                  <c:v>41053</c:v>
                </c:pt>
                <c:pt idx="73">
                  <c:v>41060</c:v>
                </c:pt>
                <c:pt idx="74">
                  <c:v>41067</c:v>
                </c:pt>
                <c:pt idx="75">
                  <c:v>41074</c:v>
                </c:pt>
                <c:pt idx="76">
                  <c:v>41081</c:v>
                </c:pt>
                <c:pt idx="77">
                  <c:v>41088</c:v>
                </c:pt>
                <c:pt idx="78">
                  <c:v>41095</c:v>
                </c:pt>
                <c:pt idx="79">
                  <c:v>41102</c:v>
                </c:pt>
                <c:pt idx="80">
                  <c:v>41109</c:v>
                </c:pt>
                <c:pt idx="81">
                  <c:v>41116</c:v>
                </c:pt>
                <c:pt idx="82">
                  <c:v>41123</c:v>
                </c:pt>
                <c:pt idx="83">
                  <c:v>41130</c:v>
                </c:pt>
                <c:pt idx="84">
                  <c:v>41137</c:v>
                </c:pt>
                <c:pt idx="85">
                  <c:v>41144</c:v>
                </c:pt>
                <c:pt idx="86">
                  <c:v>41151</c:v>
                </c:pt>
                <c:pt idx="87">
                  <c:v>41158</c:v>
                </c:pt>
                <c:pt idx="88">
                  <c:v>41165</c:v>
                </c:pt>
                <c:pt idx="89">
                  <c:v>41172</c:v>
                </c:pt>
                <c:pt idx="90">
                  <c:v>41179</c:v>
                </c:pt>
                <c:pt idx="91">
                  <c:v>41186</c:v>
                </c:pt>
                <c:pt idx="92">
                  <c:v>41193</c:v>
                </c:pt>
                <c:pt idx="93">
                  <c:v>41200</c:v>
                </c:pt>
                <c:pt idx="94">
                  <c:v>41207</c:v>
                </c:pt>
                <c:pt idx="95">
                  <c:v>41214</c:v>
                </c:pt>
                <c:pt idx="96">
                  <c:v>41221</c:v>
                </c:pt>
                <c:pt idx="97">
                  <c:v>41228</c:v>
                </c:pt>
                <c:pt idx="98">
                  <c:v>41234</c:v>
                </c:pt>
                <c:pt idx="99">
                  <c:v>41242</c:v>
                </c:pt>
                <c:pt idx="100">
                  <c:v>41249</c:v>
                </c:pt>
                <c:pt idx="101">
                  <c:v>41256</c:v>
                </c:pt>
                <c:pt idx="102">
                  <c:v>41263</c:v>
                </c:pt>
                <c:pt idx="103">
                  <c:v>41270</c:v>
                </c:pt>
                <c:pt idx="104">
                  <c:v>41277</c:v>
                </c:pt>
                <c:pt idx="105">
                  <c:v>41284</c:v>
                </c:pt>
                <c:pt idx="106">
                  <c:v>41291</c:v>
                </c:pt>
                <c:pt idx="107">
                  <c:v>41298</c:v>
                </c:pt>
                <c:pt idx="108">
                  <c:v>41305</c:v>
                </c:pt>
                <c:pt idx="109">
                  <c:v>41312</c:v>
                </c:pt>
                <c:pt idx="110">
                  <c:v>41319</c:v>
                </c:pt>
                <c:pt idx="111">
                  <c:v>41326</c:v>
                </c:pt>
                <c:pt idx="112">
                  <c:v>41333</c:v>
                </c:pt>
                <c:pt idx="113">
                  <c:v>41340</c:v>
                </c:pt>
                <c:pt idx="114">
                  <c:v>41347</c:v>
                </c:pt>
                <c:pt idx="115">
                  <c:v>41354</c:v>
                </c:pt>
                <c:pt idx="116">
                  <c:v>41361</c:v>
                </c:pt>
                <c:pt idx="117">
                  <c:v>41368</c:v>
                </c:pt>
                <c:pt idx="118">
                  <c:v>41375</c:v>
                </c:pt>
                <c:pt idx="119">
                  <c:v>41382</c:v>
                </c:pt>
                <c:pt idx="120">
                  <c:v>41389</c:v>
                </c:pt>
                <c:pt idx="121">
                  <c:v>41396</c:v>
                </c:pt>
                <c:pt idx="122">
                  <c:v>41403</c:v>
                </c:pt>
                <c:pt idx="123">
                  <c:v>41410</c:v>
                </c:pt>
                <c:pt idx="124">
                  <c:v>41417</c:v>
                </c:pt>
                <c:pt idx="125">
                  <c:v>41424</c:v>
                </c:pt>
                <c:pt idx="126">
                  <c:v>41431</c:v>
                </c:pt>
                <c:pt idx="127">
                  <c:v>41438</c:v>
                </c:pt>
                <c:pt idx="128">
                  <c:v>41445</c:v>
                </c:pt>
                <c:pt idx="129">
                  <c:v>41452</c:v>
                </c:pt>
                <c:pt idx="130">
                  <c:v>41458</c:v>
                </c:pt>
                <c:pt idx="131">
                  <c:v>41466</c:v>
                </c:pt>
                <c:pt idx="132">
                  <c:v>41473</c:v>
                </c:pt>
                <c:pt idx="133">
                  <c:v>41480</c:v>
                </c:pt>
                <c:pt idx="134">
                  <c:v>41487</c:v>
                </c:pt>
                <c:pt idx="135">
                  <c:v>41494</c:v>
                </c:pt>
                <c:pt idx="136">
                  <c:v>41501</c:v>
                </c:pt>
                <c:pt idx="137">
                  <c:v>41508</c:v>
                </c:pt>
                <c:pt idx="138">
                  <c:v>41515</c:v>
                </c:pt>
                <c:pt idx="139">
                  <c:v>41522</c:v>
                </c:pt>
                <c:pt idx="140">
                  <c:v>41529</c:v>
                </c:pt>
                <c:pt idx="141">
                  <c:v>41536</c:v>
                </c:pt>
                <c:pt idx="142">
                  <c:v>41543</c:v>
                </c:pt>
                <c:pt idx="143">
                  <c:v>41550</c:v>
                </c:pt>
                <c:pt idx="144">
                  <c:v>41557</c:v>
                </c:pt>
                <c:pt idx="145">
                  <c:v>41564</c:v>
                </c:pt>
                <c:pt idx="146">
                  <c:v>41571</c:v>
                </c:pt>
                <c:pt idx="147">
                  <c:v>41578</c:v>
                </c:pt>
                <c:pt idx="148">
                  <c:v>41585</c:v>
                </c:pt>
                <c:pt idx="149">
                  <c:v>41592</c:v>
                </c:pt>
                <c:pt idx="150">
                  <c:v>41599</c:v>
                </c:pt>
                <c:pt idx="151">
                  <c:v>41605</c:v>
                </c:pt>
                <c:pt idx="152">
                  <c:v>41613</c:v>
                </c:pt>
                <c:pt idx="153">
                  <c:v>41620</c:v>
                </c:pt>
                <c:pt idx="154">
                  <c:v>41627</c:v>
                </c:pt>
                <c:pt idx="155">
                  <c:v>41634</c:v>
                </c:pt>
                <c:pt idx="156">
                  <c:v>41641</c:v>
                </c:pt>
                <c:pt idx="157">
                  <c:v>41648</c:v>
                </c:pt>
                <c:pt idx="158">
                  <c:v>41655</c:v>
                </c:pt>
                <c:pt idx="159">
                  <c:v>41662</c:v>
                </c:pt>
                <c:pt idx="160">
                  <c:v>41669</c:v>
                </c:pt>
                <c:pt idx="161">
                  <c:v>41676</c:v>
                </c:pt>
                <c:pt idx="162">
                  <c:v>41683</c:v>
                </c:pt>
                <c:pt idx="163">
                  <c:v>41690</c:v>
                </c:pt>
                <c:pt idx="164">
                  <c:v>41697</c:v>
                </c:pt>
                <c:pt idx="165">
                  <c:v>41704</c:v>
                </c:pt>
                <c:pt idx="166">
                  <c:v>41711</c:v>
                </c:pt>
                <c:pt idx="167">
                  <c:v>41718</c:v>
                </c:pt>
                <c:pt idx="168">
                  <c:v>41725</c:v>
                </c:pt>
                <c:pt idx="169">
                  <c:v>41732</c:v>
                </c:pt>
                <c:pt idx="170">
                  <c:v>41739</c:v>
                </c:pt>
                <c:pt idx="171">
                  <c:v>41746</c:v>
                </c:pt>
                <c:pt idx="172">
                  <c:v>41753</c:v>
                </c:pt>
                <c:pt idx="173">
                  <c:v>41760</c:v>
                </c:pt>
                <c:pt idx="174">
                  <c:v>41767</c:v>
                </c:pt>
                <c:pt idx="175">
                  <c:v>41774</c:v>
                </c:pt>
                <c:pt idx="176">
                  <c:v>41781</c:v>
                </c:pt>
                <c:pt idx="177">
                  <c:v>41788</c:v>
                </c:pt>
                <c:pt idx="178">
                  <c:v>41795</c:v>
                </c:pt>
                <c:pt idx="179">
                  <c:v>41802</c:v>
                </c:pt>
                <c:pt idx="180">
                  <c:v>41809</c:v>
                </c:pt>
                <c:pt idx="181">
                  <c:v>41816</c:v>
                </c:pt>
                <c:pt idx="182">
                  <c:v>41823</c:v>
                </c:pt>
                <c:pt idx="183">
                  <c:v>41830</c:v>
                </c:pt>
                <c:pt idx="184">
                  <c:v>41837</c:v>
                </c:pt>
                <c:pt idx="185">
                  <c:v>41844</c:v>
                </c:pt>
                <c:pt idx="186">
                  <c:v>41851</c:v>
                </c:pt>
                <c:pt idx="187">
                  <c:v>41858</c:v>
                </c:pt>
                <c:pt idx="188">
                  <c:v>41865</c:v>
                </c:pt>
                <c:pt idx="189">
                  <c:v>41872</c:v>
                </c:pt>
                <c:pt idx="190">
                  <c:v>41879</c:v>
                </c:pt>
                <c:pt idx="191">
                  <c:v>41886</c:v>
                </c:pt>
                <c:pt idx="192">
                  <c:v>41893</c:v>
                </c:pt>
                <c:pt idx="193">
                  <c:v>41900</c:v>
                </c:pt>
                <c:pt idx="194">
                  <c:v>41907</c:v>
                </c:pt>
                <c:pt idx="195">
                  <c:v>41914</c:v>
                </c:pt>
                <c:pt idx="196">
                  <c:v>41921</c:v>
                </c:pt>
                <c:pt idx="197">
                  <c:v>41928</c:v>
                </c:pt>
                <c:pt idx="198">
                  <c:v>41935</c:v>
                </c:pt>
                <c:pt idx="199">
                  <c:v>41942</c:v>
                </c:pt>
                <c:pt idx="200">
                  <c:v>41949</c:v>
                </c:pt>
                <c:pt idx="201">
                  <c:v>41956</c:v>
                </c:pt>
                <c:pt idx="202">
                  <c:v>41963</c:v>
                </c:pt>
                <c:pt idx="203">
                  <c:v>41969</c:v>
                </c:pt>
                <c:pt idx="204">
                  <c:v>41977</c:v>
                </c:pt>
                <c:pt idx="205">
                  <c:v>41984</c:v>
                </c:pt>
                <c:pt idx="206">
                  <c:v>41991</c:v>
                </c:pt>
                <c:pt idx="207">
                  <c:v>41997</c:v>
                </c:pt>
                <c:pt idx="208">
                  <c:v>42004</c:v>
                </c:pt>
                <c:pt idx="209">
                  <c:v>42012</c:v>
                </c:pt>
                <c:pt idx="210">
                  <c:v>42019</c:v>
                </c:pt>
                <c:pt idx="211">
                  <c:v>42026</c:v>
                </c:pt>
                <c:pt idx="212">
                  <c:v>42033</c:v>
                </c:pt>
                <c:pt idx="213">
                  <c:v>42040</c:v>
                </c:pt>
                <c:pt idx="214">
                  <c:v>42047</c:v>
                </c:pt>
                <c:pt idx="215">
                  <c:v>42054</c:v>
                </c:pt>
                <c:pt idx="216">
                  <c:v>42061</c:v>
                </c:pt>
                <c:pt idx="217">
                  <c:v>42068</c:v>
                </c:pt>
                <c:pt idx="218">
                  <c:v>42075</c:v>
                </c:pt>
                <c:pt idx="219">
                  <c:v>42082</c:v>
                </c:pt>
                <c:pt idx="220">
                  <c:v>42089</c:v>
                </c:pt>
                <c:pt idx="221">
                  <c:v>42096</c:v>
                </c:pt>
                <c:pt idx="222">
                  <c:v>42103</c:v>
                </c:pt>
                <c:pt idx="223">
                  <c:v>42110</c:v>
                </c:pt>
                <c:pt idx="224">
                  <c:v>42117</c:v>
                </c:pt>
              </c:numCache>
            </c:numRef>
          </c:cat>
          <c:val>
            <c:numRef>
              <c:f>'Current Paying PMI'!$C$3:$C$227</c:f>
              <c:numCache>
                <c:formatCode>0%</c:formatCode>
                <c:ptCount val="225"/>
                <c:pt idx="0">
                  <c:v>0.62402170072443153</c:v>
                </c:pt>
                <c:pt idx="1">
                  <c:v>0.62817294477626939</c:v>
                </c:pt>
                <c:pt idx="2">
                  <c:v>0.62597730951219899</c:v>
                </c:pt>
                <c:pt idx="3">
                  <c:v>0.62392159162868732</c:v>
                </c:pt>
                <c:pt idx="4">
                  <c:v>0.60653142223595213</c:v>
                </c:pt>
                <c:pt idx="5">
                  <c:v>0.50868797673712363</c:v>
                </c:pt>
                <c:pt idx="6">
                  <c:v>0.52965901814335548</c:v>
                </c:pt>
                <c:pt idx="7">
                  <c:v>0.57709503787578109</c:v>
                </c:pt>
                <c:pt idx="8">
                  <c:v>0.59224775585706535</c:v>
                </c:pt>
                <c:pt idx="9">
                  <c:v>0.59090570789662444</c:v>
                </c:pt>
                <c:pt idx="10">
                  <c:v>0.60261779474869925</c:v>
                </c:pt>
                <c:pt idx="11">
                  <c:v>0.59950595681897523</c:v>
                </c:pt>
                <c:pt idx="12">
                  <c:v>0.593225708201635</c:v>
                </c:pt>
                <c:pt idx="13">
                  <c:v>0.58542144661011908</c:v>
                </c:pt>
                <c:pt idx="14">
                  <c:v>0.58155199492979581</c:v>
                </c:pt>
                <c:pt idx="15">
                  <c:v>0.59356262313394537</c:v>
                </c:pt>
                <c:pt idx="16">
                  <c:v>0.59445921362542997</c:v>
                </c:pt>
                <c:pt idx="17">
                  <c:v>0.59391131067456038</c:v>
                </c:pt>
                <c:pt idx="18">
                  <c:v>0.60662155942020002</c:v>
                </c:pt>
                <c:pt idx="19">
                  <c:v>0.61264076908113763</c:v>
                </c:pt>
                <c:pt idx="20">
                  <c:v>0.61599363608099678</c:v>
                </c:pt>
                <c:pt idx="21">
                  <c:v>0.66311590107349083</c:v>
                </c:pt>
                <c:pt idx="22">
                  <c:v>0.74517189360077984</c:v>
                </c:pt>
                <c:pt idx="23">
                  <c:v>0.72397022872334449</c:v>
                </c:pt>
                <c:pt idx="24">
                  <c:v>0.66311590107349083</c:v>
                </c:pt>
                <c:pt idx="25">
                  <c:v>0.69050447134038251</c:v>
                </c:pt>
                <c:pt idx="26">
                  <c:v>0.60410549631050647</c:v>
                </c:pt>
                <c:pt idx="27">
                  <c:v>0.684475421712615</c:v>
                </c:pt>
                <c:pt idx="28">
                  <c:v>0.66675683999516944</c:v>
                </c:pt>
                <c:pt idx="29">
                  <c:v>0.61660059317974736</c:v>
                </c:pt>
                <c:pt idx="30">
                  <c:v>0.81803711941746404</c:v>
                </c:pt>
                <c:pt idx="31">
                  <c:v>0.83404184296119399</c:v>
                </c:pt>
                <c:pt idx="32">
                  <c:v>0.86117434904403212</c:v>
                </c:pt>
                <c:pt idx="33">
                  <c:v>0.84714025108084823</c:v>
                </c:pt>
                <c:pt idx="34">
                  <c:v>0.84129278814437181</c:v>
                </c:pt>
                <c:pt idx="35">
                  <c:v>0.87859103936280614</c:v>
                </c:pt>
                <c:pt idx="36">
                  <c:v>0.90242289630359074</c:v>
                </c:pt>
                <c:pt idx="37">
                  <c:v>0.90242289630359074</c:v>
                </c:pt>
                <c:pt idx="38">
                  <c:v>0.94644262124543443</c:v>
                </c:pt>
                <c:pt idx="39">
                  <c:v>0.96725200604215567</c:v>
                </c:pt>
                <c:pt idx="40">
                  <c:v>0.84917694017596268</c:v>
                </c:pt>
                <c:pt idx="41">
                  <c:v>0.85635864773186432</c:v>
                </c:pt>
                <c:pt idx="42">
                  <c:v>0.86512672485653175</c:v>
                </c:pt>
                <c:pt idx="43">
                  <c:v>0.93485323798856346</c:v>
                </c:pt>
                <c:pt idx="44">
                  <c:v>0.94404770550683115</c:v>
                </c:pt>
                <c:pt idx="45">
                  <c:v>0.93485323798856346</c:v>
                </c:pt>
                <c:pt idx="46">
                  <c:v>0.94997170807452469</c:v>
                </c:pt>
                <c:pt idx="47">
                  <c:v>0.91542628506626045</c:v>
                </c:pt>
                <c:pt idx="48">
                  <c:v>0.9248746068169833</c:v>
                </c:pt>
                <c:pt idx="49">
                  <c:v>0.93969161247928745</c:v>
                </c:pt>
                <c:pt idx="50">
                  <c:v>0.9601958662364245</c:v>
                </c:pt>
                <c:pt idx="51">
                  <c:v>0.94762260030460288</c:v>
                </c:pt>
                <c:pt idx="52">
                  <c:v>0.94481773750585774</c:v>
                </c:pt>
                <c:pt idx="53">
                  <c:v>0.95320351892281485</c:v>
                </c:pt>
                <c:pt idx="54">
                  <c:v>0.95182771809710431</c:v>
                </c:pt>
                <c:pt idx="55">
                  <c:v>0.91861521434498927</c:v>
                </c:pt>
                <c:pt idx="56">
                  <c:v>0.94107838104995334</c:v>
                </c:pt>
                <c:pt idx="57">
                  <c:v>0.94107838104995334</c:v>
                </c:pt>
                <c:pt idx="58">
                  <c:v>0.94107838104995334</c:v>
                </c:pt>
                <c:pt idx="59">
                  <c:v>0.90921329115869776</c:v>
                </c:pt>
                <c:pt idx="60">
                  <c:v>0.91584710240533518</c:v>
                </c:pt>
                <c:pt idx="61">
                  <c:v>0.91902765125865959</c:v>
                </c:pt>
                <c:pt idx="62">
                  <c:v>0.90514599034862198</c:v>
                </c:pt>
                <c:pt idx="63">
                  <c:v>0.78959380464288376</c:v>
                </c:pt>
                <c:pt idx="64">
                  <c:v>0.87490910290764468</c:v>
                </c:pt>
                <c:pt idx="65">
                  <c:v>0.86928745494692716</c:v>
                </c:pt>
                <c:pt idx="66">
                  <c:v>0.90849340717481886</c:v>
                </c:pt>
                <c:pt idx="67">
                  <c:v>0.9034983903169389</c:v>
                </c:pt>
                <c:pt idx="68">
                  <c:v>0.90849340717481886</c:v>
                </c:pt>
                <c:pt idx="69">
                  <c:v>0.89225108632442729</c:v>
                </c:pt>
                <c:pt idx="70">
                  <c:v>0.89337268606647302</c:v>
                </c:pt>
                <c:pt idx="71">
                  <c:v>0.8948997967143093</c:v>
                </c:pt>
                <c:pt idx="72">
                  <c:v>0.89443957907281746</c:v>
                </c:pt>
                <c:pt idx="73">
                  <c:v>0.89512122084695944</c:v>
                </c:pt>
                <c:pt idx="74">
                  <c:v>0.8920195449585564</c:v>
                </c:pt>
                <c:pt idx="75">
                  <c:v>0.88667449797815956</c:v>
                </c:pt>
                <c:pt idx="76">
                  <c:v>0.89407594990163874</c:v>
                </c:pt>
                <c:pt idx="77">
                  <c:v>0.89407594990163874</c:v>
                </c:pt>
                <c:pt idx="78">
                  <c:v>0.8819114104860859</c:v>
                </c:pt>
                <c:pt idx="79">
                  <c:v>0.94551237246929465</c:v>
                </c:pt>
                <c:pt idx="80">
                  <c:v>0.97186924857158052</c:v>
                </c:pt>
                <c:pt idx="81">
                  <c:v>0.98451993370244106</c:v>
                </c:pt>
                <c:pt idx="82">
                  <c:v>0.9385222539497815</c:v>
                </c:pt>
                <c:pt idx="83">
                  <c:v>0.92408794393225557</c:v>
                </c:pt>
                <c:pt idx="84">
                  <c:v>0.88445471641937157</c:v>
                </c:pt>
                <c:pt idx="85">
                  <c:v>0.85694996797233836</c:v>
                </c:pt>
                <c:pt idx="86">
                  <c:v>0.92408794393225557</c:v>
                </c:pt>
                <c:pt idx="87">
                  <c:v>0.91761037893987563</c:v>
                </c:pt>
                <c:pt idx="88">
                  <c:v>0.94047646256577366</c:v>
                </c:pt>
                <c:pt idx="89">
                  <c:v>0.95891425076544745</c:v>
                </c:pt>
                <c:pt idx="90">
                  <c:v>0.96459917415866681</c:v>
                </c:pt>
                <c:pt idx="91">
                  <c:v>0.95362908529618629</c:v>
                </c:pt>
                <c:pt idx="92">
                  <c:v>0.95159604304738465</c:v>
                </c:pt>
                <c:pt idx="93">
                  <c:v>0.95277295236812309</c:v>
                </c:pt>
                <c:pt idx="94">
                  <c:v>0.95079229345734595</c:v>
                </c:pt>
                <c:pt idx="95">
                  <c:v>0.92571311512973709</c:v>
                </c:pt>
                <c:pt idx="96">
                  <c:v>0.9252942527060104</c:v>
                </c:pt>
                <c:pt idx="97">
                  <c:v>0.92772026190850965</c:v>
                </c:pt>
                <c:pt idx="98">
                  <c:v>0.9299301195282087</c:v>
                </c:pt>
                <c:pt idx="99">
                  <c:v>0.92756020040727527</c:v>
                </c:pt>
                <c:pt idx="100">
                  <c:v>0.9105479087849232</c:v>
                </c:pt>
                <c:pt idx="101">
                  <c:v>0.9126136851792267</c:v>
                </c:pt>
                <c:pt idx="102">
                  <c:v>0.90965157918840345</c:v>
                </c:pt>
                <c:pt idx="103">
                  <c:v>0.91018597538933266</c:v>
                </c:pt>
                <c:pt idx="104">
                  <c:v>0.88829814088555981</c:v>
                </c:pt>
                <c:pt idx="105">
                  <c:v>0.88507237465236011</c:v>
                </c:pt>
                <c:pt idx="106">
                  <c:v>0.88631407683414742</c:v>
                </c:pt>
                <c:pt idx="107">
                  <c:v>0.88379536104531342</c:v>
                </c:pt>
                <c:pt idx="108">
                  <c:v>0.84748759806752005</c:v>
                </c:pt>
                <c:pt idx="109">
                  <c:v>0.79744674672768578</c:v>
                </c:pt>
                <c:pt idx="110">
                  <c:v>0.79744674672768578</c:v>
                </c:pt>
                <c:pt idx="111">
                  <c:v>0.75767121274967097</c:v>
                </c:pt>
                <c:pt idx="112">
                  <c:v>0.81599621049204552</c:v>
                </c:pt>
                <c:pt idx="113">
                  <c:v>0.81254588826988361</c:v>
                </c:pt>
                <c:pt idx="114">
                  <c:v>0.70260073761186825</c:v>
                </c:pt>
                <c:pt idx="115">
                  <c:v>0.76832708554350626</c:v>
                </c:pt>
                <c:pt idx="116">
                  <c:v>0.73085022058809757</c:v>
                </c:pt>
                <c:pt idx="117">
                  <c:v>0.74812714109915845</c:v>
                </c:pt>
                <c:pt idx="118">
                  <c:v>0.81951890925716175</c:v>
                </c:pt>
                <c:pt idx="119">
                  <c:v>0.8263799320049966</c:v>
                </c:pt>
                <c:pt idx="120">
                  <c:v>0.82478602429419701</c:v>
                </c:pt>
                <c:pt idx="121">
                  <c:v>0.81686282095814366</c:v>
                </c:pt>
                <c:pt idx="122">
                  <c:v>0.80807149473903783</c:v>
                </c:pt>
                <c:pt idx="123">
                  <c:v>0.77783403735744605</c:v>
                </c:pt>
                <c:pt idx="124">
                  <c:v>0.69528028144531095</c:v>
                </c:pt>
                <c:pt idx="125">
                  <c:v>0.63267241864898449</c:v>
                </c:pt>
                <c:pt idx="126">
                  <c:v>0.60569175356282723</c:v>
                </c:pt>
                <c:pt idx="127">
                  <c:v>0.57343184072471942</c:v>
                </c:pt>
                <c:pt idx="128">
                  <c:v>0.58795254732817659</c:v>
                </c:pt>
                <c:pt idx="129">
                  <c:v>0.39082116641682313</c:v>
                </c:pt>
                <c:pt idx="130">
                  <c:v>0.4330864642120939</c:v>
                </c:pt>
                <c:pt idx="131">
                  <c:v>0.31856955774356621</c:v>
                </c:pt>
                <c:pt idx="132">
                  <c:v>0.42624975952077765</c:v>
                </c:pt>
                <c:pt idx="133">
                  <c:v>0.42922629610906576</c:v>
                </c:pt>
                <c:pt idx="134">
                  <c:v>0.40917398895537016</c:v>
                </c:pt>
                <c:pt idx="135">
                  <c:v>0.40797811985401045</c:v>
                </c:pt>
                <c:pt idx="136">
                  <c:v>0.40797811985401045</c:v>
                </c:pt>
                <c:pt idx="137">
                  <c:v>0.28211495793674252</c:v>
                </c:pt>
                <c:pt idx="138">
                  <c:v>0.32707732602530493</c:v>
                </c:pt>
                <c:pt idx="139">
                  <c:v>0.2818649256036454</c:v>
                </c:pt>
                <c:pt idx="140">
                  <c:v>0.27463010199382165</c:v>
                </c:pt>
                <c:pt idx="141">
                  <c:v>0.33277831045649614</c:v>
                </c:pt>
                <c:pt idx="142">
                  <c:v>0.40445747526612724</c:v>
                </c:pt>
                <c:pt idx="143">
                  <c:v>0.41528178559290679</c:v>
                </c:pt>
                <c:pt idx="144">
                  <c:v>0.41314719259777027</c:v>
                </c:pt>
                <c:pt idx="145">
                  <c:v>0.40232481590336117</c:v>
                </c:pt>
                <c:pt idx="146">
                  <c:v>0.43156912924668556</c:v>
                </c:pt>
                <c:pt idx="147">
                  <c:v>0.4605405147219428</c:v>
                </c:pt>
                <c:pt idx="148">
                  <c:v>0.42159370418067171</c:v>
                </c:pt>
                <c:pt idx="149">
                  <c:v>0.38756459325455095</c:v>
                </c:pt>
                <c:pt idx="150">
                  <c:v>0.41410653536495057</c:v>
                </c:pt>
                <c:pt idx="151">
                  <c:v>0.3969981593322805</c:v>
                </c:pt>
                <c:pt idx="152">
                  <c:v>0.37338021104571051</c:v>
                </c:pt>
                <c:pt idx="153">
                  <c:v>0.3707206267478419</c:v>
                </c:pt>
                <c:pt idx="154">
                  <c:v>0.33974567777608206</c:v>
                </c:pt>
                <c:pt idx="155">
                  <c:v>0.33029809597210952</c:v>
                </c:pt>
                <c:pt idx="156">
                  <c:v>0.26212623729092371</c:v>
                </c:pt>
                <c:pt idx="157">
                  <c:v>0.2902260049252946</c:v>
                </c:pt>
                <c:pt idx="158">
                  <c:v>0.36774882579493112</c:v>
                </c:pt>
                <c:pt idx="159">
                  <c:v>0.37084428304329614</c:v>
                </c:pt>
                <c:pt idx="160">
                  <c:v>0.38160196936392621</c:v>
                </c:pt>
                <c:pt idx="161">
                  <c:v>0.40068103493110224</c:v>
                </c:pt>
                <c:pt idx="162">
                  <c:v>0.38532630107916044</c:v>
                </c:pt>
                <c:pt idx="163">
                  <c:v>0.3755719775185945</c:v>
                </c:pt>
                <c:pt idx="164">
                  <c:v>0.36967404481869215</c:v>
                </c:pt>
                <c:pt idx="165">
                  <c:v>0.38316963725836589</c:v>
                </c:pt>
                <c:pt idx="166">
                  <c:v>0.36933430427665681</c:v>
                </c:pt>
                <c:pt idx="167">
                  <c:v>0.38030249532079374</c:v>
                </c:pt>
                <c:pt idx="168">
                  <c:v>0.36565400061256043</c:v>
                </c:pt>
                <c:pt idx="169">
                  <c:v>0.35521926568999218</c:v>
                </c:pt>
                <c:pt idx="170">
                  <c:v>0.36683376695248865</c:v>
                </c:pt>
                <c:pt idx="171">
                  <c:v>0.38166972699665563</c:v>
                </c:pt>
                <c:pt idx="172">
                  <c:v>0.37393962817107157</c:v>
                </c:pt>
                <c:pt idx="173">
                  <c:v>0.37360583835556432</c:v>
                </c:pt>
                <c:pt idx="174">
                  <c:v>0.40975674753773905</c:v>
                </c:pt>
                <c:pt idx="175">
                  <c:v>0.4132153406951769</c:v>
                </c:pt>
                <c:pt idx="176">
                  <c:v>0.44799454346559853</c:v>
                </c:pt>
                <c:pt idx="177">
                  <c:v>0.46362020494951672</c:v>
                </c:pt>
                <c:pt idx="178">
                  <c:v>0.46847875373528863</c:v>
                </c:pt>
                <c:pt idx="179">
                  <c:v>0.41096738430920449</c:v>
                </c:pt>
                <c:pt idx="180">
                  <c:v>0.42635938692148717</c:v>
                </c:pt>
                <c:pt idx="181">
                  <c:v>0.46847875373528863</c:v>
                </c:pt>
                <c:pt idx="182">
                  <c:v>0.48178321750260522</c:v>
                </c:pt>
                <c:pt idx="183">
                  <c:v>0.42147742037560049</c:v>
                </c:pt>
                <c:pt idx="184">
                  <c:v>0.45155296827836544</c:v>
                </c:pt>
                <c:pt idx="185">
                  <c:v>0.45155296827836544</c:v>
                </c:pt>
                <c:pt idx="186">
                  <c:v>0.45923072088835232</c:v>
                </c:pt>
                <c:pt idx="187">
                  <c:v>0.42413376349642812</c:v>
                </c:pt>
                <c:pt idx="188">
                  <c:v>0.45575254137027688</c:v>
                </c:pt>
                <c:pt idx="189">
                  <c:v>0.49084413664233395</c:v>
                </c:pt>
                <c:pt idx="190">
                  <c:v>0.49084413664233395</c:v>
                </c:pt>
                <c:pt idx="191">
                  <c:v>0.4873264191007175</c:v>
                </c:pt>
                <c:pt idx="192">
                  <c:v>0.4741591952243816</c:v>
                </c:pt>
                <c:pt idx="193">
                  <c:v>0.3981672862675662</c:v>
                </c:pt>
                <c:pt idx="194">
                  <c:v>0.41373230170663788</c:v>
                </c:pt>
                <c:pt idx="195">
                  <c:v>0.43232059685066798</c:v>
                </c:pt>
                <c:pt idx="196">
                  <c:v>0.47165449273347226</c:v>
                </c:pt>
                <c:pt idx="197">
                  <c:v>0.57517284737260799</c:v>
                </c:pt>
                <c:pt idx="198">
                  <c:v>0.58745733896979668</c:v>
                </c:pt>
                <c:pt idx="199">
                  <c:v>0.57181297396619646</c:v>
                </c:pt>
                <c:pt idx="200">
                  <c:v>0.54857982917990311</c:v>
                </c:pt>
                <c:pt idx="201">
                  <c:v>0.55497671209744126</c:v>
                </c:pt>
                <c:pt idx="202">
                  <c:v>0.56606721089043732</c:v>
                </c:pt>
                <c:pt idx="203">
                  <c:v>0.57290983086857539</c:v>
                </c:pt>
                <c:pt idx="204">
                  <c:v>0.59279776197128353</c:v>
                </c:pt>
                <c:pt idx="205">
                  <c:v>0.5786710507683992</c:v>
                </c:pt>
                <c:pt idx="206">
                  <c:v>0.6155496963810797</c:v>
                </c:pt>
                <c:pt idx="207">
                  <c:v>0.60574636223541978</c:v>
                </c:pt>
                <c:pt idx="208">
                  <c:v>0.59072795930158906</c:v>
                </c:pt>
                <c:pt idx="209">
                  <c:v>0.63580141506138355</c:v>
                </c:pt>
                <c:pt idx="210">
                  <c:v>0.66264885680249008</c:v>
                </c:pt>
                <c:pt idx="211">
                  <c:v>0.66474126748702123</c:v>
                </c:pt>
                <c:pt idx="212">
                  <c:v>0.66264885680249008</c:v>
                </c:pt>
                <c:pt idx="213">
                  <c:v>0.68438167594716182</c:v>
                </c:pt>
                <c:pt idx="214">
                  <c:v>0.64890841265420796</c:v>
                </c:pt>
                <c:pt idx="215">
                  <c:v>0.62651628119673453</c:v>
                </c:pt>
                <c:pt idx="216">
                  <c:v>0.61098575112407738</c:v>
                </c:pt>
                <c:pt idx="217">
                  <c:v>0.61966926616186646</c:v>
                </c:pt>
                <c:pt idx="218">
                  <c:v>0.57559445438514367</c:v>
                </c:pt>
                <c:pt idx="219">
                  <c:v>0.60937196228640689</c:v>
                </c:pt>
                <c:pt idx="220">
                  <c:v>0.64195316325793905</c:v>
                </c:pt>
                <c:pt idx="221">
                  <c:v>0.62778439660000751</c:v>
                </c:pt>
                <c:pt idx="222">
                  <c:v>0.64459292642165245</c:v>
                </c:pt>
                <c:pt idx="223">
                  <c:v>0.63055503904182508</c:v>
                </c:pt>
                <c:pt idx="224">
                  <c:v>0.64951370522505292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'Current Paying PMI'!$D$2</c:f>
              <c:strCache>
                <c:ptCount val="1"/>
                <c:pt idx="0">
                  <c:v>HARP</c:v>
                </c:pt>
              </c:strCache>
            </c:strRef>
          </c:tx>
          <c:marker>
            <c:symbol val="none"/>
          </c:marker>
          <c:cat>
            <c:numRef>
              <c:f>'Current Paying PMI'!$B$3:$B$227</c:f>
              <c:numCache>
                <c:formatCode>m/d/yyyy</c:formatCode>
                <c:ptCount val="225"/>
                <c:pt idx="0">
                  <c:v>40549</c:v>
                </c:pt>
                <c:pt idx="1">
                  <c:v>40556</c:v>
                </c:pt>
                <c:pt idx="2">
                  <c:v>40563</c:v>
                </c:pt>
                <c:pt idx="3">
                  <c:v>40570</c:v>
                </c:pt>
                <c:pt idx="4">
                  <c:v>40577</c:v>
                </c:pt>
                <c:pt idx="5">
                  <c:v>40584</c:v>
                </c:pt>
                <c:pt idx="6">
                  <c:v>40591</c:v>
                </c:pt>
                <c:pt idx="7">
                  <c:v>40598</c:v>
                </c:pt>
                <c:pt idx="8">
                  <c:v>40605</c:v>
                </c:pt>
                <c:pt idx="9">
                  <c:v>40612</c:v>
                </c:pt>
                <c:pt idx="10">
                  <c:v>40619</c:v>
                </c:pt>
                <c:pt idx="11">
                  <c:v>40626</c:v>
                </c:pt>
                <c:pt idx="12">
                  <c:v>40633</c:v>
                </c:pt>
                <c:pt idx="13">
                  <c:v>40640</c:v>
                </c:pt>
                <c:pt idx="14">
                  <c:v>40647</c:v>
                </c:pt>
                <c:pt idx="15">
                  <c:v>40654</c:v>
                </c:pt>
                <c:pt idx="16">
                  <c:v>40661</c:v>
                </c:pt>
                <c:pt idx="17">
                  <c:v>40668</c:v>
                </c:pt>
                <c:pt idx="18">
                  <c:v>40675</c:v>
                </c:pt>
                <c:pt idx="19">
                  <c:v>40682</c:v>
                </c:pt>
                <c:pt idx="20">
                  <c:v>40689</c:v>
                </c:pt>
                <c:pt idx="21">
                  <c:v>40696</c:v>
                </c:pt>
                <c:pt idx="22">
                  <c:v>40703</c:v>
                </c:pt>
                <c:pt idx="23">
                  <c:v>40710</c:v>
                </c:pt>
                <c:pt idx="24">
                  <c:v>40717</c:v>
                </c:pt>
                <c:pt idx="25">
                  <c:v>40724</c:v>
                </c:pt>
                <c:pt idx="26">
                  <c:v>40731</c:v>
                </c:pt>
                <c:pt idx="27">
                  <c:v>40738</c:v>
                </c:pt>
                <c:pt idx="28">
                  <c:v>40745</c:v>
                </c:pt>
                <c:pt idx="29">
                  <c:v>40752</c:v>
                </c:pt>
                <c:pt idx="30">
                  <c:v>40759</c:v>
                </c:pt>
                <c:pt idx="31">
                  <c:v>40766</c:v>
                </c:pt>
                <c:pt idx="32">
                  <c:v>40773</c:v>
                </c:pt>
                <c:pt idx="33">
                  <c:v>40780</c:v>
                </c:pt>
                <c:pt idx="34">
                  <c:v>40787</c:v>
                </c:pt>
                <c:pt idx="35">
                  <c:v>40794</c:v>
                </c:pt>
                <c:pt idx="36">
                  <c:v>40801</c:v>
                </c:pt>
                <c:pt idx="37">
                  <c:v>40808</c:v>
                </c:pt>
                <c:pt idx="38">
                  <c:v>40815</c:v>
                </c:pt>
                <c:pt idx="39">
                  <c:v>40822</c:v>
                </c:pt>
                <c:pt idx="40">
                  <c:v>40829</c:v>
                </c:pt>
                <c:pt idx="41">
                  <c:v>40836</c:v>
                </c:pt>
                <c:pt idx="42">
                  <c:v>40843</c:v>
                </c:pt>
                <c:pt idx="43">
                  <c:v>40850</c:v>
                </c:pt>
                <c:pt idx="44">
                  <c:v>40857</c:v>
                </c:pt>
                <c:pt idx="45">
                  <c:v>40864</c:v>
                </c:pt>
                <c:pt idx="46">
                  <c:v>40870</c:v>
                </c:pt>
                <c:pt idx="47">
                  <c:v>40878</c:v>
                </c:pt>
                <c:pt idx="48">
                  <c:v>40885</c:v>
                </c:pt>
                <c:pt idx="49">
                  <c:v>40892</c:v>
                </c:pt>
                <c:pt idx="50">
                  <c:v>40899</c:v>
                </c:pt>
                <c:pt idx="51">
                  <c:v>40906</c:v>
                </c:pt>
                <c:pt idx="52">
                  <c:v>40913</c:v>
                </c:pt>
                <c:pt idx="53">
                  <c:v>40920</c:v>
                </c:pt>
                <c:pt idx="54">
                  <c:v>40927</c:v>
                </c:pt>
                <c:pt idx="55">
                  <c:v>40934</c:v>
                </c:pt>
                <c:pt idx="56">
                  <c:v>40941</c:v>
                </c:pt>
                <c:pt idx="57">
                  <c:v>40948</c:v>
                </c:pt>
                <c:pt idx="58">
                  <c:v>40955</c:v>
                </c:pt>
                <c:pt idx="59">
                  <c:v>40962</c:v>
                </c:pt>
                <c:pt idx="60">
                  <c:v>40969</c:v>
                </c:pt>
                <c:pt idx="61">
                  <c:v>40976</c:v>
                </c:pt>
                <c:pt idx="62">
                  <c:v>40983</c:v>
                </c:pt>
                <c:pt idx="63">
                  <c:v>40990</c:v>
                </c:pt>
                <c:pt idx="64">
                  <c:v>40997</c:v>
                </c:pt>
                <c:pt idx="65">
                  <c:v>41004</c:v>
                </c:pt>
                <c:pt idx="66">
                  <c:v>41011</c:v>
                </c:pt>
                <c:pt idx="67">
                  <c:v>41018</c:v>
                </c:pt>
                <c:pt idx="68">
                  <c:v>41025</c:v>
                </c:pt>
                <c:pt idx="69">
                  <c:v>41032</c:v>
                </c:pt>
                <c:pt idx="70">
                  <c:v>41039</c:v>
                </c:pt>
                <c:pt idx="71">
                  <c:v>41046</c:v>
                </c:pt>
                <c:pt idx="72">
                  <c:v>41053</c:v>
                </c:pt>
                <c:pt idx="73">
                  <c:v>41060</c:v>
                </c:pt>
                <c:pt idx="74">
                  <c:v>41067</c:v>
                </c:pt>
                <c:pt idx="75">
                  <c:v>41074</c:v>
                </c:pt>
                <c:pt idx="76">
                  <c:v>41081</c:v>
                </c:pt>
                <c:pt idx="77">
                  <c:v>41088</c:v>
                </c:pt>
                <c:pt idx="78">
                  <c:v>41095</c:v>
                </c:pt>
                <c:pt idx="79">
                  <c:v>41102</c:v>
                </c:pt>
                <c:pt idx="80">
                  <c:v>41109</c:v>
                </c:pt>
                <c:pt idx="81">
                  <c:v>41116</c:v>
                </c:pt>
                <c:pt idx="82">
                  <c:v>41123</c:v>
                </c:pt>
                <c:pt idx="83">
                  <c:v>41130</c:v>
                </c:pt>
                <c:pt idx="84">
                  <c:v>41137</c:v>
                </c:pt>
                <c:pt idx="85">
                  <c:v>41144</c:v>
                </c:pt>
                <c:pt idx="86">
                  <c:v>41151</c:v>
                </c:pt>
                <c:pt idx="87">
                  <c:v>41158</c:v>
                </c:pt>
                <c:pt idx="88">
                  <c:v>41165</c:v>
                </c:pt>
                <c:pt idx="89">
                  <c:v>41172</c:v>
                </c:pt>
                <c:pt idx="90">
                  <c:v>41179</c:v>
                </c:pt>
                <c:pt idx="91">
                  <c:v>41186</c:v>
                </c:pt>
                <c:pt idx="92">
                  <c:v>41193</c:v>
                </c:pt>
                <c:pt idx="93">
                  <c:v>41200</c:v>
                </c:pt>
                <c:pt idx="94">
                  <c:v>41207</c:v>
                </c:pt>
                <c:pt idx="95">
                  <c:v>41214</c:v>
                </c:pt>
                <c:pt idx="96">
                  <c:v>41221</c:v>
                </c:pt>
                <c:pt idx="97">
                  <c:v>41228</c:v>
                </c:pt>
                <c:pt idx="98">
                  <c:v>41234</c:v>
                </c:pt>
                <c:pt idx="99">
                  <c:v>41242</c:v>
                </c:pt>
                <c:pt idx="100">
                  <c:v>41249</c:v>
                </c:pt>
                <c:pt idx="101">
                  <c:v>41256</c:v>
                </c:pt>
                <c:pt idx="102">
                  <c:v>41263</c:v>
                </c:pt>
                <c:pt idx="103">
                  <c:v>41270</c:v>
                </c:pt>
                <c:pt idx="104">
                  <c:v>41277</c:v>
                </c:pt>
                <c:pt idx="105">
                  <c:v>41284</c:v>
                </c:pt>
                <c:pt idx="106">
                  <c:v>41291</c:v>
                </c:pt>
                <c:pt idx="107">
                  <c:v>41298</c:v>
                </c:pt>
                <c:pt idx="108">
                  <c:v>41305</c:v>
                </c:pt>
                <c:pt idx="109">
                  <c:v>41312</c:v>
                </c:pt>
                <c:pt idx="110">
                  <c:v>41319</c:v>
                </c:pt>
                <c:pt idx="111">
                  <c:v>41326</c:v>
                </c:pt>
                <c:pt idx="112">
                  <c:v>41333</c:v>
                </c:pt>
                <c:pt idx="113">
                  <c:v>41340</c:v>
                </c:pt>
                <c:pt idx="114">
                  <c:v>41347</c:v>
                </c:pt>
                <c:pt idx="115">
                  <c:v>41354</c:v>
                </c:pt>
                <c:pt idx="116">
                  <c:v>41361</c:v>
                </c:pt>
                <c:pt idx="117">
                  <c:v>41368</c:v>
                </c:pt>
                <c:pt idx="118">
                  <c:v>41375</c:v>
                </c:pt>
                <c:pt idx="119">
                  <c:v>41382</c:v>
                </c:pt>
                <c:pt idx="120">
                  <c:v>41389</c:v>
                </c:pt>
                <c:pt idx="121">
                  <c:v>41396</c:v>
                </c:pt>
                <c:pt idx="122">
                  <c:v>41403</c:v>
                </c:pt>
                <c:pt idx="123">
                  <c:v>41410</c:v>
                </c:pt>
                <c:pt idx="124">
                  <c:v>41417</c:v>
                </c:pt>
                <c:pt idx="125">
                  <c:v>41424</c:v>
                </c:pt>
                <c:pt idx="126">
                  <c:v>41431</c:v>
                </c:pt>
                <c:pt idx="127">
                  <c:v>41438</c:v>
                </c:pt>
                <c:pt idx="128">
                  <c:v>41445</c:v>
                </c:pt>
                <c:pt idx="129">
                  <c:v>41452</c:v>
                </c:pt>
                <c:pt idx="130">
                  <c:v>41458</c:v>
                </c:pt>
                <c:pt idx="131">
                  <c:v>41466</c:v>
                </c:pt>
                <c:pt idx="132">
                  <c:v>41473</c:v>
                </c:pt>
                <c:pt idx="133">
                  <c:v>41480</c:v>
                </c:pt>
                <c:pt idx="134">
                  <c:v>41487</c:v>
                </c:pt>
                <c:pt idx="135">
                  <c:v>41494</c:v>
                </c:pt>
                <c:pt idx="136">
                  <c:v>41501</c:v>
                </c:pt>
                <c:pt idx="137">
                  <c:v>41508</c:v>
                </c:pt>
                <c:pt idx="138">
                  <c:v>41515</c:v>
                </c:pt>
                <c:pt idx="139">
                  <c:v>41522</c:v>
                </c:pt>
                <c:pt idx="140">
                  <c:v>41529</c:v>
                </c:pt>
                <c:pt idx="141">
                  <c:v>41536</c:v>
                </c:pt>
                <c:pt idx="142">
                  <c:v>41543</c:v>
                </c:pt>
                <c:pt idx="143">
                  <c:v>41550</c:v>
                </c:pt>
                <c:pt idx="144">
                  <c:v>41557</c:v>
                </c:pt>
                <c:pt idx="145">
                  <c:v>41564</c:v>
                </c:pt>
                <c:pt idx="146">
                  <c:v>41571</c:v>
                </c:pt>
                <c:pt idx="147">
                  <c:v>41578</c:v>
                </c:pt>
                <c:pt idx="148">
                  <c:v>41585</c:v>
                </c:pt>
                <c:pt idx="149">
                  <c:v>41592</c:v>
                </c:pt>
                <c:pt idx="150">
                  <c:v>41599</c:v>
                </c:pt>
                <c:pt idx="151">
                  <c:v>41605</c:v>
                </c:pt>
                <c:pt idx="152">
                  <c:v>41613</c:v>
                </c:pt>
                <c:pt idx="153">
                  <c:v>41620</c:v>
                </c:pt>
                <c:pt idx="154">
                  <c:v>41627</c:v>
                </c:pt>
                <c:pt idx="155">
                  <c:v>41634</c:v>
                </c:pt>
                <c:pt idx="156">
                  <c:v>41641</c:v>
                </c:pt>
                <c:pt idx="157">
                  <c:v>41648</c:v>
                </c:pt>
                <c:pt idx="158">
                  <c:v>41655</c:v>
                </c:pt>
                <c:pt idx="159">
                  <c:v>41662</c:v>
                </c:pt>
                <c:pt idx="160">
                  <c:v>41669</c:v>
                </c:pt>
                <c:pt idx="161">
                  <c:v>41676</c:v>
                </c:pt>
                <c:pt idx="162">
                  <c:v>41683</c:v>
                </c:pt>
                <c:pt idx="163">
                  <c:v>41690</c:v>
                </c:pt>
                <c:pt idx="164">
                  <c:v>41697</c:v>
                </c:pt>
                <c:pt idx="165">
                  <c:v>41704</c:v>
                </c:pt>
                <c:pt idx="166">
                  <c:v>41711</c:v>
                </c:pt>
                <c:pt idx="167">
                  <c:v>41718</c:v>
                </c:pt>
                <c:pt idx="168">
                  <c:v>41725</c:v>
                </c:pt>
                <c:pt idx="169">
                  <c:v>41732</c:v>
                </c:pt>
                <c:pt idx="170">
                  <c:v>41739</c:v>
                </c:pt>
                <c:pt idx="171">
                  <c:v>41746</c:v>
                </c:pt>
                <c:pt idx="172">
                  <c:v>41753</c:v>
                </c:pt>
                <c:pt idx="173">
                  <c:v>41760</c:v>
                </c:pt>
                <c:pt idx="174">
                  <c:v>41767</c:v>
                </c:pt>
                <c:pt idx="175">
                  <c:v>41774</c:v>
                </c:pt>
                <c:pt idx="176">
                  <c:v>41781</c:v>
                </c:pt>
                <c:pt idx="177">
                  <c:v>41788</c:v>
                </c:pt>
                <c:pt idx="178">
                  <c:v>41795</c:v>
                </c:pt>
                <c:pt idx="179">
                  <c:v>41802</c:v>
                </c:pt>
                <c:pt idx="180">
                  <c:v>41809</c:v>
                </c:pt>
                <c:pt idx="181">
                  <c:v>41816</c:v>
                </c:pt>
                <c:pt idx="182">
                  <c:v>41823</c:v>
                </c:pt>
                <c:pt idx="183">
                  <c:v>41830</c:v>
                </c:pt>
                <c:pt idx="184">
                  <c:v>41837</c:v>
                </c:pt>
                <c:pt idx="185">
                  <c:v>41844</c:v>
                </c:pt>
                <c:pt idx="186">
                  <c:v>41851</c:v>
                </c:pt>
                <c:pt idx="187">
                  <c:v>41858</c:v>
                </c:pt>
                <c:pt idx="188">
                  <c:v>41865</c:v>
                </c:pt>
                <c:pt idx="189">
                  <c:v>41872</c:v>
                </c:pt>
                <c:pt idx="190">
                  <c:v>41879</c:v>
                </c:pt>
                <c:pt idx="191">
                  <c:v>41886</c:v>
                </c:pt>
                <c:pt idx="192">
                  <c:v>41893</c:v>
                </c:pt>
                <c:pt idx="193">
                  <c:v>41900</c:v>
                </c:pt>
                <c:pt idx="194">
                  <c:v>41907</c:v>
                </c:pt>
                <c:pt idx="195">
                  <c:v>41914</c:v>
                </c:pt>
                <c:pt idx="196">
                  <c:v>41921</c:v>
                </c:pt>
                <c:pt idx="197">
                  <c:v>41928</c:v>
                </c:pt>
                <c:pt idx="198">
                  <c:v>41935</c:v>
                </c:pt>
                <c:pt idx="199">
                  <c:v>41942</c:v>
                </c:pt>
                <c:pt idx="200">
                  <c:v>41949</c:v>
                </c:pt>
                <c:pt idx="201">
                  <c:v>41956</c:v>
                </c:pt>
                <c:pt idx="202">
                  <c:v>41963</c:v>
                </c:pt>
                <c:pt idx="203">
                  <c:v>41969</c:v>
                </c:pt>
                <c:pt idx="204">
                  <c:v>41977</c:v>
                </c:pt>
                <c:pt idx="205">
                  <c:v>41984</c:v>
                </c:pt>
                <c:pt idx="206">
                  <c:v>41991</c:v>
                </c:pt>
                <c:pt idx="207">
                  <c:v>41997</c:v>
                </c:pt>
                <c:pt idx="208">
                  <c:v>42004</c:v>
                </c:pt>
                <c:pt idx="209">
                  <c:v>42012</c:v>
                </c:pt>
                <c:pt idx="210">
                  <c:v>42019</c:v>
                </c:pt>
                <c:pt idx="211">
                  <c:v>42026</c:v>
                </c:pt>
                <c:pt idx="212">
                  <c:v>42033</c:v>
                </c:pt>
                <c:pt idx="213">
                  <c:v>42040</c:v>
                </c:pt>
                <c:pt idx="214">
                  <c:v>42047</c:v>
                </c:pt>
                <c:pt idx="215">
                  <c:v>42054</c:v>
                </c:pt>
                <c:pt idx="216">
                  <c:v>42061</c:v>
                </c:pt>
                <c:pt idx="217">
                  <c:v>42068</c:v>
                </c:pt>
                <c:pt idx="218">
                  <c:v>42075</c:v>
                </c:pt>
                <c:pt idx="219">
                  <c:v>42082</c:v>
                </c:pt>
                <c:pt idx="220">
                  <c:v>42089</c:v>
                </c:pt>
                <c:pt idx="221">
                  <c:v>42096</c:v>
                </c:pt>
                <c:pt idx="222">
                  <c:v>42103</c:v>
                </c:pt>
                <c:pt idx="223">
                  <c:v>42110</c:v>
                </c:pt>
                <c:pt idx="224">
                  <c:v>42117</c:v>
                </c:pt>
              </c:numCache>
            </c:numRef>
          </c:cat>
          <c:val>
            <c:numRef>
              <c:f>'Current Paying PMI'!$D$3:$D$227</c:f>
              <c:numCache>
                <c:formatCode>0%</c:formatCode>
                <c:ptCount val="225"/>
                <c:pt idx="0">
                  <c:v>0.41917445646047702</c:v>
                </c:pt>
                <c:pt idx="1">
                  <c:v>0.43621985629656101</c:v>
                </c:pt>
                <c:pt idx="2">
                  <c:v>0.41944708561696598</c:v>
                </c:pt>
                <c:pt idx="3">
                  <c:v>0.418710148423519</c:v>
                </c:pt>
                <c:pt idx="4">
                  <c:v>0.38887560757790002</c:v>
                </c:pt>
                <c:pt idx="5">
                  <c:v>0.35101070043975402</c:v>
                </c:pt>
                <c:pt idx="6">
                  <c:v>0.36422873018148</c:v>
                </c:pt>
                <c:pt idx="7">
                  <c:v>0.37426156705539698</c:v>
                </c:pt>
                <c:pt idx="8">
                  <c:v>0.378077073966118</c:v>
                </c:pt>
                <c:pt idx="9">
                  <c:v>0.37803494484535199</c:v>
                </c:pt>
                <c:pt idx="10">
                  <c:v>0.407679162563724</c:v>
                </c:pt>
                <c:pt idx="11">
                  <c:v>0.39154691259907098</c:v>
                </c:pt>
                <c:pt idx="12">
                  <c:v>0.37809391960358502</c:v>
                </c:pt>
                <c:pt idx="13">
                  <c:v>0.36996472497765398</c:v>
                </c:pt>
                <c:pt idx="14">
                  <c:v>0.36984016473175102</c:v>
                </c:pt>
                <c:pt idx="15">
                  <c:v>0.38384871096807699</c:v>
                </c:pt>
                <c:pt idx="16">
                  <c:v>0.38433074982262799</c:v>
                </c:pt>
                <c:pt idx="17">
                  <c:v>0.394871405610702</c:v>
                </c:pt>
                <c:pt idx="18">
                  <c:v>0.43079303669576202</c:v>
                </c:pt>
                <c:pt idx="19">
                  <c:v>0.43090192835496699</c:v>
                </c:pt>
                <c:pt idx="20">
                  <c:v>0.431110671725766</c:v>
                </c:pt>
                <c:pt idx="21">
                  <c:v>0.45342303565958197</c:v>
                </c:pt>
                <c:pt idx="22">
                  <c:v>0.47629557608974499</c:v>
                </c:pt>
                <c:pt idx="23">
                  <c:v>0.47626301055025799</c:v>
                </c:pt>
                <c:pt idx="24">
                  <c:v>0.45342303565958197</c:v>
                </c:pt>
                <c:pt idx="25">
                  <c:v>0.47533111966863201</c:v>
                </c:pt>
                <c:pt idx="26">
                  <c:v>0.42115773967800002</c:v>
                </c:pt>
                <c:pt idx="27">
                  <c:v>0.47005900282082203</c:v>
                </c:pt>
                <c:pt idx="28">
                  <c:v>0.44797749734765901</c:v>
                </c:pt>
                <c:pt idx="29">
                  <c:v>0.44409861209358098</c:v>
                </c:pt>
                <c:pt idx="30">
                  <c:v>0.515379400381896</c:v>
                </c:pt>
                <c:pt idx="31">
                  <c:v>0.61745026323361196</c:v>
                </c:pt>
                <c:pt idx="32">
                  <c:v>0.71103111098302996</c:v>
                </c:pt>
                <c:pt idx="33">
                  <c:v>0.66735967344709601</c:v>
                </c:pt>
                <c:pt idx="34">
                  <c:v>0.66070318293374397</c:v>
                </c:pt>
                <c:pt idx="35">
                  <c:v>0.72862294428542695</c:v>
                </c:pt>
                <c:pt idx="36">
                  <c:v>0.73180955418473204</c:v>
                </c:pt>
                <c:pt idx="37">
                  <c:v>0.73180955418473204</c:v>
                </c:pt>
                <c:pt idx="38">
                  <c:v>0.78537510001402</c:v>
                </c:pt>
                <c:pt idx="39">
                  <c:v>0.77200889405912698</c:v>
                </c:pt>
                <c:pt idx="40">
                  <c:v>0.68762581065136796</c:v>
                </c:pt>
                <c:pt idx="41">
                  <c:v>0.70907311332117495</c:v>
                </c:pt>
                <c:pt idx="42">
                  <c:v>0.71096371307505601</c:v>
                </c:pt>
                <c:pt idx="43">
                  <c:v>0.75213064967891696</c:v>
                </c:pt>
                <c:pt idx="44">
                  <c:v>0.75215343752934904</c:v>
                </c:pt>
                <c:pt idx="45">
                  <c:v>0.75213064967891696</c:v>
                </c:pt>
                <c:pt idx="46">
                  <c:v>0.75451882195048703</c:v>
                </c:pt>
                <c:pt idx="47">
                  <c:v>0.73701250506221705</c:v>
                </c:pt>
                <c:pt idx="48">
                  <c:v>0.737034618623016</c:v>
                </c:pt>
                <c:pt idx="49">
                  <c:v>0.74005848510739902</c:v>
                </c:pt>
                <c:pt idx="50">
                  <c:v>0.77262482249298603</c:v>
                </c:pt>
                <c:pt idx="51">
                  <c:v>0.76353022654842795</c:v>
                </c:pt>
                <c:pt idx="52">
                  <c:v>0.75017446397926801</c:v>
                </c:pt>
                <c:pt idx="53">
                  <c:v>0.76194885743932395</c:v>
                </c:pt>
                <c:pt idx="54">
                  <c:v>0.76015152542719999</c:v>
                </c:pt>
                <c:pt idx="55">
                  <c:v>0.72538795894175401</c:v>
                </c:pt>
                <c:pt idx="56">
                  <c:v>0.73976850442679698</c:v>
                </c:pt>
                <c:pt idx="57">
                  <c:v>0.73976850442679698</c:v>
                </c:pt>
                <c:pt idx="58">
                  <c:v>0.73976850442679698</c:v>
                </c:pt>
                <c:pt idx="59">
                  <c:v>0.70482380254349597</c:v>
                </c:pt>
                <c:pt idx="60">
                  <c:v>0.71197045097818001</c:v>
                </c:pt>
                <c:pt idx="61">
                  <c:v>0.72185562668080905</c:v>
                </c:pt>
                <c:pt idx="62">
                  <c:v>0.71184965643423004</c:v>
                </c:pt>
                <c:pt idx="63">
                  <c:v>0.63003810447880604</c:v>
                </c:pt>
                <c:pt idx="64">
                  <c:v>0.68476549375243201</c:v>
                </c:pt>
                <c:pt idx="65">
                  <c:v>0.68702063249841105</c:v>
                </c:pt>
                <c:pt idx="66">
                  <c:v>0.74360097428026795</c:v>
                </c:pt>
                <c:pt idx="67">
                  <c:v>0.71319163212853798</c:v>
                </c:pt>
                <c:pt idx="68">
                  <c:v>0.74360097428026795</c:v>
                </c:pt>
                <c:pt idx="69">
                  <c:v>0.74458940201611601</c:v>
                </c:pt>
                <c:pt idx="70">
                  <c:v>0.74880992852224404</c:v>
                </c:pt>
                <c:pt idx="71">
                  <c:v>0.77533293010841997</c:v>
                </c:pt>
                <c:pt idx="72">
                  <c:v>0.77252849495486897</c:v>
                </c:pt>
                <c:pt idx="73">
                  <c:v>0.77719223327132003</c:v>
                </c:pt>
                <c:pt idx="74">
                  <c:v>0.81161668458948799</c:v>
                </c:pt>
                <c:pt idx="75">
                  <c:v>0.79320998802631504</c:v>
                </c:pt>
                <c:pt idx="76">
                  <c:v>0.81309219550150202</c:v>
                </c:pt>
                <c:pt idx="77">
                  <c:v>0.81309219550150202</c:v>
                </c:pt>
                <c:pt idx="78">
                  <c:v>0.80304589352971401</c:v>
                </c:pt>
                <c:pt idx="79">
                  <c:v>0.83475833318603099</c:v>
                </c:pt>
                <c:pt idx="80">
                  <c:v>0.839279067165004</c:v>
                </c:pt>
                <c:pt idx="81">
                  <c:v>0.85583686182580798</c:v>
                </c:pt>
                <c:pt idx="82">
                  <c:v>0.81672598038940503</c:v>
                </c:pt>
                <c:pt idx="83">
                  <c:v>0.81660096914097402</c:v>
                </c:pt>
                <c:pt idx="84">
                  <c:v>0.80039531716996504</c:v>
                </c:pt>
                <c:pt idx="85">
                  <c:v>0.78286282867668</c:v>
                </c:pt>
                <c:pt idx="86">
                  <c:v>0.81660096914097402</c:v>
                </c:pt>
                <c:pt idx="87">
                  <c:v>0.80003630895948397</c:v>
                </c:pt>
                <c:pt idx="88">
                  <c:v>0.80517464210851997</c:v>
                </c:pt>
                <c:pt idx="89">
                  <c:v>0.82579336591607799</c:v>
                </c:pt>
                <c:pt idx="90">
                  <c:v>0.87352757054468799</c:v>
                </c:pt>
                <c:pt idx="91">
                  <c:v>0.85283995726602502</c:v>
                </c:pt>
                <c:pt idx="92">
                  <c:v>0.82980253162130702</c:v>
                </c:pt>
                <c:pt idx="93">
                  <c:v>0.84996407134381802</c:v>
                </c:pt>
                <c:pt idx="94">
                  <c:v>0.828248760892495</c:v>
                </c:pt>
                <c:pt idx="95">
                  <c:v>0.79915808926981402</c:v>
                </c:pt>
                <c:pt idx="96">
                  <c:v>0.79873425180913604</c:v>
                </c:pt>
                <c:pt idx="97">
                  <c:v>0.82276956639306598</c:v>
                </c:pt>
                <c:pt idx="98">
                  <c:v>0.84066676404946505</c:v>
                </c:pt>
                <c:pt idx="99">
                  <c:v>0.82275551487300902</c:v>
                </c:pt>
                <c:pt idx="100">
                  <c:v>0.80649977939682505</c:v>
                </c:pt>
                <c:pt idx="101">
                  <c:v>0.82418991295466604</c:v>
                </c:pt>
                <c:pt idx="102">
                  <c:v>0.80390223047279097</c:v>
                </c:pt>
                <c:pt idx="103">
                  <c:v>0.80591432289546205</c:v>
                </c:pt>
                <c:pt idx="104">
                  <c:v>0.78440164177592298</c:v>
                </c:pt>
                <c:pt idx="105">
                  <c:v>0.759606662501778</c:v>
                </c:pt>
                <c:pt idx="106">
                  <c:v>0.78142443901466097</c:v>
                </c:pt>
                <c:pt idx="107">
                  <c:v>0.75700205657756403</c:v>
                </c:pt>
                <c:pt idx="108">
                  <c:v>0.70776343414969201</c:v>
                </c:pt>
                <c:pt idx="109">
                  <c:v>0.68149824697650396</c:v>
                </c:pt>
                <c:pt idx="110">
                  <c:v>0.68149824697650396</c:v>
                </c:pt>
                <c:pt idx="111">
                  <c:v>0.66443156184372798</c:v>
                </c:pt>
                <c:pt idx="112">
                  <c:v>0.68474077330080096</c:v>
                </c:pt>
                <c:pt idx="113">
                  <c:v>0.65965341103045605</c:v>
                </c:pt>
                <c:pt idx="114">
                  <c:v>0.622542311024053</c:v>
                </c:pt>
                <c:pt idx="115">
                  <c:v>0.65490269555006198</c:v>
                </c:pt>
                <c:pt idx="116">
                  <c:v>0.63814443106247998</c:v>
                </c:pt>
                <c:pt idx="117">
                  <c:v>0.63701726572087702</c:v>
                </c:pt>
                <c:pt idx="118">
                  <c:v>0.66472248963496305</c:v>
                </c:pt>
                <c:pt idx="119">
                  <c:v>0.691617287637183</c:v>
                </c:pt>
                <c:pt idx="120">
                  <c:v>0.68894417616710202</c:v>
                </c:pt>
                <c:pt idx="121">
                  <c:v>0.70646423511043499</c:v>
                </c:pt>
                <c:pt idx="122">
                  <c:v>0.67710126151444505</c:v>
                </c:pt>
                <c:pt idx="123">
                  <c:v>0.64608424059300296</c:v>
                </c:pt>
                <c:pt idx="124">
                  <c:v>0.60492342195832605</c:v>
                </c:pt>
                <c:pt idx="125">
                  <c:v>0.52986130193183101</c:v>
                </c:pt>
                <c:pt idx="126">
                  <c:v>0.48936320762315699</c:v>
                </c:pt>
                <c:pt idx="127">
                  <c:v>0.46803712037587902</c:v>
                </c:pt>
                <c:pt idx="128">
                  <c:v>0.46841833416873302</c:v>
                </c:pt>
                <c:pt idx="129">
                  <c:v>0.25930726321944902</c:v>
                </c:pt>
                <c:pt idx="130">
                  <c:v>0.34399747197441399</c:v>
                </c:pt>
                <c:pt idx="131">
                  <c:v>0.23052122039717299</c:v>
                </c:pt>
                <c:pt idx="132">
                  <c:v>0.313528938106932</c:v>
                </c:pt>
                <c:pt idx="133">
                  <c:v>0.31410556361706699</c:v>
                </c:pt>
                <c:pt idx="134">
                  <c:v>0.26871710621385497</c:v>
                </c:pt>
                <c:pt idx="135">
                  <c:v>0.26842687745364402</c:v>
                </c:pt>
                <c:pt idx="136">
                  <c:v>0.26842687745364402</c:v>
                </c:pt>
                <c:pt idx="137">
                  <c:v>0.20545197668606799</c:v>
                </c:pt>
                <c:pt idx="138">
                  <c:v>0.23763744646630799</c:v>
                </c:pt>
                <c:pt idx="139">
                  <c:v>0.21149349910069001</c:v>
                </c:pt>
                <c:pt idx="140">
                  <c:v>0.19827486089892299</c:v>
                </c:pt>
                <c:pt idx="141">
                  <c:v>0.230982049953562</c:v>
                </c:pt>
                <c:pt idx="142">
                  <c:v>0.32130927271021897</c:v>
                </c:pt>
                <c:pt idx="143">
                  <c:v>0.34374501426377402</c:v>
                </c:pt>
                <c:pt idx="144">
                  <c:v>0.343362461707855</c:v>
                </c:pt>
                <c:pt idx="145">
                  <c:v>0.31435548538393299</c:v>
                </c:pt>
                <c:pt idx="146">
                  <c:v>0.36279732883580901</c:v>
                </c:pt>
                <c:pt idx="147">
                  <c:v>0.38076704542262901</c:v>
                </c:pt>
                <c:pt idx="148">
                  <c:v>0.35403891055164699</c:v>
                </c:pt>
                <c:pt idx="149">
                  <c:v>0.27765033429796598</c:v>
                </c:pt>
                <c:pt idx="150">
                  <c:v>0.33620447417750299</c:v>
                </c:pt>
                <c:pt idx="151">
                  <c:v>0.30662338263190497</c:v>
                </c:pt>
                <c:pt idx="152">
                  <c:v>0.238872261686181</c:v>
                </c:pt>
                <c:pt idx="153">
                  <c:v>0.23869230352122101</c:v>
                </c:pt>
                <c:pt idx="154">
                  <c:v>0.20595646030872</c:v>
                </c:pt>
                <c:pt idx="155">
                  <c:v>0.20588522084022601</c:v>
                </c:pt>
                <c:pt idx="156">
                  <c:v>0.18270041372936699</c:v>
                </c:pt>
                <c:pt idx="157">
                  <c:v>0.20349751001168101</c:v>
                </c:pt>
                <c:pt idx="158">
                  <c:v>0.23285648019755101</c:v>
                </c:pt>
                <c:pt idx="159">
                  <c:v>0.23330797794566899</c:v>
                </c:pt>
                <c:pt idx="160">
                  <c:v>0.29089795893761</c:v>
                </c:pt>
                <c:pt idx="161">
                  <c:v>0.31424671770039497</c:v>
                </c:pt>
                <c:pt idx="162">
                  <c:v>0.28654188629747801</c:v>
                </c:pt>
                <c:pt idx="163">
                  <c:v>0.25823477101989301</c:v>
                </c:pt>
                <c:pt idx="164">
                  <c:v>0.25744034883327499</c:v>
                </c:pt>
                <c:pt idx="165">
                  <c:v>0.28216102843400898</c:v>
                </c:pt>
                <c:pt idx="166">
                  <c:v>0.25339035668079501</c:v>
                </c:pt>
                <c:pt idx="167">
                  <c:v>0.28102818996708701</c:v>
                </c:pt>
                <c:pt idx="168">
                  <c:v>0.25299751732949799</c:v>
                </c:pt>
                <c:pt idx="169">
                  <c:v>0.222143720081627</c:v>
                </c:pt>
                <c:pt idx="170">
                  <c:v>0.25169457423695202</c:v>
                </c:pt>
                <c:pt idx="171">
                  <c:v>0.28058021231610197</c:v>
                </c:pt>
                <c:pt idx="172">
                  <c:v>0.279448840397376</c:v>
                </c:pt>
                <c:pt idx="173">
                  <c:v>0.27758425345188897</c:v>
                </c:pt>
                <c:pt idx="174">
                  <c:v>0.32550344763156402</c:v>
                </c:pt>
                <c:pt idx="175">
                  <c:v>0.32552411046597202</c:v>
                </c:pt>
                <c:pt idx="176">
                  <c:v>0.347488455871724</c:v>
                </c:pt>
                <c:pt idx="177">
                  <c:v>0.34818390220270101</c:v>
                </c:pt>
                <c:pt idx="178">
                  <c:v>0.346238128399389</c:v>
                </c:pt>
                <c:pt idx="179">
                  <c:v>0.32274759646781798</c:v>
                </c:pt>
                <c:pt idx="180">
                  <c:v>0.324184407069465</c:v>
                </c:pt>
                <c:pt idx="181">
                  <c:v>0.346238128399389</c:v>
                </c:pt>
                <c:pt idx="182">
                  <c:v>0.36578907876503403</c:v>
                </c:pt>
                <c:pt idx="183">
                  <c:v>0.31805600486192798</c:v>
                </c:pt>
                <c:pt idx="184">
                  <c:v>0.34009498441958502</c:v>
                </c:pt>
                <c:pt idx="185">
                  <c:v>0.34009498441958502</c:v>
                </c:pt>
                <c:pt idx="186">
                  <c:v>0.34042369497045799</c:v>
                </c:pt>
                <c:pt idx="187">
                  <c:v>0.31036061365073903</c:v>
                </c:pt>
                <c:pt idx="188">
                  <c:v>0.33263554438079002</c:v>
                </c:pt>
                <c:pt idx="189">
                  <c:v>0.35838762838330102</c:v>
                </c:pt>
                <c:pt idx="190">
                  <c:v>0.35838762838330102</c:v>
                </c:pt>
                <c:pt idx="191">
                  <c:v>0.35124395630609401</c:v>
                </c:pt>
                <c:pt idx="192">
                  <c:v>0.350821387629207</c:v>
                </c:pt>
                <c:pt idx="193">
                  <c:v>0.30185821114737799</c:v>
                </c:pt>
                <c:pt idx="194">
                  <c:v>0.303134887573904</c:v>
                </c:pt>
                <c:pt idx="195">
                  <c:v>0.31668157332951902</c:v>
                </c:pt>
                <c:pt idx="196">
                  <c:v>0.34232551793557098</c:v>
                </c:pt>
                <c:pt idx="197">
                  <c:v>0.40285473187500098</c:v>
                </c:pt>
                <c:pt idx="198">
                  <c:v>0.43224640519919799</c:v>
                </c:pt>
                <c:pt idx="199">
                  <c:v>0.40279530551033699</c:v>
                </c:pt>
                <c:pt idx="200">
                  <c:v>0.363805283856794</c:v>
                </c:pt>
                <c:pt idx="201">
                  <c:v>0.36393083176118401</c:v>
                </c:pt>
                <c:pt idx="202">
                  <c:v>0.39464243161649398</c:v>
                </c:pt>
                <c:pt idx="203">
                  <c:v>0.39478657813594797</c:v>
                </c:pt>
                <c:pt idx="204">
                  <c:v>0.41779394948311799</c:v>
                </c:pt>
                <c:pt idx="205">
                  <c:v>0.41674162737276199</c:v>
                </c:pt>
                <c:pt idx="206">
                  <c:v>0.45273770907866101</c:v>
                </c:pt>
                <c:pt idx="207">
                  <c:v>0.44996183796017403</c:v>
                </c:pt>
                <c:pt idx="208">
                  <c:v>0.41775040408126601</c:v>
                </c:pt>
                <c:pt idx="209">
                  <c:v>0.47713334056444601</c:v>
                </c:pt>
                <c:pt idx="210">
                  <c:v>0.53296054461027997</c:v>
                </c:pt>
                <c:pt idx="211">
                  <c:v>0.53525908703488601</c:v>
                </c:pt>
                <c:pt idx="212">
                  <c:v>0.53296054461027997</c:v>
                </c:pt>
                <c:pt idx="213">
                  <c:v>0.531964205535849</c:v>
                </c:pt>
                <c:pt idx="214">
                  <c:v>0.50112937152177495</c:v>
                </c:pt>
                <c:pt idx="215">
                  <c:v>0.46787253141998503</c:v>
                </c:pt>
                <c:pt idx="216">
                  <c:v>0.43720530063230401</c:v>
                </c:pt>
                <c:pt idx="217">
                  <c:v>0.45959407492170601</c:v>
                </c:pt>
                <c:pt idx="218">
                  <c:v>0.394169404360453</c:v>
                </c:pt>
                <c:pt idx="219">
                  <c:v>0.45850870301610303</c:v>
                </c:pt>
                <c:pt idx="220">
                  <c:v>0.49264013227543102</c:v>
                </c:pt>
                <c:pt idx="221">
                  <c:v>0.47700652645494301</c:v>
                </c:pt>
                <c:pt idx="222">
                  <c:v>0.505305541519944</c:v>
                </c:pt>
                <c:pt idx="223">
                  <c:v>0.47885281621922599</c:v>
                </c:pt>
                <c:pt idx="224">
                  <c:v>0.50775672845638498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'Current Paying PMI'!$E$2</c:f>
              <c:strCache>
                <c:ptCount val="1"/>
                <c:pt idx="0">
                  <c:v>Currnet PMI</c:v>
                </c:pt>
              </c:strCache>
            </c:strRef>
          </c:tx>
          <c:marker>
            <c:symbol val="none"/>
          </c:marker>
          <c:cat>
            <c:numRef>
              <c:f>'Current Paying PMI'!$B$3:$B$227</c:f>
              <c:numCache>
                <c:formatCode>m/d/yyyy</c:formatCode>
                <c:ptCount val="225"/>
                <c:pt idx="0">
                  <c:v>40549</c:v>
                </c:pt>
                <c:pt idx="1">
                  <c:v>40556</c:v>
                </c:pt>
                <c:pt idx="2">
                  <c:v>40563</c:v>
                </c:pt>
                <c:pt idx="3">
                  <c:v>40570</c:v>
                </c:pt>
                <c:pt idx="4">
                  <c:v>40577</c:v>
                </c:pt>
                <c:pt idx="5">
                  <c:v>40584</c:v>
                </c:pt>
                <c:pt idx="6">
                  <c:v>40591</c:v>
                </c:pt>
                <c:pt idx="7">
                  <c:v>40598</c:v>
                </c:pt>
                <c:pt idx="8">
                  <c:v>40605</c:v>
                </c:pt>
                <c:pt idx="9">
                  <c:v>40612</c:v>
                </c:pt>
                <c:pt idx="10">
                  <c:v>40619</c:v>
                </c:pt>
                <c:pt idx="11">
                  <c:v>40626</c:v>
                </c:pt>
                <c:pt idx="12">
                  <c:v>40633</c:v>
                </c:pt>
                <c:pt idx="13">
                  <c:v>40640</c:v>
                </c:pt>
                <c:pt idx="14">
                  <c:v>40647</c:v>
                </c:pt>
                <c:pt idx="15">
                  <c:v>40654</c:v>
                </c:pt>
                <c:pt idx="16">
                  <c:v>40661</c:v>
                </c:pt>
                <c:pt idx="17">
                  <c:v>40668</c:v>
                </c:pt>
                <c:pt idx="18">
                  <c:v>40675</c:v>
                </c:pt>
                <c:pt idx="19">
                  <c:v>40682</c:v>
                </c:pt>
                <c:pt idx="20">
                  <c:v>40689</c:v>
                </c:pt>
                <c:pt idx="21">
                  <c:v>40696</c:v>
                </c:pt>
                <c:pt idx="22">
                  <c:v>40703</c:v>
                </c:pt>
                <c:pt idx="23">
                  <c:v>40710</c:v>
                </c:pt>
                <c:pt idx="24">
                  <c:v>40717</c:v>
                </c:pt>
                <c:pt idx="25">
                  <c:v>40724</c:v>
                </c:pt>
                <c:pt idx="26">
                  <c:v>40731</c:v>
                </c:pt>
                <c:pt idx="27">
                  <c:v>40738</c:v>
                </c:pt>
                <c:pt idx="28">
                  <c:v>40745</c:v>
                </c:pt>
                <c:pt idx="29">
                  <c:v>40752</c:v>
                </c:pt>
                <c:pt idx="30">
                  <c:v>40759</c:v>
                </c:pt>
                <c:pt idx="31">
                  <c:v>40766</c:v>
                </c:pt>
                <c:pt idx="32">
                  <c:v>40773</c:v>
                </c:pt>
                <c:pt idx="33">
                  <c:v>40780</c:v>
                </c:pt>
                <c:pt idx="34">
                  <c:v>40787</c:v>
                </c:pt>
                <c:pt idx="35">
                  <c:v>40794</c:v>
                </c:pt>
                <c:pt idx="36">
                  <c:v>40801</c:v>
                </c:pt>
                <c:pt idx="37">
                  <c:v>40808</c:v>
                </c:pt>
                <c:pt idx="38">
                  <c:v>40815</c:v>
                </c:pt>
                <c:pt idx="39">
                  <c:v>40822</c:v>
                </c:pt>
                <c:pt idx="40">
                  <c:v>40829</c:v>
                </c:pt>
                <c:pt idx="41">
                  <c:v>40836</c:v>
                </c:pt>
                <c:pt idx="42">
                  <c:v>40843</c:v>
                </c:pt>
                <c:pt idx="43">
                  <c:v>40850</c:v>
                </c:pt>
                <c:pt idx="44">
                  <c:v>40857</c:v>
                </c:pt>
                <c:pt idx="45">
                  <c:v>40864</c:v>
                </c:pt>
                <c:pt idx="46">
                  <c:v>40870</c:v>
                </c:pt>
                <c:pt idx="47">
                  <c:v>40878</c:v>
                </c:pt>
                <c:pt idx="48">
                  <c:v>40885</c:v>
                </c:pt>
                <c:pt idx="49">
                  <c:v>40892</c:v>
                </c:pt>
                <c:pt idx="50">
                  <c:v>40899</c:v>
                </c:pt>
                <c:pt idx="51">
                  <c:v>40906</c:v>
                </c:pt>
                <c:pt idx="52">
                  <c:v>40913</c:v>
                </c:pt>
                <c:pt idx="53">
                  <c:v>40920</c:v>
                </c:pt>
                <c:pt idx="54">
                  <c:v>40927</c:v>
                </c:pt>
                <c:pt idx="55">
                  <c:v>40934</c:v>
                </c:pt>
                <c:pt idx="56">
                  <c:v>40941</c:v>
                </c:pt>
                <c:pt idx="57">
                  <c:v>40948</c:v>
                </c:pt>
                <c:pt idx="58">
                  <c:v>40955</c:v>
                </c:pt>
                <c:pt idx="59">
                  <c:v>40962</c:v>
                </c:pt>
                <c:pt idx="60">
                  <c:v>40969</c:v>
                </c:pt>
                <c:pt idx="61">
                  <c:v>40976</c:v>
                </c:pt>
                <c:pt idx="62">
                  <c:v>40983</c:v>
                </c:pt>
                <c:pt idx="63">
                  <c:v>40990</c:v>
                </c:pt>
                <c:pt idx="64">
                  <c:v>40997</c:v>
                </c:pt>
                <c:pt idx="65">
                  <c:v>41004</c:v>
                </c:pt>
                <c:pt idx="66">
                  <c:v>41011</c:v>
                </c:pt>
                <c:pt idx="67">
                  <c:v>41018</c:v>
                </c:pt>
                <c:pt idx="68">
                  <c:v>41025</c:v>
                </c:pt>
                <c:pt idx="69">
                  <c:v>41032</c:v>
                </c:pt>
                <c:pt idx="70">
                  <c:v>41039</c:v>
                </c:pt>
                <c:pt idx="71">
                  <c:v>41046</c:v>
                </c:pt>
                <c:pt idx="72">
                  <c:v>41053</c:v>
                </c:pt>
                <c:pt idx="73">
                  <c:v>41060</c:v>
                </c:pt>
                <c:pt idx="74">
                  <c:v>41067</c:v>
                </c:pt>
                <c:pt idx="75">
                  <c:v>41074</c:v>
                </c:pt>
                <c:pt idx="76">
                  <c:v>41081</c:v>
                </c:pt>
                <c:pt idx="77">
                  <c:v>41088</c:v>
                </c:pt>
                <c:pt idx="78">
                  <c:v>41095</c:v>
                </c:pt>
                <c:pt idx="79">
                  <c:v>41102</c:v>
                </c:pt>
                <c:pt idx="80">
                  <c:v>41109</c:v>
                </c:pt>
                <c:pt idx="81">
                  <c:v>41116</c:v>
                </c:pt>
                <c:pt idx="82">
                  <c:v>41123</c:v>
                </c:pt>
                <c:pt idx="83">
                  <c:v>41130</c:v>
                </c:pt>
                <c:pt idx="84">
                  <c:v>41137</c:v>
                </c:pt>
                <c:pt idx="85">
                  <c:v>41144</c:v>
                </c:pt>
                <c:pt idx="86">
                  <c:v>41151</c:v>
                </c:pt>
                <c:pt idx="87">
                  <c:v>41158</c:v>
                </c:pt>
                <c:pt idx="88">
                  <c:v>41165</c:v>
                </c:pt>
                <c:pt idx="89">
                  <c:v>41172</c:v>
                </c:pt>
                <c:pt idx="90">
                  <c:v>41179</c:v>
                </c:pt>
                <c:pt idx="91">
                  <c:v>41186</c:v>
                </c:pt>
                <c:pt idx="92">
                  <c:v>41193</c:v>
                </c:pt>
                <c:pt idx="93">
                  <c:v>41200</c:v>
                </c:pt>
                <c:pt idx="94">
                  <c:v>41207</c:v>
                </c:pt>
                <c:pt idx="95">
                  <c:v>41214</c:v>
                </c:pt>
                <c:pt idx="96">
                  <c:v>41221</c:v>
                </c:pt>
                <c:pt idx="97">
                  <c:v>41228</c:v>
                </c:pt>
                <c:pt idx="98">
                  <c:v>41234</c:v>
                </c:pt>
                <c:pt idx="99">
                  <c:v>41242</c:v>
                </c:pt>
                <c:pt idx="100">
                  <c:v>41249</c:v>
                </c:pt>
                <c:pt idx="101">
                  <c:v>41256</c:v>
                </c:pt>
                <c:pt idx="102">
                  <c:v>41263</c:v>
                </c:pt>
                <c:pt idx="103">
                  <c:v>41270</c:v>
                </c:pt>
                <c:pt idx="104">
                  <c:v>41277</c:v>
                </c:pt>
                <c:pt idx="105">
                  <c:v>41284</c:v>
                </c:pt>
                <c:pt idx="106">
                  <c:v>41291</c:v>
                </c:pt>
                <c:pt idx="107">
                  <c:v>41298</c:v>
                </c:pt>
                <c:pt idx="108">
                  <c:v>41305</c:v>
                </c:pt>
                <c:pt idx="109">
                  <c:v>41312</c:v>
                </c:pt>
                <c:pt idx="110">
                  <c:v>41319</c:v>
                </c:pt>
                <c:pt idx="111">
                  <c:v>41326</c:v>
                </c:pt>
                <c:pt idx="112">
                  <c:v>41333</c:v>
                </c:pt>
                <c:pt idx="113">
                  <c:v>41340</c:v>
                </c:pt>
                <c:pt idx="114">
                  <c:v>41347</c:v>
                </c:pt>
                <c:pt idx="115">
                  <c:v>41354</c:v>
                </c:pt>
                <c:pt idx="116">
                  <c:v>41361</c:v>
                </c:pt>
                <c:pt idx="117">
                  <c:v>41368</c:v>
                </c:pt>
                <c:pt idx="118">
                  <c:v>41375</c:v>
                </c:pt>
                <c:pt idx="119">
                  <c:v>41382</c:v>
                </c:pt>
                <c:pt idx="120">
                  <c:v>41389</c:v>
                </c:pt>
                <c:pt idx="121">
                  <c:v>41396</c:v>
                </c:pt>
                <c:pt idx="122">
                  <c:v>41403</c:v>
                </c:pt>
                <c:pt idx="123">
                  <c:v>41410</c:v>
                </c:pt>
                <c:pt idx="124">
                  <c:v>41417</c:v>
                </c:pt>
                <c:pt idx="125">
                  <c:v>41424</c:v>
                </c:pt>
                <c:pt idx="126">
                  <c:v>41431</c:v>
                </c:pt>
                <c:pt idx="127">
                  <c:v>41438</c:v>
                </c:pt>
                <c:pt idx="128">
                  <c:v>41445</c:v>
                </c:pt>
                <c:pt idx="129">
                  <c:v>41452</c:v>
                </c:pt>
                <c:pt idx="130">
                  <c:v>41458</c:v>
                </c:pt>
                <c:pt idx="131">
                  <c:v>41466</c:v>
                </c:pt>
                <c:pt idx="132">
                  <c:v>41473</c:v>
                </c:pt>
                <c:pt idx="133">
                  <c:v>41480</c:v>
                </c:pt>
                <c:pt idx="134">
                  <c:v>41487</c:v>
                </c:pt>
                <c:pt idx="135">
                  <c:v>41494</c:v>
                </c:pt>
                <c:pt idx="136">
                  <c:v>41501</c:v>
                </c:pt>
                <c:pt idx="137">
                  <c:v>41508</c:v>
                </c:pt>
                <c:pt idx="138">
                  <c:v>41515</c:v>
                </c:pt>
                <c:pt idx="139">
                  <c:v>41522</c:v>
                </c:pt>
                <c:pt idx="140">
                  <c:v>41529</c:v>
                </c:pt>
                <c:pt idx="141">
                  <c:v>41536</c:v>
                </c:pt>
                <c:pt idx="142">
                  <c:v>41543</c:v>
                </c:pt>
                <c:pt idx="143">
                  <c:v>41550</c:v>
                </c:pt>
                <c:pt idx="144">
                  <c:v>41557</c:v>
                </c:pt>
                <c:pt idx="145">
                  <c:v>41564</c:v>
                </c:pt>
                <c:pt idx="146">
                  <c:v>41571</c:v>
                </c:pt>
                <c:pt idx="147">
                  <c:v>41578</c:v>
                </c:pt>
                <c:pt idx="148">
                  <c:v>41585</c:v>
                </c:pt>
                <c:pt idx="149">
                  <c:v>41592</c:v>
                </c:pt>
                <c:pt idx="150">
                  <c:v>41599</c:v>
                </c:pt>
                <c:pt idx="151">
                  <c:v>41605</c:v>
                </c:pt>
                <c:pt idx="152">
                  <c:v>41613</c:v>
                </c:pt>
                <c:pt idx="153">
                  <c:v>41620</c:v>
                </c:pt>
                <c:pt idx="154">
                  <c:v>41627</c:v>
                </c:pt>
                <c:pt idx="155">
                  <c:v>41634</c:v>
                </c:pt>
                <c:pt idx="156">
                  <c:v>41641</c:v>
                </c:pt>
                <c:pt idx="157">
                  <c:v>41648</c:v>
                </c:pt>
                <c:pt idx="158">
                  <c:v>41655</c:v>
                </c:pt>
                <c:pt idx="159">
                  <c:v>41662</c:v>
                </c:pt>
                <c:pt idx="160">
                  <c:v>41669</c:v>
                </c:pt>
                <c:pt idx="161">
                  <c:v>41676</c:v>
                </c:pt>
                <c:pt idx="162">
                  <c:v>41683</c:v>
                </c:pt>
                <c:pt idx="163">
                  <c:v>41690</c:v>
                </c:pt>
                <c:pt idx="164">
                  <c:v>41697</c:v>
                </c:pt>
                <c:pt idx="165">
                  <c:v>41704</c:v>
                </c:pt>
                <c:pt idx="166">
                  <c:v>41711</c:v>
                </c:pt>
                <c:pt idx="167">
                  <c:v>41718</c:v>
                </c:pt>
                <c:pt idx="168">
                  <c:v>41725</c:v>
                </c:pt>
                <c:pt idx="169">
                  <c:v>41732</c:v>
                </c:pt>
                <c:pt idx="170">
                  <c:v>41739</c:v>
                </c:pt>
                <c:pt idx="171">
                  <c:v>41746</c:v>
                </c:pt>
                <c:pt idx="172">
                  <c:v>41753</c:v>
                </c:pt>
                <c:pt idx="173">
                  <c:v>41760</c:v>
                </c:pt>
                <c:pt idx="174">
                  <c:v>41767</c:v>
                </c:pt>
                <c:pt idx="175">
                  <c:v>41774</c:v>
                </c:pt>
                <c:pt idx="176">
                  <c:v>41781</c:v>
                </c:pt>
                <c:pt idx="177">
                  <c:v>41788</c:v>
                </c:pt>
                <c:pt idx="178">
                  <c:v>41795</c:v>
                </c:pt>
                <c:pt idx="179">
                  <c:v>41802</c:v>
                </c:pt>
                <c:pt idx="180">
                  <c:v>41809</c:v>
                </c:pt>
                <c:pt idx="181">
                  <c:v>41816</c:v>
                </c:pt>
                <c:pt idx="182">
                  <c:v>41823</c:v>
                </c:pt>
                <c:pt idx="183">
                  <c:v>41830</c:v>
                </c:pt>
                <c:pt idx="184">
                  <c:v>41837</c:v>
                </c:pt>
                <c:pt idx="185">
                  <c:v>41844</c:v>
                </c:pt>
                <c:pt idx="186">
                  <c:v>41851</c:v>
                </c:pt>
                <c:pt idx="187">
                  <c:v>41858</c:v>
                </c:pt>
                <c:pt idx="188">
                  <c:v>41865</c:v>
                </c:pt>
                <c:pt idx="189">
                  <c:v>41872</c:v>
                </c:pt>
                <c:pt idx="190">
                  <c:v>41879</c:v>
                </c:pt>
                <c:pt idx="191">
                  <c:v>41886</c:v>
                </c:pt>
                <c:pt idx="192">
                  <c:v>41893</c:v>
                </c:pt>
                <c:pt idx="193">
                  <c:v>41900</c:v>
                </c:pt>
                <c:pt idx="194">
                  <c:v>41907</c:v>
                </c:pt>
                <c:pt idx="195">
                  <c:v>41914</c:v>
                </c:pt>
                <c:pt idx="196">
                  <c:v>41921</c:v>
                </c:pt>
                <c:pt idx="197">
                  <c:v>41928</c:v>
                </c:pt>
                <c:pt idx="198">
                  <c:v>41935</c:v>
                </c:pt>
                <c:pt idx="199">
                  <c:v>41942</c:v>
                </c:pt>
                <c:pt idx="200">
                  <c:v>41949</c:v>
                </c:pt>
                <c:pt idx="201">
                  <c:v>41956</c:v>
                </c:pt>
                <c:pt idx="202">
                  <c:v>41963</c:v>
                </c:pt>
                <c:pt idx="203">
                  <c:v>41969</c:v>
                </c:pt>
                <c:pt idx="204">
                  <c:v>41977</c:v>
                </c:pt>
                <c:pt idx="205">
                  <c:v>41984</c:v>
                </c:pt>
                <c:pt idx="206">
                  <c:v>41991</c:v>
                </c:pt>
                <c:pt idx="207">
                  <c:v>41997</c:v>
                </c:pt>
                <c:pt idx="208">
                  <c:v>42004</c:v>
                </c:pt>
                <c:pt idx="209">
                  <c:v>42012</c:v>
                </c:pt>
                <c:pt idx="210">
                  <c:v>42019</c:v>
                </c:pt>
                <c:pt idx="211">
                  <c:v>42026</c:v>
                </c:pt>
                <c:pt idx="212">
                  <c:v>42033</c:v>
                </c:pt>
                <c:pt idx="213">
                  <c:v>42040</c:v>
                </c:pt>
                <c:pt idx="214">
                  <c:v>42047</c:v>
                </c:pt>
                <c:pt idx="215">
                  <c:v>42054</c:v>
                </c:pt>
                <c:pt idx="216">
                  <c:v>42061</c:v>
                </c:pt>
                <c:pt idx="217">
                  <c:v>42068</c:v>
                </c:pt>
                <c:pt idx="218">
                  <c:v>42075</c:v>
                </c:pt>
                <c:pt idx="219">
                  <c:v>42082</c:v>
                </c:pt>
                <c:pt idx="220">
                  <c:v>42089</c:v>
                </c:pt>
                <c:pt idx="221">
                  <c:v>42096</c:v>
                </c:pt>
                <c:pt idx="222">
                  <c:v>42103</c:v>
                </c:pt>
                <c:pt idx="223">
                  <c:v>42110</c:v>
                </c:pt>
                <c:pt idx="224">
                  <c:v>42117</c:v>
                </c:pt>
              </c:numCache>
            </c:numRef>
          </c:cat>
          <c:val>
            <c:numRef>
              <c:f>'Current Paying PMI'!$E$3:$E$227</c:f>
              <c:numCache>
                <c:formatCode>0%</c:formatCode>
                <c:ptCount val="225"/>
                <c:pt idx="0">
                  <c:v>0.46885641253034299</c:v>
                </c:pt>
                <c:pt idx="1">
                  <c:v>0.484880705000166</c:v>
                </c:pt>
                <c:pt idx="2">
                  <c:v>0.46911247375695397</c:v>
                </c:pt>
                <c:pt idx="3">
                  <c:v>0.46839804028281901</c:v>
                </c:pt>
                <c:pt idx="4">
                  <c:v>0.440398387253014</c:v>
                </c:pt>
                <c:pt idx="5">
                  <c:v>0.40695271820136403</c:v>
                </c:pt>
                <c:pt idx="6">
                  <c:v>0.41797156185356299</c:v>
                </c:pt>
                <c:pt idx="7">
                  <c:v>0.42749088486683401</c:v>
                </c:pt>
                <c:pt idx="8">
                  <c:v>0.43033160357153799</c:v>
                </c:pt>
                <c:pt idx="9">
                  <c:v>0.43030110657149201</c:v>
                </c:pt>
                <c:pt idx="10">
                  <c:v>0.45843967337938502</c:v>
                </c:pt>
                <c:pt idx="11">
                  <c:v>0.44338718423978701</c:v>
                </c:pt>
                <c:pt idx="12">
                  <c:v>0.43034776102532601</c:v>
                </c:pt>
                <c:pt idx="13">
                  <c:v>0.42302014893146</c:v>
                </c:pt>
                <c:pt idx="14">
                  <c:v>0.422913696043141</c:v>
                </c:pt>
                <c:pt idx="15">
                  <c:v>0.43647525585997698</c:v>
                </c:pt>
                <c:pt idx="16">
                  <c:v>0.43694753509709</c:v>
                </c:pt>
                <c:pt idx="17">
                  <c:v>0.447281712887248</c:v>
                </c:pt>
                <c:pt idx="18">
                  <c:v>0.48169103338999603</c:v>
                </c:pt>
                <c:pt idx="19">
                  <c:v>0.48179766411393099</c:v>
                </c:pt>
                <c:pt idx="20">
                  <c:v>0.48194723053828598</c:v>
                </c:pt>
                <c:pt idx="21">
                  <c:v>0.50487266986540702</c:v>
                </c:pt>
                <c:pt idx="22">
                  <c:v>0.52689216322250598</c:v>
                </c:pt>
                <c:pt idx="23">
                  <c:v>0.52686022379811903</c:v>
                </c:pt>
                <c:pt idx="24">
                  <c:v>0.50487266986540702</c:v>
                </c:pt>
                <c:pt idx="25">
                  <c:v>0.52593041582120903</c:v>
                </c:pt>
                <c:pt idx="26">
                  <c:v>0.47454621524908303</c:v>
                </c:pt>
                <c:pt idx="27">
                  <c:v>0.52190457919731803</c:v>
                </c:pt>
                <c:pt idx="28">
                  <c:v>0.50065707260663195</c:v>
                </c:pt>
                <c:pt idx="29">
                  <c:v>0.49688453784682102</c:v>
                </c:pt>
                <c:pt idx="30">
                  <c:v>0.56742832753757799</c:v>
                </c:pt>
                <c:pt idx="31">
                  <c:v>0.66600802275198501</c:v>
                </c:pt>
                <c:pt idx="32">
                  <c:v>0.75450188553023501</c:v>
                </c:pt>
                <c:pt idx="33">
                  <c:v>0.71265891972781104</c:v>
                </c:pt>
                <c:pt idx="34">
                  <c:v>0.70758341766817601</c:v>
                </c:pt>
                <c:pt idx="35">
                  <c:v>0.77195870739625605</c:v>
                </c:pt>
                <c:pt idx="36">
                  <c:v>0.77393677940889705</c:v>
                </c:pt>
                <c:pt idx="37">
                  <c:v>0.77393677940889705</c:v>
                </c:pt>
                <c:pt idx="38">
                  <c:v>0.82508471199231004</c:v>
                </c:pt>
                <c:pt idx="39">
                  <c:v>0.81259352846128097</c:v>
                </c:pt>
                <c:pt idx="40">
                  <c:v>0.73459198246487301</c:v>
                </c:pt>
                <c:pt idx="41">
                  <c:v>0.75489065999645399</c:v>
                </c:pt>
                <c:pt idx="42">
                  <c:v>0.75632978245354299</c:v>
                </c:pt>
                <c:pt idx="43">
                  <c:v>0.79566700230121001</c:v>
                </c:pt>
                <c:pt idx="44">
                  <c:v>0.79568702054103702</c:v>
                </c:pt>
                <c:pt idx="45">
                  <c:v>0.79566700230121001</c:v>
                </c:pt>
                <c:pt idx="46">
                  <c:v>0.79700998806971202</c:v>
                </c:pt>
                <c:pt idx="47">
                  <c:v>0.78198517813851298</c:v>
                </c:pt>
                <c:pt idx="48">
                  <c:v>0.78200436831299003</c:v>
                </c:pt>
                <c:pt idx="49">
                  <c:v>0.78386700001619203</c:v>
                </c:pt>
                <c:pt idx="50">
                  <c:v>0.81520432036593904</c:v>
                </c:pt>
                <c:pt idx="51">
                  <c:v>0.80688676728488795</c:v>
                </c:pt>
                <c:pt idx="52">
                  <c:v>0.79520781124912299</c:v>
                </c:pt>
                <c:pt idx="53">
                  <c:v>0.80606898228656498</c:v>
                </c:pt>
                <c:pt idx="54">
                  <c:v>0.80437633407850995</c:v>
                </c:pt>
                <c:pt idx="55">
                  <c:v>0.77101655382029799</c:v>
                </c:pt>
                <c:pt idx="56">
                  <c:v>0.78569858522023195</c:v>
                </c:pt>
                <c:pt idx="57">
                  <c:v>0.78569858522023195</c:v>
                </c:pt>
                <c:pt idx="58">
                  <c:v>0.78569858522023195</c:v>
                </c:pt>
                <c:pt idx="59">
                  <c:v>0.75212890691069101</c:v>
                </c:pt>
                <c:pt idx="60">
                  <c:v>0.76046432171719602</c:v>
                </c:pt>
                <c:pt idx="61">
                  <c:v>0.769583122656471</c:v>
                </c:pt>
                <c:pt idx="62">
                  <c:v>0.760354139396616</c:v>
                </c:pt>
                <c:pt idx="63">
                  <c:v>0.68235415299983104</c:v>
                </c:pt>
                <c:pt idx="64">
                  <c:v>0.73476761977876004</c:v>
                </c:pt>
                <c:pt idx="65">
                  <c:v>0.73755756512459603</c:v>
                </c:pt>
                <c:pt idx="66">
                  <c:v>0.79074299766476497</c:v>
                </c:pt>
                <c:pt idx="67">
                  <c:v>0.76301875675410702</c:v>
                </c:pt>
                <c:pt idx="68">
                  <c:v>0.79074299766476497</c:v>
                </c:pt>
                <c:pt idx="69">
                  <c:v>0.79110304591011105</c:v>
                </c:pt>
                <c:pt idx="70">
                  <c:v>0.79377197751957995</c:v>
                </c:pt>
                <c:pt idx="71">
                  <c:v>0.819382348373077</c:v>
                </c:pt>
                <c:pt idx="72">
                  <c:v>0.81716837750375204</c:v>
                </c:pt>
                <c:pt idx="73">
                  <c:v>0.82067742647539199</c:v>
                </c:pt>
                <c:pt idx="74">
                  <c:v>0.851826871264451</c:v>
                </c:pt>
                <c:pt idx="75">
                  <c:v>0.83440082254211201</c:v>
                </c:pt>
                <c:pt idx="76">
                  <c:v>0.852507202125939</c:v>
                </c:pt>
                <c:pt idx="77">
                  <c:v>0.852507202125939</c:v>
                </c:pt>
                <c:pt idx="78">
                  <c:v>0.84443285130548495</c:v>
                </c:pt>
                <c:pt idx="79">
                  <c:v>0.87307230305311201</c:v>
                </c:pt>
                <c:pt idx="80">
                  <c:v>0.87588131701956295</c:v>
                </c:pt>
                <c:pt idx="81">
                  <c:v>0.89130274249393204</c:v>
                </c:pt>
                <c:pt idx="82">
                  <c:v>0.85861085726029096</c:v>
                </c:pt>
                <c:pt idx="83">
                  <c:v>0.85851356171529003</c:v>
                </c:pt>
                <c:pt idx="84">
                  <c:v>0.84263939707257096</c:v>
                </c:pt>
                <c:pt idx="85">
                  <c:v>0.82803482113362603</c:v>
                </c:pt>
                <c:pt idx="86">
                  <c:v>0.85851356171529003</c:v>
                </c:pt>
                <c:pt idx="87">
                  <c:v>0.84451763496073995</c:v>
                </c:pt>
                <c:pt idx="88">
                  <c:v>0.84790364930397299</c:v>
                </c:pt>
                <c:pt idx="89">
                  <c:v>0.86619119046951298</c:v>
                </c:pt>
                <c:pt idx="90">
                  <c:v>0.910245503690152</c:v>
                </c:pt>
                <c:pt idx="91">
                  <c:v>0.89290914695732604</c:v>
                </c:pt>
                <c:pt idx="92">
                  <c:v>0.87226850902259401</c:v>
                </c:pt>
                <c:pt idx="93">
                  <c:v>0.89128952685596297</c:v>
                </c:pt>
                <c:pt idx="94">
                  <c:v>0.87104733311356397</c:v>
                </c:pt>
                <c:pt idx="95">
                  <c:v>0.84701078060636004</c:v>
                </c:pt>
                <c:pt idx="96">
                  <c:v>0.84675644186934695</c:v>
                </c:pt>
                <c:pt idx="97">
                  <c:v>0.86832868961091403</c:v>
                </c:pt>
                <c:pt idx="98">
                  <c:v>0.885671898426593</c:v>
                </c:pt>
                <c:pt idx="99">
                  <c:v>0.86831848418102098</c:v>
                </c:pt>
                <c:pt idx="100">
                  <c:v>0.85498076945371704</c:v>
                </c:pt>
                <c:pt idx="101">
                  <c:v>0.87213995657492904</c:v>
                </c:pt>
                <c:pt idx="102">
                  <c:v>0.85356056091635002</c:v>
                </c:pt>
                <c:pt idx="103">
                  <c:v>0.85467378378497705</c:v>
                </c:pt>
                <c:pt idx="104">
                  <c:v>0.836074004884102</c:v>
                </c:pt>
                <c:pt idx="105">
                  <c:v>0.81363065108031496</c:v>
                </c:pt>
                <c:pt idx="106">
                  <c:v>0.83425064960633499</c:v>
                </c:pt>
                <c:pt idx="107">
                  <c:v>0.81192425274368896</c:v>
                </c:pt>
                <c:pt idx="108">
                  <c:v>0.76624395820115998</c:v>
                </c:pt>
                <c:pt idx="109">
                  <c:v>0.74556803951524098</c:v>
                </c:pt>
                <c:pt idx="110">
                  <c:v>0.74556803951524098</c:v>
                </c:pt>
                <c:pt idx="111">
                  <c:v>0.72902118949627903</c:v>
                </c:pt>
                <c:pt idx="112">
                  <c:v>0.74754949703860096</c:v>
                </c:pt>
                <c:pt idx="113">
                  <c:v>0.72577244794763196</c:v>
                </c:pt>
                <c:pt idx="114">
                  <c:v>0.69274472587634806</c:v>
                </c:pt>
                <c:pt idx="115">
                  <c:v>0.72250975757212299</c:v>
                </c:pt>
                <c:pt idx="116">
                  <c:v>0.70629186250718001</c:v>
                </c:pt>
                <c:pt idx="117">
                  <c:v>0.70738390160501996</c:v>
                </c:pt>
                <c:pt idx="118">
                  <c:v>0.73166189405675097</c:v>
                </c:pt>
                <c:pt idx="119">
                  <c:v>0.75618746001711701</c:v>
                </c:pt>
                <c:pt idx="120">
                  <c:v>0.75486678604069102</c:v>
                </c:pt>
                <c:pt idx="121">
                  <c:v>0.771484788579061</c:v>
                </c:pt>
                <c:pt idx="122">
                  <c:v>0.74464419012176697</c:v>
                </c:pt>
                <c:pt idx="123">
                  <c:v>0.71633590828579896</c:v>
                </c:pt>
                <c:pt idx="124">
                  <c:v>0.67870748269177705</c:v>
                </c:pt>
                <c:pt idx="125">
                  <c:v>0.61251731306242996</c:v>
                </c:pt>
                <c:pt idx="126">
                  <c:v>0.57822132602668297</c:v>
                </c:pt>
                <c:pt idx="127">
                  <c:v>0.559460433785407</c:v>
                </c:pt>
                <c:pt idx="128">
                  <c:v>0.55969090716589698</c:v>
                </c:pt>
                <c:pt idx="129">
                  <c:v>0.367888732312324</c:v>
                </c:pt>
                <c:pt idx="130">
                  <c:v>0.44991679314134703</c:v>
                </c:pt>
                <c:pt idx="131">
                  <c:v>0.343565932630295</c:v>
                </c:pt>
                <c:pt idx="132">
                  <c:v>0.42213456893363699</c:v>
                </c:pt>
                <c:pt idx="133">
                  <c:v>0.42257495599278999</c:v>
                </c:pt>
                <c:pt idx="134">
                  <c:v>0.383004460274534</c:v>
                </c:pt>
                <c:pt idx="135">
                  <c:v>0.38279147275356301</c:v>
                </c:pt>
                <c:pt idx="136">
                  <c:v>0.38279147275356301</c:v>
                </c:pt>
                <c:pt idx="137">
                  <c:v>0.32338711550858601</c:v>
                </c:pt>
                <c:pt idx="138">
                  <c:v>0.35369890645833102</c:v>
                </c:pt>
                <c:pt idx="139">
                  <c:v>0.33186163023723098</c:v>
                </c:pt>
                <c:pt idx="140">
                  <c:v>0.31934207014088301</c:v>
                </c:pt>
                <c:pt idx="141">
                  <c:v>0.35010450976329799</c:v>
                </c:pt>
                <c:pt idx="142">
                  <c:v>0.43462730705216701</c:v>
                </c:pt>
                <c:pt idx="143">
                  <c:v>0.45701419816167999</c:v>
                </c:pt>
                <c:pt idx="144">
                  <c:v>0.45674725476883798</c:v>
                </c:pt>
                <c:pt idx="145">
                  <c:v>0.43002867204072798</c:v>
                </c:pt>
                <c:pt idx="146">
                  <c:v>0.473627443383146</c:v>
                </c:pt>
                <c:pt idx="147">
                  <c:v>0.48999705577596903</c:v>
                </c:pt>
                <c:pt idx="148">
                  <c:v>0.46893100954315098</c:v>
                </c:pt>
                <c:pt idx="149">
                  <c:v>0.39912661021989099</c:v>
                </c:pt>
                <c:pt idx="150">
                  <c:v>0.45277671098188799</c:v>
                </c:pt>
                <c:pt idx="151">
                  <c:v>0.42570300756113</c:v>
                </c:pt>
                <c:pt idx="152">
                  <c:v>0.36552450667219999</c:v>
                </c:pt>
                <c:pt idx="153">
                  <c:v>0.36539692843229499</c:v>
                </c:pt>
                <c:pt idx="154">
                  <c:v>0.33464433537542498</c:v>
                </c:pt>
                <c:pt idx="155">
                  <c:v>0.33458344922379002</c:v>
                </c:pt>
                <c:pt idx="156">
                  <c:v>0.31505205634612699</c:v>
                </c:pt>
                <c:pt idx="157">
                  <c:v>0.334027493112526</c:v>
                </c:pt>
                <c:pt idx="158">
                  <c:v>0.36192371081112201</c:v>
                </c:pt>
                <c:pt idx="159">
                  <c:v>0.36226743615738599</c:v>
                </c:pt>
                <c:pt idx="160">
                  <c:v>0.41605972221627302</c:v>
                </c:pt>
                <c:pt idx="161">
                  <c:v>0.439234845957858</c:v>
                </c:pt>
                <c:pt idx="162">
                  <c:v>0.41377930466343998</c:v>
                </c:pt>
                <c:pt idx="163">
                  <c:v>0.38763738178583501</c:v>
                </c:pt>
                <c:pt idx="164">
                  <c:v>0.38707778665425802</c:v>
                </c:pt>
                <c:pt idx="165">
                  <c:v>0.41131556149818799</c:v>
                </c:pt>
                <c:pt idx="166">
                  <c:v>0.38478710266298899</c:v>
                </c:pt>
                <c:pt idx="167">
                  <c:v>0.410587950533847</c:v>
                </c:pt>
                <c:pt idx="168">
                  <c:v>0.38449666572835101</c:v>
                </c:pt>
                <c:pt idx="169">
                  <c:v>0.35767470629269998</c:v>
                </c:pt>
                <c:pt idx="170">
                  <c:v>0.38504831317119298</c:v>
                </c:pt>
                <c:pt idx="171">
                  <c:v>0.41164243172086001</c:v>
                </c:pt>
                <c:pt idx="172">
                  <c:v>0.41092385739423598</c:v>
                </c:pt>
                <c:pt idx="173">
                  <c:v>0.41100158272746001</c:v>
                </c:pt>
                <c:pt idx="174">
                  <c:v>0.45457812646171702</c:v>
                </c:pt>
                <c:pt idx="175">
                  <c:v>0.45459535037724502</c:v>
                </c:pt>
                <c:pt idx="176">
                  <c:v>0.47441483161345099</c:v>
                </c:pt>
                <c:pt idx="177">
                  <c:v>0.47487286011146401</c:v>
                </c:pt>
                <c:pt idx="178">
                  <c:v>0.475595859590284</c:v>
                </c:pt>
                <c:pt idx="179">
                  <c:v>0.45449098513744102</c:v>
                </c:pt>
                <c:pt idx="180">
                  <c:v>0.45535981677361198</c:v>
                </c:pt>
                <c:pt idx="181">
                  <c:v>0.475595859590284</c:v>
                </c:pt>
                <c:pt idx="182">
                  <c:v>0.49785164828491202</c:v>
                </c:pt>
                <c:pt idx="183">
                  <c:v>0.45313476995693502</c:v>
                </c:pt>
                <c:pt idx="184">
                  <c:v>0.47345524330482502</c:v>
                </c:pt>
                <c:pt idx="185">
                  <c:v>0.47345524330482502</c:v>
                </c:pt>
                <c:pt idx="186">
                  <c:v>0.47367267081046699</c:v>
                </c:pt>
                <c:pt idx="187">
                  <c:v>0.44905662805025698</c:v>
                </c:pt>
                <c:pt idx="188">
                  <c:v>0.46961383574146598</c:v>
                </c:pt>
                <c:pt idx="189">
                  <c:v>0.49412020813719998</c:v>
                </c:pt>
                <c:pt idx="190">
                  <c:v>0.49412020813719998</c:v>
                </c:pt>
                <c:pt idx="191">
                  <c:v>0.490645181334884</c:v>
                </c:pt>
                <c:pt idx="192">
                  <c:v>0.490245807372506</c:v>
                </c:pt>
                <c:pt idx="193">
                  <c:v>0.44485844381328299</c:v>
                </c:pt>
                <c:pt idx="194">
                  <c:v>0.44562992385305</c:v>
                </c:pt>
                <c:pt idx="195">
                  <c:v>0.461630793166039</c:v>
                </c:pt>
                <c:pt idx="196">
                  <c:v>0.48583856044097401</c:v>
                </c:pt>
                <c:pt idx="197">
                  <c:v>0.54189899626716298</c:v>
                </c:pt>
                <c:pt idx="198">
                  <c:v>0.56780927639171197</c:v>
                </c:pt>
                <c:pt idx="199">
                  <c:v>0.541842357237176</c:v>
                </c:pt>
                <c:pt idx="200">
                  <c:v>0.508409072340408</c:v>
                </c:pt>
                <c:pt idx="201">
                  <c:v>0.50851555140808302</c:v>
                </c:pt>
                <c:pt idx="202">
                  <c:v>0.53761514525020104</c:v>
                </c:pt>
                <c:pt idx="203">
                  <c:v>0.53775096220647101</c:v>
                </c:pt>
                <c:pt idx="204">
                  <c:v>0.55994808522013495</c:v>
                </c:pt>
                <c:pt idx="205">
                  <c:v>0.55923798077262399</c:v>
                </c:pt>
                <c:pt idx="206">
                  <c:v>0.59158262628997005</c:v>
                </c:pt>
                <c:pt idx="207">
                  <c:v>0.59042721040695001</c:v>
                </c:pt>
                <c:pt idx="208">
                  <c:v>0.55990527677423996</c:v>
                </c:pt>
                <c:pt idx="209">
                  <c:v>0.614335309691869</c:v>
                </c:pt>
                <c:pt idx="210">
                  <c:v>0.66457945448095002</c:v>
                </c:pt>
                <c:pt idx="211">
                  <c:v>0.66484227327937295</c:v>
                </c:pt>
                <c:pt idx="212">
                  <c:v>0.66457945448095002</c:v>
                </c:pt>
                <c:pt idx="213">
                  <c:v>0.66194922130079104</c:v>
                </c:pt>
                <c:pt idx="214">
                  <c:v>0.63758870497027298</c:v>
                </c:pt>
                <c:pt idx="215">
                  <c:v>0.60813217145599097</c:v>
                </c:pt>
                <c:pt idx="216">
                  <c:v>0.58092112302735699</c:v>
                </c:pt>
                <c:pt idx="217">
                  <c:v>0.60172096268720499</c:v>
                </c:pt>
                <c:pt idx="218">
                  <c:v>0.54300415809967995</c:v>
                </c:pt>
                <c:pt idx="219">
                  <c:v>0.601158744048226</c:v>
                </c:pt>
                <c:pt idx="220">
                  <c:v>0.63113120835468395</c:v>
                </c:pt>
                <c:pt idx="221">
                  <c:v>0.62050008500155596</c:v>
                </c:pt>
                <c:pt idx="222">
                  <c:v>0.644780928204296</c:v>
                </c:pt>
                <c:pt idx="223">
                  <c:v>0.62101551120389098</c:v>
                </c:pt>
                <c:pt idx="224">
                  <c:v>0.64530537163066504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1776000"/>
        <c:axId val="291777536"/>
      </c:lineChart>
      <c:dateAx>
        <c:axId val="29177600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291777536"/>
        <c:crosses val="autoZero"/>
        <c:auto val="1"/>
        <c:lblOffset val="100"/>
        <c:baseTimeUnit val="days"/>
        <c:majorUnit val="6"/>
        <c:majorTimeUnit val="months"/>
      </c:dateAx>
      <c:valAx>
        <c:axId val="29177753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Refinancible Percentage</a:t>
                </a:r>
              </a:p>
            </c:rich>
          </c:tx>
          <c:layout/>
          <c:overlay val="0"/>
        </c:title>
        <c:numFmt formatCode="0%" sourceLinked="1"/>
        <c:majorTickMark val="out"/>
        <c:minorTickMark val="none"/>
        <c:tickLblPos val="nextTo"/>
        <c:crossAx val="291776000"/>
        <c:crosses val="autoZero"/>
        <c:crossBetween val="between"/>
      </c:valAx>
      <c:valAx>
        <c:axId val="291787904"/>
        <c:scaling>
          <c:orientation val="minMax"/>
        </c:scaling>
        <c:delete val="0"/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Difference</a:t>
                </a:r>
              </a:p>
            </c:rich>
          </c:tx>
          <c:layout/>
          <c:overlay val="0"/>
        </c:title>
        <c:numFmt formatCode="0%" sourceLinked="1"/>
        <c:majorTickMark val="out"/>
        <c:minorTickMark val="none"/>
        <c:tickLblPos val="nextTo"/>
        <c:crossAx val="291789824"/>
        <c:crosses val="max"/>
        <c:crossBetween val="between"/>
      </c:valAx>
      <c:dateAx>
        <c:axId val="291789824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91787904"/>
        <c:crosses val="autoZero"/>
        <c:auto val="1"/>
        <c:lblOffset val="100"/>
        <c:baseTimeUnit val="days"/>
      </c:date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3"/>
          <c:order val="3"/>
          <c:tx>
            <c:strRef>
              <c:f>'Current Paying PMI'!$O$2</c:f>
              <c:strCache>
                <c:ptCount val="1"/>
                <c:pt idx="0">
                  <c:v>Diff(New-HARP)</c:v>
                </c:pt>
              </c:strCache>
            </c:strRef>
          </c:tx>
          <c:invertIfNegative val="0"/>
          <c:cat>
            <c:numRef>
              <c:f>'Current Paying PMI'!$K$3:$K$227</c:f>
              <c:numCache>
                <c:formatCode>m/d/yyyy</c:formatCode>
                <c:ptCount val="225"/>
                <c:pt idx="0">
                  <c:v>40549</c:v>
                </c:pt>
                <c:pt idx="1">
                  <c:v>40556</c:v>
                </c:pt>
                <c:pt idx="2">
                  <c:v>40563</c:v>
                </c:pt>
                <c:pt idx="3">
                  <c:v>40570</c:v>
                </c:pt>
                <c:pt idx="4">
                  <c:v>40577</c:v>
                </c:pt>
                <c:pt idx="5">
                  <c:v>40584</c:v>
                </c:pt>
                <c:pt idx="6">
                  <c:v>40591</c:v>
                </c:pt>
                <c:pt idx="7">
                  <c:v>40598</c:v>
                </c:pt>
                <c:pt idx="8">
                  <c:v>40605</c:v>
                </c:pt>
                <c:pt idx="9">
                  <c:v>40612</c:v>
                </c:pt>
                <c:pt idx="10">
                  <c:v>40619</c:v>
                </c:pt>
                <c:pt idx="11">
                  <c:v>40626</c:v>
                </c:pt>
                <c:pt idx="12">
                  <c:v>40633</c:v>
                </c:pt>
                <c:pt idx="13">
                  <c:v>40640</c:v>
                </c:pt>
                <c:pt idx="14">
                  <c:v>40647</c:v>
                </c:pt>
                <c:pt idx="15">
                  <c:v>40654</c:v>
                </c:pt>
                <c:pt idx="16">
                  <c:v>40661</c:v>
                </c:pt>
                <c:pt idx="17">
                  <c:v>40668</c:v>
                </c:pt>
                <c:pt idx="18">
                  <c:v>40675</c:v>
                </c:pt>
                <c:pt idx="19">
                  <c:v>40682</c:v>
                </c:pt>
                <c:pt idx="20">
                  <c:v>40689</c:v>
                </c:pt>
                <c:pt idx="21">
                  <c:v>40696</c:v>
                </c:pt>
                <c:pt idx="22">
                  <c:v>40703</c:v>
                </c:pt>
                <c:pt idx="23">
                  <c:v>40710</c:v>
                </c:pt>
                <c:pt idx="24">
                  <c:v>40717</c:v>
                </c:pt>
                <c:pt idx="25">
                  <c:v>40724</c:v>
                </c:pt>
                <c:pt idx="26">
                  <c:v>40731</c:v>
                </c:pt>
                <c:pt idx="27">
                  <c:v>40738</c:v>
                </c:pt>
                <c:pt idx="28">
                  <c:v>40745</c:v>
                </c:pt>
                <c:pt idx="29">
                  <c:v>40752</c:v>
                </c:pt>
                <c:pt idx="30">
                  <c:v>40759</c:v>
                </c:pt>
                <c:pt idx="31">
                  <c:v>40766</c:v>
                </c:pt>
                <c:pt idx="32">
                  <c:v>40773</c:v>
                </c:pt>
                <c:pt idx="33">
                  <c:v>40780</c:v>
                </c:pt>
                <c:pt idx="34">
                  <c:v>40787</c:v>
                </c:pt>
                <c:pt idx="35">
                  <c:v>40794</c:v>
                </c:pt>
                <c:pt idx="36">
                  <c:v>40801</c:v>
                </c:pt>
                <c:pt idx="37">
                  <c:v>40808</c:v>
                </c:pt>
                <c:pt idx="38">
                  <c:v>40815</c:v>
                </c:pt>
                <c:pt idx="39">
                  <c:v>40822</c:v>
                </c:pt>
                <c:pt idx="40">
                  <c:v>40829</c:v>
                </c:pt>
                <c:pt idx="41">
                  <c:v>40836</c:v>
                </c:pt>
                <c:pt idx="42">
                  <c:v>40843</c:v>
                </c:pt>
                <c:pt idx="43">
                  <c:v>40850</c:v>
                </c:pt>
                <c:pt idx="44">
                  <c:v>40857</c:v>
                </c:pt>
                <c:pt idx="45">
                  <c:v>40864</c:v>
                </c:pt>
                <c:pt idx="46">
                  <c:v>40870</c:v>
                </c:pt>
                <c:pt idx="47">
                  <c:v>40878</c:v>
                </c:pt>
                <c:pt idx="48">
                  <c:v>40885</c:v>
                </c:pt>
                <c:pt idx="49">
                  <c:v>40892</c:v>
                </c:pt>
                <c:pt idx="50">
                  <c:v>40899</c:v>
                </c:pt>
                <c:pt idx="51">
                  <c:v>40906</c:v>
                </c:pt>
                <c:pt idx="52">
                  <c:v>40913</c:v>
                </c:pt>
                <c:pt idx="53">
                  <c:v>40920</c:v>
                </c:pt>
                <c:pt idx="54">
                  <c:v>40927</c:v>
                </c:pt>
                <c:pt idx="55">
                  <c:v>40934</c:v>
                </c:pt>
                <c:pt idx="56">
                  <c:v>40941</c:v>
                </c:pt>
                <c:pt idx="57">
                  <c:v>40948</c:v>
                </c:pt>
                <c:pt idx="58">
                  <c:v>40955</c:v>
                </c:pt>
                <c:pt idx="59">
                  <c:v>40962</c:v>
                </c:pt>
                <c:pt idx="60">
                  <c:v>40969</c:v>
                </c:pt>
                <c:pt idx="61">
                  <c:v>40976</c:v>
                </c:pt>
                <c:pt idx="62">
                  <c:v>40983</c:v>
                </c:pt>
                <c:pt idx="63">
                  <c:v>40990</c:v>
                </c:pt>
                <c:pt idx="64">
                  <c:v>40997</c:v>
                </c:pt>
                <c:pt idx="65">
                  <c:v>41004</c:v>
                </c:pt>
                <c:pt idx="66">
                  <c:v>41011</c:v>
                </c:pt>
                <c:pt idx="67">
                  <c:v>41018</c:v>
                </c:pt>
                <c:pt idx="68">
                  <c:v>41025</c:v>
                </c:pt>
                <c:pt idx="69">
                  <c:v>41032</c:v>
                </c:pt>
                <c:pt idx="70">
                  <c:v>41039</c:v>
                </c:pt>
                <c:pt idx="71">
                  <c:v>41046</c:v>
                </c:pt>
                <c:pt idx="72">
                  <c:v>41053</c:v>
                </c:pt>
                <c:pt idx="73">
                  <c:v>41060</c:v>
                </c:pt>
                <c:pt idx="74">
                  <c:v>41067</c:v>
                </c:pt>
                <c:pt idx="75">
                  <c:v>41074</c:v>
                </c:pt>
                <c:pt idx="76">
                  <c:v>41081</c:v>
                </c:pt>
                <c:pt idx="77">
                  <c:v>41088</c:v>
                </c:pt>
                <c:pt idx="78">
                  <c:v>41095</c:v>
                </c:pt>
                <c:pt idx="79">
                  <c:v>41102</c:v>
                </c:pt>
                <c:pt idx="80">
                  <c:v>41109</c:v>
                </c:pt>
                <c:pt idx="81">
                  <c:v>41116</c:v>
                </c:pt>
                <c:pt idx="82">
                  <c:v>41123</c:v>
                </c:pt>
                <c:pt idx="83">
                  <c:v>41130</c:v>
                </c:pt>
                <c:pt idx="84">
                  <c:v>41137</c:v>
                </c:pt>
                <c:pt idx="85">
                  <c:v>41144</c:v>
                </c:pt>
                <c:pt idx="86">
                  <c:v>41151</c:v>
                </c:pt>
                <c:pt idx="87">
                  <c:v>41158</c:v>
                </c:pt>
                <c:pt idx="88">
                  <c:v>41165</c:v>
                </c:pt>
                <c:pt idx="89">
                  <c:v>41172</c:v>
                </c:pt>
                <c:pt idx="90">
                  <c:v>41179</c:v>
                </c:pt>
                <c:pt idx="91">
                  <c:v>41186</c:v>
                </c:pt>
                <c:pt idx="92">
                  <c:v>41193</c:v>
                </c:pt>
                <c:pt idx="93">
                  <c:v>41200</c:v>
                </c:pt>
                <c:pt idx="94">
                  <c:v>41207</c:v>
                </c:pt>
                <c:pt idx="95">
                  <c:v>41214</c:v>
                </c:pt>
                <c:pt idx="96">
                  <c:v>41221</c:v>
                </c:pt>
                <c:pt idx="97">
                  <c:v>41228</c:v>
                </c:pt>
                <c:pt idx="98">
                  <c:v>41234</c:v>
                </c:pt>
                <c:pt idx="99">
                  <c:v>41242</c:v>
                </c:pt>
                <c:pt idx="100">
                  <c:v>41249</c:v>
                </c:pt>
                <c:pt idx="101">
                  <c:v>41256</c:v>
                </c:pt>
                <c:pt idx="102">
                  <c:v>41263</c:v>
                </c:pt>
                <c:pt idx="103">
                  <c:v>41270</c:v>
                </c:pt>
                <c:pt idx="104">
                  <c:v>41277</c:v>
                </c:pt>
                <c:pt idx="105">
                  <c:v>41284</c:v>
                </c:pt>
                <c:pt idx="106">
                  <c:v>41291</c:v>
                </c:pt>
                <c:pt idx="107">
                  <c:v>41298</c:v>
                </c:pt>
                <c:pt idx="108">
                  <c:v>41305</c:v>
                </c:pt>
                <c:pt idx="109">
                  <c:v>41312</c:v>
                </c:pt>
                <c:pt idx="110">
                  <c:v>41319</c:v>
                </c:pt>
                <c:pt idx="111">
                  <c:v>41326</c:v>
                </c:pt>
                <c:pt idx="112">
                  <c:v>41333</c:v>
                </c:pt>
                <c:pt idx="113">
                  <c:v>41340</c:v>
                </c:pt>
                <c:pt idx="114">
                  <c:v>41347</c:v>
                </c:pt>
                <c:pt idx="115">
                  <c:v>41354</c:v>
                </c:pt>
                <c:pt idx="116">
                  <c:v>41361</c:v>
                </c:pt>
                <c:pt idx="117">
                  <c:v>41368</c:v>
                </c:pt>
                <c:pt idx="118">
                  <c:v>41375</c:v>
                </c:pt>
                <c:pt idx="119">
                  <c:v>41382</c:v>
                </c:pt>
                <c:pt idx="120">
                  <c:v>41389</c:v>
                </c:pt>
                <c:pt idx="121">
                  <c:v>41396</c:v>
                </c:pt>
                <c:pt idx="122">
                  <c:v>41403</c:v>
                </c:pt>
                <c:pt idx="123">
                  <c:v>41410</c:v>
                </c:pt>
                <c:pt idx="124">
                  <c:v>41417</c:v>
                </c:pt>
                <c:pt idx="125">
                  <c:v>41424</c:v>
                </c:pt>
                <c:pt idx="126">
                  <c:v>41431</c:v>
                </c:pt>
                <c:pt idx="127">
                  <c:v>41438</c:v>
                </c:pt>
                <c:pt idx="128">
                  <c:v>41445</c:v>
                </c:pt>
                <c:pt idx="129">
                  <c:v>41452</c:v>
                </c:pt>
                <c:pt idx="130">
                  <c:v>41458</c:v>
                </c:pt>
                <c:pt idx="131">
                  <c:v>41466</c:v>
                </c:pt>
                <c:pt idx="132">
                  <c:v>41473</c:v>
                </c:pt>
                <c:pt idx="133">
                  <c:v>41480</c:v>
                </c:pt>
                <c:pt idx="134">
                  <c:v>41487</c:v>
                </c:pt>
                <c:pt idx="135">
                  <c:v>41494</c:v>
                </c:pt>
                <c:pt idx="136">
                  <c:v>41501</c:v>
                </c:pt>
                <c:pt idx="137">
                  <c:v>41508</c:v>
                </c:pt>
                <c:pt idx="138">
                  <c:v>41515</c:v>
                </c:pt>
                <c:pt idx="139">
                  <c:v>41522</c:v>
                </c:pt>
                <c:pt idx="140">
                  <c:v>41529</c:v>
                </c:pt>
                <c:pt idx="141">
                  <c:v>41536</c:v>
                </c:pt>
                <c:pt idx="142">
                  <c:v>41543</c:v>
                </c:pt>
                <c:pt idx="143">
                  <c:v>41550</c:v>
                </c:pt>
                <c:pt idx="144">
                  <c:v>41557</c:v>
                </c:pt>
                <c:pt idx="145">
                  <c:v>41564</c:v>
                </c:pt>
                <c:pt idx="146">
                  <c:v>41571</c:v>
                </c:pt>
                <c:pt idx="147">
                  <c:v>41578</c:v>
                </c:pt>
                <c:pt idx="148">
                  <c:v>41585</c:v>
                </c:pt>
                <c:pt idx="149">
                  <c:v>41592</c:v>
                </c:pt>
                <c:pt idx="150">
                  <c:v>41599</c:v>
                </c:pt>
                <c:pt idx="151">
                  <c:v>41605</c:v>
                </c:pt>
                <c:pt idx="152">
                  <c:v>41613</c:v>
                </c:pt>
                <c:pt idx="153">
                  <c:v>41620</c:v>
                </c:pt>
                <c:pt idx="154">
                  <c:v>41627</c:v>
                </c:pt>
                <c:pt idx="155">
                  <c:v>41634</c:v>
                </c:pt>
                <c:pt idx="156">
                  <c:v>41641</c:v>
                </c:pt>
                <c:pt idx="157">
                  <c:v>41648</c:v>
                </c:pt>
                <c:pt idx="158">
                  <c:v>41655</c:v>
                </c:pt>
                <c:pt idx="159">
                  <c:v>41662</c:v>
                </c:pt>
                <c:pt idx="160">
                  <c:v>41669</c:v>
                </c:pt>
                <c:pt idx="161">
                  <c:v>41676</c:v>
                </c:pt>
                <c:pt idx="162">
                  <c:v>41683</c:v>
                </c:pt>
                <c:pt idx="163">
                  <c:v>41690</c:v>
                </c:pt>
                <c:pt idx="164">
                  <c:v>41697</c:v>
                </c:pt>
                <c:pt idx="165">
                  <c:v>41704</c:v>
                </c:pt>
                <c:pt idx="166">
                  <c:v>41711</c:v>
                </c:pt>
                <c:pt idx="167">
                  <c:v>41718</c:v>
                </c:pt>
                <c:pt idx="168">
                  <c:v>41725</c:v>
                </c:pt>
                <c:pt idx="169">
                  <c:v>41732</c:v>
                </c:pt>
                <c:pt idx="170">
                  <c:v>41739</c:v>
                </c:pt>
                <c:pt idx="171">
                  <c:v>41746</c:v>
                </c:pt>
                <c:pt idx="172">
                  <c:v>41753</c:v>
                </c:pt>
                <c:pt idx="173">
                  <c:v>41760</c:v>
                </c:pt>
                <c:pt idx="174">
                  <c:v>41767</c:v>
                </c:pt>
                <c:pt idx="175">
                  <c:v>41774</c:v>
                </c:pt>
                <c:pt idx="176">
                  <c:v>41781</c:v>
                </c:pt>
                <c:pt idx="177">
                  <c:v>41788</c:v>
                </c:pt>
                <c:pt idx="178">
                  <c:v>41795</c:v>
                </c:pt>
                <c:pt idx="179">
                  <c:v>41802</c:v>
                </c:pt>
                <c:pt idx="180">
                  <c:v>41809</c:v>
                </c:pt>
                <c:pt idx="181">
                  <c:v>41816</c:v>
                </c:pt>
                <c:pt idx="182">
                  <c:v>41823</c:v>
                </c:pt>
                <c:pt idx="183">
                  <c:v>41830</c:v>
                </c:pt>
                <c:pt idx="184">
                  <c:v>41837</c:v>
                </c:pt>
                <c:pt idx="185">
                  <c:v>41844</c:v>
                </c:pt>
                <c:pt idx="186">
                  <c:v>41851</c:v>
                </c:pt>
                <c:pt idx="187">
                  <c:v>41858</c:v>
                </c:pt>
                <c:pt idx="188">
                  <c:v>41865</c:v>
                </c:pt>
                <c:pt idx="189">
                  <c:v>41872</c:v>
                </c:pt>
                <c:pt idx="190">
                  <c:v>41879</c:v>
                </c:pt>
                <c:pt idx="191">
                  <c:v>41886</c:v>
                </c:pt>
                <c:pt idx="192">
                  <c:v>41893</c:v>
                </c:pt>
                <c:pt idx="193">
                  <c:v>41900</c:v>
                </c:pt>
                <c:pt idx="194">
                  <c:v>41907</c:v>
                </c:pt>
                <c:pt idx="195">
                  <c:v>41914</c:v>
                </c:pt>
                <c:pt idx="196">
                  <c:v>41921</c:v>
                </c:pt>
                <c:pt idx="197">
                  <c:v>41928</c:v>
                </c:pt>
                <c:pt idx="198">
                  <c:v>41935</c:v>
                </c:pt>
                <c:pt idx="199">
                  <c:v>41942</c:v>
                </c:pt>
                <c:pt idx="200">
                  <c:v>41949</c:v>
                </c:pt>
                <c:pt idx="201">
                  <c:v>41956</c:v>
                </c:pt>
                <c:pt idx="202">
                  <c:v>41963</c:v>
                </c:pt>
                <c:pt idx="203">
                  <c:v>41969</c:v>
                </c:pt>
                <c:pt idx="204">
                  <c:v>41977</c:v>
                </c:pt>
                <c:pt idx="205">
                  <c:v>41984</c:v>
                </c:pt>
                <c:pt idx="206">
                  <c:v>41991</c:v>
                </c:pt>
                <c:pt idx="207">
                  <c:v>41997</c:v>
                </c:pt>
                <c:pt idx="208">
                  <c:v>42004</c:v>
                </c:pt>
                <c:pt idx="209">
                  <c:v>42012</c:v>
                </c:pt>
                <c:pt idx="210">
                  <c:v>42019</c:v>
                </c:pt>
                <c:pt idx="211">
                  <c:v>42026</c:v>
                </c:pt>
                <c:pt idx="212">
                  <c:v>42033</c:v>
                </c:pt>
                <c:pt idx="213">
                  <c:v>42040</c:v>
                </c:pt>
                <c:pt idx="214">
                  <c:v>42047</c:v>
                </c:pt>
                <c:pt idx="215">
                  <c:v>42054</c:v>
                </c:pt>
                <c:pt idx="216">
                  <c:v>42061</c:v>
                </c:pt>
                <c:pt idx="217">
                  <c:v>42068</c:v>
                </c:pt>
                <c:pt idx="218">
                  <c:v>42075</c:v>
                </c:pt>
                <c:pt idx="219">
                  <c:v>42082</c:v>
                </c:pt>
                <c:pt idx="220">
                  <c:v>42089</c:v>
                </c:pt>
                <c:pt idx="221">
                  <c:v>42096</c:v>
                </c:pt>
                <c:pt idx="222">
                  <c:v>42103</c:v>
                </c:pt>
                <c:pt idx="223">
                  <c:v>42110</c:v>
                </c:pt>
                <c:pt idx="224">
                  <c:v>42117</c:v>
                </c:pt>
              </c:numCache>
            </c:numRef>
          </c:cat>
          <c:val>
            <c:numRef>
              <c:f>'Current Paying PMI'!$O$3:$O$227</c:f>
              <c:numCache>
                <c:formatCode>0%</c:formatCode>
                <c:ptCount val="225"/>
                <c:pt idx="0">
                  <c:v>9.3495241385430083E-3</c:v>
                </c:pt>
                <c:pt idx="1">
                  <c:v>9.7764953835769997E-3</c:v>
                </c:pt>
                <c:pt idx="2">
                  <c:v>1.0318153007277009E-2</c:v>
                </c:pt>
                <c:pt idx="3">
                  <c:v>9.3339138419399892E-3</c:v>
                </c:pt>
                <c:pt idx="4">
                  <c:v>8.475346466158995E-3</c:v>
                </c:pt>
                <c:pt idx="5">
                  <c:v>9.2530243339870033E-3</c:v>
                </c:pt>
                <c:pt idx="6">
                  <c:v>7.5123916485980158E-3</c:v>
                </c:pt>
                <c:pt idx="7">
                  <c:v>8.4254797116330438E-3</c:v>
                </c:pt>
                <c:pt idx="8">
                  <c:v>7.2636580526129757E-3</c:v>
                </c:pt>
                <c:pt idx="9">
                  <c:v>7.2671544618709838E-3</c:v>
                </c:pt>
                <c:pt idx="10">
                  <c:v>8.5764331301529939E-3</c:v>
                </c:pt>
                <c:pt idx="11">
                  <c:v>8.3215869708520018E-3</c:v>
                </c:pt>
                <c:pt idx="12">
                  <c:v>7.5233280501109667E-3</c:v>
                </c:pt>
                <c:pt idx="13">
                  <c:v>7.3718362209940214E-3</c:v>
                </c:pt>
                <c:pt idx="14">
                  <c:v>7.3236168429789972E-3</c:v>
                </c:pt>
                <c:pt idx="15">
                  <c:v>8.9599073183029843E-3</c:v>
                </c:pt>
                <c:pt idx="16">
                  <c:v>9.1440288694429883E-3</c:v>
                </c:pt>
                <c:pt idx="17">
                  <c:v>1.0089053710369E-2</c:v>
                </c:pt>
                <c:pt idx="18">
                  <c:v>1.1604541103639954E-2</c:v>
                </c:pt>
                <c:pt idx="19">
                  <c:v>1.1736471472792998E-2</c:v>
                </c:pt>
                <c:pt idx="20">
                  <c:v>1.2194486948020999E-2</c:v>
                </c:pt>
                <c:pt idx="21">
                  <c:v>1.4666242077077007E-2</c:v>
                </c:pt>
                <c:pt idx="22">
                  <c:v>1.4801730708252026E-2</c:v>
                </c:pt>
                <c:pt idx="23">
                  <c:v>1.4719262800910016E-2</c:v>
                </c:pt>
                <c:pt idx="24">
                  <c:v>1.4666242077077007E-2</c:v>
                </c:pt>
                <c:pt idx="25">
                  <c:v>1.4604701783771989E-2</c:v>
                </c:pt>
                <c:pt idx="26">
                  <c:v>1.3429700826978974E-2</c:v>
                </c:pt>
                <c:pt idx="27">
                  <c:v>1.5049871557931971E-2</c:v>
                </c:pt>
                <c:pt idx="28">
                  <c:v>1.5205300219296003E-2</c:v>
                </c:pt>
                <c:pt idx="29">
                  <c:v>1.3799936595487006E-2</c:v>
                </c:pt>
                <c:pt idx="30">
                  <c:v>1.7408259272822968E-2</c:v>
                </c:pt>
                <c:pt idx="31">
                  <c:v>1.8418134978159029E-2</c:v>
                </c:pt>
                <c:pt idx="32">
                  <c:v>1.9647746254231047E-2</c:v>
                </c:pt>
                <c:pt idx="33">
                  <c:v>1.7430095710167959E-2</c:v>
                </c:pt>
                <c:pt idx="34">
                  <c:v>1.8215036501237014E-2</c:v>
                </c:pt>
                <c:pt idx="35">
                  <c:v>2.0206441572086065E-2</c:v>
                </c:pt>
                <c:pt idx="36">
                  <c:v>1.9247265884268949E-2</c:v>
                </c:pt>
                <c:pt idx="37">
                  <c:v>1.9247265884268949E-2</c:v>
                </c:pt>
                <c:pt idx="38">
                  <c:v>2.0028947162988975E-2</c:v>
                </c:pt>
                <c:pt idx="39">
                  <c:v>1.8573776239296014E-2</c:v>
                </c:pt>
                <c:pt idx="40">
                  <c:v>1.9709494658493032E-2</c:v>
                </c:pt>
                <c:pt idx="41">
                  <c:v>1.9647685019433037E-2</c:v>
                </c:pt>
                <c:pt idx="42">
                  <c:v>1.9293741162645039E-2</c:v>
                </c:pt>
                <c:pt idx="43">
                  <c:v>1.8904364698372089E-2</c:v>
                </c:pt>
                <c:pt idx="44">
                  <c:v>1.8929213469001005E-2</c:v>
                </c:pt>
                <c:pt idx="45">
                  <c:v>1.8904364698372089E-2</c:v>
                </c:pt>
                <c:pt idx="46">
                  <c:v>1.7936046178664955E-2</c:v>
                </c:pt>
                <c:pt idx="47">
                  <c:v>1.8382652160383928E-2</c:v>
                </c:pt>
                <c:pt idx="48">
                  <c:v>1.8408175809995986E-2</c:v>
                </c:pt>
                <c:pt idx="49">
                  <c:v>1.7583763647146977E-2</c:v>
                </c:pt>
                <c:pt idx="50">
                  <c:v>1.8559332718324995E-2</c:v>
                </c:pt>
                <c:pt idx="51">
                  <c:v>1.7981692797587101E-2</c:v>
                </c:pt>
                <c:pt idx="52">
                  <c:v>1.8600258976843032E-2</c:v>
                </c:pt>
                <c:pt idx="53">
                  <c:v>1.8665984509633082E-2</c:v>
                </c:pt>
                <c:pt idx="54">
                  <c:v>1.8547178324596958E-2</c:v>
                </c:pt>
                <c:pt idx="55">
                  <c:v>1.7308349356765951E-2</c:v>
                </c:pt>
                <c:pt idx="56">
                  <c:v>1.8243782482877058E-2</c:v>
                </c:pt>
                <c:pt idx="57">
                  <c:v>1.8243782482877058E-2</c:v>
                </c:pt>
                <c:pt idx="58">
                  <c:v>1.8243782482877058E-2</c:v>
                </c:pt>
                <c:pt idx="59">
                  <c:v>1.693489903586598E-2</c:v>
                </c:pt>
                <c:pt idx="60">
                  <c:v>1.8326113974864944E-2</c:v>
                </c:pt>
                <c:pt idx="61">
                  <c:v>1.7934817450554918E-2</c:v>
                </c:pt>
                <c:pt idx="62">
                  <c:v>1.7797705219311011E-2</c:v>
                </c:pt>
                <c:pt idx="63">
                  <c:v>1.5990790065342986E-2</c:v>
                </c:pt>
                <c:pt idx="64">
                  <c:v>1.746434616697301E-2</c:v>
                </c:pt>
                <c:pt idx="65">
                  <c:v>1.9564630295097918E-2</c:v>
                </c:pt>
                <c:pt idx="66">
                  <c:v>1.991736462615501E-2</c:v>
                </c:pt>
                <c:pt idx="67">
                  <c:v>2.1602036666818036E-2</c:v>
                </c:pt>
                <c:pt idx="68">
                  <c:v>1.991736462615501E-2</c:v>
                </c:pt>
                <c:pt idx="69">
                  <c:v>2.1714787323291018E-2</c:v>
                </c:pt>
                <c:pt idx="70">
                  <c:v>2.0728347991117002E-2</c:v>
                </c:pt>
                <c:pt idx="71">
                  <c:v>2.2740230821109986E-2</c:v>
                </c:pt>
                <c:pt idx="72">
                  <c:v>2.3102469259690062E-2</c:v>
                </c:pt>
                <c:pt idx="73">
                  <c:v>2.2230821022807934E-2</c:v>
                </c:pt>
                <c:pt idx="74">
                  <c:v>2.2843554143903044E-2</c:v>
                </c:pt>
                <c:pt idx="75">
                  <c:v>2.130927465103194E-2</c:v>
                </c:pt>
                <c:pt idx="76">
                  <c:v>2.2115915769991945E-2</c:v>
                </c:pt>
                <c:pt idx="77">
                  <c:v>2.2115915769991945E-2</c:v>
                </c:pt>
                <c:pt idx="78">
                  <c:v>2.2677880181799948E-2</c:v>
                </c:pt>
                <c:pt idx="79">
                  <c:v>2.3080661909188005E-2</c:v>
                </c:pt>
                <c:pt idx="80">
                  <c:v>2.1594538110413009E-2</c:v>
                </c:pt>
                <c:pt idx="81">
                  <c:v>2.1243881609642967E-2</c:v>
                </c:pt>
                <c:pt idx="82">
                  <c:v>2.3646964380398927E-2</c:v>
                </c:pt>
                <c:pt idx="83">
                  <c:v>2.3511077421998983E-2</c:v>
                </c:pt>
                <c:pt idx="84">
                  <c:v>2.1865379268423912E-2</c:v>
                </c:pt>
                <c:pt idx="85">
                  <c:v>2.3011168931345027E-2</c:v>
                </c:pt>
                <c:pt idx="86">
                  <c:v>2.3511077421998983E-2</c:v>
                </c:pt>
                <c:pt idx="87">
                  <c:v>2.3879648060012082E-2</c:v>
                </c:pt>
                <c:pt idx="88">
                  <c:v>2.2185781271320981E-2</c:v>
                </c:pt>
                <c:pt idx="89">
                  <c:v>2.1499852763206984E-2</c:v>
                </c:pt>
                <c:pt idx="90">
                  <c:v>2.2623213265619002E-2</c:v>
                </c:pt>
                <c:pt idx="91">
                  <c:v>2.2028660134635003E-2</c:v>
                </c:pt>
                <c:pt idx="92">
                  <c:v>2.323860005587397E-2</c:v>
                </c:pt>
                <c:pt idx="93">
                  <c:v>2.3045104413206952E-2</c:v>
                </c:pt>
                <c:pt idx="94">
                  <c:v>2.3281195485508999E-2</c:v>
                </c:pt>
                <c:pt idx="95">
                  <c:v>2.3045894514512999E-2</c:v>
                </c:pt>
                <c:pt idx="96">
                  <c:v>2.3116433002183912E-2</c:v>
                </c:pt>
                <c:pt idx="97">
                  <c:v>2.1940207735437034E-2</c:v>
                </c:pt>
                <c:pt idx="98">
                  <c:v>2.5474221239196959E-2</c:v>
                </c:pt>
                <c:pt idx="99">
                  <c:v>2.192245353908695E-2</c:v>
                </c:pt>
                <c:pt idx="100">
                  <c:v>2.2006042072019949E-2</c:v>
                </c:pt>
                <c:pt idx="101">
                  <c:v>2.5400728001473971E-2</c:v>
                </c:pt>
                <c:pt idx="102">
                  <c:v>2.2933742337526986E-2</c:v>
                </c:pt>
                <c:pt idx="103">
                  <c:v>2.2159728908155985E-2</c:v>
                </c:pt>
                <c:pt idx="104">
                  <c:v>2.2334868622206017E-2</c:v>
                </c:pt>
                <c:pt idx="105">
                  <c:v>2.3285771323386051E-2</c:v>
                </c:pt>
                <c:pt idx="106">
                  <c:v>2.3012611082431023E-2</c:v>
                </c:pt>
                <c:pt idx="107">
                  <c:v>2.395908768709798E-2</c:v>
                </c:pt>
                <c:pt idx="108">
                  <c:v>2.182584852505598E-2</c:v>
                </c:pt>
                <c:pt idx="109">
                  <c:v>2.3138061689571998E-2</c:v>
                </c:pt>
                <c:pt idx="110">
                  <c:v>2.3138061689571998E-2</c:v>
                </c:pt>
                <c:pt idx="111">
                  <c:v>2.1574399682273038E-2</c:v>
                </c:pt>
                <c:pt idx="112">
                  <c:v>2.2049529166050075E-2</c:v>
                </c:pt>
                <c:pt idx="113">
                  <c:v>2.1712951748458997E-2</c:v>
                </c:pt>
                <c:pt idx="114">
                  <c:v>2.1006711837945002E-2</c:v>
                </c:pt>
                <c:pt idx="115">
                  <c:v>2.2718223243017976E-2</c:v>
                </c:pt>
                <c:pt idx="116">
                  <c:v>2.1336673395858985E-2</c:v>
                </c:pt>
                <c:pt idx="117">
                  <c:v>2.3934707665684951E-2</c:v>
                </c:pt>
                <c:pt idx="118">
                  <c:v>2.3885746565118993E-2</c:v>
                </c:pt>
                <c:pt idx="119">
                  <c:v>2.4636886181579998E-2</c:v>
                </c:pt>
                <c:pt idx="120">
                  <c:v>2.5954770465140942E-2</c:v>
                </c:pt>
                <c:pt idx="121">
                  <c:v>2.7387624846188063E-2</c:v>
                </c:pt>
                <c:pt idx="122">
                  <c:v>2.7396846707897993E-2</c:v>
                </c:pt>
                <c:pt idx="123">
                  <c:v>2.4356249349563042E-2</c:v>
                </c:pt>
                <c:pt idx="124">
                  <c:v>2.4748707436991979E-2</c:v>
                </c:pt>
                <c:pt idx="125">
                  <c:v>2.3721983966421001E-2</c:v>
                </c:pt>
                <c:pt idx="126">
                  <c:v>2.4015035680918007E-2</c:v>
                </c:pt>
                <c:pt idx="127">
                  <c:v>2.4586657410025969E-2</c:v>
                </c:pt>
                <c:pt idx="128">
                  <c:v>2.5020140115835976E-2</c:v>
                </c:pt>
                <c:pt idx="129">
                  <c:v>2.448780499499198E-2</c:v>
                </c:pt>
                <c:pt idx="130">
                  <c:v>2.5234444143474033E-2</c:v>
                </c:pt>
                <c:pt idx="131">
                  <c:v>2.3436581748615015E-2</c:v>
                </c:pt>
                <c:pt idx="132">
                  <c:v>2.4698216777366E-2</c:v>
                </c:pt>
                <c:pt idx="133">
                  <c:v>2.5923790087743037E-2</c:v>
                </c:pt>
                <c:pt idx="134">
                  <c:v>2.5579483137793013E-2</c:v>
                </c:pt>
                <c:pt idx="135">
                  <c:v>2.5253844188383001E-2</c:v>
                </c:pt>
                <c:pt idx="136">
                  <c:v>2.5253844188383001E-2</c:v>
                </c:pt>
                <c:pt idx="137">
                  <c:v>2.2354680914343006E-2</c:v>
                </c:pt>
                <c:pt idx="138">
                  <c:v>2.3237239610985033E-2</c:v>
                </c:pt>
                <c:pt idx="139">
                  <c:v>2.2833508159864985E-2</c:v>
                </c:pt>
                <c:pt idx="140">
                  <c:v>2.2826442408018011E-2</c:v>
                </c:pt>
                <c:pt idx="141">
                  <c:v>2.3657600623909009E-2</c:v>
                </c:pt>
                <c:pt idx="142">
                  <c:v>2.4411442429122021E-2</c:v>
                </c:pt>
                <c:pt idx="143">
                  <c:v>2.4521120670748964E-2</c:v>
                </c:pt>
                <c:pt idx="144">
                  <c:v>2.4364301177299985E-2</c:v>
                </c:pt>
                <c:pt idx="145">
                  <c:v>2.4726941736278041E-2</c:v>
                </c:pt>
                <c:pt idx="146">
                  <c:v>2.442832455333499E-2</c:v>
                </c:pt>
                <c:pt idx="147">
                  <c:v>2.5445593911785969E-2</c:v>
                </c:pt>
                <c:pt idx="148">
                  <c:v>2.4544578239795001E-2</c:v>
                </c:pt>
                <c:pt idx="149">
                  <c:v>2.4962760610098E-2</c:v>
                </c:pt>
                <c:pt idx="150">
                  <c:v>2.4443345160808039E-2</c:v>
                </c:pt>
                <c:pt idx="151">
                  <c:v>2.4714769010983018E-2</c:v>
                </c:pt>
                <c:pt idx="152">
                  <c:v>2.4132577762210977E-2</c:v>
                </c:pt>
                <c:pt idx="153">
                  <c:v>2.3910182191404006E-2</c:v>
                </c:pt>
                <c:pt idx="154">
                  <c:v>2.0677936525821006E-2</c:v>
                </c:pt>
                <c:pt idx="155">
                  <c:v>2.0405939315742999E-2</c:v>
                </c:pt>
                <c:pt idx="156">
                  <c:v>1.9012181649803006E-2</c:v>
                </c:pt>
                <c:pt idx="157">
                  <c:v>2.1725041379872995E-2</c:v>
                </c:pt>
                <c:pt idx="158">
                  <c:v>2.385631641094299E-2</c:v>
                </c:pt>
                <c:pt idx="159">
                  <c:v>2.4133376864509004E-2</c:v>
                </c:pt>
                <c:pt idx="160">
                  <c:v>2.3490582878840982E-2</c:v>
                </c:pt>
                <c:pt idx="161">
                  <c:v>2.3734404029613021E-2</c:v>
                </c:pt>
                <c:pt idx="162">
                  <c:v>2.4015377742685973E-2</c:v>
                </c:pt>
                <c:pt idx="163">
                  <c:v>2.4006639656241002E-2</c:v>
                </c:pt>
                <c:pt idx="164">
                  <c:v>2.2864760551051022E-2</c:v>
                </c:pt>
                <c:pt idx="165">
                  <c:v>2.4163207379861051E-2</c:v>
                </c:pt>
                <c:pt idx="166">
                  <c:v>2.4001956463504004E-2</c:v>
                </c:pt>
                <c:pt idx="167">
                  <c:v>2.4129946993109996E-2</c:v>
                </c:pt>
                <c:pt idx="168">
                  <c:v>2.2717125856637987E-2</c:v>
                </c:pt>
                <c:pt idx="169">
                  <c:v>2.4922595095405009E-2</c:v>
                </c:pt>
                <c:pt idx="170">
                  <c:v>2.5262059710907003E-2</c:v>
                </c:pt>
                <c:pt idx="171">
                  <c:v>2.5789543754646038E-2</c:v>
                </c:pt>
                <c:pt idx="172">
                  <c:v>2.5282717803924992E-2</c:v>
                </c:pt>
                <c:pt idx="173">
                  <c:v>2.7081223449143044E-2</c:v>
                </c:pt>
                <c:pt idx="174">
                  <c:v>2.9228013361092986E-2</c:v>
                </c:pt>
                <c:pt idx="175">
                  <c:v>2.9583398933585969E-2</c:v>
                </c:pt>
                <c:pt idx="176">
                  <c:v>3.0650699740589982E-2</c:v>
                </c:pt>
                <c:pt idx="177">
                  <c:v>3.189345616816297E-2</c:v>
                </c:pt>
                <c:pt idx="178">
                  <c:v>3.5124617247681011E-2</c:v>
                </c:pt>
                <c:pt idx="179">
                  <c:v>3.1810678137463022E-2</c:v>
                </c:pt>
                <c:pt idx="180">
                  <c:v>3.2199345902175991E-2</c:v>
                </c:pt>
                <c:pt idx="181">
                  <c:v>3.5124617247681011E-2</c:v>
                </c:pt>
                <c:pt idx="182">
                  <c:v>4.0894418191104953E-2</c:v>
                </c:pt>
                <c:pt idx="183">
                  <c:v>3.3218408855878012E-2</c:v>
                </c:pt>
                <c:pt idx="184">
                  <c:v>3.560048076730099E-2</c:v>
                </c:pt>
                <c:pt idx="185">
                  <c:v>3.560048076730099E-2</c:v>
                </c:pt>
                <c:pt idx="186">
                  <c:v>3.6682465672604025E-2</c:v>
                </c:pt>
                <c:pt idx="187">
                  <c:v>3.4538022001328994E-2</c:v>
                </c:pt>
                <c:pt idx="188">
                  <c:v>3.7848045871507974E-2</c:v>
                </c:pt>
                <c:pt idx="189">
                  <c:v>4.311865390370101E-2</c:v>
                </c:pt>
                <c:pt idx="190">
                  <c:v>4.311865390370101E-2</c:v>
                </c:pt>
                <c:pt idx="191">
                  <c:v>4.4396531936435002E-2</c:v>
                </c:pt>
                <c:pt idx="192">
                  <c:v>4.3202912888349987E-2</c:v>
                </c:pt>
                <c:pt idx="193">
                  <c:v>3.3927986103489016E-2</c:v>
                </c:pt>
                <c:pt idx="194">
                  <c:v>3.4664119688267991E-2</c:v>
                </c:pt>
                <c:pt idx="195">
                  <c:v>3.6299018885005974E-2</c:v>
                </c:pt>
                <c:pt idx="196">
                  <c:v>4.320778348878801E-2</c:v>
                </c:pt>
                <c:pt idx="197">
                  <c:v>5.5767371436922009E-2</c:v>
                </c:pt>
                <c:pt idx="198">
                  <c:v>5.7854243434436015E-2</c:v>
                </c:pt>
                <c:pt idx="199">
                  <c:v>5.5119685426901988E-2</c:v>
                </c:pt>
                <c:pt idx="200">
                  <c:v>4.9176612529252983E-2</c:v>
                </c:pt>
                <c:pt idx="201">
                  <c:v>4.922814110974999E-2</c:v>
                </c:pt>
                <c:pt idx="202">
                  <c:v>5.4910159185180996E-2</c:v>
                </c:pt>
                <c:pt idx="203">
                  <c:v>5.5879986587148045E-2</c:v>
                </c:pt>
                <c:pt idx="204">
                  <c:v>6.0133306816469001E-2</c:v>
                </c:pt>
                <c:pt idx="205">
                  <c:v>5.7371946942211982E-2</c:v>
                </c:pt>
                <c:pt idx="206">
                  <c:v>6.5990729484909971E-2</c:v>
                </c:pt>
                <c:pt idx="207">
                  <c:v>6.5567374115548971E-2</c:v>
                </c:pt>
                <c:pt idx="208">
                  <c:v>6.0112688684925975E-2</c:v>
                </c:pt>
                <c:pt idx="209">
                  <c:v>6.9436754868894002E-2</c:v>
                </c:pt>
                <c:pt idx="210">
                  <c:v>7.7699256329745059E-2</c:v>
                </c:pt>
                <c:pt idx="211">
                  <c:v>7.6952677594411045E-2</c:v>
                </c:pt>
                <c:pt idx="212">
                  <c:v>7.7699256329745059E-2</c:v>
                </c:pt>
                <c:pt idx="213">
                  <c:v>7.8919066492824985E-2</c:v>
                </c:pt>
                <c:pt idx="214">
                  <c:v>7.8500810862844106E-2</c:v>
                </c:pt>
                <c:pt idx="215">
                  <c:v>6.8989937785272015E-2</c:v>
                </c:pt>
                <c:pt idx="216">
                  <c:v>6.7065716502306971E-2</c:v>
                </c:pt>
                <c:pt idx="217">
                  <c:v>6.9638092828048004E-2</c:v>
                </c:pt>
                <c:pt idx="218">
                  <c:v>6.058929716573902E-2</c:v>
                </c:pt>
                <c:pt idx="219">
                  <c:v>6.8121076713101969E-2</c:v>
                </c:pt>
                <c:pt idx="220">
                  <c:v>7.8989527008370031E-2</c:v>
                </c:pt>
                <c:pt idx="221">
                  <c:v>7.8781843340151037E-2</c:v>
                </c:pt>
                <c:pt idx="222">
                  <c:v>7.9865453436108957E-2</c:v>
                </c:pt>
                <c:pt idx="223">
                  <c:v>7.8117664757740013E-2</c:v>
                </c:pt>
                <c:pt idx="224">
                  <c:v>7.9362525783738036E-2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91855360"/>
        <c:axId val="291853824"/>
      </c:barChart>
      <c:lineChart>
        <c:grouping val="standard"/>
        <c:varyColors val="0"/>
        <c:ser>
          <c:idx val="0"/>
          <c:order val="0"/>
          <c:tx>
            <c:strRef>
              <c:f>'Current Paying PMI'!$L$2</c:f>
              <c:strCache>
                <c:ptCount val="1"/>
                <c:pt idx="0">
                  <c:v>Pool Level</c:v>
                </c:pt>
              </c:strCache>
            </c:strRef>
          </c:tx>
          <c:marker>
            <c:symbol val="none"/>
          </c:marker>
          <c:cat>
            <c:numRef>
              <c:f>'Current Paying PMI'!$K$3:$K$227</c:f>
              <c:numCache>
                <c:formatCode>m/d/yyyy</c:formatCode>
                <c:ptCount val="225"/>
                <c:pt idx="0">
                  <c:v>40549</c:v>
                </c:pt>
                <c:pt idx="1">
                  <c:v>40556</c:v>
                </c:pt>
                <c:pt idx="2">
                  <c:v>40563</c:v>
                </c:pt>
                <c:pt idx="3">
                  <c:v>40570</c:v>
                </c:pt>
                <c:pt idx="4">
                  <c:v>40577</c:v>
                </c:pt>
                <c:pt idx="5">
                  <c:v>40584</c:v>
                </c:pt>
                <c:pt idx="6">
                  <c:v>40591</c:v>
                </c:pt>
                <c:pt idx="7">
                  <c:v>40598</c:v>
                </c:pt>
                <c:pt idx="8">
                  <c:v>40605</c:v>
                </c:pt>
                <c:pt idx="9">
                  <c:v>40612</c:v>
                </c:pt>
                <c:pt idx="10">
                  <c:v>40619</c:v>
                </c:pt>
                <c:pt idx="11">
                  <c:v>40626</c:v>
                </c:pt>
                <c:pt idx="12">
                  <c:v>40633</c:v>
                </c:pt>
                <c:pt idx="13">
                  <c:v>40640</c:v>
                </c:pt>
                <c:pt idx="14">
                  <c:v>40647</c:v>
                </c:pt>
                <c:pt idx="15">
                  <c:v>40654</c:v>
                </c:pt>
                <c:pt idx="16">
                  <c:v>40661</c:v>
                </c:pt>
                <c:pt idx="17">
                  <c:v>40668</c:v>
                </c:pt>
                <c:pt idx="18">
                  <c:v>40675</c:v>
                </c:pt>
                <c:pt idx="19">
                  <c:v>40682</c:v>
                </c:pt>
                <c:pt idx="20">
                  <c:v>40689</c:v>
                </c:pt>
                <c:pt idx="21">
                  <c:v>40696</c:v>
                </c:pt>
                <c:pt idx="22">
                  <c:v>40703</c:v>
                </c:pt>
                <c:pt idx="23">
                  <c:v>40710</c:v>
                </c:pt>
                <c:pt idx="24">
                  <c:v>40717</c:v>
                </c:pt>
                <c:pt idx="25">
                  <c:v>40724</c:v>
                </c:pt>
                <c:pt idx="26">
                  <c:v>40731</c:v>
                </c:pt>
                <c:pt idx="27">
                  <c:v>40738</c:v>
                </c:pt>
                <c:pt idx="28">
                  <c:v>40745</c:v>
                </c:pt>
                <c:pt idx="29">
                  <c:v>40752</c:v>
                </c:pt>
                <c:pt idx="30">
                  <c:v>40759</c:v>
                </c:pt>
                <c:pt idx="31">
                  <c:v>40766</c:v>
                </c:pt>
                <c:pt idx="32">
                  <c:v>40773</c:v>
                </c:pt>
                <c:pt idx="33">
                  <c:v>40780</c:v>
                </c:pt>
                <c:pt idx="34">
                  <c:v>40787</c:v>
                </c:pt>
                <c:pt idx="35">
                  <c:v>40794</c:v>
                </c:pt>
                <c:pt idx="36">
                  <c:v>40801</c:v>
                </c:pt>
                <c:pt idx="37">
                  <c:v>40808</c:v>
                </c:pt>
                <c:pt idx="38">
                  <c:v>40815</c:v>
                </c:pt>
                <c:pt idx="39">
                  <c:v>40822</c:v>
                </c:pt>
                <c:pt idx="40">
                  <c:v>40829</c:v>
                </c:pt>
                <c:pt idx="41">
                  <c:v>40836</c:v>
                </c:pt>
                <c:pt idx="42">
                  <c:v>40843</c:v>
                </c:pt>
                <c:pt idx="43">
                  <c:v>40850</c:v>
                </c:pt>
                <c:pt idx="44">
                  <c:v>40857</c:v>
                </c:pt>
                <c:pt idx="45">
                  <c:v>40864</c:v>
                </c:pt>
                <c:pt idx="46">
                  <c:v>40870</c:v>
                </c:pt>
                <c:pt idx="47">
                  <c:v>40878</c:v>
                </c:pt>
                <c:pt idx="48">
                  <c:v>40885</c:v>
                </c:pt>
                <c:pt idx="49">
                  <c:v>40892</c:v>
                </c:pt>
                <c:pt idx="50">
                  <c:v>40899</c:v>
                </c:pt>
                <c:pt idx="51">
                  <c:v>40906</c:v>
                </c:pt>
                <c:pt idx="52">
                  <c:v>40913</c:v>
                </c:pt>
                <c:pt idx="53">
                  <c:v>40920</c:v>
                </c:pt>
                <c:pt idx="54">
                  <c:v>40927</c:v>
                </c:pt>
                <c:pt idx="55">
                  <c:v>40934</c:v>
                </c:pt>
                <c:pt idx="56">
                  <c:v>40941</c:v>
                </c:pt>
                <c:pt idx="57">
                  <c:v>40948</c:v>
                </c:pt>
                <c:pt idx="58">
                  <c:v>40955</c:v>
                </c:pt>
                <c:pt idx="59">
                  <c:v>40962</c:v>
                </c:pt>
                <c:pt idx="60">
                  <c:v>40969</c:v>
                </c:pt>
                <c:pt idx="61">
                  <c:v>40976</c:v>
                </c:pt>
                <c:pt idx="62">
                  <c:v>40983</c:v>
                </c:pt>
                <c:pt idx="63">
                  <c:v>40990</c:v>
                </c:pt>
                <c:pt idx="64">
                  <c:v>40997</c:v>
                </c:pt>
                <c:pt idx="65">
                  <c:v>41004</c:v>
                </c:pt>
                <c:pt idx="66">
                  <c:v>41011</c:v>
                </c:pt>
                <c:pt idx="67">
                  <c:v>41018</c:v>
                </c:pt>
                <c:pt idx="68">
                  <c:v>41025</c:v>
                </c:pt>
                <c:pt idx="69">
                  <c:v>41032</c:v>
                </c:pt>
                <c:pt idx="70">
                  <c:v>41039</c:v>
                </c:pt>
                <c:pt idx="71">
                  <c:v>41046</c:v>
                </c:pt>
                <c:pt idx="72">
                  <c:v>41053</c:v>
                </c:pt>
                <c:pt idx="73">
                  <c:v>41060</c:v>
                </c:pt>
                <c:pt idx="74">
                  <c:v>41067</c:v>
                </c:pt>
                <c:pt idx="75">
                  <c:v>41074</c:v>
                </c:pt>
                <c:pt idx="76">
                  <c:v>41081</c:v>
                </c:pt>
                <c:pt idx="77">
                  <c:v>41088</c:v>
                </c:pt>
                <c:pt idx="78">
                  <c:v>41095</c:v>
                </c:pt>
                <c:pt idx="79">
                  <c:v>41102</c:v>
                </c:pt>
                <c:pt idx="80">
                  <c:v>41109</c:v>
                </c:pt>
                <c:pt idx="81">
                  <c:v>41116</c:v>
                </c:pt>
                <c:pt idx="82">
                  <c:v>41123</c:v>
                </c:pt>
                <c:pt idx="83">
                  <c:v>41130</c:v>
                </c:pt>
                <c:pt idx="84">
                  <c:v>41137</c:v>
                </c:pt>
                <c:pt idx="85">
                  <c:v>41144</c:v>
                </c:pt>
                <c:pt idx="86">
                  <c:v>41151</c:v>
                </c:pt>
                <c:pt idx="87">
                  <c:v>41158</c:v>
                </c:pt>
                <c:pt idx="88">
                  <c:v>41165</c:v>
                </c:pt>
                <c:pt idx="89">
                  <c:v>41172</c:v>
                </c:pt>
                <c:pt idx="90">
                  <c:v>41179</c:v>
                </c:pt>
                <c:pt idx="91">
                  <c:v>41186</c:v>
                </c:pt>
                <c:pt idx="92">
                  <c:v>41193</c:v>
                </c:pt>
                <c:pt idx="93">
                  <c:v>41200</c:v>
                </c:pt>
                <c:pt idx="94">
                  <c:v>41207</c:v>
                </c:pt>
                <c:pt idx="95">
                  <c:v>41214</c:v>
                </c:pt>
                <c:pt idx="96">
                  <c:v>41221</c:v>
                </c:pt>
                <c:pt idx="97">
                  <c:v>41228</c:v>
                </c:pt>
                <c:pt idx="98">
                  <c:v>41234</c:v>
                </c:pt>
                <c:pt idx="99">
                  <c:v>41242</c:v>
                </c:pt>
                <c:pt idx="100">
                  <c:v>41249</c:v>
                </c:pt>
                <c:pt idx="101">
                  <c:v>41256</c:v>
                </c:pt>
                <c:pt idx="102">
                  <c:v>41263</c:v>
                </c:pt>
                <c:pt idx="103">
                  <c:v>41270</c:v>
                </c:pt>
                <c:pt idx="104">
                  <c:v>41277</c:v>
                </c:pt>
                <c:pt idx="105">
                  <c:v>41284</c:v>
                </c:pt>
                <c:pt idx="106">
                  <c:v>41291</c:v>
                </c:pt>
                <c:pt idx="107">
                  <c:v>41298</c:v>
                </c:pt>
                <c:pt idx="108">
                  <c:v>41305</c:v>
                </c:pt>
                <c:pt idx="109">
                  <c:v>41312</c:v>
                </c:pt>
                <c:pt idx="110">
                  <c:v>41319</c:v>
                </c:pt>
                <c:pt idx="111">
                  <c:v>41326</c:v>
                </c:pt>
                <c:pt idx="112">
                  <c:v>41333</c:v>
                </c:pt>
                <c:pt idx="113">
                  <c:v>41340</c:v>
                </c:pt>
                <c:pt idx="114">
                  <c:v>41347</c:v>
                </c:pt>
                <c:pt idx="115">
                  <c:v>41354</c:v>
                </c:pt>
                <c:pt idx="116">
                  <c:v>41361</c:v>
                </c:pt>
                <c:pt idx="117">
                  <c:v>41368</c:v>
                </c:pt>
                <c:pt idx="118">
                  <c:v>41375</c:v>
                </c:pt>
                <c:pt idx="119">
                  <c:v>41382</c:v>
                </c:pt>
                <c:pt idx="120">
                  <c:v>41389</c:v>
                </c:pt>
                <c:pt idx="121">
                  <c:v>41396</c:v>
                </c:pt>
                <c:pt idx="122">
                  <c:v>41403</c:v>
                </c:pt>
                <c:pt idx="123">
                  <c:v>41410</c:v>
                </c:pt>
                <c:pt idx="124">
                  <c:v>41417</c:v>
                </c:pt>
                <c:pt idx="125">
                  <c:v>41424</c:v>
                </c:pt>
                <c:pt idx="126">
                  <c:v>41431</c:v>
                </c:pt>
                <c:pt idx="127">
                  <c:v>41438</c:v>
                </c:pt>
                <c:pt idx="128">
                  <c:v>41445</c:v>
                </c:pt>
                <c:pt idx="129">
                  <c:v>41452</c:v>
                </c:pt>
                <c:pt idx="130">
                  <c:v>41458</c:v>
                </c:pt>
                <c:pt idx="131">
                  <c:v>41466</c:v>
                </c:pt>
                <c:pt idx="132">
                  <c:v>41473</c:v>
                </c:pt>
                <c:pt idx="133">
                  <c:v>41480</c:v>
                </c:pt>
                <c:pt idx="134">
                  <c:v>41487</c:v>
                </c:pt>
                <c:pt idx="135">
                  <c:v>41494</c:v>
                </c:pt>
                <c:pt idx="136">
                  <c:v>41501</c:v>
                </c:pt>
                <c:pt idx="137">
                  <c:v>41508</c:v>
                </c:pt>
                <c:pt idx="138">
                  <c:v>41515</c:v>
                </c:pt>
                <c:pt idx="139">
                  <c:v>41522</c:v>
                </c:pt>
                <c:pt idx="140">
                  <c:v>41529</c:v>
                </c:pt>
                <c:pt idx="141">
                  <c:v>41536</c:v>
                </c:pt>
                <c:pt idx="142">
                  <c:v>41543</c:v>
                </c:pt>
                <c:pt idx="143">
                  <c:v>41550</c:v>
                </c:pt>
                <c:pt idx="144">
                  <c:v>41557</c:v>
                </c:pt>
                <c:pt idx="145">
                  <c:v>41564</c:v>
                </c:pt>
                <c:pt idx="146">
                  <c:v>41571</c:v>
                </c:pt>
                <c:pt idx="147">
                  <c:v>41578</c:v>
                </c:pt>
                <c:pt idx="148">
                  <c:v>41585</c:v>
                </c:pt>
                <c:pt idx="149">
                  <c:v>41592</c:v>
                </c:pt>
                <c:pt idx="150">
                  <c:v>41599</c:v>
                </c:pt>
                <c:pt idx="151">
                  <c:v>41605</c:v>
                </c:pt>
                <c:pt idx="152">
                  <c:v>41613</c:v>
                </c:pt>
                <c:pt idx="153">
                  <c:v>41620</c:v>
                </c:pt>
                <c:pt idx="154">
                  <c:v>41627</c:v>
                </c:pt>
                <c:pt idx="155">
                  <c:v>41634</c:v>
                </c:pt>
                <c:pt idx="156">
                  <c:v>41641</c:v>
                </c:pt>
                <c:pt idx="157">
                  <c:v>41648</c:v>
                </c:pt>
                <c:pt idx="158">
                  <c:v>41655</c:v>
                </c:pt>
                <c:pt idx="159">
                  <c:v>41662</c:v>
                </c:pt>
                <c:pt idx="160">
                  <c:v>41669</c:v>
                </c:pt>
                <c:pt idx="161">
                  <c:v>41676</c:v>
                </c:pt>
                <c:pt idx="162">
                  <c:v>41683</c:v>
                </c:pt>
                <c:pt idx="163">
                  <c:v>41690</c:v>
                </c:pt>
                <c:pt idx="164">
                  <c:v>41697</c:v>
                </c:pt>
                <c:pt idx="165">
                  <c:v>41704</c:v>
                </c:pt>
                <c:pt idx="166">
                  <c:v>41711</c:v>
                </c:pt>
                <c:pt idx="167">
                  <c:v>41718</c:v>
                </c:pt>
                <c:pt idx="168">
                  <c:v>41725</c:v>
                </c:pt>
                <c:pt idx="169">
                  <c:v>41732</c:v>
                </c:pt>
                <c:pt idx="170">
                  <c:v>41739</c:v>
                </c:pt>
                <c:pt idx="171">
                  <c:v>41746</c:v>
                </c:pt>
                <c:pt idx="172">
                  <c:v>41753</c:v>
                </c:pt>
                <c:pt idx="173">
                  <c:v>41760</c:v>
                </c:pt>
                <c:pt idx="174">
                  <c:v>41767</c:v>
                </c:pt>
                <c:pt idx="175">
                  <c:v>41774</c:v>
                </c:pt>
                <c:pt idx="176">
                  <c:v>41781</c:v>
                </c:pt>
                <c:pt idx="177">
                  <c:v>41788</c:v>
                </c:pt>
                <c:pt idx="178">
                  <c:v>41795</c:v>
                </c:pt>
                <c:pt idx="179">
                  <c:v>41802</c:v>
                </c:pt>
                <c:pt idx="180">
                  <c:v>41809</c:v>
                </c:pt>
                <c:pt idx="181">
                  <c:v>41816</c:v>
                </c:pt>
                <c:pt idx="182">
                  <c:v>41823</c:v>
                </c:pt>
                <c:pt idx="183">
                  <c:v>41830</c:v>
                </c:pt>
                <c:pt idx="184">
                  <c:v>41837</c:v>
                </c:pt>
                <c:pt idx="185">
                  <c:v>41844</c:v>
                </c:pt>
                <c:pt idx="186">
                  <c:v>41851</c:v>
                </c:pt>
                <c:pt idx="187">
                  <c:v>41858</c:v>
                </c:pt>
                <c:pt idx="188">
                  <c:v>41865</c:v>
                </c:pt>
                <c:pt idx="189">
                  <c:v>41872</c:v>
                </c:pt>
                <c:pt idx="190">
                  <c:v>41879</c:v>
                </c:pt>
                <c:pt idx="191">
                  <c:v>41886</c:v>
                </c:pt>
                <c:pt idx="192">
                  <c:v>41893</c:v>
                </c:pt>
                <c:pt idx="193">
                  <c:v>41900</c:v>
                </c:pt>
                <c:pt idx="194">
                  <c:v>41907</c:v>
                </c:pt>
                <c:pt idx="195">
                  <c:v>41914</c:v>
                </c:pt>
                <c:pt idx="196">
                  <c:v>41921</c:v>
                </c:pt>
                <c:pt idx="197">
                  <c:v>41928</c:v>
                </c:pt>
                <c:pt idx="198">
                  <c:v>41935</c:v>
                </c:pt>
                <c:pt idx="199">
                  <c:v>41942</c:v>
                </c:pt>
                <c:pt idx="200">
                  <c:v>41949</c:v>
                </c:pt>
                <c:pt idx="201">
                  <c:v>41956</c:v>
                </c:pt>
                <c:pt idx="202">
                  <c:v>41963</c:v>
                </c:pt>
                <c:pt idx="203">
                  <c:v>41969</c:v>
                </c:pt>
                <c:pt idx="204">
                  <c:v>41977</c:v>
                </c:pt>
                <c:pt idx="205">
                  <c:v>41984</c:v>
                </c:pt>
                <c:pt idx="206">
                  <c:v>41991</c:v>
                </c:pt>
                <c:pt idx="207">
                  <c:v>41997</c:v>
                </c:pt>
                <c:pt idx="208">
                  <c:v>42004</c:v>
                </c:pt>
                <c:pt idx="209">
                  <c:v>42012</c:v>
                </c:pt>
                <c:pt idx="210">
                  <c:v>42019</c:v>
                </c:pt>
                <c:pt idx="211">
                  <c:v>42026</c:v>
                </c:pt>
                <c:pt idx="212">
                  <c:v>42033</c:v>
                </c:pt>
                <c:pt idx="213">
                  <c:v>42040</c:v>
                </c:pt>
                <c:pt idx="214">
                  <c:v>42047</c:v>
                </c:pt>
                <c:pt idx="215">
                  <c:v>42054</c:v>
                </c:pt>
                <c:pt idx="216">
                  <c:v>42061</c:v>
                </c:pt>
                <c:pt idx="217">
                  <c:v>42068</c:v>
                </c:pt>
                <c:pt idx="218">
                  <c:v>42075</c:v>
                </c:pt>
                <c:pt idx="219">
                  <c:v>42082</c:v>
                </c:pt>
                <c:pt idx="220">
                  <c:v>42089</c:v>
                </c:pt>
                <c:pt idx="221">
                  <c:v>42096</c:v>
                </c:pt>
                <c:pt idx="222">
                  <c:v>42103</c:v>
                </c:pt>
                <c:pt idx="223">
                  <c:v>42110</c:v>
                </c:pt>
                <c:pt idx="224">
                  <c:v>42117</c:v>
                </c:pt>
              </c:numCache>
            </c:numRef>
          </c:cat>
          <c:val>
            <c:numRef>
              <c:f>'Current Paying PMI'!$L$3:$L$227</c:f>
              <c:numCache>
                <c:formatCode>0%</c:formatCode>
                <c:ptCount val="225"/>
                <c:pt idx="0">
                  <c:v>0.62402170072443153</c:v>
                </c:pt>
                <c:pt idx="1">
                  <c:v>0.62817294477626939</c:v>
                </c:pt>
                <c:pt idx="2">
                  <c:v>0.62597730951219899</c:v>
                </c:pt>
                <c:pt idx="3">
                  <c:v>0.62392159162868732</c:v>
                </c:pt>
                <c:pt idx="4">
                  <c:v>0.60653142223595213</c:v>
                </c:pt>
                <c:pt idx="5">
                  <c:v>0.50868797673712363</c:v>
                </c:pt>
                <c:pt idx="6">
                  <c:v>0.52965901814335548</c:v>
                </c:pt>
                <c:pt idx="7">
                  <c:v>0.57709503787578109</c:v>
                </c:pt>
                <c:pt idx="8">
                  <c:v>0.59224775585706535</c:v>
                </c:pt>
                <c:pt idx="9">
                  <c:v>0.59090570789662444</c:v>
                </c:pt>
                <c:pt idx="10">
                  <c:v>0.60261779474869925</c:v>
                </c:pt>
                <c:pt idx="11">
                  <c:v>0.59950595681897523</c:v>
                </c:pt>
                <c:pt idx="12">
                  <c:v>0.593225708201635</c:v>
                </c:pt>
                <c:pt idx="13">
                  <c:v>0.58542144661011908</c:v>
                </c:pt>
                <c:pt idx="14">
                  <c:v>0.58155199492979581</c:v>
                </c:pt>
                <c:pt idx="15">
                  <c:v>0.59356262313394537</c:v>
                </c:pt>
                <c:pt idx="16">
                  <c:v>0.59445921362542997</c:v>
                </c:pt>
                <c:pt idx="17">
                  <c:v>0.59391131067456038</c:v>
                </c:pt>
                <c:pt idx="18">
                  <c:v>0.60662155942020002</c:v>
                </c:pt>
                <c:pt idx="19">
                  <c:v>0.61264076908113763</c:v>
                </c:pt>
                <c:pt idx="20">
                  <c:v>0.61599363608099678</c:v>
                </c:pt>
                <c:pt idx="21">
                  <c:v>0.66311590107349083</c:v>
                </c:pt>
                <c:pt idx="22">
                  <c:v>0.74517189360077984</c:v>
                </c:pt>
                <c:pt idx="23">
                  <c:v>0.72397022872334449</c:v>
                </c:pt>
                <c:pt idx="24">
                  <c:v>0.66311590107349083</c:v>
                </c:pt>
                <c:pt idx="25">
                  <c:v>0.69050447134038251</c:v>
                </c:pt>
                <c:pt idx="26">
                  <c:v>0.60410549631050647</c:v>
                </c:pt>
                <c:pt idx="27">
                  <c:v>0.684475421712615</c:v>
                </c:pt>
                <c:pt idx="28">
                  <c:v>0.66675683999516944</c:v>
                </c:pt>
                <c:pt idx="29">
                  <c:v>0.61660059317974736</c:v>
                </c:pt>
                <c:pt idx="30">
                  <c:v>0.81803711941746404</c:v>
                </c:pt>
                <c:pt idx="31">
                  <c:v>0.83404184296119399</c:v>
                </c:pt>
                <c:pt idx="32">
                  <c:v>0.86117434904403212</c:v>
                </c:pt>
                <c:pt idx="33">
                  <c:v>0.84714025108084823</c:v>
                </c:pt>
                <c:pt idx="34">
                  <c:v>0.84129278814437181</c:v>
                </c:pt>
                <c:pt idx="35">
                  <c:v>0.87859103936280614</c:v>
                </c:pt>
                <c:pt idx="36">
                  <c:v>0.90242289630359074</c:v>
                </c:pt>
                <c:pt idx="37">
                  <c:v>0.90242289630359074</c:v>
                </c:pt>
                <c:pt idx="38">
                  <c:v>0.94644262124543443</c:v>
                </c:pt>
                <c:pt idx="39">
                  <c:v>0.96725200604215567</c:v>
                </c:pt>
                <c:pt idx="40">
                  <c:v>0.84917694017596268</c:v>
                </c:pt>
                <c:pt idx="41">
                  <c:v>0.85635864773186432</c:v>
                </c:pt>
                <c:pt idx="42">
                  <c:v>0.86512672485653175</c:v>
                </c:pt>
                <c:pt idx="43">
                  <c:v>0.93485323798856346</c:v>
                </c:pt>
                <c:pt idx="44">
                  <c:v>0.94404770550683115</c:v>
                </c:pt>
                <c:pt idx="45">
                  <c:v>0.93485323798856346</c:v>
                </c:pt>
                <c:pt idx="46">
                  <c:v>0.94997170807452469</c:v>
                </c:pt>
                <c:pt idx="47">
                  <c:v>0.91542628506626045</c:v>
                </c:pt>
                <c:pt idx="48">
                  <c:v>0.9248746068169833</c:v>
                </c:pt>
                <c:pt idx="49">
                  <c:v>0.93969161247928745</c:v>
                </c:pt>
                <c:pt idx="50">
                  <c:v>0.9601958662364245</c:v>
                </c:pt>
                <c:pt idx="51">
                  <c:v>0.94762260030460288</c:v>
                </c:pt>
                <c:pt idx="52">
                  <c:v>0.94481773750585774</c:v>
                </c:pt>
                <c:pt idx="53">
                  <c:v>0.95320351892281485</c:v>
                </c:pt>
                <c:pt idx="54">
                  <c:v>0.95182771809710431</c:v>
                </c:pt>
                <c:pt idx="55">
                  <c:v>0.91861521434498927</c:v>
                </c:pt>
                <c:pt idx="56">
                  <c:v>0.94107838104995334</c:v>
                </c:pt>
                <c:pt idx="57">
                  <c:v>0.94107838104995334</c:v>
                </c:pt>
                <c:pt idx="58">
                  <c:v>0.94107838104995334</c:v>
                </c:pt>
                <c:pt idx="59">
                  <c:v>0.90921329115869776</c:v>
                </c:pt>
                <c:pt idx="60">
                  <c:v>0.91584710240533518</c:v>
                </c:pt>
                <c:pt idx="61">
                  <c:v>0.91902765125865959</c:v>
                </c:pt>
                <c:pt idx="62">
                  <c:v>0.90514599034862198</c:v>
                </c:pt>
                <c:pt idx="63">
                  <c:v>0.78959380464288376</c:v>
                </c:pt>
                <c:pt idx="64">
                  <c:v>0.87490910290764468</c:v>
                </c:pt>
                <c:pt idx="65">
                  <c:v>0.86928745494692716</c:v>
                </c:pt>
                <c:pt idx="66">
                  <c:v>0.90849340717481886</c:v>
                </c:pt>
                <c:pt idx="67">
                  <c:v>0.9034983903169389</c:v>
                </c:pt>
                <c:pt idx="68">
                  <c:v>0.90849340717481886</c:v>
                </c:pt>
                <c:pt idx="69">
                  <c:v>0.89225108632442729</c:v>
                </c:pt>
                <c:pt idx="70">
                  <c:v>0.89337268606647302</c:v>
                </c:pt>
                <c:pt idx="71">
                  <c:v>0.8948997967143093</c:v>
                </c:pt>
                <c:pt idx="72">
                  <c:v>0.89443957907281746</c:v>
                </c:pt>
                <c:pt idx="73">
                  <c:v>0.89512122084695944</c:v>
                </c:pt>
                <c:pt idx="74">
                  <c:v>0.8920195449585564</c:v>
                </c:pt>
                <c:pt idx="75">
                  <c:v>0.88667449797815956</c:v>
                </c:pt>
                <c:pt idx="76">
                  <c:v>0.89407594990163874</c:v>
                </c:pt>
                <c:pt idx="77">
                  <c:v>0.89407594990163874</c:v>
                </c:pt>
                <c:pt idx="78">
                  <c:v>0.8819114104860859</c:v>
                </c:pt>
                <c:pt idx="79">
                  <c:v>0.94551237246929465</c:v>
                </c:pt>
                <c:pt idx="80">
                  <c:v>0.97186924857158052</c:v>
                </c:pt>
                <c:pt idx="81">
                  <c:v>0.98451993370244106</c:v>
                </c:pt>
                <c:pt idx="82">
                  <c:v>0.9385222539497815</c:v>
                </c:pt>
                <c:pt idx="83">
                  <c:v>0.92408794393225557</c:v>
                </c:pt>
                <c:pt idx="84">
                  <c:v>0.88445471641937157</c:v>
                </c:pt>
                <c:pt idx="85">
                  <c:v>0.85694996797233836</c:v>
                </c:pt>
                <c:pt idx="86">
                  <c:v>0.92408794393225557</c:v>
                </c:pt>
                <c:pt idx="87">
                  <c:v>0.91761037893987563</c:v>
                </c:pt>
                <c:pt idx="88">
                  <c:v>0.94047646256577366</c:v>
                </c:pt>
                <c:pt idx="89">
                  <c:v>0.95891425076544745</c:v>
                </c:pt>
                <c:pt idx="90">
                  <c:v>0.96459917415866681</c:v>
                </c:pt>
                <c:pt idx="91">
                  <c:v>0.95362908529618629</c:v>
                </c:pt>
                <c:pt idx="92">
                  <c:v>0.95159604304738465</c:v>
                </c:pt>
                <c:pt idx="93">
                  <c:v>0.95277295236812309</c:v>
                </c:pt>
                <c:pt idx="94">
                  <c:v>0.95079229345734595</c:v>
                </c:pt>
                <c:pt idx="95">
                  <c:v>0.92571311512973709</c:v>
                </c:pt>
                <c:pt idx="96">
                  <c:v>0.9252942527060104</c:v>
                </c:pt>
                <c:pt idx="97">
                  <c:v>0.92772026190850965</c:v>
                </c:pt>
                <c:pt idx="98">
                  <c:v>0.9299301195282087</c:v>
                </c:pt>
                <c:pt idx="99">
                  <c:v>0.92756020040727527</c:v>
                </c:pt>
                <c:pt idx="100">
                  <c:v>0.9105479087849232</c:v>
                </c:pt>
                <c:pt idx="101">
                  <c:v>0.9126136851792267</c:v>
                </c:pt>
                <c:pt idx="102">
                  <c:v>0.90965157918840345</c:v>
                </c:pt>
                <c:pt idx="103">
                  <c:v>0.91018597538933266</c:v>
                </c:pt>
                <c:pt idx="104">
                  <c:v>0.88829814088555981</c:v>
                </c:pt>
                <c:pt idx="105">
                  <c:v>0.88507237465236011</c:v>
                </c:pt>
                <c:pt idx="106">
                  <c:v>0.88631407683414742</c:v>
                </c:pt>
                <c:pt idx="107">
                  <c:v>0.88379536104531342</c:v>
                </c:pt>
                <c:pt idx="108">
                  <c:v>0.84748759806752005</c:v>
                </c:pt>
                <c:pt idx="109">
                  <c:v>0.79744674672768578</c:v>
                </c:pt>
                <c:pt idx="110">
                  <c:v>0.79744674672768578</c:v>
                </c:pt>
                <c:pt idx="111">
                  <c:v>0.75767121274967097</c:v>
                </c:pt>
                <c:pt idx="112">
                  <c:v>0.81599621049204552</c:v>
                </c:pt>
                <c:pt idx="113">
                  <c:v>0.81254588826988361</c:v>
                </c:pt>
                <c:pt idx="114">
                  <c:v>0.70260073761186825</c:v>
                </c:pt>
                <c:pt idx="115">
                  <c:v>0.76832708554350626</c:v>
                </c:pt>
                <c:pt idx="116">
                  <c:v>0.73085022058809757</c:v>
                </c:pt>
                <c:pt idx="117">
                  <c:v>0.74812714109915845</c:v>
                </c:pt>
                <c:pt idx="118">
                  <c:v>0.81951890925716175</c:v>
                </c:pt>
                <c:pt idx="119">
                  <c:v>0.8263799320049966</c:v>
                </c:pt>
                <c:pt idx="120">
                  <c:v>0.82478602429419701</c:v>
                </c:pt>
                <c:pt idx="121">
                  <c:v>0.81686282095814366</c:v>
                </c:pt>
                <c:pt idx="122">
                  <c:v>0.80807149473903783</c:v>
                </c:pt>
                <c:pt idx="123">
                  <c:v>0.77783403735744605</c:v>
                </c:pt>
                <c:pt idx="124">
                  <c:v>0.69528028144531095</c:v>
                </c:pt>
                <c:pt idx="125">
                  <c:v>0.63267241864898449</c:v>
                </c:pt>
                <c:pt idx="126">
                  <c:v>0.60569175356282723</c:v>
                </c:pt>
                <c:pt idx="127">
                  <c:v>0.57343184072471942</c:v>
                </c:pt>
                <c:pt idx="128">
                  <c:v>0.58795254732817659</c:v>
                </c:pt>
                <c:pt idx="129">
                  <c:v>0.39082116641682313</c:v>
                </c:pt>
                <c:pt idx="130">
                  <c:v>0.4330864642120939</c:v>
                </c:pt>
                <c:pt idx="131">
                  <c:v>0.31856955774356621</c:v>
                </c:pt>
                <c:pt idx="132">
                  <c:v>0.42624975952077765</c:v>
                </c:pt>
                <c:pt idx="133">
                  <c:v>0.42922629610906576</c:v>
                </c:pt>
                <c:pt idx="134">
                  <c:v>0.40917398895537016</c:v>
                </c:pt>
                <c:pt idx="135">
                  <c:v>0.40797811985401045</c:v>
                </c:pt>
                <c:pt idx="136">
                  <c:v>0.40797811985401045</c:v>
                </c:pt>
                <c:pt idx="137">
                  <c:v>0.28211495793674252</c:v>
                </c:pt>
                <c:pt idx="138">
                  <c:v>0.32707732602530493</c:v>
                </c:pt>
                <c:pt idx="139">
                  <c:v>0.2818649256036454</c:v>
                </c:pt>
                <c:pt idx="140">
                  <c:v>0.27463010199382165</c:v>
                </c:pt>
                <c:pt idx="141">
                  <c:v>0.33277831045649614</c:v>
                </c:pt>
                <c:pt idx="142">
                  <c:v>0.40445747526612724</c:v>
                </c:pt>
                <c:pt idx="143">
                  <c:v>0.41528178559290679</c:v>
                </c:pt>
                <c:pt idx="144">
                  <c:v>0.41314719259777027</c:v>
                </c:pt>
                <c:pt idx="145">
                  <c:v>0.40232481590336117</c:v>
                </c:pt>
                <c:pt idx="146">
                  <c:v>0.43156912924668556</c:v>
                </c:pt>
                <c:pt idx="147">
                  <c:v>0.4605405147219428</c:v>
                </c:pt>
                <c:pt idx="148">
                  <c:v>0.42159370418067171</c:v>
                </c:pt>
                <c:pt idx="149">
                  <c:v>0.38756459325455095</c:v>
                </c:pt>
                <c:pt idx="150">
                  <c:v>0.41410653536495057</c:v>
                </c:pt>
                <c:pt idx="151">
                  <c:v>0.3969981593322805</c:v>
                </c:pt>
                <c:pt idx="152">
                  <c:v>0.37338021104571051</c:v>
                </c:pt>
                <c:pt idx="153">
                  <c:v>0.3707206267478419</c:v>
                </c:pt>
                <c:pt idx="154">
                  <c:v>0.33974567777608206</c:v>
                </c:pt>
                <c:pt idx="155">
                  <c:v>0.33029809597210952</c:v>
                </c:pt>
                <c:pt idx="156">
                  <c:v>0.26212623729092371</c:v>
                </c:pt>
                <c:pt idx="157">
                  <c:v>0.2902260049252946</c:v>
                </c:pt>
                <c:pt idx="158">
                  <c:v>0.36774882579493112</c:v>
                </c:pt>
                <c:pt idx="159">
                  <c:v>0.37084428304329614</c:v>
                </c:pt>
                <c:pt idx="160">
                  <c:v>0.38160196936392621</c:v>
                </c:pt>
                <c:pt idx="161">
                  <c:v>0.40068103493110224</c:v>
                </c:pt>
                <c:pt idx="162">
                  <c:v>0.38532630107916044</c:v>
                </c:pt>
                <c:pt idx="163">
                  <c:v>0.3755719775185945</c:v>
                </c:pt>
                <c:pt idx="164">
                  <c:v>0.36967404481869215</c:v>
                </c:pt>
                <c:pt idx="165">
                  <c:v>0.38316963725836589</c:v>
                </c:pt>
                <c:pt idx="166">
                  <c:v>0.36933430427665681</c:v>
                </c:pt>
                <c:pt idx="167">
                  <c:v>0.38030249532079374</c:v>
                </c:pt>
                <c:pt idx="168">
                  <c:v>0.36565400061256043</c:v>
                </c:pt>
                <c:pt idx="169">
                  <c:v>0.35521926568999218</c:v>
                </c:pt>
                <c:pt idx="170">
                  <c:v>0.36683376695248865</c:v>
                </c:pt>
                <c:pt idx="171">
                  <c:v>0.38166972699665563</c:v>
                </c:pt>
                <c:pt idx="172">
                  <c:v>0.37393962817107157</c:v>
                </c:pt>
                <c:pt idx="173">
                  <c:v>0.37360583835556432</c:v>
                </c:pt>
                <c:pt idx="174">
                  <c:v>0.40975674753773905</c:v>
                </c:pt>
                <c:pt idx="175">
                  <c:v>0.4132153406951769</c:v>
                </c:pt>
                <c:pt idx="176">
                  <c:v>0.44799454346559853</c:v>
                </c:pt>
                <c:pt idx="177">
                  <c:v>0.46362020494951672</c:v>
                </c:pt>
                <c:pt idx="178">
                  <c:v>0.46847875373528863</c:v>
                </c:pt>
                <c:pt idx="179">
                  <c:v>0.41096738430920449</c:v>
                </c:pt>
                <c:pt idx="180">
                  <c:v>0.42635938692148717</c:v>
                </c:pt>
                <c:pt idx="181">
                  <c:v>0.46847875373528863</c:v>
                </c:pt>
                <c:pt idx="182">
                  <c:v>0.48178321750260522</c:v>
                </c:pt>
                <c:pt idx="183">
                  <c:v>0.42147742037560049</c:v>
                </c:pt>
                <c:pt idx="184">
                  <c:v>0.45155296827836544</c:v>
                </c:pt>
                <c:pt idx="185">
                  <c:v>0.45155296827836544</c:v>
                </c:pt>
                <c:pt idx="186">
                  <c:v>0.45923072088835232</c:v>
                </c:pt>
                <c:pt idx="187">
                  <c:v>0.42413376349642812</c:v>
                </c:pt>
                <c:pt idx="188">
                  <c:v>0.45575254137027688</c:v>
                </c:pt>
                <c:pt idx="189">
                  <c:v>0.49084413664233395</c:v>
                </c:pt>
                <c:pt idx="190">
                  <c:v>0.49084413664233395</c:v>
                </c:pt>
                <c:pt idx="191">
                  <c:v>0.4873264191007175</c:v>
                </c:pt>
                <c:pt idx="192">
                  <c:v>0.4741591952243816</c:v>
                </c:pt>
                <c:pt idx="193">
                  <c:v>0.3981672862675662</c:v>
                </c:pt>
                <c:pt idx="194">
                  <c:v>0.41373230170663788</c:v>
                </c:pt>
                <c:pt idx="195">
                  <c:v>0.43232059685066798</c:v>
                </c:pt>
                <c:pt idx="196">
                  <c:v>0.47165449273347226</c:v>
                </c:pt>
                <c:pt idx="197">
                  <c:v>0.57517284737260799</c:v>
                </c:pt>
                <c:pt idx="198">
                  <c:v>0.58745733896979668</c:v>
                </c:pt>
                <c:pt idx="199">
                  <c:v>0.57181297396619646</c:v>
                </c:pt>
                <c:pt idx="200">
                  <c:v>0.54857982917990311</c:v>
                </c:pt>
                <c:pt idx="201">
                  <c:v>0.55497671209744126</c:v>
                </c:pt>
                <c:pt idx="202">
                  <c:v>0.56606721089043732</c:v>
                </c:pt>
                <c:pt idx="203">
                  <c:v>0.57290983086857539</c:v>
                </c:pt>
                <c:pt idx="204">
                  <c:v>0.59279776197128353</c:v>
                </c:pt>
                <c:pt idx="205">
                  <c:v>0.5786710507683992</c:v>
                </c:pt>
                <c:pt idx="206">
                  <c:v>0.6155496963810797</c:v>
                </c:pt>
                <c:pt idx="207">
                  <c:v>0.60574636223541978</c:v>
                </c:pt>
                <c:pt idx="208">
                  <c:v>0.59072795930158906</c:v>
                </c:pt>
                <c:pt idx="209">
                  <c:v>0.63580141506138355</c:v>
                </c:pt>
                <c:pt idx="210">
                  <c:v>0.66264885680249008</c:v>
                </c:pt>
                <c:pt idx="211">
                  <c:v>0.66474126748702123</c:v>
                </c:pt>
                <c:pt idx="212">
                  <c:v>0.66264885680249008</c:v>
                </c:pt>
                <c:pt idx="213">
                  <c:v>0.68438167594716182</c:v>
                </c:pt>
                <c:pt idx="214">
                  <c:v>0.64890841265420796</c:v>
                </c:pt>
                <c:pt idx="215">
                  <c:v>0.62651628119673453</c:v>
                </c:pt>
                <c:pt idx="216">
                  <c:v>0.61098575112407738</c:v>
                </c:pt>
                <c:pt idx="217">
                  <c:v>0.61966926616186646</c:v>
                </c:pt>
                <c:pt idx="218">
                  <c:v>0.57559445438514367</c:v>
                </c:pt>
                <c:pt idx="219">
                  <c:v>0.60937196228640689</c:v>
                </c:pt>
                <c:pt idx="220">
                  <c:v>0.64195316325793905</c:v>
                </c:pt>
                <c:pt idx="221">
                  <c:v>0.62778439660000751</c:v>
                </c:pt>
                <c:pt idx="222">
                  <c:v>0.64459292642165245</c:v>
                </c:pt>
                <c:pt idx="223">
                  <c:v>0.63055503904182508</c:v>
                </c:pt>
                <c:pt idx="224">
                  <c:v>0.64951370522505292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'Current Paying PMI'!$M$2</c:f>
              <c:strCache>
                <c:ptCount val="1"/>
                <c:pt idx="0">
                  <c:v>HARP</c:v>
                </c:pt>
              </c:strCache>
            </c:strRef>
          </c:tx>
          <c:marker>
            <c:symbol val="none"/>
          </c:marker>
          <c:cat>
            <c:numRef>
              <c:f>'Current Paying PMI'!$K$3:$K$227</c:f>
              <c:numCache>
                <c:formatCode>m/d/yyyy</c:formatCode>
                <c:ptCount val="225"/>
                <c:pt idx="0">
                  <c:v>40549</c:v>
                </c:pt>
                <c:pt idx="1">
                  <c:v>40556</c:v>
                </c:pt>
                <c:pt idx="2">
                  <c:v>40563</c:v>
                </c:pt>
                <c:pt idx="3">
                  <c:v>40570</c:v>
                </c:pt>
                <c:pt idx="4">
                  <c:v>40577</c:v>
                </c:pt>
                <c:pt idx="5">
                  <c:v>40584</c:v>
                </c:pt>
                <c:pt idx="6">
                  <c:v>40591</c:v>
                </c:pt>
                <c:pt idx="7">
                  <c:v>40598</c:v>
                </c:pt>
                <c:pt idx="8">
                  <c:v>40605</c:v>
                </c:pt>
                <c:pt idx="9">
                  <c:v>40612</c:v>
                </c:pt>
                <c:pt idx="10">
                  <c:v>40619</c:v>
                </c:pt>
                <c:pt idx="11">
                  <c:v>40626</c:v>
                </c:pt>
                <c:pt idx="12">
                  <c:v>40633</c:v>
                </c:pt>
                <c:pt idx="13">
                  <c:v>40640</c:v>
                </c:pt>
                <c:pt idx="14">
                  <c:v>40647</c:v>
                </c:pt>
                <c:pt idx="15">
                  <c:v>40654</c:v>
                </c:pt>
                <c:pt idx="16">
                  <c:v>40661</c:v>
                </c:pt>
                <c:pt idx="17">
                  <c:v>40668</c:v>
                </c:pt>
                <c:pt idx="18">
                  <c:v>40675</c:v>
                </c:pt>
                <c:pt idx="19">
                  <c:v>40682</c:v>
                </c:pt>
                <c:pt idx="20">
                  <c:v>40689</c:v>
                </c:pt>
                <c:pt idx="21">
                  <c:v>40696</c:v>
                </c:pt>
                <c:pt idx="22">
                  <c:v>40703</c:v>
                </c:pt>
                <c:pt idx="23">
                  <c:v>40710</c:v>
                </c:pt>
                <c:pt idx="24">
                  <c:v>40717</c:v>
                </c:pt>
                <c:pt idx="25">
                  <c:v>40724</c:v>
                </c:pt>
                <c:pt idx="26">
                  <c:v>40731</c:v>
                </c:pt>
                <c:pt idx="27">
                  <c:v>40738</c:v>
                </c:pt>
                <c:pt idx="28">
                  <c:v>40745</c:v>
                </c:pt>
                <c:pt idx="29">
                  <c:v>40752</c:v>
                </c:pt>
                <c:pt idx="30">
                  <c:v>40759</c:v>
                </c:pt>
                <c:pt idx="31">
                  <c:v>40766</c:v>
                </c:pt>
                <c:pt idx="32">
                  <c:v>40773</c:v>
                </c:pt>
                <c:pt idx="33">
                  <c:v>40780</c:v>
                </c:pt>
                <c:pt idx="34">
                  <c:v>40787</c:v>
                </c:pt>
                <c:pt idx="35">
                  <c:v>40794</c:v>
                </c:pt>
                <c:pt idx="36">
                  <c:v>40801</c:v>
                </c:pt>
                <c:pt idx="37">
                  <c:v>40808</c:v>
                </c:pt>
                <c:pt idx="38">
                  <c:v>40815</c:v>
                </c:pt>
                <c:pt idx="39">
                  <c:v>40822</c:v>
                </c:pt>
                <c:pt idx="40">
                  <c:v>40829</c:v>
                </c:pt>
                <c:pt idx="41">
                  <c:v>40836</c:v>
                </c:pt>
                <c:pt idx="42">
                  <c:v>40843</c:v>
                </c:pt>
                <c:pt idx="43">
                  <c:v>40850</c:v>
                </c:pt>
                <c:pt idx="44">
                  <c:v>40857</c:v>
                </c:pt>
                <c:pt idx="45">
                  <c:v>40864</c:v>
                </c:pt>
                <c:pt idx="46">
                  <c:v>40870</c:v>
                </c:pt>
                <c:pt idx="47">
                  <c:v>40878</c:v>
                </c:pt>
                <c:pt idx="48">
                  <c:v>40885</c:v>
                </c:pt>
                <c:pt idx="49">
                  <c:v>40892</c:v>
                </c:pt>
                <c:pt idx="50">
                  <c:v>40899</c:v>
                </c:pt>
                <c:pt idx="51">
                  <c:v>40906</c:v>
                </c:pt>
                <c:pt idx="52">
                  <c:v>40913</c:v>
                </c:pt>
                <c:pt idx="53">
                  <c:v>40920</c:v>
                </c:pt>
                <c:pt idx="54">
                  <c:v>40927</c:v>
                </c:pt>
                <c:pt idx="55">
                  <c:v>40934</c:v>
                </c:pt>
                <c:pt idx="56">
                  <c:v>40941</c:v>
                </c:pt>
                <c:pt idx="57">
                  <c:v>40948</c:v>
                </c:pt>
                <c:pt idx="58">
                  <c:v>40955</c:v>
                </c:pt>
                <c:pt idx="59">
                  <c:v>40962</c:v>
                </c:pt>
                <c:pt idx="60">
                  <c:v>40969</c:v>
                </c:pt>
                <c:pt idx="61">
                  <c:v>40976</c:v>
                </c:pt>
                <c:pt idx="62">
                  <c:v>40983</c:v>
                </c:pt>
                <c:pt idx="63">
                  <c:v>40990</c:v>
                </c:pt>
                <c:pt idx="64">
                  <c:v>40997</c:v>
                </c:pt>
                <c:pt idx="65">
                  <c:v>41004</c:v>
                </c:pt>
                <c:pt idx="66">
                  <c:v>41011</c:v>
                </c:pt>
                <c:pt idx="67">
                  <c:v>41018</c:v>
                </c:pt>
                <c:pt idx="68">
                  <c:v>41025</c:v>
                </c:pt>
                <c:pt idx="69">
                  <c:v>41032</c:v>
                </c:pt>
                <c:pt idx="70">
                  <c:v>41039</c:v>
                </c:pt>
                <c:pt idx="71">
                  <c:v>41046</c:v>
                </c:pt>
                <c:pt idx="72">
                  <c:v>41053</c:v>
                </c:pt>
                <c:pt idx="73">
                  <c:v>41060</c:v>
                </c:pt>
                <c:pt idx="74">
                  <c:v>41067</c:v>
                </c:pt>
                <c:pt idx="75">
                  <c:v>41074</c:v>
                </c:pt>
                <c:pt idx="76">
                  <c:v>41081</c:v>
                </c:pt>
                <c:pt idx="77">
                  <c:v>41088</c:v>
                </c:pt>
                <c:pt idx="78">
                  <c:v>41095</c:v>
                </c:pt>
                <c:pt idx="79">
                  <c:v>41102</c:v>
                </c:pt>
                <c:pt idx="80">
                  <c:v>41109</c:v>
                </c:pt>
                <c:pt idx="81">
                  <c:v>41116</c:v>
                </c:pt>
                <c:pt idx="82">
                  <c:v>41123</c:v>
                </c:pt>
                <c:pt idx="83">
                  <c:v>41130</c:v>
                </c:pt>
                <c:pt idx="84">
                  <c:v>41137</c:v>
                </c:pt>
                <c:pt idx="85">
                  <c:v>41144</c:v>
                </c:pt>
                <c:pt idx="86">
                  <c:v>41151</c:v>
                </c:pt>
                <c:pt idx="87">
                  <c:v>41158</c:v>
                </c:pt>
                <c:pt idx="88">
                  <c:v>41165</c:v>
                </c:pt>
                <c:pt idx="89">
                  <c:v>41172</c:v>
                </c:pt>
                <c:pt idx="90">
                  <c:v>41179</c:v>
                </c:pt>
                <c:pt idx="91">
                  <c:v>41186</c:v>
                </c:pt>
                <c:pt idx="92">
                  <c:v>41193</c:v>
                </c:pt>
                <c:pt idx="93">
                  <c:v>41200</c:v>
                </c:pt>
                <c:pt idx="94">
                  <c:v>41207</c:v>
                </c:pt>
                <c:pt idx="95">
                  <c:v>41214</c:v>
                </c:pt>
                <c:pt idx="96">
                  <c:v>41221</c:v>
                </c:pt>
                <c:pt idx="97">
                  <c:v>41228</c:v>
                </c:pt>
                <c:pt idx="98">
                  <c:v>41234</c:v>
                </c:pt>
                <c:pt idx="99">
                  <c:v>41242</c:v>
                </c:pt>
                <c:pt idx="100">
                  <c:v>41249</c:v>
                </c:pt>
                <c:pt idx="101">
                  <c:v>41256</c:v>
                </c:pt>
                <c:pt idx="102">
                  <c:v>41263</c:v>
                </c:pt>
                <c:pt idx="103">
                  <c:v>41270</c:v>
                </c:pt>
                <c:pt idx="104">
                  <c:v>41277</c:v>
                </c:pt>
                <c:pt idx="105">
                  <c:v>41284</c:v>
                </c:pt>
                <c:pt idx="106">
                  <c:v>41291</c:v>
                </c:pt>
                <c:pt idx="107">
                  <c:v>41298</c:v>
                </c:pt>
                <c:pt idx="108">
                  <c:v>41305</c:v>
                </c:pt>
                <c:pt idx="109">
                  <c:v>41312</c:v>
                </c:pt>
                <c:pt idx="110">
                  <c:v>41319</c:v>
                </c:pt>
                <c:pt idx="111">
                  <c:v>41326</c:v>
                </c:pt>
                <c:pt idx="112">
                  <c:v>41333</c:v>
                </c:pt>
                <c:pt idx="113">
                  <c:v>41340</c:v>
                </c:pt>
                <c:pt idx="114">
                  <c:v>41347</c:v>
                </c:pt>
                <c:pt idx="115">
                  <c:v>41354</c:v>
                </c:pt>
                <c:pt idx="116">
                  <c:v>41361</c:v>
                </c:pt>
                <c:pt idx="117">
                  <c:v>41368</c:v>
                </c:pt>
                <c:pt idx="118">
                  <c:v>41375</c:v>
                </c:pt>
                <c:pt idx="119">
                  <c:v>41382</c:v>
                </c:pt>
                <c:pt idx="120">
                  <c:v>41389</c:v>
                </c:pt>
                <c:pt idx="121">
                  <c:v>41396</c:v>
                </c:pt>
                <c:pt idx="122">
                  <c:v>41403</c:v>
                </c:pt>
                <c:pt idx="123">
                  <c:v>41410</c:v>
                </c:pt>
                <c:pt idx="124">
                  <c:v>41417</c:v>
                </c:pt>
                <c:pt idx="125">
                  <c:v>41424</c:v>
                </c:pt>
                <c:pt idx="126">
                  <c:v>41431</c:v>
                </c:pt>
                <c:pt idx="127">
                  <c:v>41438</c:v>
                </c:pt>
                <c:pt idx="128">
                  <c:v>41445</c:v>
                </c:pt>
                <c:pt idx="129">
                  <c:v>41452</c:v>
                </c:pt>
                <c:pt idx="130">
                  <c:v>41458</c:v>
                </c:pt>
                <c:pt idx="131">
                  <c:v>41466</c:v>
                </c:pt>
                <c:pt idx="132">
                  <c:v>41473</c:v>
                </c:pt>
                <c:pt idx="133">
                  <c:v>41480</c:v>
                </c:pt>
                <c:pt idx="134">
                  <c:v>41487</c:v>
                </c:pt>
                <c:pt idx="135">
                  <c:v>41494</c:v>
                </c:pt>
                <c:pt idx="136">
                  <c:v>41501</c:v>
                </c:pt>
                <c:pt idx="137">
                  <c:v>41508</c:v>
                </c:pt>
                <c:pt idx="138">
                  <c:v>41515</c:v>
                </c:pt>
                <c:pt idx="139">
                  <c:v>41522</c:v>
                </c:pt>
                <c:pt idx="140">
                  <c:v>41529</c:v>
                </c:pt>
                <c:pt idx="141">
                  <c:v>41536</c:v>
                </c:pt>
                <c:pt idx="142">
                  <c:v>41543</c:v>
                </c:pt>
                <c:pt idx="143">
                  <c:v>41550</c:v>
                </c:pt>
                <c:pt idx="144">
                  <c:v>41557</c:v>
                </c:pt>
                <c:pt idx="145">
                  <c:v>41564</c:v>
                </c:pt>
                <c:pt idx="146">
                  <c:v>41571</c:v>
                </c:pt>
                <c:pt idx="147">
                  <c:v>41578</c:v>
                </c:pt>
                <c:pt idx="148">
                  <c:v>41585</c:v>
                </c:pt>
                <c:pt idx="149">
                  <c:v>41592</c:v>
                </c:pt>
                <c:pt idx="150">
                  <c:v>41599</c:v>
                </c:pt>
                <c:pt idx="151">
                  <c:v>41605</c:v>
                </c:pt>
                <c:pt idx="152">
                  <c:v>41613</c:v>
                </c:pt>
                <c:pt idx="153">
                  <c:v>41620</c:v>
                </c:pt>
                <c:pt idx="154">
                  <c:v>41627</c:v>
                </c:pt>
                <c:pt idx="155">
                  <c:v>41634</c:v>
                </c:pt>
                <c:pt idx="156">
                  <c:v>41641</c:v>
                </c:pt>
                <c:pt idx="157">
                  <c:v>41648</c:v>
                </c:pt>
                <c:pt idx="158">
                  <c:v>41655</c:v>
                </c:pt>
                <c:pt idx="159">
                  <c:v>41662</c:v>
                </c:pt>
                <c:pt idx="160">
                  <c:v>41669</c:v>
                </c:pt>
                <c:pt idx="161">
                  <c:v>41676</c:v>
                </c:pt>
                <c:pt idx="162">
                  <c:v>41683</c:v>
                </c:pt>
                <c:pt idx="163">
                  <c:v>41690</c:v>
                </c:pt>
                <c:pt idx="164">
                  <c:v>41697</c:v>
                </c:pt>
                <c:pt idx="165">
                  <c:v>41704</c:v>
                </c:pt>
                <c:pt idx="166">
                  <c:v>41711</c:v>
                </c:pt>
                <c:pt idx="167">
                  <c:v>41718</c:v>
                </c:pt>
                <c:pt idx="168">
                  <c:v>41725</c:v>
                </c:pt>
                <c:pt idx="169">
                  <c:v>41732</c:v>
                </c:pt>
                <c:pt idx="170">
                  <c:v>41739</c:v>
                </c:pt>
                <c:pt idx="171">
                  <c:v>41746</c:v>
                </c:pt>
                <c:pt idx="172">
                  <c:v>41753</c:v>
                </c:pt>
                <c:pt idx="173">
                  <c:v>41760</c:v>
                </c:pt>
                <c:pt idx="174">
                  <c:v>41767</c:v>
                </c:pt>
                <c:pt idx="175">
                  <c:v>41774</c:v>
                </c:pt>
                <c:pt idx="176">
                  <c:v>41781</c:v>
                </c:pt>
                <c:pt idx="177">
                  <c:v>41788</c:v>
                </c:pt>
                <c:pt idx="178">
                  <c:v>41795</c:v>
                </c:pt>
                <c:pt idx="179">
                  <c:v>41802</c:v>
                </c:pt>
                <c:pt idx="180">
                  <c:v>41809</c:v>
                </c:pt>
                <c:pt idx="181">
                  <c:v>41816</c:v>
                </c:pt>
                <c:pt idx="182">
                  <c:v>41823</c:v>
                </c:pt>
                <c:pt idx="183">
                  <c:v>41830</c:v>
                </c:pt>
                <c:pt idx="184">
                  <c:v>41837</c:v>
                </c:pt>
                <c:pt idx="185">
                  <c:v>41844</c:v>
                </c:pt>
                <c:pt idx="186">
                  <c:v>41851</c:v>
                </c:pt>
                <c:pt idx="187">
                  <c:v>41858</c:v>
                </c:pt>
                <c:pt idx="188">
                  <c:v>41865</c:v>
                </c:pt>
                <c:pt idx="189">
                  <c:v>41872</c:v>
                </c:pt>
                <c:pt idx="190">
                  <c:v>41879</c:v>
                </c:pt>
                <c:pt idx="191">
                  <c:v>41886</c:v>
                </c:pt>
                <c:pt idx="192">
                  <c:v>41893</c:v>
                </c:pt>
                <c:pt idx="193">
                  <c:v>41900</c:v>
                </c:pt>
                <c:pt idx="194">
                  <c:v>41907</c:v>
                </c:pt>
                <c:pt idx="195">
                  <c:v>41914</c:v>
                </c:pt>
                <c:pt idx="196">
                  <c:v>41921</c:v>
                </c:pt>
                <c:pt idx="197">
                  <c:v>41928</c:v>
                </c:pt>
                <c:pt idx="198">
                  <c:v>41935</c:v>
                </c:pt>
                <c:pt idx="199">
                  <c:v>41942</c:v>
                </c:pt>
                <c:pt idx="200">
                  <c:v>41949</c:v>
                </c:pt>
                <c:pt idx="201">
                  <c:v>41956</c:v>
                </c:pt>
                <c:pt idx="202">
                  <c:v>41963</c:v>
                </c:pt>
                <c:pt idx="203">
                  <c:v>41969</c:v>
                </c:pt>
                <c:pt idx="204">
                  <c:v>41977</c:v>
                </c:pt>
                <c:pt idx="205">
                  <c:v>41984</c:v>
                </c:pt>
                <c:pt idx="206">
                  <c:v>41991</c:v>
                </c:pt>
                <c:pt idx="207">
                  <c:v>41997</c:v>
                </c:pt>
                <c:pt idx="208">
                  <c:v>42004</c:v>
                </c:pt>
                <c:pt idx="209">
                  <c:v>42012</c:v>
                </c:pt>
                <c:pt idx="210">
                  <c:v>42019</c:v>
                </c:pt>
                <c:pt idx="211">
                  <c:v>42026</c:v>
                </c:pt>
                <c:pt idx="212">
                  <c:v>42033</c:v>
                </c:pt>
                <c:pt idx="213">
                  <c:v>42040</c:v>
                </c:pt>
                <c:pt idx="214">
                  <c:v>42047</c:v>
                </c:pt>
                <c:pt idx="215">
                  <c:v>42054</c:v>
                </c:pt>
                <c:pt idx="216">
                  <c:v>42061</c:v>
                </c:pt>
                <c:pt idx="217">
                  <c:v>42068</c:v>
                </c:pt>
                <c:pt idx="218">
                  <c:v>42075</c:v>
                </c:pt>
                <c:pt idx="219">
                  <c:v>42082</c:v>
                </c:pt>
                <c:pt idx="220">
                  <c:v>42089</c:v>
                </c:pt>
                <c:pt idx="221">
                  <c:v>42096</c:v>
                </c:pt>
                <c:pt idx="222">
                  <c:v>42103</c:v>
                </c:pt>
                <c:pt idx="223">
                  <c:v>42110</c:v>
                </c:pt>
                <c:pt idx="224">
                  <c:v>42117</c:v>
                </c:pt>
              </c:numCache>
            </c:numRef>
          </c:cat>
          <c:val>
            <c:numRef>
              <c:f>'Current Paying PMI'!$M$3:$M$227</c:f>
              <c:numCache>
                <c:formatCode>0%</c:formatCode>
                <c:ptCount val="225"/>
                <c:pt idx="0">
                  <c:v>0.41917445646047702</c:v>
                </c:pt>
                <c:pt idx="1">
                  <c:v>0.43621985629656101</c:v>
                </c:pt>
                <c:pt idx="2">
                  <c:v>0.41944708561696598</c:v>
                </c:pt>
                <c:pt idx="3">
                  <c:v>0.418710148423519</c:v>
                </c:pt>
                <c:pt idx="4">
                  <c:v>0.38887560757790002</c:v>
                </c:pt>
                <c:pt idx="5">
                  <c:v>0.35101070043975402</c:v>
                </c:pt>
                <c:pt idx="6">
                  <c:v>0.36422873018148</c:v>
                </c:pt>
                <c:pt idx="7">
                  <c:v>0.37426156705539698</c:v>
                </c:pt>
                <c:pt idx="8">
                  <c:v>0.378077073966118</c:v>
                </c:pt>
                <c:pt idx="9">
                  <c:v>0.37803494484535199</c:v>
                </c:pt>
                <c:pt idx="10">
                  <c:v>0.407679162563724</c:v>
                </c:pt>
                <c:pt idx="11">
                  <c:v>0.39154691259907098</c:v>
                </c:pt>
                <c:pt idx="12">
                  <c:v>0.37809391960358502</c:v>
                </c:pt>
                <c:pt idx="13">
                  <c:v>0.36996472497765398</c:v>
                </c:pt>
                <c:pt idx="14">
                  <c:v>0.36984016473175102</c:v>
                </c:pt>
                <c:pt idx="15">
                  <c:v>0.38384871096807699</c:v>
                </c:pt>
                <c:pt idx="16">
                  <c:v>0.38433074982262799</c:v>
                </c:pt>
                <c:pt idx="17">
                  <c:v>0.394871405610702</c:v>
                </c:pt>
                <c:pt idx="18">
                  <c:v>0.43079303669576202</c:v>
                </c:pt>
                <c:pt idx="19">
                  <c:v>0.43090192835496699</c:v>
                </c:pt>
                <c:pt idx="20">
                  <c:v>0.431110671725766</c:v>
                </c:pt>
                <c:pt idx="21">
                  <c:v>0.45342303565958197</c:v>
                </c:pt>
                <c:pt idx="22">
                  <c:v>0.47629557608974499</c:v>
                </c:pt>
                <c:pt idx="23">
                  <c:v>0.47626301055025799</c:v>
                </c:pt>
                <c:pt idx="24">
                  <c:v>0.45342303565958197</c:v>
                </c:pt>
                <c:pt idx="25">
                  <c:v>0.47533111966863201</c:v>
                </c:pt>
                <c:pt idx="26">
                  <c:v>0.42115773967800002</c:v>
                </c:pt>
                <c:pt idx="27">
                  <c:v>0.47005900282082203</c:v>
                </c:pt>
                <c:pt idx="28">
                  <c:v>0.44797749734765901</c:v>
                </c:pt>
                <c:pt idx="29">
                  <c:v>0.44409861209358098</c:v>
                </c:pt>
                <c:pt idx="30">
                  <c:v>0.515379400381896</c:v>
                </c:pt>
                <c:pt idx="31">
                  <c:v>0.61745026323361196</c:v>
                </c:pt>
                <c:pt idx="32">
                  <c:v>0.71103111098302996</c:v>
                </c:pt>
                <c:pt idx="33">
                  <c:v>0.66735967344709601</c:v>
                </c:pt>
                <c:pt idx="34">
                  <c:v>0.66070318293374397</c:v>
                </c:pt>
                <c:pt idx="35">
                  <c:v>0.72862294428542695</c:v>
                </c:pt>
                <c:pt idx="36">
                  <c:v>0.73180955418473204</c:v>
                </c:pt>
                <c:pt idx="37">
                  <c:v>0.73180955418473204</c:v>
                </c:pt>
                <c:pt idx="38">
                  <c:v>0.78537510001402</c:v>
                </c:pt>
                <c:pt idx="39">
                  <c:v>0.77200889405912698</c:v>
                </c:pt>
                <c:pt idx="40">
                  <c:v>0.68762581065136796</c:v>
                </c:pt>
                <c:pt idx="41">
                  <c:v>0.70907311332117495</c:v>
                </c:pt>
                <c:pt idx="42">
                  <c:v>0.71096371307505601</c:v>
                </c:pt>
                <c:pt idx="43">
                  <c:v>0.75213064967891696</c:v>
                </c:pt>
                <c:pt idx="44">
                  <c:v>0.75215343752934904</c:v>
                </c:pt>
                <c:pt idx="45">
                  <c:v>0.75213064967891696</c:v>
                </c:pt>
                <c:pt idx="46">
                  <c:v>0.75451882195048703</c:v>
                </c:pt>
                <c:pt idx="47">
                  <c:v>0.73701250506221705</c:v>
                </c:pt>
                <c:pt idx="48">
                  <c:v>0.737034618623016</c:v>
                </c:pt>
                <c:pt idx="49">
                  <c:v>0.74005848510739902</c:v>
                </c:pt>
                <c:pt idx="50">
                  <c:v>0.77262482249298603</c:v>
                </c:pt>
                <c:pt idx="51">
                  <c:v>0.76353022654842795</c:v>
                </c:pt>
                <c:pt idx="52">
                  <c:v>0.75017446397926801</c:v>
                </c:pt>
                <c:pt idx="53">
                  <c:v>0.76194885743932395</c:v>
                </c:pt>
                <c:pt idx="54">
                  <c:v>0.76015152542719999</c:v>
                </c:pt>
                <c:pt idx="55">
                  <c:v>0.72538795894175401</c:v>
                </c:pt>
                <c:pt idx="56">
                  <c:v>0.73976850442679698</c:v>
                </c:pt>
                <c:pt idx="57">
                  <c:v>0.73976850442679698</c:v>
                </c:pt>
                <c:pt idx="58">
                  <c:v>0.73976850442679698</c:v>
                </c:pt>
                <c:pt idx="59">
                  <c:v>0.70482380254349597</c:v>
                </c:pt>
                <c:pt idx="60">
                  <c:v>0.71197045097818001</c:v>
                </c:pt>
                <c:pt idx="61">
                  <c:v>0.72185562668080905</c:v>
                </c:pt>
                <c:pt idx="62">
                  <c:v>0.71184965643423004</c:v>
                </c:pt>
                <c:pt idx="63">
                  <c:v>0.63003810447880604</c:v>
                </c:pt>
                <c:pt idx="64">
                  <c:v>0.68476549375243201</c:v>
                </c:pt>
                <c:pt idx="65">
                  <c:v>0.68702063249841105</c:v>
                </c:pt>
                <c:pt idx="66">
                  <c:v>0.74360097428026795</c:v>
                </c:pt>
                <c:pt idx="67">
                  <c:v>0.71319163212853798</c:v>
                </c:pt>
                <c:pt idx="68">
                  <c:v>0.74360097428026795</c:v>
                </c:pt>
                <c:pt idx="69">
                  <c:v>0.74458940201611601</c:v>
                </c:pt>
                <c:pt idx="70">
                  <c:v>0.74880992852224404</c:v>
                </c:pt>
                <c:pt idx="71">
                  <c:v>0.77533293010841997</c:v>
                </c:pt>
                <c:pt idx="72">
                  <c:v>0.77252849495486897</c:v>
                </c:pt>
                <c:pt idx="73">
                  <c:v>0.77719223327132003</c:v>
                </c:pt>
                <c:pt idx="74">
                  <c:v>0.81161668458948799</c:v>
                </c:pt>
                <c:pt idx="75">
                  <c:v>0.79320998802631504</c:v>
                </c:pt>
                <c:pt idx="76">
                  <c:v>0.81309219550150202</c:v>
                </c:pt>
                <c:pt idx="77">
                  <c:v>0.81309219550150202</c:v>
                </c:pt>
                <c:pt idx="78">
                  <c:v>0.80304589352971401</c:v>
                </c:pt>
                <c:pt idx="79">
                  <c:v>0.83475833318603099</c:v>
                </c:pt>
                <c:pt idx="80">
                  <c:v>0.839279067165004</c:v>
                </c:pt>
                <c:pt idx="81">
                  <c:v>0.85583686182580798</c:v>
                </c:pt>
                <c:pt idx="82">
                  <c:v>0.81672598038940503</c:v>
                </c:pt>
                <c:pt idx="83">
                  <c:v>0.81660096914097402</c:v>
                </c:pt>
                <c:pt idx="84">
                  <c:v>0.80039531716996504</c:v>
                </c:pt>
                <c:pt idx="85">
                  <c:v>0.78286282867668</c:v>
                </c:pt>
                <c:pt idx="86">
                  <c:v>0.81660096914097402</c:v>
                </c:pt>
                <c:pt idx="87">
                  <c:v>0.80003630895948397</c:v>
                </c:pt>
                <c:pt idx="88">
                  <c:v>0.80517464210851997</c:v>
                </c:pt>
                <c:pt idx="89">
                  <c:v>0.82579336591607799</c:v>
                </c:pt>
                <c:pt idx="90">
                  <c:v>0.87352757054468799</c:v>
                </c:pt>
                <c:pt idx="91">
                  <c:v>0.85283995726602502</c:v>
                </c:pt>
                <c:pt idx="92">
                  <c:v>0.82980253162130702</c:v>
                </c:pt>
                <c:pt idx="93">
                  <c:v>0.84996407134381802</c:v>
                </c:pt>
                <c:pt idx="94">
                  <c:v>0.828248760892495</c:v>
                </c:pt>
                <c:pt idx="95">
                  <c:v>0.79915808926981402</c:v>
                </c:pt>
                <c:pt idx="96">
                  <c:v>0.79873425180913604</c:v>
                </c:pt>
                <c:pt idx="97">
                  <c:v>0.82276956639306598</c:v>
                </c:pt>
                <c:pt idx="98">
                  <c:v>0.84066676404946505</c:v>
                </c:pt>
                <c:pt idx="99">
                  <c:v>0.82275551487300902</c:v>
                </c:pt>
                <c:pt idx="100">
                  <c:v>0.80649977939682505</c:v>
                </c:pt>
                <c:pt idx="101">
                  <c:v>0.82418991295466604</c:v>
                </c:pt>
                <c:pt idx="102">
                  <c:v>0.80390223047279097</c:v>
                </c:pt>
                <c:pt idx="103">
                  <c:v>0.80591432289546205</c:v>
                </c:pt>
                <c:pt idx="104">
                  <c:v>0.78440164177592298</c:v>
                </c:pt>
                <c:pt idx="105">
                  <c:v>0.759606662501778</c:v>
                </c:pt>
                <c:pt idx="106">
                  <c:v>0.78142443901466097</c:v>
                </c:pt>
                <c:pt idx="107">
                  <c:v>0.75700205657756403</c:v>
                </c:pt>
                <c:pt idx="108">
                  <c:v>0.70776343414969201</c:v>
                </c:pt>
                <c:pt idx="109">
                  <c:v>0.68149824697650396</c:v>
                </c:pt>
                <c:pt idx="110">
                  <c:v>0.68149824697650396</c:v>
                </c:pt>
                <c:pt idx="111">
                  <c:v>0.66443156184372798</c:v>
                </c:pt>
                <c:pt idx="112">
                  <c:v>0.68474077330080096</c:v>
                </c:pt>
                <c:pt idx="113">
                  <c:v>0.65965341103045605</c:v>
                </c:pt>
                <c:pt idx="114">
                  <c:v>0.622542311024053</c:v>
                </c:pt>
                <c:pt idx="115">
                  <c:v>0.65490269555006198</c:v>
                </c:pt>
                <c:pt idx="116">
                  <c:v>0.63814443106247998</c:v>
                </c:pt>
                <c:pt idx="117">
                  <c:v>0.63701726572087702</c:v>
                </c:pt>
                <c:pt idx="118">
                  <c:v>0.66472248963496305</c:v>
                </c:pt>
                <c:pt idx="119">
                  <c:v>0.691617287637183</c:v>
                </c:pt>
                <c:pt idx="120">
                  <c:v>0.68894417616710202</c:v>
                </c:pt>
                <c:pt idx="121">
                  <c:v>0.70646423511043499</c:v>
                </c:pt>
                <c:pt idx="122">
                  <c:v>0.67710126151444505</c:v>
                </c:pt>
                <c:pt idx="123">
                  <c:v>0.64608424059300296</c:v>
                </c:pt>
                <c:pt idx="124">
                  <c:v>0.60492342195832605</c:v>
                </c:pt>
                <c:pt idx="125">
                  <c:v>0.52986130193183101</c:v>
                </c:pt>
                <c:pt idx="126">
                  <c:v>0.48936320762315699</c:v>
                </c:pt>
                <c:pt idx="127">
                  <c:v>0.46803712037587902</c:v>
                </c:pt>
                <c:pt idx="128">
                  <c:v>0.46841833416873302</c:v>
                </c:pt>
                <c:pt idx="129">
                  <c:v>0.25930726321944902</c:v>
                </c:pt>
                <c:pt idx="130">
                  <c:v>0.34399747197441399</c:v>
                </c:pt>
                <c:pt idx="131">
                  <c:v>0.23052122039717299</c:v>
                </c:pt>
                <c:pt idx="132">
                  <c:v>0.313528938106932</c:v>
                </c:pt>
                <c:pt idx="133">
                  <c:v>0.31410556361706699</c:v>
                </c:pt>
                <c:pt idx="134">
                  <c:v>0.26871710621385497</c:v>
                </c:pt>
                <c:pt idx="135">
                  <c:v>0.26842687745364402</c:v>
                </c:pt>
                <c:pt idx="136">
                  <c:v>0.26842687745364402</c:v>
                </c:pt>
                <c:pt idx="137">
                  <c:v>0.20545197668606799</c:v>
                </c:pt>
                <c:pt idx="138">
                  <c:v>0.23763744646630799</c:v>
                </c:pt>
                <c:pt idx="139">
                  <c:v>0.21149349910069001</c:v>
                </c:pt>
                <c:pt idx="140">
                  <c:v>0.19827486089892299</c:v>
                </c:pt>
                <c:pt idx="141">
                  <c:v>0.230982049953562</c:v>
                </c:pt>
                <c:pt idx="142">
                  <c:v>0.32130927271021897</c:v>
                </c:pt>
                <c:pt idx="143">
                  <c:v>0.34374501426377402</c:v>
                </c:pt>
                <c:pt idx="144">
                  <c:v>0.343362461707855</c:v>
                </c:pt>
                <c:pt idx="145">
                  <c:v>0.31435548538393299</c:v>
                </c:pt>
                <c:pt idx="146">
                  <c:v>0.36279732883580901</c:v>
                </c:pt>
                <c:pt idx="147">
                  <c:v>0.38076704542262901</c:v>
                </c:pt>
                <c:pt idx="148">
                  <c:v>0.35403891055164699</c:v>
                </c:pt>
                <c:pt idx="149">
                  <c:v>0.27765033429796598</c:v>
                </c:pt>
                <c:pt idx="150">
                  <c:v>0.33620447417750299</c:v>
                </c:pt>
                <c:pt idx="151">
                  <c:v>0.30662338263190497</c:v>
                </c:pt>
                <c:pt idx="152">
                  <c:v>0.238872261686181</c:v>
                </c:pt>
                <c:pt idx="153">
                  <c:v>0.23869230352122101</c:v>
                </c:pt>
                <c:pt idx="154">
                  <c:v>0.20595646030872</c:v>
                </c:pt>
                <c:pt idx="155">
                  <c:v>0.20588522084022601</c:v>
                </c:pt>
                <c:pt idx="156">
                  <c:v>0.18270041372936699</c:v>
                </c:pt>
                <c:pt idx="157">
                  <c:v>0.20349751001168101</c:v>
                </c:pt>
                <c:pt idx="158">
                  <c:v>0.23285648019755101</c:v>
                </c:pt>
                <c:pt idx="159">
                  <c:v>0.23330797794566899</c:v>
                </c:pt>
                <c:pt idx="160">
                  <c:v>0.29089795893761</c:v>
                </c:pt>
                <c:pt idx="161">
                  <c:v>0.31424671770039497</c:v>
                </c:pt>
                <c:pt idx="162">
                  <c:v>0.28654188629747801</c:v>
                </c:pt>
                <c:pt idx="163">
                  <c:v>0.25823477101989301</c:v>
                </c:pt>
                <c:pt idx="164">
                  <c:v>0.25744034883327499</c:v>
                </c:pt>
                <c:pt idx="165">
                  <c:v>0.28216102843400898</c:v>
                </c:pt>
                <c:pt idx="166">
                  <c:v>0.25339035668079501</c:v>
                </c:pt>
                <c:pt idx="167">
                  <c:v>0.28102818996708701</c:v>
                </c:pt>
                <c:pt idx="168">
                  <c:v>0.25299751732949799</c:v>
                </c:pt>
                <c:pt idx="169">
                  <c:v>0.222143720081627</c:v>
                </c:pt>
                <c:pt idx="170">
                  <c:v>0.25169457423695202</c:v>
                </c:pt>
                <c:pt idx="171">
                  <c:v>0.28058021231610197</c:v>
                </c:pt>
                <c:pt idx="172">
                  <c:v>0.279448840397376</c:v>
                </c:pt>
                <c:pt idx="173">
                  <c:v>0.27758425345188897</c:v>
                </c:pt>
                <c:pt idx="174">
                  <c:v>0.32550344763156402</c:v>
                </c:pt>
                <c:pt idx="175">
                  <c:v>0.32552411046597202</c:v>
                </c:pt>
                <c:pt idx="176">
                  <c:v>0.347488455871724</c:v>
                </c:pt>
                <c:pt idx="177">
                  <c:v>0.34818390220270101</c:v>
                </c:pt>
                <c:pt idx="178">
                  <c:v>0.346238128399389</c:v>
                </c:pt>
                <c:pt idx="179">
                  <c:v>0.32274759646781798</c:v>
                </c:pt>
                <c:pt idx="180">
                  <c:v>0.324184407069465</c:v>
                </c:pt>
                <c:pt idx="181">
                  <c:v>0.346238128399389</c:v>
                </c:pt>
                <c:pt idx="182">
                  <c:v>0.36578907876503403</c:v>
                </c:pt>
                <c:pt idx="183">
                  <c:v>0.31805600486192798</c:v>
                </c:pt>
                <c:pt idx="184">
                  <c:v>0.34009498441958502</c:v>
                </c:pt>
                <c:pt idx="185">
                  <c:v>0.34009498441958502</c:v>
                </c:pt>
                <c:pt idx="186">
                  <c:v>0.34042369497045799</c:v>
                </c:pt>
                <c:pt idx="187">
                  <c:v>0.31036061365073903</c:v>
                </c:pt>
                <c:pt idx="188">
                  <c:v>0.33263554438079002</c:v>
                </c:pt>
                <c:pt idx="189">
                  <c:v>0.35838762838330102</c:v>
                </c:pt>
                <c:pt idx="190">
                  <c:v>0.35838762838330102</c:v>
                </c:pt>
                <c:pt idx="191">
                  <c:v>0.35124395630609401</c:v>
                </c:pt>
                <c:pt idx="192">
                  <c:v>0.350821387629207</c:v>
                </c:pt>
                <c:pt idx="193">
                  <c:v>0.30185821114737799</c:v>
                </c:pt>
                <c:pt idx="194">
                  <c:v>0.303134887573904</c:v>
                </c:pt>
                <c:pt idx="195">
                  <c:v>0.31668157332951902</c:v>
                </c:pt>
                <c:pt idx="196">
                  <c:v>0.34232551793557098</c:v>
                </c:pt>
                <c:pt idx="197">
                  <c:v>0.40285473187500098</c:v>
                </c:pt>
                <c:pt idx="198">
                  <c:v>0.43224640519919799</c:v>
                </c:pt>
                <c:pt idx="199">
                  <c:v>0.40279530551033699</c:v>
                </c:pt>
                <c:pt idx="200">
                  <c:v>0.363805283856794</c:v>
                </c:pt>
                <c:pt idx="201">
                  <c:v>0.36393083176118401</c:v>
                </c:pt>
                <c:pt idx="202">
                  <c:v>0.39464243161649398</c:v>
                </c:pt>
                <c:pt idx="203">
                  <c:v>0.39478657813594797</c:v>
                </c:pt>
                <c:pt idx="204">
                  <c:v>0.41779394948311799</c:v>
                </c:pt>
                <c:pt idx="205">
                  <c:v>0.41674162737276199</c:v>
                </c:pt>
                <c:pt idx="206">
                  <c:v>0.45273770907866101</c:v>
                </c:pt>
                <c:pt idx="207">
                  <c:v>0.44996183796017403</c:v>
                </c:pt>
                <c:pt idx="208">
                  <c:v>0.41775040408126601</c:v>
                </c:pt>
                <c:pt idx="209">
                  <c:v>0.47713334056444601</c:v>
                </c:pt>
                <c:pt idx="210">
                  <c:v>0.53296054461027997</c:v>
                </c:pt>
                <c:pt idx="211">
                  <c:v>0.53525908703488601</c:v>
                </c:pt>
                <c:pt idx="212">
                  <c:v>0.53296054461027997</c:v>
                </c:pt>
                <c:pt idx="213">
                  <c:v>0.531964205535849</c:v>
                </c:pt>
                <c:pt idx="214">
                  <c:v>0.50112937152177495</c:v>
                </c:pt>
                <c:pt idx="215">
                  <c:v>0.46787253141998503</c:v>
                </c:pt>
                <c:pt idx="216">
                  <c:v>0.43720530063230401</c:v>
                </c:pt>
                <c:pt idx="217">
                  <c:v>0.45959407492170601</c:v>
                </c:pt>
                <c:pt idx="218">
                  <c:v>0.394169404360453</c:v>
                </c:pt>
                <c:pt idx="219">
                  <c:v>0.45850870301610303</c:v>
                </c:pt>
                <c:pt idx="220">
                  <c:v>0.49264013227543102</c:v>
                </c:pt>
                <c:pt idx="221">
                  <c:v>0.47700652645494301</c:v>
                </c:pt>
                <c:pt idx="222">
                  <c:v>0.505305541519944</c:v>
                </c:pt>
                <c:pt idx="223">
                  <c:v>0.47885281621922599</c:v>
                </c:pt>
                <c:pt idx="224">
                  <c:v>0.50775672845638498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'Current Paying PMI'!$N$2</c:f>
              <c:strCache>
                <c:ptCount val="1"/>
                <c:pt idx="0">
                  <c:v>Currnet PMI</c:v>
                </c:pt>
              </c:strCache>
            </c:strRef>
          </c:tx>
          <c:marker>
            <c:symbol val="none"/>
          </c:marker>
          <c:cat>
            <c:numRef>
              <c:f>'Current Paying PMI'!$K$3:$K$227</c:f>
              <c:numCache>
                <c:formatCode>m/d/yyyy</c:formatCode>
                <c:ptCount val="225"/>
                <c:pt idx="0">
                  <c:v>40549</c:v>
                </c:pt>
                <c:pt idx="1">
                  <c:v>40556</c:v>
                </c:pt>
                <c:pt idx="2">
                  <c:v>40563</c:v>
                </c:pt>
                <c:pt idx="3">
                  <c:v>40570</c:v>
                </c:pt>
                <c:pt idx="4">
                  <c:v>40577</c:v>
                </c:pt>
                <c:pt idx="5">
                  <c:v>40584</c:v>
                </c:pt>
                <c:pt idx="6">
                  <c:v>40591</c:v>
                </c:pt>
                <c:pt idx="7">
                  <c:v>40598</c:v>
                </c:pt>
                <c:pt idx="8">
                  <c:v>40605</c:v>
                </c:pt>
                <c:pt idx="9">
                  <c:v>40612</c:v>
                </c:pt>
                <c:pt idx="10">
                  <c:v>40619</c:v>
                </c:pt>
                <c:pt idx="11">
                  <c:v>40626</c:v>
                </c:pt>
                <c:pt idx="12">
                  <c:v>40633</c:v>
                </c:pt>
                <c:pt idx="13">
                  <c:v>40640</c:v>
                </c:pt>
                <c:pt idx="14">
                  <c:v>40647</c:v>
                </c:pt>
                <c:pt idx="15">
                  <c:v>40654</c:v>
                </c:pt>
                <c:pt idx="16">
                  <c:v>40661</c:v>
                </c:pt>
                <c:pt idx="17">
                  <c:v>40668</c:v>
                </c:pt>
                <c:pt idx="18">
                  <c:v>40675</c:v>
                </c:pt>
                <c:pt idx="19">
                  <c:v>40682</c:v>
                </c:pt>
                <c:pt idx="20">
                  <c:v>40689</c:v>
                </c:pt>
                <c:pt idx="21">
                  <c:v>40696</c:v>
                </c:pt>
                <c:pt idx="22">
                  <c:v>40703</c:v>
                </c:pt>
                <c:pt idx="23">
                  <c:v>40710</c:v>
                </c:pt>
                <c:pt idx="24">
                  <c:v>40717</c:v>
                </c:pt>
                <c:pt idx="25">
                  <c:v>40724</c:v>
                </c:pt>
                <c:pt idx="26">
                  <c:v>40731</c:v>
                </c:pt>
                <c:pt idx="27">
                  <c:v>40738</c:v>
                </c:pt>
                <c:pt idx="28">
                  <c:v>40745</c:v>
                </c:pt>
                <c:pt idx="29">
                  <c:v>40752</c:v>
                </c:pt>
                <c:pt idx="30">
                  <c:v>40759</c:v>
                </c:pt>
                <c:pt idx="31">
                  <c:v>40766</c:v>
                </c:pt>
                <c:pt idx="32">
                  <c:v>40773</c:v>
                </c:pt>
                <c:pt idx="33">
                  <c:v>40780</c:v>
                </c:pt>
                <c:pt idx="34">
                  <c:v>40787</c:v>
                </c:pt>
                <c:pt idx="35">
                  <c:v>40794</c:v>
                </c:pt>
                <c:pt idx="36">
                  <c:v>40801</c:v>
                </c:pt>
                <c:pt idx="37">
                  <c:v>40808</c:v>
                </c:pt>
                <c:pt idx="38">
                  <c:v>40815</c:v>
                </c:pt>
                <c:pt idx="39">
                  <c:v>40822</c:v>
                </c:pt>
                <c:pt idx="40">
                  <c:v>40829</c:v>
                </c:pt>
                <c:pt idx="41">
                  <c:v>40836</c:v>
                </c:pt>
                <c:pt idx="42">
                  <c:v>40843</c:v>
                </c:pt>
                <c:pt idx="43">
                  <c:v>40850</c:v>
                </c:pt>
                <c:pt idx="44">
                  <c:v>40857</c:v>
                </c:pt>
                <c:pt idx="45">
                  <c:v>40864</c:v>
                </c:pt>
                <c:pt idx="46">
                  <c:v>40870</c:v>
                </c:pt>
                <c:pt idx="47">
                  <c:v>40878</c:v>
                </c:pt>
                <c:pt idx="48">
                  <c:v>40885</c:v>
                </c:pt>
                <c:pt idx="49">
                  <c:v>40892</c:v>
                </c:pt>
                <c:pt idx="50">
                  <c:v>40899</c:v>
                </c:pt>
                <c:pt idx="51">
                  <c:v>40906</c:v>
                </c:pt>
                <c:pt idx="52">
                  <c:v>40913</c:v>
                </c:pt>
                <c:pt idx="53">
                  <c:v>40920</c:v>
                </c:pt>
                <c:pt idx="54">
                  <c:v>40927</c:v>
                </c:pt>
                <c:pt idx="55">
                  <c:v>40934</c:v>
                </c:pt>
                <c:pt idx="56">
                  <c:v>40941</c:v>
                </c:pt>
                <c:pt idx="57">
                  <c:v>40948</c:v>
                </c:pt>
                <c:pt idx="58">
                  <c:v>40955</c:v>
                </c:pt>
                <c:pt idx="59">
                  <c:v>40962</c:v>
                </c:pt>
                <c:pt idx="60">
                  <c:v>40969</c:v>
                </c:pt>
                <c:pt idx="61">
                  <c:v>40976</c:v>
                </c:pt>
                <c:pt idx="62">
                  <c:v>40983</c:v>
                </c:pt>
                <c:pt idx="63">
                  <c:v>40990</c:v>
                </c:pt>
                <c:pt idx="64">
                  <c:v>40997</c:v>
                </c:pt>
                <c:pt idx="65">
                  <c:v>41004</c:v>
                </c:pt>
                <c:pt idx="66">
                  <c:v>41011</c:v>
                </c:pt>
                <c:pt idx="67">
                  <c:v>41018</c:v>
                </c:pt>
                <c:pt idx="68">
                  <c:v>41025</c:v>
                </c:pt>
                <c:pt idx="69">
                  <c:v>41032</c:v>
                </c:pt>
                <c:pt idx="70">
                  <c:v>41039</c:v>
                </c:pt>
                <c:pt idx="71">
                  <c:v>41046</c:v>
                </c:pt>
                <c:pt idx="72">
                  <c:v>41053</c:v>
                </c:pt>
                <c:pt idx="73">
                  <c:v>41060</c:v>
                </c:pt>
                <c:pt idx="74">
                  <c:v>41067</c:v>
                </c:pt>
                <c:pt idx="75">
                  <c:v>41074</c:v>
                </c:pt>
                <c:pt idx="76">
                  <c:v>41081</c:v>
                </c:pt>
                <c:pt idx="77">
                  <c:v>41088</c:v>
                </c:pt>
                <c:pt idx="78">
                  <c:v>41095</c:v>
                </c:pt>
                <c:pt idx="79">
                  <c:v>41102</c:v>
                </c:pt>
                <c:pt idx="80">
                  <c:v>41109</c:v>
                </c:pt>
                <c:pt idx="81">
                  <c:v>41116</c:v>
                </c:pt>
                <c:pt idx="82">
                  <c:v>41123</c:v>
                </c:pt>
                <c:pt idx="83">
                  <c:v>41130</c:v>
                </c:pt>
                <c:pt idx="84">
                  <c:v>41137</c:v>
                </c:pt>
                <c:pt idx="85">
                  <c:v>41144</c:v>
                </c:pt>
                <c:pt idx="86">
                  <c:v>41151</c:v>
                </c:pt>
                <c:pt idx="87">
                  <c:v>41158</c:v>
                </c:pt>
                <c:pt idx="88">
                  <c:v>41165</c:v>
                </c:pt>
                <c:pt idx="89">
                  <c:v>41172</c:v>
                </c:pt>
                <c:pt idx="90">
                  <c:v>41179</c:v>
                </c:pt>
                <c:pt idx="91">
                  <c:v>41186</c:v>
                </c:pt>
                <c:pt idx="92">
                  <c:v>41193</c:v>
                </c:pt>
                <c:pt idx="93">
                  <c:v>41200</c:v>
                </c:pt>
                <c:pt idx="94">
                  <c:v>41207</c:v>
                </c:pt>
                <c:pt idx="95">
                  <c:v>41214</c:v>
                </c:pt>
                <c:pt idx="96">
                  <c:v>41221</c:v>
                </c:pt>
                <c:pt idx="97">
                  <c:v>41228</c:v>
                </c:pt>
                <c:pt idx="98">
                  <c:v>41234</c:v>
                </c:pt>
                <c:pt idx="99">
                  <c:v>41242</c:v>
                </c:pt>
                <c:pt idx="100">
                  <c:v>41249</c:v>
                </c:pt>
                <c:pt idx="101">
                  <c:v>41256</c:v>
                </c:pt>
                <c:pt idx="102">
                  <c:v>41263</c:v>
                </c:pt>
                <c:pt idx="103">
                  <c:v>41270</c:v>
                </c:pt>
                <c:pt idx="104">
                  <c:v>41277</c:v>
                </c:pt>
                <c:pt idx="105">
                  <c:v>41284</c:v>
                </c:pt>
                <c:pt idx="106">
                  <c:v>41291</c:v>
                </c:pt>
                <c:pt idx="107">
                  <c:v>41298</c:v>
                </c:pt>
                <c:pt idx="108">
                  <c:v>41305</c:v>
                </c:pt>
                <c:pt idx="109">
                  <c:v>41312</c:v>
                </c:pt>
                <c:pt idx="110">
                  <c:v>41319</c:v>
                </c:pt>
                <c:pt idx="111">
                  <c:v>41326</c:v>
                </c:pt>
                <c:pt idx="112">
                  <c:v>41333</c:v>
                </c:pt>
                <c:pt idx="113">
                  <c:v>41340</c:v>
                </c:pt>
                <c:pt idx="114">
                  <c:v>41347</c:v>
                </c:pt>
                <c:pt idx="115">
                  <c:v>41354</c:v>
                </c:pt>
                <c:pt idx="116">
                  <c:v>41361</c:v>
                </c:pt>
                <c:pt idx="117">
                  <c:v>41368</c:v>
                </c:pt>
                <c:pt idx="118">
                  <c:v>41375</c:v>
                </c:pt>
                <c:pt idx="119">
                  <c:v>41382</c:v>
                </c:pt>
                <c:pt idx="120">
                  <c:v>41389</c:v>
                </c:pt>
                <c:pt idx="121">
                  <c:v>41396</c:v>
                </c:pt>
                <c:pt idx="122">
                  <c:v>41403</c:v>
                </c:pt>
                <c:pt idx="123">
                  <c:v>41410</c:v>
                </c:pt>
                <c:pt idx="124">
                  <c:v>41417</c:v>
                </c:pt>
                <c:pt idx="125">
                  <c:v>41424</c:v>
                </c:pt>
                <c:pt idx="126">
                  <c:v>41431</c:v>
                </c:pt>
                <c:pt idx="127">
                  <c:v>41438</c:v>
                </c:pt>
                <c:pt idx="128">
                  <c:v>41445</c:v>
                </c:pt>
                <c:pt idx="129">
                  <c:v>41452</c:v>
                </c:pt>
                <c:pt idx="130">
                  <c:v>41458</c:v>
                </c:pt>
                <c:pt idx="131">
                  <c:v>41466</c:v>
                </c:pt>
                <c:pt idx="132">
                  <c:v>41473</c:v>
                </c:pt>
                <c:pt idx="133">
                  <c:v>41480</c:v>
                </c:pt>
                <c:pt idx="134">
                  <c:v>41487</c:v>
                </c:pt>
                <c:pt idx="135">
                  <c:v>41494</c:v>
                </c:pt>
                <c:pt idx="136">
                  <c:v>41501</c:v>
                </c:pt>
                <c:pt idx="137">
                  <c:v>41508</c:v>
                </c:pt>
                <c:pt idx="138">
                  <c:v>41515</c:v>
                </c:pt>
                <c:pt idx="139">
                  <c:v>41522</c:v>
                </c:pt>
                <c:pt idx="140">
                  <c:v>41529</c:v>
                </c:pt>
                <c:pt idx="141">
                  <c:v>41536</c:v>
                </c:pt>
                <c:pt idx="142">
                  <c:v>41543</c:v>
                </c:pt>
                <c:pt idx="143">
                  <c:v>41550</c:v>
                </c:pt>
                <c:pt idx="144">
                  <c:v>41557</c:v>
                </c:pt>
                <c:pt idx="145">
                  <c:v>41564</c:v>
                </c:pt>
                <c:pt idx="146">
                  <c:v>41571</c:v>
                </c:pt>
                <c:pt idx="147">
                  <c:v>41578</c:v>
                </c:pt>
                <c:pt idx="148">
                  <c:v>41585</c:v>
                </c:pt>
                <c:pt idx="149">
                  <c:v>41592</c:v>
                </c:pt>
                <c:pt idx="150">
                  <c:v>41599</c:v>
                </c:pt>
                <c:pt idx="151">
                  <c:v>41605</c:v>
                </c:pt>
                <c:pt idx="152">
                  <c:v>41613</c:v>
                </c:pt>
                <c:pt idx="153">
                  <c:v>41620</c:v>
                </c:pt>
                <c:pt idx="154">
                  <c:v>41627</c:v>
                </c:pt>
                <c:pt idx="155">
                  <c:v>41634</c:v>
                </c:pt>
                <c:pt idx="156">
                  <c:v>41641</c:v>
                </c:pt>
                <c:pt idx="157">
                  <c:v>41648</c:v>
                </c:pt>
                <c:pt idx="158">
                  <c:v>41655</c:v>
                </c:pt>
                <c:pt idx="159">
                  <c:v>41662</c:v>
                </c:pt>
                <c:pt idx="160">
                  <c:v>41669</c:v>
                </c:pt>
                <c:pt idx="161">
                  <c:v>41676</c:v>
                </c:pt>
                <c:pt idx="162">
                  <c:v>41683</c:v>
                </c:pt>
                <c:pt idx="163">
                  <c:v>41690</c:v>
                </c:pt>
                <c:pt idx="164">
                  <c:v>41697</c:v>
                </c:pt>
                <c:pt idx="165">
                  <c:v>41704</c:v>
                </c:pt>
                <c:pt idx="166">
                  <c:v>41711</c:v>
                </c:pt>
                <c:pt idx="167">
                  <c:v>41718</c:v>
                </c:pt>
                <c:pt idx="168">
                  <c:v>41725</c:v>
                </c:pt>
                <c:pt idx="169">
                  <c:v>41732</c:v>
                </c:pt>
                <c:pt idx="170">
                  <c:v>41739</c:v>
                </c:pt>
                <c:pt idx="171">
                  <c:v>41746</c:v>
                </c:pt>
                <c:pt idx="172">
                  <c:v>41753</c:v>
                </c:pt>
                <c:pt idx="173">
                  <c:v>41760</c:v>
                </c:pt>
                <c:pt idx="174">
                  <c:v>41767</c:v>
                </c:pt>
                <c:pt idx="175">
                  <c:v>41774</c:v>
                </c:pt>
                <c:pt idx="176">
                  <c:v>41781</c:v>
                </c:pt>
                <c:pt idx="177">
                  <c:v>41788</c:v>
                </c:pt>
                <c:pt idx="178">
                  <c:v>41795</c:v>
                </c:pt>
                <c:pt idx="179">
                  <c:v>41802</c:v>
                </c:pt>
                <c:pt idx="180">
                  <c:v>41809</c:v>
                </c:pt>
                <c:pt idx="181">
                  <c:v>41816</c:v>
                </c:pt>
                <c:pt idx="182">
                  <c:v>41823</c:v>
                </c:pt>
                <c:pt idx="183">
                  <c:v>41830</c:v>
                </c:pt>
                <c:pt idx="184">
                  <c:v>41837</c:v>
                </c:pt>
                <c:pt idx="185">
                  <c:v>41844</c:v>
                </c:pt>
                <c:pt idx="186">
                  <c:v>41851</c:v>
                </c:pt>
                <c:pt idx="187">
                  <c:v>41858</c:v>
                </c:pt>
                <c:pt idx="188">
                  <c:v>41865</c:v>
                </c:pt>
                <c:pt idx="189">
                  <c:v>41872</c:v>
                </c:pt>
                <c:pt idx="190">
                  <c:v>41879</c:v>
                </c:pt>
                <c:pt idx="191">
                  <c:v>41886</c:v>
                </c:pt>
                <c:pt idx="192">
                  <c:v>41893</c:v>
                </c:pt>
                <c:pt idx="193">
                  <c:v>41900</c:v>
                </c:pt>
                <c:pt idx="194">
                  <c:v>41907</c:v>
                </c:pt>
                <c:pt idx="195">
                  <c:v>41914</c:v>
                </c:pt>
                <c:pt idx="196">
                  <c:v>41921</c:v>
                </c:pt>
                <c:pt idx="197">
                  <c:v>41928</c:v>
                </c:pt>
                <c:pt idx="198">
                  <c:v>41935</c:v>
                </c:pt>
                <c:pt idx="199">
                  <c:v>41942</c:v>
                </c:pt>
                <c:pt idx="200">
                  <c:v>41949</c:v>
                </c:pt>
                <c:pt idx="201">
                  <c:v>41956</c:v>
                </c:pt>
                <c:pt idx="202">
                  <c:v>41963</c:v>
                </c:pt>
                <c:pt idx="203">
                  <c:v>41969</c:v>
                </c:pt>
                <c:pt idx="204">
                  <c:v>41977</c:v>
                </c:pt>
                <c:pt idx="205">
                  <c:v>41984</c:v>
                </c:pt>
                <c:pt idx="206">
                  <c:v>41991</c:v>
                </c:pt>
                <c:pt idx="207">
                  <c:v>41997</c:v>
                </c:pt>
                <c:pt idx="208">
                  <c:v>42004</c:v>
                </c:pt>
                <c:pt idx="209">
                  <c:v>42012</c:v>
                </c:pt>
                <c:pt idx="210">
                  <c:v>42019</c:v>
                </c:pt>
                <c:pt idx="211">
                  <c:v>42026</c:v>
                </c:pt>
                <c:pt idx="212">
                  <c:v>42033</c:v>
                </c:pt>
                <c:pt idx="213">
                  <c:v>42040</c:v>
                </c:pt>
                <c:pt idx="214">
                  <c:v>42047</c:v>
                </c:pt>
                <c:pt idx="215">
                  <c:v>42054</c:v>
                </c:pt>
                <c:pt idx="216">
                  <c:v>42061</c:v>
                </c:pt>
                <c:pt idx="217">
                  <c:v>42068</c:v>
                </c:pt>
                <c:pt idx="218">
                  <c:v>42075</c:v>
                </c:pt>
                <c:pt idx="219">
                  <c:v>42082</c:v>
                </c:pt>
                <c:pt idx="220">
                  <c:v>42089</c:v>
                </c:pt>
                <c:pt idx="221">
                  <c:v>42096</c:v>
                </c:pt>
                <c:pt idx="222">
                  <c:v>42103</c:v>
                </c:pt>
                <c:pt idx="223">
                  <c:v>42110</c:v>
                </c:pt>
                <c:pt idx="224">
                  <c:v>42117</c:v>
                </c:pt>
              </c:numCache>
            </c:numRef>
          </c:cat>
          <c:val>
            <c:numRef>
              <c:f>'Current Paying PMI'!$N$3:$N$227</c:f>
              <c:numCache>
                <c:formatCode>0%</c:formatCode>
                <c:ptCount val="225"/>
                <c:pt idx="0">
                  <c:v>0.42852398059902003</c:v>
                </c:pt>
                <c:pt idx="1">
                  <c:v>0.44599635168013801</c:v>
                </c:pt>
                <c:pt idx="2">
                  <c:v>0.42976523862424298</c:v>
                </c:pt>
                <c:pt idx="3">
                  <c:v>0.42804406226545899</c:v>
                </c:pt>
                <c:pt idx="4">
                  <c:v>0.39735095404405901</c:v>
                </c:pt>
                <c:pt idx="5">
                  <c:v>0.36026372477374102</c:v>
                </c:pt>
                <c:pt idx="6">
                  <c:v>0.37174112183007801</c:v>
                </c:pt>
                <c:pt idx="7">
                  <c:v>0.38268704676703003</c:v>
                </c:pt>
                <c:pt idx="8">
                  <c:v>0.38534073201873098</c:v>
                </c:pt>
                <c:pt idx="9">
                  <c:v>0.38530209930722298</c:v>
                </c:pt>
                <c:pt idx="10">
                  <c:v>0.41625559569387699</c:v>
                </c:pt>
                <c:pt idx="11">
                  <c:v>0.39986849956992299</c:v>
                </c:pt>
                <c:pt idx="12">
                  <c:v>0.38561724765369598</c:v>
                </c:pt>
                <c:pt idx="13">
                  <c:v>0.377336561198648</c:v>
                </c:pt>
                <c:pt idx="14">
                  <c:v>0.37716378157473002</c:v>
                </c:pt>
                <c:pt idx="15">
                  <c:v>0.39280861828637997</c:v>
                </c:pt>
                <c:pt idx="16">
                  <c:v>0.39347477869207098</c:v>
                </c:pt>
                <c:pt idx="17">
                  <c:v>0.404960459321071</c:v>
                </c:pt>
                <c:pt idx="18">
                  <c:v>0.44239757779940198</c:v>
                </c:pt>
                <c:pt idx="19">
                  <c:v>0.44263839982775999</c:v>
                </c:pt>
                <c:pt idx="20">
                  <c:v>0.443305158673787</c:v>
                </c:pt>
                <c:pt idx="21">
                  <c:v>0.46808927773665898</c:v>
                </c:pt>
                <c:pt idx="22">
                  <c:v>0.49109730679799701</c:v>
                </c:pt>
                <c:pt idx="23">
                  <c:v>0.49098227335116801</c:v>
                </c:pt>
                <c:pt idx="24">
                  <c:v>0.46808927773665898</c:v>
                </c:pt>
                <c:pt idx="25">
                  <c:v>0.489935821452404</c:v>
                </c:pt>
                <c:pt idx="26">
                  <c:v>0.43458744050497899</c:v>
                </c:pt>
                <c:pt idx="27">
                  <c:v>0.485108874378754</c:v>
                </c:pt>
                <c:pt idx="28">
                  <c:v>0.46318279756695502</c:v>
                </c:pt>
                <c:pt idx="29">
                  <c:v>0.45789854868906799</c:v>
                </c:pt>
                <c:pt idx="30">
                  <c:v>0.53278765965471897</c:v>
                </c:pt>
                <c:pt idx="31">
                  <c:v>0.63586839821177099</c:v>
                </c:pt>
                <c:pt idx="32">
                  <c:v>0.730678857237261</c:v>
                </c:pt>
                <c:pt idx="33">
                  <c:v>0.68478976915726397</c:v>
                </c:pt>
                <c:pt idx="34">
                  <c:v>0.67891821943498099</c:v>
                </c:pt>
                <c:pt idx="35">
                  <c:v>0.74882938585751302</c:v>
                </c:pt>
                <c:pt idx="36">
                  <c:v>0.75105682006900099</c:v>
                </c:pt>
                <c:pt idx="37">
                  <c:v>0.75105682006900099</c:v>
                </c:pt>
                <c:pt idx="38">
                  <c:v>0.80540404717700897</c:v>
                </c:pt>
                <c:pt idx="39">
                  <c:v>0.790582670298423</c:v>
                </c:pt>
                <c:pt idx="40">
                  <c:v>0.707335305309861</c:v>
                </c:pt>
                <c:pt idx="41">
                  <c:v>0.72872079834060799</c:v>
                </c:pt>
                <c:pt idx="42">
                  <c:v>0.73025745423770105</c:v>
                </c:pt>
                <c:pt idx="43">
                  <c:v>0.77103501437728905</c:v>
                </c:pt>
                <c:pt idx="44">
                  <c:v>0.77108265099835005</c:v>
                </c:pt>
                <c:pt idx="45">
                  <c:v>0.77103501437728905</c:v>
                </c:pt>
                <c:pt idx="46">
                  <c:v>0.77245486812915198</c:v>
                </c:pt>
                <c:pt idx="47">
                  <c:v>0.75539515722260098</c:v>
                </c:pt>
                <c:pt idx="48">
                  <c:v>0.75544279443301199</c:v>
                </c:pt>
                <c:pt idx="49">
                  <c:v>0.757642248754546</c:v>
                </c:pt>
                <c:pt idx="50">
                  <c:v>0.79118415521131102</c:v>
                </c:pt>
                <c:pt idx="51">
                  <c:v>0.78151191934601505</c:v>
                </c:pt>
                <c:pt idx="52">
                  <c:v>0.76877472295611105</c:v>
                </c:pt>
                <c:pt idx="53">
                  <c:v>0.78061484194895703</c:v>
                </c:pt>
                <c:pt idx="54">
                  <c:v>0.77869870375179695</c:v>
                </c:pt>
                <c:pt idx="55">
                  <c:v>0.74269630829851996</c:v>
                </c:pt>
                <c:pt idx="56">
                  <c:v>0.75801228690967404</c:v>
                </c:pt>
                <c:pt idx="57">
                  <c:v>0.75801228690967404</c:v>
                </c:pt>
                <c:pt idx="58">
                  <c:v>0.75801228690967404</c:v>
                </c:pt>
                <c:pt idx="59">
                  <c:v>0.72175870157936195</c:v>
                </c:pt>
                <c:pt idx="60">
                  <c:v>0.73029656495304496</c:v>
                </c:pt>
                <c:pt idx="61">
                  <c:v>0.73979044413136397</c:v>
                </c:pt>
                <c:pt idx="62">
                  <c:v>0.72964736165354105</c:v>
                </c:pt>
                <c:pt idx="63">
                  <c:v>0.64602889454414902</c:v>
                </c:pt>
                <c:pt idx="64">
                  <c:v>0.70222983991940502</c:v>
                </c:pt>
                <c:pt idx="65">
                  <c:v>0.70658526279350897</c:v>
                </c:pt>
                <c:pt idx="66">
                  <c:v>0.76351833890642296</c:v>
                </c:pt>
                <c:pt idx="67">
                  <c:v>0.73479366879535601</c:v>
                </c:pt>
                <c:pt idx="68">
                  <c:v>0.76351833890642296</c:v>
                </c:pt>
                <c:pt idx="69">
                  <c:v>0.76630418933940703</c:v>
                </c:pt>
                <c:pt idx="70">
                  <c:v>0.76953827651336104</c:v>
                </c:pt>
                <c:pt idx="71">
                  <c:v>0.79807316092952996</c:v>
                </c:pt>
                <c:pt idx="72">
                  <c:v>0.79563096421455903</c:v>
                </c:pt>
                <c:pt idx="73">
                  <c:v>0.79942305429412797</c:v>
                </c:pt>
                <c:pt idx="74">
                  <c:v>0.83446023873339104</c:v>
                </c:pt>
                <c:pt idx="75">
                  <c:v>0.81451926267734698</c:v>
                </c:pt>
                <c:pt idx="76">
                  <c:v>0.83520811127149397</c:v>
                </c:pt>
                <c:pt idx="77">
                  <c:v>0.83520811127149397</c:v>
                </c:pt>
                <c:pt idx="78">
                  <c:v>0.82572377371151395</c:v>
                </c:pt>
                <c:pt idx="79">
                  <c:v>0.85783899509521899</c:v>
                </c:pt>
                <c:pt idx="80">
                  <c:v>0.86087360527541701</c:v>
                </c:pt>
                <c:pt idx="81">
                  <c:v>0.87708074343545095</c:v>
                </c:pt>
                <c:pt idx="82">
                  <c:v>0.84037294476980395</c:v>
                </c:pt>
                <c:pt idx="83">
                  <c:v>0.840112046562973</c:v>
                </c:pt>
                <c:pt idx="84">
                  <c:v>0.82226069643838895</c:v>
                </c:pt>
                <c:pt idx="85">
                  <c:v>0.80587399760802503</c:v>
                </c:pt>
                <c:pt idx="86">
                  <c:v>0.840112046562973</c:v>
                </c:pt>
                <c:pt idx="87">
                  <c:v>0.82391595701949605</c:v>
                </c:pt>
                <c:pt idx="88">
                  <c:v>0.82736042337984095</c:v>
                </c:pt>
                <c:pt idx="89">
                  <c:v>0.84729321867928498</c:v>
                </c:pt>
                <c:pt idx="90">
                  <c:v>0.89615078381030699</c:v>
                </c:pt>
                <c:pt idx="91">
                  <c:v>0.87486861740066002</c:v>
                </c:pt>
                <c:pt idx="92">
                  <c:v>0.85304113167718099</c:v>
                </c:pt>
                <c:pt idx="93">
                  <c:v>0.87300917575702497</c:v>
                </c:pt>
                <c:pt idx="94">
                  <c:v>0.85152995637800399</c:v>
                </c:pt>
                <c:pt idx="95">
                  <c:v>0.82220398378432702</c:v>
                </c:pt>
                <c:pt idx="96">
                  <c:v>0.82185068481131995</c:v>
                </c:pt>
                <c:pt idx="97">
                  <c:v>0.84470977412850301</c:v>
                </c:pt>
                <c:pt idx="98">
                  <c:v>0.86614098528866201</c:v>
                </c:pt>
                <c:pt idx="99">
                  <c:v>0.84467796841209597</c:v>
                </c:pt>
                <c:pt idx="100">
                  <c:v>0.82850582146884499</c:v>
                </c:pt>
                <c:pt idx="101">
                  <c:v>0.84959064095614001</c:v>
                </c:pt>
                <c:pt idx="102">
                  <c:v>0.82683597281031795</c:v>
                </c:pt>
                <c:pt idx="103">
                  <c:v>0.82807405180361804</c:v>
                </c:pt>
                <c:pt idx="104">
                  <c:v>0.80673651039812899</c:v>
                </c:pt>
                <c:pt idx="105">
                  <c:v>0.78289243382516405</c:v>
                </c:pt>
                <c:pt idx="106">
                  <c:v>0.80443705009709199</c:v>
                </c:pt>
                <c:pt idx="107">
                  <c:v>0.78096114426466201</c:v>
                </c:pt>
                <c:pt idx="108">
                  <c:v>0.72958928267474799</c:v>
                </c:pt>
                <c:pt idx="109">
                  <c:v>0.70463630866607596</c:v>
                </c:pt>
                <c:pt idx="110">
                  <c:v>0.70463630866607596</c:v>
                </c:pt>
                <c:pt idx="111">
                  <c:v>0.68600596152600102</c:v>
                </c:pt>
                <c:pt idx="112">
                  <c:v>0.70679030246685104</c:v>
                </c:pt>
                <c:pt idx="113">
                  <c:v>0.68136636277891505</c:v>
                </c:pt>
                <c:pt idx="114">
                  <c:v>0.643549022861998</c:v>
                </c:pt>
                <c:pt idx="115">
                  <c:v>0.67762091879307995</c:v>
                </c:pt>
                <c:pt idx="116">
                  <c:v>0.65948110445833896</c:v>
                </c:pt>
                <c:pt idx="117">
                  <c:v>0.66095197338656198</c:v>
                </c:pt>
                <c:pt idx="118">
                  <c:v>0.68860823620008205</c:v>
                </c:pt>
                <c:pt idx="119">
                  <c:v>0.716254173818763</c:v>
                </c:pt>
                <c:pt idx="120">
                  <c:v>0.71489894663224296</c:v>
                </c:pt>
                <c:pt idx="121">
                  <c:v>0.73385185995662305</c:v>
                </c:pt>
                <c:pt idx="122">
                  <c:v>0.70449810822234304</c:v>
                </c:pt>
                <c:pt idx="123">
                  <c:v>0.670440489942566</c:v>
                </c:pt>
                <c:pt idx="124">
                  <c:v>0.62967212939531803</c:v>
                </c:pt>
                <c:pt idx="125">
                  <c:v>0.55358328589825201</c:v>
                </c:pt>
                <c:pt idx="126">
                  <c:v>0.513378243304075</c:v>
                </c:pt>
                <c:pt idx="127">
                  <c:v>0.49262377778590499</c:v>
                </c:pt>
                <c:pt idx="128">
                  <c:v>0.493438474284569</c:v>
                </c:pt>
                <c:pt idx="129">
                  <c:v>0.283795068214441</c:v>
                </c:pt>
                <c:pt idx="130">
                  <c:v>0.36923191611788803</c:v>
                </c:pt>
                <c:pt idx="131">
                  <c:v>0.253957802145788</c:v>
                </c:pt>
                <c:pt idx="132">
                  <c:v>0.338227154884298</c:v>
                </c:pt>
                <c:pt idx="133">
                  <c:v>0.34002935370481002</c:v>
                </c:pt>
                <c:pt idx="134">
                  <c:v>0.29429658935164799</c:v>
                </c:pt>
                <c:pt idx="135">
                  <c:v>0.29368072164202702</c:v>
                </c:pt>
                <c:pt idx="136">
                  <c:v>0.29368072164202702</c:v>
                </c:pt>
                <c:pt idx="137">
                  <c:v>0.22780665760041099</c:v>
                </c:pt>
                <c:pt idx="138">
                  <c:v>0.26087468607729303</c:v>
                </c:pt>
                <c:pt idx="139">
                  <c:v>0.234327007260555</c:v>
                </c:pt>
                <c:pt idx="140">
                  <c:v>0.221101303306941</c:v>
                </c:pt>
                <c:pt idx="141">
                  <c:v>0.25463965057747101</c:v>
                </c:pt>
                <c:pt idx="142">
                  <c:v>0.34572071513934099</c:v>
                </c:pt>
                <c:pt idx="143">
                  <c:v>0.36826613493452298</c:v>
                </c:pt>
                <c:pt idx="144">
                  <c:v>0.36772676288515499</c:v>
                </c:pt>
                <c:pt idx="145">
                  <c:v>0.33908242712021103</c:v>
                </c:pt>
                <c:pt idx="146">
                  <c:v>0.387225653389144</c:v>
                </c:pt>
                <c:pt idx="147">
                  <c:v>0.40621263933441498</c:v>
                </c:pt>
                <c:pt idx="148">
                  <c:v>0.37858348879144199</c:v>
                </c:pt>
                <c:pt idx="149">
                  <c:v>0.30261309490806398</c:v>
                </c:pt>
                <c:pt idx="150">
                  <c:v>0.36064781933831103</c:v>
                </c:pt>
                <c:pt idx="151">
                  <c:v>0.33133815164288799</c:v>
                </c:pt>
                <c:pt idx="152">
                  <c:v>0.26300483944839198</c:v>
                </c:pt>
                <c:pt idx="153">
                  <c:v>0.26260248571262501</c:v>
                </c:pt>
                <c:pt idx="154">
                  <c:v>0.22663439683454101</c:v>
                </c:pt>
                <c:pt idx="155">
                  <c:v>0.22629116015596901</c:v>
                </c:pt>
                <c:pt idx="156">
                  <c:v>0.20171259537917</c:v>
                </c:pt>
                <c:pt idx="157">
                  <c:v>0.225222551391554</c:v>
                </c:pt>
                <c:pt idx="158">
                  <c:v>0.256712796608494</c:v>
                </c:pt>
                <c:pt idx="159">
                  <c:v>0.25744135481017799</c:v>
                </c:pt>
                <c:pt idx="160">
                  <c:v>0.31438854181645098</c:v>
                </c:pt>
                <c:pt idx="161">
                  <c:v>0.33798112173000799</c:v>
                </c:pt>
                <c:pt idx="162">
                  <c:v>0.31055726404016398</c:v>
                </c:pt>
                <c:pt idx="163">
                  <c:v>0.28224141067613401</c:v>
                </c:pt>
                <c:pt idx="164">
                  <c:v>0.28030510938432601</c:v>
                </c:pt>
                <c:pt idx="165">
                  <c:v>0.30632423581387003</c:v>
                </c:pt>
                <c:pt idx="166">
                  <c:v>0.27739231314429902</c:v>
                </c:pt>
                <c:pt idx="167">
                  <c:v>0.305158136960197</c:v>
                </c:pt>
                <c:pt idx="168">
                  <c:v>0.27571464318613598</c:v>
                </c:pt>
                <c:pt idx="169">
                  <c:v>0.24706631517703201</c:v>
                </c:pt>
                <c:pt idx="170">
                  <c:v>0.27695663394785902</c:v>
                </c:pt>
                <c:pt idx="171">
                  <c:v>0.30636975607074801</c:v>
                </c:pt>
                <c:pt idx="172">
                  <c:v>0.30473155820130099</c:v>
                </c:pt>
                <c:pt idx="173">
                  <c:v>0.30466547690103202</c:v>
                </c:pt>
                <c:pt idx="174">
                  <c:v>0.35473146099265701</c:v>
                </c:pt>
                <c:pt idx="175">
                  <c:v>0.35510750939955799</c:v>
                </c:pt>
                <c:pt idx="176">
                  <c:v>0.37813915561231398</c:v>
                </c:pt>
                <c:pt idx="177">
                  <c:v>0.38007735837086398</c:v>
                </c:pt>
                <c:pt idx="178">
                  <c:v>0.38136274564707001</c:v>
                </c:pt>
                <c:pt idx="179">
                  <c:v>0.354558274605281</c:v>
                </c:pt>
                <c:pt idx="180">
                  <c:v>0.35638375297164099</c:v>
                </c:pt>
                <c:pt idx="181">
                  <c:v>0.38136274564707001</c:v>
                </c:pt>
                <c:pt idx="182">
                  <c:v>0.40668349695613898</c:v>
                </c:pt>
                <c:pt idx="183">
                  <c:v>0.35127441371780599</c:v>
                </c:pt>
                <c:pt idx="184">
                  <c:v>0.37569546518688601</c:v>
                </c:pt>
                <c:pt idx="185">
                  <c:v>0.37569546518688601</c:v>
                </c:pt>
                <c:pt idx="186">
                  <c:v>0.37710616064306202</c:v>
                </c:pt>
                <c:pt idx="187">
                  <c:v>0.34489863565206802</c:v>
                </c:pt>
                <c:pt idx="188">
                  <c:v>0.37048359025229799</c:v>
                </c:pt>
                <c:pt idx="189">
                  <c:v>0.40150628228700203</c:v>
                </c:pt>
                <c:pt idx="190">
                  <c:v>0.40150628228700203</c:v>
                </c:pt>
                <c:pt idx="191">
                  <c:v>0.39564048824252901</c:v>
                </c:pt>
                <c:pt idx="192">
                  <c:v>0.39402430051755699</c:v>
                </c:pt>
                <c:pt idx="193">
                  <c:v>0.335786197250867</c:v>
                </c:pt>
                <c:pt idx="194">
                  <c:v>0.33779900726217199</c:v>
                </c:pt>
                <c:pt idx="195">
                  <c:v>0.35298059221452499</c:v>
                </c:pt>
                <c:pt idx="196">
                  <c:v>0.38553330142435899</c:v>
                </c:pt>
                <c:pt idx="197">
                  <c:v>0.45862210331192299</c:v>
                </c:pt>
                <c:pt idx="198">
                  <c:v>0.49010064863363401</c:v>
                </c:pt>
                <c:pt idx="199">
                  <c:v>0.45791499093723897</c:v>
                </c:pt>
                <c:pt idx="200">
                  <c:v>0.41298189638604699</c:v>
                </c:pt>
                <c:pt idx="201">
                  <c:v>0.413158972870934</c:v>
                </c:pt>
                <c:pt idx="202">
                  <c:v>0.44955259080167498</c:v>
                </c:pt>
                <c:pt idx="203">
                  <c:v>0.45066656472309602</c:v>
                </c:pt>
                <c:pt idx="204">
                  <c:v>0.47792725629958699</c:v>
                </c:pt>
                <c:pt idx="205">
                  <c:v>0.47411357431497397</c:v>
                </c:pt>
                <c:pt idx="206">
                  <c:v>0.51872843856357098</c:v>
                </c:pt>
                <c:pt idx="207">
                  <c:v>0.515529212075723</c:v>
                </c:pt>
                <c:pt idx="208">
                  <c:v>0.47786309276619199</c:v>
                </c:pt>
                <c:pt idx="209">
                  <c:v>0.54657009543334001</c:v>
                </c:pt>
                <c:pt idx="210">
                  <c:v>0.61065980094002503</c:v>
                </c:pt>
                <c:pt idx="211">
                  <c:v>0.61221176462929705</c:v>
                </c:pt>
                <c:pt idx="212">
                  <c:v>0.61065980094002503</c:v>
                </c:pt>
                <c:pt idx="213">
                  <c:v>0.61088327202867398</c:v>
                </c:pt>
                <c:pt idx="214">
                  <c:v>0.57963018238461905</c:v>
                </c:pt>
                <c:pt idx="215">
                  <c:v>0.53686246920525704</c:v>
                </c:pt>
                <c:pt idx="216">
                  <c:v>0.50427101713461098</c:v>
                </c:pt>
                <c:pt idx="217">
                  <c:v>0.52923216774975401</c:v>
                </c:pt>
                <c:pt idx="218">
                  <c:v>0.45475870152619202</c:v>
                </c:pt>
                <c:pt idx="219">
                  <c:v>0.52662977972920499</c:v>
                </c:pt>
                <c:pt idx="220">
                  <c:v>0.57162965928380105</c:v>
                </c:pt>
                <c:pt idx="221">
                  <c:v>0.55578836979509405</c:v>
                </c:pt>
                <c:pt idx="222">
                  <c:v>0.58517099495605296</c:v>
                </c:pt>
                <c:pt idx="223">
                  <c:v>0.556970480976966</c:v>
                </c:pt>
                <c:pt idx="224">
                  <c:v>0.58711925424012301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1821824"/>
        <c:axId val="291852288"/>
      </c:lineChart>
      <c:dateAx>
        <c:axId val="29182182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291852288"/>
        <c:crosses val="autoZero"/>
        <c:auto val="1"/>
        <c:lblOffset val="100"/>
        <c:baseTimeUnit val="days"/>
        <c:majorUnit val="6"/>
        <c:majorTimeUnit val="months"/>
      </c:dateAx>
      <c:valAx>
        <c:axId val="291852288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291821824"/>
        <c:crosses val="autoZero"/>
        <c:crossBetween val="between"/>
      </c:valAx>
      <c:valAx>
        <c:axId val="291853824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crossAx val="291855360"/>
        <c:crosses val="max"/>
        <c:crossBetween val="between"/>
      </c:valAx>
      <c:dateAx>
        <c:axId val="291855360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91853824"/>
        <c:crosses val="autoZero"/>
        <c:auto val="1"/>
        <c:lblOffset val="100"/>
        <c:baseTimeUnit val="days"/>
      </c:date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133350</xdr:colOff>
      <xdr:row>41</xdr:row>
      <xdr:rowOff>95250</xdr:rowOff>
    </xdr:from>
    <xdr:to>
      <xdr:col>27</xdr:col>
      <xdr:colOff>400050</xdr:colOff>
      <xdr:row>55</xdr:row>
      <xdr:rowOff>171450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209549</xdr:colOff>
      <xdr:row>59</xdr:row>
      <xdr:rowOff>166687</xdr:rowOff>
    </xdr:from>
    <xdr:to>
      <xdr:col>27</xdr:col>
      <xdr:colOff>409574</xdr:colOff>
      <xdr:row>74</xdr:row>
      <xdr:rowOff>52387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Lien%20Workspace/12.Primary%20Market%20Package/1.Daily%20Originator%20Mortgage%20Rate/Originator%20Mortgage%20Rate%20-%200318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11.Refinanceable%20Percentage%20Master%202015-05-21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Dat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rt"/>
      <sheetName val="Time Series Query"/>
      <sheetName val="Rates Summary"/>
      <sheetName val="Upload Result"/>
      <sheetName val="Input Data"/>
      <sheetName val="Historic Result"/>
      <sheetName val="BoA - Conventional"/>
      <sheetName val="Chase - Conventional"/>
      <sheetName val="Quicken - Conventional"/>
      <sheetName val="Wells - Conventional"/>
      <sheetName val="Wells - Jumbo conformin"/>
      <sheetName val="Wells - Jumbo Non-conforming"/>
      <sheetName val="Wells - FHA"/>
      <sheetName val="Originator Mortgage Rate - 0318"/>
    </sheetNames>
    <sheetDataSet>
      <sheetData sheetId="0">
        <row r="2">
          <cell r="V2">
            <v>42083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4">
          <cell r="C4">
            <v>0.04</v>
          </cell>
        </row>
        <row r="5">
          <cell r="C5">
            <v>4.0369999999999996E-2</v>
          </cell>
        </row>
        <row r="6">
          <cell r="C6">
            <v>200000</v>
          </cell>
        </row>
      </sheetData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rt"/>
      <sheetName val="PoolRefinancible"/>
      <sheetName val="Bloomberg"/>
      <sheetName val="Sheet3"/>
      <sheetName val="HARP LLPA"/>
      <sheetName val="HARPable Universe"/>
      <sheetName val="LogReturn"/>
      <sheetName val="Plot"/>
      <sheetName val="Current Paying PMI"/>
      <sheetName val="Pre 2005"/>
    </sheetNames>
    <sheetDataSet>
      <sheetData sheetId="0">
        <row r="2">
          <cell r="U2">
            <v>42095</v>
          </cell>
        </row>
        <row r="3">
          <cell r="U3" t="str">
            <v>S:\IT\Production\Daily Reports\Primary Market\tmp\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</sheetNames>
    <sheetDataSet>
      <sheetData sheetId="0" refreshError="1"/>
    </sheetDataSet>
  </externalBook>
</externalLink>
</file>

<file path=xl/queryTables/queryTable1.xml><?xml version="1.0" encoding="utf-8"?>
<queryTable xmlns="http://schemas.openxmlformats.org/spreadsheetml/2006/main" name="temp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230"/>
  <sheetViews>
    <sheetView tabSelected="1" topLeftCell="A25" workbookViewId="0">
      <selection activeCell="Z76" sqref="Z76"/>
    </sheetView>
  </sheetViews>
  <sheetFormatPr defaultRowHeight="15"/>
  <cols>
    <col min="8" max="8" width="10.7109375" hidden="1" customWidth="1"/>
    <col min="9" max="9" width="12.85546875" hidden="1" customWidth="1"/>
  </cols>
  <sheetData>
    <row r="1" spans="2:15">
      <c r="B1" t="s">
        <v>7</v>
      </c>
      <c r="K1" t="s">
        <v>6</v>
      </c>
    </row>
    <row r="2" spans="2:15">
      <c r="B2" s="8" t="s">
        <v>4</v>
      </c>
      <c r="C2" s="7" t="s">
        <v>3</v>
      </c>
      <c r="D2" s="7" t="s">
        <v>2</v>
      </c>
      <c r="E2" s="6" t="s">
        <v>1</v>
      </c>
      <c r="F2" s="5" t="s">
        <v>0</v>
      </c>
      <c r="H2" t="s">
        <v>4</v>
      </c>
      <c r="I2" t="s">
        <v>5</v>
      </c>
      <c r="K2" s="8" t="s">
        <v>4</v>
      </c>
      <c r="L2" s="7" t="s">
        <v>3</v>
      </c>
      <c r="M2" s="7" t="s">
        <v>2</v>
      </c>
      <c r="N2" s="6" t="s">
        <v>1</v>
      </c>
      <c r="O2" s="5" t="s">
        <v>0</v>
      </c>
    </row>
    <row r="3" spans="2:15">
      <c r="B3" s="4">
        <v>40549</v>
      </c>
      <c r="C3" s="3">
        <v>0.62402170072443153</v>
      </c>
      <c r="D3" s="3">
        <v>0.41917445646047702</v>
      </c>
      <c r="E3" s="3">
        <v>0.46885641253034299</v>
      </c>
      <c r="F3" s="2">
        <f t="shared" ref="F3:F66" si="0">E3-D3</f>
        <v>4.9681956069865973E-2</v>
      </c>
      <c r="H3" s="1">
        <v>40549</v>
      </c>
      <c r="I3">
        <v>0.42852398059902003</v>
      </c>
      <c r="K3" s="4">
        <v>40549</v>
      </c>
      <c r="L3" s="3">
        <v>0.62402170072443153</v>
      </c>
      <c r="M3" s="3">
        <v>0.41917445646047702</v>
      </c>
      <c r="N3" s="3">
        <f t="shared" ref="N3:N66" si="1">VLOOKUP(K3,H3:I230,2,0)</f>
        <v>0.42852398059902003</v>
      </c>
      <c r="O3" s="2">
        <f t="shared" ref="O3:O66" si="2">N3-M3</f>
        <v>9.3495241385430083E-3</v>
      </c>
    </row>
    <row r="4" spans="2:15">
      <c r="B4" s="4">
        <v>40556</v>
      </c>
      <c r="C4" s="3">
        <v>0.62817294477626939</v>
      </c>
      <c r="D4" s="3">
        <v>0.43621985629656101</v>
      </c>
      <c r="E4" s="3">
        <v>0.484880705000166</v>
      </c>
      <c r="F4" s="2">
        <f t="shared" si="0"/>
        <v>4.8660848703604986E-2</v>
      </c>
      <c r="H4" s="1">
        <v>40556</v>
      </c>
      <c r="I4">
        <v>0.44599635168013801</v>
      </c>
      <c r="K4" s="4">
        <v>40556</v>
      </c>
      <c r="L4" s="3">
        <v>0.62817294477626939</v>
      </c>
      <c r="M4" s="3">
        <v>0.43621985629656101</v>
      </c>
      <c r="N4" s="3">
        <f t="shared" si="1"/>
        <v>0.44599635168013801</v>
      </c>
      <c r="O4" s="2">
        <f t="shared" si="2"/>
        <v>9.7764953835769997E-3</v>
      </c>
    </row>
    <row r="5" spans="2:15">
      <c r="B5" s="4">
        <v>40563</v>
      </c>
      <c r="C5" s="3">
        <v>0.62597730951219899</v>
      </c>
      <c r="D5" s="3">
        <v>0.41944708561696598</v>
      </c>
      <c r="E5" s="3">
        <v>0.46911247375695397</v>
      </c>
      <c r="F5" s="2">
        <f t="shared" si="0"/>
        <v>4.9665388139987998E-2</v>
      </c>
      <c r="H5" s="1">
        <v>40563</v>
      </c>
      <c r="I5">
        <v>0.42976523862424298</v>
      </c>
      <c r="K5" s="4">
        <v>40563</v>
      </c>
      <c r="L5" s="3">
        <v>0.62597730951219899</v>
      </c>
      <c r="M5" s="3">
        <v>0.41944708561696598</v>
      </c>
      <c r="N5" s="3">
        <f t="shared" si="1"/>
        <v>0.42976523862424298</v>
      </c>
      <c r="O5" s="2">
        <f t="shared" si="2"/>
        <v>1.0318153007277009E-2</v>
      </c>
    </row>
    <row r="6" spans="2:15">
      <c r="B6" s="4">
        <v>40570</v>
      </c>
      <c r="C6" s="3">
        <v>0.62392159162868732</v>
      </c>
      <c r="D6" s="3">
        <v>0.418710148423519</v>
      </c>
      <c r="E6" s="3">
        <v>0.46839804028281901</v>
      </c>
      <c r="F6" s="2">
        <f t="shared" si="0"/>
        <v>4.9687891859300004E-2</v>
      </c>
      <c r="H6" s="1">
        <v>40570</v>
      </c>
      <c r="I6">
        <v>0.42804406226545899</v>
      </c>
      <c r="K6" s="4">
        <v>40570</v>
      </c>
      <c r="L6" s="3">
        <v>0.62392159162868732</v>
      </c>
      <c r="M6" s="3">
        <v>0.418710148423519</v>
      </c>
      <c r="N6" s="3">
        <f t="shared" si="1"/>
        <v>0.42804406226545899</v>
      </c>
      <c r="O6" s="2">
        <f t="shared" si="2"/>
        <v>9.3339138419399892E-3</v>
      </c>
    </row>
    <row r="7" spans="2:15">
      <c r="B7" s="4">
        <v>40577</v>
      </c>
      <c r="C7" s="3">
        <v>0.60653142223595213</v>
      </c>
      <c r="D7" s="3">
        <v>0.38887560757790002</v>
      </c>
      <c r="E7" s="3">
        <v>0.440398387253014</v>
      </c>
      <c r="F7" s="2">
        <f t="shared" si="0"/>
        <v>5.1522779675113983E-2</v>
      </c>
      <c r="H7" s="1">
        <v>40577</v>
      </c>
      <c r="I7">
        <v>0.39735095404405901</v>
      </c>
      <c r="K7" s="4">
        <v>40577</v>
      </c>
      <c r="L7" s="3">
        <v>0.60653142223595213</v>
      </c>
      <c r="M7" s="3">
        <v>0.38887560757790002</v>
      </c>
      <c r="N7" s="3">
        <f t="shared" si="1"/>
        <v>0.39735095404405901</v>
      </c>
      <c r="O7" s="2">
        <f t="shared" si="2"/>
        <v>8.475346466158995E-3</v>
      </c>
    </row>
    <row r="8" spans="2:15">
      <c r="B8" s="4">
        <v>40584</v>
      </c>
      <c r="C8" s="3">
        <v>0.50868797673712363</v>
      </c>
      <c r="D8" s="3">
        <v>0.35101070043975402</v>
      </c>
      <c r="E8" s="3">
        <v>0.40695271820136403</v>
      </c>
      <c r="F8" s="2">
        <f t="shared" si="0"/>
        <v>5.5942017761610008E-2</v>
      </c>
      <c r="H8" s="1">
        <v>40584</v>
      </c>
      <c r="I8">
        <v>0.36026372477374102</v>
      </c>
      <c r="K8" s="4">
        <v>40584</v>
      </c>
      <c r="L8" s="3">
        <v>0.50868797673712363</v>
      </c>
      <c r="M8" s="3">
        <v>0.35101070043975402</v>
      </c>
      <c r="N8" s="3">
        <f t="shared" si="1"/>
        <v>0.36026372477374102</v>
      </c>
      <c r="O8" s="2">
        <f t="shared" si="2"/>
        <v>9.2530243339870033E-3</v>
      </c>
    </row>
    <row r="9" spans="2:15">
      <c r="B9" s="4">
        <v>40591</v>
      </c>
      <c r="C9" s="3">
        <v>0.52965901814335548</v>
      </c>
      <c r="D9" s="3">
        <v>0.36422873018148</v>
      </c>
      <c r="E9" s="3">
        <v>0.41797156185356299</v>
      </c>
      <c r="F9" s="2">
        <f t="shared" si="0"/>
        <v>5.3742831672082991E-2</v>
      </c>
      <c r="H9" s="1">
        <v>40591</v>
      </c>
      <c r="I9">
        <v>0.37174112183007801</v>
      </c>
      <c r="K9" s="4">
        <v>40591</v>
      </c>
      <c r="L9" s="3">
        <v>0.52965901814335548</v>
      </c>
      <c r="M9" s="3">
        <v>0.36422873018148</v>
      </c>
      <c r="N9" s="3">
        <f t="shared" si="1"/>
        <v>0.37174112183007801</v>
      </c>
      <c r="O9" s="2">
        <f t="shared" si="2"/>
        <v>7.5123916485980158E-3</v>
      </c>
    </row>
    <row r="10" spans="2:15">
      <c r="B10" s="4">
        <v>40598</v>
      </c>
      <c r="C10" s="3">
        <v>0.57709503787578109</v>
      </c>
      <c r="D10" s="3">
        <v>0.37426156705539698</v>
      </c>
      <c r="E10" s="3">
        <v>0.42749088486683401</v>
      </c>
      <c r="F10" s="2">
        <f t="shared" si="0"/>
        <v>5.3229317811437027E-2</v>
      </c>
      <c r="H10" s="1">
        <v>40598</v>
      </c>
      <c r="I10">
        <v>0.38268704676703003</v>
      </c>
      <c r="K10" s="4">
        <v>40598</v>
      </c>
      <c r="L10" s="3">
        <v>0.57709503787578109</v>
      </c>
      <c r="M10" s="3">
        <v>0.37426156705539698</v>
      </c>
      <c r="N10" s="3">
        <f t="shared" si="1"/>
        <v>0.38268704676703003</v>
      </c>
      <c r="O10" s="2">
        <f t="shared" si="2"/>
        <v>8.4254797116330438E-3</v>
      </c>
    </row>
    <row r="11" spans="2:15">
      <c r="B11" s="4">
        <v>40605</v>
      </c>
      <c r="C11" s="3">
        <v>0.59224775585706535</v>
      </c>
      <c r="D11" s="3">
        <v>0.378077073966118</v>
      </c>
      <c r="E11" s="3">
        <v>0.43033160357153799</v>
      </c>
      <c r="F11" s="2">
        <f t="shared" si="0"/>
        <v>5.2254529605419986E-2</v>
      </c>
      <c r="H11" s="1">
        <v>40605</v>
      </c>
      <c r="I11">
        <v>0.38534073201873098</v>
      </c>
      <c r="K11" s="4">
        <v>40605</v>
      </c>
      <c r="L11" s="3">
        <v>0.59224775585706535</v>
      </c>
      <c r="M11" s="3">
        <v>0.378077073966118</v>
      </c>
      <c r="N11" s="3">
        <f t="shared" si="1"/>
        <v>0.38534073201873098</v>
      </c>
      <c r="O11" s="2">
        <f t="shared" si="2"/>
        <v>7.2636580526129757E-3</v>
      </c>
    </row>
    <row r="12" spans="2:15">
      <c r="B12" s="4">
        <v>40612</v>
      </c>
      <c r="C12" s="3">
        <v>0.59090570789662444</v>
      </c>
      <c r="D12" s="3">
        <v>0.37803494484535199</v>
      </c>
      <c r="E12" s="3">
        <v>0.43030110657149201</v>
      </c>
      <c r="F12" s="2">
        <f t="shared" si="0"/>
        <v>5.2266161726140015E-2</v>
      </c>
      <c r="H12" s="1">
        <v>40612</v>
      </c>
      <c r="I12">
        <v>0.38530209930722298</v>
      </c>
      <c r="K12" s="4">
        <v>40612</v>
      </c>
      <c r="L12" s="3">
        <v>0.59090570789662444</v>
      </c>
      <c r="M12" s="3">
        <v>0.37803494484535199</v>
      </c>
      <c r="N12" s="3">
        <f t="shared" si="1"/>
        <v>0.38530209930722298</v>
      </c>
      <c r="O12" s="2">
        <f t="shared" si="2"/>
        <v>7.2671544618709838E-3</v>
      </c>
    </row>
    <row r="13" spans="2:15">
      <c r="B13" s="4">
        <v>40619</v>
      </c>
      <c r="C13" s="3">
        <v>0.60261779474869925</v>
      </c>
      <c r="D13" s="3">
        <v>0.407679162563724</v>
      </c>
      <c r="E13" s="3">
        <v>0.45843967337938502</v>
      </c>
      <c r="F13" s="2">
        <f t="shared" si="0"/>
        <v>5.076051081566102E-2</v>
      </c>
      <c r="H13" s="1">
        <v>40619</v>
      </c>
      <c r="I13">
        <v>0.41625559569387699</v>
      </c>
      <c r="K13" s="4">
        <v>40619</v>
      </c>
      <c r="L13" s="3">
        <v>0.60261779474869925</v>
      </c>
      <c r="M13" s="3">
        <v>0.407679162563724</v>
      </c>
      <c r="N13" s="3">
        <f t="shared" si="1"/>
        <v>0.41625559569387699</v>
      </c>
      <c r="O13" s="2">
        <f t="shared" si="2"/>
        <v>8.5764331301529939E-3</v>
      </c>
    </row>
    <row r="14" spans="2:15">
      <c r="B14" s="4">
        <v>40626</v>
      </c>
      <c r="C14" s="3">
        <v>0.59950595681897523</v>
      </c>
      <c r="D14" s="3">
        <v>0.39154691259907098</v>
      </c>
      <c r="E14" s="3">
        <v>0.44338718423978701</v>
      </c>
      <c r="F14" s="2">
        <f t="shared" si="0"/>
        <v>5.1840271640716029E-2</v>
      </c>
      <c r="H14" s="1">
        <v>40626</v>
      </c>
      <c r="I14">
        <v>0.39986849956992299</v>
      </c>
      <c r="K14" s="4">
        <v>40626</v>
      </c>
      <c r="L14" s="3">
        <v>0.59950595681897523</v>
      </c>
      <c r="M14" s="3">
        <v>0.39154691259907098</v>
      </c>
      <c r="N14" s="3">
        <f t="shared" si="1"/>
        <v>0.39986849956992299</v>
      </c>
      <c r="O14" s="2">
        <f t="shared" si="2"/>
        <v>8.3215869708520018E-3</v>
      </c>
    </row>
    <row r="15" spans="2:15">
      <c r="B15" s="4">
        <v>40633</v>
      </c>
      <c r="C15" s="3">
        <v>0.593225708201635</v>
      </c>
      <c r="D15" s="3">
        <v>0.37809391960358502</v>
      </c>
      <c r="E15" s="3">
        <v>0.43034776102532601</v>
      </c>
      <c r="F15" s="2">
        <f t="shared" si="0"/>
        <v>5.2253841421740999E-2</v>
      </c>
      <c r="H15" s="1">
        <v>40633</v>
      </c>
      <c r="I15">
        <v>0.38561724765369598</v>
      </c>
      <c r="K15" s="4">
        <v>40633</v>
      </c>
      <c r="L15" s="3">
        <v>0.593225708201635</v>
      </c>
      <c r="M15" s="3">
        <v>0.37809391960358502</v>
      </c>
      <c r="N15" s="3">
        <f t="shared" si="1"/>
        <v>0.38561724765369598</v>
      </c>
      <c r="O15" s="2">
        <f t="shared" si="2"/>
        <v>7.5233280501109667E-3</v>
      </c>
    </row>
    <row r="16" spans="2:15">
      <c r="B16" s="4">
        <v>40640</v>
      </c>
      <c r="C16" s="3">
        <v>0.58542144661011908</v>
      </c>
      <c r="D16" s="3">
        <v>0.36996472497765398</v>
      </c>
      <c r="E16" s="3">
        <v>0.42302014893146</v>
      </c>
      <c r="F16" s="2">
        <f t="shared" si="0"/>
        <v>5.3055423953806025E-2</v>
      </c>
      <c r="H16" s="1">
        <v>40640</v>
      </c>
      <c r="I16">
        <v>0.377336561198648</v>
      </c>
      <c r="K16" s="4">
        <v>40640</v>
      </c>
      <c r="L16" s="3">
        <v>0.58542144661011908</v>
      </c>
      <c r="M16" s="3">
        <v>0.36996472497765398</v>
      </c>
      <c r="N16" s="3">
        <f t="shared" si="1"/>
        <v>0.377336561198648</v>
      </c>
      <c r="O16" s="2">
        <f t="shared" si="2"/>
        <v>7.3718362209940214E-3</v>
      </c>
    </row>
    <row r="17" spans="2:15">
      <c r="B17" s="4">
        <v>40647</v>
      </c>
      <c r="C17" s="3">
        <v>0.58155199492979581</v>
      </c>
      <c r="D17" s="3">
        <v>0.36984016473175102</v>
      </c>
      <c r="E17" s="3">
        <v>0.422913696043141</v>
      </c>
      <c r="F17" s="2">
        <f t="shared" si="0"/>
        <v>5.3073531311389976E-2</v>
      </c>
      <c r="H17" s="1">
        <v>40647</v>
      </c>
      <c r="I17">
        <v>0.37716378157473002</v>
      </c>
      <c r="K17" s="4">
        <v>40647</v>
      </c>
      <c r="L17" s="3">
        <v>0.58155199492979581</v>
      </c>
      <c r="M17" s="3">
        <v>0.36984016473175102</v>
      </c>
      <c r="N17" s="3">
        <f t="shared" si="1"/>
        <v>0.37716378157473002</v>
      </c>
      <c r="O17" s="2">
        <f t="shared" si="2"/>
        <v>7.3236168429789972E-3</v>
      </c>
    </row>
    <row r="18" spans="2:15">
      <c r="B18" s="4">
        <v>40654</v>
      </c>
      <c r="C18" s="3">
        <v>0.59356262313394537</v>
      </c>
      <c r="D18" s="3">
        <v>0.38384871096807699</v>
      </c>
      <c r="E18" s="3">
        <v>0.43647525585997698</v>
      </c>
      <c r="F18" s="2">
        <f t="shared" si="0"/>
        <v>5.2626544891899996E-2</v>
      </c>
      <c r="H18" s="1">
        <v>40654</v>
      </c>
      <c r="I18">
        <v>0.39280861828637997</v>
      </c>
      <c r="K18" s="4">
        <v>40654</v>
      </c>
      <c r="L18" s="3">
        <v>0.59356262313394537</v>
      </c>
      <c r="M18" s="3">
        <v>0.38384871096807699</v>
      </c>
      <c r="N18" s="3">
        <f t="shared" si="1"/>
        <v>0.39280861828637997</v>
      </c>
      <c r="O18" s="2">
        <f t="shared" si="2"/>
        <v>8.9599073183029843E-3</v>
      </c>
    </row>
    <row r="19" spans="2:15">
      <c r="B19" s="4">
        <v>40661</v>
      </c>
      <c r="C19" s="3">
        <v>0.59445921362542997</v>
      </c>
      <c r="D19" s="3">
        <v>0.38433074982262799</v>
      </c>
      <c r="E19" s="3">
        <v>0.43694753509709</v>
      </c>
      <c r="F19" s="2">
        <f t="shared" si="0"/>
        <v>5.2616785274462008E-2</v>
      </c>
      <c r="H19" s="1">
        <v>40661</v>
      </c>
      <c r="I19">
        <v>0.39347477869207098</v>
      </c>
      <c r="K19" s="4">
        <v>40661</v>
      </c>
      <c r="L19" s="3">
        <v>0.59445921362542997</v>
      </c>
      <c r="M19" s="3">
        <v>0.38433074982262799</v>
      </c>
      <c r="N19" s="3">
        <f t="shared" si="1"/>
        <v>0.39347477869207098</v>
      </c>
      <c r="O19" s="2">
        <f t="shared" si="2"/>
        <v>9.1440288694429883E-3</v>
      </c>
    </row>
    <row r="20" spans="2:15">
      <c r="B20" s="4">
        <v>40668</v>
      </c>
      <c r="C20" s="3">
        <v>0.59391131067456038</v>
      </c>
      <c r="D20" s="3">
        <v>0.394871405610702</v>
      </c>
      <c r="E20" s="3">
        <v>0.447281712887248</v>
      </c>
      <c r="F20" s="2">
        <f t="shared" si="0"/>
        <v>5.2410307276545998E-2</v>
      </c>
      <c r="H20" s="1">
        <v>40668</v>
      </c>
      <c r="I20">
        <v>0.404960459321071</v>
      </c>
      <c r="K20" s="4">
        <v>40668</v>
      </c>
      <c r="L20" s="3">
        <v>0.59391131067456038</v>
      </c>
      <c r="M20" s="3">
        <v>0.394871405610702</v>
      </c>
      <c r="N20" s="3">
        <f t="shared" si="1"/>
        <v>0.404960459321071</v>
      </c>
      <c r="O20" s="2">
        <f t="shared" si="2"/>
        <v>1.0089053710369E-2</v>
      </c>
    </row>
    <row r="21" spans="2:15">
      <c r="B21" s="4">
        <v>40675</v>
      </c>
      <c r="C21" s="3">
        <v>0.60662155942020002</v>
      </c>
      <c r="D21" s="3">
        <v>0.43079303669576202</v>
      </c>
      <c r="E21" s="3">
        <v>0.48169103338999603</v>
      </c>
      <c r="F21" s="2">
        <f t="shared" si="0"/>
        <v>5.0897996694234005E-2</v>
      </c>
      <c r="H21" s="1">
        <v>40675</v>
      </c>
      <c r="I21">
        <v>0.44239757779940198</v>
      </c>
      <c r="K21" s="4">
        <v>40675</v>
      </c>
      <c r="L21" s="3">
        <v>0.60662155942020002</v>
      </c>
      <c r="M21" s="3">
        <v>0.43079303669576202</v>
      </c>
      <c r="N21" s="3">
        <f t="shared" si="1"/>
        <v>0.44239757779940198</v>
      </c>
      <c r="O21" s="2">
        <f t="shared" si="2"/>
        <v>1.1604541103639954E-2</v>
      </c>
    </row>
    <row r="22" spans="2:15">
      <c r="B22" s="4">
        <v>40682</v>
      </c>
      <c r="C22" s="3">
        <v>0.61264076908113763</v>
      </c>
      <c r="D22" s="3">
        <v>0.43090192835496699</v>
      </c>
      <c r="E22" s="3">
        <v>0.48179766411393099</v>
      </c>
      <c r="F22" s="2">
        <f t="shared" si="0"/>
        <v>5.0895735758964E-2</v>
      </c>
      <c r="H22" s="1">
        <v>40682</v>
      </c>
      <c r="I22">
        <v>0.44263839982775999</v>
      </c>
      <c r="K22" s="4">
        <v>40682</v>
      </c>
      <c r="L22" s="3">
        <v>0.61264076908113763</v>
      </c>
      <c r="M22" s="3">
        <v>0.43090192835496699</v>
      </c>
      <c r="N22" s="3">
        <f t="shared" si="1"/>
        <v>0.44263839982775999</v>
      </c>
      <c r="O22" s="2">
        <f t="shared" si="2"/>
        <v>1.1736471472792998E-2</v>
      </c>
    </row>
    <row r="23" spans="2:15">
      <c r="B23" s="4">
        <v>40689</v>
      </c>
      <c r="C23" s="3">
        <v>0.61599363608099678</v>
      </c>
      <c r="D23" s="3">
        <v>0.431110671725766</v>
      </c>
      <c r="E23" s="3">
        <v>0.48194723053828598</v>
      </c>
      <c r="F23" s="2">
        <f t="shared" si="0"/>
        <v>5.0836558812519972E-2</v>
      </c>
      <c r="H23" s="1">
        <v>40689</v>
      </c>
      <c r="I23">
        <v>0.443305158673787</v>
      </c>
      <c r="K23" s="4">
        <v>40689</v>
      </c>
      <c r="L23" s="3">
        <v>0.61599363608099678</v>
      </c>
      <c r="M23" s="3">
        <v>0.431110671725766</v>
      </c>
      <c r="N23" s="3">
        <f t="shared" si="1"/>
        <v>0.443305158673787</v>
      </c>
      <c r="O23" s="2">
        <f t="shared" si="2"/>
        <v>1.2194486948020999E-2</v>
      </c>
    </row>
    <row r="24" spans="2:15">
      <c r="B24" s="4">
        <v>40696</v>
      </c>
      <c r="C24" s="3">
        <v>0.66311590107349083</v>
      </c>
      <c r="D24" s="3">
        <v>0.45342303565958197</v>
      </c>
      <c r="E24" s="3">
        <v>0.50487266986540702</v>
      </c>
      <c r="F24" s="2">
        <f t="shared" si="0"/>
        <v>5.1449634205825046E-2</v>
      </c>
      <c r="H24" s="1">
        <v>40696</v>
      </c>
      <c r="I24">
        <v>0.46808927773665898</v>
      </c>
      <c r="K24" s="4">
        <v>40696</v>
      </c>
      <c r="L24" s="3">
        <v>0.66311590107349083</v>
      </c>
      <c r="M24" s="3">
        <v>0.45342303565958197</v>
      </c>
      <c r="N24" s="3">
        <f t="shared" si="1"/>
        <v>0.46808927773665898</v>
      </c>
      <c r="O24" s="2">
        <f t="shared" si="2"/>
        <v>1.4666242077077007E-2</v>
      </c>
    </row>
    <row r="25" spans="2:15">
      <c r="B25" s="4">
        <v>40703</v>
      </c>
      <c r="C25" s="3">
        <v>0.74517189360077984</v>
      </c>
      <c r="D25" s="3">
        <v>0.47629557608974499</v>
      </c>
      <c r="E25" s="3">
        <v>0.52689216322250598</v>
      </c>
      <c r="F25" s="2">
        <f t="shared" si="0"/>
        <v>5.0596587132760995E-2</v>
      </c>
      <c r="H25" s="1">
        <v>40703</v>
      </c>
      <c r="I25">
        <v>0.49109730679799701</v>
      </c>
      <c r="K25" s="4">
        <v>40703</v>
      </c>
      <c r="L25" s="3">
        <v>0.74517189360077984</v>
      </c>
      <c r="M25" s="3">
        <v>0.47629557608974499</v>
      </c>
      <c r="N25" s="3">
        <f t="shared" si="1"/>
        <v>0.49109730679799701</v>
      </c>
      <c r="O25" s="2">
        <f t="shared" si="2"/>
        <v>1.4801730708252026E-2</v>
      </c>
    </row>
    <row r="26" spans="2:15">
      <c r="B26" s="4">
        <v>40710</v>
      </c>
      <c r="C26" s="3">
        <v>0.72397022872334449</v>
      </c>
      <c r="D26" s="3">
        <v>0.47626301055025799</v>
      </c>
      <c r="E26" s="3">
        <v>0.52686022379811903</v>
      </c>
      <c r="F26" s="2">
        <f t="shared" si="0"/>
        <v>5.0597213247861039E-2</v>
      </c>
      <c r="H26" s="1">
        <v>40710</v>
      </c>
      <c r="I26">
        <v>0.49098227335116801</v>
      </c>
      <c r="K26" s="4">
        <v>40710</v>
      </c>
      <c r="L26" s="3">
        <v>0.72397022872334449</v>
      </c>
      <c r="M26" s="3">
        <v>0.47626301055025799</v>
      </c>
      <c r="N26" s="3">
        <f t="shared" si="1"/>
        <v>0.49098227335116801</v>
      </c>
      <c r="O26" s="2">
        <f t="shared" si="2"/>
        <v>1.4719262800910016E-2</v>
      </c>
    </row>
    <row r="27" spans="2:15">
      <c r="B27" s="4">
        <v>40717</v>
      </c>
      <c r="C27" s="3">
        <v>0.66311590107349083</v>
      </c>
      <c r="D27" s="3">
        <v>0.45342303565958197</v>
      </c>
      <c r="E27" s="3">
        <v>0.50487266986540702</v>
      </c>
      <c r="F27" s="2">
        <f t="shared" si="0"/>
        <v>5.1449634205825046E-2</v>
      </c>
      <c r="H27" s="1">
        <v>40717</v>
      </c>
      <c r="I27">
        <v>0.46808927773665898</v>
      </c>
      <c r="K27" s="4">
        <v>40717</v>
      </c>
      <c r="L27" s="3">
        <v>0.66311590107349083</v>
      </c>
      <c r="M27" s="3">
        <v>0.45342303565958197</v>
      </c>
      <c r="N27" s="3">
        <f t="shared" si="1"/>
        <v>0.46808927773665898</v>
      </c>
      <c r="O27" s="2">
        <f t="shared" si="2"/>
        <v>1.4666242077077007E-2</v>
      </c>
    </row>
    <row r="28" spans="2:15">
      <c r="B28" s="4">
        <v>40724</v>
      </c>
      <c r="C28" s="3">
        <v>0.69050447134038251</v>
      </c>
      <c r="D28" s="3">
        <v>0.47533111966863201</v>
      </c>
      <c r="E28" s="3">
        <v>0.52593041582120903</v>
      </c>
      <c r="F28" s="2">
        <f t="shared" si="0"/>
        <v>5.0599296152577022E-2</v>
      </c>
      <c r="H28" s="1">
        <v>40724</v>
      </c>
      <c r="I28">
        <v>0.489935821452404</v>
      </c>
      <c r="K28" s="4">
        <v>40724</v>
      </c>
      <c r="L28" s="3">
        <v>0.69050447134038251</v>
      </c>
      <c r="M28" s="3">
        <v>0.47533111966863201</v>
      </c>
      <c r="N28" s="3">
        <f t="shared" si="1"/>
        <v>0.489935821452404</v>
      </c>
      <c r="O28" s="2">
        <f t="shared" si="2"/>
        <v>1.4604701783771989E-2</v>
      </c>
    </row>
    <row r="29" spans="2:15">
      <c r="B29" s="4">
        <v>40731</v>
      </c>
      <c r="C29" s="3">
        <v>0.60410549631050647</v>
      </c>
      <c r="D29" s="3">
        <v>0.42115773967800002</v>
      </c>
      <c r="E29" s="3">
        <v>0.47454621524908303</v>
      </c>
      <c r="F29" s="2">
        <f t="shared" si="0"/>
        <v>5.3388475571083005E-2</v>
      </c>
      <c r="H29" s="1">
        <v>40731</v>
      </c>
      <c r="I29">
        <v>0.43458744050497899</v>
      </c>
      <c r="K29" s="4">
        <v>40731</v>
      </c>
      <c r="L29" s="3">
        <v>0.60410549631050647</v>
      </c>
      <c r="M29" s="3">
        <v>0.42115773967800002</v>
      </c>
      <c r="N29" s="3">
        <f t="shared" si="1"/>
        <v>0.43458744050497899</v>
      </c>
      <c r="O29" s="2">
        <f t="shared" si="2"/>
        <v>1.3429700826978974E-2</v>
      </c>
    </row>
    <row r="30" spans="2:15">
      <c r="B30" s="4">
        <v>40738</v>
      </c>
      <c r="C30" s="3">
        <v>0.684475421712615</v>
      </c>
      <c r="D30" s="3">
        <v>0.47005900282082203</v>
      </c>
      <c r="E30" s="3">
        <v>0.52190457919731803</v>
      </c>
      <c r="F30" s="2">
        <f t="shared" si="0"/>
        <v>5.1845576376496005E-2</v>
      </c>
      <c r="H30" s="1">
        <v>40738</v>
      </c>
      <c r="I30">
        <v>0.485108874378754</v>
      </c>
      <c r="K30" s="4">
        <v>40738</v>
      </c>
      <c r="L30" s="3">
        <v>0.684475421712615</v>
      </c>
      <c r="M30" s="3">
        <v>0.47005900282082203</v>
      </c>
      <c r="N30" s="3">
        <f t="shared" si="1"/>
        <v>0.485108874378754</v>
      </c>
      <c r="O30" s="2">
        <f t="shared" si="2"/>
        <v>1.5049871557931971E-2</v>
      </c>
    </row>
    <row r="31" spans="2:15">
      <c r="B31" s="4">
        <v>40745</v>
      </c>
      <c r="C31" s="3">
        <v>0.66675683999516944</v>
      </c>
      <c r="D31" s="3">
        <v>0.44797749734765901</v>
      </c>
      <c r="E31" s="3">
        <v>0.50065707260663195</v>
      </c>
      <c r="F31" s="2">
        <f t="shared" si="0"/>
        <v>5.2679575258972933E-2</v>
      </c>
      <c r="H31" s="1">
        <v>40745</v>
      </c>
      <c r="I31">
        <v>0.46318279756695502</v>
      </c>
      <c r="K31" s="4">
        <v>40745</v>
      </c>
      <c r="L31" s="3">
        <v>0.66675683999516944</v>
      </c>
      <c r="M31" s="3">
        <v>0.44797749734765901</v>
      </c>
      <c r="N31" s="3">
        <f t="shared" si="1"/>
        <v>0.46318279756695502</v>
      </c>
      <c r="O31" s="2">
        <f t="shared" si="2"/>
        <v>1.5205300219296003E-2</v>
      </c>
    </row>
    <row r="32" spans="2:15">
      <c r="B32" s="4">
        <v>40752</v>
      </c>
      <c r="C32" s="3">
        <v>0.61660059317974736</v>
      </c>
      <c r="D32" s="3">
        <v>0.44409861209358098</v>
      </c>
      <c r="E32" s="3">
        <v>0.49688453784682102</v>
      </c>
      <c r="F32" s="2">
        <f t="shared" si="0"/>
        <v>5.2785925753240037E-2</v>
      </c>
      <c r="H32" s="1">
        <v>40752</v>
      </c>
      <c r="I32">
        <v>0.45789854868906799</v>
      </c>
      <c r="K32" s="4">
        <v>40752</v>
      </c>
      <c r="L32" s="3">
        <v>0.61660059317974736</v>
      </c>
      <c r="M32" s="3">
        <v>0.44409861209358098</v>
      </c>
      <c r="N32" s="3">
        <f t="shared" si="1"/>
        <v>0.45789854868906799</v>
      </c>
      <c r="O32" s="2">
        <f t="shared" si="2"/>
        <v>1.3799936595487006E-2</v>
      </c>
    </row>
    <row r="33" spans="2:15">
      <c r="B33" s="4">
        <v>40759</v>
      </c>
      <c r="C33" s="3">
        <v>0.81803711941746404</v>
      </c>
      <c r="D33" s="3">
        <v>0.515379400381896</v>
      </c>
      <c r="E33" s="3">
        <v>0.56742832753757799</v>
      </c>
      <c r="F33" s="2">
        <f t="shared" si="0"/>
        <v>5.204892715568199E-2</v>
      </c>
      <c r="H33" s="1">
        <v>40759</v>
      </c>
      <c r="I33">
        <v>0.53278765965471897</v>
      </c>
      <c r="K33" s="4">
        <v>40759</v>
      </c>
      <c r="L33" s="3">
        <v>0.81803711941746404</v>
      </c>
      <c r="M33" s="3">
        <v>0.515379400381896</v>
      </c>
      <c r="N33" s="3">
        <f t="shared" si="1"/>
        <v>0.53278765965471897</v>
      </c>
      <c r="O33" s="2">
        <f t="shared" si="2"/>
        <v>1.7408259272822968E-2</v>
      </c>
    </row>
    <row r="34" spans="2:15">
      <c r="B34" s="4">
        <v>40766</v>
      </c>
      <c r="C34" s="3">
        <v>0.83404184296119399</v>
      </c>
      <c r="D34" s="3">
        <v>0.61745026323361196</v>
      </c>
      <c r="E34" s="3">
        <v>0.66600802275198501</v>
      </c>
      <c r="F34" s="2">
        <f t="shared" si="0"/>
        <v>4.8557759518373045E-2</v>
      </c>
      <c r="H34" s="1">
        <v>40766</v>
      </c>
      <c r="I34">
        <v>0.63586839821177099</v>
      </c>
      <c r="K34" s="4">
        <v>40766</v>
      </c>
      <c r="L34" s="3">
        <v>0.83404184296119399</v>
      </c>
      <c r="M34" s="3">
        <v>0.61745026323361196</v>
      </c>
      <c r="N34" s="3">
        <f t="shared" si="1"/>
        <v>0.63586839821177099</v>
      </c>
      <c r="O34" s="2">
        <f t="shared" si="2"/>
        <v>1.8418134978159029E-2</v>
      </c>
    </row>
    <row r="35" spans="2:15">
      <c r="B35" s="4">
        <v>40773</v>
      </c>
      <c r="C35" s="3">
        <v>0.86117434904403212</v>
      </c>
      <c r="D35" s="3">
        <v>0.71103111098302996</v>
      </c>
      <c r="E35" s="3">
        <v>0.75450188553023501</v>
      </c>
      <c r="F35" s="2">
        <f t="shared" si="0"/>
        <v>4.3470774547205049E-2</v>
      </c>
      <c r="H35" s="1">
        <v>40773</v>
      </c>
      <c r="I35">
        <v>0.730678857237261</v>
      </c>
      <c r="K35" s="4">
        <v>40773</v>
      </c>
      <c r="L35" s="3">
        <v>0.86117434904403212</v>
      </c>
      <c r="M35" s="3">
        <v>0.71103111098302996</v>
      </c>
      <c r="N35" s="3">
        <f t="shared" si="1"/>
        <v>0.730678857237261</v>
      </c>
      <c r="O35" s="2">
        <f t="shared" si="2"/>
        <v>1.9647746254231047E-2</v>
      </c>
    </row>
    <row r="36" spans="2:15">
      <c r="B36" s="4">
        <v>40780</v>
      </c>
      <c r="C36" s="3">
        <v>0.84714025108084823</v>
      </c>
      <c r="D36" s="3">
        <v>0.66735967344709601</v>
      </c>
      <c r="E36" s="3">
        <v>0.71265891972781104</v>
      </c>
      <c r="F36" s="2">
        <f t="shared" si="0"/>
        <v>4.5299246280715022E-2</v>
      </c>
      <c r="H36" s="1">
        <v>40780</v>
      </c>
      <c r="I36">
        <v>0.68478976915726397</v>
      </c>
      <c r="K36" s="4">
        <v>40780</v>
      </c>
      <c r="L36" s="3">
        <v>0.84714025108084823</v>
      </c>
      <c r="M36" s="3">
        <v>0.66735967344709601</v>
      </c>
      <c r="N36" s="3">
        <f t="shared" si="1"/>
        <v>0.68478976915726397</v>
      </c>
      <c r="O36" s="2">
        <f t="shared" si="2"/>
        <v>1.7430095710167959E-2</v>
      </c>
    </row>
    <row r="37" spans="2:15">
      <c r="B37" s="4">
        <v>40787</v>
      </c>
      <c r="C37" s="3">
        <v>0.84129278814437181</v>
      </c>
      <c r="D37" s="3">
        <v>0.66070318293374397</v>
      </c>
      <c r="E37" s="3">
        <v>0.70758341766817601</v>
      </c>
      <c r="F37" s="2">
        <f t="shared" si="0"/>
        <v>4.6880234734432036E-2</v>
      </c>
      <c r="H37" s="1">
        <v>40787</v>
      </c>
      <c r="I37">
        <v>0.67891821943498099</v>
      </c>
      <c r="K37" s="4">
        <v>40787</v>
      </c>
      <c r="L37" s="3">
        <v>0.84129278814437181</v>
      </c>
      <c r="M37" s="3">
        <v>0.66070318293374397</v>
      </c>
      <c r="N37" s="3">
        <f t="shared" si="1"/>
        <v>0.67891821943498099</v>
      </c>
      <c r="O37" s="2">
        <f t="shared" si="2"/>
        <v>1.8215036501237014E-2</v>
      </c>
    </row>
    <row r="38" spans="2:15">
      <c r="B38" s="4">
        <v>40794</v>
      </c>
      <c r="C38" s="3">
        <v>0.87859103936280614</v>
      </c>
      <c r="D38" s="3">
        <v>0.72862294428542695</v>
      </c>
      <c r="E38" s="3">
        <v>0.77195870739625605</v>
      </c>
      <c r="F38" s="2">
        <f t="shared" si="0"/>
        <v>4.3335763110829095E-2</v>
      </c>
      <c r="H38" s="1">
        <v>40794</v>
      </c>
      <c r="I38">
        <v>0.74882938585751302</v>
      </c>
      <c r="K38" s="4">
        <v>40794</v>
      </c>
      <c r="L38" s="3">
        <v>0.87859103936280614</v>
      </c>
      <c r="M38" s="3">
        <v>0.72862294428542695</v>
      </c>
      <c r="N38" s="3">
        <f t="shared" si="1"/>
        <v>0.74882938585751302</v>
      </c>
      <c r="O38" s="2">
        <f t="shared" si="2"/>
        <v>2.0206441572086065E-2</v>
      </c>
    </row>
    <row r="39" spans="2:15">
      <c r="B39" s="4">
        <v>40801</v>
      </c>
      <c r="C39" s="3">
        <v>0.90242289630359074</v>
      </c>
      <c r="D39" s="3">
        <v>0.73180955418473204</v>
      </c>
      <c r="E39" s="3">
        <v>0.77393677940889705</v>
      </c>
      <c r="F39" s="2">
        <f t="shared" si="0"/>
        <v>4.212722522416501E-2</v>
      </c>
      <c r="H39" s="1">
        <v>40801</v>
      </c>
      <c r="I39">
        <v>0.75105682006900099</v>
      </c>
      <c r="K39" s="4">
        <v>40801</v>
      </c>
      <c r="L39" s="3">
        <v>0.90242289630359074</v>
      </c>
      <c r="M39" s="3">
        <v>0.73180955418473204</v>
      </c>
      <c r="N39" s="3">
        <f t="shared" si="1"/>
        <v>0.75105682006900099</v>
      </c>
      <c r="O39" s="2">
        <f t="shared" si="2"/>
        <v>1.9247265884268949E-2</v>
      </c>
    </row>
    <row r="40" spans="2:15">
      <c r="B40" s="4">
        <v>40808</v>
      </c>
      <c r="C40" s="3">
        <v>0.90242289630359074</v>
      </c>
      <c r="D40" s="3">
        <v>0.73180955418473204</v>
      </c>
      <c r="E40" s="3">
        <v>0.77393677940889705</v>
      </c>
      <c r="F40" s="2">
        <f t="shared" si="0"/>
        <v>4.212722522416501E-2</v>
      </c>
      <c r="H40" s="1">
        <v>40808</v>
      </c>
      <c r="I40">
        <v>0.75105682006900099</v>
      </c>
      <c r="K40" s="4">
        <v>40808</v>
      </c>
      <c r="L40" s="3">
        <v>0.90242289630359074</v>
      </c>
      <c r="M40" s="3">
        <v>0.73180955418473204</v>
      </c>
      <c r="N40" s="3">
        <f t="shared" si="1"/>
        <v>0.75105682006900099</v>
      </c>
      <c r="O40" s="2">
        <f t="shared" si="2"/>
        <v>1.9247265884268949E-2</v>
      </c>
    </row>
    <row r="41" spans="2:15">
      <c r="B41" s="4">
        <v>40815</v>
      </c>
      <c r="C41" s="3">
        <v>0.94644262124543443</v>
      </c>
      <c r="D41" s="3">
        <v>0.78537510001402</v>
      </c>
      <c r="E41" s="3">
        <v>0.82508471199231004</v>
      </c>
      <c r="F41" s="2">
        <f t="shared" si="0"/>
        <v>3.9709611978290038E-2</v>
      </c>
      <c r="H41" s="1">
        <v>40815</v>
      </c>
      <c r="I41">
        <v>0.80540404717700897</v>
      </c>
      <c r="K41" s="4">
        <v>40815</v>
      </c>
      <c r="L41" s="3">
        <v>0.94644262124543443</v>
      </c>
      <c r="M41" s="3">
        <v>0.78537510001402</v>
      </c>
      <c r="N41" s="3">
        <f t="shared" si="1"/>
        <v>0.80540404717700897</v>
      </c>
      <c r="O41" s="2">
        <f t="shared" si="2"/>
        <v>2.0028947162988975E-2</v>
      </c>
    </row>
    <row r="42" spans="2:15">
      <c r="B42" s="4">
        <v>40822</v>
      </c>
      <c r="C42" s="3">
        <v>0.96725200604215567</v>
      </c>
      <c r="D42" s="3">
        <v>0.77200889405912698</v>
      </c>
      <c r="E42" s="3">
        <v>0.81259352846128097</v>
      </c>
      <c r="F42" s="2">
        <f t="shared" si="0"/>
        <v>4.0584634402153985E-2</v>
      </c>
      <c r="H42" s="1">
        <v>40822</v>
      </c>
      <c r="I42">
        <v>0.790582670298423</v>
      </c>
      <c r="K42" s="4">
        <v>40822</v>
      </c>
      <c r="L42" s="3">
        <v>0.96725200604215567</v>
      </c>
      <c r="M42" s="3">
        <v>0.77200889405912698</v>
      </c>
      <c r="N42" s="3">
        <f t="shared" si="1"/>
        <v>0.790582670298423</v>
      </c>
      <c r="O42" s="2">
        <f t="shared" si="2"/>
        <v>1.8573776239296014E-2</v>
      </c>
    </row>
    <row r="43" spans="2:15">
      <c r="B43" s="4">
        <v>40829</v>
      </c>
      <c r="C43" s="3">
        <v>0.84917694017596268</v>
      </c>
      <c r="D43" s="3">
        <v>0.68762581065136796</v>
      </c>
      <c r="E43" s="3">
        <v>0.73459198246487301</v>
      </c>
      <c r="F43" s="2">
        <f t="shared" si="0"/>
        <v>4.6966171813505042E-2</v>
      </c>
      <c r="H43" s="1">
        <v>40829</v>
      </c>
      <c r="I43">
        <v>0.707335305309861</v>
      </c>
      <c r="K43" s="4">
        <v>40829</v>
      </c>
      <c r="L43" s="3">
        <v>0.84917694017596268</v>
      </c>
      <c r="M43" s="3">
        <v>0.68762581065136796</v>
      </c>
      <c r="N43" s="3">
        <f t="shared" si="1"/>
        <v>0.707335305309861</v>
      </c>
      <c r="O43" s="2">
        <f t="shared" si="2"/>
        <v>1.9709494658493032E-2</v>
      </c>
    </row>
    <row r="44" spans="2:15">
      <c r="B44" s="4">
        <v>40836</v>
      </c>
      <c r="C44" s="3">
        <v>0.85635864773186432</v>
      </c>
      <c r="D44" s="3">
        <v>0.70907311332117495</v>
      </c>
      <c r="E44" s="3">
        <v>0.75489065999645399</v>
      </c>
      <c r="F44" s="2">
        <f t="shared" si="0"/>
        <v>4.5817546675279042E-2</v>
      </c>
      <c r="H44" s="1">
        <v>40836</v>
      </c>
      <c r="I44">
        <v>0.72872079834060799</v>
      </c>
      <c r="K44" s="4">
        <v>40836</v>
      </c>
      <c r="L44" s="3">
        <v>0.85635864773186432</v>
      </c>
      <c r="M44" s="3">
        <v>0.70907311332117495</v>
      </c>
      <c r="N44" s="3">
        <f t="shared" si="1"/>
        <v>0.72872079834060799</v>
      </c>
      <c r="O44" s="2">
        <f t="shared" si="2"/>
        <v>1.9647685019433037E-2</v>
      </c>
    </row>
    <row r="45" spans="2:15">
      <c r="B45" s="4">
        <v>40843</v>
      </c>
      <c r="C45" s="3">
        <v>0.86512672485653175</v>
      </c>
      <c r="D45" s="3">
        <v>0.71096371307505601</v>
      </c>
      <c r="E45" s="3">
        <v>0.75632978245354299</v>
      </c>
      <c r="F45" s="2">
        <f t="shared" si="0"/>
        <v>4.5366069378486973E-2</v>
      </c>
      <c r="H45" s="1">
        <v>40843</v>
      </c>
      <c r="I45">
        <v>0.73025745423770105</v>
      </c>
      <c r="K45" s="4">
        <v>40843</v>
      </c>
      <c r="L45" s="3">
        <v>0.86512672485653175</v>
      </c>
      <c r="M45" s="3">
        <v>0.71096371307505601</v>
      </c>
      <c r="N45" s="3">
        <f t="shared" si="1"/>
        <v>0.73025745423770105</v>
      </c>
      <c r="O45" s="2">
        <f t="shared" si="2"/>
        <v>1.9293741162645039E-2</v>
      </c>
    </row>
    <row r="46" spans="2:15">
      <c r="B46" s="4">
        <v>40850</v>
      </c>
      <c r="C46" s="3">
        <v>0.93485323798856346</v>
      </c>
      <c r="D46" s="3">
        <v>0.75213064967891696</v>
      </c>
      <c r="E46" s="3">
        <v>0.79566700230121001</v>
      </c>
      <c r="F46" s="2">
        <f t="shared" si="0"/>
        <v>4.3536352622293051E-2</v>
      </c>
      <c r="H46" s="1">
        <v>40850</v>
      </c>
      <c r="I46">
        <v>0.77103501437728905</v>
      </c>
      <c r="K46" s="4">
        <v>40850</v>
      </c>
      <c r="L46" s="3">
        <v>0.93485323798856346</v>
      </c>
      <c r="M46" s="3">
        <v>0.75213064967891696</v>
      </c>
      <c r="N46" s="3">
        <f t="shared" si="1"/>
        <v>0.77103501437728905</v>
      </c>
      <c r="O46" s="2">
        <f t="shared" si="2"/>
        <v>1.8904364698372089E-2</v>
      </c>
    </row>
    <row r="47" spans="2:15">
      <c r="B47" s="4">
        <v>40857</v>
      </c>
      <c r="C47" s="3">
        <v>0.94404770550683115</v>
      </c>
      <c r="D47" s="3">
        <v>0.75215343752934904</v>
      </c>
      <c r="E47" s="3">
        <v>0.79568702054103702</v>
      </c>
      <c r="F47" s="2">
        <f t="shared" si="0"/>
        <v>4.3533583011687971E-2</v>
      </c>
      <c r="H47" s="1">
        <v>40857</v>
      </c>
      <c r="I47">
        <v>0.77108265099835005</v>
      </c>
      <c r="K47" s="4">
        <v>40857</v>
      </c>
      <c r="L47" s="3">
        <v>0.94404770550683115</v>
      </c>
      <c r="M47" s="3">
        <v>0.75215343752934904</v>
      </c>
      <c r="N47" s="3">
        <f t="shared" si="1"/>
        <v>0.77108265099835005</v>
      </c>
      <c r="O47" s="2">
        <f t="shared" si="2"/>
        <v>1.8929213469001005E-2</v>
      </c>
    </row>
    <row r="48" spans="2:15">
      <c r="B48" s="4">
        <v>40864</v>
      </c>
      <c r="C48" s="3">
        <v>0.93485323798856346</v>
      </c>
      <c r="D48" s="3">
        <v>0.75213064967891696</v>
      </c>
      <c r="E48" s="3">
        <v>0.79566700230121001</v>
      </c>
      <c r="F48" s="2">
        <f t="shared" si="0"/>
        <v>4.3536352622293051E-2</v>
      </c>
      <c r="H48" s="1">
        <v>40864</v>
      </c>
      <c r="I48">
        <v>0.77103501437728905</v>
      </c>
      <c r="K48" s="4">
        <v>40864</v>
      </c>
      <c r="L48" s="3">
        <v>0.93485323798856346</v>
      </c>
      <c r="M48" s="3">
        <v>0.75213064967891696</v>
      </c>
      <c r="N48" s="3">
        <f t="shared" si="1"/>
        <v>0.77103501437728905</v>
      </c>
      <c r="O48" s="2">
        <f t="shared" si="2"/>
        <v>1.8904364698372089E-2</v>
      </c>
    </row>
    <row r="49" spans="2:15">
      <c r="B49" s="4">
        <v>40870</v>
      </c>
      <c r="C49" s="3">
        <v>0.94997170807452469</v>
      </c>
      <c r="D49" s="3">
        <v>0.75451882195048703</v>
      </c>
      <c r="E49" s="3">
        <v>0.79700998806971202</v>
      </c>
      <c r="F49" s="2">
        <f t="shared" si="0"/>
        <v>4.2491166119224988E-2</v>
      </c>
      <c r="H49" s="1">
        <v>40870</v>
      </c>
      <c r="I49">
        <v>0.77245486812915198</v>
      </c>
      <c r="K49" s="4">
        <v>40870</v>
      </c>
      <c r="L49" s="3">
        <v>0.94997170807452469</v>
      </c>
      <c r="M49" s="3">
        <v>0.75451882195048703</v>
      </c>
      <c r="N49" s="3">
        <f t="shared" si="1"/>
        <v>0.77245486812915198</v>
      </c>
      <c r="O49" s="2">
        <f t="shared" si="2"/>
        <v>1.7936046178664955E-2</v>
      </c>
    </row>
    <row r="50" spans="2:15">
      <c r="B50" s="4">
        <v>40878</v>
      </c>
      <c r="C50" s="3">
        <v>0.91542628506626045</v>
      </c>
      <c r="D50" s="3">
        <v>0.73701250506221705</v>
      </c>
      <c r="E50" s="3">
        <v>0.78198517813851298</v>
      </c>
      <c r="F50" s="2">
        <f t="shared" si="0"/>
        <v>4.4972673076295933E-2</v>
      </c>
      <c r="H50" s="1">
        <v>40878</v>
      </c>
      <c r="I50">
        <v>0.75539515722260098</v>
      </c>
      <c r="K50" s="4">
        <v>40878</v>
      </c>
      <c r="L50" s="3">
        <v>0.91542628506626045</v>
      </c>
      <c r="M50" s="3">
        <v>0.73701250506221705</v>
      </c>
      <c r="N50" s="3">
        <f t="shared" si="1"/>
        <v>0.75539515722260098</v>
      </c>
      <c r="O50" s="2">
        <f t="shared" si="2"/>
        <v>1.8382652160383928E-2</v>
      </c>
    </row>
    <row r="51" spans="2:15">
      <c r="B51" s="4">
        <v>40885</v>
      </c>
      <c r="C51" s="3">
        <v>0.9248746068169833</v>
      </c>
      <c r="D51" s="3">
        <v>0.737034618623016</v>
      </c>
      <c r="E51" s="3">
        <v>0.78200436831299003</v>
      </c>
      <c r="F51" s="2">
        <f t="shared" si="0"/>
        <v>4.4969749689974026E-2</v>
      </c>
      <c r="H51" s="1">
        <v>40885</v>
      </c>
      <c r="I51">
        <v>0.75544279443301199</v>
      </c>
      <c r="K51" s="4">
        <v>40885</v>
      </c>
      <c r="L51" s="3">
        <v>0.9248746068169833</v>
      </c>
      <c r="M51" s="3">
        <v>0.737034618623016</v>
      </c>
      <c r="N51" s="3">
        <f t="shared" si="1"/>
        <v>0.75544279443301199</v>
      </c>
      <c r="O51" s="2">
        <f t="shared" si="2"/>
        <v>1.8408175809995986E-2</v>
      </c>
    </row>
    <row r="52" spans="2:15">
      <c r="B52" s="4">
        <v>40892</v>
      </c>
      <c r="C52" s="3">
        <v>0.93969161247928745</v>
      </c>
      <c r="D52" s="3">
        <v>0.74005848510739902</v>
      </c>
      <c r="E52" s="3">
        <v>0.78386700001619203</v>
      </c>
      <c r="F52" s="2">
        <f t="shared" si="0"/>
        <v>4.3808514908793006E-2</v>
      </c>
      <c r="H52" s="1">
        <v>40892</v>
      </c>
      <c r="I52">
        <v>0.757642248754546</v>
      </c>
      <c r="K52" s="4">
        <v>40892</v>
      </c>
      <c r="L52" s="3">
        <v>0.93969161247928745</v>
      </c>
      <c r="M52" s="3">
        <v>0.74005848510739902</v>
      </c>
      <c r="N52" s="3">
        <f t="shared" si="1"/>
        <v>0.757642248754546</v>
      </c>
      <c r="O52" s="2">
        <f t="shared" si="2"/>
        <v>1.7583763647146977E-2</v>
      </c>
    </row>
    <row r="53" spans="2:15">
      <c r="B53" s="4">
        <v>40899</v>
      </c>
      <c r="C53" s="3">
        <v>0.9601958662364245</v>
      </c>
      <c r="D53" s="3">
        <v>0.77262482249298603</v>
      </c>
      <c r="E53" s="3">
        <v>0.81520432036593904</v>
      </c>
      <c r="F53" s="2">
        <f t="shared" si="0"/>
        <v>4.2579497872953009E-2</v>
      </c>
      <c r="H53" s="1">
        <v>40899</v>
      </c>
      <c r="I53">
        <v>0.79118415521131102</v>
      </c>
      <c r="K53" s="4">
        <v>40899</v>
      </c>
      <c r="L53" s="3">
        <v>0.9601958662364245</v>
      </c>
      <c r="M53" s="3">
        <v>0.77262482249298603</v>
      </c>
      <c r="N53" s="3">
        <f t="shared" si="1"/>
        <v>0.79118415521131102</v>
      </c>
      <c r="O53" s="2">
        <f t="shared" si="2"/>
        <v>1.8559332718324995E-2</v>
      </c>
    </row>
    <row r="54" spans="2:15">
      <c r="B54" s="4">
        <v>40906</v>
      </c>
      <c r="C54" s="3">
        <v>0.94762260030460288</v>
      </c>
      <c r="D54" s="3">
        <v>0.76353022654842795</v>
      </c>
      <c r="E54" s="3">
        <v>0.80688676728488795</v>
      </c>
      <c r="F54" s="2">
        <f t="shared" si="0"/>
        <v>4.3356540736460003E-2</v>
      </c>
      <c r="H54" s="1">
        <v>40906</v>
      </c>
      <c r="I54">
        <v>0.78151191934601505</v>
      </c>
      <c r="K54" s="4">
        <v>40906</v>
      </c>
      <c r="L54" s="3">
        <v>0.94762260030460288</v>
      </c>
      <c r="M54" s="3">
        <v>0.76353022654842795</v>
      </c>
      <c r="N54" s="3">
        <f t="shared" si="1"/>
        <v>0.78151191934601505</v>
      </c>
      <c r="O54" s="2">
        <f t="shared" si="2"/>
        <v>1.7981692797587101E-2</v>
      </c>
    </row>
    <row r="55" spans="2:15">
      <c r="B55" s="4">
        <v>40913</v>
      </c>
      <c r="C55" s="3">
        <v>0.94481773750585774</v>
      </c>
      <c r="D55" s="3">
        <v>0.75017446397926801</v>
      </c>
      <c r="E55" s="3">
        <v>0.79520781124912299</v>
      </c>
      <c r="F55" s="2">
        <f t="shared" si="0"/>
        <v>4.5033347269854973E-2</v>
      </c>
      <c r="H55" s="1">
        <v>40913</v>
      </c>
      <c r="I55">
        <v>0.76877472295611105</v>
      </c>
      <c r="K55" s="4">
        <v>40913</v>
      </c>
      <c r="L55" s="3">
        <v>0.94481773750585774</v>
      </c>
      <c r="M55" s="3">
        <v>0.75017446397926801</v>
      </c>
      <c r="N55" s="3">
        <f t="shared" si="1"/>
        <v>0.76877472295611105</v>
      </c>
      <c r="O55" s="2">
        <f t="shared" si="2"/>
        <v>1.8600258976843032E-2</v>
      </c>
    </row>
    <row r="56" spans="2:15">
      <c r="B56" s="4">
        <v>40920</v>
      </c>
      <c r="C56" s="3">
        <v>0.95320351892281485</v>
      </c>
      <c r="D56" s="3">
        <v>0.76194885743932395</v>
      </c>
      <c r="E56" s="3">
        <v>0.80606898228656498</v>
      </c>
      <c r="F56" s="2">
        <f t="shared" si="0"/>
        <v>4.4120124847241038E-2</v>
      </c>
      <c r="H56" s="1">
        <v>40920</v>
      </c>
      <c r="I56">
        <v>0.78061484194895703</v>
      </c>
      <c r="K56" s="4">
        <v>40920</v>
      </c>
      <c r="L56" s="3">
        <v>0.95320351892281485</v>
      </c>
      <c r="M56" s="3">
        <v>0.76194885743932395</v>
      </c>
      <c r="N56" s="3">
        <f t="shared" si="1"/>
        <v>0.78061484194895703</v>
      </c>
      <c r="O56" s="2">
        <f t="shared" si="2"/>
        <v>1.8665984509633082E-2</v>
      </c>
    </row>
    <row r="57" spans="2:15">
      <c r="B57" s="4">
        <v>40927</v>
      </c>
      <c r="C57" s="3">
        <v>0.95182771809710431</v>
      </c>
      <c r="D57" s="3">
        <v>0.76015152542719999</v>
      </c>
      <c r="E57" s="3">
        <v>0.80437633407850995</v>
      </c>
      <c r="F57" s="2">
        <f t="shared" si="0"/>
        <v>4.4224808651309955E-2</v>
      </c>
      <c r="H57" s="1">
        <v>40927</v>
      </c>
      <c r="I57">
        <v>0.77869870375179695</v>
      </c>
      <c r="K57" s="4">
        <v>40927</v>
      </c>
      <c r="L57" s="3">
        <v>0.95182771809710431</v>
      </c>
      <c r="M57" s="3">
        <v>0.76015152542719999</v>
      </c>
      <c r="N57" s="3">
        <f t="shared" si="1"/>
        <v>0.77869870375179695</v>
      </c>
      <c r="O57" s="2">
        <f t="shared" si="2"/>
        <v>1.8547178324596958E-2</v>
      </c>
    </row>
    <row r="58" spans="2:15">
      <c r="B58" s="4">
        <v>40934</v>
      </c>
      <c r="C58" s="3">
        <v>0.91861521434498927</v>
      </c>
      <c r="D58" s="3">
        <v>0.72538795894175401</v>
      </c>
      <c r="E58" s="3">
        <v>0.77101655382029799</v>
      </c>
      <c r="F58" s="2">
        <f t="shared" si="0"/>
        <v>4.5628594878543982E-2</v>
      </c>
      <c r="H58" s="1">
        <v>40934</v>
      </c>
      <c r="I58">
        <v>0.74269630829851996</v>
      </c>
      <c r="K58" s="4">
        <v>40934</v>
      </c>
      <c r="L58" s="3">
        <v>0.91861521434498927</v>
      </c>
      <c r="M58" s="3">
        <v>0.72538795894175401</v>
      </c>
      <c r="N58" s="3">
        <f t="shared" si="1"/>
        <v>0.74269630829851996</v>
      </c>
      <c r="O58" s="2">
        <f t="shared" si="2"/>
        <v>1.7308349356765951E-2</v>
      </c>
    </row>
    <row r="59" spans="2:15">
      <c r="B59" s="4">
        <v>40941</v>
      </c>
      <c r="C59" s="3">
        <v>0.94107838104995334</v>
      </c>
      <c r="D59" s="3">
        <v>0.73976850442679698</v>
      </c>
      <c r="E59" s="3">
        <v>0.78569858522023195</v>
      </c>
      <c r="F59" s="2">
        <f t="shared" si="0"/>
        <v>4.5930080793434969E-2</v>
      </c>
      <c r="H59" s="1">
        <v>40941</v>
      </c>
      <c r="I59">
        <v>0.75801228690967404</v>
      </c>
      <c r="K59" s="4">
        <v>40941</v>
      </c>
      <c r="L59" s="3">
        <v>0.94107838104995334</v>
      </c>
      <c r="M59" s="3">
        <v>0.73976850442679698</v>
      </c>
      <c r="N59" s="3">
        <f t="shared" si="1"/>
        <v>0.75801228690967404</v>
      </c>
      <c r="O59" s="2">
        <f t="shared" si="2"/>
        <v>1.8243782482877058E-2</v>
      </c>
    </row>
    <row r="60" spans="2:15">
      <c r="B60" s="4">
        <v>40948</v>
      </c>
      <c r="C60" s="3">
        <v>0.94107838104995334</v>
      </c>
      <c r="D60" s="3">
        <v>0.73976850442679698</v>
      </c>
      <c r="E60" s="3">
        <v>0.78569858522023195</v>
      </c>
      <c r="F60" s="2">
        <f t="shared" si="0"/>
        <v>4.5930080793434969E-2</v>
      </c>
      <c r="H60" s="1">
        <v>40948</v>
      </c>
      <c r="I60">
        <v>0.75801228690967404</v>
      </c>
      <c r="K60" s="4">
        <v>40948</v>
      </c>
      <c r="L60" s="3">
        <v>0.94107838104995334</v>
      </c>
      <c r="M60" s="3">
        <v>0.73976850442679698</v>
      </c>
      <c r="N60" s="3">
        <f t="shared" si="1"/>
        <v>0.75801228690967404</v>
      </c>
      <c r="O60" s="2">
        <f t="shared" si="2"/>
        <v>1.8243782482877058E-2</v>
      </c>
    </row>
    <row r="61" spans="2:15">
      <c r="B61" s="4">
        <v>40955</v>
      </c>
      <c r="C61" s="3">
        <v>0.94107838104995334</v>
      </c>
      <c r="D61" s="3">
        <v>0.73976850442679698</v>
      </c>
      <c r="E61" s="3">
        <v>0.78569858522023195</v>
      </c>
      <c r="F61" s="2">
        <f t="shared" si="0"/>
        <v>4.5930080793434969E-2</v>
      </c>
      <c r="H61" s="1">
        <v>40955</v>
      </c>
      <c r="I61">
        <v>0.75801228690967404</v>
      </c>
      <c r="K61" s="4">
        <v>40955</v>
      </c>
      <c r="L61" s="3">
        <v>0.94107838104995334</v>
      </c>
      <c r="M61" s="3">
        <v>0.73976850442679698</v>
      </c>
      <c r="N61" s="3">
        <f t="shared" si="1"/>
        <v>0.75801228690967404</v>
      </c>
      <c r="O61" s="2">
        <f t="shared" si="2"/>
        <v>1.8243782482877058E-2</v>
      </c>
    </row>
    <row r="62" spans="2:15">
      <c r="B62" s="4">
        <v>40962</v>
      </c>
      <c r="C62" s="3">
        <v>0.90921329115869776</v>
      </c>
      <c r="D62" s="3">
        <v>0.70482380254349597</v>
      </c>
      <c r="E62" s="3">
        <v>0.75212890691069101</v>
      </c>
      <c r="F62" s="2">
        <f t="shared" si="0"/>
        <v>4.7305104367195039E-2</v>
      </c>
      <c r="H62" s="1">
        <v>40962</v>
      </c>
      <c r="I62">
        <v>0.72175870157936195</v>
      </c>
      <c r="K62" s="4">
        <v>40962</v>
      </c>
      <c r="L62" s="3">
        <v>0.90921329115869776</v>
      </c>
      <c r="M62" s="3">
        <v>0.70482380254349597</v>
      </c>
      <c r="N62" s="3">
        <f t="shared" si="1"/>
        <v>0.72175870157936195</v>
      </c>
      <c r="O62" s="2">
        <f t="shared" si="2"/>
        <v>1.693489903586598E-2</v>
      </c>
    </row>
    <row r="63" spans="2:15">
      <c r="B63" s="4">
        <v>40969</v>
      </c>
      <c r="C63" s="3">
        <v>0.91584710240533518</v>
      </c>
      <c r="D63" s="3">
        <v>0.71197045097818001</v>
      </c>
      <c r="E63" s="3">
        <v>0.76046432171719602</v>
      </c>
      <c r="F63" s="2">
        <f t="shared" si="0"/>
        <v>4.849387073901601E-2</v>
      </c>
      <c r="H63" s="1">
        <v>40969</v>
      </c>
      <c r="I63">
        <v>0.73029656495304496</v>
      </c>
      <c r="K63" s="4">
        <v>40969</v>
      </c>
      <c r="L63" s="3">
        <v>0.91584710240533518</v>
      </c>
      <c r="M63" s="3">
        <v>0.71197045097818001</v>
      </c>
      <c r="N63" s="3">
        <f t="shared" si="1"/>
        <v>0.73029656495304496</v>
      </c>
      <c r="O63" s="2">
        <f t="shared" si="2"/>
        <v>1.8326113974864944E-2</v>
      </c>
    </row>
    <row r="64" spans="2:15">
      <c r="B64" s="4">
        <v>40976</v>
      </c>
      <c r="C64" s="3">
        <v>0.91902765125865959</v>
      </c>
      <c r="D64" s="3">
        <v>0.72185562668080905</v>
      </c>
      <c r="E64" s="3">
        <v>0.769583122656471</v>
      </c>
      <c r="F64" s="2">
        <f t="shared" si="0"/>
        <v>4.7727495975661949E-2</v>
      </c>
      <c r="H64" s="1">
        <v>40976</v>
      </c>
      <c r="I64">
        <v>0.73979044413136397</v>
      </c>
      <c r="K64" s="4">
        <v>40976</v>
      </c>
      <c r="L64" s="3">
        <v>0.91902765125865959</v>
      </c>
      <c r="M64" s="3">
        <v>0.72185562668080905</v>
      </c>
      <c r="N64" s="3">
        <f t="shared" si="1"/>
        <v>0.73979044413136397</v>
      </c>
      <c r="O64" s="2">
        <f t="shared" si="2"/>
        <v>1.7934817450554918E-2</v>
      </c>
    </row>
    <row r="65" spans="2:15">
      <c r="B65" s="4">
        <v>40983</v>
      </c>
      <c r="C65" s="3">
        <v>0.90514599034862198</v>
      </c>
      <c r="D65" s="3">
        <v>0.71184965643423004</v>
      </c>
      <c r="E65" s="3">
        <v>0.760354139396616</v>
      </c>
      <c r="F65" s="2">
        <f t="shared" si="0"/>
        <v>4.8504482962385964E-2</v>
      </c>
      <c r="H65" s="1">
        <v>40983</v>
      </c>
      <c r="I65">
        <v>0.72964736165354105</v>
      </c>
      <c r="K65" s="4">
        <v>40983</v>
      </c>
      <c r="L65" s="3">
        <v>0.90514599034862198</v>
      </c>
      <c r="M65" s="3">
        <v>0.71184965643423004</v>
      </c>
      <c r="N65" s="3">
        <f t="shared" si="1"/>
        <v>0.72964736165354105</v>
      </c>
      <c r="O65" s="2">
        <f t="shared" si="2"/>
        <v>1.7797705219311011E-2</v>
      </c>
    </row>
    <row r="66" spans="2:15">
      <c r="B66" s="4">
        <v>40990</v>
      </c>
      <c r="C66" s="3">
        <v>0.78959380464288376</v>
      </c>
      <c r="D66" s="3">
        <v>0.63003810447880604</v>
      </c>
      <c r="E66" s="3">
        <v>0.68235415299983104</v>
      </c>
      <c r="F66" s="2">
        <f t="shared" si="0"/>
        <v>5.2316048521025005E-2</v>
      </c>
      <c r="H66" s="1">
        <v>40990</v>
      </c>
      <c r="I66">
        <v>0.64602889454414902</v>
      </c>
      <c r="K66" s="4">
        <v>40990</v>
      </c>
      <c r="L66" s="3">
        <v>0.78959380464288376</v>
      </c>
      <c r="M66" s="3">
        <v>0.63003810447880604</v>
      </c>
      <c r="N66" s="3">
        <f t="shared" si="1"/>
        <v>0.64602889454414902</v>
      </c>
      <c r="O66" s="2">
        <f t="shared" si="2"/>
        <v>1.5990790065342986E-2</v>
      </c>
    </row>
    <row r="67" spans="2:15">
      <c r="B67" s="4">
        <v>40997</v>
      </c>
      <c r="C67" s="3">
        <v>0.87490910290764468</v>
      </c>
      <c r="D67" s="3">
        <v>0.68476549375243201</v>
      </c>
      <c r="E67" s="3">
        <v>0.73476761977876004</v>
      </c>
      <c r="F67" s="2">
        <f t="shared" ref="F67:F130" si="3">E67-D67</f>
        <v>5.0002126026328031E-2</v>
      </c>
      <c r="H67" s="1">
        <v>40997</v>
      </c>
      <c r="I67">
        <v>0.70222983991940502</v>
      </c>
      <c r="K67" s="4">
        <v>40997</v>
      </c>
      <c r="L67" s="3">
        <v>0.87490910290764468</v>
      </c>
      <c r="M67" s="3">
        <v>0.68476549375243201</v>
      </c>
      <c r="N67" s="3">
        <f t="shared" ref="N67:N130" si="4">VLOOKUP(K67,H67:I294,2,0)</f>
        <v>0.70222983991940502</v>
      </c>
      <c r="O67" s="2">
        <f t="shared" ref="O67:O130" si="5">N67-M67</f>
        <v>1.746434616697301E-2</v>
      </c>
    </row>
    <row r="68" spans="2:15">
      <c r="B68" s="4">
        <v>41004</v>
      </c>
      <c r="C68" s="3">
        <v>0.86928745494692716</v>
      </c>
      <c r="D68" s="3">
        <v>0.68702063249841105</v>
      </c>
      <c r="E68" s="3">
        <v>0.73755756512459603</v>
      </c>
      <c r="F68" s="2">
        <f t="shared" si="3"/>
        <v>5.0536932626184972E-2</v>
      </c>
      <c r="H68" s="1">
        <v>41004</v>
      </c>
      <c r="I68">
        <v>0.70658526279350897</v>
      </c>
      <c r="K68" s="4">
        <v>41004</v>
      </c>
      <c r="L68" s="3">
        <v>0.86928745494692716</v>
      </c>
      <c r="M68" s="3">
        <v>0.68702063249841105</v>
      </c>
      <c r="N68" s="3">
        <f t="shared" si="4"/>
        <v>0.70658526279350897</v>
      </c>
      <c r="O68" s="2">
        <f t="shared" si="5"/>
        <v>1.9564630295097918E-2</v>
      </c>
    </row>
    <row r="69" spans="2:15">
      <c r="B69" s="4">
        <v>41011</v>
      </c>
      <c r="C69" s="3">
        <v>0.90849340717481886</v>
      </c>
      <c r="D69" s="3">
        <v>0.74360097428026795</v>
      </c>
      <c r="E69" s="3">
        <v>0.79074299766476497</v>
      </c>
      <c r="F69" s="2">
        <f t="shared" si="3"/>
        <v>4.7142023384497023E-2</v>
      </c>
      <c r="H69" s="1">
        <v>41011</v>
      </c>
      <c r="I69">
        <v>0.76351833890642296</v>
      </c>
      <c r="K69" s="4">
        <v>41011</v>
      </c>
      <c r="L69" s="3">
        <v>0.90849340717481886</v>
      </c>
      <c r="M69" s="3">
        <v>0.74360097428026795</v>
      </c>
      <c r="N69" s="3">
        <f t="shared" si="4"/>
        <v>0.76351833890642296</v>
      </c>
      <c r="O69" s="2">
        <f t="shared" si="5"/>
        <v>1.991736462615501E-2</v>
      </c>
    </row>
    <row r="70" spans="2:15">
      <c r="B70" s="4">
        <v>41018</v>
      </c>
      <c r="C70" s="3">
        <v>0.9034983903169389</v>
      </c>
      <c r="D70" s="3">
        <v>0.71319163212853798</v>
      </c>
      <c r="E70" s="3">
        <v>0.76301875675410702</v>
      </c>
      <c r="F70" s="2">
        <f t="shared" si="3"/>
        <v>4.9827124625569041E-2</v>
      </c>
      <c r="H70" s="1">
        <v>41018</v>
      </c>
      <c r="I70">
        <v>0.73479366879535601</v>
      </c>
      <c r="K70" s="4">
        <v>41018</v>
      </c>
      <c r="L70" s="3">
        <v>0.9034983903169389</v>
      </c>
      <c r="M70" s="3">
        <v>0.71319163212853798</v>
      </c>
      <c r="N70" s="3">
        <f t="shared" si="4"/>
        <v>0.73479366879535601</v>
      </c>
      <c r="O70" s="2">
        <f t="shared" si="5"/>
        <v>2.1602036666818036E-2</v>
      </c>
    </row>
    <row r="71" spans="2:15">
      <c r="B71" s="4">
        <v>41025</v>
      </c>
      <c r="C71" s="3">
        <v>0.90849340717481886</v>
      </c>
      <c r="D71" s="3">
        <v>0.74360097428026795</v>
      </c>
      <c r="E71" s="3">
        <v>0.79074299766476497</v>
      </c>
      <c r="F71" s="2">
        <f t="shared" si="3"/>
        <v>4.7142023384497023E-2</v>
      </c>
      <c r="H71" s="1">
        <v>41025</v>
      </c>
      <c r="I71">
        <v>0.76351833890642296</v>
      </c>
      <c r="K71" s="4">
        <v>41025</v>
      </c>
      <c r="L71" s="3">
        <v>0.90849340717481886</v>
      </c>
      <c r="M71" s="3">
        <v>0.74360097428026795</v>
      </c>
      <c r="N71" s="3">
        <f t="shared" si="4"/>
        <v>0.76351833890642296</v>
      </c>
      <c r="O71" s="2">
        <f t="shared" si="5"/>
        <v>1.991736462615501E-2</v>
      </c>
    </row>
    <row r="72" spans="2:15">
      <c r="B72" s="4">
        <v>41032</v>
      </c>
      <c r="C72" s="3">
        <v>0.89225108632442729</v>
      </c>
      <c r="D72" s="3">
        <v>0.74458940201611601</v>
      </c>
      <c r="E72" s="3">
        <v>0.79110304591011105</v>
      </c>
      <c r="F72" s="2">
        <f t="shared" si="3"/>
        <v>4.6513643893995038E-2</v>
      </c>
      <c r="H72" s="1">
        <v>41032</v>
      </c>
      <c r="I72">
        <v>0.76630418933940703</v>
      </c>
      <c r="K72" s="4">
        <v>41032</v>
      </c>
      <c r="L72" s="3">
        <v>0.89225108632442729</v>
      </c>
      <c r="M72" s="3">
        <v>0.74458940201611601</v>
      </c>
      <c r="N72" s="3">
        <f t="shared" si="4"/>
        <v>0.76630418933940703</v>
      </c>
      <c r="O72" s="2">
        <f t="shared" si="5"/>
        <v>2.1714787323291018E-2</v>
      </c>
    </row>
    <row r="73" spans="2:15">
      <c r="B73" s="4">
        <v>41039</v>
      </c>
      <c r="C73" s="3">
        <v>0.89337268606647302</v>
      </c>
      <c r="D73" s="3">
        <v>0.74880992852224404</v>
      </c>
      <c r="E73" s="3">
        <v>0.79377197751957995</v>
      </c>
      <c r="F73" s="2">
        <f t="shared" si="3"/>
        <v>4.4962048997335913E-2</v>
      </c>
      <c r="H73" s="1">
        <v>41039</v>
      </c>
      <c r="I73">
        <v>0.76953827651336104</v>
      </c>
      <c r="K73" s="4">
        <v>41039</v>
      </c>
      <c r="L73" s="3">
        <v>0.89337268606647302</v>
      </c>
      <c r="M73" s="3">
        <v>0.74880992852224404</v>
      </c>
      <c r="N73" s="3">
        <f t="shared" si="4"/>
        <v>0.76953827651336104</v>
      </c>
      <c r="O73" s="2">
        <f t="shared" si="5"/>
        <v>2.0728347991117002E-2</v>
      </c>
    </row>
    <row r="74" spans="2:15">
      <c r="B74" s="4">
        <v>41046</v>
      </c>
      <c r="C74" s="3">
        <v>0.8948997967143093</v>
      </c>
      <c r="D74" s="3">
        <v>0.77533293010841997</v>
      </c>
      <c r="E74" s="3">
        <v>0.819382348373077</v>
      </c>
      <c r="F74" s="2">
        <f t="shared" si="3"/>
        <v>4.4049418264657025E-2</v>
      </c>
      <c r="H74" s="1">
        <v>41046</v>
      </c>
      <c r="I74">
        <v>0.79807316092952996</v>
      </c>
      <c r="K74" s="4">
        <v>41046</v>
      </c>
      <c r="L74" s="3">
        <v>0.8948997967143093</v>
      </c>
      <c r="M74" s="3">
        <v>0.77533293010841997</v>
      </c>
      <c r="N74" s="3">
        <f t="shared" si="4"/>
        <v>0.79807316092952996</v>
      </c>
      <c r="O74" s="2">
        <f t="shared" si="5"/>
        <v>2.2740230821109986E-2</v>
      </c>
    </row>
    <row r="75" spans="2:15">
      <c r="B75" s="4">
        <v>41053</v>
      </c>
      <c r="C75" s="3">
        <v>0.89443957907281746</v>
      </c>
      <c r="D75" s="3">
        <v>0.77252849495486897</v>
      </c>
      <c r="E75" s="3">
        <v>0.81716837750375204</v>
      </c>
      <c r="F75" s="2">
        <f t="shared" si="3"/>
        <v>4.463988254888307E-2</v>
      </c>
      <c r="H75" s="1">
        <v>41053</v>
      </c>
      <c r="I75">
        <v>0.79563096421455903</v>
      </c>
      <c r="K75" s="4">
        <v>41053</v>
      </c>
      <c r="L75" s="3">
        <v>0.89443957907281746</v>
      </c>
      <c r="M75" s="3">
        <v>0.77252849495486897</v>
      </c>
      <c r="N75" s="3">
        <f t="shared" si="4"/>
        <v>0.79563096421455903</v>
      </c>
      <c r="O75" s="2">
        <f t="shared" si="5"/>
        <v>2.3102469259690062E-2</v>
      </c>
    </row>
    <row r="76" spans="2:15">
      <c r="B76" s="4">
        <v>41060</v>
      </c>
      <c r="C76" s="3">
        <v>0.89512122084695944</v>
      </c>
      <c r="D76" s="3">
        <v>0.77719223327132003</v>
      </c>
      <c r="E76" s="3">
        <v>0.82067742647539199</v>
      </c>
      <c r="F76" s="2">
        <f t="shared" si="3"/>
        <v>4.3485193204071959E-2</v>
      </c>
      <c r="H76" s="1">
        <v>41060</v>
      </c>
      <c r="I76">
        <v>0.79942305429412797</v>
      </c>
      <c r="K76" s="4">
        <v>41060</v>
      </c>
      <c r="L76" s="3">
        <v>0.89512122084695944</v>
      </c>
      <c r="M76" s="3">
        <v>0.77719223327132003</v>
      </c>
      <c r="N76" s="3">
        <f t="shared" si="4"/>
        <v>0.79942305429412797</v>
      </c>
      <c r="O76" s="2">
        <f t="shared" si="5"/>
        <v>2.2230821022807934E-2</v>
      </c>
    </row>
    <row r="77" spans="2:15">
      <c r="B77" s="4">
        <v>41067</v>
      </c>
      <c r="C77" s="3">
        <v>0.8920195449585564</v>
      </c>
      <c r="D77" s="3">
        <v>0.81161668458948799</v>
      </c>
      <c r="E77" s="3">
        <v>0.851826871264451</v>
      </c>
      <c r="F77" s="2">
        <f t="shared" si="3"/>
        <v>4.0210186674963011E-2</v>
      </c>
      <c r="H77" s="1">
        <v>41067</v>
      </c>
      <c r="I77">
        <v>0.83446023873339104</v>
      </c>
      <c r="K77" s="4">
        <v>41067</v>
      </c>
      <c r="L77" s="3">
        <v>0.8920195449585564</v>
      </c>
      <c r="M77" s="3">
        <v>0.81161668458948799</v>
      </c>
      <c r="N77" s="3">
        <f t="shared" si="4"/>
        <v>0.83446023873339104</v>
      </c>
      <c r="O77" s="2">
        <f t="shared" si="5"/>
        <v>2.2843554143903044E-2</v>
      </c>
    </row>
    <row r="78" spans="2:15">
      <c r="B78" s="4">
        <v>41074</v>
      </c>
      <c r="C78" s="3">
        <v>0.88667449797815956</v>
      </c>
      <c r="D78" s="3">
        <v>0.79320998802631504</v>
      </c>
      <c r="E78" s="3">
        <v>0.83440082254211201</v>
      </c>
      <c r="F78" s="2">
        <f t="shared" si="3"/>
        <v>4.119083451579697E-2</v>
      </c>
      <c r="H78" s="1">
        <v>41074</v>
      </c>
      <c r="I78">
        <v>0.81451926267734698</v>
      </c>
      <c r="K78" s="4">
        <v>41074</v>
      </c>
      <c r="L78" s="3">
        <v>0.88667449797815956</v>
      </c>
      <c r="M78" s="3">
        <v>0.79320998802631504</v>
      </c>
      <c r="N78" s="3">
        <f t="shared" si="4"/>
        <v>0.81451926267734698</v>
      </c>
      <c r="O78" s="2">
        <f t="shared" si="5"/>
        <v>2.130927465103194E-2</v>
      </c>
    </row>
    <row r="79" spans="2:15">
      <c r="B79" s="4">
        <v>41081</v>
      </c>
      <c r="C79" s="3">
        <v>0.89407594990163874</v>
      </c>
      <c r="D79" s="3">
        <v>0.81309219550150202</v>
      </c>
      <c r="E79" s="3">
        <v>0.852507202125939</v>
      </c>
      <c r="F79" s="2">
        <f t="shared" si="3"/>
        <v>3.9415006624436977E-2</v>
      </c>
      <c r="H79" s="1">
        <v>41081</v>
      </c>
      <c r="I79">
        <v>0.83520811127149397</v>
      </c>
      <c r="K79" s="4">
        <v>41081</v>
      </c>
      <c r="L79" s="3">
        <v>0.89407594990163874</v>
      </c>
      <c r="M79" s="3">
        <v>0.81309219550150202</v>
      </c>
      <c r="N79" s="3">
        <f t="shared" si="4"/>
        <v>0.83520811127149397</v>
      </c>
      <c r="O79" s="2">
        <f t="shared" si="5"/>
        <v>2.2115915769991945E-2</v>
      </c>
    </row>
    <row r="80" spans="2:15">
      <c r="B80" s="4">
        <v>41088</v>
      </c>
      <c r="C80" s="3">
        <v>0.89407594990163874</v>
      </c>
      <c r="D80" s="3">
        <v>0.81309219550150202</v>
      </c>
      <c r="E80" s="3">
        <v>0.852507202125939</v>
      </c>
      <c r="F80" s="2">
        <f t="shared" si="3"/>
        <v>3.9415006624436977E-2</v>
      </c>
      <c r="H80" s="1">
        <v>41088</v>
      </c>
      <c r="I80">
        <v>0.83520811127149397</v>
      </c>
      <c r="K80" s="4">
        <v>41088</v>
      </c>
      <c r="L80" s="3">
        <v>0.89407594990163874</v>
      </c>
      <c r="M80" s="3">
        <v>0.81309219550150202</v>
      </c>
      <c r="N80" s="3">
        <f t="shared" si="4"/>
        <v>0.83520811127149397</v>
      </c>
      <c r="O80" s="2">
        <f t="shared" si="5"/>
        <v>2.2115915769991945E-2</v>
      </c>
    </row>
    <row r="81" spans="2:15">
      <c r="B81" s="4">
        <v>41095</v>
      </c>
      <c r="C81" s="3">
        <v>0.8819114104860859</v>
      </c>
      <c r="D81" s="3">
        <v>0.80304589352971401</v>
      </c>
      <c r="E81" s="3">
        <v>0.84443285130548495</v>
      </c>
      <c r="F81" s="2">
        <f t="shared" si="3"/>
        <v>4.1386957775770949E-2</v>
      </c>
      <c r="H81" s="1">
        <v>41095</v>
      </c>
      <c r="I81">
        <v>0.82572377371151395</v>
      </c>
      <c r="K81" s="4">
        <v>41095</v>
      </c>
      <c r="L81" s="3">
        <v>0.8819114104860859</v>
      </c>
      <c r="M81" s="3">
        <v>0.80304589352971401</v>
      </c>
      <c r="N81" s="3">
        <f t="shared" si="4"/>
        <v>0.82572377371151395</v>
      </c>
      <c r="O81" s="2">
        <f t="shared" si="5"/>
        <v>2.2677880181799948E-2</v>
      </c>
    </row>
    <row r="82" spans="2:15">
      <c r="B82" s="4">
        <v>41102</v>
      </c>
      <c r="C82" s="3">
        <v>0.94551237246929465</v>
      </c>
      <c r="D82" s="3">
        <v>0.83475833318603099</v>
      </c>
      <c r="E82" s="3">
        <v>0.87307230305311201</v>
      </c>
      <c r="F82" s="2">
        <f t="shared" si="3"/>
        <v>3.8313969867081021E-2</v>
      </c>
      <c r="H82" s="1">
        <v>41102</v>
      </c>
      <c r="I82">
        <v>0.85783899509521899</v>
      </c>
      <c r="K82" s="4">
        <v>41102</v>
      </c>
      <c r="L82" s="3">
        <v>0.94551237246929465</v>
      </c>
      <c r="M82" s="3">
        <v>0.83475833318603099</v>
      </c>
      <c r="N82" s="3">
        <f t="shared" si="4"/>
        <v>0.85783899509521899</v>
      </c>
      <c r="O82" s="2">
        <f t="shared" si="5"/>
        <v>2.3080661909188005E-2</v>
      </c>
    </row>
    <row r="83" spans="2:15">
      <c r="B83" s="4">
        <v>41109</v>
      </c>
      <c r="C83" s="3">
        <v>0.97186924857158052</v>
      </c>
      <c r="D83" s="3">
        <v>0.839279067165004</v>
      </c>
      <c r="E83" s="3">
        <v>0.87588131701956295</v>
      </c>
      <c r="F83" s="2">
        <f t="shared" si="3"/>
        <v>3.6602249854558955E-2</v>
      </c>
      <c r="H83" s="1">
        <v>41109</v>
      </c>
      <c r="I83">
        <v>0.86087360527541701</v>
      </c>
      <c r="K83" s="4">
        <v>41109</v>
      </c>
      <c r="L83" s="3">
        <v>0.97186924857158052</v>
      </c>
      <c r="M83" s="3">
        <v>0.839279067165004</v>
      </c>
      <c r="N83" s="3">
        <f t="shared" si="4"/>
        <v>0.86087360527541701</v>
      </c>
      <c r="O83" s="2">
        <f t="shared" si="5"/>
        <v>2.1594538110413009E-2</v>
      </c>
    </row>
    <row r="84" spans="2:15">
      <c r="B84" s="4">
        <v>41116</v>
      </c>
      <c r="C84" s="3">
        <v>0.98451993370244106</v>
      </c>
      <c r="D84" s="3">
        <v>0.85583686182580798</v>
      </c>
      <c r="E84" s="3">
        <v>0.89130274249393204</v>
      </c>
      <c r="F84" s="2">
        <f t="shared" si="3"/>
        <v>3.5465880668124061E-2</v>
      </c>
      <c r="H84" s="1">
        <v>41116</v>
      </c>
      <c r="I84">
        <v>0.87708074343545095</v>
      </c>
      <c r="K84" s="4">
        <v>41116</v>
      </c>
      <c r="L84" s="3">
        <v>0.98451993370244106</v>
      </c>
      <c r="M84" s="3">
        <v>0.85583686182580798</v>
      </c>
      <c r="N84" s="3">
        <f t="shared" si="4"/>
        <v>0.87708074343545095</v>
      </c>
      <c r="O84" s="2">
        <f t="shared" si="5"/>
        <v>2.1243881609642967E-2</v>
      </c>
    </row>
    <row r="85" spans="2:15">
      <c r="B85" s="4">
        <v>41123</v>
      </c>
      <c r="C85" s="3">
        <v>0.9385222539497815</v>
      </c>
      <c r="D85" s="3">
        <v>0.81672598038940503</v>
      </c>
      <c r="E85" s="3">
        <v>0.85861085726029096</v>
      </c>
      <c r="F85" s="2">
        <f t="shared" si="3"/>
        <v>4.1884876870885934E-2</v>
      </c>
      <c r="H85" s="1">
        <v>41123</v>
      </c>
      <c r="I85">
        <v>0.84037294476980395</v>
      </c>
      <c r="K85" s="4">
        <v>41123</v>
      </c>
      <c r="L85" s="3">
        <v>0.9385222539497815</v>
      </c>
      <c r="M85" s="3">
        <v>0.81672598038940503</v>
      </c>
      <c r="N85" s="3">
        <f t="shared" si="4"/>
        <v>0.84037294476980395</v>
      </c>
      <c r="O85" s="2">
        <f t="shared" si="5"/>
        <v>2.3646964380398927E-2</v>
      </c>
    </row>
    <row r="86" spans="2:15">
      <c r="B86" s="4">
        <v>41130</v>
      </c>
      <c r="C86" s="3">
        <v>0.92408794393225557</v>
      </c>
      <c r="D86" s="3">
        <v>0.81660096914097402</v>
      </c>
      <c r="E86" s="3">
        <v>0.85851356171529003</v>
      </c>
      <c r="F86" s="2">
        <f t="shared" si="3"/>
        <v>4.191259257431601E-2</v>
      </c>
      <c r="H86" s="1">
        <v>41130</v>
      </c>
      <c r="I86">
        <v>0.840112046562973</v>
      </c>
      <c r="K86" s="4">
        <v>41130</v>
      </c>
      <c r="L86" s="3">
        <v>0.92408794393225557</v>
      </c>
      <c r="M86" s="3">
        <v>0.81660096914097402</v>
      </c>
      <c r="N86" s="3">
        <f t="shared" si="4"/>
        <v>0.840112046562973</v>
      </c>
      <c r="O86" s="2">
        <f t="shared" si="5"/>
        <v>2.3511077421998983E-2</v>
      </c>
    </row>
    <row r="87" spans="2:15">
      <c r="B87" s="4">
        <v>41137</v>
      </c>
      <c r="C87" s="3">
        <v>0.88445471641937157</v>
      </c>
      <c r="D87" s="3">
        <v>0.80039531716996504</v>
      </c>
      <c r="E87" s="3">
        <v>0.84263939707257096</v>
      </c>
      <c r="F87" s="2">
        <f t="shared" si="3"/>
        <v>4.2244079902605924E-2</v>
      </c>
      <c r="H87" s="1">
        <v>41137</v>
      </c>
      <c r="I87">
        <v>0.82226069643838895</v>
      </c>
      <c r="K87" s="4">
        <v>41137</v>
      </c>
      <c r="L87" s="3">
        <v>0.88445471641937157</v>
      </c>
      <c r="M87" s="3">
        <v>0.80039531716996504</v>
      </c>
      <c r="N87" s="3">
        <f t="shared" si="4"/>
        <v>0.82226069643838895</v>
      </c>
      <c r="O87" s="2">
        <f t="shared" si="5"/>
        <v>2.1865379268423912E-2</v>
      </c>
    </row>
    <row r="88" spans="2:15">
      <c r="B88" s="4">
        <v>41144</v>
      </c>
      <c r="C88" s="3">
        <v>0.85694996797233836</v>
      </c>
      <c r="D88" s="3">
        <v>0.78286282867668</v>
      </c>
      <c r="E88" s="3">
        <v>0.82803482113362603</v>
      </c>
      <c r="F88" s="2">
        <f t="shared" si="3"/>
        <v>4.5171992456946031E-2</v>
      </c>
      <c r="H88" s="1">
        <v>41144</v>
      </c>
      <c r="I88">
        <v>0.80587399760802503</v>
      </c>
      <c r="K88" s="4">
        <v>41144</v>
      </c>
      <c r="L88" s="3">
        <v>0.85694996797233836</v>
      </c>
      <c r="M88" s="3">
        <v>0.78286282867668</v>
      </c>
      <c r="N88" s="3">
        <f t="shared" si="4"/>
        <v>0.80587399760802503</v>
      </c>
      <c r="O88" s="2">
        <f t="shared" si="5"/>
        <v>2.3011168931345027E-2</v>
      </c>
    </row>
    <row r="89" spans="2:15">
      <c r="B89" s="4">
        <v>41151</v>
      </c>
      <c r="C89" s="3">
        <v>0.92408794393225557</v>
      </c>
      <c r="D89" s="3">
        <v>0.81660096914097402</v>
      </c>
      <c r="E89" s="3">
        <v>0.85851356171529003</v>
      </c>
      <c r="F89" s="2">
        <f t="shared" si="3"/>
        <v>4.191259257431601E-2</v>
      </c>
      <c r="H89" s="1">
        <v>41151</v>
      </c>
      <c r="I89">
        <v>0.840112046562973</v>
      </c>
      <c r="K89" s="4">
        <v>41151</v>
      </c>
      <c r="L89" s="3">
        <v>0.92408794393225557</v>
      </c>
      <c r="M89" s="3">
        <v>0.81660096914097402</v>
      </c>
      <c r="N89" s="3">
        <f t="shared" si="4"/>
        <v>0.840112046562973</v>
      </c>
      <c r="O89" s="2">
        <f t="shared" si="5"/>
        <v>2.3511077421998983E-2</v>
      </c>
    </row>
    <row r="90" spans="2:15">
      <c r="B90" s="4">
        <v>41158</v>
      </c>
      <c r="C90" s="3">
        <v>0.91761037893987563</v>
      </c>
      <c r="D90" s="3">
        <v>0.80003630895948397</v>
      </c>
      <c r="E90" s="3">
        <v>0.84451763496073995</v>
      </c>
      <c r="F90" s="2">
        <f t="shared" si="3"/>
        <v>4.4481326001255983E-2</v>
      </c>
      <c r="H90" s="1">
        <v>41158</v>
      </c>
      <c r="I90">
        <v>0.82391595701949605</v>
      </c>
      <c r="K90" s="4">
        <v>41158</v>
      </c>
      <c r="L90" s="3">
        <v>0.91761037893987563</v>
      </c>
      <c r="M90" s="3">
        <v>0.80003630895948397</v>
      </c>
      <c r="N90" s="3">
        <f t="shared" si="4"/>
        <v>0.82391595701949605</v>
      </c>
      <c r="O90" s="2">
        <f t="shared" si="5"/>
        <v>2.3879648060012082E-2</v>
      </c>
    </row>
    <row r="91" spans="2:15">
      <c r="B91" s="4">
        <v>41165</v>
      </c>
      <c r="C91" s="3">
        <v>0.94047646256577366</v>
      </c>
      <c r="D91" s="3">
        <v>0.80517464210851997</v>
      </c>
      <c r="E91" s="3">
        <v>0.84790364930397299</v>
      </c>
      <c r="F91" s="2">
        <f t="shared" si="3"/>
        <v>4.2729007195453028E-2</v>
      </c>
      <c r="H91" s="1">
        <v>41165</v>
      </c>
      <c r="I91">
        <v>0.82736042337984095</v>
      </c>
      <c r="K91" s="4">
        <v>41165</v>
      </c>
      <c r="L91" s="3">
        <v>0.94047646256577366</v>
      </c>
      <c r="M91" s="3">
        <v>0.80517464210851997</v>
      </c>
      <c r="N91" s="3">
        <f t="shared" si="4"/>
        <v>0.82736042337984095</v>
      </c>
      <c r="O91" s="2">
        <f t="shared" si="5"/>
        <v>2.2185781271320981E-2</v>
      </c>
    </row>
    <row r="92" spans="2:15">
      <c r="B92" s="4">
        <v>41172</v>
      </c>
      <c r="C92" s="3">
        <v>0.95891425076544745</v>
      </c>
      <c r="D92" s="3">
        <v>0.82579336591607799</v>
      </c>
      <c r="E92" s="3">
        <v>0.86619119046951298</v>
      </c>
      <c r="F92" s="2">
        <f t="shared" si="3"/>
        <v>4.0397824553434991E-2</v>
      </c>
      <c r="H92" s="1">
        <v>41172</v>
      </c>
      <c r="I92">
        <v>0.84729321867928498</v>
      </c>
      <c r="K92" s="4">
        <v>41172</v>
      </c>
      <c r="L92" s="3">
        <v>0.95891425076544745</v>
      </c>
      <c r="M92" s="3">
        <v>0.82579336591607799</v>
      </c>
      <c r="N92" s="3">
        <f t="shared" si="4"/>
        <v>0.84729321867928498</v>
      </c>
      <c r="O92" s="2">
        <f t="shared" si="5"/>
        <v>2.1499852763206984E-2</v>
      </c>
    </row>
    <row r="93" spans="2:15">
      <c r="B93" s="4">
        <v>41179</v>
      </c>
      <c r="C93" s="3">
        <v>0.96459917415866681</v>
      </c>
      <c r="D93" s="3">
        <v>0.87352757054468799</v>
      </c>
      <c r="E93" s="3">
        <v>0.910245503690152</v>
      </c>
      <c r="F93" s="2">
        <f t="shared" si="3"/>
        <v>3.671793314546401E-2</v>
      </c>
      <c r="H93" s="1">
        <v>41179</v>
      </c>
      <c r="I93">
        <v>0.89615078381030699</v>
      </c>
      <c r="K93" s="4">
        <v>41179</v>
      </c>
      <c r="L93" s="3">
        <v>0.96459917415866681</v>
      </c>
      <c r="M93" s="3">
        <v>0.87352757054468799</v>
      </c>
      <c r="N93" s="3">
        <f t="shared" si="4"/>
        <v>0.89615078381030699</v>
      </c>
      <c r="O93" s="2">
        <f t="shared" si="5"/>
        <v>2.2623213265619002E-2</v>
      </c>
    </row>
    <row r="94" spans="2:15">
      <c r="B94" s="4">
        <v>41186</v>
      </c>
      <c r="C94" s="3">
        <v>0.95362908529618629</v>
      </c>
      <c r="D94" s="3">
        <v>0.85283995726602502</v>
      </c>
      <c r="E94" s="3">
        <v>0.89290914695732604</v>
      </c>
      <c r="F94" s="2">
        <f t="shared" si="3"/>
        <v>4.0069189691301021E-2</v>
      </c>
      <c r="H94" s="1">
        <v>41186</v>
      </c>
      <c r="I94">
        <v>0.87486861740066002</v>
      </c>
      <c r="K94" s="4">
        <v>41186</v>
      </c>
      <c r="L94" s="3">
        <v>0.95362908529618629</v>
      </c>
      <c r="M94" s="3">
        <v>0.85283995726602502</v>
      </c>
      <c r="N94" s="3">
        <f t="shared" si="4"/>
        <v>0.87486861740066002</v>
      </c>
      <c r="O94" s="2">
        <f t="shared" si="5"/>
        <v>2.2028660134635003E-2</v>
      </c>
    </row>
    <row r="95" spans="2:15">
      <c r="B95" s="4">
        <v>41193</v>
      </c>
      <c r="C95" s="3">
        <v>0.95159604304738465</v>
      </c>
      <c r="D95" s="3">
        <v>0.82980253162130702</v>
      </c>
      <c r="E95" s="3">
        <v>0.87226850902259401</v>
      </c>
      <c r="F95" s="2">
        <f t="shared" si="3"/>
        <v>4.2465977401286992E-2</v>
      </c>
      <c r="H95" s="1">
        <v>41193</v>
      </c>
      <c r="I95">
        <v>0.85304113167718099</v>
      </c>
      <c r="K95" s="4">
        <v>41193</v>
      </c>
      <c r="L95" s="3">
        <v>0.95159604304738465</v>
      </c>
      <c r="M95" s="3">
        <v>0.82980253162130702</v>
      </c>
      <c r="N95" s="3">
        <f t="shared" si="4"/>
        <v>0.85304113167718099</v>
      </c>
      <c r="O95" s="2">
        <f t="shared" si="5"/>
        <v>2.323860005587397E-2</v>
      </c>
    </row>
    <row r="96" spans="2:15">
      <c r="B96" s="4">
        <v>41200</v>
      </c>
      <c r="C96" s="3">
        <v>0.95277295236812309</v>
      </c>
      <c r="D96" s="3">
        <v>0.84996407134381802</v>
      </c>
      <c r="E96" s="3">
        <v>0.89128952685596297</v>
      </c>
      <c r="F96" s="2">
        <f t="shared" si="3"/>
        <v>4.1325455512144949E-2</v>
      </c>
      <c r="H96" s="1">
        <v>41200</v>
      </c>
      <c r="I96">
        <v>0.87300917575702497</v>
      </c>
      <c r="K96" s="4">
        <v>41200</v>
      </c>
      <c r="L96" s="3">
        <v>0.95277295236812309</v>
      </c>
      <c r="M96" s="3">
        <v>0.84996407134381802</v>
      </c>
      <c r="N96" s="3">
        <f t="shared" si="4"/>
        <v>0.87300917575702497</v>
      </c>
      <c r="O96" s="2">
        <f t="shared" si="5"/>
        <v>2.3045104413206952E-2</v>
      </c>
    </row>
    <row r="97" spans="2:15">
      <c r="B97" s="4">
        <v>41207</v>
      </c>
      <c r="C97" s="3">
        <v>0.95079229345734595</v>
      </c>
      <c r="D97" s="3">
        <v>0.828248760892495</v>
      </c>
      <c r="E97" s="3">
        <v>0.87104733311356397</v>
      </c>
      <c r="F97" s="2">
        <f t="shared" si="3"/>
        <v>4.2798572221068976E-2</v>
      </c>
      <c r="H97" s="1">
        <v>41207</v>
      </c>
      <c r="I97">
        <v>0.85152995637800399</v>
      </c>
      <c r="K97" s="4">
        <v>41207</v>
      </c>
      <c r="L97" s="3">
        <v>0.95079229345734595</v>
      </c>
      <c r="M97" s="3">
        <v>0.828248760892495</v>
      </c>
      <c r="N97" s="3">
        <f t="shared" si="4"/>
        <v>0.85152995637800399</v>
      </c>
      <c r="O97" s="2">
        <f t="shared" si="5"/>
        <v>2.3281195485508999E-2</v>
      </c>
    </row>
    <row r="98" spans="2:15">
      <c r="B98" s="4">
        <v>41214</v>
      </c>
      <c r="C98" s="3">
        <v>0.92571311512973709</v>
      </c>
      <c r="D98" s="3">
        <v>0.79915808926981402</v>
      </c>
      <c r="E98" s="3">
        <v>0.84701078060636004</v>
      </c>
      <c r="F98" s="2">
        <f t="shared" si="3"/>
        <v>4.7852691336546016E-2</v>
      </c>
      <c r="H98" s="1">
        <v>41214</v>
      </c>
      <c r="I98">
        <v>0.82220398378432702</v>
      </c>
      <c r="K98" s="4">
        <v>41214</v>
      </c>
      <c r="L98" s="3">
        <v>0.92571311512973709</v>
      </c>
      <c r="M98" s="3">
        <v>0.79915808926981402</v>
      </c>
      <c r="N98" s="3">
        <f t="shared" si="4"/>
        <v>0.82220398378432702</v>
      </c>
      <c r="O98" s="2">
        <f t="shared" si="5"/>
        <v>2.3045894514512999E-2</v>
      </c>
    </row>
    <row r="99" spans="2:15">
      <c r="B99" s="4">
        <v>41221</v>
      </c>
      <c r="C99" s="3">
        <v>0.9252942527060104</v>
      </c>
      <c r="D99" s="3">
        <v>0.79873425180913604</v>
      </c>
      <c r="E99" s="3">
        <v>0.84675644186934695</v>
      </c>
      <c r="F99" s="2">
        <f t="shared" si="3"/>
        <v>4.8022190060210912E-2</v>
      </c>
      <c r="H99" s="1">
        <v>41221</v>
      </c>
      <c r="I99">
        <v>0.82185068481131995</v>
      </c>
      <c r="K99" s="4">
        <v>41221</v>
      </c>
      <c r="L99" s="3">
        <v>0.9252942527060104</v>
      </c>
      <c r="M99" s="3">
        <v>0.79873425180913604</v>
      </c>
      <c r="N99" s="3">
        <f t="shared" si="4"/>
        <v>0.82185068481131995</v>
      </c>
      <c r="O99" s="2">
        <f t="shared" si="5"/>
        <v>2.3116433002183912E-2</v>
      </c>
    </row>
    <row r="100" spans="2:15">
      <c r="B100" s="4">
        <v>41228</v>
      </c>
      <c r="C100" s="3">
        <v>0.92772026190850965</v>
      </c>
      <c r="D100" s="3">
        <v>0.82276956639306598</v>
      </c>
      <c r="E100" s="3">
        <v>0.86832868961091403</v>
      </c>
      <c r="F100" s="2">
        <f t="shared" si="3"/>
        <v>4.5559123217848052E-2</v>
      </c>
      <c r="H100" s="1">
        <v>41228</v>
      </c>
      <c r="I100">
        <v>0.84470977412850301</v>
      </c>
      <c r="K100" s="4">
        <v>41228</v>
      </c>
      <c r="L100" s="3">
        <v>0.92772026190850965</v>
      </c>
      <c r="M100" s="3">
        <v>0.82276956639306598</v>
      </c>
      <c r="N100" s="3">
        <f t="shared" si="4"/>
        <v>0.84470977412850301</v>
      </c>
      <c r="O100" s="2">
        <f t="shared" si="5"/>
        <v>2.1940207735437034E-2</v>
      </c>
    </row>
    <row r="101" spans="2:15">
      <c r="B101" s="4">
        <v>41234</v>
      </c>
      <c r="C101" s="3">
        <v>0.9299301195282087</v>
      </c>
      <c r="D101" s="3">
        <v>0.84066676404946505</v>
      </c>
      <c r="E101" s="3">
        <v>0.885671898426593</v>
      </c>
      <c r="F101" s="2">
        <f t="shared" si="3"/>
        <v>4.5005134377127942E-2</v>
      </c>
      <c r="H101" s="1">
        <v>41234</v>
      </c>
      <c r="I101">
        <v>0.86614098528866201</v>
      </c>
      <c r="K101" s="4">
        <v>41234</v>
      </c>
      <c r="L101" s="3">
        <v>0.9299301195282087</v>
      </c>
      <c r="M101" s="3">
        <v>0.84066676404946505</v>
      </c>
      <c r="N101" s="3">
        <f t="shared" si="4"/>
        <v>0.86614098528866201</v>
      </c>
      <c r="O101" s="2">
        <f t="shared" si="5"/>
        <v>2.5474221239196959E-2</v>
      </c>
    </row>
    <row r="102" spans="2:15">
      <c r="B102" s="4">
        <v>41242</v>
      </c>
      <c r="C102" s="3">
        <v>0.92756020040727527</v>
      </c>
      <c r="D102" s="3">
        <v>0.82275551487300902</v>
      </c>
      <c r="E102" s="3">
        <v>0.86831848418102098</v>
      </c>
      <c r="F102" s="2">
        <f t="shared" si="3"/>
        <v>4.5562969308011958E-2</v>
      </c>
      <c r="H102" s="1">
        <v>41242</v>
      </c>
      <c r="I102">
        <v>0.84467796841209597</v>
      </c>
      <c r="K102" s="4">
        <v>41242</v>
      </c>
      <c r="L102" s="3">
        <v>0.92756020040727527</v>
      </c>
      <c r="M102" s="3">
        <v>0.82275551487300902</v>
      </c>
      <c r="N102" s="3">
        <f t="shared" si="4"/>
        <v>0.84467796841209597</v>
      </c>
      <c r="O102" s="2">
        <f t="shared" si="5"/>
        <v>2.192245353908695E-2</v>
      </c>
    </row>
    <row r="103" spans="2:15">
      <c r="B103" s="4">
        <v>41249</v>
      </c>
      <c r="C103" s="3">
        <v>0.9105479087849232</v>
      </c>
      <c r="D103" s="3">
        <v>0.80649977939682505</v>
      </c>
      <c r="E103" s="3">
        <v>0.85498076945371704</v>
      </c>
      <c r="F103" s="2">
        <f t="shared" si="3"/>
        <v>4.8480990056891993E-2</v>
      </c>
      <c r="H103" s="1">
        <v>41249</v>
      </c>
      <c r="I103">
        <v>0.82850582146884499</v>
      </c>
      <c r="K103" s="4">
        <v>41249</v>
      </c>
      <c r="L103" s="3">
        <v>0.9105479087849232</v>
      </c>
      <c r="M103" s="3">
        <v>0.80649977939682505</v>
      </c>
      <c r="N103" s="3">
        <f t="shared" si="4"/>
        <v>0.82850582146884499</v>
      </c>
      <c r="O103" s="2">
        <f t="shared" si="5"/>
        <v>2.2006042072019949E-2</v>
      </c>
    </row>
    <row r="104" spans="2:15">
      <c r="B104" s="4">
        <v>41256</v>
      </c>
      <c r="C104" s="3">
        <v>0.9126136851792267</v>
      </c>
      <c r="D104" s="3">
        <v>0.82418991295466604</v>
      </c>
      <c r="E104" s="3">
        <v>0.87213995657492904</v>
      </c>
      <c r="F104" s="2">
        <f t="shared" si="3"/>
        <v>4.7950043620263005E-2</v>
      </c>
      <c r="H104" s="1">
        <v>41256</v>
      </c>
      <c r="I104">
        <v>0.84959064095614001</v>
      </c>
      <c r="K104" s="4">
        <v>41256</v>
      </c>
      <c r="L104" s="3">
        <v>0.9126136851792267</v>
      </c>
      <c r="M104" s="3">
        <v>0.82418991295466604</v>
      </c>
      <c r="N104" s="3">
        <f t="shared" si="4"/>
        <v>0.84959064095614001</v>
      </c>
      <c r="O104" s="2">
        <f t="shared" si="5"/>
        <v>2.5400728001473971E-2</v>
      </c>
    </row>
    <row r="105" spans="2:15">
      <c r="B105" s="4">
        <v>41263</v>
      </c>
      <c r="C105" s="3">
        <v>0.90965157918840345</v>
      </c>
      <c r="D105" s="3">
        <v>0.80390223047279097</v>
      </c>
      <c r="E105" s="3">
        <v>0.85356056091635002</v>
      </c>
      <c r="F105" s="2">
        <f t="shared" si="3"/>
        <v>4.9658330443559051E-2</v>
      </c>
      <c r="H105" s="1">
        <v>41263</v>
      </c>
      <c r="I105">
        <v>0.82683597281031795</v>
      </c>
      <c r="K105" s="4">
        <v>41263</v>
      </c>
      <c r="L105" s="3">
        <v>0.90965157918840345</v>
      </c>
      <c r="M105" s="3">
        <v>0.80390223047279097</v>
      </c>
      <c r="N105" s="3">
        <f t="shared" si="4"/>
        <v>0.82683597281031795</v>
      </c>
      <c r="O105" s="2">
        <f t="shared" si="5"/>
        <v>2.2933742337526986E-2</v>
      </c>
    </row>
    <row r="106" spans="2:15">
      <c r="B106" s="4">
        <v>41270</v>
      </c>
      <c r="C106" s="3">
        <v>0.91018597538933266</v>
      </c>
      <c r="D106" s="3">
        <v>0.80591432289546205</v>
      </c>
      <c r="E106" s="3">
        <v>0.85467378378497705</v>
      </c>
      <c r="F106" s="2">
        <f t="shared" si="3"/>
        <v>4.8759460889514994E-2</v>
      </c>
      <c r="H106" s="1">
        <v>41270</v>
      </c>
      <c r="I106">
        <v>0.82807405180361804</v>
      </c>
      <c r="K106" s="4">
        <v>41270</v>
      </c>
      <c r="L106" s="3">
        <v>0.91018597538933266</v>
      </c>
      <c r="M106" s="3">
        <v>0.80591432289546205</v>
      </c>
      <c r="N106" s="3">
        <f t="shared" si="4"/>
        <v>0.82807405180361804</v>
      </c>
      <c r="O106" s="2">
        <f t="shared" si="5"/>
        <v>2.2159728908155985E-2</v>
      </c>
    </row>
    <row r="107" spans="2:15">
      <c r="B107" s="4">
        <v>41277</v>
      </c>
      <c r="C107" s="3">
        <v>0.88829814088555981</v>
      </c>
      <c r="D107" s="3">
        <v>0.78440164177592298</v>
      </c>
      <c r="E107" s="3">
        <v>0.836074004884102</v>
      </c>
      <c r="F107" s="2">
        <f t="shared" si="3"/>
        <v>5.167236310817902E-2</v>
      </c>
      <c r="H107" s="1">
        <v>41277</v>
      </c>
      <c r="I107">
        <v>0.80673651039812899</v>
      </c>
      <c r="K107" s="4">
        <v>41277</v>
      </c>
      <c r="L107" s="3">
        <v>0.88829814088555981</v>
      </c>
      <c r="M107" s="3">
        <v>0.78440164177592298</v>
      </c>
      <c r="N107" s="3">
        <f t="shared" si="4"/>
        <v>0.80673651039812899</v>
      </c>
      <c r="O107" s="2">
        <f t="shared" si="5"/>
        <v>2.2334868622206017E-2</v>
      </c>
    </row>
    <row r="108" spans="2:15">
      <c r="B108" s="4">
        <v>41284</v>
      </c>
      <c r="C108" s="3">
        <v>0.88507237465236011</v>
      </c>
      <c r="D108" s="3">
        <v>0.759606662501778</v>
      </c>
      <c r="E108" s="3">
        <v>0.81363065108031496</v>
      </c>
      <c r="F108" s="2">
        <f t="shared" si="3"/>
        <v>5.4023988578536963E-2</v>
      </c>
      <c r="H108" s="1">
        <v>41284</v>
      </c>
      <c r="I108">
        <v>0.78289243382516405</v>
      </c>
      <c r="K108" s="4">
        <v>41284</v>
      </c>
      <c r="L108" s="3">
        <v>0.88507237465236011</v>
      </c>
      <c r="M108" s="3">
        <v>0.759606662501778</v>
      </c>
      <c r="N108" s="3">
        <f t="shared" si="4"/>
        <v>0.78289243382516405</v>
      </c>
      <c r="O108" s="2">
        <f t="shared" si="5"/>
        <v>2.3285771323386051E-2</v>
      </c>
    </row>
    <row r="109" spans="2:15">
      <c r="B109" s="4">
        <v>41291</v>
      </c>
      <c r="C109" s="3">
        <v>0.88631407683414742</v>
      </c>
      <c r="D109" s="3">
        <v>0.78142443901466097</v>
      </c>
      <c r="E109" s="3">
        <v>0.83425064960633499</v>
      </c>
      <c r="F109" s="2">
        <f t="shared" si="3"/>
        <v>5.2826210591674028E-2</v>
      </c>
      <c r="H109" s="1">
        <v>41291</v>
      </c>
      <c r="I109">
        <v>0.80443705009709199</v>
      </c>
      <c r="K109" s="4">
        <v>41291</v>
      </c>
      <c r="L109" s="3">
        <v>0.88631407683414742</v>
      </c>
      <c r="M109" s="3">
        <v>0.78142443901466097</v>
      </c>
      <c r="N109" s="3">
        <f t="shared" si="4"/>
        <v>0.80443705009709199</v>
      </c>
      <c r="O109" s="2">
        <f t="shared" si="5"/>
        <v>2.3012611082431023E-2</v>
      </c>
    </row>
    <row r="110" spans="2:15">
      <c r="B110" s="4">
        <v>41298</v>
      </c>
      <c r="C110" s="3">
        <v>0.88379536104531342</v>
      </c>
      <c r="D110" s="3">
        <v>0.75700205657756403</v>
      </c>
      <c r="E110" s="3">
        <v>0.81192425274368896</v>
      </c>
      <c r="F110" s="2">
        <f t="shared" si="3"/>
        <v>5.4922196166124926E-2</v>
      </c>
      <c r="H110" s="1">
        <v>41298</v>
      </c>
      <c r="I110">
        <v>0.78096114426466201</v>
      </c>
      <c r="K110" s="4">
        <v>41298</v>
      </c>
      <c r="L110" s="3">
        <v>0.88379536104531342</v>
      </c>
      <c r="M110" s="3">
        <v>0.75700205657756403</v>
      </c>
      <c r="N110" s="3">
        <f t="shared" si="4"/>
        <v>0.78096114426466201</v>
      </c>
      <c r="O110" s="2">
        <f t="shared" si="5"/>
        <v>2.395908768709798E-2</v>
      </c>
    </row>
    <row r="111" spans="2:15">
      <c r="B111" s="4">
        <v>41305</v>
      </c>
      <c r="C111" s="3">
        <v>0.84748759806752005</v>
      </c>
      <c r="D111" s="3">
        <v>0.70776343414969201</v>
      </c>
      <c r="E111" s="3">
        <v>0.76624395820115998</v>
      </c>
      <c r="F111" s="2">
        <f t="shared" si="3"/>
        <v>5.8480524051467975E-2</v>
      </c>
      <c r="H111" s="1">
        <v>41305</v>
      </c>
      <c r="I111">
        <v>0.72958928267474799</v>
      </c>
      <c r="K111" s="4">
        <v>41305</v>
      </c>
      <c r="L111" s="3">
        <v>0.84748759806752005</v>
      </c>
      <c r="M111" s="3">
        <v>0.70776343414969201</v>
      </c>
      <c r="N111" s="3">
        <f t="shared" si="4"/>
        <v>0.72958928267474799</v>
      </c>
      <c r="O111" s="2">
        <f t="shared" si="5"/>
        <v>2.182584852505598E-2</v>
      </c>
    </row>
    <row r="112" spans="2:15">
      <c r="B112" s="4">
        <v>41312</v>
      </c>
      <c r="C112" s="3">
        <v>0.79744674672768578</v>
      </c>
      <c r="D112" s="3">
        <v>0.68149824697650396</v>
      </c>
      <c r="E112" s="3">
        <v>0.74556803951524098</v>
      </c>
      <c r="F112" s="2">
        <f t="shared" si="3"/>
        <v>6.4069792538737014E-2</v>
      </c>
      <c r="H112" s="1">
        <v>41312</v>
      </c>
      <c r="I112">
        <v>0.70463630866607596</v>
      </c>
      <c r="K112" s="4">
        <v>41312</v>
      </c>
      <c r="L112" s="3">
        <v>0.79744674672768578</v>
      </c>
      <c r="M112" s="3">
        <v>0.68149824697650396</v>
      </c>
      <c r="N112" s="3">
        <f t="shared" si="4"/>
        <v>0.70463630866607596</v>
      </c>
      <c r="O112" s="2">
        <f t="shared" si="5"/>
        <v>2.3138061689571998E-2</v>
      </c>
    </row>
    <row r="113" spans="2:15">
      <c r="B113" s="4">
        <v>41319</v>
      </c>
      <c r="C113" s="3">
        <v>0.79744674672768578</v>
      </c>
      <c r="D113" s="3">
        <v>0.68149824697650396</v>
      </c>
      <c r="E113" s="3">
        <v>0.74556803951524098</v>
      </c>
      <c r="F113" s="2">
        <f t="shared" si="3"/>
        <v>6.4069792538737014E-2</v>
      </c>
      <c r="H113" s="1">
        <v>41319</v>
      </c>
      <c r="I113">
        <v>0.70463630866607596</v>
      </c>
      <c r="K113" s="4">
        <v>41319</v>
      </c>
      <c r="L113" s="3">
        <v>0.79744674672768578</v>
      </c>
      <c r="M113" s="3">
        <v>0.68149824697650396</v>
      </c>
      <c r="N113" s="3">
        <f t="shared" si="4"/>
        <v>0.70463630866607596</v>
      </c>
      <c r="O113" s="2">
        <f t="shared" si="5"/>
        <v>2.3138061689571998E-2</v>
      </c>
    </row>
    <row r="114" spans="2:15">
      <c r="B114" s="4">
        <v>41326</v>
      </c>
      <c r="C114" s="3">
        <v>0.75767121274967097</v>
      </c>
      <c r="D114" s="3">
        <v>0.66443156184372798</v>
      </c>
      <c r="E114" s="3">
        <v>0.72902118949627903</v>
      </c>
      <c r="F114" s="2">
        <f t="shared" si="3"/>
        <v>6.4589627652551052E-2</v>
      </c>
      <c r="H114" s="1">
        <v>41326</v>
      </c>
      <c r="I114">
        <v>0.68600596152600102</v>
      </c>
      <c r="K114" s="4">
        <v>41326</v>
      </c>
      <c r="L114" s="3">
        <v>0.75767121274967097</v>
      </c>
      <c r="M114" s="3">
        <v>0.66443156184372798</v>
      </c>
      <c r="N114" s="3">
        <f t="shared" si="4"/>
        <v>0.68600596152600102</v>
      </c>
      <c r="O114" s="2">
        <f t="shared" si="5"/>
        <v>2.1574399682273038E-2</v>
      </c>
    </row>
    <row r="115" spans="2:15">
      <c r="B115" s="4">
        <v>41333</v>
      </c>
      <c r="C115" s="3">
        <v>0.81599621049204552</v>
      </c>
      <c r="D115" s="3">
        <v>0.68474077330080096</v>
      </c>
      <c r="E115" s="3">
        <v>0.74754949703860096</v>
      </c>
      <c r="F115" s="2">
        <f t="shared" si="3"/>
        <v>6.2808723737799999E-2</v>
      </c>
      <c r="H115" s="1">
        <v>41333</v>
      </c>
      <c r="I115">
        <v>0.70679030246685104</v>
      </c>
      <c r="K115" s="4">
        <v>41333</v>
      </c>
      <c r="L115" s="3">
        <v>0.81599621049204552</v>
      </c>
      <c r="M115" s="3">
        <v>0.68474077330080096</v>
      </c>
      <c r="N115" s="3">
        <f t="shared" si="4"/>
        <v>0.70679030246685104</v>
      </c>
      <c r="O115" s="2">
        <f t="shared" si="5"/>
        <v>2.2049529166050075E-2</v>
      </c>
    </row>
    <row r="116" spans="2:15">
      <c r="B116" s="4">
        <v>41340</v>
      </c>
      <c r="C116" s="3">
        <v>0.81254588826988361</v>
      </c>
      <c r="D116" s="3">
        <v>0.65965341103045605</v>
      </c>
      <c r="E116" s="3">
        <v>0.72577244794763196</v>
      </c>
      <c r="F116" s="2">
        <f t="shared" si="3"/>
        <v>6.6119036917175911E-2</v>
      </c>
      <c r="H116" s="1">
        <v>41340</v>
      </c>
      <c r="I116">
        <v>0.68136636277891505</v>
      </c>
      <c r="K116" s="4">
        <v>41340</v>
      </c>
      <c r="L116" s="3">
        <v>0.81254588826988361</v>
      </c>
      <c r="M116" s="3">
        <v>0.65965341103045605</v>
      </c>
      <c r="N116" s="3">
        <f t="shared" si="4"/>
        <v>0.68136636277891505</v>
      </c>
      <c r="O116" s="2">
        <f t="shared" si="5"/>
        <v>2.1712951748458997E-2</v>
      </c>
    </row>
    <row r="117" spans="2:15">
      <c r="B117" s="4">
        <v>41347</v>
      </c>
      <c r="C117" s="3">
        <v>0.70260073761186825</v>
      </c>
      <c r="D117" s="3">
        <v>0.622542311024053</v>
      </c>
      <c r="E117" s="3">
        <v>0.69274472587634806</v>
      </c>
      <c r="F117" s="2">
        <f t="shared" si="3"/>
        <v>7.0202414852295059E-2</v>
      </c>
      <c r="H117" s="1">
        <v>41347</v>
      </c>
      <c r="I117">
        <v>0.643549022861998</v>
      </c>
      <c r="K117" s="4">
        <v>41347</v>
      </c>
      <c r="L117" s="3">
        <v>0.70260073761186825</v>
      </c>
      <c r="M117" s="3">
        <v>0.622542311024053</v>
      </c>
      <c r="N117" s="3">
        <f t="shared" si="4"/>
        <v>0.643549022861998</v>
      </c>
      <c r="O117" s="2">
        <f t="shared" si="5"/>
        <v>2.1006711837945002E-2</v>
      </c>
    </row>
    <row r="118" spans="2:15">
      <c r="B118" s="4">
        <v>41354</v>
      </c>
      <c r="C118" s="3">
        <v>0.76832708554350626</v>
      </c>
      <c r="D118" s="3">
        <v>0.65490269555006198</v>
      </c>
      <c r="E118" s="3">
        <v>0.72250975757212299</v>
      </c>
      <c r="F118" s="2">
        <f t="shared" si="3"/>
        <v>6.7607062022061015E-2</v>
      </c>
      <c r="H118" s="1">
        <v>41354</v>
      </c>
      <c r="I118">
        <v>0.67762091879307995</v>
      </c>
      <c r="K118" s="4">
        <v>41354</v>
      </c>
      <c r="L118" s="3">
        <v>0.76832708554350626</v>
      </c>
      <c r="M118" s="3">
        <v>0.65490269555006198</v>
      </c>
      <c r="N118" s="3">
        <f t="shared" si="4"/>
        <v>0.67762091879307995</v>
      </c>
      <c r="O118" s="2">
        <f t="shared" si="5"/>
        <v>2.2718223243017976E-2</v>
      </c>
    </row>
    <row r="119" spans="2:15">
      <c r="B119" s="4">
        <v>41361</v>
      </c>
      <c r="C119" s="3">
        <v>0.73085022058809757</v>
      </c>
      <c r="D119" s="3">
        <v>0.63814443106247998</v>
      </c>
      <c r="E119" s="3">
        <v>0.70629186250718001</v>
      </c>
      <c r="F119" s="2">
        <f t="shared" si="3"/>
        <v>6.8147431444700035E-2</v>
      </c>
      <c r="H119" s="1">
        <v>41361</v>
      </c>
      <c r="I119">
        <v>0.65948110445833896</v>
      </c>
      <c r="K119" s="4">
        <v>41361</v>
      </c>
      <c r="L119" s="3">
        <v>0.73085022058809757</v>
      </c>
      <c r="M119" s="3">
        <v>0.63814443106247998</v>
      </c>
      <c r="N119" s="3">
        <f t="shared" si="4"/>
        <v>0.65948110445833896</v>
      </c>
      <c r="O119" s="2">
        <f t="shared" si="5"/>
        <v>2.1336673395858985E-2</v>
      </c>
    </row>
    <row r="120" spans="2:15">
      <c r="B120" s="4">
        <v>41368</v>
      </c>
      <c r="C120" s="3">
        <v>0.74812714109915845</v>
      </c>
      <c r="D120" s="3">
        <v>0.63701726572087702</v>
      </c>
      <c r="E120" s="3">
        <v>0.70738390160501996</v>
      </c>
      <c r="F120" s="2">
        <f t="shared" si="3"/>
        <v>7.0366635884142936E-2</v>
      </c>
      <c r="H120" s="1">
        <v>41368</v>
      </c>
      <c r="I120">
        <v>0.66095197338656198</v>
      </c>
      <c r="K120" s="4">
        <v>41368</v>
      </c>
      <c r="L120" s="3">
        <v>0.74812714109915845</v>
      </c>
      <c r="M120" s="3">
        <v>0.63701726572087702</v>
      </c>
      <c r="N120" s="3">
        <f t="shared" si="4"/>
        <v>0.66095197338656198</v>
      </c>
      <c r="O120" s="2">
        <f t="shared" si="5"/>
        <v>2.3934707665684951E-2</v>
      </c>
    </row>
    <row r="121" spans="2:15">
      <c r="B121" s="4">
        <v>41375</v>
      </c>
      <c r="C121" s="3">
        <v>0.81951890925716175</v>
      </c>
      <c r="D121" s="3">
        <v>0.66472248963496305</v>
      </c>
      <c r="E121" s="3">
        <v>0.73166189405675097</v>
      </c>
      <c r="F121" s="2">
        <f t="shared" si="3"/>
        <v>6.6939404421787918E-2</v>
      </c>
      <c r="H121" s="1">
        <v>41375</v>
      </c>
      <c r="I121">
        <v>0.68860823620008205</v>
      </c>
      <c r="K121" s="4">
        <v>41375</v>
      </c>
      <c r="L121" s="3">
        <v>0.81951890925716175</v>
      </c>
      <c r="M121" s="3">
        <v>0.66472248963496305</v>
      </c>
      <c r="N121" s="3">
        <f t="shared" si="4"/>
        <v>0.68860823620008205</v>
      </c>
      <c r="O121" s="2">
        <f t="shared" si="5"/>
        <v>2.3885746565118993E-2</v>
      </c>
    </row>
    <row r="122" spans="2:15">
      <c r="B122" s="4">
        <v>41382</v>
      </c>
      <c r="C122" s="3">
        <v>0.8263799320049966</v>
      </c>
      <c r="D122" s="3">
        <v>0.691617287637183</v>
      </c>
      <c r="E122" s="3">
        <v>0.75618746001711701</v>
      </c>
      <c r="F122" s="2">
        <f t="shared" si="3"/>
        <v>6.457017237993401E-2</v>
      </c>
      <c r="H122" s="1">
        <v>41382</v>
      </c>
      <c r="I122">
        <v>0.716254173818763</v>
      </c>
      <c r="K122" s="4">
        <v>41382</v>
      </c>
      <c r="L122" s="3">
        <v>0.8263799320049966</v>
      </c>
      <c r="M122" s="3">
        <v>0.691617287637183</v>
      </c>
      <c r="N122" s="3">
        <f t="shared" si="4"/>
        <v>0.716254173818763</v>
      </c>
      <c r="O122" s="2">
        <f t="shared" si="5"/>
        <v>2.4636886181579998E-2</v>
      </c>
    </row>
    <row r="123" spans="2:15">
      <c r="B123" s="4">
        <v>41389</v>
      </c>
      <c r="C123" s="3">
        <v>0.82478602429419701</v>
      </c>
      <c r="D123" s="3">
        <v>0.68894417616710202</v>
      </c>
      <c r="E123" s="3">
        <v>0.75486678604069102</v>
      </c>
      <c r="F123" s="2">
        <f t="shared" si="3"/>
        <v>6.5922609873589E-2</v>
      </c>
      <c r="H123" s="1">
        <v>41389</v>
      </c>
      <c r="I123">
        <v>0.71489894663224296</v>
      </c>
      <c r="K123" s="4">
        <v>41389</v>
      </c>
      <c r="L123" s="3">
        <v>0.82478602429419701</v>
      </c>
      <c r="M123" s="3">
        <v>0.68894417616710202</v>
      </c>
      <c r="N123" s="3">
        <f t="shared" si="4"/>
        <v>0.71489894663224296</v>
      </c>
      <c r="O123" s="2">
        <f t="shared" si="5"/>
        <v>2.5954770465140942E-2</v>
      </c>
    </row>
    <row r="124" spans="2:15">
      <c r="B124" s="4">
        <v>41396</v>
      </c>
      <c r="C124" s="3">
        <v>0.81686282095814366</v>
      </c>
      <c r="D124" s="3">
        <v>0.70646423511043499</v>
      </c>
      <c r="E124" s="3">
        <v>0.771484788579061</v>
      </c>
      <c r="F124" s="2">
        <f t="shared" si="3"/>
        <v>6.5020553468626008E-2</v>
      </c>
      <c r="H124" s="1">
        <v>41396</v>
      </c>
      <c r="I124">
        <v>0.73385185995662305</v>
      </c>
      <c r="K124" s="4">
        <v>41396</v>
      </c>
      <c r="L124" s="3">
        <v>0.81686282095814366</v>
      </c>
      <c r="M124" s="3">
        <v>0.70646423511043499</v>
      </c>
      <c r="N124" s="3">
        <f t="shared" si="4"/>
        <v>0.73385185995662305</v>
      </c>
      <c r="O124" s="2">
        <f t="shared" si="5"/>
        <v>2.7387624846188063E-2</v>
      </c>
    </row>
    <row r="125" spans="2:15">
      <c r="B125" s="4">
        <v>41403</v>
      </c>
      <c r="C125" s="3">
        <v>0.80807149473903783</v>
      </c>
      <c r="D125" s="3">
        <v>0.67710126151444505</v>
      </c>
      <c r="E125" s="3">
        <v>0.74464419012176697</v>
      </c>
      <c r="F125" s="2">
        <f t="shared" si="3"/>
        <v>6.7542928607321917E-2</v>
      </c>
      <c r="H125" s="1">
        <v>41403</v>
      </c>
      <c r="I125">
        <v>0.70449810822234304</v>
      </c>
      <c r="K125" s="4">
        <v>41403</v>
      </c>
      <c r="L125" s="3">
        <v>0.80807149473903783</v>
      </c>
      <c r="M125" s="3">
        <v>0.67710126151444505</v>
      </c>
      <c r="N125" s="3">
        <f t="shared" si="4"/>
        <v>0.70449810822234304</v>
      </c>
      <c r="O125" s="2">
        <f t="shared" si="5"/>
        <v>2.7396846707897993E-2</v>
      </c>
    </row>
    <row r="126" spans="2:15">
      <c r="B126" s="4">
        <v>41410</v>
      </c>
      <c r="C126" s="3">
        <v>0.77783403735744605</v>
      </c>
      <c r="D126" s="3">
        <v>0.64608424059300296</v>
      </c>
      <c r="E126" s="3">
        <v>0.71633590828579896</v>
      </c>
      <c r="F126" s="2">
        <f t="shared" si="3"/>
        <v>7.0251667692796005E-2</v>
      </c>
      <c r="H126" s="1">
        <v>41410</v>
      </c>
      <c r="I126">
        <v>0.670440489942566</v>
      </c>
      <c r="K126" s="4">
        <v>41410</v>
      </c>
      <c r="L126" s="3">
        <v>0.77783403735744605</v>
      </c>
      <c r="M126" s="3">
        <v>0.64608424059300296</v>
      </c>
      <c r="N126" s="3">
        <f t="shared" si="4"/>
        <v>0.670440489942566</v>
      </c>
      <c r="O126" s="2">
        <f t="shared" si="5"/>
        <v>2.4356249349563042E-2</v>
      </c>
    </row>
    <row r="127" spans="2:15">
      <c r="B127" s="4">
        <v>41417</v>
      </c>
      <c r="C127" s="3">
        <v>0.69528028144531095</v>
      </c>
      <c r="D127" s="3">
        <v>0.60492342195832605</v>
      </c>
      <c r="E127" s="3">
        <v>0.67870748269177705</v>
      </c>
      <c r="F127" s="2">
        <f t="shared" si="3"/>
        <v>7.3784060733451007E-2</v>
      </c>
      <c r="H127" s="1">
        <v>41417</v>
      </c>
      <c r="I127">
        <v>0.62967212939531803</v>
      </c>
      <c r="K127" s="4">
        <v>41417</v>
      </c>
      <c r="L127" s="3">
        <v>0.69528028144531095</v>
      </c>
      <c r="M127" s="3">
        <v>0.60492342195832605</v>
      </c>
      <c r="N127" s="3">
        <f t="shared" si="4"/>
        <v>0.62967212939531803</v>
      </c>
      <c r="O127" s="2">
        <f t="shared" si="5"/>
        <v>2.4748707436991979E-2</v>
      </c>
    </row>
    <row r="128" spans="2:15">
      <c r="B128" s="4">
        <v>41424</v>
      </c>
      <c r="C128" s="3">
        <v>0.63267241864898449</v>
      </c>
      <c r="D128" s="3">
        <v>0.52986130193183101</v>
      </c>
      <c r="E128" s="3">
        <v>0.61251731306242996</v>
      </c>
      <c r="F128" s="2">
        <f t="shared" si="3"/>
        <v>8.265601113059895E-2</v>
      </c>
      <c r="H128" s="1">
        <v>41424</v>
      </c>
      <c r="I128">
        <v>0.55358328589825201</v>
      </c>
      <c r="K128" s="4">
        <v>41424</v>
      </c>
      <c r="L128" s="3">
        <v>0.63267241864898449</v>
      </c>
      <c r="M128" s="3">
        <v>0.52986130193183101</v>
      </c>
      <c r="N128" s="3">
        <f t="shared" si="4"/>
        <v>0.55358328589825201</v>
      </c>
      <c r="O128" s="2">
        <f t="shared" si="5"/>
        <v>2.3721983966421001E-2</v>
      </c>
    </row>
    <row r="129" spans="2:15">
      <c r="B129" s="4">
        <v>41431</v>
      </c>
      <c r="C129" s="3">
        <v>0.60569175356282723</v>
      </c>
      <c r="D129" s="3">
        <v>0.48936320762315699</v>
      </c>
      <c r="E129" s="3">
        <v>0.57822132602668297</v>
      </c>
      <c r="F129" s="2">
        <f t="shared" si="3"/>
        <v>8.8858118403525976E-2</v>
      </c>
      <c r="H129" s="1">
        <v>41431</v>
      </c>
      <c r="I129">
        <v>0.513378243304075</v>
      </c>
      <c r="K129" s="4">
        <v>41431</v>
      </c>
      <c r="L129" s="3">
        <v>0.60569175356282723</v>
      </c>
      <c r="M129" s="3">
        <v>0.48936320762315699</v>
      </c>
      <c r="N129" s="3">
        <f t="shared" si="4"/>
        <v>0.513378243304075</v>
      </c>
      <c r="O129" s="2">
        <f t="shared" si="5"/>
        <v>2.4015035680918007E-2</v>
      </c>
    </row>
    <row r="130" spans="2:15">
      <c r="B130" s="4">
        <v>41438</v>
      </c>
      <c r="C130" s="3">
        <v>0.57343184072471942</v>
      </c>
      <c r="D130" s="3">
        <v>0.46803712037587902</v>
      </c>
      <c r="E130" s="3">
        <v>0.559460433785407</v>
      </c>
      <c r="F130" s="2">
        <f t="shared" si="3"/>
        <v>9.1423313409527973E-2</v>
      </c>
      <c r="H130" s="1">
        <v>41438</v>
      </c>
      <c r="I130">
        <v>0.49262377778590499</v>
      </c>
      <c r="K130" s="4">
        <v>41438</v>
      </c>
      <c r="L130" s="3">
        <v>0.57343184072471942</v>
      </c>
      <c r="M130" s="3">
        <v>0.46803712037587902</v>
      </c>
      <c r="N130" s="3">
        <f t="shared" si="4"/>
        <v>0.49262377778590499</v>
      </c>
      <c r="O130" s="2">
        <f t="shared" si="5"/>
        <v>2.4586657410025969E-2</v>
      </c>
    </row>
    <row r="131" spans="2:15">
      <c r="B131" s="4">
        <v>41445</v>
      </c>
      <c r="C131" s="3">
        <v>0.58795254732817659</v>
      </c>
      <c r="D131" s="3">
        <v>0.46841833416873302</v>
      </c>
      <c r="E131" s="3">
        <v>0.55969090716589698</v>
      </c>
      <c r="F131" s="2">
        <f t="shared" ref="F131:F194" si="6">E131-D131</f>
        <v>9.1272572997163959E-2</v>
      </c>
      <c r="H131" s="1">
        <v>41445</v>
      </c>
      <c r="I131">
        <v>0.493438474284569</v>
      </c>
      <c r="K131" s="4">
        <v>41445</v>
      </c>
      <c r="L131" s="3">
        <v>0.58795254732817659</v>
      </c>
      <c r="M131" s="3">
        <v>0.46841833416873302</v>
      </c>
      <c r="N131" s="3">
        <f t="shared" ref="N131:N194" si="7">VLOOKUP(K131,H131:I358,2,0)</f>
        <v>0.493438474284569</v>
      </c>
      <c r="O131" s="2">
        <f t="shared" ref="O131:O194" si="8">N131-M131</f>
        <v>2.5020140115835976E-2</v>
      </c>
    </row>
    <row r="132" spans="2:15">
      <c r="B132" s="4">
        <v>41452</v>
      </c>
      <c r="C132" s="3">
        <v>0.39082116641682313</v>
      </c>
      <c r="D132" s="3">
        <v>0.25930726321944902</v>
      </c>
      <c r="E132" s="3">
        <v>0.367888732312324</v>
      </c>
      <c r="F132" s="2">
        <f t="shared" si="6"/>
        <v>0.10858146909287497</v>
      </c>
      <c r="H132" s="1">
        <v>41452</v>
      </c>
      <c r="I132">
        <v>0.283795068214441</v>
      </c>
      <c r="K132" s="4">
        <v>41452</v>
      </c>
      <c r="L132" s="3">
        <v>0.39082116641682313</v>
      </c>
      <c r="M132" s="3">
        <v>0.25930726321944902</v>
      </c>
      <c r="N132" s="3">
        <f t="shared" si="7"/>
        <v>0.283795068214441</v>
      </c>
      <c r="O132" s="2">
        <f t="shared" si="8"/>
        <v>2.448780499499198E-2</v>
      </c>
    </row>
    <row r="133" spans="2:15">
      <c r="B133" s="4">
        <v>41458</v>
      </c>
      <c r="C133" s="3">
        <v>0.4330864642120939</v>
      </c>
      <c r="D133" s="3">
        <v>0.34399747197441399</v>
      </c>
      <c r="E133" s="3">
        <v>0.44991679314134703</v>
      </c>
      <c r="F133" s="2">
        <f t="shared" si="6"/>
        <v>0.10591932116693303</v>
      </c>
      <c r="H133" s="1">
        <v>41458</v>
      </c>
      <c r="I133">
        <v>0.36923191611788803</v>
      </c>
      <c r="K133" s="4">
        <v>41458</v>
      </c>
      <c r="L133" s="3">
        <v>0.4330864642120939</v>
      </c>
      <c r="M133" s="3">
        <v>0.34399747197441399</v>
      </c>
      <c r="N133" s="3">
        <f t="shared" si="7"/>
        <v>0.36923191611788803</v>
      </c>
      <c r="O133" s="2">
        <f t="shared" si="8"/>
        <v>2.5234444143474033E-2</v>
      </c>
    </row>
    <row r="134" spans="2:15">
      <c r="B134" s="4">
        <v>41466</v>
      </c>
      <c r="C134" s="3">
        <v>0.31856955774356621</v>
      </c>
      <c r="D134" s="3">
        <v>0.23052122039717299</v>
      </c>
      <c r="E134" s="3">
        <v>0.343565932630295</v>
      </c>
      <c r="F134" s="2">
        <f t="shared" si="6"/>
        <v>0.11304471223312201</v>
      </c>
      <c r="H134" s="1">
        <v>41466</v>
      </c>
      <c r="I134">
        <v>0.253957802145788</v>
      </c>
      <c r="K134" s="4">
        <v>41466</v>
      </c>
      <c r="L134" s="3">
        <v>0.31856955774356621</v>
      </c>
      <c r="M134" s="3">
        <v>0.23052122039717299</v>
      </c>
      <c r="N134" s="3">
        <f t="shared" si="7"/>
        <v>0.253957802145788</v>
      </c>
      <c r="O134" s="2">
        <f t="shared" si="8"/>
        <v>2.3436581748615015E-2</v>
      </c>
    </row>
    <row r="135" spans="2:15">
      <c r="B135" s="4">
        <v>41473</v>
      </c>
      <c r="C135" s="3">
        <v>0.42624975952077765</v>
      </c>
      <c r="D135" s="3">
        <v>0.313528938106932</v>
      </c>
      <c r="E135" s="3">
        <v>0.42213456893363699</v>
      </c>
      <c r="F135" s="2">
        <f t="shared" si="6"/>
        <v>0.10860563082670499</v>
      </c>
      <c r="H135" s="1">
        <v>41473</v>
      </c>
      <c r="I135">
        <v>0.338227154884298</v>
      </c>
      <c r="K135" s="4">
        <v>41473</v>
      </c>
      <c r="L135" s="3">
        <v>0.42624975952077765</v>
      </c>
      <c r="M135" s="3">
        <v>0.313528938106932</v>
      </c>
      <c r="N135" s="3">
        <f t="shared" si="7"/>
        <v>0.338227154884298</v>
      </c>
      <c r="O135" s="2">
        <f t="shared" si="8"/>
        <v>2.4698216777366E-2</v>
      </c>
    </row>
    <row r="136" spans="2:15">
      <c r="B136" s="4">
        <v>41480</v>
      </c>
      <c r="C136" s="3">
        <v>0.42922629610906576</v>
      </c>
      <c r="D136" s="3">
        <v>0.31410556361706699</v>
      </c>
      <c r="E136" s="3">
        <v>0.42257495599278999</v>
      </c>
      <c r="F136" s="2">
        <f t="shared" si="6"/>
        <v>0.10846939237572301</v>
      </c>
      <c r="H136" s="1">
        <v>41480</v>
      </c>
      <c r="I136">
        <v>0.34002935370481002</v>
      </c>
      <c r="K136" s="4">
        <v>41480</v>
      </c>
      <c r="L136" s="3">
        <v>0.42922629610906576</v>
      </c>
      <c r="M136" s="3">
        <v>0.31410556361706699</v>
      </c>
      <c r="N136" s="3">
        <f t="shared" si="7"/>
        <v>0.34002935370481002</v>
      </c>
      <c r="O136" s="2">
        <f t="shared" si="8"/>
        <v>2.5923790087743037E-2</v>
      </c>
    </row>
    <row r="137" spans="2:15">
      <c r="B137" s="4">
        <v>41487</v>
      </c>
      <c r="C137" s="3">
        <v>0.40917398895537016</v>
      </c>
      <c r="D137" s="3">
        <v>0.26871710621385497</v>
      </c>
      <c r="E137" s="3">
        <v>0.383004460274534</v>
      </c>
      <c r="F137" s="2">
        <f t="shared" si="6"/>
        <v>0.11428735406067903</v>
      </c>
      <c r="H137" s="1">
        <v>41487</v>
      </c>
      <c r="I137">
        <v>0.29429658935164799</v>
      </c>
      <c r="K137" s="4">
        <v>41487</v>
      </c>
      <c r="L137" s="3">
        <v>0.40917398895537016</v>
      </c>
      <c r="M137" s="3">
        <v>0.26871710621385497</v>
      </c>
      <c r="N137" s="3">
        <f t="shared" si="7"/>
        <v>0.29429658935164799</v>
      </c>
      <c r="O137" s="2">
        <f t="shared" si="8"/>
        <v>2.5579483137793013E-2</v>
      </c>
    </row>
    <row r="138" spans="2:15">
      <c r="B138" s="4">
        <v>41494</v>
      </c>
      <c r="C138" s="3">
        <v>0.40797811985401045</v>
      </c>
      <c r="D138" s="3">
        <v>0.26842687745364402</v>
      </c>
      <c r="E138" s="3">
        <v>0.38279147275356301</v>
      </c>
      <c r="F138" s="2">
        <f t="shared" si="6"/>
        <v>0.11436459529991899</v>
      </c>
      <c r="H138" s="1">
        <v>41494</v>
      </c>
      <c r="I138">
        <v>0.29368072164202702</v>
      </c>
      <c r="K138" s="4">
        <v>41494</v>
      </c>
      <c r="L138" s="3">
        <v>0.40797811985401045</v>
      </c>
      <c r="M138" s="3">
        <v>0.26842687745364402</v>
      </c>
      <c r="N138" s="3">
        <f t="shared" si="7"/>
        <v>0.29368072164202702</v>
      </c>
      <c r="O138" s="2">
        <f t="shared" si="8"/>
        <v>2.5253844188383001E-2</v>
      </c>
    </row>
    <row r="139" spans="2:15">
      <c r="B139" s="4">
        <v>41501</v>
      </c>
      <c r="C139" s="3">
        <v>0.40797811985401045</v>
      </c>
      <c r="D139" s="3">
        <v>0.26842687745364402</v>
      </c>
      <c r="E139" s="3">
        <v>0.38279147275356301</v>
      </c>
      <c r="F139" s="2">
        <f t="shared" si="6"/>
        <v>0.11436459529991899</v>
      </c>
      <c r="H139" s="1">
        <v>41501</v>
      </c>
      <c r="I139">
        <v>0.29368072164202702</v>
      </c>
      <c r="K139" s="4">
        <v>41501</v>
      </c>
      <c r="L139" s="3">
        <v>0.40797811985401045</v>
      </c>
      <c r="M139" s="3">
        <v>0.26842687745364402</v>
      </c>
      <c r="N139" s="3">
        <f t="shared" si="7"/>
        <v>0.29368072164202702</v>
      </c>
      <c r="O139" s="2">
        <f t="shared" si="8"/>
        <v>2.5253844188383001E-2</v>
      </c>
    </row>
    <row r="140" spans="2:15">
      <c r="B140" s="4">
        <v>41508</v>
      </c>
      <c r="C140" s="3">
        <v>0.28211495793674252</v>
      </c>
      <c r="D140" s="3">
        <v>0.20545197668606799</v>
      </c>
      <c r="E140" s="3">
        <v>0.32338711550858601</v>
      </c>
      <c r="F140" s="2">
        <f t="shared" si="6"/>
        <v>0.11793513882251802</v>
      </c>
      <c r="H140" s="1">
        <v>41508</v>
      </c>
      <c r="I140">
        <v>0.22780665760041099</v>
      </c>
      <c r="K140" s="4">
        <v>41508</v>
      </c>
      <c r="L140" s="3">
        <v>0.28211495793674252</v>
      </c>
      <c r="M140" s="3">
        <v>0.20545197668606799</v>
      </c>
      <c r="N140" s="3">
        <f t="shared" si="7"/>
        <v>0.22780665760041099</v>
      </c>
      <c r="O140" s="2">
        <f t="shared" si="8"/>
        <v>2.2354680914343006E-2</v>
      </c>
    </row>
    <row r="141" spans="2:15">
      <c r="B141" s="4">
        <v>41515</v>
      </c>
      <c r="C141" s="3">
        <v>0.32707732602530493</v>
      </c>
      <c r="D141" s="3">
        <v>0.23763744646630799</v>
      </c>
      <c r="E141" s="3">
        <v>0.35369890645833102</v>
      </c>
      <c r="F141" s="2">
        <f t="shared" si="6"/>
        <v>0.11606145999202302</v>
      </c>
      <c r="H141" s="1">
        <v>41515</v>
      </c>
      <c r="I141">
        <v>0.26087468607729303</v>
      </c>
      <c r="K141" s="4">
        <v>41515</v>
      </c>
      <c r="L141" s="3">
        <v>0.32707732602530493</v>
      </c>
      <c r="M141" s="3">
        <v>0.23763744646630799</v>
      </c>
      <c r="N141" s="3">
        <f t="shared" si="7"/>
        <v>0.26087468607729303</v>
      </c>
      <c r="O141" s="2">
        <f t="shared" si="8"/>
        <v>2.3237239610985033E-2</v>
      </c>
    </row>
    <row r="142" spans="2:15">
      <c r="B142" s="4">
        <v>41522</v>
      </c>
      <c r="C142" s="3">
        <v>0.2818649256036454</v>
      </c>
      <c r="D142" s="3">
        <v>0.21149349910069001</v>
      </c>
      <c r="E142" s="3">
        <v>0.33186163023723098</v>
      </c>
      <c r="F142" s="2">
        <f t="shared" si="6"/>
        <v>0.12036813113654096</v>
      </c>
      <c r="H142" s="1">
        <v>41522</v>
      </c>
      <c r="I142">
        <v>0.234327007260555</v>
      </c>
      <c r="K142" s="4">
        <v>41522</v>
      </c>
      <c r="L142" s="3">
        <v>0.2818649256036454</v>
      </c>
      <c r="M142" s="3">
        <v>0.21149349910069001</v>
      </c>
      <c r="N142" s="3">
        <f t="shared" si="7"/>
        <v>0.234327007260555</v>
      </c>
      <c r="O142" s="2">
        <f t="shared" si="8"/>
        <v>2.2833508159864985E-2</v>
      </c>
    </row>
    <row r="143" spans="2:15">
      <c r="B143" s="4">
        <v>41529</v>
      </c>
      <c r="C143" s="3">
        <v>0.27463010199382165</v>
      </c>
      <c r="D143" s="3">
        <v>0.19827486089892299</v>
      </c>
      <c r="E143" s="3">
        <v>0.31934207014088301</v>
      </c>
      <c r="F143" s="2">
        <f t="shared" si="6"/>
        <v>0.12106720924196002</v>
      </c>
      <c r="H143" s="1">
        <v>41529</v>
      </c>
      <c r="I143">
        <v>0.221101303306941</v>
      </c>
      <c r="K143" s="4">
        <v>41529</v>
      </c>
      <c r="L143" s="3">
        <v>0.27463010199382165</v>
      </c>
      <c r="M143" s="3">
        <v>0.19827486089892299</v>
      </c>
      <c r="N143" s="3">
        <f t="shared" si="7"/>
        <v>0.221101303306941</v>
      </c>
      <c r="O143" s="2">
        <f t="shared" si="8"/>
        <v>2.2826442408018011E-2</v>
      </c>
    </row>
    <row r="144" spans="2:15">
      <c r="B144" s="4">
        <v>41536</v>
      </c>
      <c r="C144" s="3">
        <v>0.33277831045649614</v>
      </c>
      <c r="D144" s="3">
        <v>0.230982049953562</v>
      </c>
      <c r="E144" s="3">
        <v>0.35010450976329799</v>
      </c>
      <c r="F144" s="2">
        <f t="shared" si="6"/>
        <v>0.11912245980973599</v>
      </c>
      <c r="H144" s="1">
        <v>41536</v>
      </c>
      <c r="I144">
        <v>0.25463965057747101</v>
      </c>
      <c r="K144" s="4">
        <v>41536</v>
      </c>
      <c r="L144" s="3">
        <v>0.33277831045649614</v>
      </c>
      <c r="M144" s="3">
        <v>0.230982049953562</v>
      </c>
      <c r="N144" s="3">
        <f t="shared" si="7"/>
        <v>0.25463965057747101</v>
      </c>
      <c r="O144" s="2">
        <f t="shared" si="8"/>
        <v>2.3657600623909009E-2</v>
      </c>
    </row>
    <row r="145" spans="2:15">
      <c r="B145" s="4">
        <v>41543</v>
      </c>
      <c r="C145" s="3">
        <v>0.40445747526612724</v>
      </c>
      <c r="D145" s="3">
        <v>0.32130927271021897</v>
      </c>
      <c r="E145" s="3">
        <v>0.43462730705216701</v>
      </c>
      <c r="F145" s="2">
        <f t="shared" si="6"/>
        <v>0.11331803434194804</v>
      </c>
      <c r="H145" s="1">
        <v>41543</v>
      </c>
      <c r="I145">
        <v>0.34572071513934099</v>
      </c>
      <c r="K145" s="4">
        <v>41543</v>
      </c>
      <c r="L145" s="3">
        <v>0.40445747526612724</v>
      </c>
      <c r="M145" s="3">
        <v>0.32130927271021897</v>
      </c>
      <c r="N145" s="3">
        <f t="shared" si="7"/>
        <v>0.34572071513934099</v>
      </c>
      <c r="O145" s="2">
        <f t="shared" si="8"/>
        <v>2.4411442429122021E-2</v>
      </c>
    </row>
    <row r="146" spans="2:15">
      <c r="B146" s="4">
        <v>41550</v>
      </c>
      <c r="C146" s="3">
        <v>0.41528178559290679</v>
      </c>
      <c r="D146" s="3">
        <v>0.34374501426377402</v>
      </c>
      <c r="E146" s="3">
        <v>0.45701419816167999</v>
      </c>
      <c r="F146" s="2">
        <f t="shared" si="6"/>
        <v>0.11326918389790597</v>
      </c>
      <c r="H146" s="1">
        <v>41550</v>
      </c>
      <c r="I146">
        <v>0.36826613493452298</v>
      </c>
      <c r="K146" s="4">
        <v>41550</v>
      </c>
      <c r="L146" s="3">
        <v>0.41528178559290679</v>
      </c>
      <c r="M146" s="3">
        <v>0.34374501426377402</v>
      </c>
      <c r="N146" s="3">
        <f t="shared" si="7"/>
        <v>0.36826613493452298</v>
      </c>
      <c r="O146" s="2">
        <f t="shared" si="8"/>
        <v>2.4521120670748964E-2</v>
      </c>
    </row>
    <row r="147" spans="2:15">
      <c r="B147" s="4">
        <v>41557</v>
      </c>
      <c r="C147" s="3">
        <v>0.41314719259777027</v>
      </c>
      <c r="D147" s="3">
        <v>0.343362461707855</v>
      </c>
      <c r="E147" s="3">
        <v>0.45674725476883798</v>
      </c>
      <c r="F147" s="2">
        <f t="shared" si="6"/>
        <v>0.11338479306098298</v>
      </c>
      <c r="H147" s="1">
        <v>41557</v>
      </c>
      <c r="I147">
        <v>0.36772676288515499</v>
      </c>
      <c r="K147" s="4">
        <v>41557</v>
      </c>
      <c r="L147" s="3">
        <v>0.41314719259777027</v>
      </c>
      <c r="M147" s="3">
        <v>0.343362461707855</v>
      </c>
      <c r="N147" s="3">
        <f t="shared" si="7"/>
        <v>0.36772676288515499</v>
      </c>
      <c r="O147" s="2">
        <f t="shared" si="8"/>
        <v>2.4364301177299985E-2</v>
      </c>
    </row>
    <row r="148" spans="2:15">
      <c r="B148" s="4">
        <v>41564</v>
      </c>
      <c r="C148" s="3">
        <v>0.40232481590336117</v>
      </c>
      <c r="D148" s="3">
        <v>0.31435548538393299</v>
      </c>
      <c r="E148" s="3">
        <v>0.43002867204072798</v>
      </c>
      <c r="F148" s="2">
        <f t="shared" si="6"/>
        <v>0.11567318665679499</v>
      </c>
      <c r="H148" s="1">
        <v>41564</v>
      </c>
      <c r="I148">
        <v>0.33908242712021103</v>
      </c>
      <c r="K148" s="4">
        <v>41564</v>
      </c>
      <c r="L148" s="3">
        <v>0.40232481590336117</v>
      </c>
      <c r="M148" s="3">
        <v>0.31435548538393299</v>
      </c>
      <c r="N148" s="3">
        <f t="shared" si="7"/>
        <v>0.33908242712021103</v>
      </c>
      <c r="O148" s="2">
        <f t="shared" si="8"/>
        <v>2.4726941736278041E-2</v>
      </c>
    </row>
    <row r="149" spans="2:15">
      <c r="B149" s="4">
        <v>41571</v>
      </c>
      <c r="C149" s="3">
        <v>0.43156912924668556</v>
      </c>
      <c r="D149" s="3">
        <v>0.36279732883580901</v>
      </c>
      <c r="E149" s="3">
        <v>0.473627443383146</v>
      </c>
      <c r="F149" s="2">
        <f t="shared" si="6"/>
        <v>0.11083011454733699</v>
      </c>
      <c r="H149" s="1">
        <v>41571</v>
      </c>
      <c r="I149">
        <v>0.387225653389144</v>
      </c>
      <c r="K149" s="4">
        <v>41571</v>
      </c>
      <c r="L149" s="3">
        <v>0.43156912924668556</v>
      </c>
      <c r="M149" s="3">
        <v>0.36279732883580901</v>
      </c>
      <c r="N149" s="3">
        <f t="shared" si="7"/>
        <v>0.387225653389144</v>
      </c>
      <c r="O149" s="2">
        <f t="shared" si="8"/>
        <v>2.442832455333499E-2</v>
      </c>
    </row>
    <row r="150" spans="2:15">
      <c r="B150" s="4">
        <v>41578</v>
      </c>
      <c r="C150" s="3">
        <v>0.4605405147219428</v>
      </c>
      <c r="D150" s="3">
        <v>0.38076704542262901</v>
      </c>
      <c r="E150" s="3">
        <v>0.48999705577596903</v>
      </c>
      <c r="F150" s="2">
        <f t="shared" si="6"/>
        <v>0.10923001035334001</v>
      </c>
      <c r="H150" s="1">
        <v>41578</v>
      </c>
      <c r="I150">
        <v>0.40621263933441498</v>
      </c>
      <c r="K150" s="4">
        <v>41578</v>
      </c>
      <c r="L150" s="3">
        <v>0.4605405147219428</v>
      </c>
      <c r="M150" s="3">
        <v>0.38076704542262901</v>
      </c>
      <c r="N150" s="3">
        <f t="shared" si="7"/>
        <v>0.40621263933441498</v>
      </c>
      <c r="O150" s="2">
        <f t="shared" si="8"/>
        <v>2.5445593911785969E-2</v>
      </c>
    </row>
    <row r="151" spans="2:15">
      <c r="B151" s="4">
        <v>41585</v>
      </c>
      <c r="C151" s="3">
        <v>0.42159370418067171</v>
      </c>
      <c r="D151" s="3">
        <v>0.35403891055164699</v>
      </c>
      <c r="E151" s="3">
        <v>0.46893100954315098</v>
      </c>
      <c r="F151" s="2">
        <f t="shared" si="6"/>
        <v>0.11489209899150399</v>
      </c>
      <c r="H151" s="1">
        <v>41585</v>
      </c>
      <c r="I151">
        <v>0.37858348879144199</v>
      </c>
      <c r="K151" s="4">
        <v>41585</v>
      </c>
      <c r="L151" s="3">
        <v>0.42159370418067171</v>
      </c>
      <c r="M151" s="3">
        <v>0.35403891055164699</v>
      </c>
      <c r="N151" s="3">
        <f t="shared" si="7"/>
        <v>0.37858348879144199</v>
      </c>
      <c r="O151" s="2">
        <f t="shared" si="8"/>
        <v>2.4544578239795001E-2</v>
      </c>
    </row>
    <row r="152" spans="2:15">
      <c r="B152" s="4">
        <v>41592</v>
      </c>
      <c r="C152" s="3">
        <v>0.38756459325455095</v>
      </c>
      <c r="D152" s="3">
        <v>0.27765033429796598</v>
      </c>
      <c r="E152" s="3">
        <v>0.39912661021989099</v>
      </c>
      <c r="F152" s="2">
        <f t="shared" si="6"/>
        <v>0.121476275921925</v>
      </c>
      <c r="H152" s="1">
        <v>41592</v>
      </c>
      <c r="I152">
        <v>0.30261309490806398</v>
      </c>
      <c r="K152" s="4">
        <v>41592</v>
      </c>
      <c r="L152" s="3">
        <v>0.38756459325455095</v>
      </c>
      <c r="M152" s="3">
        <v>0.27765033429796598</v>
      </c>
      <c r="N152" s="3">
        <f t="shared" si="7"/>
        <v>0.30261309490806398</v>
      </c>
      <c r="O152" s="2">
        <f t="shared" si="8"/>
        <v>2.4962760610098E-2</v>
      </c>
    </row>
    <row r="153" spans="2:15">
      <c r="B153" s="4">
        <v>41599</v>
      </c>
      <c r="C153" s="3">
        <v>0.41410653536495057</v>
      </c>
      <c r="D153" s="3">
        <v>0.33620447417750299</v>
      </c>
      <c r="E153" s="3">
        <v>0.45277671098188799</v>
      </c>
      <c r="F153" s="2">
        <f t="shared" si="6"/>
        <v>0.116572236804385</v>
      </c>
      <c r="H153" s="1">
        <v>41599</v>
      </c>
      <c r="I153">
        <v>0.36064781933831103</v>
      </c>
      <c r="K153" s="4">
        <v>41599</v>
      </c>
      <c r="L153" s="3">
        <v>0.41410653536495057</v>
      </c>
      <c r="M153" s="3">
        <v>0.33620447417750299</v>
      </c>
      <c r="N153" s="3">
        <f t="shared" si="7"/>
        <v>0.36064781933831103</v>
      </c>
      <c r="O153" s="2">
        <f t="shared" si="8"/>
        <v>2.4443345160808039E-2</v>
      </c>
    </row>
    <row r="154" spans="2:15">
      <c r="B154" s="4">
        <v>41605</v>
      </c>
      <c r="C154" s="3">
        <v>0.3969981593322805</v>
      </c>
      <c r="D154" s="3">
        <v>0.30662338263190497</v>
      </c>
      <c r="E154" s="3">
        <v>0.42570300756113</v>
      </c>
      <c r="F154" s="2">
        <f t="shared" si="6"/>
        <v>0.11907962492922503</v>
      </c>
      <c r="H154" s="1">
        <v>41605</v>
      </c>
      <c r="I154">
        <v>0.33133815164288799</v>
      </c>
      <c r="K154" s="4">
        <v>41605</v>
      </c>
      <c r="L154" s="3">
        <v>0.3969981593322805</v>
      </c>
      <c r="M154" s="3">
        <v>0.30662338263190497</v>
      </c>
      <c r="N154" s="3">
        <f t="shared" si="7"/>
        <v>0.33133815164288799</v>
      </c>
      <c r="O154" s="2">
        <f t="shared" si="8"/>
        <v>2.4714769010983018E-2</v>
      </c>
    </row>
    <row r="155" spans="2:15">
      <c r="B155" s="4">
        <v>41613</v>
      </c>
      <c r="C155" s="3">
        <v>0.37338021104571051</v>
      </c>
      <c r="D155" s="3">
        <v>0.238872261686181</v>
      </c>
      <c r="E155" s="3">
        <v>0.36552450667219999</v>
      </c>
      <c r="F155" s="2">
        <f t="shared" si="6"/>
        <v>0.12665224498601899</v>
      </c>
      <c r="H155" s="1">
        <v>41613</v>
      </c>
      <c r="I155">
        <v>0.26300483944839198</v>
      </c>
      <c r="K155" s="4">
        <v>41613</v>
      </c>
      <c r="L155" s="3">
        <v>0.37338021104571051</v>
      </c>
      <c r="M155" s="3">
        <v>0.238872261686181</v>
      </c>
      <c r="N155" s="3">
        <f t="shared" si="7"/>
        <v>0.26300483944839198</v>
      </c>
      <c r="O155" s="2">
        <f t="shared" si="8"/>
        <v>2.4132577762210977E-2</v>
      </c>
    </row>
    <row r="156" spans="2:15">
      <c r="B156" s="4">
        <v>41620</v>
      </c>
      <c r="C156" s="3">
        <v>0.3707206267478419</v>
      </c>
      <c r="D156" s="3">
        <v>0.23869230352122101</v>
      </c>
      <c r="E156" s="3">
        <v>0.36539692843229499</v>
      </c>
      <c r="F156" s="2">
        <f t="shared" si="6"/>
        <v>0.12670462491107398</v>
      </c>
      <c r="H156" s="1">
        <v>41620</v>
      </c>
      <c r="I156">
        <v>0.26260248571262501</v>
      </c>
      <c r="K156" s="4">
        <v>41620</v>
      </c>
      <c r="L156" s="3">
        <v>0.3707206267478419</v>
      </c>
      <c r="M156" s="3">
        <v>0.23869230352122101</v>
      </c>
      <c r="N156" s="3">
        <f t="shared" si="7"/>
        <v>0.26260248571262501</v>
      </c>
      <c r="O156" s="2">
        <f t="shared" si="8"/>
        <v>2.3910182191404006E-2</v>
      </c>
    </row>
    <row r="157" spans="2:15">
      <c r="B157" s="4">
        <v>41627</v>
      </c>
      <c r="C157" s="3">
        <v>0.33974567777608206</v>
      </c>
      <c r="D157" s="3">
        <v>0.20595646030872</v>
      </c>
      <c r="E157" s="3">
        <v>0.33464433537542498</v>
      </c>
      <c r="F157" s="2">
        <f t="shared" si="6"/>
        <v>0.12868787506670498</v>
      </c>
      <c r="H157" s="1">
        <v>41627</v>
      </c>
      <c r="I157">
        <v>0.22663439683454101</v>
      </c>
      <c r="K157" s="4">
        <v>41627</v>
      </c>
      <c r="L157" s="3">
        <v>0.33974567777608206</v>
      </c>
      <c r="M157" s="3">
        <v>0.20595646030872</v>
      </c>
      <c r="N157" s="3">
        <f t="shared" si="7"/>
        <v>0.22663439683454101</v>
      </c>
      <c r="O157" s="2">
        <f t="shared" si="8"/>
        <v>2.0677936525821006E-2</v>
      </c>
    </row>
    <row r="158" spans="2:15">
      <c r="B158" s="4">
        <v>41634</v>
      </c>
      <c r="C158" s="3">
        <v>0.33029809597210952</v>
      </c>
      <c r="D158" s="3">
        <v>0.20588522084022601</v>
      </c>
      <c r="E158" s="3">
        <v>0.33458344922379002</v>
      </c>
      <c r="F158" s="2">
        <f t="shared" si="6"/>
        <v>0.12869822838356401</v>
      </c>
      <c r="H158" s="1">
        <v>41634</v>
      </c>
      <c r="I158">
        <v>0.22629116015596901</v>
      </c>
      <c r="K158" s="4">
        <v>41634</v>
      </c>
      <c r="L158" s="3">
        <v>0.33029809597210952</v>
      </c>
      <c r="M158" s="3">
        <v>0.20588522084022601</v>
      </c>
      <c r="N158" s="3">
        <f t="shared" si="7"/>
        <v>0.22629116015596901</v>
      </c>
      <c r="O158" s="2">
        <f t="shared" si="8"/>
        <v>2.0405939315742999E-2</v>
      </c>
    </row>
    <row r="159" spans="2:15">
      <c r="B159" s="4">
        <v>41641</v>
      </c>
      <c r="C159" s="3">
        <v>0.26212623729092371</v>
      </c>
      <c r="D159" s="3">
        <v>0.18270041372936699</v>
      </c>
      <c r="E159" s="3">
        <v>0.31505205634612699</v>
      </c>
      <c r="F159" s="2">
        <f t="shared" si="6"/>
        <v>0.13235164261676</v>
      </c>
      <c r="H159" s="1">
        <v>41641</v>
      </c>
      <c r="I159">
        <v>0.20171259537917</v>
      </c>
      <c r="K159" s="4">
        <v>41641</v>
      </c>
      <c r="L159" s="3">
        <v>0.26212623729092371</v>
      </c>
      <c r="M159" s="3">
        <v>0.18270041372936699</v>
      </c>
      <c r="N159" s="3">
        <f t="shared" si="7"/>
        <v>0.20171259537917</v>
      </c>
      <c r="O159" s="2">
        <f t="shared" si="8"/>
        <v>1.9012181649803006E-2</v>
      </c>
    </row>
    <row r="160" spans="2:15">
      <c r="B160" s="4">
        <v>41648</v>
      </c>
      <c r="C160" s="3">
        <v>0.2902260049252946</v>
      </c>
      <c r="D160" s="3">
        <v>0.20349751001168101</v>
      </c>
      <c r="E160" s="3">
        <v>0.334027493112526</v>
      </c>
      <c r="F160" s="2">
        <f t="shared" si="6"/>
        <v>0.13052998310084499</v>
      </c>
      <c r="H160" s="1">
        <v>41648</v>
      </c>
      <c r="I160">
        <v>0.225222551391554</v>
      </c>
      <c r="K160" s="4">
        <v>41648</v>
      </c>
      <c r="L160" s="3">
        <v>0.2902260049252946</v>
      </c>
      <c r="M160" s="3">
        <v>0.20349751001168101</v>
      </c>
      <c r="N160" s="3">
        <f t="shared" si="7"/>
        <v>0.225222551391554</v>
      </c>
      <c r="O160" s="2">
        <f t="shared" si="8"/>
        <v>2.1725041379872995E-2</v>
      </c>
    </row>
    <row r="161" spans="2:15">
      <c r="B161" s="4">
        <v>41655</v>
      </c>
      <c r="C161" s="3">
        <v>0.36774882579493112</v>
      </c>
      <c r="D161" s="3">
        <v>0.23285648019755101</v>
      </c>
      <c r="E161" s="3">
        <v>0.36192371081112201</v>
      </c>
      <c r="F161" s="2">
        <f t="shared" si="6"/>
        <v>0.129067230613571</v>
      </c>
      <c r="H161" s="1">
        <v>41655</v>
      </c>
      <c r="I161">
        <v>0.256712796608494</v>
      </c>
      <c r="K161" s="4">
        <v>41655</v>
      </c>
      <c r="L161" s="3">
        <v>0.36774882579493112</v>
      </c>
      <c r="M161" s="3">
        <v>0.23285648019755101</v>
      </c>
      <c r="N161" s="3">
        <f t="shared" si="7"/>
        <v>0.256712796608494</v>
      </c>
      <c r="O161" s="2">
        <f t="shared" si="8"/>
        <v>2.385631641094299E-2</v>
      </c>
    </row>
    <row r="162" spans="2:15">
      <c r="B162" s="4">
        <v>41662</v>
      </c>
      <c r="C162" s="3">
        <v>0.37084428304329614</v>
      </c>
      <c r="D162" s="3">
        <v>0.23330797794566899</v>
      </c>
      <c r="E162" s="3">
        <v>0.36226743615738599</v>
      </c>
      <c r="F162" s="2">
        <f t="shared" si="6"/>
        <v>0.128959458211717</v>
      </c>
      <c r="H162" s="1">
        <v>41662</v>
      </c>
      <c r="I162">
        <v>0.25744135481017799</v>
      </c>
      <c r="K162" s="4">
        <v>41662</v>
      </c>
      <c r="L162" s="3">
        <v>0.37084428304329614</v>
      </c>
      <c r="M162" s="3">
        <v>0.23330797794566899</v>
      </c>
      <c r="N162" s="3">
        <f t="shared" si="7"/>
        <v>0.25744135481017799</v>
      </c>
      <c r="O162" s="2">
        <f t="shared" si="8"/>
        <v>2.4133376864509004E-2</v>
      </c>
    </row>
    <row r="163" spans="2:15">
      <c r="B163" s="4">
        <v>41669</v>
      </c>
      <c r="C163" s="3">
        <v>0.38160196936392621</v>
      </c>
      <c r="D163" s="3">
        <v>0.29089795893761</v>
      </c>
      <c r="E163" s="3">
        <v>0.41605972221627302</v>
      </c>
      <c r="F163" s="2">
        <f t="shared" si="6"/>
        <v>0.12516176327866302</v>
      </c>
      <c r="H163" s="1">
        <v>41669</v>
      </c>
      <c r="I163">
        <v>0.31438854181645098</v>
      </c>
      <c r="K163" s="4">
        <v>41669</v>
      </c>
      <c r="L163" s="3">
        <v>0.38160196936392621</v>
      </c>
      <c r="M163" s="3">
        <v>0.29089795893761</v>
      </c>
      <c r="N163" s="3">
        <f t="shared" si="7"/>
        <v>0.31438854181645098</v>
      </c>
      <c r="O163" s="2">
        <f t="shared" si="8"/>
        <v>2.3490582878840982E-2</v>
      </c>
    </row>
    <row r="164" spans="2:15">
      <c r="B164" s="4">
        <v>41676</v>
      </c>
      <c r="C164" s="3">
        <v>0.40068103493110224</v>
      </c>
      <c r="D164" s="3">
        <v>0.31424671770039497</v>
      </c>
      <c r="E164" s="3">
        <v>0.439234845957858</v>
      </c>
      <c r="F164" s="2">
        <f t="shared" si="6"/>
        <v>0.12498812825746303</v>
      </c>
      <c r="H164" s="1">
        <v>41676</v>
      </c>
      <c r="I164">
        <v>0.33798112173000799</v>
      </c>
      <c r="K164" s="4">
        <v>41676</v>
      </c>
      <c r="L164" s="3">
        <v>0.40068103493110224</v>
      </c>
      <c r="M164" s="3">
        <v>0.31424671770039497</v>
      </c>
      <c r="N164" s="3">
        <f t="shared" si="7"/>
        <v>0.33798112173000799</v>
      </c>
      <c r="O164" s="2">
        <f t="shared" si="8"/>
        <v>2.3734404029613021E-2</v>
      </c>
    </row>
    <row r="165" spans="2:15">
      <c r="B165" s="4">
        <v>41683</v>
      </c>
      <c r="C165" s="3">
        <v>0.38532630107916044</v>
      </c>
      <c r="D165" s="3">
        <v>0.28654188629747801</v>
      </c>
      <c r="E165" s="3">
        <v>0.41377930466343998</v>
      </c>
      <c r="F165" s="2">
        <f t="shared" si="6"/>
        <v>0.12723741836596197</v>
      </c>
      <c r="H165" s="1">
        <v>41683</v>
      </c>
      <c r="I165">
        <v>0.31055726404016398</v>
      </c>
      <c r="K165" s="4">
        <v>41683</v>
      </c>
      <c r="L165" s="3">
        <v>0.38532630107916044</v>
      </c>
      <c r="M165" s="3">
        <v>0.28654188629747801</v>
      </c>
      <c r="N165" s="3">
        <f t="shared" si="7"/>
        <v>0.31055726404016398</v>
      </c>
      <c r="O165" s="2">
        <f t="shared" si="8"/>
        <v>2.4015377742685973E-2</v>
      </c>
    </row>
    <row r="166" spans="2:15">
      <c r="B166" s="4">
        <v>41690</v>
      </c>
      <c r="C166" s="3">
        <v>0.3755719775185945</v>
      </c>
      <c r="D166" s="3">
        <v>0.25823477101989301</v>
      </c>
      <c r="E166" s="3">
        <v>0.38763738178583501</v>
      </c>
      <c r="F166" s="2">
        <f t="shared" si="6"/>
        <v>0.12940261076594201</v>
      </c>
      <c r="H166" s="1">
        <v>41690</v>
      </c>
      <c r="I166">
        <v>0.28224141067613401</v>
      </c>
      <c r="K166" s="4">
        <v>41690</v>
      </c>
      <c r="L166" s="3">
        <v>0.3755719775185945</v>
      </c>
      <c r="M166" s="3">
        <v>0.25823477101989301</v>
      </c>
      <c r="N166" s="3">
        <f t="shared" si="7"/>
        <v>0.28224141067613401</v>
      </c>
      <c r="O166" s="2">
        <f t="shared" si="8"/>
        <v>2.4006639656241002E-2</v>
      </c>
    </row>
    <row r="167" spans="2:15">
      <c r="B167" s="4">
        <v>41697</v>
      </c>
      <c r="C167" s="3">
        <v>0.36967404481869215</v>
      </c>
      <c r="D167" s="3">
        <v>0.25744034883327499</v>
      </c>
      <c r="E167" s="3">
        <v>0.38707778665425802</v>
      </c>
      <c r="F167" s="2">
        <f t="shared" si="6"/>
        <v>0.12963743782098303</v>
      </c>
      <c r="H167" s="1">
        <v>41697</v>
      </c>
      <c r="I167">
        <v>0.28030510938432601</v>
      </c>
      <c r="K167" s="4">
        <v>41697</v>
      </c>
      <c r="L167" s="3">
        <v>0.36967404481869215</v>
      </c>
      <c r="M167" s="3">
        <v>0.25744034883327499</v>
      </c>
      <c r="N167" s="3">
        <f t="shared" si="7"/>
        <v>0.28030510938432601</v>
      </c>
      <c r="O167" s="2">
        <f t="shared" si="8"/>
        <v>2.2864760551051022E-2</v>
      </c>
    </row>
    <row r="168" spans="2:15">
      <c r="B168" s="4">
        <v>41704</v>
      </c>
      <c r="C168" s="3">
        <v>0.38316963725836589</v>
      </c>
      <c r="D168" s="3">
        <v>0.28216102843400898</v>
      </c>
      <c r="E168" s="3">
        <v>0.41131556149818799</v>
      </c>
      <c r="F168" s="2">
        <f t="shared" si="6"/>
        <v>0.12915453306417901</v>
      </c>
      <c r="H168" s="1">
        <v>41704</v>
      </c>
      <c r="I168">
        <v>0.30632423581387003</v>
      </c>
      <c r="K168" s="4">
        <v>41704</v>
      </c>
      <c r="L168" s="3">
        <v>0.38316963725836589</v>
      </c>
      <c r="M168" s="3">
        <v>0.28216102843400898</v>
      </c>
      <c r="N168" s="3">
        <f t="shared" si="7"/>
        <v>0.30632423581387003</v>
      </c>
      <c r="O168" s="2">
        <f t="shared" si="8"/>
        <v>2.4163207379861051E-2</v>
      </c>
    </row>
    <row r="169" spans="2:15">
      <c r="B169" s="4">
        <v>41711</v>
      </c>
      <c r="C169" s="3">
        <v>0.36933430427665681</v>
      </c>
      <c r="D169" s="3">
        <v>0.25339035668079501</v>
      </c>
      <c r="E169" s="3">
        <v>0.38478710266298899</v>
      </c>
      <c r="F169" s="2">
        <f t="shared" si="6"/>
        <v>0.13139674598219397</v>
      </c>
      <c r="H169" s="1">
        <v>41711</v>
      </c>
      <c r="I169">
        <v>0.27739231314429902</v>
      </c>
      <c r="K169" s="4">
        <v>41711</v>
      </c>
      <c r="L169" s="3">
        <v>0.36933430427665681</v>
      </c>
      <c r="M169" s="3">
        <v>0.25339035668079501</v>
      </c>
      <c r="N169" s="3">
        <f t="shared" si="7"/>
        <v>0.27739231314429902</v>
      </c>
      <c r="O169" s="2">
        <f t="shared" si="8"/>
        <v>2.4001956463504004E-2</v>
      </c>
    </row>
    <row r="170" spans="2:15">
      <c r="B170" s="4">
        <v>41718</v>
      </c>
      <c r="C170" s="3">
        <v>0.38030249532079374</v>
      </c>
      <c r="D170" s="3">
        <v>0.28102818996708701</v>
      </c>
      <c r="E170" s="3">
        <v>0.410587950533847</v>
      </c>
      <c r="F170" s="2">
        <f t="shared" si="6"/>
        <v>0.12955976056676</v>
      </c>
      <c r="H170" s="1">
        <v>41718</v>
      </c>
      <c r="I170">
        <v>0.305158136960197</v>
      </c>
      <c r="K170" s="4">
        <v>41718</v>
      </c>
      <c r="L170" s="3">
        <v>0.38030249532079374</v>
      </c>
      <c r="M170" s="3">
        <v>0.28102818996708701</v>
      </c>
      <c r="N170" s="3">
        <f t="shared" si="7"/>
        <v>0.305158136960197</v>
      </c>
      <c r="O170" s="2">
        <f t="shared" si="8"/>
        <v>2.4129946993109996E-2</v>
      </c>
    </row>
    <row r="171" spans="2:15">
      <c r="B171" s="4">
        <v>41725</v>
      </c>
      <c r="C171" s="3">
        <v>0.36565400061256043</v>
      </c>
      <c r="D171" s="3">
        <v>0.25299751732949799</v>
      </c>
      <c r="E171" s="3">
        <v>0.38449666572835101</v>
      </c>
      <c r="F171" s="2">
        <f t="shared" si="6"/>
        <v>0.13149914839885302</v>
      </c>
      <c r="H171" s="1">
        <v>41725</v>
      </c>
      <c r="I171">
        <v>0.27571464318613598</v>
      </c>
      <c r="K171" s="4">
        <v>41725</v>
      </c>
      <c r="L171" s="3">
        <v>0.36565400061256043</v>
      </c>
      <c r="M171" s="3">
        <v>0.25299751732949799</v>
      </c>
      <c r="N171" s="3">
        <f t="shared" si="7"/>
        <v>0.27571464318613598</v>
      </c>
      <c r="O171" s="2">
        <f t="shared" si="8"/>
        <v>2.2717125856637987E-2</v>
      </c>
    </row>
    <row r="172" spans="2:15">
      <c r="B172" s="4">
        <v>41732</v>
      </c>
      <c r="C172" s="3">
        <v>0.35521926568999218</v>
      </c>
      <c r="D172" s="3">
        <v>0.222143720081627</v>
      </c>
      <c r="E172" s="3">
        <v>0.35767470629269998</v>
      </c>
      <c r="F172" s="2">
        <f t="shared" si="6"/>
        <v>0.13553098621107298</v>
      </c>
      <c r="H172" s="1">
        <v>41732</v>
      </c>
      <c r="I172">
        <v>0.24706631517703201</v>
      </c>
      <c r="K172" s="4">
        <v>41732</v>
      </c>
      <c r="L172" s="3">
        <v>0.35521926568999218</v>
      </c>
      <c r="M172" s="3">
        <v>0.222143720081627</v>
      </c>
      <c r="N172" s="3">
        <f t="shared" si="7"/>
        <v>0.24706631517703201</v>
      </c>
      <c r="O172" s="2">
        <f t="shared" si="8"/>
        <v>2.4922595095405009E-2</v>
      </c>
    </row>
    <row r="173" spans="2:15">
      <c r="B173" s="4">
        <v>41739</v>
      </c>
      <c r="C173" s="3">
        <v>0.36683376695248865</v>
      </c>
      <c r="D173" s="3">
        <v>0.25169457423695202</v>
      </c>
      <c r="E173" s="3">
        <v>0.38504831317119298</v>
      </c>
      <c r="F173" s="2">
        <f t="shared" si="6"/>
        <v>0.13335373893424096</v>
      </c>
      <c r="H173" s="1">
        <v>41739</v>
      </c>
      <c r="I173">
        <v>0.27695663394785902</v>
      </c>
      <c r="K173" s="4">
        <v>41739</v>
      </c>
      <c r="L173" s="3">
        <v>0.36683376695248865</v>
      </c>
      <c r="M173" s="3">
        <v>0.25169457423695202</v>
      </c>
      <c r="N173" s="3">
        <f t="shared" si="7"/>
        <v>0.27695663394785902</v>
      </c>
      <c r="O173" s="2">
        <f t="shared" si="8"/>
        <v>2.5262059710907003E-2</v>
      </c>
    </row>
    <row r="174" spans="2:15">
      <c r="B174" s="4">
        <v>41746</v>
      </c>
      <c r="C174" s="3">
        <v>0.38166972699665563</v>
      </c>
      <c r="D174" s="3">
        <v>0.28058021231610197</v>
      </c>
      <c r="E174" s="3">
        <v>0.41164243172086001</v>
      </c>
      <c r="F174" s="2">
        <f t="shared" si="6"/>
        <v>0.13106221940475804</v>
      </c>
      <c r="H174" s="1">
        <v>41746</v>
      </c>
      <c r="I174">
        <v>0.30636975607074801</v>
      </c>
      <c r="K174" s="4">
        <v>41746</v>
      </c>
      <c r="L174" s="3">
        <v>0.38166972699665563</v>
      </c>
      <c r="M174" s="3">
        <v>0.28058021231610197</v>
      </c>
      <c r="N174" s="3">
        <f t="shared" si="7"/>
        <v>0.30636975607074801</v>
      </c>
      <c r="O174" s="2">
        <f t="shared" si="8"/>
        <v>2.5789543754646038E-2</v>
      </c>
    </row>
    <row r="175" spans="2:15">
      <c r="B175" s="4">
        <v>41753</v>
      </c>
      <c r="C175" s="3">
        <v>0.37393962817107157</v>
      </c>
      <c r="D175" s="3">
        <v>0.279448840397376</v>
      </c>
      <c r="E175" s="3">
        <v>0.41092385739423598</v>
      </c>
      <c r="F175" s="2">
        <f t="shared" si="6"/>
        <v>0.13147501699685998</v>
      </c>
      <c r="H175" s="1">
        <v>41753</v>
      </c>
      <c r="I175">
        <v>0.30473155820130099</v>
      </c>
      <c r="K175" s="4">
        <v>41753</v>
      </c>
      <c r="L175" s="3">
        <v>0.37393962817107157</v>
      </c>
      <c r="M175" s="3">
        <v>0.279448840397376</v>
      </c>
      <c r="N175" s="3">
        <f t="shared" si="7"/>
        <v>0.30473155820130099</v>
      </c>
      <c r="O175" s="2">
        <f t="shared" si="8"/>
        <v>2.5282717803924992E-2</v>
      </c>
    </row>
    <row r="176" spans="2:15">
      <c r="B176" s="4">
        <v>41760</v>
      </c>
      <c r="C176" s="3">
        <v>0.37360583835556432</v>
      </c>
      <c r="D176" s="3">
        <v>0.27758425345188897</v>
      </c>
      <c r="E176" s="3">
        <v>0.41100158272746001</v>
      </c>
      <c r="F176" s="2">
        <f t="shared" si="6"/>
        <v>0.13341732927557104</v>
      </c>
      <c r="H176" s="1">
        <v>41760</v>
      </c>
      <c r="I176">
        <v>0.30466547690103202</v>
      </c>
      <c r="K176" s="4">
        <v>41760</v>
      </c>
      <c r="L176" s="3">
        <v>0.37360583835556432</v>
      </c>
      <c r="M176" s="3">
        <v>0.27758425345188897</v>
      </c>
      <c r="N176" s="3">
        <f t="shared" si="7"/>
        <v>0.30466547690103202</v>
      </c>
      <c r="O176" s="2">
        <f t="shared" si="8"/>
        <v>2.7081223449143044E-2</v>
      </c>
    </row>
    <row r="177" spans="2:15">
      <c r="B177" s="4">
        <v>41767</v>
      </c>
      <c r="C177" s="3">
        <v>0.40975674753773905</v>
      </c>
      <c r="D177" s="3">
        <v>0.32550344763156402</v>
      </c>
      <c r="E177" s="3">
        <v>0.45457812646171702</v>
      </c>
      <c r="F177" s="2">
        <f t="shared" si="6"/>
        <v>0.129074678830153</v>
      </c>
      <c r="H177" s="1">
        <v>41767</v>
      </c>
      <c r="I177">
        <v>0.35473146099265701</v>
      </c>
      <c r="K177" s="4">
        <v>41767</v>
      </c>
      <c r="L177" s="3">
        <v>0.40975674753773905</v>
      </c>
      <c r="M177" s="3">
        <v>0.32550344763156402</v>
      </c>
      <c r="N177" s="3">
        <f t="shared" si="7"/>
        <v>0.35473146099265701</v>
      </c>
      <c r="O177" s="2">
        <f t="shared" si="8"/>
        <v>2.9228013361092986E-2</v>
      </c>
    </row>
    <row r="178" spans="2:15">
      <c r="B178" s="4">
        <v>41774</v>
      </c>
      <c r="C178" s="3">
        <v>0.4132153406951769</v>
      </c>
      <c r="D178" s="3">
        <v>0.32552411046597202</v>
      </c>
      <c r="E178" s="3">
        <v>0.45459535037724502</v>
      </c>
      <c r="F178" s="2">
        <f t="shared" si="6"/>
        <v>0.12907123991127301</v>
      </c>
      <c r="H178" s="1">
        <v>41774</v>
      </c>
      <c r="I178">
        <v>0.35510750939955799</v>
      </c>
      <c r="K178" s="4">
        <v>41774</v>
      </c>
      <c r="L178" s="3">
        <v>0.4132153406951769</v>
      </c>
      <c r="M178" s="3">
        <v>0.32552411046597202</v>
      </c>
      <c r="N178" s="3">
        <f t="shared" si="7"/>
        <v>0.35510750939955799</v>
      </c>
      <c r="O178" s="2">
        <f t="shared" si="8"/>
        <v>2.9583398933585969E-2</v>
      </c>
    </row>
    <row r="179" spans="2:15">
      <c r="B179" s="4">
        <v>41781</v>
      </c>
      <c r="C179" s="3">
        <v>0.44799454346559853</v>
      </c>
      <c r="D179" s="3">
        <v>0.347488455871724</v>
      </c>
      <c r="E179" s="3">
        <v>0.47441483161345099</v>
      </c>
      <c r="F179" s="2">
        <f t="shared" si="6"/>
        <v>0.12692637574172699</v>
      </c>
      <c r="H179" s="1">
        <v>41781</v>
      </c>
      <c r="I179">
        <v>0.37813915561231398</v>
      </c>
      <c r="K179" s="4">
        <v>41781</v>
      </c>
      <c r="L179" s="3">
        <v>0.44799454346559853</v>
      </c>
      <c r="M179" s="3">
        <v>0.347488455871724</v>
      </c>
      <c r="N179" s="3">
        <f t="shared" si="7"/>
        <v>0.37813915561231398</v>
      </c>
      <c r="O179" s="2">
        <f t="shared" si="8"/>
        <v>3.0650699740589982E-2</v>
      </c>
    </row>
    <row r="180" spans="2:15">
      <c r="B180" s="4">
        <v>41788</v>
      </c>
      <c r="C180" s="3">
        <v>0.46362020494951672</v>
      </c>
      <c r="D180" s="3">
        <v>0.34818390220270101</v>
      </c>
      <c r="E180" s="3">
        <v>0.47487286011146401</v>
      </c>
      <c r="F180" s="2">
        <f t="shared" si="6"/>
        <v>0.126688957908763</v>
      </c>
      <c r="H180" s="1">
        <v>41788</v>
      </c>
      <c r="I180">
        <v>0.38007735837086398</v>
      </c>
      <c r="K180" s="4">
        <v>41788</v>
      </c>
      <c r="L180" s="3">
        <v>0.46362020494951672</v>
      </c>
      <c r="M180" s="3">
        <v>0.34818390220270101</v>
      </c>
      <c r="N180" s="3">
        <f t="shared" si="7"/>
        <v>0.38007735837086398</v>
      </c>
      <c r="O180" s="2">
        <f t="shared" si="8"/>
        <v>3.189345616816297E-2</v>
      </c>
    </row>
    <row r="181" spans="2:15">
      <c r="B181" s="4">
        <v>41795</v>
      </c>
      <c r="C181" s="3">
        <v>0.46847875373528863</v>
      </c>
      <c r="D181" s="3">
        <v>0.346238128399389</v>
      </c>
      <c r="E181" s="3">
        <v>0.475595859590284</v>
      </c>
      <c r="F181" s="2">
        <f t="shared" si="6"/>
        <v>0.129357731190895</v>
      </c>
      <c r="H181" s="1">
        <v>41795</v>
      </c>
      <c r="I181">
        <v>0.38136274564707001</v>
      </c>
      <c r="K181" s="4">
        <v>41795</v>
      </c>
      <c r="L181" s="3">
        <v>0.46847875373528863</v>
      </c>
      <c r="M181" s="3">
        <v>0.346238128399389</v>
      </c>
      <c r="N181" s="3">
        <f t="shared" si="7"/>
        <v>0.38136274564707001</v>
      </c>
      <c r="O181" s="2">
        <f t="shared" si="8"/>
        <v>3.5124617247681011E-2</v>
      </c>
    </row>
    <row r="182" spans="2:15">
      <c r="B182" s="4">
        <v>41802</v>
      </c>
      <c r="C182" s="3">
        <v>0.41096738430920449</v>
      </c>
      <c r="D182" s="3">
        <v>0.32274759646781798</v>
      </c>
      <c r="E182" s="3">
        <v>0.45449098513744102</v>
      </c>
      <c r="F182" s="2">
        <f t="shared" si="6"/>
        <v>0.13174338866962304</v>
      </c>
      <c r="H182" s="1">
        <v>41802</v>
      </c>
      <c r="I182">
        <v>0.354558274605281</v>
      </c>
      <c r="K182" s="4">
        <v>41802</v>
      </c>
      <c r="L182" s="3">
        <v>0.41096738430920449</v>
      </c>
      <c r="M182" s="3">
        <v>0.32274759646781798</v>
      </c>
      <c r="N182" s="3">
        <f t="shared" si="7"/>
        <v>0.354558274605281</v>
      </c>
      <c r="O182" s="2">
        <f t="shared" si="8"/>
        <v>3.1810678137463022E-2</v>
      </c>
    </row>
    <row r="183" spans="2:15">
      <c r="B183" s="4">
        <v>41809</v>
      </c>
      <c r="C183" s="3">
        <v>0.42635938692148717</v>
      </c>
      <c r="D183" s="3">
        <v>0.324184407069465</v>
      </c>
      <c r="E183" s="3">
        <v>0.45535981677361198</v>
      </c>
      <c r="F183" s="2">
        <f t="shared" si="6"/>
        <v>0.13117540970414698</v>
      </c>
      <c r="H183" s="1">
        <v>41809</v>
      </c>
      <c r="I183">
        <v>0.35638375297164099</v>
      </c>
      <c r="K183" s="4">
        <v>41809</v>
      </c>
      <c r="L183" s="3">
        <v>0.42635938692148717</v>
      </c>
      <c r="M183" s="3">
        <v>0.324184407069465</v>
      </c>
      <c r="N183" s="3">
        <f t="shared" si="7"/>
        <v>0.35638375297164099</v>
      </c>
      <c r="O183" s="2">
        <f t="shared" si="8"/>
        <v>3.2199345902175991E-2</v>
      </c>
    </row>
    <row r="184" spans="2:15">
      <c r="B184" s="4">
        <v>41816</v>
      </c>
      <c r="C184" s="3">
        <v>0.46847875373528863</v>
      </c>
      <c r="D184" s="3">
        <v>0.346238128399389</v>
      </c>
      <c r="E184" s="3">
        <v>0.475595859590284</v>
      </c>
      <c r="F184" s="2">
        <f t="shared" si="6"/>
        <v>0.129357731190895</v>
      </c>
      <c r="H184" s="1">
        <v>41816</v>
      </c>
      <c r="I184">
        <v>0.38136274564707001</v>
      </c>
      <c r="K184" s="4">
        <v>41816</v>
      </c>
      <c r="L184" s="3">
        <v>0.46847875373528863</v>
      </c>
      <c r="M184" s="3">
        <v>0.346238128399389</v>
      </c>
      <c r="N184" s="3">
        <f t="shared" si="7"/>
        <v>0.38136274564707001</v>
      </c>
      <c r="O184" s="2">
        <f t="shared" si="8"/>
        <v>3.5124617247681011E-2</v>
      </c>
    </row>
    <row r="185" spans="2:15">
      <c r="B185" s="4">
        <v>41823</v>
      </c>
      <c r="C185" s="3">
        <v>0.48178321750260522</v>
      </c>
      <c r="D185" s="3">
        <v>0.36578907876503403</v>
      </c>
      <c r="E185" s="3">
        <v>0.49785164828491202</v>
      </c>
      <c r="F185" s="2">
        <f t="shared" si="6"/>
        <v>0.13206256951987799</v>
      </c>
      <c r="H185" s="1">
        <v>41823</v>
      </c>
      <c r="I185">
        <v>0.40668349695613898</v>
      </c>
      <c r="K185" s="4">
        <v>41823</v>
      </c>
      <c r="L185" s="3">
        <v>0.48178321750260522</v>
      </c>
      <c r="M185" s="3">
        <v>0.36578907876503403</v>
      </c>
      <c r="N185" s="3">
        <f t="shared" si="7"/>
        <v>0.40668349695613898</v>
      </c>
      <c r="O185" s="2">
        <f t="shared" si="8"/>
        <v>4.0894418191104953E-2</v>
      </c>
    </row>
    <row r="186" spans="2:15">
      <c r="B186" s="4">
        <v>41830</v>
      </c>
      <c r="C186" s="3">
        <v>0.42147742037560049</v>
      </c>
      <c r="D186" s="3">
        <v>0.31805600486192798</v>
      </c>
      <c r="E186" s="3">
        <v>0.45313476995693502</v>
      </c>
      <c r="F186" s="2">
        <f t="shared" si="6"/>
        <v>0.13507876509500705</v>
      </c>
      <c r="H186" s="1">
        <v>41830</v>
      </c>
      <c r="I186">
        <v>0.35127441371780599</v>
      </c>
      <c r="K186" s="4">
        <v>41830</v>
      </c>
      <c r="L186" s="3">
        <v>0.42147742037560049</v>
      </c>
      <c r="M186" s="3">
        <v>0.31805600486192798</v>
      </c>
      <c r="N186" s="3">
        <f t="shared" si="7"/>
        <v>0.35127441371780599</v>
      </c>
      <c r="O186" s="2">
        <f t="shared" si="8"/>
        <v>3.3218408855878012E-2</v>
      </c>
    </row>
    <row r="187" spans="2:15">
      <c r="B187" s="4">
        <v>41837</v>
      </c>
      <c r="C187" s="3">
        <v>0.45155296827836544</v>
      </c>
      <c r="D187" s="3">
        <v>0.34009498441958502</v>
      </c>
      <c r="E187" s="3">
        <v>0.47345524330482502</v>
      </c>
      <c r="F187" s="2">
        <f t="shared" si="6"/>
        <v>0.13336025888524</v>
      </c>
      <c r="H187" s="1">
        <v>41837</v>
      </c>
      <c r="I187">
        <v>0.37569546518688601</v>
      </c>
      <c r="K187" s="4">
        <v>41837</v>
      </c>
      <c r="L187" s="3">
        <v>0.45155296827836544</v>
      </c>
      <c r="M187" s="3">
        <v>0.34009498441958502</v>
      </c>
      <c r="N187" s="3">
        <f t="shared" si="7"/>
        <v>0.37569546518688601</v>
      </c>
      <c r="O187" s="2">
        <f t="shared" si="8"/>
        <v>3.560048076730099E-2</v>
      </c>
    </row>
    <row r="188" spans="2:15">
      <c r="B188" s="4">
        <v>41844</v>
      </c>
      <c r="C188" s="3">
        <v>0.45155296827836544</v>
      </c>
      <c r="D188" s="3">
        <v>0.34009498441958502</v>
      </c>
      <c r="E188" s="3">
        <v>0.47345524330482502</v>
      </c>
      <c r="F188" s="2">
        <f t="shared" si="6"/>
        <v>0.13336025888524</v>
      </c>
      <c r="H188" s="1">
        <v>41844</v>
      </c>
      <c r="I188">
        <v>0.37569546518688601</v>
      </c>
      <c r="K188" s="4">
        <v>41844</v>
      </c>
      <c r="L188" s="3">
        <v>0.45155296827836544</v>
      </c>
      <c r="M188" s="3">
        <v>0.34009498441958502</v>
      </c>
      <c r="N188" s="3">
        <f t="shared" si="7"/>
        <v>0.37569546518688601</v>
      </c>
      <c r="O188" s="2">
        <f t="shared" si="8"/>
        <v>3.560048076730099E-2</v>
      </c>
    </row>
    <row r="189" spans="2:15">
      <c r="B189" s="4">
        <v>41851</v>
      </c>
      <c r="C189" s="3">
        <v>0.45923072088835232</v>
      </c>
      <c r="D189" s="3">
        <v>0.34042369497045799</v>
      </c>
      <c r="E189" s="3">
        <v>0.47367267081046699</v>
      </c>
      <c r="F189" s="2">
        <f t="shared" si="6"/>
        <v>0.133248975840009</v>
      </c>
      <c r="H189" s="1">
        <v>41851</v>
      </c>
      <c r="I189">
        <v>0.37710616064306202</v>
      </c>
      <c r="K189" s="4">
        <v>41851</v>
      </c>
      <c r="L189" s="3">
        <v>0.45923072088835232</v>
      </c>
      <c r="M189" s="3">
        <v>0.34042369497045799</v>
      </c>
      <c r="N189" s="3">
        <f t="shared" si="7"/>
        <v>0.37710616064306202</v>
      </c>
      <c r="O189" s="2">
        <f t="shared" si="8"/>
        <v>3.6682465672604025E-2</v>
      </c>
    </row>
    <row r="190" spans="2:15">
      <c r="B190" s="4">
        <v>41858</v>
      </c>
      <c r="C190" s="3">
        <v>0.42413376349642812</v>
      </c>
      <c r="D190" s="3">
        <v>0.31036061365073903</v>
      </c>
      <c r="E190" s="3">
        <v>0.44905662805025698</v>
      </c>
      <c r="F190" s="2">
        <f t="shared" si="6"/>
        <v>0.13869601439951795</v>
      </c>
      <c r="H190" s="1">
        <v>41858</v>
      </c>
      <c r="I190">
        <v>0.34489863565206802</v>
      </c>
      <c r="K190" s="4">
        <v>41858</v>
      </c>
      <c r="L190" s="3">
        <v>0.42413376349642812</v>
      </c>
      <c r="M190" s="3">
        <v>0.31036061365073903</v>
      </c>
      <c r="N190" s="3">
        <f t="shared" si="7"/>
        <v>0.34489863565206802</v>
      </c>
      <c r="O190" s="2">
        <f t="shared" si="8"/>
        <v>3.4538022001328994E-2</v>
      </c>
    </row>
    <row r="191" spans="2:15">
      <c r="B191" s="4">
        <v>41865</v>
      </c>
      <c r="C191" s="3">
        <v>0.45575254137027688</v>
      </c>
      <c r="D191" s="3">
        <v>0.33263554438079002</v>
      </c>
      <c r="E191" s="3">
        <v>0.46961383574146598</v>
      </c>
      <c r="F191" s="2">
        <f t="shared" si="6"/>
        <v>0.13697829136067596</v>
      </c>
      <c r="H191" s="1">
        <v>41865</v>
      </c>
      <c r="I191">
        <v>0.37048359025229799</v>
      </c>
      <c r="K191" s="4">
        <v>41865</v>
      </c>
      <c r="L191" s="3">
        <v>0.45575254137027688</v>
      </c>
      <c r="M191" s="3">
        <v>0.33263554438079002</v>
      </c>
      <c r="N191" s="3">
        <f t="shared" si="7"/>
        <v>0.37048359025229799</v>
      </c>
      <c r="O191" s="2">
        <f t="shared" si="8"/>
        <v>3.7848045871507974E-2</v>
      </c>
    </row>
    <row r="192" spans="2:15">
      <c r="B192" s="4">
        <v>41872</v>
      </c>
      <c r="C192" s="3">
        <v>0.49084413664233395</v>
      </c>
      <c r="D192" s="3">
        <v>0.35838762838330102</v>
      </c>
      <c r="E192" s="3">
        <v>0.49412020813719998</v>
      </c>
      <c r="F192" s="2">
        <f t="shared" si="6"/>
        <v>0.13573257975389896</v>
      </c>
      <c r="H192" s="1">
        <v>41872</v>
      </c>
      <c r="I192">
        <v>0.40150628228700203</v>
      </c>
      <c r="K192" s="4">
        <v>41872</v>
      </c>
      <c r="L192" s="3">
        <v>0.49084413664233395</v>
      </c>
      <c r="M192" s="3">
        <v>0.35838762838330102</v>
      </c>
      <c r="N192" s="3">
        <f t="shared" si="7"/>
        <v>0.40150628228700203</v>
      </c>
      <c r="O192" s="2">
        <f t="shared" si="8"/>
        <v>4.311865390370101E-2</v>
      </c>
    </row>
    <row r="193" spans="2:15">
      <c r="B193" s="4">
        <v>41879</v>
      </c>
      <c r="C193" s="3">
        <v>0.49084413664233395</v>
      </c>
      <c r="D193" s="3">
        <v>0.35838762838330102</v>
      </c>
      <c r="E193" s="3">
        <v>0.49412020813719998</v>
      </c>
      <c r="F193" s="2">
        <f t="shared" si="6"/>
        <v>0.13573257975389896</v>
      </c>
      <c r="H193" s="1">
        <v>41879</v>
      </c>
      <c r="I193">
        <v>0.40150628228700203</v>
      </c>
      <c r="K193" s="4">
        <v>41879</v>
      </c>
      <c r="L193" s="3">
        <v>0.49084413664233395</v>
      </c>
      <c r="M193" s="3">
        <v>0.35838762838330102</v>
      </c>
      <c r="N193" s="3">
        <f t="shared" si="7"/>
        <v>0.40150628228700203</v>
      </c>
      <c r="O193" s="2">
        <f t="shared" si="8"/>
        <v>4.311865390370101E-2</v>
      </c>
    </row>
    <row r="194" spans="2:15">
      <c r="B194" s="4">
        <v>41886</v>
      </c>
      <c r="C194" s="3">
        <v>0.4873264191007175</v>
      </c>
      <c r="D194" s="3">
        <v>0.35124395630609401</v>
      </c>
      <c r="E194" s="3">
        <v>0.490645181334884</v>
      </c>
      <c r="F194" s="2">
        <f t="shared" si="6"/>
        <v>0.13940122502878999</v>
      </c>
      <c r="H194" s="1">
        <v>41886</v>
      </c>
      <c r="I194">
        <v>0.39564048824252901</v>
      </c>
      <c r="K194" s="4">
        <v>41886</v>
      </c>
      <c r="L194" s="3">
        <v>0.4873264191007175</v>
      </c>
      <c r="M194" s="3">
        <v>0.35124395630609401</v>
      </c>
      <c r="N194" s="3">
        <f t="shared" si="7"/>
        <v>0.39564048824252901</v>
      </c>
      <c r="O194" s="2">
        <f t="shared" si="8"/>
        <v>4.4396531936435002E-2</v>
      </c>
    </row>
    <row r="195" spans="2:15">
      <c r="B195" s="4">
        <v>41893</v>
      </c>
      <c r="C195" s="3">
        <v>0.4741591952243816</v>
      </c>
      <c r="D195" s="3">
        <v>0.350821387629207</v>
      </c>
      <c r="E195" s="3">
        <v>0.490245807372506</v>
      </c>
      <c r="F195" s="2">
        <f t="shared" ref="F195:F258" si="9">E195-D195</f>
        <v>0.139424419743299</v>
      </c>
      <c r="H195" s="1">
        <v>41893</v>
      </c>
      <c r="I195">
        <v>0.39402430051755699</v>
      </c>
      <c r="K195" s="4">
        <v>41893</v>
      </c>
      <c r="L195" s="3">
        <v>0.4741591952243816</v>
      </c>
      <c r="M195" s="3">
        <v>0.350821387629207</v>
      </c>
      <c r="N195" s="3">
        <f t="shared" ref="N195:N258" si="10">VLOOKUP(K195,H195:I422,2,0)</f>
        <v>0.39402430051755699</v>
      </c>
      <c r="O195" s="2">
        <f t="shared" ref="O195:O258" si="11">N195-M195</f>
        <v>4.3202912888349987E-2</v>
      </c>
    </row>
    <row r="196" spans="2:15">
      <c r="B196" s="4">
        <v>41900</v>
      </c>
      <c r="C196" s="3">
        <v>0.3981672862675662</v>
      </c>
      <c r="D196" s="3">
        <v>0.30185821114737799</v>
      </c>
      <c r="E196" s="3">
        <v>0.44485844381328299</v>
      </c>
      <c r="F196" s="2">
        <f t="shared" si="9"/>
        <v>0.143000232665905</v>
      </c>
      <c r="H196" s="1">
        <v>41900</v>
      </c>
      <c r="I196">
        <v>0.335786197250867</v>
      </c>
      <c r="K196" s="4">
        <v>41900</v>
      </c>
      <c r="L196" s="3">
        <v>0.3981672862675662</v>
      </c>
      <c r="M196" s="3">
        <v>0.30185821114737799</v>
      </c>
      <c r="N196" s="3">
        <f t="shared" si="10"/>
        <v>0.335786197250867</v>
      </c>
      <c r="O196" s="2">
        <f t="shared" si="11"/>
        <v>3.3927986103489016E-2</v>
      </c>
    </row>
    <row r="197" spans="2:15">
      <c r="B197" s="4">
        <v>41907</v>
      </c>
      <c r="C197" s="3">
        <v>0.41373230170663788</v>
      </c>
      <c r="D197" s="3">
        <v>0.303134887573904</v>
      </c>
      <c r="E197" s="3">
        <v>0.44562992385305</v>
      </c>
      <c r="F197" s="2">
        <f t="shared" si="9"/>
        <v>0.142495036279146</v>
      </c>
      <c r="H197" s="1">
        <v>41907</v>
      </c>
      <c r="I197">
        <v>0.33779900726217199</v>
      </c>
      <c r="K197" s="4">
        <v>41907</v>
      </c>
      <c r="L197" s="3">
        <v>0.41373230170663788</v>
      </c>
      <c r="M197" s="3">
        <v>0.303134887573904</v>
      </c>
      <c r="N197" s="3">
        <f t="shared" si="10"/>
        <v>0.33779900726217199</v>
      </c>
      <c r="O197" s="2">
        <f t="shared" si="11"/>
        <v>3.4664119688267991E-2</v>
      </c>
    </row>
    <row r="198" spans="2:15">
      <c r="B198" s="4">
        <v>41914</v>
      </c>
      <c r="C198" s="3">
        <v>0.43232059685066798</v>
      </c>
      <c r="D198" s="3">
        <v>0.31668157332951902</v>
      </c>
      <c r="E198" s="3">
        <v>0.461630793166039</v>
      </c>
      <c r="F198" s="2">
        <f t="shared" si="9"/>
        <v>0.14494921983651998</v>
      </c>
      <c r="H198" s="1">
        <v>41914</v>
      </c>
      <c r="I198">
        <v>0.35298059221452499</v>
      </c>
      <c r="K198" s="4">
        <v>41914</v>
      </c>
      <c r="L198" s="3">
        <v>0.43232059685066798</v>
      </c>
      <c r="M198" s="3">
        <v>0.31668157332951902</v>
      </c>
      <c r="N198" s="3">
        <f t="shared" si="10"/>
        <v>0.35298059221452499</v>
      </c>
      <c r="O198" s="2">
        <f t="shared" si="11"/>
        <v>3.6299018885005974E-2</v>
      </c>
    </row>
    <row r="199" spans="2:15">
      <c r="B199" s="4">
        <v>41921</v>
      </c>
      <c r="C199" s="3">
        <v>0.47165449273347226</v>
      </c>
      <c r="D199" s="3">
        <v>0.34232551793557098</v>
      </c>
      <c r="E199" s="3">
        <v>0.48583856044097401</v>
      </c>
      <c r="F199" s="2">
        <f t="shared" si="9"/>
        <v>0.14351304250540303</v>
      </c>
      <c r="H199" s="1">
        <v>41921</v>
      </c>
      <c r="I199">
        <v>0.38553330142435899</v>
      </c>
      <c r="K199" s="4">
        <v>41921</v>
      </c>
      <c r="L199" s="3">
        <v>0.47165449273347226</v>
      </c>
      <c r="M199" s="3">
        <v>0.34232551793557098</v>
      </c>
      <c r="N199" s="3">
        <f t="shared" si="10"/>
        <v>0.38553330142435899</v>
      </c>
      <c r="O199" s="2">
        <f t="shared" si="11"/>
        <v>4.320778348878801E-2</v>
      </c>
    </row>
    <row r="200" spans="2:15">
      <c r="B200" s="4">
        <v>41928</v>
      </c>
      <c r="C200" s="3">
        <v>0.57517284737260799</v>
      </c>
      <c r="D200" s="3">
        <v>0.40285473187500098</v>
      </c>
      <c r="E200" s="3">
        <v>0.54189899626716298</v>
      </c>
      <c r="F200" s="2">
        <f t="shared" si="9"/>
        <v>0.139044264392162</v>
      </c>
      <c r="H200" s="1">
        <v>41928</v>
      </c>
      <c r="I200">
        <v>0.45862210331192299</v>
      </c>
      <c r="K200" s="4">
        <v>41928</v>
      </c>
      <c r="L200" s="3">
        <v>0.57517284737260799</v>
      </c>
      <c r="M200" s="3">
        <v>0.40285473187500098</v>
      </c>
      <c r="N200" s="3">
        <f t="shared" si="10"/>
        <v>0.45862210331192299</v>
      </c>
      <c r="O200" s="2">
        <f t="shared" si="11"/>
        <v>5.5767371436922009E-2</v>
      </c>
    </row>
    <row r="201" spans="2:15">
      <c r="B201" s="4">
        <v>41935</v>
      </c>
      <c r="C201" s="3">
        <v>0.58745733896979668</v>
      </c>
      <c r="D201" s="3">
        <v>0.43224640519919799</v>
      </c>
      <c r="E201" s="3">
        <v>0.56780927639171197</v>
      </c>
      <c r="F201" s="2">
        <f t="shared" si="9"/>
        <v>0.13556287119251398</v>
      </c>
      <c r="H201" s="1">
        <v>41935</v>
      </c>
      <c r="I201">
        <v>0.49010064863363401</v>
      </c>
      <c r="K201" s="4">
        <v>41935</v>
      </c>
      <c r="L201" s="3">
        <v>0.58745733896979668</v>
      </c>
      <c r="M201" s="3">
        <v>0.43224640519919799</v>
      </c>
      <c r="N201" s="3">
        <f t="shared" si="10"/>
        <v>0.49010064863363401</v>
      </c>
      <c r="O201" s="2">
        <f t="shared" si="11"/>
        <v>5.7854243434436015E-2</v>
      </c>
    </row>
    <row r="202" spans="2:15">
      <c r="B202" s="4">
        <v>41942</v>
      </c>
      <c r="C202" s="3">
        <v>0.57181297396619646</v>
      </c>
      <c r="D202" s="3">
        <v>0.40279530551033699</v>
      </c>
      <c r="E202" s="3">
        <v>0.541842357237176</v>
      </c>
      <c r="F202" s="2">
        <f t="shared" si="9"/>
        <v>0.13904705172683901</v>
      </c>
      <c r="H202" s="1">
        <v>41942</v>
      </c>
      <c r="I202">
        <v>0.45791499093723897</v>
      </c>
      <c r="K202" s="4">
        <v>41942</v>
      </c>
      <c r="L202" s="3">
        <v>0.57181297396619646</v>
      </c>
      <c r="M202" s="3">
        <v>0.40279530551033699</v>
      </c>
      <c r="N202" s="3">
        <f t="shared" si="10"/>
        <v>0.45791499093723897</v>
      </c>
      <c r="O202" s="2">
        <f t="shared" si="11"/>
        <v>5.5119685426901988E-2</v>
      </c>
    </row>
    <row r="203" spans="2:15">
      <c r="B203" s="4">
        <v>41949</v>
      </c>
      <c r="C203" s="3">
        <v>0.54857982917990311</v>
      </c>
      <c r="D203" s="3">
        <v>0.363805283856794</v>
      </c>
      <c r="E203" s="3">
        <v>0.508409072340408</v>
      </c>
      <c r="F203" s="2">
        <f t="shared" si="9"/>
        <v>0.14460378848361399</v>
      </c>
      <c r="H203" s="1">
        <v>41949</v>
      </c>
      <c r="I203">
        <v>0.41298189638604699</v>
      </c>
      <c r="K203" s="4">
        <v>41949</v>
      </c>
      <c r="L203" s="3">
        <v>0.54857982917990311</v>
      </c>
      <c r="M203" s="3">
        <v>0.363805283856794</v>
      </c>
      <c r="N203" s="3">
        <f t="shared" si="10"/>
        <v>0.41298189638604699</v>
      </c>
      <c r="O203" s="2">
        <f t="shared" si="11"/>
        <v>4.9176612529252983E-2</v>
      </c>
    </row>
    <row r="204" spans="2:15">
      <c r="B204" s="4">
        <v>41956</v>
      </c>
      <c r="C204" s="3">
        <v>0.55497671209744126</v>
      </c>
      <c r="D204" s="3">
        <v>0.36393083176118401</v>
      </c>
      <c r="E204" s="3">
        <v>0.50851555140808302</v>
      </c>
      <c r="F204" s="2">
        <f t="shared" si="9"/>
        <v>0.14458471964689901</v>
      </c>
      <c r="H204" s="1">
        <v>41956</v>
      </c>
      <c r="I204">
        <v>0.413158972870934</v>
      </c>
      <c r="K204" s="4">
        <v>41956</v>
      </c>
      <c r="L204" s="3">
        <v>0.55497671209744126</v>
      </c>
      <c r="M204" s="3">
        <v>0.36393083176118401</v>
      </c>
      <c r="N204" s="3">
        <f t="shared" si="10"/>
        <v>0.413158972870934</v>
      </c>
      <c r="O204" s="2">
        <f t="shared" si="11"/>
        <v>4.922814110974999E-2</v>
      </c>
    </row>
    <row r="205" spans="2:15">
      <c r="B205" s="4">
        <v>41963</v>
      </c>
      <c r="C205" s="3">
        <v>0.56606721089043732</v>
      </c>
      <c r="D205" s="3">
        <v>0.39464243161649398</v>
      </c>
      <c r="E205" s="3">
        <v>0.53761514525020104</v>
      </c>
      <c r="F205" s="2">
        <f t="shared" si="9"/>
        <v>0.14297271363370706</v>
      </c>
      <c r="H205" s="1">
        <v>41963</v>
      </c>
      <c r="I205">
        <v>0.44955259080167498</v>
      </c>
      <c r="K205" s="4">
        <v>41963</v>
      </c>
      <c r="L205" s="3">
        <v>0.56606721089043732</v>
      </c>
      <c r="M205" s="3">
        <v>0.39464243161649398</v>
      </c>
      <c r="N205" s="3">
        <f t="shared" si="10"/>
        <v>0.44955259080167498</v>
      </c>
      <c r="O205" s="2">
        <f t="shared" si="11"/>
        <v>5.4910159185180996E-2</v>
      </c>
    </row>
    <row r="206" spans="2:15">
      <c r="B206" s="4">
        <v>41969</v>
      </c>
      <c r="C206" s="3">
        <v>0.57290983086857539</v>
      </c>
      <c r="D206" s="3">
        <v>0.39478657813594797</v>
      </c>
      <c r="E206" s="3">
        <v>0.53775096220647101</v>
      </c>
      <c r="F206" s="2">
        <f t="shared" si="9"/>
        <v>0.14296438407052303</v>
      </c>
      <c r="H206" s="1">
        <v>41969</v>
      </c>
      <c r="I206">
        <v>0.45066656472309602</v>
      </c>
      <c r="K206" s="4">
        <v>41969</v>
      </c>
      <c r="L206" s="3">
        <v>0.57290983086857539</v>
      </c>
      <c r="M206" s="3">
        <v>0.39478657813594797</v>
      </c>
      <c r="N206" s="3">
        <f t="shared" si="10"/>
        <v>0.45066656472309602</v>
      </c>
      <c r="O206" s="2">
        <f t="shared" si="11"/>
        <v>5.5879986587148045E-2</v>
      </c>
    </row>
    <row r="207" spans="2:15">
      <c r="B207" s="4">
        <v>41977</v>
      </c>
      <c r="C207" s="3">
        <v>0.59279776197128353</v>
      </c>
      <c r="D207" s="3">
        <v>0.41779394948311799</v>
      </c>
      <c r="E207" s="3">
        <v>0.55994808522013495</v>
      </c>
      <c r="F207" s="2">
        <f t="shared" si="9"/>
        <v>0.14215413573701696</v>
      </c>
      <c r="H207" s="1">
        <v>41977</v>
      </c>
      <c r="I207">
        <v>0.47792725629958699</v>
      </c>
      <c r="K207" s="4">
        <v>41977</v>
      </c>
      <c r="L207" s="3">
        <v>0.59279776197128353</v>
      </c>
      <c r="M207" s="3">
        <v>0.41779394948311799</v>
      </c>
      <c r="N207" s="3">
        <f t="shared" si="10"/>
        <v>0.47792725629958699</v>
      </c>
      <c r="O207" s="2">
        <f t="shared" si="11"/>
        <v>6.0133306816469001E-2</v>
      </c>
    </row>
    <row r="208" spans="2:15">
      <c r="B208" s="4">
        <v>41984</v>
      </c>
      <c r="C208" s="3">
        <v>0.5786710507683992</v>
      </c>
      <c r="D208" s="3">
        <v>0.41674162737276199</v>
      </c>
      <c r="E208" s="3">
        <v>0.55923798077262399</v>
      </c>
      <c r="F208" s="2">
        <f t="shared" si="9"/>
        <v>0.142496353399862</v>
      </c>
      <c r="H208" s="1">
        <v>41984</v>
      </c>
      <c r="I208">
        <v>0.47411357431497397</v>
      </c>
      <c r="K208" s="4">
        <v>41984</v>
      </c>
      <c r="L208" s="3">
        <v>0.5786710507683992</v>
      </c>
      <c r="M208" s="3">
        <v>0.41674162737276199</v>
      </c>
      <c r="N208" s="3">
        <f t="shared" si="10"/>
        <v>0.47411357431497397</v>
      </c>
      <c r="O208" s="2">
        <f t="shared" si="11"/>
        <v>5.7371946942211982E-2</v>
      </c>
    </row>
    <row r="209" spans="2:15">
      <c r="B209" s="4">
        <v>41991</v>
      </c>
      <c r="C209" s="3">
        <v>0.6155496963810797</v>
      </c>
      <c r="D209" s="3">
        <v>0.45273770907866101</v>
      </c>
      <c r="E209" s="3">
        <v>0.59158262628997005</v>
      </c>
      <c r="F209" s="2">
        <f t="shared" si="9"/>
        <v>0.13884491721130904</v>
      </c>
      <c r="H209" s="1">
        <v>41991</v>
      </c>
      <c r="I209">
        <v>0.51872843856357098</v>
      </c>
      <c r="K209" s="4">
        <v>41991</v>
      </c>
      <c r="L209" s="3">
        <v>0.6155496963810797</v>
      </c>
      <c r="M209" s="3">
        <v>0.45273770907866101</v>
      </c>
      <c r="N209" s="3">
        <f t="shared" si="10"/>
        <v>0.51872843856357098</v>
      </c>
      <c r="O209" s="2">
        <f t="shared" si="11"/>
        <v>6.5990729484909971E-2</v>
      </c>
    </row>
    <row r="210" spans="2:15">
      <c r="B210" s="4">
        <v>41997</v>
      </c>
      <c r="C210" s="3">
        <v>0.60574636223541978</v>
      </c>
      <c r="D210" s="3">
        <v>0.44996183796017403</v>
      </c>
      <c r="E210" s="3">
        <v>0.59042721040695001</v>
      </c>
      <c r="F210" s="2">
        <f t="shared" si="9"/>
        <v>0.14046537244677598</v>
      </c>
      <c r="H210" s="1">
        <v>41997</v>
      </c>
      <c r="I210">
        <v>0.515529212075723</v>
      </c>
      <c r="K210" s="4">
        <v>41997</v>
      </c>
      <c r="L210" s="3">
        <v>0.60574636223541978</v>
      </c>
      <c r="M210" s="3">
        <v>0.44996183796017403</v>
      </c>
      <c r="N210" s="3">
        <f t="shared" si="10"/>
        <v>0.515529212075723</v>
      </c>
      <c r="O210" s="2">
        <f t="shared" si="11"/>
        <v>6.5567374115548971E-2</v>
      </c>
    </row>
    <row r="211" spans="2:15">
      <c r="B211" s="4">
        <v>42004</v>
      </c>
      <c r="C211" s="3">
        <v>0.59072795930158906</v>
      </c>
      <c r="D211" s="3">
        <v>0.41775040408126601</v>
      </c>
      <c r="E211" s="3">
        <v>0.55990527677423996</v>
      </c>
      <c r="F211" s="2">
        <f t="shared" si="9"/>
        <v>0.14215487269297394</v>
      </c>
      <c r="H211" s="1">
        <v>42004</v>
      </c>
      <c r="I211">
        <v>0.47786309276619199</v>
      </c>
      <c r="K211" s="4">
        <v>42004</v>
      </c>
      <c r="L211" s="3">
        <v>0.59072795930158906</v>
      </c>
      <c r="M211" s="3">
        <v>0.41775040408126601</v>
      </c>
      <c r="N211" s="3">
        <f t="shared" si="10"/>
        <v>0.47786309276619199</v>
      </c>
      <c r="O211" s="2">
        <f t="shared" si="11"/>
        <v>6.0112688684925975E-2</v>
      </c>
    </row>
    <row r="212" spans="2:15">
      <c r="B212" s="4">
        <v>42012</v>
      </c>
      <c r="C212" s="3">
        <v>0.63580141506138355</v>
      </c>
      <c r="D212" s="3">
        <v>0.47713334056444601</v>
      </c>
      <c r="E212" s="3">
        <v>0.614335309691869</v>
      </c>
      <c r="F212" s="2">
        <f t="shared" si="9"/>
        <v>0.137201969127423</v>
      </c>
      <c r="H212" s="1">
        <v>42012</v>
      </c>
      <c r="I212">
        <v>0.54657009543334001</v>
      </c>
      <c r="K212" s="4">
        <v>42012</v>
      </c>
      <c r="L212" s="3">
        <v>0.63580141506138355</v>
      </c>
      <c r="M212" s="3">
        <v>0.47713334056444601</v>
      </c>
      <c r="N212" s="3">
        <f t="shared" si="10"/>
        <v>0.54657009543334001</v>
      </c>
      <c r="O212" s="2">
        <f t="shared" si="11"/>
        <v>6.9436754868894002E-2</v>
      </c>
    </row>
    <row r="213" spans="2:15">
      <c r="B213" s="4">
        <v>42019</v>
      </c>
      <c r="C213" s="3">
        <v>0.66264885680249008</v>
      </c>
      <c r="D213" s="3">
        <v>0.53296054461027997</v>
      </c>
      <c r="E213" s="3">
        <v>0.66457945448095002</v>
      </c>
      <c r="F213" s="2">
        <f t="shared" si="9"/>
        <v>0.13161890987067004</v>
      </c>
      <c r="H213" s="1">
        <v>42019</v>
      </c>
      <c r="I213">
        <v>0.61065980094002503</v>
      </c>
      <c r="K213" s="4">
        <v>42019</v>
      </c>
      <c r="L213" s="3">
        <v>0.66264885680249008</v>
      </c>
      <c r="M213" s="3">
        <v>0.53296054461027997</v>
      </c>
      <c r="N213" s="3">
        <f t="shared" si="10"/>
        <v>0.61065980094002503</v>
      </c>
      <c r="O213" s="2">
        <f t="shared" si="11"/>
        <v>7.7699256329745059E-2</v>
      </c>
    </row>
    <row r="214" spans="2:15">
      <c r="B214" s="4">
        <v>42026</v>
      </c>
      <c r="C214" s="3">
        <v>0.66474126748702123</v>
      </c>
      <c r="D214" s="3">
        <v>0.53525908703488601</v>
      </c>
      <c r="E214" s="3">
        <v>0.66484227327937295</v>
      </c>
      <c r="F214" s="2">
        <f t="shared" si="9"/>
        <v>0.12958318624448695</v>
      </c>
      <c r="H214" s="1">
        <v>42026</v>
      </c>
      <c r="I214">
        <v>0.61221176462929705</v>
      </c>
      <c r="K214" s="4">
        <v>42026</v>
      </c>
      <c r="L214" s="3">
        <v>0.66474126748702123</v>
      </c>
      <c r="M214" s="3">
        <v>0.53525908703488601</v>
      </c>
      <c r="N214" s="3">
        <f t="shared" si="10"/>
        <v>0.61221176462929705</v>
      </c>
      <c r="O214" s="2">
        <f t="shared" si="11"/>
        <v>7.6952677594411045E-2</v>
      </c>
    </row>
    <row r="215" spans="2:15">
      <c r="B215" s="4">
        <v>42033</v>
      </c>
      <c r="C215" s="3">
        <v>0.66264885680249008</v>
      </c>
      <c r="D215" s="3">
        <v>0.53296054461027997</v>
      </c>
      <c r="E215" s="3">
        <v>0.66457945448095002</v>
      </c>
      <c r="F215" s="2">
        <f t="shared" si="9"/>
        <v>0.13161890987067004</v>
      </c>
      <c r="H215" s="1">
        <v>42033</v>
      </c>
      <c r="I215">
        <v>0.61065980094002503</v>
      </c>
      <c r="K215" s="4">
        <v>42033</v>
      </c>
      <c r="L215" s="3">
        <v>0.66264885680249008</v>
      </c>
      <c r="M215" s="3">
        <v>0.53296054461027997</v>
      </c>
      <c r="N215" s="3">
        <f t="shared" si="10"/>
        <v>0.61065980094002503</v>
      </c>
      <c r="O215" s="2">
        <f t="shared" si="11"/>
        <v>7.7699256329745059E-2</v>
      </c>
    </row>
    <row r="216" spans="2:15">
      <c r="B216" s="4">
        <v>42040</v>
      </c>
      <c r="C216" s="3">
        <v>0.68438167594716182</v>
      </c>
      <c r="D216" s="3">
        <v>0.531964205535849</v>
      </c>
      <c r="E216" s="3">
        <v>0.66194922130079104</v>
      </c>
      <c r="F216" s="2">
        <f t="shared" si="9"/>
        <v>0.12998501576494204</v>
      </c>
      <c r="H216" s="1">
        <v>42040</v>
      </c>
      <c r="I216">
        <v>0.61088327202867398</v>
      </c>
      <c r="K216" s="4">
        <v>42040</v>
      </c>
      <c r="L216" s="3">
        <v>0.68438167594716182</v>
      </c>
      <c r="M216" s="3">
        <v>0.531964205535849</v>
      </c>
      <c r="N216" s="3">
        <f t="shared" si="10"/>
        <v>0.61088327202867398</v>
      </c>
      <c r="O216" s="2">
        <f t="shared" si="11"/>
        <v>7.8919066492824985E-2</v>
      </c>
    </row>
    <row r="217" spans="2:15">
      <c r="B217" s="4">
        <v>42047</v>
      </c>
      <c r="C217" s="3">
        <v>0.64890841265420796</v>
      </c>
      <c r="D217" s="3">
        <v>0.50112937152177495</v>
      </c>
      <c r="E217" s="3">
        <v>0.63758870497027298</v>
      </c>
      <c r="F217" s="2">
        <f t="shared" si="9"/>
        <v>0.13645933344849803</v>
      </c>
      <c r="H217" s="1">
        <v>42047</v>
      </c>
      <c r="I217">
        <v>0.57963018238461905</v>
      </c>
      <c r="K217" s="4">
        <v>42047</v>
      </c>
      <c r="L217" s="3">
        <v>0.64890841265420796</v>
      </c>
      <c r="M217" s="3">
        <v>0.50112937152177495</v>
      </c>
      <c r="N217" s="3">
        <f t="shared" si="10"/>
        <v>0.57963018238461905</v>
      </c>
      <c r="O217" s="2">
        <f t="shared" si="11"/>
        <v>7.8500810862844106E-2</v>
      </c>
    </row>
    <row r="218" spans="2:15">
      <c r="B218" s="4">
        <v>42054</v>
      </c>
      <c r="C218" s="3">
        <v>0.62651628119673453</v>
      </c>
      <c r="D218" s="3">
        <v>0.46787253141998503</v>
      </c>
      <c r="E218" s="3">
        <v>0.60813217145599097</v>
      </c>
      <c r="F218" s="2">
        <f t="shared" si="9"/>
        <v>0.14025964003600594</v>
      </c>
      <c r="H218" s="1">
        <v>42054</v>
      </c>
      <c r="I218">
        <v>0.53686246920525704</v>
      </c>
      <c r="K218" s="4">
        <v>42054</v>
      </c>
      <c r="L218" s="3">
        <v>0.62651628119673453</v>
      </c>
      <c r="M218" s="3">
        <v>0.46787253141998503</v>
      </c>
      <c r="N218" s="3">
        <f t="shared" si="10"/>
        <v>0.53686246920525704</v>
      </c>
      <c r="O218" s="2">
        <f t="shared" si="11"/>
        <v>6.8989937785272015E-2</v>
      </c>
    </row>
    <row r="219" spans="2:15">
      <c r="B219" s="4">
        <v>42061</v>
      </c>
      <c r="C219" s="3">
        <v>0.61098575112407738</v>
      </c>
      <c r="D219" s="3">
        <v>0.43720530063230401</v>
      </c>
      <c r="E219" s="3">
        <v>0.58092112302735699</v>
      </c>
      <c r="F219" s="2">
        <f t="shared" si="9"/>
        <v>0.14371582239505298</v>
      </c>
      <c r="H219" s="1">
        <v>42061</v>
      </c>
      <c r="I219">
        <v>0.50427101713461098</v>
      </c>
      <c r="K219" s="4">
        <v>42061</v>
      </c>
      <c r="L219" s="3">
        <v>0.61098575112407738</v>
      </c>
      <c r="M219" s="3">
        <v>0.43720530063230401</v>
      </c>
      <c r="N219" s="3">
        <f t="shared" si="10"/>
        <v>0.50427101713461098</v>
      </c>
      <c r="O219" s="2">
        <f t="shared" si="11"/>
        <v>6.7065716502306971E-2</v>
      </c>
    </row>
    <row r="220" spans="2:15">
      <c r="B220" s="4">
        <v>42068</v>
      </c>
      <c r="C220" s="3">
        <v>0.61966926616186646</v>
      </c>
      <c r="D220" s="3">
        <v>0.45959407492170601</v>
      </c>
      <c r="E220" s="3">
        <v>0.60172096268720499</v>
      </c>
      <c r="F220" s="2">
        <f t="shared" si="9"/>
        <v>0.14212688776549898</v>
      </c>
      <c r="H220" s="1">
        <v>42068</v>
      </c>
      <c r="I220">
        <v>0.52923216774975401</v>
      </c>
      <c r="K220" s="4">
        <v>42068</v>
      </c>
      <c r="L220" s="3">
        <v>0.61966926616186646</v>
      </c>
      <c r="M220" s="3">
        <v>0.45959407492170601</v>
      </c>
      <c r="N220" s="3">
        <f t="shared" si="10"/>
        <v>0.52923216774975401</v>
      </c>
      <c r="O220" s="2">
        <f t="shared" si="11"/>
        <v>6.9638092828048004E-2</v>
      </c>
    </row>
    <row r="221" spans="2:15">
      <c r="B221" s="4">
        <v>42075</v>
      </c>
      <c r="C221" s="3">
        <v>0.57559445438514367</v>
      </c>
      <c r="D221" s="3">
        <v>0.394169404360453</v>
      </c>
      <c r="E221" s="3">
        <v>0.54300415809967995</v>
      </c>
      <c r="F221" s="2">
        <f t="shared" si="9"/>
        <v>0.14883475373922694</v>
      </c>
      <c r="H221" s="1">
        <v>42075</v>
      </c>
      <c r="I221">
        <v>0.45475870152619202</v>
      </c>
      <c r="K221" s="4">
        <v>42075</v>
      </c>
      <c r="L221" s="3">
        <v>0.57559445438514367</v>
      </c>
      <c r="M221" s="3">
        <v>0.394169404360453</v>
      </c>
      <c r="N221" s="3">
        <f t="shared" si="10"/>
        <v>0.45475870152619202</v>
      </c>
      <c r="O221" s="2">
        <f t="shared" si="11"/>
        <v>6.058929716573902E-2</v>
      </c>
    </row>
    <row r="222" spans="2:15">
      <c r="B222" s="4">
        <v>42082</v>
      </c>
      <c r="C222" s="3">
        <v>0.60937196228640689</v>
      </c>
      <c r="D222" s="3">
        <v>0.45850870301610303</v>
      </c>
      <c r="E222" s="3">
        <v>0.601158744048226</v>
      </c>
      <c r="F222" s="2">
        <f t="shared" si="9"/>
        <v>0.14265004103212298</v>
      </c>
      <c r="H222" s="1">
        <v>42082</v>
      </c>
      <c r="I222">
        <v>0.52662977972920499</v>
      </c>
      <c r="K222" s="4">
        <v>42082</v>
      </c>
      <c r="L222" s="3">
        <v>0.60937196228640689</v>
      </c>
      <c r="M222" s="3">
        <v>0.45850870301610303</v>
      </c>
      <c r="N222" s="3">
        <f t="shared" si="10"/>
        <v>0.52662977972920499</v>
      </c>
      <c r="O222" s="2">
        <f t="shared" si="11"/>
        <v>6.8121076713101969E-2</v>
      </c>
    </row>
    <row r="223" spans="2:15">
      <c r="B223" s="4">
        <v>42089</v>
      </c>
      <c r="C223" s="3">
        <v>0.64195316325793905</v>
      </c>
      <c r="D223" s="3">
        <v>0.49264013227543102</v>
      </c>
      <c r="E223" s="3">
        <v>0.63113120835468395</v>
      </c>
      <c r="F223" s="2">
        <f t="shared" si="9"/>
        <v>0.13849107607925293</v>
      </c>
      <c r="H223" s="1">
        <v>42089</v>
      </c>
      <c r="I223">
        <v>0.57162965928380105</v>
      </c>
      <c r="K223" s="4">
        <v>42089</v>
      </c>
      <c r="L223" s="3">
        <v>0.64195316325793905</v>
      </c>
      <c r="M223" s="3">
        <v>0.49264013227543102</v>
      </c>
      <c r="N223" s="3">
        <f t="shared" si="10"/>
        <v>0.57162965928380105</v>
      </c>
      <c r="O223" s="2">
        <f t="shared" si="11"/>
        <v>7.8989527008370031E-2</v>
      </c>
    </row>
    <row r="224" spans="2:15">
      <c r="B224" s="4">
        <v>42096</v>
      </c>
      <c r="C224" s="3">
        <v>0.62778439660000751</v>
      </c>
      <c r="D224" s="3">
        <v>0.47700652645494301</v>
      </c>
      <c r="E224" s="3">
        <v>0.62050008500155596</v>
      </c>
      <c r="F224" s="2">
        <f t="shared" si="9"/>
        <v>0.14349355854661294</v>
      </c>
      <c r="H224" s="1">
        <v>42096</v>
      </c>
      <c r="I224">
        <v>0.55578836979509405</v>
      </c>
      <c r="K224" s="4">
        <v>42096</v>
      </c>
      <c r="L224" s="3">
        <v>0.62778439660000751</v>
      </c>
      <c r="M224" s="3">
        <v>0.47700652645494301</v>
      </c>
      <c r="N224" s="3">
        <f t="shared" si="10"/>
        <v>0.55578836979509405</v>
      </c>
      <c r="O224" s="2">
        <f t="shared" si="11"/>
        <v>7.8781843340151037E-2</v>
      </c>
    </row>
    <row r="225" spans="2:15">
      <c r="B225" s="4">
        <v>42103</v>
      </c>
      <c r="C225" s="3">
        <v>0.64459292642165245</v>
      </c>
      <c r="D225" s="3">
        <v>0.505305541519944</v>
      </c>
      <c r="E225" s="3">
        <v>0.644780928204296</v>
      </c>
      <c r="F225" s="2">
        <f t="shared" si="9"/>
        <v>0.139475386684352</v>
      </c>
      <c r="H225" s="1">
        <v>42103</v>
      </c>
      <c r="I225">
        <v>0.58517099495605296</v>
      </c>
      <c r="K225" s="4">
        <v>42103</v>
      </c>
      <c r="L225" s="3">
        <v>0.64459292642165245</v>
      </c>
      <c r="M225" s="3">
        <v>0.505305541519944</v>
      </c>
      <c r="N225" s="3">
        <f t="shared" si="10"/>
        <v>0.58517099495605296</v>
      </c>
      <c r="O225" s="2">
        <f t="shared" si="11"/>
        <v>7.9865453436108957E-2</v>
      </c>
    </row>
    <row r="226" spans="2:15">
      <c r="B226" s="4">
        <v>42110</v>
      </c>
      <c r="C226" s="3">
        <v>0.63055503904182508</v>
      </c>
      <c r="D226" s="3">
        <v>0.47885281621922599</v>
      </c>
      <c r="E226" s="3">
        <v>0.62101551120389098</v>
      </c>
      <c r="F226" s="2">
        <f t="shared" si="9"/>
        <v>0.14216269498466499</v>
      </c>
      <c r="H226" s="1">
        <v>42110</v>
      </c>
      <c r="I226">
        <v>0.556970480976966</v>
      </c>
      <c r="K226" s="4">
        <v>42110</v>
      </c>
      <c r="L226" s="3">
        <v>0.63055503904182508</v>
      </c>
      <c r="M226" s="3">
        <v>0.47885281621922599</v>
      </c>
      <c r="N226" s="3">
        <f t="shared" si="10"/>
        <v>0.556970480976966</v>
      </c>
      <c r="O226" s="2">
        <f t="shared" si="11"/>
        <v>7.8117664757740013E-2</v>
      </c>
    </row>
    <row r="227" spans="2:15">
      <c r="B227" s="4">
        <v>42117</v>
      </c>
      <c r="C227" s="3">
        <v>0.64951370522505292</v>
      </c>
      <c r="D227" s="3">
        <v>0.50775672845638498</v>
      </c>
      <c r="E227" s="3">
        <v>0.64530537163066504</v>
      </c>
      <c r="F227" s="2">
        <f t="shared" si="9"/>
        <v>0.13754864317428006</v>
      </c>
      <c r="H227" s="1">
        <v>42117</v>
      </c>
      <c r="I227">
        <v>0.58711925424012301</v>
      </c>
      <c r="K227" s="4">
        <v>42117</v>
      </c>
      <c r="L227" s="3">
        <v>0.64951370522505292</v>
      </c>
      <c r="M227" s="3">
        <v>0.50775672845638498</v>
      </c>
      <c r="N227" s="3">
        <f t="shared" si="10"/>
        <v>0.58711925424012301</v>
      </c>
      <c r="O227" s="2">
        <f t="shared" si="11"/>
        <v>7.9362525783738036E-2</v>
      </c>
    </row>
    <row r="228" spans="2:15">
      <c r="H228" s="1">
        <v>42124</v>
      </c>
      <c r="I228">
        <v>0.55845595502797696</v>
      </c>
    </row>
    <row r="229" spans="2:15">
      <c r="H229" s="1">
        <v>42131</v>
      </c>
      <c r="I229">
        <v>0.47460293707110801</v>
      </c>
    </row>
    <row r="230" spans="2:15">
      <c r="H230" s="1">
        <v>42138</v>
      </c>
      <c r="I230">
        <v>0.46752297467527598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Current Paying PMI</vt:lpstr>
      <vt:lpstr>Sheet2</vt:lpstr>
      <vt:lpstr>Sheet3</vt:lpstr>
      <vt:lpstr>'Current Paying PMI'!temp</vt:lpstr>
      <vt:lpstr>'Current Paying PMI'!temp_1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2015-05-21T20:26:10Z</dcterms:created>
  <dcterms:modified xsi:type="dcterms:W3CDTF">2015-05-27T13:39:18Z</dcterms:modified>
</cp:coreProperties>
</file>